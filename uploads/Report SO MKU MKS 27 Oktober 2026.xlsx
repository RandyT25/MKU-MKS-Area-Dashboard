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EFE585D-D6AF-4EDD-9112-5D9BA05F8B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Sheet!$A$1:$Q$230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58" i="1" l="1"/>
</calcChain>
</file>

<file path=xl/sharedStrings.xml><?xml version="1.0" encoding="utf-8"?>
<sst xmlns="http://schemas.openxmlformats.org/spreadsheetml/2006/main" count="4153" uniqueCount="831">
  <si>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</si>
  <si>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</si>
  <si>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</si>
  <si>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</si>
  <si>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</si>
  <si>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</si>
  <si>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</si>
  <si>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</si>
  <si>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</si>
  <si>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</si>
  <si>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</si>
  <si>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</si>
  <si>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</si>
  <si>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</si>
  <si>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</si>
  <si>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</si>
  <si>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</si>
  <si>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</si>
  <si>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</si>
  <si>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Juni</t>
  </si>
  <si>
    <t>Invoice</t>
  </si>
  <si>
    <t>Sudah Jadi FJ</t>
  </si>
  <si>
    <t/>
  </si>
  <si>
    <t>SO-KS/2610/260002</t>
  </si>
  <si>
    <t>FUCINA ITALIA</t>
  </si>
  <si>
    <t>Dewi Kristiani</t>
  </si>
  <si>
    <t>PSJ0228</t>
  </si>
  <si>
    <t>Premium Minced Beef (2.5kg/pack)</t>
  </si>
  <si>
    <t>KG</t>
  </si>
  <si>
    <t>SO-KS/2610/260003</t>
  </si>
  <si>
    <t>RICE PADDY CAFE</t>
  </si>
  <si>
    <t>Cash</t>
  </si>
  <si>
    <t>Wahyu</t>
  </si>
  <si>
    <t>120007</t>
  </si>
  <si>
    <t>Tepung Double Zero 1kg/pack</t>
  </si>
  <si>
    <t>SO-KS/2610/260004</t>
  </si>
  <si>
    <t>ART CAFE BUMBU BALI</t>
  </si>
  <si>
    <t>PSJ0011</t>
  </si>
  <si>
    <t>Chuck Tenderloin Whole</t>
  </si>
  <si>
    <t>SO-KS/2610/260005</t>
  </si>
  <si>
    <t>PT. KHARISMA ANUGRAH JAWARA ABADI (SAVAYA BALI)</t>
  </si>
  <si>
    <t>120015</t>
  </si>
  <si>
    <t>Tepung Japanese Tempura 1kg/pack</t>
  </si>
  <si>
    <t>SO-KS/2610/260006</t>
  </si>
  <si>
    <t>BAGEL TO GO</t>
  </si>
  <si>
    <t>I Made Luih (Sanur)</t>
  </si>
  <si>
    <t>SFM009</t>
  </si>
  <si>
    <t>Tepung Hime @25Kg/Sack</t>
  </si>
  <si>
    <t>SACK</t>
  </si>
  <si>
    <t>SO-KS/2610/260007</t>
  </si>
  <si>
    <t xml:space="preserve"> kirim ke oultet sanur</t>
  </si>
  <si>
    <t>SO-KS/2610/260008</t>
  </si>
  <si>
    <t>NASI PERKEDEL PAK TELEM</t>
  </si>
  <si>
    <t>NP3</t>
  </si>
  <si>
    <t>060019</t>
  </si>
  <si>
    <t>Nestle Orange Pouch NP 560gr/Pack</t>
  </si>
  <si>
    <t>PACK</t>
  </si>
  <si>
    <t>060013</t>
  </si>
  <si>
    <t>Nestea Lemon Tea 1kg/Pack</t>
  </si>
  <si>
    <t>SO-KS/2610/260009</t>
  </si>
  <si>
    <t>LITTLE LIMA COFFEE</t>
  </si>
  <si>
    <t>Taufik</t>
  </si>
  <si>
    <t>080241</t>
  </si>
  <si>
    <t>THE ALTERNATIVE Barista Almond Milk 1 Lt</t>
  </si>
  <si>
    <t>PCS</t>
  </si>
  <si>
    <t>SO-KS/2610/260010</t>
  </si>
  <si>
    <t>SAKARA COFFEE</t>
  </si>
  <si>
    <t>I MADE LUIH</t>
  </si>
  <si>
    <t>PLN0005</t>
  </si>
  <si>
    <t>RICH CRÈME ND 08 1000G POUCH</t>
  </si>
  <si>
    <t>POU</t>
  </si>
  <si>
    <t>SO-KS/2610/260011</t>
  </si>
  <si>
    <t>MIDORI MATCHA</t>
  </si>
  <si>
    <t>080240</t>
  </si>
  <si>
    <t>THE ALTERNATIVE Barista Oat Milk 1 Lt</t>
  </si>
  <si>
    <t>di kirim langsung ke umalas canggu</t>
  </si>
  <si>
    <t>SO-KS/2610/260012</t>
  </si>
  <si>
    <t>CENDOL TIS</t>
  </si>
  <si>
    <t>PLN0004</t>
  </si>
  <si>
    <t>RICH CRÈME ND 01 1000G POUCH</t>
  </si>
  <si>
    <t>SO-KS/2610/260014</t>
  </si>
  <si>
    <t>KORI RESTAURANT</t>
  </si>
  <si>
    <t>PSJ0187</t>
  </si>
  <si>
    <t>Borello Topside</t>
  </si>
  <si>
    <t>1 loaf</t>
  </si>
  <si>
    <t>SO-KS/2610/260021</t>
  </si>
  <si>
    <t>OMNI GYM &amp; WELLNESS</t>
  </si>
  <si>
    <t>PLN0003</t>
  </si>
  <si>
    <t>ELLENKA BARISTA COCONUT MILK 1000ML APL</t>
  </si>
  <si>
    <t>SO-KS/2610/260022</t>
  </si>
  <si>
    <t>HUMBLE HEALTH CLUB</t>
  </si>
  <si>
    <t>SO-KS/2610/260023</t>
  </si>
  <si>
    <t>LA SANTANERA</t>
  </si>
  <si>
    <t>SO-KS/2610/260024</t>
  </si>
  <si>
    <t>TUI BLUE BERAWA HOTEL</t>
  </si>
  <si>
    <t>PSF0014</t>
  </si>
  <si>
    <t>Tepung 00 Fusion @25Kg</t>
  </si>
  <si>
    <t>SO-KS/2610/260025</t>
  </si>
  <si>
    <t>BAREHEAT STUDIO</t>
  </si>
  <si>
    <t>SO-KS/2610/260026</t>
  </si>
  <si>
    <t>INDO BOGA PRIMA</t>
  </si>
  <si>
    <t>SO-KS/2610/260027</t>
  </si>
  <si>
    <t>AL'S COFFEE &amp; GELATO</t>
  </si>
  <si>
    <t>SO-KS/2610/260029</t>
  </si>
  <si>
    <t>ELOK CAFE ULUWATU</t>
  </si>
  <si>
    <t>080239</t>
  </si>
  <si>
    <t>THE ALTERNATIVE Barista Soy Milk 1 Lt</t>
  </si>
  <si>
    <t>SO-KS/2610/260030</t>
  </si>
  <si>
    <t>INDO BOGA  ABADI</t>
  </si>
  <si>
    <t>SO-KS/2610/260032</t>
  </si>
  <si>
    <t>INDO BOGA SEJAHTERA</t>
  </si>
  <si>
    <t>SO-KS/2610/260033</t>
  </si>
  <si>
    <t>PORK STAR RESTAURANT</t>
  </si>
  <si>
    <t>Sujana</t>
  </si>
  <si>
    <t>POT0781</t>
  </si>
  <si>
    <t>Tiparos Fish Sauce 4500 Ml</t>
  </si>
  <si>
    <t>JRG</t>
  </si>
  <si>
    <t>SO-KS/2610/260034</t>
  </si>
  <si>
    <t>INDO BOGA JAYA</t>
  </si>
  <si>
    <t>SO-KS/2610/260035</t>
  </si>
  <si>
    <t>INDO BOGA MAKMUR</t>
  </si>
  <si>
    <t>SO-KS/2610/260036</t>
  </si>
  <si>
    <t>COFFEE PHORA</t>
  </si>
  <si>
    <t>SO-KS/2610/260037</t>
  </si>
  <si>
    <t>AVIARI BISTRO</t>
  </si>
  <si>
    <t>PSJ0046</t>
  </si>
  <si>
    <t>Allana Tenderloin Whole</t>
  </si>
  <si>
    <t>SO-KS/2610/260038</t>
  </si>
  <si>
    <t>WILD HABIT PIZZERIA</t>
  </si>
  <si>
    <t>SFM052</t>
  </si>
  <si>
    <t>Inofa Heat Treated Wheat Flour SF 346 @25kg/sack</t>
  </si>
  <si>
    <t>SO-KS/2610/260039</t>
  </si>
  <si>
    <t>ZIA TINA BALI</t>
  </si>
  <si>
    <t>SO-KS/2610/260047</t>
  </si>
  <si>
    <t>CV. NUTREAT INDONESIA</t>
  </si>
  <si>
    <t>PMA0003</t>
  </si>
  <si>
    <t>Compound Parrot 1Kg/pack</t>
  </si>
  <si>
    <t>SO-KS/2610/260048</t>
  </si>
  <si>
    <t>BAKED</t>
  </si>
  <si>
    <t>PLN0009</t>
  </si>
  <si>
    <t>WELLINGTON PRO 25KG PP BAG</t>
  </si>
  <si>
    <t>BAG</t>
  </si>
  <si>
    <t>SO-KS/2610/260050</t>
  </si>
  <si>
    <t>LUMIRA BALI</t>
  </si>
  <si>
    <t>060018</t>
  </si>
  <si>
    <t>Nestle Lemonade Original 640gr/Pack</t>
  </si>
  <si>
    <t>SO-KS/2610/260053</t>
  </si>
  <si>
    <t>THE LAGUNA</t>
  </si>
  <si>
    <t>Monica</t>
  </si>
  <si>
    <t>PPA0092</t>
  </si>
  <si>
    <t>Emborg Pizza Topping 2.3 Kg</t>
  </si>
  <si>
    <t>KTN</t>
  </si>
  <si>
    <t>SO-KS/2610/260059</t>
  </si>
  <si>
    <t>TOKO KONDRIANI</t>
  </si>
  <si>
    <t>NP2</t>
  </si>
  <si>
    <t>300098</t>
  </si>
  <si>
    <t>MAGGI Seasoning @800ml/Btl</t>
  </si>
  <si>
    <t>BTL</t>
  </si>
  <si>
    <t>SO-KS/2610/260060</t>
  </si>
  <si>
    <t>SHABURI KINTAN</t>
  </si>
  <si>
    <t>NP4</t>
  </si>
  <si>
    <t>060004</t>
  </si>
  <si>
    <t>Nescafe Cappuccino Caramel Era 500gr/Pack</t>
  </si>
  <si>
    <t>060017</t>
  </si>
  <si>
    <t>Nestle Blackcurrant Drink 750gr/Pack</t>
  </si>
  <si>
    <t>SO-KS/2610/260061</t>
  </si>
  <si>
    <t>TOKO PRANATA</t>
  </si>
  <si>
    <t>SO-KS/2610/260062</t>
  </si>
  <si>
    <t>SO-KS/2610/260063</t>
  </si>
  <si>
    <t>PT. GANGSAR ARTA MULIA</t>
  </si>
  <si>
    <t>020020</t>
  </si>
  <si>
    <t>NESTLE Milo Activ-Go NPro 960Gr/Pack</t>
  </si>
  <si>
    <t>kirim ke gudang baru</t>
  </si>
  <si>
    <t>SO-KS/2610/260064</t>
  </si>
  <si>
    <t>PPTO MRKT SEMER</t>
  </si>
  <si>
    <t>Ni Ketut Sriasih (MT)</t>
  </si>
  <si>
    <t>120018</t>
  </si>
  <si>
    <t>Tepung Ninja 1kg/pack</t>
  </si>
  <si>
    <t>SO-KS/2610/260065</t>
  </si>
  <si>
    <t>PEPITO FRESH MARKET PECATU GRAHA</t>
  </si>
  <si>
    <t>SO-KS/2610/260066</t>
  </si>
  <si>
    <t>PPTO EXP UMALAS</t>
  </si>
  <si>
    <t>SO-KS/2610/260067</t>
  </si>
  <si>
    <t>PPTO MRKT PELIATAN</t>
  </si>
  <si>
    <t>SO-KS/2610/260068</t>
  </si>
  <si>
    <t>KANESHIRO RESTAURANT</t>
  </si>
  <si>
    <t>SO-KS/2610/260071</t>
  </si>
  <si>
    <t>HARTONO RAYA MOTOR</t>
  </si>
  <si>
    <t>NP1</t>
  </si>
  <si>
    <t>060009</t>
  </si>
  <si>
    <t>Nescafe Latte 500gr/Pack</t>
  </si>
  <si>
    <t>SO-KS/2610/260072</t>
  </si>
  <si>
    <t>CV BALI JAYA (TOKO BALI JAYA KUTA)</t>
  </si>
  <si>
    <t>SO-KS/2610/260073</t>
  </si>
  <si>
    <t>PT. LANGGENG KREASI JAYAPRIMA</t>
  </si>
  <si>
    <t>060090</t>
  </si>
  <si>
    <t>Sjora Mango Peach Concentrate 1Liter/Pack</t>
  </si>
  <si>
    <t>SO-KS/2610/260074</t>
  </si>
  <si>
    <t>NAUGHTY NURIS SEMINYAK</t>
  </si>
  <si>
    <t>300096</t>
  </si>
  <si>
    <t>MAGGI Chicken Powder @1kg/Pack</t>
  </si>
  <si>
    <t>PENERIMAAN BARANG DARI JAM 09.00-13.00</t>
  </si>
  <si>
    <t>SO-KS/2610/260076</t>
  </si>
  <si>
    <t>PT SNAK SNAKS INDONESIA (BALI ZOO)</t>
  </si>
  <si>
    <t>SO-KS/2610/260077</t>
  </si>
  <si>
    <t>YAKINIKU LIKE LIVING WORLD BALI</t>
  </si>
  <si>
    <t>SO-KS/2610/260078</t>
  </si>
  <si>
    <t>KIMUKATSU (PT BOGA MAKMUR DINASTI)</t>
  </si>
  <si>
    <t>SO-KS/2610/260079</t>
  </si>
  <si>
    <t>NN Sujana</t>
  </si>
  <si>
    <t>120006</t>
  </si>
  <si>
    <t>Tepung Crispy Ala Kentucky 1kg/pack</t>
  </si>
  <si>
    <t>Mohon sampai nuris seminyak jam 10 Pagi</t>
  </si>
  <si>
    <t>120009</t>
  </si>
  <si>
    <t>Tepung Easymix Fish n Chips 1kg/pack</t>
  </si>
  <si>
    <t>SO-KS/2610/260080</t>
  </si>
  <si>
    <t>GURU RESTO</t>
  </si>
  <si>
    <t>Packing sterofoam pakai dryice krn kirim ke Lombok .  Kirim ke GINTA CARGO, Jln Cargo Permai No 55 X Denpasar utara</t>
  </si>
  <si>
    <t>SO-KS/2610/260081</t>
  </si>
  <si>
    <t>KOKOHEN FROZEN</t>
  </si>
  <si>
    <t>Ni Ketut Sriasih (GT)</t>
  </si>
  <si>
    <t>PWI0008</t>
  </si>
  <si>
    <t>MOZZARIA Mozzarella 200 Gr</t>
  </si>
  <si>
    <t>SO-KS/2610/260083</t>
  </si>
  <si>
    <t>VIVRE CATERING</t>
  </si>
  <si>
    <t>SO-KS/2610/260084</t>
  </si>
  <si>
    <t>PIPI BAKERY</t>
  </si>
  <si>
    <t>SO-KS/2610/260085</t>
  </si>
  <si>
    <t>LEGIAN BEACH HOTEL</t>
  </si>
  <si>
    <t>Ronald</t>
  </si>
  <si>
    <t>SO-KS/2610/260087</t>
  </si>
  <si>
    <t>MAYA SANUR</t>
  </si>
  <si>
    <t>SO-KS/2610/260088</t>
  </si>
  <si>
    <t>TAMAN DEDARI UBUD</t>
  </si>
  <si>
    <t>Picrom Stalyon</t>
  </si>
  <si>
    <t>SO-KS/2610/260089</t>
  </si>
  <si>
    <t>ASKITCHEN RENON</t>
  </si>
  <si>
    <t>080163</t>
  </si>
  <si>
    <t>EMBORG Whipping Cream 200 Ml</t>
  </si>
  <si>
    <t>080164</t>
  </si>
  <si>
    <t>EMBORG Cooking Cream 200 Ml</t>
  </si>
  <si>
    <t>PPA0142</t>
  </si>
  <si>
    <t>EMBORG Brie Cheese 125 Gr</t>
  </si>
  <si>
    <t>PPA0225</t>
  </si>
  <si>
    <t>EMBORG Butter Unsalted 200 Gr</t>
  </si>
  <si>
    <t>SO-KS/2610/260090</t>
  </si>
  <si>
    <t>CV. JASMINE EKA JAYA</t>
  </si>
  <si>
    <t>Wira</t>
  </si>
  <si>
    <t>di Peking. red chedar 5 loaf</t>
  </si>
  <si>
    <t>SFM007</t>
  </si>
  <si>
    <t>Tepung Double Zero @25Kg/Sack</t>
  </si>
  <si>
    <t>SO-KS/2610/260091</t>
  </si>
  <si>
    <t>PPK0010</t>
  </si>
  <si>
    <t>Block Red Cheddar Mix Cheese 5x2kg</t>
  </si>
  <si>
    <t>SO-KS/2610/260092</t>
  </si>
  <si>
    <t>NICO'S SMOKEHOUSE BBQ - CANGGU</t>
  </si>
  <si>
    <t>4 blok</t>
  </si>
  <si>
    <t>SO-KS/2610/260093</t>
  </si>
  <si>
    <t>LA TERAZA</t>
  </si>
  <si>
    <t>SO-KS/2610/260094</t>
  </si>
  <si>
    <t>FINNS BEACH CLUB</t>
  </si>
  <si>
    <t>kitchen vip</t>
  </si>
  <si>
    <t>SO-KS/2610/260095</t>
  </si>
  <si>
    <t>WARUNG LOKAL</t>
  </si>
  <si>
    <t>nota Canggu.  pengirimannya tolong ke office kami yang berada di Muding</t>
  </si>
  <si>
    <t>SO-KS/2610/260096</t>
  </si>
  <si>
    <t>nota Uluwatu. Untuk pengirimannya tolong ke office kami yang berada di Muding</t>
  </si>
  <si>
    <t>SO-KS/2610/260098</t>
  </si>
  <si>
    <t>SESEH PIZZA</t>
  </si>
  <si>
    <t>SO-KS/2610/260102</t>
  </si>
  <si>
    <t>MAE RESTO GIANYAR</t>
  </si>
  <si>
    <t>120011</t>
  </si>
  <si>
    <t>Tepung Easymix Pisang Goreng @1kg/pack</t>
  </si>
  <si>
    <t>WARUNG MANIK GIANYAR</t>
  </si>
  <si>
    <t>SO-KS/2610/260108</t>
  </si>
  <si>
    <t>LA CANTINE</t>
  </si>
  <si>
    <t>SFM053</t>
  </si>
  <si>
    <t>Inofa Heat Treated Wheat Flour SF 346 @1kg/pack</t>
  </si>
  <si>
    <t>SO-KS/2610/260109</t>
  </si>
  <si>
    <t>KABAK BAKERY</t>
  </si>
  <si>
    <t>PSF0005</t>
  </si>
  <si>
    <t>Tepung Pita Emas @25Kg/Sack</t>
  </si>
  <si>
    <t>SO-KS/2610/260110</t>
  </si>
  <si>
    <t>GIGI SUSU</t>
  </si>
  <si>
    <t>SO-KS/2610/260111</t>
  </si>
  <si>
    <t>PT. TIBI MODERN SENTOSA (AMNAYA HOTEL)</t>
  </si>
  <si>
    <t>SO-KS/2610/260113</t>
  </si>
  <si>
    <t xml:space="preserve"> kitchen asian</t>
  </si>
  <si>
    <t>SO-KS/2610/260114</t>
  </si>
  <si>
    <t>THE FORGE</t>
  </si>
  <si>
    <t>SO-KS/2610/260115</t>
  </si>
  <si>
    <t>SO-KS/2610/260119</t>
  </si>
  <si>
    <t>CV JARIMANIS ARDHI RAYA</t>
  </si>
  <si>
    <t>SO-KS/2610/260122</t>
  </si>
  <si>
    <t>ZERO 4 KARAOKE</t>
  </si>
  <si>
    <t>SO-KS/2610/260123</t>
  </si>
  <si>
    <t>STAKZ BAR &amp; GRILL</t>
  </si>
  <si>
    <t>PPA0133</t>
  </si>
  <si>
    <t>EMBORG Perfect Pasta 1L</t>
  </si>
  <si>
    <t>SO-KS/2610/260124</t>
  </si>
  <si>
    <t>120014</t>
  </si>
  <si>
    <t>Tepung Hime 1kg/pack</t>
  </si>
  <si>
    <t>SO-KS/2610/260125</t>
  </si>
  <si>
    <t>SUKU BEACH CLUB</t>
  </si>
  <si>
    <t>SO-KS/2610/260126</t>
  </si>
  <si>
    <t>BALI CATERING COMPANY</t>
  </si>
  <si>
    <t>PSJ0024</t>
  </si>
  <si>
    <t>Halal Minced Beef 1Kg/Pack</t>
  </si>
  <si>
    <t>SO-KS/2610/260127</t>
  </si>
  <si>
    <t>PADMA UBUD RESORT</t>
  </si>
  <si>
    <t>SO-KS/2610/260131</t>
  </si>
  <si>
    <t>BAMBU BALI ULUWATU</t>
  </si>
  <si>
    <t>Kitchen</t>
  </si>
  <si>
    <t>PSJ0412</t>
  </si>
  <si>
    <t>Naturafrig Brazil Tenderloin import</t>
  </si>
  <si>
    <t>SO-KS/2610/260133</t>
  </si>
  <si>
    <t>MITRA PANGAN</t>
  </si>
  <si>
    <t>SO-KS/2610/260134</t>
  </si>
  <si>
    <t>STHALA UBUD</t>
  </si>
  <si>
    <t>SO-KS/2610/260136</t>
  </si>
  <si>
    <t>PT. AYU SUKSES MAKMUR</t>
  </si>
  <si>
    <t>FOUR SEASON RESORT BALI</t>
  </si>
  <si>
    <t>SAYAN POINT</t>
  </si>
  <si>
    <t>SO-KS/2610/260140</t>
  </si>
  <si>
    <t>PT. GRAHA ALAM LESTARI</t>
  </si>
  <si>
    <t>SFM018</t>
  </si>
  <si>
    <t>Tepung Ninja @25Kg/Sack</t>
  </si>
  <si>
    <t>SO-KS/2610/260145</t>
  </si>
  <si>
    <t>PT. SSP TAURUS GEMILANG INDONESIA</t>
  </si>
  <si>
    <t>DOMESTIK</t>
  </si>
  <si>
    <t>SO-KS/2610/260146</t>
  </si>
  <si>
    <t>Tambahan</t>
  </si>
  <si>
    <t>SO-KS/2610/260147</t>
  </si>
  <si>
    <t>SO-KS/2610/260148</t>
  </si>
  <si>
    <t>SO-KS/2610/260149</t>
  </si>
  <si>
    <t>PIZZA DUMPLING</t>
  </si>
  <si>
    <t>SO-KS/2610/260150</t>
  </si>
  <si>
    <t>DOMES</t>
  </si>
  <si>
    <t>SO-KS/2610/260151</t>
  </si>
  <si>
    <t>THE BAKERS BISTRO</t>
  </si>
  <si>
    <t>SO-KS/2610/260153</t>
  </si>
  <si>
    <t xml:space="preserve">INTERNASIONAL_x000D_
</t>
  </si>
  <si>
    <t>SO-KS/2610/260154</t>
  </si>
  <si>
    <t>SO-KS/2610/260155</t>
  </si>
  <si>
    <t xml:space="preserve"> INTER</t>
  </si>
  <si>
    <t>GEP'S DELI ( TOKO SURYANTI NUSA )</t>
  </si>
  <si>
    <t>SO-KS/2610/260157</t>
  </si>
  <si>
    <t>SO-KS/2610/260159</t>
  </si>
  <si>
    <t>PT. ADIKARYA PANGAN FRESHINDO</t>
  </si>
  <si>
    <t>120010</t>
  </si>
  <si>
    <t>Tepung Easymix Pancake @1kg/pack</t>
  </si>
  <si>
    <t>SO-KS/2610/260161</t>
  </si>
  <si>
    <t>GUNA N BUAH MUNGGU</t>
  </si>
  <si>
    <t>PPA0221</t>
  </si>
  <si>
    <t>EMBORG Whipping Cream 1 Ltr</t>
  </si>
  <si>
    <t>PPA0222</t>
  </si>
  <si>
    <t>EMBORG Cook and Bake Buttery 200 Gr</t>
  </si>
  <si>
    <t>PPA0223</t>
  </si>
  <si>
    <t>EMBORG Butter Unsalted 100 Gr</t>
  </si>
  <si>
    <t>PPA0224</t>
  </si>
  <si>
    <t>EMBORG Butter Salted 200 Gr</t>
  </si>
  <si>
    <t>080165</t>
  </si>
  <si>
    <t>EMBORG Cream Cheese 200 Gr</t>
  </si>
  <si>
    <t>SO-KS/2610/260162</t>
  </si>
  <si>
    <t>BREAD YARD</t>
  </si>
  <si>
    <t>SO-KS/2610/260165</t>
  </si>
  <si>
    <t>HARMONY HEALTH AND WELNESS</t>
  </si>
  <si>
    <t xml:space="preserve"> 2pack</t>
  </si>
  <si>
    <t>SO-KS/2610/260167</t>
  </si>
  <si>
    <t>NOURISH UNGASAN</t>
  </si>
  <si>
    <t>SO-KS/2610/260168</t>
  </si>
  <si>
    <t>PAN0004</t>
  </si>
  <si>
    <t>DP Mozzarella 2.5Kg</t>
  </si>
  <si>
    <t>SO-KS/2610/260171</t>
  </si>
  <si>
    <t>THE WESTIN RESORT NUSA DUA</t>
  </si>
  <si>
    <t>SO-KS/2610/260172</t>
  </si>
  <si>
    <t>SO-KS/2610/260173</t>
  </si>
  <si>
    <t>AUTOGRILL</t>
  </si>
  <si>
    <t>PSJ0127</t>
  </si>
  <si>
    <t>Amron Striploin Whole</t>
  </si>
  <si>
    <t>SO-KS/2610/260174</t>
  </si>
  <si>
    <t>LA VIA EMILIA</t>
  </si>
  <si>
    <t>PLM0092</t>
  </si>
  <si>
    <t>Martelli Prosciutto Di Parma</t>
  </si>
  <si>
    <t>1 LOAF. kirim ke canggu</t>
  </si>
  <si>
    <t>SO-KS/2610/260175</t>
  </si>
  <si>
    <t>GRAND HYATT NUSA DUA</t>
  </si>
  <si>
    <t>SO-KS/2610/260176</t>
  </si>
  <si>
    <t>YENY KITCHEN</t>
  </si>
  <si>
    <t>SO-KS/2610/260177</t>
  </si>
  <si>
    <t>W HOTEL</t>
  </si>
  <si>
    <t>PPA0220</t>
  </si>
  <si>
    <t>EMBORG Butter Block Unsalted 25 Kg</t>
  </si>
  <si>
    <t>SO-KS/2610/260178</t>
  </si>
  <si>
    <t>CONRAD HOTEL</t>
  </si>
  <si>
    <t>SO-KS/2610/260179</t>
  </si>
  <si>
    <t>ARTHA PUTRA WARDANA</t>
  </si>
  <si>
    <t>SO-KS/2610/260180</t>
  </si>
  <si>
    <t>WACKO PETITENGET</t>
  </si>
  <si>
    <t>1 BLOK</t>
  </si>
  <si>
    <t>SO-KS/2610/260181</t>
  </si>
  <si>
    <t>THE JUNCTION</t>
  </si>
  <si>
    <t>SO-KS/2610/260182</t>
  </si>
  <si>
    <t>SEMBRANI FOOD</t>
  </si>
  <si>
    <t>SO-KS/2610/260183</t>
  </si>
  <si>
    <t>BALI TROPIC RESORT &amp; SPA</t>
  </si>
  <si>
    <t>SO-KS/2610/260184</t>
  </si>
  <si>
    <t>PT. FASTFOOD INDONESIA (KFC GATSU TIMUR)</t>
  </si>
  <si>
    <t>SO-KS/2610/260186</t>
  </si>
  <si>
    <t>PPA0181</t>
  </si>
  <si>
    <t>ABC Saus Tomat 5.7 Kg</t>
  </si>
  <si>
    <t>di kirim besok expedisi roxsy cargo sanur</t>
  </si>
  <si>
    <t>020054</t>
  </si>
  <si>
    <t>POLARIS Soda Water 330 Ml</t>
  </si>
  <si>
    <t>CAN</t>
  </si>
  <si>
    <t>SO-KS/2610/260187</t>
  </si>
  <si>
    <t>SO-KS/2610/260188</t>
  </si>
  <si>
    <t>PT. SARI BURGER INDONESIA</t>
  </si>
  <si>
    <t>060007</t>
  </si>
  <si>
    <t>Nescafe Classic Vending 120gr/Pack</t>
  </si>
  <si>
    <t>SO-KS/2610/260189</t>
  </si>
  <si>
    <t>PT. KREASI BALI PRIMA</t>
  </si>
  <si>
    <t>SO-KS/2610/260190</t>
  </si>
  <si>
    <t>DAS BISTRO</t>
  </si>
  <si>
    <t>Management Bali</t>
  </si>
  <si>
    <t>080026</t>
  </si>
  <si>
    <t>Greenfields ESL Fresh Milk Full Cream Milk 1Lt</t>
  </si>
  <si>
    <t>LTR</t>
  </si>
  <si>
    <t>020011</t>
  </si>
  <si>
    <t>Nestle Dark Cocoa Drink Npro 1kg/Pack</t>
  </si>
  <si>
    <t>ARTE UBUD</t>
  </si>
  <si>
    <t>SO-KS/2610/260193</t>
  </si>
  <si>
    <t>MAMAS GERMAN REST.</t>
  </si>
  <si>
    <t>PSJ0413</t>
  </si>
  <si>
    <t>Midfield Rump</t>
  </si>
  <si>
    <t>SO-KS/2610/260196</t>
  </si>
  <si>
    <t>INTERCONTINENTAL BALI RESORT</t>
  </si>
  <si>
    <t>SO-KS/2610/260197</t>
  </si>
  <si>
    <t>THE MAGANI HOTEL &amp; SPA</t>
  </si>
  <si>
    <t>SO-KS/2610/260198</t>
  </si>
  <si>
    <t>PSJ0044</t>
  </si>
  <si>
    <t>Halal Premium Oxtail Whole Cut 3Cm (2 Kg/Pack)</t>
  </si>
  <si>
    <t>SO-KS/2610/260199</t>
  </si>
  <si>
    <t>SO-KS/2610/260200</t>
  </si>
  <si>
    <t>PLATINUM HOTEL JIMBARAN BEACH BAR</t>
  </si>
  <si>
    <t>SO-KS/2610/260201</t>
  </si>
  <si>
    <t>CV TROPICAL</t>
  </si>
  <si>
    <t>SO-KS/2610/260202</t>
  </si>
  <si>
    <t>PRONTO PIZZA</t>
  </si>
  <si>
    <t>SO-KS/2610/260203</t>
  </si>
  <si>
    <t>MERUSAKA NUSA DUA</t>
  </si>
  <si>
    <t>PLN0002</t>
  </si>
  <si>
    <t>RICH CREME WHIPING CREAM 800G POUCH</t>
  </si>
  <si>
    <t>SO-KS/2610/260204</t>
  </si>
  <si>
    <t>STADIUM RESTAURANT</t>
  </si>
  <si>
    <t>SO-KS/2610/260205</t>
  </si>
  <si>
    <t>MAYA UBUD</t>
  </si>
  <si>
    <t>PSJ0371</t>
  </si>
  <si>
    <t>ECT Tenderloin Import</t>
  </si>
  <si>
    <t>SO-KS/2610/260206</t>
  </si>
  <si>
    <t>UNO SANUR</t>
  </si>
  <si>
    <t>SO-KS/2610/260207</t>
  </si>
  <si>
    <t>OLLI BAKERY</t>
  </si>
  <si>
    <t>SO-KS/2610/260208</t>
  </si>
  <si>
    <t>CV. FENNY BERSAMA</t>
  </si>
  <si>
    <t>PLN0008</t>
  </si>
  <si>
    <t>WELLINGTON PRO 1000G POUCH</t>
  </si>
  <si>
    <t>SO-KS/2610/260209</t>
  </si>
  <si>
    <t>PPA0018</t>
  </si>
  <si>
    <t>Emborg Cream Cheese 1.5Kg</t>
  </si>
  <si>
    <t>SO-KS/2610/260210</t>
  </si>
  <si>
    <t>ROYAL TULIP SPRINGHILL RESORT JIMBARAN</t>
  </si>
  <si>
    <t>SO-KS/2610/260211</t>
  </si>
  <si>
    <t>ARTE CANGGU</t>
  </si>
  <si>
    <t>SO-KS/2610/260212</t>
  </si>
  <si>
    <t>SO-KS/2610/260213</t>
  </si>
  <si>
    <t>KANOA BALI</t>
  </si>
  <si>
    <t>SO-KS/2610/260214</t>
  </si>
  <si>
    <t>PT. SUMBER AGRI SEHAT</t>
  </si>
  <si>
    <t>SO-KS/2610/260215</t>
  </si>
  <si>
    <t>RENAISSANCE ULUWATU</t>
  </si>
  <si>
    <t>SO-KS/2610/260216</t>
  </si>
  <si>
    <t>ROOM FOR DESSERT</t>
  </si>
  <si>
    <t>SO-KS/2610/260217</t>
  </si>
  <si>
    <t>GOLA ITALIAN MARKET &amp; RESTAURANT</t>
  </si>
  <si>
    <t>SO-KS/2610/260218</t>
  </si>
  <si>
    <t>SUDAMALA RESORT SANUR</t>
  </si>
  <si>
    <t>SO-KS/2610/260219</t>
  </si>
  <si>
    <t>PISON BALI</t>
  </si>
  <si>
    <t>SO-KS/2610/260220</t>
  </si>
  <si>
    <t>THE SEGARA SEAVIEW SABA</t>
  </si>
  <si>
    <t>060015</t>
  </si>
  <si>
    <t>Nestea Lychee Tea Npro 560gr/Pack</t>
  </si>
  <si>
    <t>SO-KS/2610/260221</t>
  </si>
  <si>
    <t>tambahan</t>
  </si>
  <si>
    <t>SO-KS/2610/260222</t>
  </si>
  <si>
    <t>MRS. SIPPY</t>
  </si>
  <si>
    <t>SO-KS/2610/260223</t>
  </si>
  <si>
    <t>THE BLUE DOOR</t>
  </si>
  <si>
    <t>SO-KS/2610/260224</t>
  </si>
  <si>
    <t>SO-KS/2610/260225</t>
  </si>
  <si>
    <t>GROSIR MANGUSADA</t>
  </si>
  <si>
    <t>SO-KS/2610/260226</t>
  </si>
  <si>
    <t>RABBITHOLE BAKERY</t>
  </si>
  <si>
    <t>dikirim ke berawa</t>
  </si>
  <si>
    <t>SO-KS/2610/260227</t>
  </si>
  <si>
    <t>METLAND VENYA UBUD</t>
  </si>
  <si>
    <t>SO-KS/2610/260228</t>
  </si>
  <si>
    <t>Di kirim Rocky cargo Sanur</t>
  </si>
  <si>
    <t>SO-KS/2610/260230</t>
  </si>
  <si>
    <t>NYOMAN'S COFFEE</t>
  </si>
  <si>
    <t>KIRIM KE SANUR</t>
  </si>
  <si>
    <t>SO-KS/2610/260231</t>
  </si>
  <si>
    <t>SO-KS/2610/260232</t>
  </si>
  <si>
    <t>SO-KS/2610/260233</t>
  </si>
  <si>
    <t>DODO PIZZA</t>
  </si>
  <si>
    <t>(KIRIM UBUD)</t>
  </si>
  <si>
    <t>SO-KS/2610/260234</t>
  </si>
  <si>
    <t>SO-KS/2610/260235</t>
  </si>
  <si>
    <t>SO-KS/2610/260237</t>
  </si>
  <si>
    <t>SO-KS/2610/260238</t>
  </si>
  <si>
    <t>SUMAK TURKISH CUISINE UBUD</t>
  </si>
  <si>
    <t>SO-KS/2610/260239</t>
  </si>
  <si>
    <t>COURTYARD MARRIOT HOTEL</t>
  </si>
  <si>
    <t>SO-KS/2610/260240</t>
  </si>
  <si>
    <t>BALI MANDIRA</t>
  </si>
  <si>
    <t>SO-KS/2610/260241</t>
  </si>
  <si>
    <t>SO-KS/2610/260242</t>
  </si>
  <si>
    <t>FRANKIES BAR AND GRILL</t>
  </si>
  <si>
    <t>SO-KS/2610/260243</t>
  </si>
  <si>
    <t>SENDOK WARUNG</t>
  </si>
  <si>
    <t>SO-KS/2610/260244</t>
  </si>
  <si>
    <t>PT. SOEJASCH BALI</t>
  </si>
  <si>
    <t>SO-KS/2610/260245</t>
  </si>
  <si>
    <t>TIS CAFE</t>
  </si>
  <si>
    <t>SO-KS/2610/260246</t>
  </si>
  <si>
    <t>PT. CIPTA RASA MULTINDO (PETIT PARIS BOULENGERIE B</t>
  </si>
  <si>
    <t>SO-KS/2610/260247</t>
  </si>
  <si>
    <t>BARO BAKERY PERERENAN</t>
  </si>
  <si>
    <t>tmbhan</t>
  </si>
  <si>
    <t>SO-KS/2610/260248</t>
  </si>
  <si>
    <t>PHO MO BERAWA</t>
  </si>
  <si>
    <t>SO-KS/2610/260249</t>
  </si>
  <si>
    <t>060006</t>
  </si>
  <si>
    <t>Nescafe Classic Sac+Bag Era 60x2gr</t>
  </si>
  <si>
    <t>diambil ke kantor</t>
  </si>
  <si>
    <t>SO-KS/2610/260250</t>
  </si>
  <si>
    <t>BYD BIPO GIANYAR</t>
  </si>
  <si>
    <t>dibayar cash</t>
  </si>
  <si>
    <t>SO-KU/2610/260001</t>
  </si>
  <si>
    <t>MKU Bali</t>
  </si>
  <si>
    <t>PMS0092</t>
  </si>
  <si>
    <t>Master House Blend 04 (60:40) M</t>
  </si>
  <si>
    <t>SO-KU/2610/260002</t>
  </si>
  <si>
    <t>MAMA BALI APART SUNNY II</t>
  </si>
  <si>
    <t>PSJ0021</t>
  </si>
  <si>
    <t>Mamas Baby Back Rib Premium</t>
  </si>
  <si>
    <t>SO-KU/2610/260003</t>
  </si>
  <si>
    <t>LUMA CANGGU</t>
  </si>
  <si>
    <t>POT0161</t>
  </si>
  <si>
    <t>La Valle Whole Peeled Tomatoes 2.5 Kg</t>
  </si>
  <si>
    <t>SO-KU/2610/260004</t>
  </si>
  <si>
    <t>MAHARAJA THE ROYAL DINING</t>
  </si>
  <si>
    <t>PIF0012</t>
  </si>
  <si>
    <t>Pristine Classic Cooking Cream 1 Lt</t>
  </si>
  <si>
    <t>SO-KU/2610/260005</t>
  </si>
  <si>
    <t>KOJA PANTAI SANUR</t>
  </si>
  <si>
    <t>PQW0010</t>
  </si>
  <si>
    <t>IQF FF Shoestring 10Kg/Ctn</t>
  </si>
  <si>
    <t>SO-KU/2610/260006</t>
  </si>
  <si>
    <t>SOOGUD COFFEE</t>
  </si>
  <si>
    <t>PMS0033</t>
  </si>
  <si>
    <t>Masterista Ice Shaken Lemon Tea 1000Gr</t>
  </si>
  <si>
    <t>Kalau bisa bantu kirim pagi</t>
  </si>
  <si>
    <t>PMS0038</t>
  </si>
  <si>
    <t>Flavorista Chocolate base (1000Gr/Pack)</t>
  </si>
  <si>
    <t>PMS0072</t>
  </si>
  <si>
    <t>ICE SHAKEN PEACH TEA 1000 GR</t>
  </si>
  <si>
    <t>PMS0132</t>
  </si>
  <si>
    <t>Masterista Syrup Vanilla Tradition 850ml</t>
  </si>
  <si>
    <t>SO-KU/2610/260007</t>
  </si>
  <si>
    <t>RUANG SANTAI KOPI</t>
  </si>
  <si>
    <t>PMS0026</t>
  </si>
  <si>
    <t>Masterista Dark Chocolate 800Gr</t>
  </si>
  <si>
    <t>minta invoice dulu biar di tf</t>
  </si>
  <si>
    <t>PMS0094</t>
  </si>
  <si>
    <t>Masterista Syrup Butterscotch 850 Ml</t>
  </si>
  <si>
    <t>SO-KU/2610/260009</t>
  </si>
  <si>
    <t>OUTSID CAFE</t>
  </si>
  <si>
    <t>SO-KU/2610/260010</t>
  </si>
  <si>
    <t>WARUNG I MEME</t>
  </si>
  <si>
    <t>PMS0024</t>
  </si>
  <si>
    <t>Masterista Original Matcha 800Gr</t>
  </si>
  <si>
    <t>PMS0028</t>
  </si>
  <si>
    <t>Masterista Taro Expecta 800Gr</t>
  </si>
  <si>
    <t>PMS0150</t>
  </si>
  <si>
    <t>Masterista Syrup Natural Mint 850 Ml</t>
  </si>
  <si>
    <t>SO-KU/2610/260011</t>
  </si>
  <si>
    <t>POT0110</t>
  </si>
  <si>
    <t>Bergold Shredded Pizza Topping Mozzarella</t>
  </si>
  <si>
    <t>3 PACK</t>
  </si>
  <si>
    <t>SO-KU/2610/260012</t>
  </si>
  <si>
    <t>WARUNG I MEME TSM</t>
  </si>
  <si>
    <t>di kirim ke central monang maning</t>
  </si>
  <si>
    <t>SO-KU/2610/260013</t>
  </si>
  <si>
    <t>3 pack</t>
  </si>
  <si>
    <t>SO-KU/2610/260014</t>
  </si>
  <si>
    <t>SO-KU/2610/260015</t>
  </si>
  <si>
    <t>SO-KU/2610/260016</t>
  </si>
  <si>
    <t>TIGA DJAYA</t>
  </si>
  <si>
    <t>Kirim ke Tiga Djaya Jempiring</t>
  </si>
  <si>
    <t>SO-KU/2610/260018</t>
  </si>
  <si>
    <t>CENTRAL KITCHEN BALI</t>
  </si>
  <si>
    <t>POT0120</t>
  </si>
  <si>
    <t>Bottegaio Umbro Olio Evo Cucina 5Lt</t>
  </si>
  <si>
    <t>GLN</t>
  </si>
  <si>
    <t>SO-KU/2610/260019</t>
  </si>
  <si>
    <t>PMS0134</t>
  </si>
  <si>
    <t>Masterista Syrup Salted Caramel 850 ML</t>
  </si>
  <si>
    <t>SO-KU/2610/260020</t>
  </si>
  <si>
    <t>SO-KU/2610/260021</t>
  </si>
  <si>
    <t>SO-KU/2610/260022</t>
  </si>
  <si>
    <t>SO-KU/2610/260023</t>
  </si>
  <si>
    <t>COFFEE CARTEL</t>
  </si>
  <si>
    <t>PAS0036</t>
  </si>
  <si>
    <t>Crr Rock'n Hash Brown Triangular 2.5Kg</t>
  </si>
  <si>
    <t>SO-KU/2610/260024</t>
  </si>
  <si>
    <t>METLAND SEVA SEMINYAK</t>
  </si>
  <si>
    <t>SO-KU/2610/260025</t>
  </si>
  <si>
    <t>TRATORIA AMED</t>
  </si>
  <si>
    <t>ASS-EBT</t>
  </si>
  <si>
    <t>English Breakfast@50TB/Box</t>
  </si>
  <si>
    <t>BOX</t>
  </si>
  <si>
    <t>ke central kitchen</t>
  </si>
  <si>
    <t>ASS-JVG</t>
  </si>
  <si>
    <t>Java Ginger @50TB/Box</t>
  </si>
  <si>
    <t>SO-KU/2610/260026</t>
  </si>
  <si>
    <t>BLUE SKYZ SPORT BAR</t>
  </si>
  <si>
    <t xml:space="preserve"> barang dyr &amp; frozen</t>
  </si>
  <si>
    <t>SO-KU/2610/260027</t>
  </si>
  <si>
    <t>PSJ0019</t>
  </si>
  <si>
    <t>Pork B Sliced (1kg/pack)</t>
  </si>
  <si>
    <t>SO-KU/2610/260028</t>
  </si>
  <si>
    <t>PT. GEMILANG KARYA KULINER (PLAGOO)</t>
  </si>
  <si>
    <t>PAS0014</t>
  </si>
  <si>
    <t>Crr Rock'n Hash Brown Triangular 10Kg/Ctn</t>
  </si>
  <si>
    <t>SO-KU/2610/260029</t>
  </si>
  <si>
    <t>BAKERS CORNER TUBAN</t>
  </si>
  <si>
    <t>FIB</t>
  </si>
  <si>
    <t>PMS0031</t>
  </si>
  <si>
    <t>Masterista Aren Sugar Liquid 1000Gr</t>
  </si>
  <si>
    <t>PMS0076</t>
  </si>
  <si>
    <t>Masterista Creamer Base (Creamy)</t>
  </si>
  <si>
    <t>SO-KU/2610/260032</t>
  </si>
  <si>
    <t xml:space="preserve">
JAM PENERIMAAN BARANG 09:00 S/D 13:00</t>
  </si>
  <si>
    <t>SO-KU/2610/260033</t>
  </si>
  <si>
    <t>kitchen fbc</t>
  </si>
  <si>
    <t>SO-KU/2610/260034</t>
  </si>
  <si>
    <t>SO-KU/2610/260035</t>
  </si>
  <si>
    <t>di Peking</t>
  </si>
  <si>
    <t>SO-KU/2610/260036</t>
  </si>
  <si>
    <t>NANA'S KITCHEN TANDOORI</t>
  </si>
  <si>
    <t>PAS0040</t>
  </si>
  <si>
    <t>Crr Rock'n Batter Skin On Fries 9x9mm 2.5 Kg</t>
  </si>
  <si>
    <t>SO-KU/2610/260037</t>
  </si>
  <si>
    <t>PSJ0027</t>
  </si>
  <si>
    <t>Iga Babi Super</t>
  </si>
  <si>
    <t>US prime -  6 loaf</t>
  </si>
  <si>
    <t>SO-KU/2610/260038</t>
  </si>
  <si>
    <t>KIRIM KE WARUNG MANIK GIANYAR</t>
  </si>
  <si>
    <t>PMS0130</t>
  </si>
  <si>
    <t>Masterista Syrup Classic Caramel 850ml</t>
  </si>
  <si>
    <t>PMS0131</t>
  </si>
  <si>
    <t>Masterista Syrup Tropical Lychee 850 Ml</t>
  </si>
  <si>
    <t>PMS0133</t>
  </si>
  <si>
    <t>Masterista Syrup Blue Lagoon 850ml</t>
  </si>
  <si>
    <t>SO-KU/2610/260039</t>
  </si>
  <si>
    <t>KULIDAN KITCHEN &amp; SPACE GIANYAR</t>
  </si>
  <si>
    <t>SO-KU/2610/260040</t>
  </si>
  <si>
    <t>UD. ZIO PANGAN JAYA</t>
  </si>
  <si>
    <t>PAA0004</t>
  </si>
  <si>
    <t>Bergold Pikant Mozzarella Block</t>
  </si>
  <si>
    <t>10 lup</t>
  </si>
  <si>
    <t>SO-KU/2610/260041</t>
  </si>
  <si>
    <t>JONI ARTAWAN SUPPLIER</t>
  </si>
  <si>
    <t>POS0025</t>
  </si>
  <si>
    <t>O Sole Doppio Concentrato Paste Tomato 2.2 Kg</t>
  </si>
  <si>
    <t>SO-KU/2610/260042</t>
  </si>
  <si>
    <t>LE CROISSANT UBUD</t>
  </si>
  <si>
    <t>SO-KU/2610/260043</t>
  </si>
  <si>
    <t>KARTANA SUPLAIYER</t>
  </si>
  <si>
    <t>POT0034</t>
  </si>
  <si>
    <t>Premium Straight Cut 6x2Kg</t>
  </si>
  <si>
    <t>SO-KU/2610/260044</t>
  </si>
  <si>
    <t>NAMICHAHO</t>
  </si>
  <si>
    <t>PMS0093</t>
  </si>
  <si>
    <t>Masterista Syrup Strawberry 850 Ml</t>
  </si>
  <si>
    <t>PMS0120</t>
  </si>
  <si>
    <t>Masterista Sweet Sauce Salted Caramel 500 Gr</t>
  </si>
  <si>
    <t>PMS0185</t>
  </si>
  <si>
    <t>Masterista Syrup Pistachio 850 Ml</t>
  </si>
  <si>
    <t>SO-KU/2610/260046</t>
  </si>
  <si>
    <t>SO-KU/2610/260047</t>
  </si>
  <si>
    <t>THE UDAYA RESORT</t>
  </si>
  <si>
    <t>PAS0027</t>
  </si>
  <si>
    <t>Maestro FF 10x10mm Straight Cut 10Kg/Ctn</t>
  </si>
  <si>
    <t>SO-KU/2610/260049</t>
  </si>
  <si>
    <t>PENINSULA BAY RESORT</t>
  </si>
  <si>
    <t>SO-KU/2610/260050</t>
  </si>
  <si>
    <t>PAA0001</t>
  </si>
  <si>
    <t>Bergold Mozzarella Block</t>
  </si>
  <si>
    <t>SO-KU/2610/260052</t>
  </si>
  <si>
    <t>SO-KU/2610/260054</t>
  </si>
  <si>
    <t>GOURMET GROCERIA BY PEPITO</t>
  </si>
  <si>
    <t>PMS0027</t>
  </si>
  <si>
    <t>Masterista Red Velvet Expecta 800Gr</t>
  </si>
  <si>
    <t>SO-KU/2610/260055</t>
  </si>
  <si>
    <t>MERCURE BALI LEGIAN</t>
  </si>
  <si>
    <t>SO-KU/2610/260057</t>
  </si>
  <si>
    <t>SO-KU/2610/260058</t>
  </si>
  <si>
    <t>HARSONO BOUTIQUE RESORT BALI</t>
  </si>
  <si>
    <t>PAS0037</t>
  </si>
  <si>
    <t>Crr Rock'n Super Crispy Jakets Spicy Wedges 2.5Kg</t>
  </si>
  <si>
    <t>SO-KU/2610/260059</t>
  </si>
  <si>
    <t>ALAS HARUM UBUD</t>
  </si>
  <si>
    <t>PIF0011</t>
  </si>
  <si>
    <t>Pristine Classic Whip Topping 1 Lt</t>
  </si>
  <si>
    <t>BAR CRETYA</t>
  </si>
  <si>
    <t>SO-KU/2610/260060</t>
  </si>
  <si>
    <t>FOLD CANGGU</t>
  </si>
  <si>
    <t>SO-KU/2610/260061</t>
  </si>
  <si>
    <t>KYOKA JAPANESE KITCHEN</t>
  </si>
  <si>
    <t>ASS-LY-TB50</t>
  </si>
  <si>
    <t>Lychee Tea @50TB/Box</t>
  </si>
  <si>
    <t>SO-KU/2610/260063</t>
  </si>
  <si>
    <t>PEA0010</t>
  </si>
  <si>
    <t>Gold Box Extra Butter MP341 1 Kg</t>
  </si>
  <si>
    <t>SO-KU/2610/260064</t>
  </si>
  <si>
    <t>ASS-EB-LP250</t>
  </si>
  <si>
    <t>English Breakfast @250gr/Pouch</t>
  </si>
  <si>
    <t xml:space="preserve">DOMES_x000D_
</t>
  </si>
  <si>
    <t>SO-KU/2610/260066</t>
  </si>
  <si>
    <t>INTERNASIONAL</t>
  </si>
  <si>
    <t>SO-KU/2610/260067</t>
  </si>
  <si>
    <t>INTE</t>
  </si>
  <si>
    <t>SO-KU/2610/260068</t>
  </si>
  <si>
    <t>POT0038</t>
  </si>
  <si>
    <t>Premium Straight Cut 2Kg</t>
  </si>
  <si>
    <t>SO-KU/2610/260069</t>
  </si>
  <si>
    <t>PQW0012</t>
  </si>
  <si>
    <t>IQF FF Shoestring 2.5 Kg/Pack</t>
  </si>
  <si>
    <t>PAS0041</t>
  </si>
  <si>
    <t>Maestro FF 10x10mm Straight Cut 2.5 Kg</t>
  </si>
  <si>
    <t>PAS0048</t>
  </si>
  <si>
    <t>Maestro FF Shoestring 7x7mm 2.5 Kg</t>
  </si>
  <si>
    <t>PAS0049</t>
  </si>
  <si>
    <t>Maestro Crincle Cut 2.5 Kg</t>
  </si>
  <si>
    <t>PKI0002</t>
  </si>
  <si>
    <t>Premium Crincle Cut Fries 2 Kg</t>
  </si>
  <si>
    <t>SO-KU/2610/260070</t>
  </si>
  <si>
    <t>DASH HOTEL SEMINYAK</t>
  </si>
  <si>
    <t>PMS0095</t>
  </si>
  <si>
    <t>Masterista Syrup Tropical Mango 850 Ml</t>
  </si>
  <si>
    <t>SO-KU/2610/260071</t>
  </si>
  <si>
    <t>MOVENPICK</t>
  </si>
  <si>
    <t>PAS0022</t>
  </si>
  <si>
    <t>Crr Rock'n Simply Crrrrips Straight Cut Fries 10 Kg/Ctn</t>
  </si>
  <si>
    <t>SO-KU/2610/260074</t>
  </si>
  <si>
    <t>PDM0002</t>
  </si>
  <si>
    <t>Armando Fettuccine 500 Gr/Pack</t>
  </si>
  <si>
    <t>SO-KU/2610/260075</t>
  </si>
  <si>
    <t>PAS0039</t>
  </si>
  <si>
    <t>Crr Rock'n Simply Crrrrips Straight Cut Fries 2.5 Kg</t>
  </si>
  <si>
    <t>SO-KU/2610/260077</t>
  </si>
  <si>
    <t>PEA0003</t>
  </si>
  <si>
    <t>Gold Box Melange Butter MP331</t>
  </si>
  <si>
    <t>SO-KU/2610/260078</t>
  </si>
  <si>
    <t>SRI RATIH COTTAGES</t>
  </si>
  <si>
    <t>SO-KU/2610/260079</t>
  </si>
  <si>
    <t>PMS0178</t>
  </si>
  <si>
    <t>Masterista Ceremonial Pure Matcha Powder 500 Gr</t>
  </si>
  <si>
    <t>SO-KU/2610/260080</t>
  </si>
  <si>
    <t>HILTON HOTEL</t>
  </si>
  <si>
    <t>SO-KU/2610/260081</t>
  </si>
  <si>
    <t>TAMBAHAN</t>
  </si>
  <si>
    <t>SO-KU/2610/260083</t>
  </si>
  <si>
    <t>SO-KU/2610/260084</t>
  </si>
  <si>
    <t>SO-KU/2610/260085</t>
  </si>
  <si>
    <t>SO-KU/2610/260086</t>
  </si>
  <si>
    <t>SO-KU/2610/260087</t>
  </si>
  <si>
    <t>SO-KU/2610/260091</t>
  </si>
  <si>
    <t>SO-KU/2610/260092</t>
  </si>
  <si>
    <t>SO-KU/2610/260093</t>
  </si>
  <si>
    <t>POS0026</t>
  </si>
  <si>
    <t>O Sole Olive Nere Denocciolate 4.1 Kg</t>
  </si>
  <si>
    <t>spc sby</t>
  </si>
  <si>
    <t>SO-KU/2610/260094</t>
  </si>
  <si>
    <t>SO-KU/2610/260095</t>
  </si>
  <si>
    <t>BERLIN GASTRO KITCHEN &amp; POOL BAR</t>
  </si>
  <si>
    <t>SO-KU/2610/260097</t>
  </si>
  <si>
    <t>PAS0026</t>
  </si>
  <si>
    <t>Crr Rock'n Batter Skin On Fries 9x9mm 10Kg/Ctn</t>
  </si>
  <si>
    <t>SO-KU/2610/260098</t>
  </si>
  <si>
    <t>ALILA HOTEL SEMINYAK</t>
  </si>
  <si>
    <t>SO-KU/2610/260099</t>
  </si>
  <si>
    <t>BAKERY PETIT PARIS (PT. CIPTA RASA MULTINDO)</t>
  </si>
  <si>
    <t>SO-KU/2610/260100</t>
  </si>
  <si>
    <t>SO-KU/2610/260101</t>
  </si>
  <si>
    <t>SO-KU/2610/260102</t>
  </si>
  <si>
    <t>GREEN GARDEN</t>
  </si>
  <si>
    <t>SO-KU/2610/260103</t>
  </si>
  <si>
    <t>GRAND MERCURE SEMINYAK</t>
  </si>
  <si>
    <t>SO-KU/2610/260104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</si>
  <si>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</si>
  <si>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</si>
  <si>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</si>
  <si>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</si>
  <si>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</si>
  <si>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SO-KU/2610/260106</t>
  </si>
  <si>
    <t>SO-KU/2610/260107</t>
  </si>
  <si>
    <t>PENJUALAN CASH</t>
  </si>
  <si>
    <t>DIAZ</t>
  </si>
  <si>
    <t>SO-KU/2610/260108</t>
  </si>
  <si>
    <t>PAS0053</t>
  </si>
  <si>
    <t>Crr Rock'n Waffle Fries 10Kg/Ctn</t>
  </si>
  <si>
    <t>SO-KU/2610/260109</t>
  </si>
  <si>
    <t>PIZZERIA ITALIA LABUAN SAIT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</si>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</sst>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2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22.363752777776" createdVersion="8" refreshedVersion="8" minRefreshableVersion="3" recordCount="356" xr:uid="{B08162B0-B817-4F23-B75B-9B8C0B32E189}">
  <cacheSource type="worksheet">
    <worksheetSource ref="A1:Q357" sheet="Sheet"/>
  </cacheSource>
  <cacheFields count="17">
    <cacheField name="Tgl Kirim" numFmtId="164">
      <sharedItems containsSemiMixedTypes="0" containsNonDate="0" containsDate="1" containsString="0" minDate="2026-10-27T00:00:00" maxDate="2026-10-28T00:00:00"/>
    </cacheField>
    <cacheField name="Tgl SO" numFmtId="164">
      <sharedItems containsSemiMixedTypes="0" containsNonDate="0" containsDate="1" containsString="0" minDate="2026-10-26T00:00:00" maxDate="2026-10-2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91">
        <s v="FUCINA ITALIA"/>
        <s v="RICE PADDY CAFE"/>
        <s v="ART CAFE BUMBU BALI"/>
        <s v="PT. KHARISMA ANUGRAH JAWARA ABADI (SAVAYA BALI)"/>
        <s v="BAGEL TO GO"/>
        <s v="NASI PERKEDEL PAK TELEM"/>
        <s v="LITTLE LIMA COFFEE"/>
        <s v="SAKARA COFFEE"/>
        <s v="MIDORI MATCHA"/>
        <s v="CENDOL TIS"/>
        <s v="KORI RESTAURANT"/>
        <s v="OMNI GYM &amp; WELLNESS"/>
        <s v="HUMBLE HEALTH CLUB"/>
        <s v="LA SANTANERA"/>
        <s v="TUI BLUE BERAWA HOTEL"/>
        <s v="BAREHEAT STUDIO"/>
        <s v="INDO BOGA PRIMA"/>
        <s v="AL'S COFFEE &amp; GELATO"/>
        <s v="ELOK CAFE ULUWATU"/>
        <s v="INDO BOGA  ABADI"/>
        <s v="INDO BOGA SEJAHTERA"/>
        <s v="PORK STAR RESTAURANT"/>
        <s v="INDO BOGA JAYA"/>
        <s v="INDO BOGA MAKMUR"/>
        <s v="COFFEE PHORA"/>
        <s v="AVIARI BISTRO"/>
        <s v="WILD HABIT PIZZERIA"/>
        <s v="ZIA TINA BALI"/>
        <s v="CV. NUTREAT INDONESIA"/>
        <s v="BAKED"/>
        <s v="LUMIRA BALI"/>
        <s v="THE LAGUNA"/>
        <s v="TOKO KONDRIANI"/>
        <s v="SHABURI KINTAN"/>
        <s v="TOKO PRANATA"/>
        <s v="PT. GANGSAR ARTA MULIA"/>
        <s v="PPTO MRKT SEMER"/>
        <s v="PEPITO FRESH MARKET PECATU GRAHA"/>
        <s v="PPTO EXP UMALAS"/>
        <s v="PPTO MRKT PELIATAN"/>
        <s v="KANESHIRO RESTAURANT"/>
        <s v="HARTONO RAYA MOTOR"/>
        <s v="CV BALI JAYA (TOKO BALI JAYA KUTA)"/>
        <s v="PT. LANGGENG KREASI JAYAPRIMA"/>
        <s v="NAUGHTY NURIS SEMINYAK"/>
        <s v="PT SNAK SNAKS INDONESIA (BALI ZOO)"/>
        <s v="YAKINIKU LIKE LIVING WORLD BALI"/>
        <s v="KIMUKATSU (PT BOGA MAKMUR DINASTI)"/>
        <s v="GURU RESTO"/>
        <s v="KOKOHEN FROZEN"/>
        <s v="VIVRE CATERING"/>
        <s v="PIPI BAKERY"/>
        <s v="LEGIAN BEACH HOTEL"/>
        <s v="MAYA SANUR"/>
        <s v="TAMAN DEDARI UBUD"/>
        <s v="ASKITCHEN RENON"/>
        <s v="CV. JASMINE EKA JAYA"/>
        <s v="NICO'S SMOKEHOUSE BBQ - CANGGU"/>
        <s v="LA TERAZA"/>
        <s v="FINNS BEACH CLUB"/>
        <s v="WARUNG LOKAL"/>
        <s v="SESEH PIZZA"/>
        <s v="MAE RESTO GIANYAR"/>
        <s v="LA CANTINE"/>
        <s v="KABAK BAKERY"/>
        <s v="GIGI SUSU"/>
        <s v="PT. TIBI MODERN SENTOSA (AMNAYA HOTEL)"/>
        <s v="THE FORGE"/>
        <s v="CV JARIMANIS ARDHI RAYA"/>
        <s v="ZERO 4 KARAOKE"/>
        <s v="STAKZ BAR &amp; GRILL"/>
        <s v="SUKU BEACH CLUB"/>
        <s v="BALI CATERING COMPANY"/>
        <s v="PADMA UBUD RESORT"/>
        <s v="BAMBU BALI ULUWATU"/>
        <s v="MITRA PANGAN"/>
        <s v="STHALA UBUD"/>
        <s v="PT. AYU SUKSES MAKMUR"/>
        <s v="PT. GRAHA ALAM LESTARI"/>
        <s v="PT. SSP TAURUS GEMILANG INDONESIA"/>
        <s v="PIZZA DUMPLING"/>
        <s v="THE BAKERS BISTRO"/>
        <s v="PT. ADIKARYA PANGAN FRESHINDO"/>
        <s v="GUNA N BUAH MUNGGU"/>
        <s v="HARMONY HEALTH AND WELNESS"/>
        <s v="NOURISH UNGASAN"/>
        <s v="THE WESTIN RESORT NUSA DUA"/>
        <s v="SAYAN POINT"/>
        <s v="AUTOGRILL"/>
        <s v="LA VIA EMILIA"/>
        <s v="GRAND HYATT NUSA DUA"/>
        <s v="YENY KITCHEN"/>
        <s v="W HOTEL"/>
        <s v="CONRAD HOTEL"/>
        <s v="ARTHA PUTRA WARDANA"/>
        <s v="WACKO PETITENGET"/>
        <s v="THE JUNCTION"/>
        <s v="SEMBRANI FOOD"/>
        <s v="BALI TROPIC RESORT &amp; SPA"/>
        <s v="PT. FASTFOOD INDONESIA (KFC GATSU TIMUR)"/>
        <s v="GEP'S DELI ( TOKO SURYANTI NUSA )"/>
        <s v="PT. SARI BURGER INDONESIA"/>
        <s v="PT. KREASI BALI PRIMA"/>
        <s v="DAS BISTRO"/>
        <s v="MAMAS GERMAN REST."/>
        <s v="INTERCONTINENTAL BALI RESORT"/>
        <s v="THE MAGANI HOTEL &amp; SPA"/>
        <s v="BREAD YARD"/>
        <s v="PLATINUM HOTEL JIMBARAN BEACH BAR"/>
        <s v="CV TROPICAL"/>
        <s v="PRONTO PIZZA"/>
        <s v="MERUSAKA NUSA DUA"/>
        <s v="STADIUM RESTAURANT"/>
        <s v="MAYA UBUD"/>
        <s v="UNO SANUR"/>
        <s v="OLLI BAKERY"/>
        <s v="CV. FENNY BERSAMA"/>
        <s v="ROYAL TULIP SPRINGHILL RESORT JIMBARAN"/>
        <s v="ARTE CANGGU"/>
        <s v="KANOA BALI"/>
        <s v="PT. SUMBER AGRI SEHAT"/>
        <s v="RENAISSANCE ULUWATU"/>
        <s v="ROOM FOR DESSERT"/>
        <s v="GOLA ITALIAN MARKET &amp; RESTAURANT"/>
        <s v="SUDAMALA RESORT SANUR"/>
        <s v="PISON BALI"/>
        <s v="THE SEGARA SEAVIEW SABA"/>
        <s v="MRS. SIPPY"/>
        <s v="THE BLUE DOOR"/>
        <s v="GROSIR MANGUSADA"/>
        <s v="RABBITHOLE BAKERY"/>
        <s v="METLAND VENYA UBUD"/>
        <s v="NYOMAN'S COFFEE"/>
        <s v="DODO PIZZA"/>
        <s v="ARTE UBUD"/>
        <s v="SUMAK TURKISH CUISINE UBUD"/>
        <s v="COURTYARD MARRIOT HOTEL"/>
        <s v="BALI MANDIRA"/>
        <s v="FRANKIES BAR AND GRILL"/>
        <s v="SENDOK WARUNG"/>
        <s v="PT. SOEJASCH BALI"/>
        <s v="TIS CAFE"/>
        <s v="PT. CIPTA RASA MULTINDO (PETIT PARIS BOULENGERIE B"/>
        <s v="BARO BAKERY PERERENAN"/>
        <s v="PHO MO BERAWA"/>
        <s v="BYD BIPO GIANYAR"/>
        <s v="FOUR SEASON RESORT BALI"/>
        <s v="MAMA BALI APART SUNNY II"/>
        <s v="LUMA CANGGU"/>
        <s v="MAHARAJA THE ROYAL DINING"/>
        <s v="KOJA PANTAI SANUR"/>
        <s v="SOOGUD COFFEE"/>
        <s v="RUANG SANTAI KOPI"/>
        <s v="OUTSID CAFE"/>
        <s v="WARUNG I MEME"/>
        <s v="WARUNG I MEME TSM"/>
        <s v="TIGA DJAYA"/>
        <s v="CENTRAL KITCHEN BALI"/>
        <s v="COFFEE CARTEL"/>
        <s v="METLAND SEVA SEMINYAK"/>
        <s v="TRATORIA AMED"/>
        <s v="BLUE SKYZ SPORT BAR"/>
        <s v="PT. GEMILANG KARYA KULINER (PLAGOO)"/>
        <s v="BAKERS CORNER TUBAN"/>
        <s v="NANA'S KITCHEN TANDOORI"/>
        <s v="KULIDAN KITCHEN &amp; SPACE GIANYAR"/>
        <s v="UD. ZIO PANGAN JAYA"/>
        <s v="JONI ARTAWAN SUPPLIER"/>
        <s v="LE CROISSANT UBUD"/>
        <s v="KARTANA SUPLAIYER"/>
        <s v="NAMICHAHO"/>
        <s v="THE UDAYA RESORT"/>
        <s v="PENINSULA BAY RESORT"/>
        <s v="GOURMET GROCERIA BY PEPITO"/>
        <s v="MERCURE BALI LEGIAN"/>
        <s v="HARSONO BOUTIQUE RESORT BALI"/>
        <s v="ALAS HARUM UBUD"/>
        <s v="FOLD CANGGU"/>
        <s v="KYOKA JAPANESE KITCHEN"/>
        <s v="DASH HOTEL SEMINYAK"/>
        <s v="MOVENPICK"/>
        <s v="SRI RATIH COTTAGES"/>
        <s v="HILTON HOTEL"/>
        <s v="BERLIN GASTRO KITCHEN &amp; POOL BAR"/>
        <s v="ALILA HOTEL SEMINYAK"/>
        <s v="BAKERY PETIT PARIS (PT. CIPTA RASA MULTINDO)"/>
        <s v="GREEN GARDEN"/>
        <s v="GRAND MERCURE SEMINYAK"/>
        <s v="KUTA PARADISO HOTEL"/>
        <s v="PENJUALAN CASH"/>
        <s v="PIZZERIA ITALIA LABUAN SAI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Dewi Kristiani"/>
        <s v="Wahyu"/>
        <s v="Juni"/>
        <s v="I Made Luih (Sanur)"/>
        <s v="NP3"/>
        <s v="Taufik"/>
        <s v="I MADE LUIH"/>
        <s v="Sujana"/>
        <s v="Monica"/>
        <s v="NP2"/>
        <s v="NP4"/>
        <s v="Ni Ketut Sriasih (MT)"/>
        <s v="NP1"/>
        <s v="NN Sujana"/>
        <s v="Ni Ketut Sriasih (GT)"/>
        <s v="Ronald"/>
        <s v="Picrom Stalyon"/>
        <s v="Wira"/>
        <s v="Management Bali"/>
        <s v="FIB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0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50505" maxValue="47879999.689999998"/>
    </cacheField>
    <cacheField name="BS-SO(Pcs)" numFmtId="165">
      <sharedItems containsSemiMixedTypes="0" containsString="0" containsNumber="1" minValue="-1500" maxValue="11.8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d v="2026-10-27T00:00:00"/>
    <d v="2026-10-26T00:00:00"/>
    <s v="SO-KS/2610/260002"/>
    <s v="MKS Bali"/>
    <x v="0"/>
    <x v="0"/>
    <x v="0"/>
    <s v="PSJ0228"/>
    <s v="Premium Minced Beef (2.5kg/pack)"/>
    <n v="5"/>
    <s v="KG"/>
    <n v="5"/>
    <n v="500000"/>
    <n v="0"/>
    <s v="Invoice"/>
    <s v="Sudah Jadi FJ"/>
    <s v=""/>
  </r>
  <r>
    <d v="2026-10-27T00:00:00"/>
    <d v="2026-10-26T00:00:00"/>
    <s v="SO-KS/2610/260003"/>
    <s v="MKS Bali"/>
    <x v="1"/>
    <x v="1"/>
    <x v="1"/>
    <s v="120007"/>
    <s v="Tepung Double Zero 1kg/pack"/>
    <n v="10"/>
    <s v="KG"/>
    <n v="10"/>
    <n v="166500"/>
    <n v="0"/>
    <s v="Invoice"/>
    <s v="Sudah Jadi FJ"/>
    <s v=""/>
  </r>
  <r>
    <d v="2026-10-27T00:00:00"/>
    <d v="2026-10-26T00:00:00"/>
    <s v="SO-KS/2610/260004"/>
    <s v="MKS Bali"/>
    <x v="2"/>
    <x v="1"/>
    <x v="2"/>
    <s v="PSJ0011"/>
    <s v="Chuck Tenderloin Whole"/>
    <n v="15"/>
    <s v="KG"/>
    <n v="13.88"/>
    <n v="2012600"/>
    <n v="-1.1200000000000001"/>
    <s v="Invoice"/>
    <s v="Sudah Jadi FJ"/>
    <s v=""/>
  </r>
  <r>
    <d v="2026-10-27T00:00:00"/>
    <d v="2026-10-26T00:00:00"/>
    <s v="SO-KS/2610/260005"/>
    <s v="MKS Bali"/>
    <x v="3"/>
    <x v="0"/>
    <x v="2"/>
    <s v="120015"/>
    <s v="Tepung Japanese Tempura 1kg/pack"/>
    <n v="30"/>
    <s v="KG"/>
    <n v="30"/>
    <n v="1088910"/>
    <n v="0"/>
    <s v="Invoice"/>
    <s v="Sudah Jadi FJ"/>
    <s v=""/>
  </r>
  <r>
    <d v="2026-10-27T00:00:00"/>
    <d v="2026-10-26T00:00:00"/>
    <s v="SO-KS/2610/260006"/>
    <s v="MKS Bali"/>
    <x v="4"/>
    <x v="1"/>
    <x v="3"/>
    <s v="SFM009"/>
    <s v="Tepung Hime @25Kg/Sack"/>
    <n v="15"/>
    <s v="SACK"/>
    <n v="15"/>
    <n v="4574999.92"/>
    <n v="0"/>
    <s v="Invoice"/>
    <s v="Sudah Jadi FJ"/>
    <s v=""/>
  </r>
  <r>
    <d v="2026-10-27T00:00:00"/>
    <d v="2026-10-26T00:00:00"/>
    <s v="SO-KS/2610/260007"/>
    <s v="MKS Bali"/>
    <x v="4"/>
    <x v="1"/>
    <x v="3"/>
    <s v="SFM009"/>
    <s v="Tepung Hime @25Kg/Sack"/>
    <n v="5"/>
    <s v="SACK"/>
    <n v="5"/>
    <n v="1524999.97"/>
    <n v="0"/>
    <s v="Invoice"/>
    <s v="Sudah Jadi FJ"/>
    <s v=" kirim ke oultet sanur"/>
  </r>
  <r>
    <d v="2026-10-27T00:00:00"/>
    <d v="2026-10-26T00:00:00"/>
    <s v="SO-KS/2610/260008"/>
    <s v="MKS Bali"/>
    <x v="5"/>
    <x v="1"/>
    <x v="4"/>
    <s v="060019"/>
    <s v="Nestle Orange Pouch NP 560gr/Pack"/>
    <n v="10"/>
    <s v="PACK"/>
    <n v="10"/>
    <n v="541000.02"/>
    <n v="0"/>
    <s v="Invoice"/>
    <s v="Sudah Jadi FJ"/>
    <s v=""/>
  </r>
  <r>
    <d v="2026-10-27T00:00:00"/>
    <d v="2026-10-26T00:00:00"/>
    <s v="SO-KS/2610/260008"/>
    <s v="MKS Bali"/>
    <x v="5"/>
    <x v="1"/>
    <x v="4"/>
    <s v="060013"/>
    <s v="Nestea Lemon Tea 1kg/Pack"/>
    <n v="5"/>
    <s v="PACK"/>
    <n v="5"/>
    <n v="321000.01"/>
    <n v="0"/>
    <s v="Invoice"/>
    <s v="Sudah Jadi FJ"/>
    <s v=""/>
  </r>
  <r>
    <d v="2026-10-27T00:00:00"/>
    <d v="2026-10-26T00:00:00"/>
    <s v="SO-KS/2610/260009"/>
    <s v="MKS Bali"/>
    <x v="6"/>
    <x v="1"/>
    <x v="5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010"/>
    <s v="MKS Bali"/>
    <x v="7"/>
    <x v="1"/>
    <x v="6"/>
    <s v="PLN0005"/>
    <s v="RICH CRÈME ND 08 1000G POUCH"/>
    <n v="12"/>
    <s v="POU"/>
    <n v="12"/>
    <n v="702000.1"/>
    <n v="0"/>
    <s v="Invoice"/>
    <s v="Sudah Jadi FJ"/>
    <s v=""/>
  </r>
  <r>
    <d v="2026-10-27T00:00:00"/>
    <d v="2026-10-26T00:00:00"/>
    <s v="SO-KS/2610/260011"/>
    <s v="MKS Bali"/>
    <x v="8"/>
    <x v="1"/>
    <x v="0"/>
    <s v="080240"/>
    <s v="THE ALTERNATIVE Barista Oat Milk 1 Lt"/>
    <n v="24"/>
    <s v="PCS"/>
    <n v="24"/>
    <n v="1212120"/>
    <n v="0"/>
    <s v="Invoice"/>
    <s v="Sudah Jadi FJ"/>
    <s v="di kirim langsung ke umalas canggu"/>
  </r>
  <r>
    <d v="2026-10-27T00:00:00"/>
    <d v="2026-10-26T00:00:00"/>
    <s v="SO-KS/2610/260012"/>
    <s v="MKS Bali"/>
    <x v="9"/>
    <x v="1"/>
    <x v="6"/>
    <s v="PLN0004"/>
    <s v="RICH CRÈME ND 01 1000G POUCH"/>
    <n v="12"/>
    <s v="POU"/>
    <n v="12"/>
    <n v="785880"/>
    <n v="0"/>
    <s v="Invoice"/>
    <s v="Sudah Jadi FJ"/>
    <s v=""/>
  </r>
  <r>
    <d v="2026-10-27T00:00:00"/>
    <d v="2026-10-26T00:00:00"/>
    <s v="SO-KS/2610/260014"/>
    <s v="MKS Bali"/>
    <x v="10"/>
    <x v="0"/>
    <x v="1"/>
    <s v="PSJ0187"/>
    <s v="Borello Topside"/>
    <n v="2"/>
    <s v="KG"/>
    <n v="13.82"/>
    <n v="2349400"/>
    <n v="11.82"/>
    <s v="Invoice"/>
    <s v="Sudah Jadi FJ"/>
    <s v="1 loaf"/>
  </r>
  <r>
    <d v="2026-10-27T00:00:00"/>
    <d v="2026-10-26T00:00:00"/>
    <s v="SO-KS/2610/260021"/>
    <s v="MKS Bali"/>
    <x v="11"/>
    <x v="0"/>
    <x v="5"/>
    <s v="PLN0003"/>
    <s v="ELLENKA BARISTA COCONUT MILK 1000ML APL"/>
    <n v="12"/>
    <s v="PACK"/>
    <n v="12"/>
    <n v="506160"/>
    <n v="0"/>
    <s v="Invoice"/>
    <s v="Sudah Jadi FJ"/>
    <s v=""/>
  </r>
  <r>
    <d v="2026-10-27T00:00:00"/>
    <d v="2026-10-26T00:00:00"/>
    <s v="SO-KS/2610/260022"/>
    <s v="MKS Bali"/>
    <x v="12"/>
    <x v="1"/>
    <x v="5"/>
    <s v="080240"/>
    <s v="THE ALTERNATIVE Barista Oat Milk 1 Lt"/>
    <n v="12"/>
    <s v="PCS"/>
    <n v="12"/>
    <n v="606060"/>
    <n v="0"/>
    <s v="Invoice"/>
    <s v="Sudah Jadi FJ"/>
    <s v=""/>
  </r>
  <r>
    <d v="2026-10-27T00:00:00"/>
    <d v="2026-10-26T00:00:00"/>
    <s v="SO-KS/2610/260023"/>
    <s v="MKS Bali"/>
    <x v="13"/>
    <x v="0"/>
    <x v="5"/>
    <s v="SFM009"/>
    <s v="Tepung Hime @25Kg/Sack"/>
    <n v="1"/>
    <s v="SACK"/>
    <n v="1"/>
    <n v="355200"/>
    <n v="0"/>
    <s v="Invoice"/>
    <s v="Sudah Jadi FJ"/>
    <s v=""/>
  </r>
  <r>
    <d v="2026-10-27T00:00:00"/>
    <d v="2026-10-26T00:00:00"/>
    <s v="SO-KS/2610/260024"/>
    <s v="MKS Bali"/>
    <x v="14"/>
    <x v="0"/>
    <x v="0"/>
    <s v="PSF0014"/>
    <s v="Tepung 00 Fusion @25Kg"/>
    <n v="4"/>
    <s v="SACK"/>
    <n v="4"/>
    <n v="1180000.02"/>
    <n v="0"/>
    <s v="Invoice"/>
    <s v="Sudah Jadi FJ"/>
    <s v=""/>
  </r>
  <r>
    <d v="2026-10-27T00:00:00"/>
    <d v="2026-10-26T00:00:00"/>
    <s v="SO-KS/2610/260025"/>
    <s v="MKS Bali"/>
    <x v="15"/>
    <x v="1"/>
    <x v="5"/>
    <s v="PLN0003"/>
    <s v="ELLENKA BARISTA COCONUT MILK 1000ML APL"/>
    <n v="6"/>
    <s v="PACK"/>
    <n v="6"/>
    <n v="253080"/>
    <n v="0"/>
    <s v="Invoice"/>
    <s v="Sudah Jadi FJ"/>
    <s v=""/>
  </r>
  <r>
    <d v="2026-10-27T00:00:00"/>
    <d v="2026-10-26T00:00:00"/>
    <s v="SO-KS/2610/260026"/>
    <s v="MKS Bali"/>
    <x v="16"/>
    <x v="0"/>
    <x v="0"/>
    <s v="PSF0014"/>
    <s v="Tepung 00 Fusion @25Kg"/>
    <n v="10"/>
    <s v="SACK"/>
    <n v="10"/>
    <n v="2899999.99"/>
    <n v="0"/>
    <s v="Invoice"/>
    <s v="Sudah Jadi FJ"/>
    <s v=""/>
  </r>
  <r>
    <d v="2026-10-27T00:00:00"/>
    <d v="2026-10-26T00:00:00"/>
    <s v="SO-KS/2610/260027"/>
    <s v="MKS Bali"/>
    <x v="17"/>
    <x v="1"/>
    <x v="0"/>
    <s v="120007"/>
    <s v="Tepung Double Zero 1kg/pack"/>
    <n v="20"/>
    <s v="KG"/>
    <n v="20"/>
    <n v="333000"/>
    <n v="0"/>
    <s v="Invoice"/>
    <s v="Sudah Jadi FJ"/>
    <s v=""/>
  </r>
  <r>
    <d v="2026-10-27T00:00:00"/>
    <d v="2026-10-26T00:00:00"/>
    <s v="SO-KS/2610/260029"/>
    <s v="MKS Bali"/>
    <x v="18"/>
    <x v="1"/>
    <x v="2"/>
    <s v="080239"/>
    <s v="THE ALTERNATIVE Barista Soy Milk 1 Lt"/>
    <n v="6"/>
    <s v="PCS"/>
    <n v="6"/>
    <n v="269730"/>
    <n v="0"/>
    <s v="Invoice"/>
    <s v="Sudah Jadi FJ"/>
    <s v=""/>
  </r>
  <r>
    <d v="2026-10-27T00:00:00"/>
    <d v="2026-10-26T00:00:00"/>
    <s v="SO-KS/2610/260029"/>
    <s v="MKS Bali"/>
    <x v="18"/>
    <x v="1"/>
    <x v="2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029"/>
    <s v="MKS Bali"/>
    <x v="18"/>
    <x v="1"/>
    <x v="2"/>
    <s v="PLN0003"/>
    <s v="ELLENKA BARISTA COCONUT MILK 1000ML APL"/>
    <n v="6"/>
    <s v="PACK"/>
    <n v="6"/>
    <n v="253080"/>
    <n v="0"/>
    <s v="Invoice"/>
    <s v="Sudah Jadi FJ"/>
    <s v=""/>
  </r>
  <r>
    <d v="2026-10-27T00:00:00"/>
    <d v="2026-10-26T00:00:00"/>
    <s v="SO-KS/2610/260030"/>
    <s v="MKS Bali"/>
    <x v="19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032"/>
    <s v="MKS Bali"/>
    <x v="20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033"/>
    <s v="MKS Bali"/>
    <x v="21"/>
    <x v="1"/>
    <x v="7"/>
    <s v="POT0781"/>
    <s v="Tiparos Fish Sauce 4500 Ml"/>
    <n v="2"/>
    <s v="JRG"/>
    <n v="2"/>
    <n v="355200"/>
    <n v="0"/>
    <s v="Invoice"/>
    <s v="Sudah Jadi FJ"/>
    <s v=""/>
  </r>
  <r>
    <d v="2026-10-27T00:00:00"/>
    <d v="2026-10-26T00:00:00"/>
    <s v="SO-KS/2610/260034"/>
    <s v="MKS Bali"/>
    <x v="22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035"/>
    <s v="MKS Bali"/>
    <x v="23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036"/>
    <s v="MKS Bali"/>
    <x v="24"/>
    <x v="1"/>
    <x v="7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037"/>
    <s v="MKS Bali"/>
    <x v="25"/>
    <x v="0"/>
    <x v="7"/>
    <s v="PSJ0046"/>
    <s v="Allana Tenderloin Whole"/>
    <n v="2"/>
    <s v="KG"/>
    <n v="1.54"/>
    <n v="308000"/>
    <n v="-0.46"/>
    <s v="Invoice"/>
    <s v="Sudah Jadi FJ"/>
    <s v=""/>
  </r>
  <r>
    <d v="2026-10-27T00:00:00"/>
    <d v="2026-10-26T00:00:00"/>
    <s v="SO-KS/2610/260038"/>
    <s v="MKS Bali"/>
    <x v="26"/>
    <x v="0"/>
    <x v="7"/>
    <s v="SFM052"/>
    <s v="Inofa Heat Treated Wheat Flour SF 346 @25kg/sack"/>
    <n v="1"/>
    <s v="SACK"/>
    <n v="1"/>
    <n v="600000.01"/>
    <n v="0"/>
    <s v="Invoice"/>
    <s v="Sudah Jadi FJ"/>
    <s v=""/>
  </r>
  <r>
    <d v="2026-10-27T00:00:00"/>
    <d v="2026-10-26T00:00:00"/>
    <s v="SO-KS/2610/260039"/>
    <s v="MKS Bali"/>
    <x v="27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047"/>
    <s v="MKS Bali"/>
    <x v="28"/>
    <x v="1"/>
    <x v="6"/>
    <s v="PMA0003"/>
    <s v="Compound Parrot 1Kg/pack"/>
    <n v="12"/>
    <s v="PACK"/>
    <n v="12"/>
    <n v="707999.96"/>
    <n v="0"/>
    <s v="Invoice"/>
    <s v="Sudah Jadi FJ"/>
    <s v=""/>
  </r>
  <r>
    <d v="2026-10-27T00:00:00"/>
    <d v="2026-10-26T00:00:00"/>
    <s v="SO-KS/2610/260048"/>
    <s v="MKS Bali"/>
    <x v="29"/>
    <x v="0"/>
    <x v="0"/>
    <s v="PLN0009"/>
    <s v="WELLINGTON PRO 25KG PP BAG"/>
    <n v="1"/>
    <s v="BAG"/>
    <n v="1"/>
    <n v="1500000.01"/>
    <n v="0"/>
    <s v="Invoice"/>
    <s v="Sudah Jadi FJ"/>
    <s v=""/>
  </r>
  <r>
    <d v="2026-10-27T00:00:00"/>
    <d v="2026-10-26T00:00:00"/>
    <s v="SO-KS/2610/260050"/>
    <s v="MKS Bali"/>
    <x v="30"/>
    <x v="1"/>
    <x v="4"/>
    <s v="060018"/>
    <s v="Nestle Lemonade Original 640gr/Pack"/>
    <n v="48"/>
    <s v="PACK"/>
    <n v="48"/>
    <n v="2596800.0699999998"/>
    <n v="0"/>
    <s v="Invoice"/>
    <s v="Sudah Jadi FJ"/>
    <s v=""/>
  </r>
  <r>
    <d v="2026-10-27T00:00:00"/>
    <d v="2026-10-26T00:00:00"/>
    <s v="SO-KS/2610/260053"/>
    <s v="MKS Bali"/>
    <x v="31"/>
    <x v="0"/>
    <x v="8"/>
    <s v="PPA0092"/>
    <s v="Emborg Pizza Topping 2.3 Kg"/>
    <n v="4.5999999999999996"/>
    <s v="KG"/>
    <n v="4.5999999999999996"/>
    <n v="460000.05"/>
    <n v="0"/>
    <s v="Invoice"/>
    <s v="Sudah Jadi FJ"/>
    <s v=""/>
  </r>
  <r>
    <d v="2026-10-27T00:00:00"/>
    <d v="2026-10-26T00:00:00"/>
    <s v="SO-KS/2610/260059"/>
    <s v="MKS Bali"/>
    <x v="32"/>
    <x v="1"/>
    <x v="9"/>
    <s v="300098"/>
    <s v="MAGGI Seasoning @800ml/Btl"/>
    <n v="30"/>
    <s v="BTL"/>
    <n v="30"/>
    <n v="2083500.08"/>
    <n v="0"/>
    <s v="Invoice"/>
    <s v="Sudah Jadi FJ"/>
    <s v=""/>
  </r>
  <r>
    <d v="2026-10-27T00:00:00"/>
    <d v="2026-10-26T00:00:00"/>
    <s v="SO-KS/2610/260060"/>
    <s v="MKS Bali"/>
    <x v="33"/>
    <x v="0"/>
    <x v="10"/>
    <s v="060018"/>
    <s v="Nestle Lemonade Original 640gr/Pack"/>
    <n v="12"/>
    <s v="PACK"/>
    <n v="12"/>
    <n v="649200.02"/>
    <n v="0"/>
    <s v="Invoice"/>
    <s v="Sudah Jadi FJ"/>
    <s v=""/>
  </r>
  <r>
    <d v="2026-10-27T00:00:00"/>
    <d v="2026-10-26T00:00:00"/>
    <s v="SO-KS/2610/260060"/>
    <s v="MKS Bali"/>
    <x v="33"/>
    <x v="0"/>
    <x v="10"/>
    <s v="060019"/>
    <s v="Nestle Orange Pouch NP 560gr/Pack"/>
    <n v="12"/>
    <s v="PACK"/>
    <n v="12"/>
    <n v="649200.01"/>
    <n v="0"/>
    <s v="Invoice"/>
    <s v="Sudah Jadi FJ"/>
    <s v=""/>
  </r>
  <r>
    <d v="2026-10-27T00:00:00"/>
    <d v="2026-10-26T00:00:00"/>
    <s v="SO-KS/2610/260060"/>
    <s v="MKS Bali"/>
    <x v="33"/>
    <x v="0"/>
    <x v="10"/>
    <s v="060004"/>
    <s v="Nescafe Cappuccino Caramel Era 500gr/Pack"/>
    <n v="10"/>
    <s v="PACK"/>
    <n v="10"/>
    <n v="630999.99"/>
    <n v="0"/>
    <s v="Invoice"/>
    <s v="Sudah Jadi FJ"/>
    <s v=""/>
  </r>
  <r>
    <d v="2026-10-27T00:00:00"/>
    <d v="2026-10-26T00:00:00"/>
    <s v="SO-KS/2610/260060"/>
    <s v="MKS Bali"/>
    <x v="33"/>
    <x v="0"/>
    <x v="10"/>
    <s v="060013"/>
    <s v="Nestea Lemon Tea 1kg/Pack"/>
    <n v="12"/>
    <s v="PACK"/>
    <n v="12"/>
    <n v="770400.03"/>
    <n v="0"/>
    <s v="Invoice"/>
    <s v="Sudah Jadi FJ"/>
    <s v=""/>
  </r>
  <r>
    <d v="2026-10-27T00:00:00"/>
    <d v="2026-10-26T00:00:00"/>
    <s v="SO-KS/2610/260060"/>
    <s v="MKS Bali"/>
    <x v="33"/>
    <x v="0"/>
    <x v="10"/>
    <s v="060017"/>
    <s v="Nestle Blackcurrant Drink 750gr/Pack"/>
    <n v="16"/>
    <s v="PACK"/>
    <n v="16"/>
    <n v="1089599.98"/>
    <n v="0"/>
    <s v="Invoice"/>
    <s v="Sudah Jadi FJ"/>
    <s v=""/>
  </r>
  <r>
    <d v="2026-10-27T00:00:00"/>
    <d v="2026-10-26T00:00:00"/>
    <s v="SO-KS/2610/260061"/>
    <s v="MKS Bali"/>
    <x v="34"/>
    <x v="1"/>
    <x v="9"/>
    <s v="300098"/>
    <s v="MAGGI Seasoning @800ml/Btl"/>
    <n v="12"/>
    <s v="BTL"/>
    <n v="12"/>
    <n v="833400.03"/>
    <n v="0"/>
    <s v="Invoice"/>
    <s v="Sudah Jadi FJ"/>
    <s v=""/>
  </r>
  <r>
    <d v="2026-10-27T00:00:00"/>
    <d v="2026-10-26T00:00:00"/>
    <s v="SO-KS/2610/260062"/>
    <s v="MKS Bali"/>
    <x v="33"/>
    <x v="0"/>
    <x v="1"/>
    <s v="120015"/>
    <s v="Tepung Japanese Tempura 1kg/pack"/>
    <n v="10"/>
    <s v="KG"/>
    <n v="10"/>
    <n v="371850"/>
    <n v="0"/>
    <s v="Invoice"/>
    <s v="Sudah Jadi FJ"/>
    <s v=""/>
  </r>
  <r>
    <d v="2026-10-27T00:00:00"/>
    <d v="2026-10-26T00:00:00"/>
    <s v="SO-KS/2610/260063"/>
    <s v="MKS Bali"/>
    <x v="35"/>
    <x v="0"/>
    <x v="10"/>
    <s v="020020"/>
    <s v="NESTLE Milo Activ-Go NPro 960Gr/Pack"/>
    <n v="480"/>
    <s v="PACK"/>
    <n v="480"/>
    <n v="47879999.689999998"/>
    <n v="0"/>
    <s v="Invoice"/>
    <s v="Sudah Jadi FJ"/>
    <s v="kirim ke gudang baru"/>
  </r>
  <r>
    <d v="2026-10-27T00:00:00"/>
    <d v="2026-10-26T00:00:00"/>
    <s v="SO-KS/2610/260064"/>
    <s v="MKS Bali"/>
    <x v="36"/>
    <x v="0"/>
    <x v="11"/>
    <s v="120018"/>
    <s v="Tepung Ninja 1kg/pack"/>
    <n v="20"/>
    <s v="KG"/>
    <n v="20"/>
    <n v="361860"/>
    <n v="0"/>
    <s v="Invoice"/>
    <s v="Sudah Jadi FJ"/>
    <s v=""/>
  </r>
  <r>
    <d v="2026-10-27T00:00:00"/>
    <d v="2026-10-26T00:00:00"/>
    <s v="SO-KS/2610/260064"/>
    <s v="MKS Bali"/>
    <x v="36"/>
    <x v="0"/>
    <x v="11"/>
    <s v="120007"/>
    <s v="Tepung Double Zero 1kg/pack"/>
    <n v="20"/>
    <s v="KG"/>
    <n v="20"/>
    <n v="372960"/>
    <n v="0"/>
    <s v="Invoice"/>
    <s v="Sudah Jadi FJ"/>
    <s v=""/>
  </r>
  <r>
    <d v="2026-10-27T00:00:00"/>
    <d v="2026-10-26T00:00:00"/>
    <s v="SO-KS/2610/260065"/>
    <s v="MKS Bali"/>
    <x v="37"/>
    <x v="0"/>
    <x v="11"/>
    <s v="120018"/>
    <s v="Tepung Ninja 1kg/pack"/>
    <n v="20"/>
    <s v="KG"/>
    <n v="20"/>
    <n v="361860"/>
    <n v="0"/>
    <s v="Invoice"/>
    <s v="Sudah Jadi FJ"/>
    <s v=""/>
  </r>
  <r>
    <d v="2026-10-27T00:00:00"/>
    <d v="2026-10-26T00:00:00"/>
    <s v="SO-KS/2610/260065"/>
    <s v="MKS Bali"/>
    <x v="37"/>
    <x v="0"/>
    <x v="11"/>
    <s v="120007"/>
    <s v="Tepung Double Zero 1kg/pack"/>
    <n v="20"/>
    <s v="KG"/>
    <n v="20"/>
    <n v="372960"/>
    <n v="0"/>
    <s v="Invoice"/>
    <s v="Sudah Jadi FJ"/>
    <s v=""/>
  </r>
  <r>
    <d v="2026-10-27T00:00:00"/>
    <d v="2026-10-26T00:00:00"/>
    <s v="SO-KS/2610/260066"/>
    <s v="MKS Bali"/>
    <x v="38"/>
    <x v="0"/>
    <x v="11"/>
    <s v="120007"/>
    <s v="Tepung Double Zero 1kg/pack"/>
    <n v="20"/>
    <s v="KG"/>
    <n v="20"/>
    <n v="372960"/>
    <n v="0"/>
    <s v="Invoice"/>
    <s v="Sudah Jadi FJ"/>
    <s v=""/>
  </r>
  <r>
    <d v="2026-10-27T00:00:00"/>
    <d v="2026-10-26T00:00:00"/>
    <s v="SO-KS/2610/260066"/>
    <s v="MKS Bali"/>
    <x v="38"/>
    <x v="0"/>
    <x v="11"/>
    <s v="120018"/>
    <s v="Tepung Ninja 1kg/pack"/>
    <n v="20"/>
    <s v="KG"/>
    <n v="20"/>
    <n v="361860"/>
    <n v="0"/>
    <s v="Invoice"/>
    <s v="Sudah Jadi FJ"/>
    <s v=""/>
  </r>
  <r>
    <d v="2026-10-27T00:00:00"/>
    <d v="2026-10-26T00:00:00"/>
    <s v="SO-KS/2610/260067"/>
    <s v="MKS Bali"/>
    <x v="39"/>
    <x v="0"/>
    <x v="11"/>
    <s v="120018"/>
    <s v="Tepung Ninja 1kg/pack"/>
    <n v="20"/>
    <s v="KG"/>
    <n v="20"/>
    <n v="361860"/>
    <n v="0"/>
    <s v="Invoice"/>
    <s v="Sudah Jadi FJ"/>
    <s v=""/>
  </r>
  <r>
    <d v="2026-10-27T00:00:00"/>
    <d v="2026-10-26T00:00:00"/>
    <s v="SO-KS/2610/260068"/>
    <s v="MKS Bali"/>
    <x v="40"/>
    <x v="0"/>
    <x v="4"/>
    <s v="060013"/>
    <s v="Nestea Lemon Tea 1kg/Pack"/>
    <n v="13"/>
    <s v="PACK"/>
    <n v="13"/>
    <n v="834600.03"/>
    <n v="0"/>
    <s v="Invoice"/>
    <s v="Sudah Jadi FJ"/>
    <s v=""/>
  </r>
  <r>
    <d v="2026-10-27T00:00:00"/>
    <d v="2026-10-26T00:00:00"/>
    <s v="SO-KS/2610/260068"/>
    <s v="MKS Bali"/>
    <x v="40"/>
    <x v="0"/>
    <x v="4"/>
    <s v="060018"/>
    <s v="Nestle Lemonade Original 640gr/Pack"/>
    <n v="12"/>
    <s v="PACK"/>
    <n v="12"/>
    <n v="649200.02"/>
    <n v="0"/>
    <s v="Invoice"/>
    <s v="Sudah Jadi FJ"/>
    <s v=""/>
  </r>
  <r>
    <d v="2026-10-27T00:00:00"/>
    <d v="2026-10-26T00:00:00"/>
    <s v="SO-KS/2610/260071"/>
    <s v="MKS Bali"/>
    <x v="41"/>
    <x v="1"/>
    <x v="12"/>
    <s v="060004"/>
    <s v="Nescafe Cappuccino Caramel Era 500gr/Pack"/>
    <n v="3"/>
    <s v="PACK"/>
    <n v="3"/>
    <n v="189300"/>
    <n v="0"/>
    <s v="Invoice"/>
    <s v="Sudah Jadi FJ"/>
    <s v=""/>
  </r>
  <r>
    <d v="2026-10-27T00:00:00"/>
    <d v="2026-10-26T00:00:00"/>
    <s v="SO-KS/2610/260071"/>
    <s v="MKS Bali"/>
    <x v="41"/>
    <x v="1"/>
    <x v="12"/>
    <s v="060009"/>
    <s v="Nescafe Latte 500gr/Pack"/>
    <n v="3"/>
    <s v="PACK"/>
    <n v="3"/>
    <n v="180900"/>
    <n v="0"/>
    <s v="Invoice"/>
    <s v="Sudah Jadi FJ"/>
    <s v=""/>
  </r>
  <r>
    <d v="2026-10-27T00:00:00"/>
    <d v="2026-10-26T00:00:00"/>
    <s v="SO-KS/2610/260072"/>
    <s v="MKS Bali"/>
    <x v="42"/>
    <x v="1"/>
    <x v="9"/>
    <s v="300098"/>
    <s v="MAGGI Seasoning @800ml/Btl"/>
    <n v="60"/>
    <s v="BTL"/>
    <n v="60"/>
    <n v="4041990.15"/>
    <n v="0"/>
    <s v="Invoice"/>
    <s v="Sudah Jadi FJ"/>
    <s v=""/>
  </r>
  <r>
    <d v="2026-10-27T00:00:00"/>
    <d v="2026-10-26T00:00:00"/>
    <s v="SO-KS/2610/260073"/>
    <s v="MKS Bali"/>
    <x v="43"/>
    <x v="0"/>
    <x v="12"/>
    <s v="060090"/>
    <s v="Sjora Mango Peach Concentrate 1Liter/Pack"/>
    <n v="12"/>
    <s v="PACK"/>
    <n v="12"/>
    <n v="1345800.05"/>
    <n v="0"/>
    <s v="Invoice"/>
    <s v="Sudah Jadi FJ"/>
    <s v=""/>
  </r>
  <r>
    <d v="2026-10-27T00:00:00"/>
    <d v="2026-10-26T00:00:00"/>
    <s v="SO-KS/2610/260073"/>
    <s v="MKS Bali"/>
    <x v="43"/>
    <x v="0"/>
    <x v="12"/>
    <s v="020020"/>
    <s v="NESTLE Milo Activ-Go NPro 960Gr/Pack"/>
    <n v="16"/>
    <s v="PACK"/>
    <n v="16"/>
    <n v="1680000.1"/>
    <n v="0"/>
    <s v="Invoice"/>
    <s v="Sudah Jadi FJ"/>
    <s v=""/>
  </r>
  <r>
    <d v="2026-10-27T00:00:00"/>
    <d v="2026-10-26T00:00:00"/>
    <s v="SO-KS/2610/260074"/>
    <s v="MKS Bali"/>
    <x v="44"/>
    <x v="0"/>
    <x v="4"/>
    <s v="300096"/>
    <s v="MAGGI Chicken Powder @1kg/Pack"/>
    <n v="12"/>
    <s v="PACK"/>
    <n v="12"/>
    <n v="1050599.95"/>
    <n v="0"/>
    <s v="Invoice"/>
    <s v="Sudah Jadi FJ"/>
    <s v="PENERIMAAN BARANG DARI JAM 09.00-13.00"/>
  </r>
  <r>
    <d v="2026-10-27T00:00:00"/>
    <d v="2026-10-26T00:00:00"/>
    <s v="SO-KS/2610/260076"/>
    <s v="MKS Bali"/>
    <x v="45"/>
    <x v="0"/>
    <x v="12"/>
    <s v="060017"/>
    <s v="Nestle Blackcurrant Drink 750gr/Pack"/>
    <n v="32"/>
    <s v="PACK"/>
    <n v="32"/>
    <n v="2379840"/>
    <n v="0"/>
    <s v="Invoice"/>
    <s v="Sudah Jadi FJ"/>
    <s v=""/>
  </r>
  <r>
    <d v="2026-10-27T00:00:00"/>
    <d v="2026-10-26T00:00:00"/>
    <s v="SO-KS/2610/260076"/>
    <s v="MKS Bali"/>
    <x v="45"/>
    <x v="0"/>
    <x v="12"/>
    <s v="060019"/>
    <s v="Nestle Orange Pouch NP 560gr/Pack"/>
    <n v="24"/>
    <s v="PACK"/>
    <n v="24"/>
    <n v="1425240"/>
    <n v="0"/>
    <s v="Invoice"/>
    <s v="Sudah Jadi FJ"/>
    <s v=""/>
  </r>
  <r>
    <d v="2026-10-27T00:00:00"/>
    <d v="2026-10-26T00:00:00"/>
    <s v="SO-KS/2610/260076"/>
    <s v="MKS Bali"/>
    <x v="45"/>
    <x v="0"/>
    <x v="12"/>
    <s v="020020"/>
    <s v="NESTLE Milo Activ-Go NPro 960Gr/Pack"/>
    <n v="16"/>
    <s v="PACK"/>
    <n v="16"/>
    <n v="1847040"/>
    <n v="0"/>
    <s v="Invoice"/>
    <s v="Sudah Jadi FJ"/>
    <s v=""/>
  </r>
  <r>
    <d v="2026-10-27T00:00:00"/>
    <d v="2026-10-26T00:00:00"/>
    <s v="SO-KS/2610/260077"/>
    <s v="MKS Bali"/>
    <x v="46"/>
    <x v="0"/>
    <x v="10"/>
    <s v="060013"/>
    <s v="Nestea Lemon Tea 1kg/Pack"/>
    <n v="24"/>
    <s v="PACK"/>
    <n v="24"/>
    <n v="1540800.06"/>
    <n v="0"/>
    <s v="Invoice"/>
    <s v="Sudah Jadi FJ"/>
    <s v=""/>
  </r>
  <r>
    <d v="2026-10-27T00:00:00"/>
    <d v="2026-10-26T00:00:00"/>
    <s v="SO-KS/2610/260078"/>
    <s v="MKS Bali"/>
    <x v="47"/>
    <x v="0"/>
    <x v="10"/>
    <s v="020020"/>
    <s v="NESTLE Milo Activ-Go NPro 960Gr/Pack"/>
    <n v="16"/>
    <s v="PACK"/>
    <n v="16"/>
    <n v="1680000.09"/>
    <n v="0"/>
    <s v="Invoice"/>
    <s v="Sudah Jadi FJ"/>
    <s v=""/>
  </r>
  <r>
    <d v="2026-10-27T00:00:00"/>
    <d v="2026-10-26T00:00:00"/>
    <s v="SO-KS/2610/260078"/>
    <s v="MKS Bali"/>
    <x v="47"/>
    <x v="0"/>
    <x v="10"/>
    <s v="060013"/>
    <s v="Nestea Lemon Tea 1kg/Pack"/>
    <n v="24"/>
    <s v="PACK"/>
    <n v="24"/>
    <n v="1540800.06"/>
    <n v="0"/>
    <s v="Invoice"/>
    <s v="Sudah Jadi FJ"/>
    <s v=""/>
  </r>
  <r>
    <d v="2026-10-27T00:00:00"/>
    <d v="2026-10-26T00:00:00"/>
    <s v="SO-KS/2610/260079"/>
    <s v="MKS Bali"/>
    <x v="44"/>
    <x v="0"/>
    <x v="13"/>
    <s v="120006"/>
    <s v="Tepung Crispy Ala Kentucky 1kg/pack"/>
    <n v="30"/>
    <s v="KG"/>
    <n v="30"/>
    <n v="1015650"/>
    <n v="0"/>
    <s v="Invoice"/>
    <s v="Sudah Jadi FJ"/>
    <s v="Mohon sampai nuris seminyak jam 10 Pagi"/>
  </r>
  <r>
    <d v="2026-10-27T00:00:00"/>
    <d v="2026-10-26T00:00:00"/>
    <s v="SO-KS/2610/260079"/>
    <s v="MKS Bali"/>
    <x v="44"/>
    <x v="0"/>
    <x v="13"/>
    <s v="120009"/>
    <s v="Tepung Easymix Fish n Chips 1kg/pack"/>
    <n v="10"/>
    <s v="KG"/>
    <n v="10"/>
    <n v="320000.01"/>
    <n v="0"/>
    <s v="Invoice"/>
    <s v="Sudah Jadi FJ"/>
    <s v="Mohon sampai nuris seminyak jam 10 Pagi"/>
  </r>
  <r>
    <d v="2026-10-27T00:00:00"/>
    <d v="2026-10-26T00:00:00"/>
    <s v="SO-KS/2610/260080"/>
    <s v="MKS Bali"/>
    <x v="48"/>
    <x v="1"/>
    <x v="1"/>
    <s v="PSJ0228"/>
    <s v="Premium Minced Beef (2.5kg/pack)"/>
    <n v="5"/>
    <s v="KG"/>
    <n v="5"/>
    <n v="525000"/>
    <n v="0"/>
    <s v="Invoice"/>
    <s v="Sudah Jadi FJ"/>
    <s v="Packing sterofoam pakai dryice krn kirim ke Lombok .  Kirim ke GINTA CARGO, Jln Cargo Permai No 55 X Denpasar utara"/>
  </r>
  <r>
    <d v="2026-10-27T00:00:00"/>
    <d v="2026-10-26T00:00:00"/>
    <s v="SO-KS/2610/260081"/>
    <s v="MKS Bali"/>
    <x v="49"/>
    <x v="1"/>
    <x v="14"/>
    <s v="PWI0008"/>
    <s v="MOZZARIA Mozzarella 200 Gr"/>
    <n v="25"/>
    <s v="PACK"/>
    <n v="25"/>
    <n v="799999.98"/>
    <n v="0"/>
    <s v="Invoice"/>
    <s v="Sudah Jadi FJ"/>
    <s v=""/>
  </r>
  <r>
    <d v="2026-10-27T00:00:00"/>
    <d v="2026-10-26T00:00:00"/>
    <s v="SO-KS/2610/260083"/>
    <s v="MKS Bali"/>
    <x v="50"/>
    <x v="0"/>
    <x v="2"/>
    <s v="PSF0014"/>
    <s v="Tepung 00 Fusion @25Kg"/>
    <n v="30"/>
    <s v="SACK"/>
    <n v="30"/>
    <n v="8699999.9600000009"/>
    <n v="0"/>
    <s v="Invoice"/>
    <s v="Sudah Jadi FJ"/>
    <s v=""/>
  </r>
  <r>
    <d v="2026-10-27T00:00:00"/>
    <d v="2026-10-26T00:00:00"/>
    <s v="SO-KS/2610/260084"/>
    <s v="MKS Bali"/>
    <x v="51"/>
    <x v="1"/>
    <x v="6"/>
    <s v="PSF0014"/>
    <s v="Tepung 00 Fusion @25Kg"/>
    <n v="2"/>
    <s v="SACK"/>
    <n v="2"/>
    <n v="590000.01"/>
    <n v="0"/>
    <s v="Invoice"/>
    <s v="Sudah Jadi FJ"/>
    <s v=""/>
  </r>
  <r>
    <d v="2026-10-27T00:00:00"/>
    <d v="2026-10-26T00:00:00"/>
    <s v="SO-KS/2610/260085"/>
    <s v="MKS Bali"/>
    <x v="52"/>
    <x v="0"/>
    <x v="15"/>
    <s v="SFM009"/>
    <s v="Tepung Hime @25Kg/Sack"/>
    <n v="6"/>
    <s v="SACK"/>
    <n v="6"/>
    <n v="2010000.05"/>
    <n v="0"/>
    <s v="Invoice"/>
    <s v="Sudah Jadi FJ"/>
    <s v=""/>
  </r>
  <r>
    <d v="2026-10-27T00:00:00"/>
    <d v="2026-10-26T00:00:00"/>
    <s v="SO-KS/2610/260087"/>
    <s v="MKS Bali"/>
    <x v="53"/>
    <x v="0"/>
    <x v="3"/>
    <s v="PSF0014"/>
    <s v="Tepung 00 Fusion @25Kg"/>
    <n v="5"/>
    <s v="SACK"/>
    <n v="5"/>
    <n v="1449999.99"/>
    <n v="0"/>
    <s v="Invoice"/>
    <s v="Sudah Jadi FJ"/>
    <s v=""/>
  </r>
  <r>
    <d v="2026-10-27T00:00:00"/>
    <d v="2026-10-26T00:00:00"/>
    <s v="SO-KS/2610/260088"/>
    <s v="MKS Bali"/>
    <x v="54"/>
    <x v="0"/>
    <x v="16"/>
    <s v="PSJ0228"/>
    <s v="Premium Minced Beef (2.5kg/pack)"/>
    <n v="10"/>
    <s v="KG"/>
    <n v="10"/>
    <n v="1100000"/>
    <n v="0"/>
    <s v="Invoice"/>
    <s v="Sudah Jadi FJ"/>
    <s v=""/>
  </r>
  <r>
    <d v="2026-10-27T00:00:00"/>
    <d v="2026-10-26T00:00:00"/>
    <s v="SO-KS/2610/260089"/>
    <s v="MKS Bali"/>
    <x v="55"/>
    <x v="0"/>
    <x v="14"/>
    <s v="080163"/>
    <s v="EMBORG Whipping Cream 200 Ml"/>
    <n v="6"/>
    <s v="PCS"/>
    <n v="6"/>
    <n v="210000.06"/>
    <n v="0"/>
    <s v="Invoice"/>
    <s v="Sudah Jadi FJ"/>
    <s v=""/>
  </r>
  <r>
    <d v="2026-10-27T00:00:00"/>
    <d v="2026-10-26T00:00:00"/>
    <s v="SO-KS/2610/260089"/>
    <s v="MKS Bali"/>
    <x v="55"/>
    <x v="0"/>
    <x v="14"/>
    <s v="080164"/>
    <s v="EMBORG Cooking Cream 200 Ml"/>
    <n v="6"/>
    <s v="PACK"/>
    <n v="6"/>
    <n v="180000.02"/>
    <n v="0"/>
    <s v="Invoice"/>
    <s v="Sudah Jadi FJ"/>
    <s v=""/>
  </r>
  <r>
    <d v="2026-10-27T00:00:00"/>
    <d v="2026-10-26T00:00:00"/>
    <s v="SO-KS/2610/260089"/>
    <s v="MKS Bali"/>
    <x v="55"/>
    <x v="0"/>
    <x v="14"/>
    <s v="PPA0142"/>
    <s v="EMBORG Brie Cheese 125 Gr"/>
    <n v="6"/>
    <s v="PCS"/>
    <n v="6"/>
    <n v="424800.04"/>
    <n v="0"/>
    <s v="Invoice"/>
    <s v="Sudah Jadi FJ"/>
    <s v=""/>
  </r>
  <r>
    <d v="2026-10-27T00:00:00"/>
    <d v="2026-10-26T00:00:00"/>
    <s v="SO-KS/2610/260089"/>
    <s v="MKS Bali"/>
    <x v="55"/>
    <x v="0"/>
    <x v="14"/>
    <s v="PPA0225"/>
    <s v="EMBORG Butter Unsalted 200 Gr"/>
    <n v="10"/>
    <s v="PCS"/>
    <n v="10"/>
    <n v="500000.05"/>
    <n v="0"/>
    <s v="Invoice"/>
    <s v="Sudah Jadi FJ"/>
    <s v=""/>
  </r>
  <r>
    <d v="2026-10-27T00:00:00"/>
    <d v="2026-10-26T00:00:00"/>
    <s v="SO-KS/2610/260090"/>
    <s v="MKS Bali"/>
    <x v="56"/>
    <x v="0"/>
    <x v="17"/>
    <s v="080241"/>
    <s v="THE ALTERNATIVE Barista Almond Milk 1 Lt"/>
    <n v="48"/>
    <s v="PCS"/>
    <n v="48"/>
    <n v="2424240"/>
    <n v="0"/>
    <s v="Invoice"/>
    <s v="Sudah Jadi FJ"/>
    <s v="di Peking. red chedar 5 loaf"/>
  </r>
  <r>
    <d v="2026-10-27T00:00:00"/>
    <d v="2026-10-26T00:00:00"/>
    <s v="SO-KS/2610/260090"/>
    <s v="MKS Bali"/>
    <x v="56"/>
    <x v="0"/>
    <x v="17"/>
    <s v="SFM007"/>
    <s v="Tepung Double Zero @25Kg/Sack"/>
    <n v="4"/>
    <s v="SACK"/>
    <n v="4"/>
    <n v="1188000.01"/>
    <n v="0"/>
    <s v="Invoice"/>
    <s v="Sudah Jadi FJ"/>
    <s v="di Peking. red chedar 5 loaf"/>
  </r>
  <r>
    <d v="2026-10-27T00:00:00"/>
    <d v="2026-10-26T00:00:00"/>
    <s v="SO-KS/2610/260090"/>
    <s v="MKS Bali"/>
    <x v="56"/>
    <x v="0"/>
    <x v="17"/>
    <s v="SFM009"/>
    <s v="Tepung Hime @25Kg/Sack"/>
    <n v="2"/>
    <s v="SACK"/>
    <n v="2"/>
    <n v="640000"/>
    <n v="0"/>
    <s v="Invoice"/>
    <s v="Sudah Jadi FJ"/>
    <s v="di Peking. red chedar 5 loaf"/>
  </r>
  <r>
    <d v="2026-10-27T00:00:00"/>
    <d v="2026-10-26T00:00:00"/>
    <s v="SO-KS/2610/260090"/>
    <s v="MKS Bali"/>
    <x v="56"/>
    <x v="0"/>
    <x v="17"/>
    <s v="120007"/>
    <s v="Tepung Double Zero 1kg/pack"/>
    <n v="60"/>
    <s v="KG"/>
    <n v="60"/>
    <n v="959999.71"/>
    <n v="0"/>
    <s v="Invoice"/>
    <s v="Sudah Jadi FJ"/>
    <s v="di Peking. red chedar 5 loaf"/>
  </r>
  <r>
    <d v="2026-10-27T00:00:00"/>
    <d v="2026-10-26T00:00:00"/>
    <s v="SO-KS/2610/260091"/>
    <s v="MKS Bali"/>
    <x v="56"/>
    <x v="0"/>
    <x v="17"/>
    <s v="PPK0010"/>
    <s v="Block Red Cheddar Mix Cheese 5x2kg"/>
    <n v="10"/>
    <s v="KG"/>
    <n v="10.64"/>
    <n v="1617280.03"/>
    <n v="0.64"/>
    <s v="Invoice"/>
    <s v="Sudah Jadi FJ"/>
    <s v="di Peking. red chedar 5 loaf"/>
  </r>
  <r>
    <d v="2026-10-27T00:00:00"/>
    <d v="2026-10-26T00:00:00"/>
    <s v="SO-KS/2610/260092"/>
    <s v="MKS Bali"/>
    <x v="57"/>
    <x v="0"/>
    <x v="0"/>
    <s v="PSJ0228"/>
    <s v="Premium Minced Beef (2.5kg/pack)"/>
    <n v="5"/>
    <s v="KG"/>
    <n v="5"/>
    <n v="575000"/>
    <n v="0"/>
    <s v="Invoice"/>
    <s v="Sudah Jadi FJ"/>
    <s v="4 blok"/>
  </r>
  <r>
    <d v="2026-10-27T00:00:00"/>
    <d v="2026-10-26T00:00:00"/>
    <s v="SO-KS/2610/260092"/>
    <s v="MKS Bali"/>
    <x v="57"/>
    <x v="0"/>
    <x v="0"/>
    <s v="PPK0010"/>
    <s v="Block Red Cheddar Mix Cheese 5x2kg"/>
    <n v="8"/>
    <s v="KG"/>
    <n v="8.24"/>
    <n v="1277200"/>
    <n v="0.24"/>
    <s v="Invoice"/>
    <s v="Sudah Jadi FJ"/>
    <s v="4 blok"/>
  </r>
  <r>
    <d v="2026-10-27T00:00:00"/>
    <d v="2026-10-26T00:00:00"/>
    <s v="SO-KS/2610/260093"/>
    <s v="MKS Bali"/>
    <x v="58"/>
    <x v="0"/>
    <x v="2"/>
    <s v="SFM009"/>
    <s v="Tepung Hime @25Kg/Sack"/>
    <n v="8"/>
    <s v="SACK"/>
    <n v="8"/>
    <n v="2841600"/>
    <n v="0"/>
    <s v="Invoice"/>
    <s v="Sudah Jadi FJ"/>
    <s v=""/>
  </r>
  <r>
    <d v="2026-10-27T00:00:00"/>
    <d v="2026-10-26T00:00:00"/>
    <s v="SO-KS/2610/260094"/>
    <s v="MKS Bali"/>
    <x v="59"/>
    <x v="0"/>
    <x v="5"/>
    <s v="PPA0092"/>
    <s v="Emborg Pizza Topping 2.3 Kg"/>
    <n v="80"/>
    <s v="KG"/>
    <n v="80.5"/>
    <n v="8050000"/>
    <n v="0.5"/>
    <s v="Invoice"/>
    <s v="Sudah Jadi FJ"/>
    <s v="kitchen vip"/>
  </r>
  <r>
    <d v="2026-10-27T00:00:00"/>
    <d v="2026-10-26T00:00:00"/>
    <s v="SO-KS/2610/260095"/>
    <s v="MKS Bali"/>
    <x v="60"/>
    <x v="0"/>
    <x v="0"/>
    <s v="120015"/>
    <s v="Tepung Japanese Tempura 1kg/pack"/>
    <n v="150"/>
    <s v="KG"/>
    <n v="150"/>
    <n v="5577750"/>
    <n v="0"/>
    <s v="Invoice"/>
    <s v="Sudah Jadi FJ"/>
    <s v="nota Canggu.  pengirimannya tolong ke office kami yang berada di Muding"/>
  </r>
  <r>
    <d v="2026-10-27T00:00:00"/>
    <d v="2026-10-26T00:00:00"/>
    <s v="SO-KS/2610/260096"/>
    <s v="MKS Bali"/>
    <x v="60"/>
    <x v="0"/>
    <x v="0"/>
    <s v="120015"/>
    <s v="Tepung Japanese Tempura 1kg/pack"/>
    <n v="60"/>
    <s v="KG"/>
    <n v="60"/>
    <n v="2231100"/>
    <n v="0"/>
    <s v="Invoice"/>
    <s v="Sudah Jadi FJ"/>
    <s v="nota Uluwatu. Untuk pengirimannya tolong ke office kami yang berada di Muding"/>
  </r>
  <r>
    <d v="2026-10-27T00:00:00"/>
    <d v="2026-10-26T00:00:00"/>
    <s v="SO-KS/2610/260098"/>
    <s v="MKS Bali"/>
    <x v="61"/>
    <x v="1"/>
    <x v="5"/>
    <s v="080239"/>
    <s v="THE ALTERNATIVE Barista Soy Milk 1 Lt"/>
    <n v="12"/>
    <s v="PCS"/>
    <n v="12"/>
    <n v="539460"/>
    <n v="0"/>
    <s v="Invoice"/>
    <s v="Sudah Jadi FJ"/>
    <s v=""/>
  </r>
  <r>
    <d v="2026-10-27T00:00:00"/>
    <d v="2026-10-26T00:00:00"/>
    <s v="SO-KS/2610/260098"/>
    <s v="MKS Bali"/>
    <x v="61"/>
    <x v="1"/>
    <x v="5"/>
    <s v="080241"/>
    <s v="THE ALTERNATIVE Barista Almond Milk 1 Lt"/>
    <n v="24"/>
    <s v="PCS"/>
    <n v="24"/>
    <n v="1212120"/>
    <n v="0"/>
    <s v="Invoice"/>
    <s v="Sudah Jadi FJ"/>
    <s v=""/>
  </r>
  <r>
    <d v="2026-10-27T00:00:00"/>
    <d v="2026-10-26T00:00:00"/>
    <s v="SO-KS/2610/260102"/>
    <s v="MKS Bali"/>
    <x v="62"/>
    <x v="1"/>
    <x v="16"/>
    <s v="120011"/>
    <s v="Tepung Easymix Pisang Goreng @1kg/pack"/>
    <n v="5"/>
    <s v="KG"/>
    <n v="5"/>
    <n v="174825"/>
    <n v="0"/>
    <s v="Invoice"/>
    <s v="Sudah Jadi FJ"/>
    <s v="WARUNG MANIK GIANYAR"/>
  </r>
  <r>
    <d v="2026-10-27T00:00:00"/>
    <d v="2026-10-26T00:00:00"/>
    <s v="SO-KS/2610/260108"/>
    <s v="MKS Bali"/>
    <x v="63"/>
    <x v="1"/>
    <x v="16"/>
    <s v="SFM053"/>
    <s v="Inofa Heat Treated Wheat Flour SF 346 @1kg/pack"/>
    <n v="5"/>
    <s v="KG"/>
    <n v="5"/>
    <n v="122100"/>
    <n v="0"/>
    <s v="Invoice"/>
    <s v="Sudah Jadi FJ"/>
    <s v=""/>
  </r>
  <r>
    <d v="2026-10-27T00:00:00"/>
    <d v="2026-10-26T00:00:00"/>
    <s v="SO-KS/2610/260109"/>
    <s v="MKS Bali"/>
    <x v="64"/>
    <x v="1"/>
    <x v="0"/>
    <s v="PSF0005"/>
    <s v="Tepung Pita Emas @25Kg/Sack"/>
    <n v="2"/>
    <s v="SACK"/>
    <n v="2"/>
    <n v="539999.99"/>
    <n v="0"/>
    <s v="Invoice"/>
    <s v="Sudah Jadi FJ"/>
    <s v=""/>
  </r>
  <r>
    <d v="2026-10-27T00:00:00"/>
    <d v="2026-10-26T00:00:00"/>
    <s v="SO-KS/2610/260110"/>
    <s v="MKS Bali"/>
    <x v="65"/>
    <x v="0"/>
    <x v="0"/>
    <s v="SFM009"/>
    <s v="Tepung Hime @25Kg/Sack"/>
    <n v="8"/>
    <s v="SACK"/>
    <n v="8"/>
    <n v="2360000.04"/>
    <n v="0"/>
    <s v="Invoice"/>
    <s v="Sudah Jadi FJ"/>
    <s v=""/>
  </r>
  <r>
    <d v="2026-10-27T00:00:00"/>
    <d v="2026-10-26T00:00:00"/>
    <s v="SO-KS/2610/260111"/>
    <s v="MKS Bali"/>
    <x v="66"/>
    <x v="0"/>
    <x v="15"/>
    <s v="SFM009"/>
    <s v="Tepung Hime @25Kg/Sack"/>
    <n v="5"/>
    <s v="SACK"/>
    <n v="5"/>
    <n v="1776000"/>
    <n v="0"/>
    <s v="Invoice"/>
    <s v="Sudah Jadi FJ"/>
    <s v=""/>
  </r>
  <r>
    <d v="2026-10-27T00:00:00"/>
    <d v="2026-10-26T00:00:00"/>
    <s v="SO-KS/2610/260113"/>
    <s v="MKS Bali"/>
    <x v="59"/>
    <x v="0"/>
    <x v="5"/>
    <s v="PPA0092"/>
    <s v="Emborg Pizza Topping 2.3 Kg"/>
    <n v="20"/>
    <s v="KG"/>
    <n v="20.6999"/>
    <n v="2069999.99"/>
    <n v="0.69989999999999997"/>
    <s v="Invoice"/>
    <s v="Sudah Jadi FJ"/>
    <s v=" kitchen asian"/>
  </r>
  <r>
    <d v="2026-10-27T00:00:00"/>
    <d v="2026-10-26T00:00:00"/>
    <s v="SO-KS/2610/260114"/>
    <s v="MKS Bali"/>
    <x v="67"/>
    <x v="0"/>
    <x v="7"/>
    <s v="SFM007"/>
    <s v="Tepung Double Zero @25Kg/Sack"/>
    <n v="2"/>
    <s v="SACK"/>
    <n v="2"/>
    <n v="608000"/>
    <n v="0"/>
    <s v="Invoice"/>
    <s v="Sudah Jadi FJ"/>
    <s v=""/>
  </r>
  <r>
    <d v="2026-10-27T00:00:00"/>
    <d v="2026-10-26T00:00:00"/>
    <s v="SO-KS/2610/260115"/>
    <s v="MKS Bali"/>
    <x v="67"/>
    <x v="0"/>
    <x v="7"/>
    <s v="PSJ0011"/>
    <s v="Chuck Tenderloin Whole"/>
    <n v="5"/>
    <s v="KG"/>
    <n v="5.22"/>
    <n v="783000"/>
    <n v="0.22"/>
    <s v="Invoice"/>
    <s v="Sudah Jadi FJ"/>
    <s v=""/>
  </r>
  <r>
    <d v="2026-10-27T00:00:00"/>
    <d v="2026-10-26T00:00:00"/>
    <s v="SO-KS/2610/260119"/>
    <s v="MKS Bali"/>
    <x v="68"/>
    <x v="0"/>
    <x v="16"/>
    <s v="PSF0014"/>
    <s v="Tepung 00 Fusion @25Kg"/>
    <n v="5"/>
    <s v="SACK"/>
    <n v="5"/>
    <n v="1400000.04"/>
    <n v="0"/>
    <s v="Invoice"/>
    <s v="Sudah Jadi FJ"/>
    <s v=""/>
  </r>
  <r>
    <d v="2026-10-27T00:00:00"/>
    <d v="2026-10-26T00:00:00"/>
    <s v="SO-KS/2610/260122"/>
    <s v="MKS Bali"/>
    <x v="69"/>
    <x v="0"/>
    <x v="7"/>
    <s v="PSJ0228"/>
    <s v="Premium Minced Beef (2.5kg/pack)"/>
    <n v="5"/>
    <s v="KG"/>
    <n v="5"/>
    <n v="525000"/>
    <n v="0"/>
    <s v="Invoice"/>
    <s v="Sudah Jadi FJ"/>
    <s v=""/>
  </r>
  <r>
    <d v="2026-10-27T00:00:00"/>
    <d v="2026-10-26T00:00:00"/>
    <s v="SO-KS/2610/260123"/>
    <s v="MKS Bali"/>
    <x v="70"/>
    <x v="1"/>
    <x v="1"/>
    <s v="PPA0133"/>
    <s v="EMBORG Perfect Pasta 1L"/>
    <n v="6"/>
    <s v="PCS"/>
    <n v="6"/>
    <n v="395999.99"/>
    <n v="0"/>
    <s v="Invoice"/>
    <s v="Sudah Jadi FJ"/>
    <s v=""/>
  </r>
  <r>
    <d v="2026-10-27T00:00:00"/>
    <d v="2026-10-26T00:00:00"/>
    <s v="SO-KS/2610/260124"/>
    <s v="MKS Bali"/>
    <x v="55"/>
    <x v="0"/>
    <x v="14"/>
    <s v="120007"/>
    <s v="Tepung Double Zero 1kg/pack"/>
    <n v="50"/>
    <s v="KG"/>
    <n v="50"/>
    <n v="775000.34"/>
    <n v="0"/>
    <s v="Invoice"/>
    <s v="Sudah Jadi FJ"/>
    <s v=""/>
  </r>
  <r>
    <d v="2026-10-27T00:00:00"/>
    <d v="2026-10-26T00:00:00"/>
    <s v="SO-KS/2610/260124"/>
    <s v="MKS Bali"/>
    <x v="55"/>
    <x v="0"/>
    <x v="14"/>
    <s v="120014"/>
    <s v="Tepung Hime 1kg/pack"/>
    <n v="50"/>
    <s v="KG"/>
    <n v="50"/>
    <n v="824999.73"/>
    <n v="0"/>
    <s v="Invoice"/>
    <s v="Sudah Jadi FJ"/>
    <s v=""/>
  </r>
  <r>
    <d v="2026-10-27T00:00:00"/>
    <d v="2026-10-26T00:00:00"/>
    <s v="SO-KS/2610/260125"/>
    <s v="MKS Bali"/>
    <x v="71"/>
    <x v="0"/>
    <x v="1"/>
    <s v="120007"/>
    <s v="Tepung Double Zero 1kg/pack"/>
    <n v="20"/>
    <s v="KG"/>
    <n v="20"/>
    <n v="319999.90000000002"/>
    <n v="0"/>
    <s v="Invoice"/>
    <s v="Sudah Jadi FJ"/>
    <s v=""/>
  </r>
  <r>
    <d v="2026-10-27T00:00:00"/>
    <d v="2026-10-26T00:00:00"/>
    <s v="SO-KS/2610/260126"/>
    <s v="MKS Bali"/>
    <x v="72"/>
    <x v="0"/>
    <x v="7"/>
    <s v="PSJ0024"/>
    <s v="Halal Minced Beef 1Kg/Pack"/>
    <n v="2"/>
    <s v="KG"/>
    <n v="2"/>
    <n v="250000"/>
    <n v="0"/>
    <s v="Invoice"/>
    <s v="Sudah Jadi FJ"/>
    <s v=""/>
  </r>
  <r>
    <d v="2026-10-27T00:00:00"/>
    <d v="2026-10-26T00:00:00"/>
    <s v="SO-KS/2610/260127"/>
    <s v="MKS Bali"/>
    <x v="73"/>
    <x v="0"/>
    <x v="16"/>
    <s v="PSJ0046"/>
    <s v="Allana Tenderloin Whole"/>
    <n v="4"/>
    <s v="KG"/>
    <n v="4.3"/>
    <n v="838500"/>
    <n v="0.3"/>
    <s v="Invoice"/>
    <s v="Sudah Jadi FJ"/>
    <s v=""/>
  </r>
  <r>
    <d v="2026-10-27T00:00:00"/>
    <d v="2026-10-26T00:00:00"/>
    <s v="SO-KS/2610/260131"/>
    <s v="MKS Bali"/>
    <x v="74"/>
    <x v="0"/>
    <x v="2"/>
    <s v="PSJ0228"/>
    <s v="Premium Minced Beef (2.5kg/pack)"/>
    <n v="10"/>
    <s v="KG"/>
    <n v="10"/>
    <n v="1000000"/>
    <n v="0"/>
    <s v="Invoice"/>
    <s v="Sudah Jadi FJ"/>
    <s v="Kitchen"/>
  </r>
  <r>
    <d v="2026-10-27T00:00:00"/>
    <d v="2026-10-26T00:00:00"/>
    <s v="SO-KS/2610/260131"/>
    <s v="MKS Bali"/>
    <x v="74"/>
    <x v="0"/>
    <x v="2"/>
    <s v="PSJ0412"/>
    <s v="Naturafrig Brazil Tenderloin import"/>
    <n v="25"/>
    <s v="KG"/>
    <n v="23.14"/>
    <n v="8099000"/>
    <n v="-1.86"/>
    <s v="Invoice"/>
    <s v="Sudah Jadi FJ"/>
    <s v="Kitchen"/>
  </r>
  <r>
    <d v="2026-10-27T00:00:00"/>
    <d v="2026-10-26T00:00:00"/>
    <s v="SO-KS/2610/260133"/>
    <s v="MKS Bali"/>
    <x v="75"/>
    <x v="1"/>
    <x v="14"/>
    <s v="120018"/>
    <s v="Tepung Ninja 1kg/pack"/>
    <n v="30"/>
    <s v="KG"/>
    <n v="30"/>
    <n v="482850"/>
    <n v="0"/>
    <s v="Invoice"/>
    <s v="Sudah Jadi FJ"/>
    <s v=""/>
  </r>
  <r>
    <d v="2026-10-27T00:00:00"/>
    <d v="2026-10-26T00:00:00"/>
    <s v="SO-KS/2610/260133"/>
    <s v="MKS Bali"/>
    <x v="75"/>
    <x v="1"/>
    <x v="14"/>
    <s v="120007"/>
    <s v="Tepung Double Zero 1kg/pack"/>
    <n v="30"/>
    <s v="KG"/>
    <n v="30"/>
    <n v="479999.85"/>
    <n v="0"/>
    <s v="Invoice"/>
    <s v="Sudah Jadi FJ"/>
    <s v=""/>
  </r>
  <r>
    <d v="2026-10-27T00:00:00"/>
    <d v="2026-10-26T00:00:00"/>
    <s v="SO-KS/2610/260134"/>
    <s v="MKS Bali"/>
    <x v="76"/>
    <x v="0"/>
    <x v="16"/>
    <s v="PPA0092"/>
    <s v="Emborg Pizza Topping 2.3 Kg"/>
    <n v="7.5"/>
    <s v="KG"/>
    <n v="6.9"/>
    <n v="690000"/>
    <n v="-0.6"/>
    <s v="Invoice"/>
    <s v="Sudah Jadi FJ"/>
    <s v=""/>
  </r>
  <r>
    <d v="2026-10-27T00:00:00"/>
    <d v="2026-10-26T00:00:00"/>
    <s v="SO-KS/2610/260136"/>
    <s v="MKS Bali"/>
    <x v="77"/>
    <x v="0"/>
    <x v="14"/>
    <s v="120007"/>
    <s v="Tepung Double Zero 1kg/pack"/>
    <n v="2000"/>
    <s v="KG"/>
    <n v="500"/>
    <n v="7749997.7999999998"/>
    <n v="-1500"/>
    <s v="Invoice"/>
    <s v="Sudah Jadi FJ"/>
    <s v=""/>
  </r>
  <r>
    <d v="2026-10-27T00:00:00"/>
    <d v="2026-10-26T00:00:00"/>
    <s v="SO-KS/2610/260140"/>
    <s v="MKS Bali"/>
    <x v="78"/>
    <x v="0"/>
    <x v="8"/>
    <s v="SFM018"/>
    <s v="Tepung Ninja @25Kg/Sack"/>
    <n v="15"/>
    <s v="SACK"/>
    <n v="15"/>
    <n v="4349999.9800000004"/>
    <n v="0"/>
    <s v="Invoice"/>
    <s v="Sudah Jadi FJ"/>
    <s v=""/>
  </r>
  <r>
    <d v="2026-10-27T00:00:00"/>
    <d v="2026-10-26T00:00:00"/>
    <s v="SO-KS/2610/260140"/>
    <s v="MKS Bali"/>
    <x v="78"/>
    <x v="0"/>
    <x v="8"/>
    <s v="SFM009"/>
    <s v="Tepung Hime @25Kg/Sack"/>
    <n v="25"/>
    <s v="SACK"/>
    <n v="25"/>
    <n v="7574999.9199999999"/>
    <n v="0"/>
    <s v="Invoice"/>
    <s v="Sudah Jadi FJ"/>
    <s v=""/>
  </r>
  <r>
    <d v="2026-10-27T00:00:00"/>
    <d v="2026-10-26T00:00:00"/>
    <s v="SO-KS/2610/260145"/>
    <s v="MKS Bali"/>
    <x v="79"/>
    <x v="0"/>
    <x v="1"/>
    <s v="120006"/>
    <s v="Tepung Crispy Ala Kentucky 1kg/pack"/>
    <n v="2"/>
    <s v="KG"/>
    <n v="2"/>
    <n v="60000.01"/>
    <n v="0"/>
    <s v="Invoice"/>
    <s v="Sudah Jadi FJ"/>
    <s v="DOMESTIK"/>
  </r>
  <r>
    <d v="2026-10-27T00:00:00"/>
    <d v="2026-10-26T00:00:00"/>
    <s v="SO-KS/2610/260146"/>
    <s v="MKS Bali"/>
    <x v="14"/>
    <x v="0"/>
    <x v="0"/>
    <s v="PSF0014"/>
    <s v="Tepung 00 Fusion @25Kg"/>
    <n v="1"/>
    <s v="SACK"/>
    <n v="1"/>
    <n v="295000"/>
    <n v="0"/>
    <s v="Invoice"/>
    <s v="Sudah Jadi FJ"/>
    <s v="Tambahan"/>
  </r>
  <r>
    <d v="2026-10-27T00:00:00"/>
    <d v="2026-10-26T00:00:00"/>
    <s v="SO-KS/2610/260147"/>
    <s v="MKS Bali"/>
    <x v="79"/>
    <x v="0"/>
    <x v="1"/>
    <s v="120006"/>
    <s v="Tepung Crispy Ala Kentucky 1kg/pack"/>
    <n v="6"/>
    <s v="KG"/>
    <n v="6"/>
    <n v="180000.02"/>
    <n v="0"/>
    <s v="Invoice"/>
    <s v="Sudah Jadi FJ"/>
    <s v="DOMESTIK"/>
  </r>
  <r>
    <d v="2026-10-27T00:00:00"/>
    <d v="2026-10-26T00:00:00"/>
    <s v="SO-KS/2610/260148"/>
    <s v="MKS Bali"/>
    <x v="79"/>
    <x v="0"/>
    <x v="1"/>
    <s v="PPA0092"/>
    <s v="Emborg Pizza Topping 2.3 Kg"/>
    <n v="2.2999999999999998"/>
    <s v="KG"/>
    <n v="2.2999999999999998"/>
    <n v="241499.99"/>
    <n v="0"/>
    <s v="Invoice"/>
    <s v="Sudah Jadi FJ"/>
    <s v="DOMESTIK"/>
  </r>
  <r>
    <d v="2026-10-27T00:00:00"/>
    <d v="2026-10-26T00:00:00"/>
    <s v="SO-KS/2610/260149"/>
    <s v="MKS Bali"/>
    <x v="80"/>
    <x v="0"/>
    <x v="3"/>
    <s v="SFM009"/>
    <s v="Tepung Hime @25Kg/Sack"/>
    <n v="15"/>
    <s v="SACK"/>
    <n v="15"/>
    <n v="4500000"/>
    <n v="0"/>
    <s v="Invoice"/>
    <s v="Sudah Jadi FJ"/>
    <s v=""/>
  </r>
  <r>
    <d v="2026-10-27T00:00:00"/>
    <d v="2026-10-26T00:00:00"/>
    <s v="SO-KS/2610/260150"/>
    <s v="MKS Bali"/>
    <x v="79"/>
    <x v="0"/>
    <x v="1"/>
    <s v="080241"/>
    <s v="THE ALTERNATIVE Barista Almond Milk 1 Lt"/>
    <n v="24"/>
    <s v="PCS"/>
    <n v="24"/>
    <n v="1164000.17"/>
    <n v="0"/>
    <s v="Invoice"/>
    <s v="Sudah Jadi FJ"/>
    <s v="DOMES"/>
  </r>
  <r>
    <d v="2026-10-27T00:00:00"/>
    <d v="2026-10-26T00:00:00"/>
    <s v="SO-KS/2610/260151"/>
    <s v="MKS Bali"/>
    <x v="81"/>
    <x v="0"/>
    <x v="7"/>
    <s v="SFM009"/>
    <s v="Tepung Hime @25Kg/Sack"/>
    <n v="3"/>
    <s v="SACK"/>
    <n v="3"/>
    <n v="900000"/>
    <n v="0"/>
    <s v="Invoice"/>
    <s v="Sudah Jadi FJ"/>
    <s v=""/>
  </r>
  <r>
    <d v="2026-10-27T00:00:00"/>
    <d v="2026-10-26T00:00:00"/>
    <s v="SO-KS/2610/260153"/>
    <s v="MKS Bali"/>
    <x v="79"/>
    <x v="0"/>
    <x v="1"/>
    <s v="SFM007"/>
    <s v="Tepung Double Zero @25Kg/Sack"/>
    <n v="1"/>
    <s v="SACK"/>
    <n v="1"/>
    <n v="327450"/>
    <n v="0"/>
    <s v="Invoice"/>
    <s v="Sudah Jadi FJ"/>
    <s v="INTERNASIONAL_x000d__x000a_"/>
  </r>
  <r>
    <d v="2026-10-27T00:00:00"/>
    <d v="2026-10-26T00:00:00"/>
    <s v="SO-KS/2610/260154"/>
    <s v="MKS Bali"/>
    <x v="79"/>
    <x v="0"/>
    <x v="1"/>
    <s v="PPA0092"/>
    <s v="Emborg Pizza Topping 2.3 Kg"/>
    <n v="6.9"/>
    <s v="KG"/>
    <n v="6.9"/>
    <n v="724499.96"/>
    <n v="0"/>
    <s v="Invoice"/>
    <s v="Sudah Jadi FJ"/>
    <s v="INTERNASIONAL_x000d__x000a_"/>
  </r>
  <r>
    <d v="2026-10-27T00:00:00"/>
    <d v="2026-10-26T00:00:00"/>
    <s v="SO-KS/2610/260155"/>
    <s v="MKS Bali"/>
    <x v="79"/>
    <x v="0"/>
    <x v="1"/>
    <s v="120006"/>
    <s v="Tepung Crispy Ala Kentucky 1kg/pack"/>
    <n v="50"/>
    <s v="KG"/>
    <n v="50"/>
    <n v="1500000.17"/>
    <n v="0"/>
    <s v="Invoice"/>
    <s v="Sudah Jadi FJ"/>
    <s v=" INTER"/>
  </r>
  <r>
    <d v="2026-10-27T00:00:00"/>
    <d v="2026-10-26T00:00:00"/>
    <s v="SO-KS/2610/260155"/>
    <s v="MKS Bali"/>
    <x v="79"/>
    <x v="0"/>
    <x v="1"/>
    <s v="080239"/>
    <s v="THE ALTERNATIVE Barista Soy Milk 1 Lt"/>
    <n v="3"/>
    <s v="PCS"/>
    <n v="3"/>
    <n v="129000"/>
    <n v="0"/>
    <s v="Invoice"/>
    <s v="Sudah Jadi FJ"/>
    <s v=" INTER"/>
  </r>
  <r>
    <d v="2026-10-27T00:00:00"/>
    <d v="2026-10-26T00:00:00"/>
    <s v="SO-KS/2610/260155"/>
    <s v="MKS Bali"/>
    <x v="79"/>
    <x v="0"/>
    <x v="1"/>
    <s v="080241"/>
    <s v="THE ALTERNATIVE Barista Almond Milk 1 Lt"/>
    <n v="24"/>
    <s v="PCS"/>
    <n v="24"/>
    <n v="1164000.17"/>
    <n v="0"/>
    <s v="Invoice"/>
    <s v="Sudah Jadi FJ"/>
    <s v=" INTER"/>
  </r>
  <r>
    <d v="2026-10-27T00:00:00"/>
    <d v="2026-10-26T00:00:00"/>
    <s v="SO-KS/2610/260157"/>
    <s v="MKS Bali"/>
    <x v="27"/>
    <x v="0"/>
    <x v="7"/>
    <s v="120015"/>
    <s v="Tepung Japanese Tempura 1kg/pack"/>
    <n v="10"/>
    <s v="KG"/>
    <n v="10"/>
    <n v="371850"/>
    <n v="0"/>
    <s v="Invoice"/>
    <s v="Sudah Jadi FJ"/>
    <s v=""/>
  </r>
  <r>
    <d v="2026-10-27T00:00:00"/>
    <d v="2026-10-26T00:00:00"/>
    <s v="SO-KS/2610/260159"/>
    <s v="MKS Bali"/>
    <x v="82"/>
    <x v="0"/>
    <x v="11"/>
    <s v="120010"/>
    <s v="Tepung Easymix Pancake @1kg/pack"/>
    <n v="10"/>
    <s v="KG"/>
    <n v="10"/>
    <n v="418803"/>
    <n v="0"/>
    <s v="Invoice"/>
    <s v="Sudah Jadi FJ"/>
    <s v=""/>
  </r>
  <r>
    <d v="2026-10-27T00:00:00"/>
    <d v="2026-10-26T00:00:00"/>
    <s v="SO-KS/2610/260161"/>
    <s v="MKS Bali"/>
    <x v="83"/>
    <x v="1"/>
    <x v="17"/>
    <s v="PPA0221"/>
    <s v="EMBORG Whipping Cream 1 Ltr"/>
    <n v="2"/>
    <s v="PCS"/>
    <n v="2"/>
    <n v="220000"/>
    <n v="0"/>
    <s v="Invoice"/>
    <s v="Sudah Jadi FJ"/>
    <s v=""/>
  </r>
  <r>
    <d v="2026-10-27T00:00:00"/>
    <d v="2026-10-26T00:00:00"/>
    <s v="SO-KS/2610/260161"/>
    <s v="MKS Bali"/>
    <x v="83"/>
    <x v="1"/>
    <x v="17"/>
    <s v="PPA0222"/>
    <s v="EMBORG Cook and Bake Buttery 200 Gr"/>
    <n v="6"/>
    <s v="PCS"/>
    <n v="6"/>
    <n v="210000.06"/>
    <n v="0"/>
    <s v="Invoice"/>
    <s v="Sudah Jadi FJ"/>
    <s v=""/>
  </r>
  <r>
    <d v="2026-10-27T00:00:00"/>
    <d v="2026-10-26T00:00:00"/>
    <s v="SO-KS/2610/260161"/>
    <s v="MKS Bali"/>
    <x v="83"/>
    <x v="1"/>
    <x v="17"/>
    <s v="PPA0223"/>
    <s v="EMBORG Butter Unsalted 100 Gr"/>
    <n v="5"/>
    <s v="PCS"/>
    <n v="5"/>
    <n v="177600"/>
    <n v="0"/>
    <s v="Invoice"/>
    <s v="Sudah Jadi FJ"/>
    <s v=""/>
  </r>
  <r>
    <d v="2026-10-27T00:00:00"/>
    <d v="2026-10-26T00:00:00"/>
    <s v="SO-KS/2610/260161"/>
    <s v="MKS Bali"/>
    <x v="83"/>
    <x v="1"/>
    <x v="17"/>
    <s v="PPA0224"/>
    <s v="EMBORG Butter Salted 200 Gr"/>
    <n v="7"/>
    <s v="PCS"/>
    <n v="7"/>
    <n v="350000.04"/>
    <n v="0"/>
    <s v="Invoice"/>
    <s v="Sudah Jadi FJ"/>
    <s v=""/>
  </r>
  <r>
    <d v="2026-10-27T00:00:00"/>
    <d v="2026-10-26T00:00:00"/>
    <s v="SO-KS/2610/260161"/>
    <s v="MKS Bali"/>
    <x v="83"/>
    <x v="1"/>
    <x v="17"/>
    <s v="PPA0225"/>
    <s v="EMBORG Butter Unsalted 200 Gr"/>
    <n v="12"/>
    <s v="PCS"/>
    <n v="12"/>
    <n v="600000.06000000006"/>
    <n v="0"/>
    <s v="Invoice"/>
    <s v="Sudah Jadi FJ"/>
    <s v=""/>
  </r>
  <r>
    <d v="2026-10-27T00:00:00"/>
    <d v="2026-10-26T00:00:00"/>
    <s v="SO-KS/2610/260161"/>
    <s v="MKS Bali"/>
    <x v="83"/>
    <x v="1"/>
    <x v="17"/>
    <s v="080165"/>
    <s v="EMBORG Cream Cheese 200 Gr"/>
    <n v="10"/>
    <s v="PACK"/>
    <n v="10"/>
    <n v="450000.11"/>
    <n v="0"/>
    <s v="Invoice"/>
    <s v="Sudah Jadi FJ"/>
    <s v=""/>
  </r>
  <r>
    <d v="2026-10-27T00:00:00"/>
    <d v="2026-10-26T00:00:00"/>
    <s v="SO-KS/2610/260162"/>
    <s v="MKS Bali"/>
    <x v="82"/>
    <x v="0"/>
    <x v="11"/>
    <s v="120010"/>
    <s v="Tepung Easymix Pancake @1kg/pack"/>
    <n v="10"/>
    <s v="KG"/>
    <n v="10"/>
    <n v="418803"/>
    <n v="0"/>
    <s v="Invoice"/>
    <s v="Sudah Jadi FJ"/>
    <s v=""/>
  </r>
  <r>
    <d v="2026-10-27T00:00:00"/>
    <d v="2026-10-26T00:00:00"/>
    <s v="SO-KS/2610/260162"/>
    <s v="MKS Bali"/>
    <x v="82"/>
    <x v="0"/>
    <x v="11"/>
    <s v="120018"/>
    <s v="Tepung Ninja 1kg/pack"/>
    <n v="10"/>
    <s v="KG"/>
    <n v="10"/>
    <n v="177311.4"/>
    <n v="0"/>
    <s v="Invoice"/>
    <s v="Sudah Jadi FJ"/>
    <s v=""/>
  </r>
  <r>
    <d v="2026-10-27T00:00:00"/>
    <d v="2026-10-26T00:00:00"/>
    <s v="SO-KS/2610/260165"/>
    <s v="MKS Bali"/>
    <x v="84"/>
    <x v="0"/>
    <x v="5"/>
    <s v="PPA0092"/>
    <s v="Emborg Pizza Topping 2.3 Kg"/>
    <n v="4.5999999999999996"/>
    <s v="KG"/>
    <n v="4.5999999999999996"/>
    <n v="506000"/>
    <n v="0"/>
    <s v="Invoice"/>
    <s v="Sudah Jadi FJ"/>
    <s v=" 2pack"/>
  </r>
  <r>
    <d v="2026-10-27T00:00:00"/>
    <d v="2026-10-26T00:00:00"/>
    <s v="SO-KS/2610/260167"/>
    <s v="MKS Bali"/>
    <x v="85"/>
    <x v="0"/>
    <x v="2"/>
    <s v="SFM007"/>
    <s v="Tepung Double Zero @25Kg/Sack"/>
    <n v="2"/>
    <s v="SACK"/>
    <n v="2"/>
    <n v="640000"/>
    <n v="0"/>
    <s v="Invoice"/>
    <s v="Sudah Jadi FJ"/>
    <s v=""/>
  </r>
  <r>
    <d v="2026-10-27T00:00:00"/>
    <d v="2026-10-26T00:00:00"/>
    <s v="SO-KS/2610/260168"/>
    <s v="MKS Bali"/>
    <x v="85"/>
    <x v="0"/>
    <x v="2"/>
    <s v="PAN0004"/>
    <s v="DP Mozzarella 2.5Kg"/>
    <n v="25"/>
    <s v="KG"/>
    <n v="25"/>
    <n v="3174999.88"/>
    <n v="0"/>
    <s v="Invoice"/>
    <s v="Sudah Jadi FJ"/>
    <s v=""/>
  </r>
  <r>
    <d v="2026-10-27T00:00:00"/>
    <d v="2026-10-26T00:00:00"/>
    <s v="SO-KS/2610/260171"/>
    <s v="MKS Bali"/>
    <x v="86"/>
    <x v="0"/>
    <x v="8"/>
    <s v="SFM018"/>
    <s v="Tepung Ninja @25Kg/Sack"/>
    <n v="2"/>
    <s v="SACK"/>
    <n v="2"/>
    <n v="609999.99"/>
    <n v="0"/>
    <s v="Invoice"/>
    <s v="Sudah Jadi FJ"/>
    <s v=""/>
  </r>
  <r>
    <d v="2026-10-27T00:00:00"/>
    <d v="2026-10-26T00:00:00"/>
    <s v="SO-KS/2610/260172"/>
    <s v="MKS Bali"/>
    <x v="87"/>
    <x v="1"/>
    <x v="16"/>
    <s v="120007"/>
    <s v="Tepung Double Zero 1kg/pack"/>
    <n v="40"/>
    <s v="KG"/>
    <n v="40"/>
    <n v="666000"/>
    <n v="0"/>
    <s v="Invoice"/>
    <s v="Sudah Jadi FJ"/>
    <s v=""/>
  </r>
  <r>
    <d v="2026-10-27T00:00:00"/>
    <d v="2026-10-26T00:00:00"/>
    <s v="SO-KS/2610/260173"/>
    <s v="MKS Bali"/>
    <x v="88"/>
    <x v="0"/>
    <x v="1"/>
    <s v="PSJ0127"/>
    <s v="Amron Striploin Whole"/>
    <n v="8"/>
    <s v="KG"/>
    <n v="7.88"/>
    <n v="1063800"/>
    <n v="-0.12"/>
    <s v="Invoice"/>
    <s v="Sudah Jadi FJ"/>
    <s v=""/>
  </r>
  <r>
    <d v="2026-10-27T00:00:00"/>
    <d v="2026-10-26T00:00:00"/>
    <s v="SO-KS/2610/260174"/>
    <s v="MKS Bali"/>
    <x v="89"/>
    <x v="0"/>
    <x v="0"/>
    <s v="PLM0092"/>
    <s v="Martelli Prosciutto Di Parma"/>
    <n v="7"/>
    <s v="KG"/>
    <n v="6.52"/>
    <n v="4238000"/>
    <n v="-0.48"/>
    <s v="Invoice"/>
    <s v="Sudah Jadi FJ"/>
    <s v="1 LOAF. kirim ke canggu"/>
  </r>
  <r>
    <d v="2026-10-27T00:00:00"/>
    <d v="2026-10-26T00:00:00"/>
    <s v="SO-KS/2610/260175"/>
    <s v="MKS Bali"/>
    <x v="90"/>
    <x v="0"/>
    <x v="8"/>
    <s v="SFM009"/>
    <s v="Tepung Hime @25Kg/Sack"/>
    <n v="2"/>
    <s v="SACK"/>
    <n v="2"/>
    <n v="710400"/>
    <n v="0"/>
    <s v="Invoice"/>
    <s v="Sudah Jadi FJ"/>
    <s v=""/>
  </r>
  <r>
    <d v="2026-10-27T00:00:00"/>
    <d v="2026-10-26T00:00:00"/>
    <s v="SO-KS/2610/260175"/>
    <s v="MKS Bali"/>
    <x v="90"/>
    <x v="0"/>
    <x v="8"/>
    <s v="PSF0014"/>
    <s v="Tepung 00 Fusion @25Kg"/>
    <n v="4"/>
    <s v="SACK"/>
    <n v="4"/>
    <n v="1200000"/>
    <n v="0"/>
    <s v="Invoice"/>
    <s v="Sudah Jadi FJ"/>
    <s v=""/>
  </r>
  <r>
    <d v="2026-10-27T00:00:00"/>
    <d v="2026-10-26T00:00:00"/>
    <s v="SO-KS/2610/260176"/>
    <s v="MKS Bali"/>
    <x v="91"/>
    <x v="1"/>
    <x v="6"/>
    <s v="SFM009"/>
    <s v="Tepung Hime @25Kg/Sack"/>
    <n v="5"/>
    <s v="SACK"/>
    <n v="5"/>
    <n v="1625000"/>
    <n v="0"/>
    <s v="Invoice"/>
    <s v="Sudah Jadi FJ"/>
    <s v=""/>
  </r>
  <r>
    <d v="2026-10-27T00:00:00"/>
    <d v="2026-10-26T00:00:00"/>
    <s v="SO-KS/2610/260177"/>
    <s v="MKS Bali"/>
    <x v="92"/>
    <x v="0"/>
    <x v="15"/>
    <s v="PPA0220"/>
    <s v="EMBORG Butter Block Unsalted 25 Kg"/>
    <n v="25"/>
    <s v="KG"/>
    <n v="25"/>
    <n v="4125000.04"/>
    <n v="0"/>
    <s v="Invoice"/>
    <s v="Sudah Jadi FJ"/>
    <s v=""/>
  </r>
  <r>
    <d v="2026-10-27T00:00:00"/>
    <d v="2026-10-26T00:00:00"/>
    <s v="SO-KS/2610/260178"/>
    <s v="MKS Bali"/>
    <x v="93"/>
    <x v="0"/>
    <x v="8"/>
    <s v="PSJ0228"/>
    <s v="Premium Minced Beef (2.5kg/pack)"/>
    <n v="10"/>
    <s v="KG"/>
    <n v="10"/>
    <n v="1050000"/>
    <n v="0"/>
    <s v="Invoice"/>
    <s v="Sudah Jadi FJ"/>
    <s v=""/>
  </r>
  <r>
    <d v="2026-10-27T00:00:00"/>
    <d v="2026-10-26T00:00:00"/>
    <s v="SO-KS/2610/260179"/>
    <s v="MKS Bali"/>
    <x v="94"/>
    <x v="0"/>
    <x v="14"/>
    <s v="SFM052"/>
    <s v="Inofa Heat Treated Wheat Flour SF 346 @25kg/sack"/>
    <n v="3"/>
    <s v="SACK"/>
    <n v="3"/>
    <n v="1831500"/>
    <n v="0"/>
    <s v="Invoice"/>
    <s v="Sudah Jadi FJ"/>
    <s v=""/>
  </r>
  <r>
    <d v="2026-10-27T00:00:00"/>
    <d v="2026-10-26T00:00:00"/>
    <s v="SO-KS/2610/260180"/>
    <s v="MKS Bali"/>
    <x v="95"/>
    <x v="1"/>
    <x v="7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10-27T00:00:00"/>
    <d v="2026-10-26T00:00:00"/>
    <s v="SO-KS/2610/260181"/>
    <s v="MKS Bali"/>
    <x v="96"/>
    <x v="1"/>
    <x v="7"/>
    <s v="SFM009"/>
    <s v="Tepung Hime @25Kg/Sack"/>
    <n v="1"/>
    <s v="SACK"/>
    <n v="1"/>
    <n v="330000"/>
    <n v="0"/>
    <s v="Invoice"/>
    <s v="Sudah Jadi FJ"/>
    <s v=""/>
  </r>
  <r>
    <d v="2026-10-27T00:00:00"/>
    <d v="2026-10-26T00:00:00"/>
    <s v="SO-KS/2610/260182"/>
    <s v="MKS Bali"/>
    <x v="97"/>
    <x v="1"/>
    <x v="14"/>
    <s v="120007"/>
    <s v="Tepung Double Zero 1kg/pack"/>
    <n v="20"/>
    <s v="KG"/>
    <n v="20"/>
    <n v="310000.13"/>
    <n v="0"/>
    <s v="Invoice"/>
    <s v="Sudah Jadi FJ"/>
    <s v=""/>
  </r>
  <r>
    <d v="2026-10-27T00:00:00"/>
    <d v="2026-10-26T00:00:00"/>
    <s v="SO-KS/2610/260183"/>
    <s v="MKS Bali"/>
    <x v="98"/>
    <x v="0"/>
    <x v="8"/>
    <s v="120015"/>
    <s v="Tepung Japanese Tempura 1kg/pack"/>
    <n v="20"/>
    <s v="KG"/>
    <n v="20"/>
    <n v="743700"/>
    <n v="0"/>
    <s v="Invoice"/>
    <s v="Sudah Jadi FJ"/>
    <s v=""/>
  </r>
  <r>
    <d v="2026-10-27T00:00:00"/>
    <d v="2026-10-26T00:00:00"/>
    <s v="SO-KS/2610/260184"/>
    <s v="MKS Bali"/>
    <x v="99"/>
    <x v="0"/>
    <x v="10"/>
    <s v="020020"/>
    <s v="NESTLE Milo Activ-Go NPro 960Gr/Pack"/>
    <n v="16"/>
    <s v="PACK"/>
    <n v="16"/>
    <n v="1583999.99"/>
    <n v="0"/>
    <s v="Invoice"/>
    <s v="Sudah Jadi FJ"/>
    <s v=""/>
  </r>
  <r>
    <d v="2026-10-27T00:00:00"/>
    <d v="2026-10-26T00:00:00"/>
    <s v="SO-KS/2610/260186"/>
    <s v="MKS Bali"/>
    <x v="100"/>
    <x v="0"/>
    <x v="17"/>
    <s v="PPA0181"/>
    <s v="ABC Saus Tomat 5.7 Kg"/>
    <n v="10"/>
    <s v="JRG"/>
    <n v="10"/>
    <n v="1210000.01"/>
    <n v="0"/>
    <s v="Invoice"/>
    <s v="Sudah Jadi FJ"/>
    <s v="di kirim besok expedisi roxsy cargo sanur"/>
  </r>
  <r>
    <d v="2026-10-27T00:00:00"/>
    <d v="2026-10-26T00:00:00"/>
    <s v="SO-KS/2610/260186"/>
    <s v="MKS Bali"/>
    <x v="100"/>
    <x v="0"/>
    <x v="17"/>
    <s v="080239"/>
    <s v="THE ALTERNATIVE Barista Soy Milk 1 Lt"/>
    <n v="12"/>
    <s v="PCS"/>
    <n v="12"/>
    <n v="539460"/>
    <n v="0"/>
    <s v="Invoice"/>
    <s v="Sudah Jadi FJ"/>
    <s v="di kirim besok expedisi roxsy cargo sanur"/>
  </r>
  <r>
    <d v="2026-10-27T00:00:00"/>
    <d v="2026-10-26T00:00:00"/>
    <s v="SO-KS/2610/260186"/>
    <s v="MKS Bali"/>
    <x v="100"/>
    <x v="0"/>
    <x v="17"/>
    <s v="080241"/>
    <s v="THE ALTERNATIVE Barista Almond Milk 1 Lt"/>
    <n v="36"/>
    <s v="PCS"/>
    <n v="36"/>
    <n v="1818180"/>
    <n v="0"/>
    <s v="Invoice"/>
    <s v="Sudah Jadi FJ"/>
    <s v="di kirim besok expedisi roxsy cargo sanur"/>
  </r>
  <r>
    <d v="2026-10-27T00:00:00"/>
    <d v="2026-10-26T00:00:00"/>
    <s v="SO-KS/2610/260186"/>
    <s v="MKS Bali"/>
    <x v="100"/>
    <x v="0"/>
    <x v="17"/>
    <s v="PSF0014"/>
    <s v="Tepung 00 Fusion @25Kg"/>
    <n v="5"/>
    <s v="SACK"/>
    <n v="5"/>
    <n v="1435000.01"/>
    <n v="0"/>
    <s v="Invoice"/>
    <s v="Sudah Jadi FJ"/>
    <s v="di kirim besok expedisi roxsy cargo sanur"/>
  </r>
  <r>
    <d v="2026-10-27T00:00:00"/>
    <d v="2026-10-26T00:00:00"/>
    <s v="SO-KS/2610/260186"/>
    <s v="MKS Bali"/>
    <x v="100"/>
    <x v="0"/>
    <x v="17"/>
    <s v="020054"/>
    <s v="POLARIS Soda Water 330 Ml"/>
    <n v="240"/>
    <s v="CAN"/>
    <n v="240"/>
    <n v="1065600"/>
    <n v="0"/>
    <s v="Invoice"/>
    <s v="Sudah Jadi FJ"/>
    <s v="di kirim besok expedisi roxsy cargo sanur"/>
  </r>
  <r>
    <d v="2026-10-27T00:00:00"/>
    <d v="2026-10-26T00:00:00"/>
    <s v="SO-KS/2610/260187"/>
    <s v="MKS Bali"/>
    <x v="100"/>
    <x v="0"/>
    <x v="17"/>
    <s v="PPA0220"/>
    <s v="EMBORG Butter Block Unsalted 25 Kg"/>
    <n v="25"/>
    <s v="KG"/>
    <n v="25"/>
    <n v="4000000.16"/>
    <n v="0"/>
    <s v="Invoice"/>
    <s v="Sudah Jadi FJ"/>
    <s v="di kirim besok expedisi roxsy cargo sanur"/>
  </r>
  <r>
    <d v="2026-10-27T00:00:00"/>
    <d v="2026-10-26T00:00:00"/>
    <s v="SO-KS/2610/260188"/>
    <s v="MKS Bali"/>
    <x v="101"/>
    <x v="0"/>
    <x v="10"/>
    <s v="060007"/>
    <s v="Nescafe Classic Vending 120gr/Pack"/>
    <n v="48"/>
    <s v="PACK"/>
    <n v="48"/>
    <n v="2160000.5"/>
    <n v="0"/>
    <s v="Invoice"/>
    <s v="Sudah Jadi FJ"/>
    <s v=""/>
  </r>
  <r>
    <d v="2026-10-27T00:00:00"/>
    <d v="2026-10-26T00:00:00"/>
    <s v="SO-KS/2610/260188"/>
    <s v="MKS Bali"/>
    <x v="101"/>
    <x v="0"/>
    <x v="10"/>
    <s v="060090"/>
    <s v="Sjora Mango Peach Concentrate 1Liter/Pack"/>
    <n v="12"/>
    <s v="PACK"/>
    <n v="12"/>
    <n v="1165200.03"/>
    <n v="0"/>
    <s v="Invoice"/>
    <s v="Sudah Jadi FJ"/>
    <s v=""/>
  </r>
  <r>
    <d v="2026-10-27T00:00:00"/>
    <d v="2026-10-26T00:00:00"/>
    <s v="SO-KS/2610/260188"/>
    <s v="MKS Bali"/>
    <x v="101"/>
    <x v="0"/>
    <x v="10"/>
    <s v="020020"/>
    <s v="NESTLE Milo Activ-Go NPro 960Gr/Pack"/>
    <n v="32"/>
    <s v="PACK"/>
    <n v="32"/>
    <n v="3360000.2"/>
    <n v="0"/>
    <s v="Invoice"/>
    <s v="Sudah Jadi FJ"/>
    <s v=""/>
  </r>
  <r>
    <d v="2026-10-27T00:00:00"/>
    <d v="2026-10-26T00:00:00"/>
    <s v="SO-KS/2610/260189"/>
    <s v="MKS Bali"/>
    <x v="102"/>
    <x v="0"/>
    <x v="5"/>
    <s v="SFM009"/>
    <s v="Tepung Hime @25Kg/Sack"/>
    <n v="3"/>
    <s v="SACK"/>
    <n v="3"/>
    <n v="990000.01"/>
    <n v="0"/>
    <s v="Invoice"/>
    <s v="Sudah Jadi FJ"/>
    <s v=""/>
  </r>
  <r>
    <d v="2026-10-27T00:00:00"/>
    <d v="2026-10-26T00:00:00"/>
    <s v="SO-KS/2610/260190"/>
    <s v="MKS Bali"/>
    <x v="103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10-27T00:00:00"/>
    <d v="2026-10-26T00:00:00"/>
    <s v="SO-KS/2610/260190"/>
    <s v="MKS Bali"/>
    <x v="103"/>
    <x v="0"/>
    <x v="4"/>
    <s v="020011"/>
    <s v="Nestle Dark Cocoa Drink Npro 1kg/Pack"/>
    <n v="3"/>
    <s v="PACK"/>
    <n v="3"/>
    <n v="267000"/>
    <n v="0"/>
    <s v="Invoice"/>
    <s v="Sudah Jadi FJ"/>
    <s v=""/>
  </r>
  <r>
    <d v="2026-10-27T00:00:00"/>
    <d v="2026-10-26T00:00:00"/>
    <s v="SO-KS/2610/260193"/>
    <s v="MKS Bali"/>
    <x v="104"/>
    <x v="0"/>
    <x v="18"/>
    <s v="PSJ0413"/>
    <s v="Midfield Rump"/>
    <n v="6"/>
    <s v="KG"/>
    <n v="6.62"/>
    <n v="1112160"/>
    <n v="0.62"/>
    <s v="Invoice"/>
    <s v="Sudah Jadi FJ"/>
    <s v=""/>
  </r>
  <r>
    <d v="2026-10-27T00:00:00"/>
    <d v="2026-10-26T00:00:00"/>
    <s v="SO-KS/2610/260196"/>
    <s v="MKS Bali"/>
    <x v="105"/>
    <x v="0"/>
    <x v="8"/>
    <s v="080241"/>
    <s v="THE ALTERNATIVE Barista Almond Milk 1 Lt"/>
    <n v="1"/>
    <s v="PCS"/>
    <n v="1"/>
    <n v="50505"/>
    <n v="0"/>
    <s v="Invoice"/>
    <s v="Sudah Jadi FJ"/>
    <s v=""/>
  </r>
  <r>
    <d v="2026-10-27T00:00:00"/>
    <d v="2026-10-26T00:00:00"/>
    <s v="SO-KS/2610/260197"/>
    <s v="MKS Bali"/>
    <x v="106"/>
    <x v="0"/>
    <x v="15"/>
    <s v="SFM007"/>
    <s v="Tepung Double Zero @25Kg/Sack"/>
    <n v="4"/>
    <s v="SACK"/>
    <n v="4"/>
    <n v="1309800"/>
    <n v="0"/>
    <s v="Invoice"/>
    <s v="Sudah Jadi FJ"/>
    <s v=""/>
  </r>
  <r>
    <d v="2026-10-27T00:00:00"/>
    <d v="2026-10-26T00:00:00"/>
    <s v="SO-KS/2610/260198"/>
    <s v="MKS Bali"/>
    <x v="105"/>
    <x v="0"/>
    <x v="8"/>
    <s v="PSJ0044"/>
    <s v="Halal Premium Oxtail Whole Cut 3Cm (2 Kg/Pack)"/>
    <n v="20"/>
    <s v="KG"/>
    <n v="18.57"/>
    <n v="4085400"/>
    <n v="-1.43"/>
    <s v="Invoice"/>
    <s v="Sudah Jadi FJ"/>
    <s v=""/>
  </r>
  <r>
    <d v="2026-10-27T00:00:00"/>
    <d v="2026-10-26T00:00:00"/>
    <s v="SO-KS/2610/260199"/>
    <s v="MKS Bali"/>
    <x v="107"/>
    <x v="0"/>
    <x v="7"/>
    <s v="SFM007"/>
    <s v="Tepung Double Zero @25Kg/Sack"/>
    <n v="10"/>
    <s v="SACK"/>
    <n v="10"/>
    <n v="3000000"/>
    <n v="0"/>
    <s v="Invoice"/>
    <s v="Sudah Jadi FJ"/>
    <s v=""/>
  </r>
  <r>
    <d v="2026-10-27T00:00:00"/>
    <d v="2026-10-26T00:00:00"/>
    <s v="SO-KS/2610/260200"/>
    <s v="MKS Bali"/>
    <x v="108"/>
    <x v="0"/>
    <x v="8"/>
    <s v="PPA0142"/>
    <s v="EMBORG Brie Cheese 125 Gr"/>
    <n v="2"/>
    <s v="PCS"/>
    <n v="2"/>
    <n v="159840"/>
    <n v="0"/>
    <s v="Invoice"/>
    <s v="Sudah Jadi FJ"/>
    <s v=""/>
  </r>
  <r>
    <d v="2026-10-27T00:00:00"/>
    <d v="2026-10-26T00:00:00"/>
    <s v="SO-KS/2610/260201"/>
    <s v="MKS Bali"/>
    <x v="109"/>
    <x v="0"/>
    <x v="16"/>
    <s v="SFM007"/>
    <s v="Tepung Double Zero @25Kg/Sack"/>
    <n v="1"/>
    <s v="SACK"/>
    <n v="1"/>
    <n v="327450"/>
    <n v="0"/>
    <s v="Invoice"/>
    <s v="Sudah Jadi FJ"/>
    <s v=""/>
  </r>
  <r>
    <d v="2026-10-27T00:00:00"/>
    <d v="2026-10-26T00:00:00"/>
    <s v="SO-KS/2610/260202"/>
    <s v="MKS Bali"/>
    <x v="110"/>
    <x v="0"/>
    <x v="1"/>
    <s v="SFM007"/>
    <s v="Tepung Double Zero @25Kg/Sack"/>
    <n v="5"/>
    <s v="SACK"/>
    <n v="5"/>
    <n v="1425000.02"/>
    <n v="0"/>
    <s v="Invoice"/>
    <s v="Sudah Jadi FJ"/>
    <s v=""/>
  </r>
  <r>
    <d v="2026-10-27T00:00:00"/>
    <d v="2026-10-26T00:00:00"/>
    <s v="SO-KS/2610/260203"/>
    <s v="MKS Bali"/>
    <x v="111"/>
    <x v="0"/>
    <x v="8"/>
    <s v="PLN0002"/>
    <s v="RICH CREME WHIPING CREAM 800G POUCH"/>
    <n v="1"/>
    <s v="POU"/>
    <n v="1"/>
    <n v="95460"/>
    <n v="0"/>
    <s v="Invoice"/>
    <s v="Sudah Jadi FJ"/>
    <s v=""/>
  </r>
  <r>
    <d v="2026-10-27T00:00:00"/>
    <d v="2026-10-26T00:00:00"/>
    <s v="SO-KS/2610/260204"/>
    <s v="MKS Bali"/>
    <x v="112"/>
    <x v="0"/>
    <x v="1"/>
    <s v="SFM007"/>
    <s v="Tepung Double Zero @25Kg/Sack"/>
    <n v="1"/>
    <s v="SACK"/>
    <n v="1"/>
    <n v="327450"/>
    <n v="0"/>
    <s v="Invoice"/>
    <s v="Sudah Jadi FJ"/>
    <s v=""/>
  </r>
  <r>
    <d v="2026-10-27T00:00:00"/>
    <d v="2026-10-26T00:00:00"/>
    <s v="SO-KS/2610/260205"/>
    <s v="MKS Bali"/>
    <x v="113"/>
    <x v="0"/>
    <x v="16"/>
    <s v="PSJ0371"/>
    <s v="ECT Tenderloin Import"/>
    <n v="3"/>
    <s v="KG"/>
    <n v="2.36"/>
    <n v="1014800"/>
    <n v="-0.64"/>
    <s v="Invoice"/>
    <s v="Sudah Jadi FJ"/>
    <s v=""/>
  </r>
  <r>
    <d v="2026-10-27T00:00:00"/>
    <d v="2026-10-26T00:00:00"/>
    <s v="SO-KS/2610/260206"/>
    <s v="MKS Bali"/>
    <x v="114"/>
    <x v="1"/>
    <x v="3"/>
    <s v="SFM007"/>
    <s v="Tepung Double Zero @25Kg/Sack"/>
    <n v="2"/>
    <s v="SACK"/>
    <n v="2"/>
    <n v="570000"/>
    <n v="0"/>
    <s v="Invoice"/>
    <s v="Sudah Jadi FJ"/>
    <s v=""/>
  </r>
  <r>
    <d v="2026-10-27T00:00:00"/>
    <d v="2026-10-26T00:00:00"/>
    <s v="SO-KS/2610/260207"/>
    <s v="MKS Bali"/>
    <x v="115"/>
    <x v="1"/>
    <x v="3"/>
    <s v="SFM007"/>
    <s v="Tepung Double Zero @25Kg/Sack"/>
    <n v="6"/>
    <s v="SACK"/>
    <n v="6"/>
    <n v="1829999.97"/>
    <n v="0"/>
    <s v="Invoice"/>
    <s v="Sudah Jadi FJ"/>
    <s v=""/>
  </r>
  <r>
    <d v="2026-10-27T00:00:00"/>
    <d v="2026-10-26T00:00:00"/>
    <s v="SO-KS/2610/260208"/>
    <s v="MKS Bali"/>
    <x v="116"/>
    <x v="0"/>
    <x v="17"/>
    <s v="PLN0008"/>
    <s v="WELLINGTON PRO 1000G POUCH"/>
    <n v="12"/>
    <s v="POU"/>
    <n v="12"/>
    <n v="812520"/>
    <n v="0"/>
    <s v="Invoice"/>
    <s v="Sudah Jadi FJ"/>
    <s v=""/>
  </r>
  <r>
    <d v="2026-10-27T00:00:00"/>
    <d v="2026-10-26T00:00:00"/>
    <s v="SO-KS/2610/260209"/>
    <s v="MKS Bali"/>
    <x v="116"/>
    <x v="0"/>
    <x v="17"/>
    <s v="080165"/>
    <s v="EMBORG Cream Cheese 200 Gr"/>
    <n v="6"/>
    <s v="PACK"/>
    <n v="6"/>
    <n v="270000.06"/>
    <n v="0"/>
    <s v="Invoice"/>
    <s v="Sudah Jadi FJ"/>
    <s v=""/>
  </r>
  <r>
    <d v="2026-10-27T00:00:00"/>
    <d v="2026-10-26T00:00:00"/>
    <s v="SO-KS/2610/260209"/>
    <s v="MKS Bali"/>
    <x v="116"/>
    <x v="0"/>
    <x v="17"/>
    <s v="PPA0018"/>
    <s v="Emborg Cream Cheese 1.5Kg"/>
    <n v="1"/>
    <s v="PCS"/>
    <n v="1"/>
    <n v="202500.01"/>
    <n v="0"/>
    <s v="Invoice"/>
    <s v="Sudah Jadi FJ"/>
    <s v=""/>
  </r>
  <r>
    <d v="2026-10-27T00:00:00"/>
    <d v="2026-10-26T00:00:00"/>
    <s v="SO-KS/2610/260210"/>
    <s v="MKS Bali"/>
    <x v="117"/>
    <x v="0"/>
    <x v="8"/>
    <s v="SFM007"/>
    <s v="Tepung Double Zero @25Kg/Sack"/>
    <n v="3"/>
    <s v="SACK"/>
    <n v="3"/>
    <n v="982350"/>
    <n v="0"/>
    <s v="Invoice"/>
    <s v="Sudah Jadi FJ"/>
    <s v=""/>
  </r>
  <r>
    <d v="2026-10-27T00:00:00"/>
    <d v="2026-10-26T00:00:00"/>
    <s v="SO-KS/2610/260211"/>
    <s v="MKS Bali"/>
    <x v="118"/>
    <x v="0"/>
    <x v="5"/>
    <s v="SFM007"/>
    <s v="Tepung Double Zero @25Kg/Sack"/>
    <n v="1"/>
    <s v="SACK"/>
    <n v="1"/>
    <n v="315000"/>
    <n v="0"/>
    <s v="Invoice"/>
    <s v="Sudah Jadi FJ"/>
    <s v=""/>
  </r>
  <r>
    <d v="2026-10-27T00:00:00"/>
    <d v="2026-10-26T00:00:00"/>
    <s v="SO-KS/2610/260212"/>
    <s v="MKS Bali"/>
    <x v="67"/>
    <x v="0"/>
    <x v="7"/>
    <s v="SFM007"/>
    <s v="Tepung Double Zero @25Kg/Sack"/>
    <n v="1"/>
    <s v="SACK"/>
    <n v="1"/>
    <n v="304000"/>
    <n v="0"/>
    <s v="Invoice"/>
    <s v="Sudah Jadi FJ"/>
    <s v=""/>
  </r>
  <r>
    <d v="2026-10-27T00:00:00"/>
    <d v="2026-10-26T00:00:00"/>
    <s v="SO-KS/2610/260213"/>
    <s v="MKS Bali"/>
    <x v="119"/>
    <x v="1"/>
    <x v="7"/>
    <s v="SFM007"/>
    <s v="Tepung Double Zero @25Kg/Sack"/>
    <n v="1"/>
    <s v="SACK"/>
    <n v="1"/>
    <n v="327450"/>
    <n v="0"/>
    <s v="Invoice"/>
    <s v="Sudah Jadi FJ"/>
    <s v=""/>
  </r>
  <r>
    <d v="2026-10-27T00:00:00"/>
    <d v="2026-10-26T00:00:00"/>
    <s v="SO-KS/2610/260214"/>
    <s v="MKS Bali"/>
    <x v="120"/>
    <x v="0"/>
    <x v="11"/>
    <s v="120018"/>
    <s v="Tepung Ninja 1kg/pack"/>
    <n v="12"/>
    <s v="KG"/>
    <n v="12"/>
    <n v="213120"/>
    <n v="0"/>
    <s v="Invoice"/>
    <s v="Sudah Jadi FJ"/>
    <s v=""/>
  </r>
  <r>
    <d v="2026-10-27T00:00:00"/>
    <d v="2026-10-26T00:00:00"/>
    <s v="SO-KS/2610/260215"/>
    <s v="MKS Bali"/>
    <x v="121"/>
    <x v="0"/>
    <x v="8"/>
    <s v="SFM018"/>
    <s v="Tepung Ninja @25Kg/Sack"/>
    <n v="1"/>
    <s v="SACK"/>
    <n v="1"/>
    <n v="316350"/>
    <n v="0"/>
    <s v="Invoice"/>
    <s v="Sudah Jadi FJ"/>
    <s v=""/>
  </r>
  <r>
    <d v="2026-10-27T00:00:00"/>
    <d v="2026-10-26T00:00:00"/>
    <s v="SO-KS/2610/260216"/>
    <s v="MKS Bali"/>
    <x v="122"/>
    <x v="0"/>
    <x v="16"/>
    <s v="SFM007"/>
    <s v="Tepung Double Zero @25Kg/Sack"/>
    <n v="2"/>
    <s v="SACK"/>
    <n v="2"/>
    <n v="654900"/>
    <n v="0"/>
    <s v="Invoice"/>
    <s v="Sudah Jadi FJ"/>
    <s v=""/>
  </r>
  <r>
    <d v="2026-10-27T00:00:00"/>
    <d v="2026-10-26T00:00:00"/>
    <s v="SO-KS/2610/260217"/>
    <s v="MKS Bali"/>
    <x v="123"/>
    <x v="0"/>
    <x v="5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218"/>
    <s v="MKS Bali"/>
    <x v="124"/>
    <x v="0"/>
    <x v="3"/>
    <s v="SFM007"/>
    <s v="Tepung Double Zero @25Kg/Sack"/>
    <n v="3"/>
    <s v="SACK"/>
    <n v="3"/>
    <n v="914999.98"/>
    <n v="0"/>
    <s v="Invoice"/>
    <s v="Sudah Jadi FJ"/>
    <s v=""/>
  </r>
  <r>
    <d v="2026-10-27T00:00:00"/>
    <d v="2026-10-26T00:00:00"/>
    <s v="SO-KS/2610/260219"/>
    <s v="MKS Bali"/>
    <x v="125"/>
    <x v="0"/>
    <x v="16"/>
    <s v="SFM007"/>
    <s v="Tepung Double Zero @25Kg/Sack"/>
    <n v="1"/>
    <s v="SACK"/>
    <n v="1"/>
    <n v="327450"/>
    <n v="0"/>
    <s v="Invoice"/>
    <s v="Sudah Jadi FJ"/>
    <s v=""/>
  </r>
  <r>
    <d v="2026-10-27T00:00:00"/>
    <d v="2026-10-26T00:00:00"/>
    <s v="SO-KS/2610/260220"/>
    <s v="MKS Bali"/>
    <x v="126"/>
    <x v="1"/>
    <x v="12"/>
    <s v="020020"/>
    <s v="NESTLE Milo Activ-Go NPro 960Gr/Pack"/>
    <n v="3"/>
    <s v="PACK"/>
    <n v="3"/>
    <n v="315000.02"/>
    <n v="0"/>
    <s v="Invoice"/>
    <s v="Sudah Jadi FJ"/>
    <s v=""/>
  </r>
  <r>
    <d v="2026-10-27T00:00:00"/>
    <d v="2026-10-26T00:00:00"/>
    <s v="SO-KS/2610/260220"/>
    <s v="MKS Bali"/>
    <x v="126"/>
    <x v="1"/>
    <x v="12"/>
    <s v="020011"/>
    <s v="Nestle Dark Cocoa Drink Npro 1kg/Pack"/>
    <n v="3"/>
    <s v="PACK"/>
    <n v="3"/>
    <n v="267000"/>
    <n v="0"/>
    <s v="Invoice"/>
    <s v="Sudah Jadi FJ"/>
    <s v=""/>
  </r>
  <r>
    <d v="2026-10-27T00:00:00"/>
    <d v="2026-10-26T00:00:00"/>
    <s v="SO-KS/2610/260220"/>
    <s v="MKS Bali"/>
    <x v="126"/>
    <x v="1"/>
    <x v="12"/>
    <s v="060013"/>
    <s v="Nestea Lemon Tea 1kg/Pack"/>
    <n v="1"/>
    <s v="PACK"/>
    <n v="1"/>
    <n v="64200"/>
    <n v="0"/>
    <s v="Invoice"/>
    <s v="Sudah Jadi FJ"/>
    <s v=""/>
  </r>
  <r>
    <d v="2026-10-27T00:00:00"/>
    <d v="2026-10-26T00:00:00"/>
    <s v="SO-KS/2610/260220"/>
    <s v="MKS Bali"/>
    <x v="126"/>
    <x v="1"/>
    <x v="12"/>
    <s v="060015"/>
    <s v="Nestea Lychee Tea Npro 560gr/Pack"/>
    <n v="2"/>
    <s v="PACK"/>
    <n v="2"/>
    <n v="102200.01"/>
    <n v="0"/>
    <s v="Invoice"/>
    <s v="Sudah Jadi FJ"/>
    <s v=""/>
  </r>
  <r>
    <d v="2026-10-27T00:00:00"/>
    <d v="2026-10-26T00:00:00"/>
    <s v="SO-KS/2610/260221"/>
    <s v="MKS Bali"/>
    <x v="67"/>
    <x v="0"/>
    <x v="7"/>
    <s v="SFM007"/>
    <s v="Tepung Double Zero @25Kg/Sack"/>
    <n v="2"/>
    <s v="SACK"/>
    <n v="2"/>
    <n v="608000"/>
    <n v="0"/>
    <s v="Invoice"/>
    <s v="Sudah Jadi FJ"/>
    <s v="Tambahan"/>
  </r>
  <r>
    <d v="2026-10-27T00:00:00"/>
    <d v="2026-10-26T00:00:00"/>
    <s v="SO-KS/2610/260222"/>
    <s v="MKS Bali"/>
    <x v="127"/>
    <x v="0"/>
    <x v="7"/>
    <s v="SFM007"/>
    <s v="Tepung Double Zero @25Kg/Sack"/>
    <n v="2"/>
    <s v="SACK"/>
    <n v="2"/>
    <n v="580000"/>
    <n v="0"/>
    <s v="Invoice"/>
    <s v="Sudah Jadi FJ"/>
    <s v=""/>
  </r>
  <r>
    <d v="2026-10-27T00:00:00"/>
    <d v="2026-10-26T00:00:00"/>
    <s v="SO-KS/2610/260223"/>
    <s v="MKS Bali"/>
    <x v="128"/>
    <x v="0"/>
    <x v="16"/>
    <s v="SFM007"/>
    <s v="Tepung Double Zero @25Kg/Sack"/>
    <n v="1"/>
    <s v="SACK"/>
    <n v="1"/>
    <n v="327450"/>
    <n v="0"/>
    <s v="Invoice"/>
    <s v="Sudah Jadi FJ"/>
    <s v=""/>
  </r>
  <r>
    <d v="2026-10-27T00:00:00"/>
    <d v="2026-10-26T00:00:00"/>
    <s v="SO-KS/2610/260224"/>
    <s v="MKS Bali"/>
    <x v="65"/>
    <x v="0"/>
    <x v="0"/>
    <s v="SFM007"/>
    <s v="Tepung Double Zero @25Kg/Sack"/>
    <n v="8"/>
    <s v="SACK"/>
    <n v="8"/>
    <n v="2192000.0299999998"/>
    <n v="0"/>
    <s v="Invoice"/>
    <s v="Sudah Jadi FJ"/>
    <s v=""/>
  </r>
  <r>
    <d v="2026-10-27T00:00:00"/>
    <d v="2026-10-26T00:00:00"/>
    <s v="SO-KS/2610/260225"/>
    <s v="MKS Bali"/>
    <x v="129"/>
    <x v="1"/>
    <x v="17"/>
    <s v="080239"/>
    <s v="THE ALTERNATIVE Barista Soy Milk 1 Lt"/>
    <n v="12"/>
    <s v="PCS"/>
    <n v="12"/>
    <n v="539460"/>
    <n v="0"/>
    <s v="Invoice"/>
    <s v="Sudah Jadi FJ"/>
    <s v=""/>
  </r>
  <r>
    <d v="2026-10-27T00:00:00"/>
    <d v="2026-10-26T00:00:00"/>
    <s v="SO-KS/2610/260225"/>
    <s v="MKS Bali"/>
    <x v="129"/>
    <x v="1"/>
    <x v="17"/>
    <s v="080240"/>
    <s v="THE ALTERNATIVE Barista Oat Milk 1 Lt"/>
    <n v="12"/>
    <s v="PCS"/>
    <n v="12"/>
    <n v="606060"/>
    <n v="0"/>
    <s v="Invoice"/>
    <s v="Sudah Jadi FJ"/>
    <s v=""/>
  </r>
  <r>
    <d v="2026-10-27T00:00:00"/>
    <d v="2026-10-26T00:00:00"/>
    <s v="SO-KS/2610/260225"/>
    <s v="MKS Bali"/>
    <x v="129"/>
    <x v="1"/>
    <x v="17"/>
    <s v="080241"/>
    <s v="THE ALTERNATIVE Barista Almond Milk 1 Lt"/>
    <n v="12"/>
    <s v="PCS"/>
    <n v="12"/>
    <n v="606060"/>
    <n v="0"/>
    <s v="Invoice"/>
    <s v="Sudah Jadi FJ"/>
    <s v=""/>
  </r>
  <r>
    <d v="2026-10-27T00:00:00"/>
    <d v="2026-10-26T00:00:00"/>
    <s v="SO-KS/2610/260226"/>
    <s v="MKS Bali"/>
    <x v="130"/>
    <x v="1"/>
    <x v="3"/>
    <s v="SFM007"/>
    <s v="Tepung Double Zero @25Kg/Sack"/>
    <n v="4"/>
    <s v="SACK"/>
    <n v="4"/>
    <n v="1160000.04"/>
    <n v="0"/>
    <s v="Invoice"/>
    <s v="Sudah Jadi FJ"/>
    <s v="dikirim ke berawa"/>
  </r>
  <r>
    <d v="2026-10-27T00:00:00"/>
    <d v="2026-10-26T00:00:00"/>
    <s v="SO-KS/2610/260227"/>
    <s v="MKS Bali"/>
    <x v="131"/>
    <x v="0"/>
    <x v="16"/>
    <s v="SFM007"/>
    <s v="Tepung Double Zero @25Kg/Sack"/>
    <n v="2"/>
    <s v="SACK"/>
    <n v="2"/>
    <n v="654900"/>
    <n v="0"/>
    <s v="Invoice"/>
    <s v="Sudah Jadi FJ"/>
    <s v=""/>
  </r>
  <r>
    <d v="2026-10-27T00:00:00"/>
    <d v="2026-10-26T00:00:00"/>
    <s v="SO-KS/2610/260228"/>
    <s v="MKS Bali"/>
    <x v="100"/>
    <x v="0"/>
    <x v="17"/>
    <s v="PLN0008"/>
    <s v="WELLINGTON PRO 1000G POUCH"/>
    <n v="6"/>
    <s v="POU"/>
    <n v="6"/>
    <n v="439560"/>
    <n v="0"/>
    <s v="Invoice"/>
    <s v="Sudah Jadi FJ"/>
    <s v="Di kirim Rocky cargo Sanur"/>
  </r>
  <r>
    <d v="2026-10-27T00:00:00"/>
    <d v="2026-10-26T00:00:00"/>
    <s v="SO-KS/2610/260230"/>
    <s v="MKS Bali"/>
    <x v="132"/>
    <x v="1"/>
    <x v="5"/>
    <s v="080241"/>
    <s v="THE ALTERNATIVE Barista Almond Milk 1 Lt"/>
    <n v="8"/>
    <s v="PCS"/>
    <n v="8"/>
    <n v="404040"/>
    <n v="0"/>
    <s v="Invoice"/>
    <s v="Sudah Jadi FJ"/>
    <s v="KIRIM KE SANUR"/>
  </r>
  <r>
    <d v="2026-10-27T00:00:00"/>
    <d v="2026-10-26T00:00:00"/>
    <s v="SO-KS/2610/260230"/>
    <s v="MKS Bali"/>
    <x v="132"/>
    <x v="1"/>
    <x v="5"/>
    <s v="PLN0003"/>
    <s v="ELLENKA BARISTA COCONUT MILK 1000ML APL"/>
    <n v="2"/>
    <s v="PACK"/>
    <n v="2"/>
    <n v="84360"/>
    <n v="0"/>
    <s v="Invoice"/>
    <s v="Sudah Jadi FJ"/>
    <s v="KIRIM KE SANUR"/>
  </r>
  <r>
    <d v="2026-10-27T00:00:00"/>
    <d v="2026-10-26T00:00:00"/>
    <s v="SO-KS/2610/260231"/>
    <s v="MKS Bali"/>
    <x v="88"/>
    <x v="0"/>
    <x v="1"/>
    <s v="SFM007"/>
    <s v="Tepung Double Zero @25Kg/Sack"/>
    <n v="1"/>
    <s v="SACK"/>
    <n v="1"/>
    <n v="310000"/>
    <n v="0"/>
    <s v="Invoice"/>
    <s v="Sudah Jadi FJ"/>
    <s v=""/>
  </r>
  <r>
    <d v="2026-10-27T00:00:00"/>
    <d v="2026-10-26T00:00:00"/>
    <s v="SO-KS/2610/260232"/>
    <s v="MKS Bali"/>
    <x v="31"/>
    <x v="0"/>
    <x v="8"/>
    <s v="PPA0092"/>
    <s v="Emborg Pizza Topping 2.3 Kg"/>
    <n v="4.5999999999999996"/>
    <s v="KG"/>
    <n v="4.5999999999999996"/>
    <n v="460000.05"/>
    <n v="0"/>
    <s v="Invoice"/>
    <s v="Sudah Jadi FJ"/>
    <s v=""/>
  </r>
  <r>
    <d v="2026-10-27T00:00:00"/>
    <d v="2026-10-26T00:00:00"/>
    <s v="SO-KS/2610/260233"/>
    <s v="MKS Bali"/>
    <x v="133"/>
    <x v="0"/>
    <x v="5"/>
    <s v="SFM007"/>
    <s v="Tepung Double Zero @25Kg/Sack"/>
    <n v="5"/>
    <s v="SACK"/>
    <n v="5"/>
    <n v="1425000.02"/>
    <n v="0"/>
    <s v="Invoice"/>
    <s v="Sudah Jadi FJ"/>
    <s v="(KIRIM UBUD)"/>
  </r>
  <r>
    <d v="2026-10-27T00:00:00"/>
    <d v="2026-10-26T00:00:00"/>
    <s v="SO-KS/2610/260234"/>
    <s v="MKS Bali"/>
    <x v="98"/>
    <x v="0"/>
    <x v="8"/>
    <s v="SFM007"/>
    <s v="Tepung Double Zero @25Kg/Sack"/>
    <n v="8"/>
    <s v="SACK"/>
    <n v="8"/>
    <n v="2376000.02"/>
    <n v="0"/>
    <s v="Invoice"/>
    <s v="Sudah Jadi FJ"/>
    <s v=""/>
  </r>
  <r>
    <d v="2026-10-27T00:00:00"/>
    <d v="2026-10-26T00:00:00"/>
    <s v="SO-KS/2610/260235"/>
    <s v="MKS Bali"/>
    <x v="91"/>
    <x v="1"/>
    <x v="6"/>
    <s v="SFM007"/>
    <s v="Tepung Double Zero @25Kg/Sack"/>
    <n v="1"/>
    <s v="SACK"/>
    <n v="1"/>
    <n v="327450"/>
    <n v="0"/>
    <s v="Invoice"/>
    <s v="Sudah Jadi FJ"/>
    <s v=""/>
  </r>
  <r>
    <d v="2026-10-27T00:00:00"/>
    <d v="2026-10-26T00:00:00"/>
    <s v="SO-KS/2610/260237"/>
    <s v="MKS Bali"/>
    <x v="134"/>
    <x v="0"/>
    <x v="16"/>
    <s v="SFM007"/>
    <s v="Tepung Double Zero @25Kg/Sack"/>
    <n v="2"/>
    <s v="SACK"/>
    <n v="2"/>
    <n v="630000"/>
    <n v="0"/>
    <s v="Invoice"/>
    <s v="Sudah Jadi FJ"/>
    <s v=""/>
  </r>
  <r>
    <d v="2026-10-27T00:00:00"/>
    <d v="2026-10-26T00:00:00"/>
    <s v="SO-KS/2610/260238"/>
    <s v="MKS Bali"/>
    <x v="135"/>
    <x v="0"/>
    <x v="16"/>
    <s v="SFM007"/>
    <s v="Tepung Double Zero @25Kg/Sack"/>
    <n v="3"/>
    <s v="SACK"/>
    <n v="3"/>
    <n v="914999.98"/>
    <n v="0"/>
    <s v="Invoice"/>
    <s v="Sudah Jadi FJ"/>
    <s v=""/>
  </r>
  <r>
    <d v="2026-10-27T00:00:00"/>
    <d v="2026-10-26T00:00:00"/>
    <s v="SO-KS/2610/260239"/>
    <s v="MKS Bali"/>
    <x v="136"/>
    <x v="0"/>
    <x v="8"/>
    <s v="SFM007"/>
    <s v="Tepung Double Zero @25Kg/Sack"/>
    <n v="2"/>
    <s v="SACK"/>
    <n v="2"/>
    <n v="580000"/>
    <n v="0"/>
    <s v="Invoice"/>
    <s v="Sudah Jadi FJ"/>
    <s v=""/>
  </r>
  <r>
    <d v="2026-10-27T00:00:00"/>
    <d v="2026-10-26T00:00:00"/>
    <s v="SO-KS/2610/260240"/>
    <s v="MKS Bali"/>
    <x v="137"/>
    <x v="0"/>
    <x v="15"/>
    <s v="SFM007"/>
    <s v="Tepung Double Zero @25Kg/Sack"/>
    <n v="1"/>
    <s v="SACK"/>
    <n v="1"/>
    <n v="290000"/>
    <n v="0"/>
    <s v="Invoice"/>
    <s v="Sudah Jadi FJ"/>
    <s v=""/>
  </r>
  <r>
    <d v="2026-10-27T00:00:00"/>
    <d v="2026-10-26T00:00:00"/>
    <s v="SO-KS/2610/260241"/>
    <s v="MKS Bali"/>
    <x v="93"/>
    <x v="0"/>
    <x v="8"/>
    <s v="SFM007"/>
    <s v="Tepung Double Zero @25Kg/Sack"/>
    <n v="2"/>
    <s v="SACK"/>
    <n v="2"/>
    <n v="580000"/>
    <n v="0"/>
    <s v="Invoice"/>
    <s v="Sudah Jadi FJ"/>
    <s v=""/>
  </r>
  <r>
    <d v="2026-10-27T00:00:00"/>
    <d v="2026-10-26T00:00:00"/>
    <s v="SO-KS/2610/260242"/>
    <s v="MKS Bali"/>
    <x v="138"/>
    <x v="1"/>
    <x v="7"/>
    <s v="SFM007"/>
    <s v="Tepung Double Zero @25Kg/Sack"/>
    <n v="1"/>
    <s v="SACK"/>
    <n v="1"/>
    <n v="327450"/>
    <n v="0"/>
    <s v="Invoice"/>
    <s v="Sudah Jadi FJ"/>
    <s v=""/>
  </r>
  <r>
    <d v="2026-10-27T00:00:00"/>
    <d v="2026-10-26T00:00:00"/>
    <s v="SO-KS/2610/260243"/>
    <s v="MKS Bali"/>
    <x v="139"/>
    <x v="0"/>
    <x v="0"/>
    <s v="SFM007"/>
    <s v="Tepung Double Zero @25Kg/Sack"/>
    <n v="50"/>
    <s v="SACK"/>
    <n v="37"/>
    <n v="10656000.02"/>
    <n v="-13"/>
    <s v="Invoice"/>
    <s v="Sudah Jadi FJ"/>
    <s v=""/>
  </r>
  <r>
    <d v="2026-10-27T00:00:00"/>
    <d v="2026-10-26T00:00:00"/>
    <s v="SO-KS/2610/260244"/>
    <s v="MKS Bali"/>
    <x v="140"/>
    <x v="0"/>
    <x v="18"/>
    <s v="PAN0004"/>
    <s v="DP Mozzarella 2.5Kg"/>
    <n v="100"/>
    <s v="KG"/>
    <n v="100"/>
    <n v="12200000.01"/>
    <n v="0"/>
    <s v="Invoice"/>
    <s v="Sudah Jadi FJ"/>
    <s v=""/>
  </r>
  <r>
    <d v="2026-10-27T00:00:00"/>
    <d v="2026-10-26T00:00:00"/>
    <s v="SO-KS/2610/260245"/>
    <s v="MKS Bali"/>
    <x v="141"/>
    <x v="0"/>
    <x v="16"/>
    <s v="SFM007"/>
    <s v="Tepung Double Zero @25Kg/Sack"/>
    <n v="3"/>
    <s v="SACK"/>
    <n v="3"/>
    <n v="960000.01"/>
    <n v="0"/>
    <s v="Invoice"/>
    <s v="Sudah Jadi FJ"/>
    <s v=""/>
  </r>
  <r>
    <d v="2026-10-27T00:00:00"/>
    <d v="2026-10-26T00:00:00"/>
    <s v="SO-KS/2610/260246"/>
    <s v="MKS Bali"/>
    <x v="142"/>
    <x v="0"/>
    <x v="3"/>
    <s v="SFM007"/>
    <s v="Tepung Double Zero @25Kg/Sack"/>
    <n v="10"/>
    <s v="SACK"/>
    <n v="10"/>
    <n v="3219000"/>
    <n v="0"/>
    <s v="Invoice"/>
    <s v="Sudah Jadi FJ"/>
    <s v=""/>
  </r>
  <r>
    <d v="2026-10-27T00:00:00"/>
    <d v="2026-10-26T00:00:00"/>
    <s v="SO-KS/2610/260247"/>
    <s v="MKS Bali"/>
    <x v="143"/>
    <x v="0"/>
    <x v="5"/>
    <s v="SFM007"/>
    <s v="Tepung Double Zero @25Kg/Sack"/>
    <n v="5"/>
    <s v="SACK"/>
    <n v="5"/>
    <n v="1524999.97"/>
    <n v="0"/>
    <s v="Invoice"/>
    <s v="Sudah Jadi FJ"/>
    <s v="tmbhan"/>
  </r>
  <r>
    <d v="2026-10-27T00:00:00"/>
    <d v="2026-10-26T00:00:00"/>
    <s v="SO-KS/2610/260248"/>
    <s v="MKS Bali"/>
    <x v="144"/>
    <x v="1"/>
    <x v="0"/>
    <s v="120007"/>
    <s v="Tepung Double Zero 1kg/pack"/>
    <n v="20"/>
    <s v="KG"/>
    <n v="20"/>
    <n v="333000"/>
    <n v="0"/>
    <s v="Invoice"/>
    <s v="Sudah Jadi FJ"/>
    <s v=""/>
  </r>
  <r>
    <d v="2026-10-27T00:00:00"/>
    <d v="2026-10-26T00:00:00"/>
    <s v="SO-KS/2610/260249"/>
    <s v="MKS Bali"/>
    <x v="56"/>
    <x v="0"/>
    <x v="9"/>
    <s v="060006"/>
    <s v="Nescafe Classic Sac+Bag Era 60x2gr"/>
    <n v="50"/>
    <s v="PACK"/>
    <n v="50"/>
    <n v="3714615"/>
    <n v="0"/>
    <s v="Invoice"/>
    <s v="Sudah Jadi FJ"/>
    <s v="diambil ke kantor"/>
  </r>
  <r>
    <d v="2026-10-27T00:00:00"/>
    <d v="2026-10-26T00:00:00"/>
    <s v="SO-KS/2610/260250"/>
    <s v="MKS Bali"/>
    <x v="145"/>
    <x v="1"/>
    <x v="12"/>
    <s v="060007"/>
    <s v="Nescafe Classic Vending 120gr/Pack"/>
    <n v="6"/>
    <s v="PACK"/>
    <n v="6"/>
    <n v="324000"/>
    <n v="0"/>
    <s v="Invoice"/>
    <s v="Sudah Jadi FJ"/>
    <s v="dibayar cash"/>
  </r>
  <r>
    <d v="2026-10-27T00:00:00"/>
    <d v="2026-10-26T00:00:00"/>
    <s v="SO-KU/2610/260001"/>
    <s v="MKU Bali"/>
    <x v="146"/>
    <x v="0"/>
    <x v="8"/>
    <s v="PMS0092"/>
    <s v="Master House Blend 04 (60:40) M"/>
    <n v="12"/>
    <s v="PACK"/>
    <n v="12"/>
    <n v="3503160"/>
    <n v="0"/>
    <s v="Invoice"/>
    <s v="Sudah Jadi FJ"/>
    <s v=""/>
  </r>
  <r>
    <d v="2026-10-27T00:00:00"/>
    <d v="2026-10-26T00:00:00"/>
    <s v="SO-KU/2610/260002"/>
    <s v="MKU Bali"/>
    <x v="147"/>
    <x v="0"/>
    <x v="0"/>
    <s v="PSJ0021"/>
    <s v="Mamas Baby Back Rib Premium"/>
    <n v="3"/>
    <s v="KG"/>
    <n v="3.32"/>
    <n v="531200"/>
    <n v="0.32"/>
    <s v="Invoice"/>
    <s v="Sudah Jadi FJ"/>
    <s v=""/>
  </r>
  <r>
    <d v="2026-10-27T00:00:00"/>
    <d v="2026-10-26T00:00:00"/>
    <s v="SO-KU/2610/260003"/>
    <s v="MKU Bali"/>
    <x v="148"/>
    <x v="0"/>
    <x v="5"/>
    <s v="POT0161"/>
    <s v="La Valle Whole Peeled Tomatoes 2.5 Kg"/>
    <n v="6"/>
    <s v="CAN"/>
    <n v="6"/>
    <n v="510000.02"/>
    <n v="0"/>
    <s v="Invoice"/>
    <s v="Sudah Jadi FJ"/>
    <s v=""/>
  </r>
  <r>
    <d v="2026-10-27T00:00:00"/>
    <d v="2026-10-26T00:00:00"/>
    <s v="SO-KU/2610/260004"/>
    <s v="MKU Bali"/>
    <x v="149"/>
    <x v="1"/>
    <x v="1"/>
    <s v="PIF0012"/>
    <s v="Pristine Classic Cooking Cream 1 Lt"/>
    <n v="12"/>
    <s v="LTR"/>
    <n v="12"/>
    <n v="720000"/>
    <n v="0"/>
    <s v="Invoice"/>
    <s v="Sudah Jadi FJ"/>
    <s v=""/>
  </r>
  <r>
    <d v="2026-10-27T00:00:00"/>
    <d v="2026-10-26T00:00:00"/>
    <s v="SO-KU/2610/260005"/>
    <s v="MKU Bali"/>
    <x v="150"/>
    <x v="1"/>
    <x v="6"/>
    <s v="PQW0010"/>
    <s v="IQF FF Shoestring 10Kg/Ctn"/>
    <n v="1"/>
    <s v="KTN"/>
    <n v="1"/>
    <n v="350000.01"/>
    <n v="0"/>
    <s v="Invoice"/>
    <s v="Sudah Jadi FJ"/>
    <s v=""/>
  </r>
  <r>
    <d v="2026-10-27T00:00:00"/>
    <d v="2026-10-26T00:00:00"/>
    <s v="SO-KU/2610/260006"/>
    <s v="MKU Bali"/>
    <x v="151"/>
    <x v="1"/>
    <x v="6"/>
    <s v="PMS0033"/>
    <s v="Masterista Ice Shaken Lemon Tea 1000Gr"/>
    <n v="2"/>
    <s v="PACK"/>
    <n v="2"/>
    <n v="133200"/>
    <n v="0"/>
    <s v="Invoice"/>
    <s v="Sudah Jadi FJ"/>
    <s v="Kalau bisa bantu kirim pagi"/>
  </r>
  <r>
    <d v="2026-10-27T00:00:00"/>
    <d v="2026-10-26T00:00:00"/>
    <s v="SO-KU/2610/260006"/>
    <s v="MKU Bali"/>
    <x v="151"/>
    <x v="1"/>
    <x v="6"/>
    <s v="PMS0038"/>
    <s v="Flavorista Chocolate base (1000Gr/Pack)"/>
    <n v="1"/>
    <s v="PACK"/>
    <n v="1"/>
    <n v="99345"/>
    <n v="0"/>
    <s v="Invoice"/>
    <s v="Sudah Jadi FJ"/>
    <s v="Kalau bisa bantu kirim pagi"/>
  </r>
  <r>
    <d v="2026-10-27T00:00:00"/>
    <d v="2026-10-26T00:00:00"/>
    <s v="SO-KU/2610/260006"/>
    <s v="MKU Bali"/>
    <x v="151"/>
    <x v="1"/>
    <x v="6"/>
    <s v="PMS0072"/>
    <s v="ICE SHAKEN PEACH TEA 1000 GR"/>
    <n v="2"/>
    <s v="PACK"/>
    <n v="2"/>
    <n v="139330"/>
    <n v="0"/>
    <s v="Invoice"/>
    <s v="Sudah Jadi FJ"/>
    <s v="Kalau bisa bantu kirim pagi"/>
  </r>
  <r>
    <d v="2026-10-27T00:00:00"/>
    <d v="2026-10-26T00:00:00"/>
    <s v="SO-KU/2610/260006"/>
    <s v="MKU Bali"/>
    <x v="151"/>
    <x v="1"/>
    <x v="6"/>
    <s v="PMS0132"/>
    <s v="Masterista Syrup Vanilla Tradition 850ml"/>
    <n v="2"/>
    <s v="BTL"/>
    <n v="2"/>
    <n v="220000"/>
    <n v="0"/>
    <s v="Invoice"/>
    <s v="Sudah Jadi FJ"/>
    <s v="Kalau bisa bantu kirim pagi"/>
  </r>
  <r>
    <d v="2026-10-27T00:00:00"/>
    <d v="2026-10-26T00:00:00"/>
    <s v="SO-KU/2610/260007"/>
    <s v="MKU Bali"/>
    <x v="152"/>
    <x v="1"/>
    <x v="6"/>
    <s v="PMS0026"/>
    <s v="Masterista Dark Chocolate 800Gr"/>
    <n v="2"/>
    <s v="POU"/>
    <n v="2"/>
    <n v="319779.90000000002"/>
    <n v="0"/>
    <s v="Invoice"/>
    <s v="Sudah Jadi FJ"/>
    <s v="minta invoice dulu biar di tf"/>
  </r>
  <r>
    <d v="2026-10-27T00:00:00"/>
    <d v="2026-10-26T00:00:00"/>
    <s v="SO-KU/2610/260007"/>
    <s v="MKU Bali"/>
    <x v="152"/>
    <x v="1"/>
    <x v="6"/>
    <s v="PMS0094"/>
    <s v="Masterista Syrup Butterscotch 850 Ml"/>
    <n v="4"/>
    <s v="BTL"/>
    <n v="4"/>
    <n v="426800.01"/>
    <n v="0"/>
    <s v="Invoice"/>
    <s v="Sudah Jadi FJ"/>
    <s v="minta invoice dulu biar di tf"/>
  </r>
  <r>
    <d v="2026-10-27T00:00:00"/>
    <d v="2026-10-26T00:00:00"/>
    <s v="SO-KU/2610/260009"/>
    <s v="MKU Bali"/>
    <x v="153"/>
    <x v="1"/>
    <x v="0"/>
    <s v="PMS0026"/>
    <s v="Masterista Dark Chocolate 800Gr"/>
    <n v="2"/>
    <s v="POU"/>
    <n v="2"/>
    <n v="329670"/>
    <n v="0"/>
    <s v="Invoice"/>
    <s v="Sudah Jadi FJ"/>
    <s v=""/>
  </r>
  <r>
    <d v="2026-10-27T00:00:00"/>
    <d v="2026-10-26T00:00:00"/>
    <s v="SO-KU/2610/260010"/>
    <s v="MKU Bali"/>
    <x v="154"/>
    <x v="0"/>
    <x v="6"/>
    <s v="PMS0024"/>
    <s v="Masterista Original Matcha 800Gr"/>
    <n v="1"/>
    <s v="POU"/>
    <n v="1"/>
    <n v="160084.5"/>
    <n v="0"/>
    <s v="Invoice"/>
    <s v="Sudah Jadi FJ"/>
    <s v=""/>
  </r>
  <r>
    <d v="2026-10-27T00:00:00"/>
    <d v="2026-10-26T00:00:00"/>
    <s v="SO-KU/2610/260010"/>
    <s v="MKU Bali"/>
    <x v="154"/>
    <x v="0"/>
    <x v="6"/>
    <s v="PMS0028"/>
    <s v="Masterista Taro Expecta 800Gr"/>
    <n v="1"/>
    <s v="POU"/>
    <n v="1"/>
    <n v="148684.5"/>
    <n v="0"/>
    <s v="Invoice"/>
    <s v="Sudah Jadi FJ"/>
    <s v=""/>
  </r>
  <r>
    <d v="2026-10-27T00:00:00"/>
    <d v="2026-10-26T00:00:00"/>
    <s v="SO-KU/2610/260010"/>
    <s v="MKU Bali"/>
    <x v="154"/>
    <x v="0"/>
    <x v="6"/>
    <s v="PMS0150"/>
    <s v="Masterista Syrup Natural Mint 850 Ml"/>
    <n v="2"/>
    <s v="BTL"/>
    <n v="2"/>
    <n v="220000"/>
    <n v="0"/>
    <s v="Invoice"/>
    <s v="Sudah Jadi FJ"/>
    <s v=""/>
  </r>
  <r>
    <d v="2026-10-27T00:00:00"/>
    <d v="2026-10-26T00:00:00"/>
    <s v="SO-KU/2610/260011"/>
    <s v="MKU Bali"/>
    <x v="19"/>
    <x v="0"/>
    <x v="0"/>
    <s v="POT0110"/>
    <s v="Bergold Shredded Pizza Topping Mozzarella"/>
    <n v="4.5"/>
    <s v="KG"/>
    <n v="4.5"/>
    <n v="599400"/>
    <n v="0"/>
    <s v="Invoice"/>
    <s v="Sudah Jadi FJ"/>
    <s v="3 PACK"/>
  </r>
  <r>
    <d v="2026-10-27T00:00:00"/>
    <d v="2026-10-26T00:00:00"/>
    <s v="SO-KU/2610/260012"/>
    <s v="MKU Bali"/>
    <x v="155"/>
    <x v="0"/>
    <x v="6"/>
    <s v="PMS0024"/>
    <s v="Masterista Original Matcha 800Gr"/>
    <n v="1"/>
    <s v="POU"/>
    <n v="1"/>
    <n v="168510"/>
    <n v="0"/>
    <s v="Invoice"/>
    <s v="Sudah Jadi FJ"/>
    <s v="di kirim ke central monang maning"/>
  </r>
  <r>
    <d v="2026-10-27T00:00:00"/>
    <d v="2026-10-26T00:00:00"/>
    <s v="SO-KU/2610/260012"/>
    <s v="MKU Bali"/>
    <x v="155"/>
    <x v="0"/>
    <x v="6"/>
    <s v="PMS0028"/>
    <s v="Masterista Taro Expecta 800Gr"/>
    <n v="1"/>
    <s v="POU"/>
    <n v="1"/>
    <n v="156510"/>
    <n v="0"/>
    <s v="Invoice"/>
    <s v="Sudah Jadi FJ"/>
    <s v="di kirim ke central monang maning"/>
  </r>
  <r>
    <d v="2026-10-27T00:00:00"/>
    <d v="2026-10-26T00:00:00"/>
    <s v="SO-KU/2610/260013"/>
    <s v="MKU Bali"/>
    <x v="20"/>
    <x v="0"/>
    <x v="0"/>
    <s v="POT0110"/>
    <s v="Bergold Shredded Pizza Topping Mozzarella"/>
    <n v="4.5"/>
    <s v="KG"/>
    <n v="4.5"/>
    <n v="599400"/>
    <n v="0"/>
    <s v="Invoice"/>
    <s v="Sudah Jadi FJ"/>
    <s v="3 pack"/>
  </r>
  <r>
    <d v="2026-10-27T00:00:00"/>
    <d v="2026-10-26T00:00:00"/>
    <s v="SO-KU/2610/260014"/>
    <s v="MKU Bali"/>
    <x v="22"/>
    <x v="0"/>
    <x v="0"/>
    <s v="POT0110"/>
    <s v="Bergold Shredded Pizza Topping Mozzarella"/>
    <n v="4.5"/>
    <s v="KG"/>
    <n v="4.5"/>
    <n v="599400"/>
    <n v="0"/>
    <s v="Invoice"/>
    <s v="Sudah Jadi FJ"/>
    <s v="3 PACK"/>
  </r>
  <r>
    <d v="2026-10-27T00:00:00"/>
    <d v="2026-10-26T00:00:00"/>
    <s v="SO-KU/2610/260015"/>
    <s v="MKU Bali"/>
    <x v="23"/>
    <x v="0"/>
    <x v="0"/>
    <s v="POT0110"/>
    <s v="Bergold Shredded Pizza Topping Mozzarella"/>
    <n v="4.5"/>
    <s v="KG"/>
    <n v="4.5"/>
    <n v="599400"/>
    <n v="0"/>
    <s v="Invoice"/>
    <s v="Sudah Jadi FJ"/>
    <s v="3 PACK"/>
  </r>
  <r>
    <d v="2026-10-27T00:00:00"/>
    <d v="2026-10-26T00:00:00"/>
    <s v="SO-KU/2610/260016"/>
    <s v="MKU Bali"/>
    <x v="156"/>
    <x v="0"/>
    <x v="0"/>
    <s v="PMS0024"/>
    <s v="Masterista Original Matcha 800Gr"/>
    <n v="1"/>
    <s v="POU"/>
    <n v="1"/>
    <n v="151659"/>
    <n v="0"/>
    <s v="Invoice"/>
    <s v="Sudah Jadi FJ"/>
    <s v="Kirim ke Tiga Djaya Jempiring"/>
  </r>
  <r>
    <d v="2026-10-27T00:00:00"/>
    <d v="2026-10-26T00:00:00"/>
    <s v="SO-KU/2610/260016"/>
    <s v="MKU Bali"/>
    <x v="156"/>
    <x v="0"/>
    <x v="0"/>
    <s v="PMS0026"/>
    <s v="Masterista Dark Chocolate 800Gr"/>
    <n v="1"/>
    <s v="POU"/>
    <n v="1"/>
    <n v="148351.5"/>
    <n v="0"/>
    <s v="Invoice"/>
    <s v="Sudah Jadi FJ"/>
    <s v="Kirim ke Tiga Djaya Jempiring"/>
  </r>
  <r>
    <d v="2026-10-27T00:00:00"/>
    <d v="2026-10-26T00:00:00"/>
    <s v="SO-KU/2610/260016"/>
    <s v="MKU Bali"/>
    <x v="156"/>
    <x v="0"/>
    <x v="0"/>
    <s v="PMS0033"/>
    <s v="Masterista Ice Shaken Lemon Tea 1000Gr"/>
    <n v="2"/>
    <s v="PACK"/>
    <n v="2"/>
    <n v="119880"/>
    <n v="0"/>
    <s v="Invoice"/>
    <s v="Sudah Jadi FJ"/>
    <s v="Kirim ke Tiga Djaya Jempiring"/>
  </r>
  <r>
    <d v="2026-10-27T00:00:00"/>
    <d v="2026-10-26T00:00:00"/>
    <s v="SO-KU/2610/260018"/>
    <s v="MKU Bali"/>
    <x v="157"/>
    <x v="0"/>
    <x v="7"/>
    <s v="POT0120"/>
    <s v="Bottegaio Umbro Olio Evo Cucina 5Lt"/>
    <n v="4"/>
    <s v="GLN"/>
    <n v="4"/>
    <n v="2600000.02"/>
    <n v="0"/>
    <s v="Invoice"/>
    <s v="Sudah Jadi FJ"/>
    <s v=""/>
  </r>
  <r>
    <d v="2026-10-27T00:00:00"/>
    <d v="2026-10-26T00:00:00"/>
    <s v="SO-KU/2610/260019"/>
    <s v="MKU Bali"/>
    <x v="23"/>
    <x v="0"/>
    <x v="0"/>
    <s v="PMS0134"/>
    <s v="Masterista Syrup Salted Caramel 850 ML"/>
    <n v="2"/>
    <s v="BTL"/>
    <n v="2"/>
    <n v="220000"/>
    <n v="0"/>
    <s v="Invoice"/>
    <s v="Sudah Jadi FJ"/>
    <s v=""/>
  </r>
  <r>
    <d v="2026-10-27T00:00:00"/>
    <d v="2026-10-26T00:00:00"/>
    <s v="SO-KU/2610/260020"/>
    <s v="MKU Bali"/>
    <x v="22"/>
    <x v="0"/>
    <x v="0"/>
    <s v="PMS0134"/>
    <s v="Masterista Syrup Salted Caramel 850 ML"/>
    <n v="2"/>
    <s v="BTL"/>
    <n v="2"/>
    <n v="220000"/>
    <n v="0"/>
    <s v="Invoice"/>
    <s v="Sudah Jadi FJ"/>
    <s v=""/>
  </r>
  <r>
    <d v="2026-10-27T00:00:00"/>
    <d v="2026-10-26T00:00:00"/>
    <s v="SO-KU/2610/260021"/>
    <s v="MKU Bali"/>
    <x v="20"/>
    <x v="0"/>
    <x v="0"/>
    <s v="PMS0134"/>
    <s v="Masterista Syrup Salted Caramel 850 ML"/>
    <n v="2"/>
    <s v="BTL"/>
    <n v="2"/>
    <n v="220000"/>
    <n v="0"/>
    <s v="Invoice"/>
    <s v="Sudah Jadi FJ"/>
    <s v=""/>
  </r>
  <r>
    <d v="2026-10-27T00:00:00"/>
    <d v="2026-10-26T00:00:00"/>
    <s v="SO-KU/2610/260022"/>
    <s v="MKU Bali"/>
    <x v="19"/>
    <x v="0"/>
    <x v="0"/>
    <s v="PMS0134"/>
    <s v="Masterista Syrup Salted Caramel 850 ML"/>
    <n v="2"/>
    <s v="BTL"/>
    <n v="2"/>
    <n v="220000"/>
    <n v="0"/>
    <s v="Invoice"/>
    <s v="Sudah Jadi FJ"/>
    <s v=""/>
  </r>
  <r>
    <d v="2026-10-27T00:00:00"/>
    <d v="2026-10-26T00:00:00"/>
    <s v="SO-KU/2610/260023"/>
    <s v="MKU Bali"/>
    <x v="158"/>
    <x v="0"/>
    <x v="7"/>
    <s v="PAS0036"/>
    <s v="Crr Rock'n Hash Brown Triangular 2.5Kg"/>
    <n v="6"/>
    <s v="PACK"/>
    <n v="6"/>
    <n v="794999.99"/>
    <n v="0"/>
    <s v="Invoice"/>
    <s v="Sudah Jadi FJ"/>
    <s v=""/>
  </r>
  <r>
    <d v="2026-10-27T00:00:00"/>
    <d v="2026-10-26T00:00:00"/>
    <s v="SO-KU/2610/260024"/>
    <s v="MKU Bali"/>
    <x v="159"/>
    <x v="0"/>
    <x v="15"/>
    <s v="PIF0012"/>
    <s v="Pristine Classic Cooking Cream 1 Lt"/>
    <n v="5"/>
    <s v="LTR"/>
    <n v="5"/>
    <n v="325000"/>
    <n v="0"/>
    <s v="Invoice"/>
    <s v="Sudah Jadi FJ"/>
    <s v=""/>
  </r>
  <r>
    <d v="2026-10-27T00:00:00"/>
    <d v="2026-10-26T00:00:00"/>
    <s v="SO-KU/2610/260025"/>
    <s v="MKU Bali"/>
    <x v="160"/>
    <x v="0"/>
    <x v="7"/>
    <s v="ASS-EBT"/>
    <s v="English Breakfast@50TB/Box"/>
    <n v="2"/>
    <s v="BOX"/>
    <n v="2"/>
    <n v="213180.01"/>
    <n v="0"/>
    <s v="Invoice"/>
    <s v="Sudah Jadi FJ"/>
    <s v="ke central kitchen"/>
  </r>
  <r>
    <d v="2026-10-27T00:00:00"/>
    <d v="2026-10-26T00:00:00"/>
    <s v="SO-KU/2610/260025"/>
    <s v="MKU Bali"/>
    <x v="160"/>
    <x v="0"/>
    <x v="7"/>
    <s v="ASS-JVG"/>
    <s v="Java Ginger @50TB/Box"/>
    <n v="1"/>
    <s v="BOX"/>
    <n v="1"/>
    <n v="121000"/>
    <n v="0"/>
    <s v="Invoice"/>
    <s v="Sudah Jadi FJ"/>
    <s v="ke central kitchen"/>
  </r>
  <r>
    <d v="2026-10-27T00:00:00"/>
    <d v="2026-10-26T00:00:00"/>
    <s v="SO-KU/2610/260026"/>
    <s v="MKU Bali"/>
    <x v="161"/>
    <x v="1"/>
    <x v="1"/>
    <s v="PIF0012"/>
    <s v="Pristine Classic Cooking Cream 1 Lt"/>
    <n v="3"/>
    <s v="LTR"/>
    <n v="3"/>
    <n v="150000.01"/>
    <n v="0"/>
    <s v="Invoice"/>
    <s v="Sudah Jadi FJ"/>
    <s v=" barang dyr &amp; frozen"/>
  </r>
  <r>
    <d v="2026-10-27T00:00:00"/>
    <d v="2026-10-26T00:00:00"/>
    <s v="SO-KU/2610/260027"/>
    <s v="MKU Bali"/>
    <x v="161"/>
    <x v="1"/>
    <x v="1"/>
    <s v="PSJ0019"/>
    <s v="Pork B Sliced (1kg/pack)"/>
    <n v="2"/>
    <s v="KG"/>
    <n v="2"/>
    <n v="200000"/>
    <n v="0"/>
    <s v="Invoice"/>
    <s v="Sudah Jadi FJ"/>
    <s v=" barang dyr &amp; frozen"/>
  </r>
  <r>
    <d v="2026-10-27T00:00:00"/>
    <d v="2026-10-26T00:00:00"/>
    <s v="SO-KU/2610/260028"/>
    <s v="MKU Bali"/>
    <x v="162"/>
    <x v="0"/>
    <x v="8"/>
    <s v="PAS0014"/>
    <s v="Crr Rock'n Hash Brown Triangular 10Kg/Ctn"/>
    <n v="3"/>
    <s v="KTN"/>
    <n v="3"/>
    <n v="1650000.02"/>
    <n v="0"/>
    <s v="Invoice"/>
    <s v="Sudah Jadi FJ"/>
    <s v=""/>
  </r>
  <r>
    <d v="2026-10-27T00:00:00"/>
    <d v="2026-10-26T00:00:00"/>
    <s v="SO-KU/2610/260029"/>
    <s v="MKU Bali"/>
    <x v="163"/>
    <x v="0"/>
    <x v="19"/>
    <s v="PMS0024"/>
    <s v="Masterista Original Matcha 800Gr"/>
    <n v="24"/>
    <s v="POU"/>
    <n v="24"/>
    <n v="4044165.1200000001"/>
    <n v="0"/>
    <s v="Invoice"/>
    <s v="Sudah Jadi FJ"/>
    <s v=""/>
  </r>
  <r>
    <d v="2026-10-27T00:00:00"/>
    <d v="2026-10-26T00:00:00"/>
    <s v="SO-KU/2610/260029"/>
    <s v="MKU Bali"/>
    <x v="163"/>
    <x v="0"/>
    <x v="19"/>
    <s v="PMS0026"/>
    <s v="Masterista Dark Chocolate 800Gr"/>
    <n v="12"/>
    <s v="POU"/>
    <n v="12"/>
    <n v="1978020"/>
    <n v="0"/>
    <s v="Invoice"/>
    <s v="Sudah Jadi FJ"/>
    <s v=""/>
  </r>
  <r>
    <d v="2026-10-27T00:00:00"/>
    <d v="2026-10-26T00:00:00"/>
    <s v="SO-KU/2610/260029"/>
    <s v="MKU Bali"/>
    <x v="163"/>
    <x v="0"/>
    <x v="19"/>
    <s v="PMS0031"/>
    <s v="Masterista Aren Sugar Liquid 1000Gr"/>
    <n v="40"/>
    <s v="POU"/>
    <n v="31"/>
    <n v="1797922.5"/>
    <n v="-9"/>
    <s v="Invoice"/>
    <s v="Sudah Jadi FJ"/>
    <s v=""/>
  </r>
  <r>
    <d v="2026-10-27T00:00:00"/>
    <d v="2026-10-26T00:00:00"/>
    <s v="SO-KU/2610/260029"/>
    <s v="MKU Bali"/>
    <x v="163"/>
    <x v="0"/>
    <x v="19"/>
    <s v="PMS0076"/>
    <s v="Masterista Creamer Base (Creamy)"/>
    <n v="48"/>
    <s v="PACK"/>
    <n v="2"/>
    <n v="57997.5"/>
    <n v="-46"/>
    <s v="Invoice"/>
    <s v="Sudah Jadi FJ"/>
    <s v=""/>
  </r>
  <r>
    <d v="2026-10-27T00:00:00"/>
    <d v="2026-10-26T00:00:00"/>
    <s v="SO-KU/2610/260032"/>
    <s v="MKU Bali"/>
    <x v="44"/>
    <x v="0"/>
    <x v="13"/>
    <s v="POT0161"/>
    <s v="La Valle Whole Peeled Tomatoes 2.5 Kg"/>
    <n v="18"/>
    <s v="CAN"/>
    <n v="18"/>
    <n v="1530000.07"/>
    <n v="0"/>
    <s v="Invoice"/>
    <s v="Sudah Jadi FJ"/>
    <s v="_x000a_JAM PENERIMAAN BARANG 09:00 S/D 13:00"/>
  </r>
  <r>
    <d v="2026-10-27T00:00:00"/>
    <d v="2026-10-26T00:00:00"/>
    <s v="SO-KU/2610/260033"/>
    <s v="MKU Bali"/>
    <x v="59"/>
    <x v="0"/>
    <x v="5"/>
    <s v="POT0161"/>
    <s v="La Valle Whole Peeled Tomatoes 2.5 Kg"/>
    <n v="12"/>
    <s v="CAN"/>
    <n v="12"/>
    <n v="960000.11"/>
    <n v="0"/>
    <s v="Invoice"/>
    <s v="Sudah Jadi FJ"/>
    <s v="kitchen fbc"/>
  </r>
  <r>
    <d v="2026-10-27T00:00:00"/>
    <d v="2026-10-26T00:00:00"/>
    <s v="SO-KU/2610/260034"/>
    <s v="MKU Bali"/>
    <x v="54"/>
    <x v="0"/>
    <x v="16"/>
    <s v="POT0110"/>
    <s v="Bergold Shredded Pizza Topping Mozzarella"/>
    <n v="30"/>
    <s v="KG"/>
    <n v="30"/>
    <n v="3840000.16"/>
    <n v="0"/>
    <s v="Invoice"/>
    <s v="Sudah Jadi FJ"/>
    <s v=""/>
  </r>
  <r>
    <d v="2026-10-27T00:00:00"/>
    <d v="2026-10-26T00:00:00"/>
    <s v="SO-KU/2610/260035"/>
    <s v="MKU Bali"/>
    <x v="56"/>
    <x v="0"/>
    <x v="17"/>
    <s v="PAS0014"/>
    <s v="Crr Rock'n Hash Brown Triangular 10Kg/Ctn"/>
    <n v="2"/>
    <s v="KTN"/>
    <n v="2"/>
    <n v="1000000"/>
    <n v="0"/>
    <s v="Invoice"/>
    <s v="Sudah Jadi FJ"/>
    <s v="di Peking"/>
  </r>
  <r>
    <d v="2026-10-27T00:00:00"/>
    <d v="2026-10-26T00:00:00"/>
    <s v="SO-KU/2610/260036"/>
    <s v="MKU Bali"/>
    <x v="164"/>
    <x v="0"/>
    <x v="0"/>
    <s v="PAS0040"/>
    <s v="Crr Rock'n Batter Skin On Fries 9x9mm 2.5 Kg"/>
    <n v="8"/>
    <s v="PACK"/>
    <n v="8"/>
    <n v="1140000.01"/>
    <n v="0"/>
    <s v="Invoice"/>
    <s v="Sudah Jadi FJ"/>
    <s v=""/>
  </r>
  <r>
    <d v="2026-10-27T00:00:00"/>
    <d v="2026-10-26T00:00:00"/>
    <s v="SO-KU/2610/260037"/>
    <s v="MKU Bali"/>
    <x v="57"/>
    <x v="0"/>
    <x v="0"/>
    <s v="PSJ0027"/>
    <s v="Iga Babi Super"/>
    <n v="24"/>
    <s v="KG"/>
    <n v="28.78"/>
    <n v="3453600"/>
    <n v="4.78"/>
    <s v="Invoice"/>
    <s v="Sudah Jadi FJ"/>
    <s v="US prime -  6 loaf"/>
  </r>
  <r>
    <d v="2026-10-27T00:00:00"/>
    <d v="2026-10-26T00:00:00"/>
    <s v="SO-KU/2610/260037"/>
    <s v="MKU Bali"/>
    <x v="57"/>
    <x v="0"/>
    <x v="0"/>
    <s v="PAS0040"/>
    <s v="Crr Rock'n Batter Skin On Fries 9x9mm 2.5 Kg"/>
    <n v="10"/>
    <s v="PACK"/>
    <n v="10"/>
    <n v="1275000"/>
    <n v="0"/>
    <s v="Invoice"/>
    <s v="Sudah Jadi FJ"/>
    <s v="US prime -  6 loaf"/>
  </r>
  <r>
    <d v="2026-10-27T00:00:00"/>
    <d v="2026-10-26T00:00:00"/>
    <s v="SO-KU/2610/260038"/>
    <s v="MKU Bali"/>
    <x v="62"/>
    <x v="1"/>
    <x v="16"/>
    <s v="PMS0024"/>
    <s v="Masterista Original Matcha 800Gr"/>
    <n v="2"/>
    <s v="POU"/>
    <n v="2"/>
    <n v="337020"/>
    <n v="0"/>
    <s v="Invoice"/>
    <s v="Sudah Jadi FJ"/>
    <s v="KIRIM KE WARUNG MANIK GIANYAR"/>
  </r>
  <r>
    <d v="2026-10-27T00:00:00"/>
    <d v="2026-10-26T00:00:00"/>
    <s v="SO-KU/2610/260038"/>
    <s v="MKU Bali"/>
    <x v="62"/>
    <x v="1"/>
    <x v="16"/>
    <s v="PMS0130"/>
    <s v="Masterista Syrup Classic Caramel 850ml"/>
    <n v="1"/>
    <s v="BTL"/>
    <n v="1"/>
    <n v="110000"/>
    <n v="0"/>
    <s v="Invoice"/>
    <s v="Sudah Jadi FJ"/>
    <s v="KIRIM KE WARUNG MANIK GIANYAR"/>
  </r>
  <r>
    <d v="2026-10-27T00:00:00"/>
    <d v="2026-10-26T00:00:00"/>
    <s v="SO-KU/2610/260038"/>
    <s v="MKU Bali"/>
    <x v="62"/>
    <x v="1"/>
    <x v="16"/>
    <s v="PMS0131"/>
    <s v="Masterista Syrup Tropical Lychee 850 Ml"/>
    <n v="2"/>
    <s v="BTL"/>
    <n v="2"/>
    <n v="220000"/>
    <n v="0"/>
    <s v="Invoice"/>
    <s v="Sudah Jadi FJ"/>
    <s v="KIRIM KE WARUNG MANIK GIANYAR"/>
  </r>
  <r>
    <d v="2026-10-27T00:00:00"/>
    <d v="2026-10-26T00:00:00"/>
    <s v="SO-KU/2610/260038"/>
    <s v="MKU Bali"/>
    <x v="62"/>
    <x v="1"/>
    <x v="16"/>
    <s v="PMS0133"/>
    <s v="Masterista Syrup Blue Lagoon 850ml"/>
    <n v="1"/>
    <s v="BTL"/>
    <n v="1"/>
    <n v="110000"/>
    <n v="0"/>
    <s v="Invoice"/>
    <s v="Sudah Jadi FJ"/>
    <s v="KIRIM KE WARUNG MANIK GIANYAR"/>
  </r>
  <r>
    <d v="2026-10-27T00:00:00"/>
    <d v="2026-10-26T00:00:00"/>
    <s v="SO-KU/2610/260039"/>
    <s v="MKU Bali"/>
    <x v="165"/>
    <x v="1"/>
    <x v="16"/>
    <s v="PMS0094"/>
    <s v="Masterista Syrup Butterscotch 850 Ml"/>
    <n v="2"/>
    <s v="BTL"/>
    <n v="2"/>
    <n v="220000"/>
    <n v="0"/>
    <s v="Invoice"/>
    <s v="Sudah Jadi FJ"/>
    <s v=""/>
  </r>
  <r>
    <d v="2026-10-27T00:00:00"/>
    <d v="2026-10-26T00:00:00"/>
    <s v="SO-KU/2610/260040"/>
    <s v="MKU Bali"/>
    <x v="166"/>
    <x v="1"/>
    <x v="17"/>
    <s v="PAA0004"/>
    <s v="Bergold Pikant Mozzarella Block"/>
    <n v="23"/>
    <s v="KG"/>
    <n v="21.829899999999999"/>
    <n v="2052020.13"/>
    <n v="-1.1700999999999999"/>
    <s v="Invoice"/>
    <s v="Sudah Jadi FJ"/>
    <s v="10 lup"/>
  </r>
  <r>
    <d v="2026-10-27T00:00:00"/>
    <d v="2026-10-26T00:00:00"/>
    <s v="SO-KU/2610/260041"/>
    <s v="MKU Bali"/>
    <x v="167"/>
    <x v="1"/>
    <x v="17"/>
    <s v="POS0025"/>
    <s v="O Sole Doppio Concentrato Paste Tomato 2.2 Kg"/>
    <n v="12"/>
    <s v="CAN"/>
    <n v="12"/>
    <n v="1500000.1"/>
    <n v="0"/>
    <s v="Invoice"/>
    <s v="Sudah Jadi FJ"/>
    <s v=""/>
  </r>
  <r>
    <d v="2026-10-27T00:00:00"/>
    <d v="2026-10-26T00:00:00"/>
    <s v="SO-KU/2610/260042"/>
    <s v="MKU Bali"/>
    <x v="168"/>
    <x v="1"/>
    <x v="16"/>
    <s v="PMS0131"/>
    <s v="Masterista Syrup Tropical Lychee 850 Ml"/>
    <n v="1"/>
    <s v="BTL"/>
    <n v="1"/>
    <n v="110000"/>
    <n v="0"/>
    <s v="Invoice"/>
    <s v="Sudah Jadi FJ"/>
    <s v=""/>
  </r>
  <r>
    <d v="2026-10-27T00:00:00"/>
    <d v="2026-10-26T00:00:00"/>
    <s v="SO-KU/2610/260042"/>
    <s v="MKU Bali"/>
    <x v="168"/>
    <x v="1"/>
    <x v="16"/>
    <s v="PMS0132"/>
    <s v="Masterista Syrup Vanilla Tradition 850ml"/>
    <n v="1"/>
    <s v="BTL"/>
    <n v="1"/>
    <n v="110000"/>
    <n v="0"/>
    <s v="Invoice"/>
    <s v="Sudah Jadi FJ"/>
    <s v=""/>
  </r>
  <r>
    <d v="2026-10-27T00:00:00"/>
    <d v="2026-10-26T00:00:00"/>
    <s v="SO-KU/2610/260042"/>
    <s v="MKU Bali"/>
    <x v="168"/>
    <x v="1"/>
    <x v="16"/>
    <s v="PMS0134"/>
    <s v="Masterista Syrup Salted Caramel 850 ML"/>
    <n v="1"/>
    <s v="BTL"/>
    <n v="1"/>
    <n v="110000"/>
    <n v="0"/>
    <s v="Invoice"/>
    <s v="Sudah Jadi FJ"/>
    <s v=""/>
  </r>
  <r>
    <d v="2026-10-27T00:00:00"/>
    <d v="2026-10-26T00:00:00"/>
    <s v="SO-KU/2610/260043"/>
    <s v="MKU Bali"/>
    <x v="169"/>
    <x v="1"/>
    <x v="17"/>
    <s v="POT0034"/>
    <s v="Premium Straight Cut 6x2Kg"/>
    <n v="12"/>
    <s v="KTN"/>
    <n v="12"/>
    <n v="4032000.1"/>
    <n v="0"/>
    <s v="Invoice"/>
    <s v="Sudah Jadi FJ"/>
    <s v=""/>
  </r>
  <r>
    <d v="2026-10-27T00:00:00"/>
    <d v="2026-10-26T00:00:00"/>
    <s v="SO-KU/2610/260044"/>
    <s v="MKU Bali"/>
    <x v="170"/>
    <x v="1"/>
    <x v="3"/>
    <s v="PMS0093"/>
    <s v="Masterista Syrup Strawberry 850 Ml"/>
    <n v="1"/>
    <s v="BTL"/>
    <n v="1"/>
    <n v="110000"/>
    <n v="0"/>
    <s v="Invoice"/>
    <s v="Sudah Jadi FJ"/>
    <s v=""/>
  </r>
  <r>
    <d v="2026-10-27T00:00:00"/>
    <d v="2026-10-26T00:00:00"/>
    <s v="SO-KU/2610/260044"/>
    <s v="MKU Bali"/>
    <x v="170"/>
    <x v="1"/>
    <x v="3"/>
    <s v="PMS0120"/>
    <s v="Masterista Sweet Sauce Salted Caramel 500 Gr"/>
    <n v="2"/>
    <s v="BTL"/>
    <n v="2"/>
    <n v="116000"/>
    <n v="0"/>
    <s v="Invoice"/>
    <s v="Sudah Jadi FJ"/>
    <s v=""/>
  </r>
  <r>
    <d v="2026-10-27T00:00:00"/>
    <d v="2026-10-26T00:00:00"/>
    <s v="SO-KU/2610/260044"/>
    <s v="MKU Bali"/>
    <x v="170"/>
    <x v="1"/>
    <x v="3"/>
    <s v="PMS0185"/>
    <s v="Masterista Syrup Pistachio 850 Ml"/>
    <n v="1"/>
    <s v="BTL"/>
    <n v="1"/>
    <n v="110000"/>
    <n v="0"/>
    <s v="Invoice"/>
    <s v="Sudah Jadi FJ"/>
    <s v=""/>
  </r>
  <r>
    <d v="2026-10-27T00:00:00"/>
    <d v="2026-10-26T00:00:00"/>
    <s v="SO-KU/2610/260046"/>
    <s v="MKU Bali"/>
    <x v="131"/>
    <x v="0"/>
    <x v="16"/>
    <s v="PAS0014"/>
    <s v="Crr Rock'n Hash Brown Triangular 10Kg/Ctn"/>
    <n v="1"/>
    <s v="KTN"/>
    <n v="1"/>
    <n v="520000"/>
    <n v="0"/>
    <s v="Invoice"/>
    <s v="Sudah Jadi FJ"/>
    <s v=""/>
  </r>
  <r>
    <d v="2026-10-27T00:00:00"/>
    <d v="2026-10-26T00:00:00"/>
    <s v="SO-KU/2610/260047"/>
    <s v="MKU Bali"/>
    <x v="171"/>
    <x v="0"/>
    <x v="16"/>
    <s v="PAS0027"/>
    <s v="Maestro FF 10x10mm Straight Cut 10Kg/Ctn"/>
    <n v="1"/>
    <s v="KTN"/>
    <n v="1"/>
    <n v="390000"/>
    <n v="0"/>
    <s v="Invoice"/>
    <s v="Sudah Jadi FJ"/>
    <s v=""/>
  </r>
  <r>
    <d v="2026-10-27T00:00:00"/>
    <d v="2026-10-26T00:00:00"/>
    <s v="SO-KU/2610/260047"/>
    <s v="MKU Bali"/>
    <x v="171"/>
    <x v="0"/>
    <x v="16"/>
    <s v="PAS0036"/>
    <s v="Crr Rock'n Hash Brown Triangular 2.5Kg"/>
    <n v="3"/>
    <s v="PACK"/>
    <n v="3"/>
    <n v="412500"/>
    <n v="0"/>
    <s v="Invoice"/>
    <s v="Sudah Jadi FJ"/>
    <s v=""/>
  </r>
  <r>
    <d v="2026-10-27T00:00:00"/>
    <d v="2026-10-26T00:00:00"/>
    <s v="SO-KU/2610/260049"/>
    <s v="MKU Bali"/>
    <x v="172"/>
    <x v="0"/>
    <x v="8"/>
    <s v="PIF0012"/>
    <s v="Pristine Classic Cooking Cream 1 Lt"/>
    <n v="12"/>
    <s v="LTR"/>
    <n v="12"/>
    <n v="840000"/>
    <n v="0"/>
    <s v="Invoice"/>
    <s v="Sudah Jadi FJ"/>
    <s v=""/>
  </r>
  <r>
    <d v="2026-10-27T00:00:00"/>
    <d v="2026-10-26T00:00:00"/>
    <s v="SO-KU/2610/260050"/>
    <s v="MKU Bali"/>
    <x v="172"/>
    <x v="0"/>
    <x v="8"/>
    <s v="PAA0001"/>
    <s v="Bergold Mozzarella Block"/>
    <n v="10"/>
    <s v="KG"/>
    <n v="8.7200000000000006"/>
    <n v="959200.01"/>
    <n v="-1.28"/>
    <s v="Invoice"/>
    <s v="Sudah Jadi FJ"/>
    <s v=""/>
  </r>
  <r>
    <d v="2026-10-27T00:00:00"/>
    <d v="2026-10-26T00:00:00"/>
    <s v="SO-KU/2610/260052"/>
    <s v="MKU Bali"/>
    <x v="69"/>
    <x v="0"/>
    <x v="7"/>
    <s v="PIF0012"/>
    <s v="Pristine Classic Cooking Cream 1 Lt"/>
    <n v="3"/>
    <s v="LTR"/>
    <n v="3"/>
    <n v="204000"/>
    <n v="0"/>
    <s v="Invoice"/>
    <s v="Sudah Jadi FJ"/>
    <s v=""/>
  </r>
  <r>
    <d v="2026-10-27T00:00:00"/>
    <d v="2026-10-26T00:00:00"/>
    <s v="SO-KU/2610/260054"/>
    <s v="MKU Bali"/>
    <x v="173"/>
    <x v="0"/>
    <x v="11"/>
    <s v="PMS0027"/>
    <s v="Masterista Red Velvet Expecta 800Gr"/>
    <n v="3"/>
    <s v="POU"/>
    <n v="3"/>
    <n v="469530"/>
    <n v="0"/>
    <s v="Invoice"/>
    <s v="Sudah Jadi FJ"/>
    <s v=""/>
  </r>
  <r>
    <d v="2026-10-27T00:00:00"/>
    <d v="2026-10-26T00:00:00"/>
    <s v="SO-KU/2610/260055"/>
    <s v="MKU Bali"/>
    <x v="174"/>
    <x v="0"/>
    <x v="15"/>
    <s v="PAS0014"/>
    <s v="Crr Rock'n Hash Brown Triangular 10Kg/Ctn"/>
    <n v="1"/>
    <s v="KTN"/>
    <n v="1"/>
    <n v="520000"/>
    <n v="0"/>
    <s v="Invoice"/>
    <s v="Sudah Jadi FJ"/>
    <s v=""/>
  </r>
  <r>
    <d v="2026-10-27T00:00:00"/>
    <d v="2026-10-26T00:00:00"/>
    <s v="SO-KU/2610/260055"/>
    <s v="MKU Bali"/>
    <x v="174"/>
    <x v="0"/>
    <x v="15"/>
    <s v="PAS0036"/>
    <s v="Crr Rock'n Hash Brown Triangular 2.5Kg"/>
    <n v="2"/>
    <s v="PACK"/>
    <n v="2"/>
    <n v="260000.01"/>
    <n v="0"/>
    <s v="Invoice"/>
    <s v="Sudah Jadi FJ"/>
    <s v=""/>
  </r>
  <r>
    <d v="2026-10-27T00:00:00"/>
    <d v="2026-10-26T00:00:00"/>
    <s v="SO-KU/2610/260057"/>
    <s v="MKU Bali"/>
    <x v="72"/>
    <x v="0"/>
    <x v="7"/>
    <s v="PSJ0019"/>
    <s v="Pork B Sliced (1kg/pack)"/>
    <n v="5"/>
    <s v="KG"/>
    <n v="5"/>
    <n v="550000"/>
    <n v="0"/>
    <s v="Invoice"/>
    <s v="Sudah Jadi FJ"/>
    <s v=""/>
  </r>
  <r>
    <d v="2026-10-27T00:00:00"/>
    <d v="2026-10-26T00:00:00"/>
    <s v="SO-KU/2610/260058"/>
    <s v="MKU Bali"/>
    <x v="175"/>
    <x v="0"/>
    <x v="16"/>
    <s v="PAS0036"/>
    <s v="Crr Rock'n Hash Brown Triangular 2.5Kg"/>
    <n v="3"/>
    <s v="PACK"/>
    <n v="3"/>
    <n v="465000"/>
    <n v="0"/>
    <s v="Invoice"/>
    <s v="Sudah Jadi FJ"/>
    <s v=""/>
  </r>
  <r>
    <d v="2026-10-27T00:00:00"/>
    <d v="2026-10-26T00:00:00"/>
    <s v="SO-KU/2610/260058"/>
    <s v="MKU Bali"/>
    <x v="175"/>
    <x v="0"/>
    <x v="16"/>
    <s v="PAS0037"/>
    <s v="Crr Rock'n Super Crispy Jakets Spicy Wedges 2.5Kg"/>
    <n v="8"/>
    <s v="PACK"/>
    <n v="8"/>
    <n v="1139999.99"/>
    <n v="0"/>
    <s v="Invoice"/>
    <s v="Sudah Jadi FJ"/>
    <s v=""/>
  </r>
  <r>
    <d v="2026-10-27T00:00:00"/>
    <d v="2026-10-26T00:00:00"/>
    <s v="SO-KU/2610/260059"/>
    <s v="MKU Bali"/>
    <x v="176"/>
    <x v="0"/>
    <x v="16"/>
    <s v="PIF0011"/>
    <s v="Pristine Classic Whip Topping 1 Lt"/>
    <n v="12"/>
    <s v="LTR"/>
    <n v="12"/>
    <n v="772560"/>
    <n v="0"/>
    <s v="Invoice"/>
    <s v="Sudah Jadi FJ"/>
    <s v="BAR CRETYA"/>
  </r>
  <r>
    <d v="2026-10-27T00:00:00"/>
    <d v="2026-10-26T00:00:00"/>
    <s v="SO-KU/2610/260060"/>
    <s v="MKU Bali"/>
    <x v="177"/>
    <x v="0"/>
    <x v="5"/>
    <s v="PAA0001"/>
    <s v="Bergold Mozzarella Block"/>
    <n v="2.2999999999999998"/>
    <s v="KG"/>
    <n v="2.2000000000000002"/>
    <n v="202400.02"/>
    <n v="-0.1"/>
    <s v="Invoice"/>
    <s v="Sudah Jadi FJ"/>
    <s v="1 loaf"/>
  </r>
  <r>
    <d v="2026-10-27T00:00:00"/>
    <d v="2026-10-26T00:00:00"/>
    <s v="SO-KU/2610/260061"/>
    <s v="MKU Bali"/>
    <x v="178"/>
    <x v="1"/>
    <x v="16"/>
    <s v="ASS-LY-TB50"/>
    <s v="Lychee Tea @50TB/Box"/>
    <n v="2"/>
    <s v="BOX"/>
    <n v="2"/>
    <n v="235620.01"/>
    <n v="0"/>
    <s v="Invoice"/>
    <s v="Sudah Jadi FJ"/>
    <s v=""/>
  </r>
  <r>
    <d v="2026-10-27T00:00:00"/>
    <d v="2026-10-26T00:00:00"/>
    <s v="SO-KU/2610/260063"/>
    <s v="MKU Bali"/>
    <x v="79"/>
    <x v="0"/>
    <x v="1"/>
    <s v="PEA0010"/>
    <s v="Gold Box Extra Butter MP341 1 Kg"/>
    <n v="3"/>
    <s v="KG"/>
    <n v="3"/>
    <n v="327000.01"/>
    <n v="0"/>
    <s v="Invoice"/>
    <s v="Sudah Jadi FJ"/>
    <s v="DOMESTIK"/>
  </r>
  <r>
    <d v="2026-10-27T00:00:00"/>
    <d v="2026-10-26T00:00:00"/>
    <s v="SO-KU/2610/260064"/>
    <s v="MKU Bali"/>
    <x v="79"/>
    <x v="0"/>
    <x v="1"/>
    <s v="ASS-EB-LP250"/>
    <s v="English Breakfast @250gr/Pouch"/>
    <n v="2"/>
    <s v="POU"/>
    <n v="2"/>
    <n v="388500"/>
    <n v="0"/>
    <s v="Invoice"/>
    <s v="Sudah Jadi FJ"/>
    <s v="DOMES_x000d__x000a_"/>
  </r>
  <r>
    <d v="2026-10-27T00:00:00"/>
    <d v="2026-10-26T00:00:00"/>
    <s v="SO-KU/2610/260064"/>
    <s v="MKU Bali"/>
    <x v="79"/>
    <x v="0"/>
    <x v="1"/>
    <s v="ASS-EBT"/>
    <s v="English Breakfast@50TB/Box"/>
    <n v="12"/>
    <s v="BOX"/>
    <n v="12"/>
    <n v="1049999.99"/>
    <n v="0"/>
    <s v="Invoice"/>
    <s v="Sudah Jadi FJ"/>
    <s v="DOMES_x000d__x000a_"/>
  </r>
  <r>
    <d v="2026-10-27T00:00:00"/>
    <d v="2026-10-26T00:00:00"/>
    <s v="SO-KU/2610/260066"/>
    <s v="MKU Bali"/>
    <x v="79"/>
    <x v="0"/>
    <x v="1"/>
    <s v="PEA0010"/>
    <s v="Gold Box Extra Butter MP341 1 Kg"/>
    <n v="4"/>
    <s v="KG"/>
    <n v="4"/>
    <n v="436000.01"/>
    <n v="0"/>
    <s v="Invoice"/>
    <s v="Sudah Jadi FJ"/>
    <s v="INTERNASIONAL"/>
  </r>
  <r>
    <d v="2026-10-27T00:00:00"/>
    <d v="2026-10-26T00:00:00"/>
    <s v="SO-KU/2610/260067"/>
    <s v="MKU Bali"/>
    <x v="79"/>
    <x v="0"/>
    <x v="1"/>
    <s v="ASS-EB-LP250"/>
    <s v="English Breakfast @250gr/Pouch"/>
    <n v="5"/>
    <s v="POU"/>
    <n v="5"/>
    <n v="971250"/>
    <n v="0"/>
    <s v="Invoice"/>
    <s v="Sudah Jadi FJ"/>
    <s v="INTE"/>
  </r>
  <r>
    <d v="2026-10-27T00:00:00"/>
    <d v="2026-10-26T00:00:00"/>
    <s v="SO-KU/2610/260067"/>
    <s v="MKU Bali"/>
    <x v="79"/>
    <x v="0"/>
    <x v="1"/>
    <s v="ASS-EBT"/>
    <s v="English Breakfast@50TB/Box"/>
    <n v="2"/>
    <s v="BOX"/>
    <n v="2"/>
    <n v="175000"/>
    <n v="0"/>
    <s v="Invoice"/>
    <s v="Sudah Jadi FJ"/>
    <s v="INTE"/>
  </r>
  <r>
    <d v="2026-10-27T00:00:00"/>
    <d v="2026-10-26T00:00:00"/>
    <s v="SO-KU/2610/260068"/>
    <s v="MKU Bali"/>
    <x v="69"/>
    <x v="0"/>
    <x v="7"/>
    <s v="POT0038"/>
    <s v="Premium Straight Cut 2Kg"/>
    <n v="5"/>
    <s v="PACK"/>
    <n v="5"/>
    <n v="300000"/>
    <n v="0"/>
    <s v="Invoice"/>
    <s v="Sudah Jadi FJ"/>
    <s v=""/>
  </r>
  <r>
    <d v="2026-10-27T00:00:00"/>
    <d v="2026-10-26T00:00:00"/>
    <s v="SO-KU/2610/260069"/>
    <s v="MKU Bali"/>
    <x v="83"/>
    <x v="1"/>
    <x v="17"/>
    <s v="PQW0012"/>
    <s v="IQF FF Shoestring 2.5 Kg/Pack"/>
    <n v="4"/>
    <s v="PACK"/>
    <n v="4"/>
    <n v="320000"/>
    <n v="0"/>
    <s v="Invoice"/>
    <s v="Sudah Jadi FJ"/>
    <s v=""/>
  </r>
  <r>
    <d v="2026-10-27T00:00:00"/>
    <d v="2026-10-26T00:00:00"/>
    <s v="SO-KU/2610/260069"/>
    <s v="MKU Bali"/>
    <x v="83"/>
    <x v="1"/>
    <x v="17"/>
    <s v="PAS0041"/>
    <s v="Maestro FF 10x10mm Straight Cut 2.5 Kg"/>
    <n v="4"/>
    <s v="PACK"/>
    <n v="4"/>
    <n v="320000"/>
    <n v="0"/>
    <s v="Invoice"/>
    <s v="Sudah Jadi FJ"/>
    <s v=""/>
  </r>
  <r>
    <d v="2026-10-27T00:00:00"/>
    <d v="2026-10-26T00:00:00"/>
    <s v="SO-KU/2610/260069"/>
    <s v="MKU Bali"/>
    <x v="83"/>
    <x v="1"/>
    <x v="17"/>
    <s v="PAS0048"/>
    <s v="Maestro FF Shoestring 7x7mm 2.5 Kg"/>
    <n v="4"/>
    <s v="PACK"/>
    <n v="4"/>
    <n v="319999.99"/>
    <n v="0"/>
    <s v="Invoice"/>
    <s v="Sudah Jadi FJ"/>
    <s v=""/>
  </r>
  <r>
    <d v="2026-10-27T00:00:00"/>
    <d v="2026-10-26T00:00:00"/>
    <s v="SO-KU/2610/260069"/>
    <s v="MKU Bali"/>
    <x v="83"/>
    <x v="1"/>
    <x v="17"/>
    <s v="PAS0049"/>
    <s v="Maestro Crincle Cut 2.5 Kg"/>
    <n v="4"/>
    <s v="PACK"/>
    <n v="4"/>
    <n v="319999.99"/>
    <n v="0"/>
    <s v="Invoice"/>
    <s v="Sudah Jadi FJ"/>
    <s v=""/>
  </r>
  <r>
    <d v="2026-10-27T00:00:00"/>
    <d v="2026-10-26T00:00:00"/>
    <s v="SO-KU/2610/260069"/>
    <s v="MKU Bali"/>
    <x v="83"/>
    <x v="1"/>
    <x v="17"/>
    <s v="POT0038"/>
    <s v="Premium Straight Cut 2Kg"/>
    <n v="6"/>
    <s v="PACK"/>
    <n v="6"/>
    <n v="360000"/>
    <n v="0"/>
    <s v="Invoice"/>
    <s v="Sudah Jadi FJ"/>
    <s v=""/>
  </r>
  <r>
    <d v="2026-10-27T00:00:00"/>
    <d v="2026-10-26T00:00:00"/>
    <s v="SO-KU/2610/260069"/>
    <s v="MKU Bali"/>
    <x v="83"/>
    <x v="1"/>
    <x v="17"/>
    <s v="PKI0002"/>
    <s v="Premium Crincle Cut Fries 2 Kg"/>
    <n v="6"/>
    <s v="PACK"/>
    <n v="6"/>
    <n v="360000"/>
    <n v="0"/>
    <s v="Invoice"/>
    <s v="Sudah Jadi FJ"/>
    <s v=""/>
  </r>
  <r>
    <d v="2026-10-27T00:00:00"/>
    <d v="2026-10-26T00:00:00"/>
    <s v="SO-KU/2610/260070"/>
    <s v="MKU Bali"/>
    <x v="179"/>
    <x v="0"/>
    <x v="15"/>
    <s v="PMS0095"/>
    <s v="Masterista Syrup Tropical Mango 850 Ml"/>
    <n v="1"/>
    <s v="BTL"/>
    <n v="1"/>
    <n v="110000"/>
    <n v="0"/>
    <s v="Invoice"/>
    <s v="Sudah Jadi FJ"/>
    <s v=""/>
  </r>
  <r>
    <d v="2026-10-27T00:00:00"/>
    <d v="2026-10-26T00:00:00"/>
    <s v="SO-KU/2610/260071"/>
    <s v="MKU Bali"/>
    <x v="180"/>
    <x v="0"/>
    <x v="8"/>
    <s v="PAS0022"/>
    <s v="Crr Rock'n Simply Crrrrips Straight Cut Fries 10 Kg/Ctn"/>
    <n v="2"/>
    <s v="KTN"/>
    <n v="2"/>
    <n v="840000"/>
    <n v="0"/>
    <s v="Invoice"/>
    <s v="Sudah Jadi FJ"/>
    <s v=""/>
  </r>
  <r>
    <d v="2026-10-27T00:00:00"/>
    <d v="2026-10-26T00:00:00"/>
    <s v="SO-KU/2610/260074"/>
    <s v="MKU Bali"/>
    <x v="180"/>
    <x v="0"/>
    <x v="8"/>
    <s v="PDM0002"/>
    <s v="Armando Fettuccine 500 Gr/Pack"/>
    <n v="24"/>
    <s v="PACK"/>
    <n v="24"/>
    <n v="720000.08"/>
    <n v="0"/>
    <s v="Invoice"/>
    <s v="Sudah Jadi FJ"/>
    <s v=""/>
  </r>
  <r>
    <d v="2026-10-27T00:00:00"/>
    <d v="2026-10-26T00:00:00"/>
    <s v="SO-KU/2610/260075"/>
    <s v="MKU Bali"/>
    <x v="180"/>
    <x v="0"/>
    <x v="8"/>
    <s v="PAS0039"/>
    <s v="Crr Rock'n Simply Crrrrips Straight Cut Fries 2.5 Kg"/>
    <n v="2"/>
    <s v="PACK"/>
    <n v="2"/>
    <n v="210000"/>
    <n v="0"/>
    <s v="Invoice"/>
    <s v="Sudah Jadi FJ"/>
    <s v=""/>
  </r>
  <r>
    <d v="2026-10-27T00:00:00"/>
    <d v="2026-10-26T00:00:00"/>
    <s v="SO-KU/2610/260077"/>
    <s v="MKU Bali"/>
    <x v="180"/>
    <x v="0"/>
    <x v="8"/>
    <s v="PEA0003"/>
    <s v="Gold Box Melange Butter MP331"/>
    <n v="25"/>
    <s v="KG"/>
    <n v="25"/>
    <n v="2500000"/>
    <n v="0"/>
    <s v="Invoice"/>
    <s v="Sudah Jadi FJ"/>
    <s v=""/>
  </r>
  <r>
    <d v="2026-10-27T00:00:00"/>
    <d v="2026-10-26T00:00:00"/>
    <s v="SO-KU/2610/260078"/>
    <s v="MKU Bali"/>
    <x v="181"/>
    <x v="0"/>
    <x v="16"/>
    <s v="PAA0001"/>
    <s v="Bergold Mozzarella Block"/>
    <n v="5"/>
    <s v="KG"/>
    <n v="4.34"/>
    <n v="529914"/>
    <n v="-0.66"/>
    <s v="Invoice"/>
    <s v="Sudah Jadi FJ"/>
    <s v=""/>
  </r>
  <r>
    <d v="2026-10-27T00:00:00"/>
    <d v="2026-10-26T00:00:00"/>
    <s v="SO-KU/2610/260079"/>
    <s v="MKU Bali"/>
    <x v="92"/>
    <x v="0"/>
    <x v="15"/>
    <s v="PMS0178"/>
    <s v="Masterista Ceremonial Pure Matcha Powder 500 Gr"/>
    <n v="1"/>
    <s v="PACK"/>
    <n v="1"/>
    <n v="843600"/>
    <n v="0"/>
    <s v="Invoice"/>
    <s v="Sudah Jadi FJ"/>
    <s v=""/>
  </r>
  <r>
    <d v="2026-10-27T00:00:00"/>
    <d v="2026-10-26T00:00:00"/>
    <s v="SO-KU/2610/260080"/>
    <s v="MKU Bali"/>
    <x v="182"/>
    <x v="0"/>
    <x v="8"/>
    <s v="POT0110"/>
    <s v="Bergold Shredded Pizza Topping Mozzarella"/>
    <n v="1.5"/>
    <s v="KG"/>
    <n v="1.5"/>
    <n v="169500"/>
    <n v="0"/>
    <s v="Invoice"/>
    <s v="Sudah Jadi FJ"/>
    <s v=""/>
  </r>
  <r>
    <d v="2026-10-27T00:00:00"/>
    <d v="2026-10-26T00:00:00"/>
    <s v="SO-KU/2610/260081"/>
    <s v="MKU Bali"/>
    <x v="158"/>
    <x v="0"/>
    <x v="7"/>
    <s v="PAS0036"/>
    <s v="Crr Rock'n Hash Brown Triangular 2.5Kg"/>
    <n v="5"/>
    <s v="PACK"/>
    <n v="5"/>
    <n v="662500"/>
    <n v="0"/>
    <s v="Invoice"/>
    <s v="Sudah Jadi FJ"/>
    <s v="TAMBAHAN"/>
  </r>
  <r>
    <d v="2026-10-27T00:00:00"/>
    <d v="2026-10-26T00:00:00"/>
    <s v="SO-KU/2610/260083"/>
    <s v="MKU Bali"/>
    <x v="182"/>
    <x v="0"/>
    <x v="8"/>
    <s v="POT0161"/>
    <s v="La Valle Whole Peeled Tomatoes 2.5 Kg"/>
    <n v="2"/>
    <s v="CAN"/>
    <n v="2"/>
    <n v="160000.01999999999"/>
    <n v="0"/>
    <s v="Invoice"/>
    <s v="Sudah Jadi FJ"/>
    <s v=""/>
  </r>
  <r>
    <d v="2026-10-27T00:00:00"/>
    <d v="2026-10-26T00:00:00"/>
    <s v="SO-KU/2610/260084"/>
    <s v="MKU Bali"/>
    <x v="182"/>
    <x v="0"/>
    <x v="8"/>
    <s v="POT0110"/>
    <s v="Bergold Shredded Pizza Topping Mozzarella"/>
    <n v="1.5"/>
    <s v="KG"/>
    <n v="1.5"/>
    <n v="169500"/>
    <n v="0"/>
    <s v="Invoice"/>
    <s v="Sudah Jadi FJ"/>
    <s v=""/>
  </r>
  <r>
    <d v="2026-10-27T00:00:00"/>
    <d v="2026-10-26T00:00:00"/>
    <s v="SO-KU/2610/260085"/>
    <s v="MKU Bali"/>
    <x v="182"/>
    <x v="0"/>
    <x v="8"/>
    <s v="POT0110"/>
    <s v="Bergold Shredded Pizza Topping Mozzarella"/>
    <n v="9"/>
    <s v="KG"/>
    <n v="9"/>
    <n v="1016999.98"/>
    <n v="0"/>
    <s v="Invoice"/>
    <s v="Sudah Jadi FJ"/>
    <s v=""/>
  </r>
  <r>
    <d v="2026-10-27T00:00:00"/>
    <d v="2026-10-26T00:00:00"/>
    <s v="SO-KU/2610/260086"/>
    <s v="MKU Bali"/>
    <x v="182"/>
    <x v="0"/>
    <x v="8"/>
    <s v="POT0110"/>
    <s v="Bergold Shredded Pizza Topping Mozzarella"/>
    <n v="4.5"/>
    <s v="KG"/>
    <n v="4.5"/>
    <n v="508499.99"/>
    <n v="0"/>
    <s v="Invoice"/>
    <s v="Sudah Jadi FJ"/>
    <s v=""/>
  </r>
  <r>
    <d v="2026-10-27T00:00:00"/>
    <d v="2026-10-26T00:00:00"/>
    <s v="SO-KU/2610/260087"/>
    <s v="MKU Bali"/>
    <x v="182"/>
    <x v="0"/>
    <x v="8"/>
    <s v="POT0161"/>
    <s v="La Valle Whole Peeled Tomatoes 2.5 Kg"/>
    <n v="1"/>
    <s v="CAN"/>
    <n v="1"/>
    <n v="80000.009999999995"/>
    <n v="0"/>
    <s v="Invoice"/>
    <s v="Sudah Jadi FJ"/>
    <s v=""/>
  </r>
  <r>
    <d v="2026-10-27T00:00:00"/>
    <d v="2026-10-26T00:00:00"/>
    <s v="SO-KU/2610/260091"/>
    <s v="MKU Bali"/>
    <x v="100"/>
    <x v="0"/>
    <x v="17"/>
    <s v="PMS0132"/>
    <s v="Masterista Syrup Vanilla Tradition 850ml"/>
    <n v="6"/>
    <s v="BTL"/>
    <n v="6"/>
    <n v="586080"/>
    <n v="0"/>
    <s v="Invoice"/>
    <s v="Sudah Jadi FJ"/>
    <s v="di kirim besok expedisi roxsy cargo sanur"/>
  </r>
  <r>
    <d v="2026-10-27T00:00:00"/>
    <d v="2026-10-26T00:00:00"/>
    <s v="SO-KU/2610/260092"/>
    <s v="MKU Bali"/>
    <x v="100"/>
    <x v="0"/>
    <x v="17"/>
    <s v="PQW0012"/>
    <s v="IQF FF Shoestring 2.5 Kg/Pack"/>
    <n v="16"/>
    <s v="PACK"/>
    <n v="16"/>
    <n v="980000"/>
    <n v="0"/>
    <s v="Invoice"/>
    <s v="Sudah Jadi FJ"/>
    <s v="di kirim besok expedisi roxsy cargo sanur"/>
  </r>
  <r>
    <d v="2026-10-27T00:00:00"/>
    <d v="2026-10-26T00:00:00"/>
    <s v="SO-KU/2610/260092"/>
    <s v="MKU Bali"/>
    <x v="100"/>
    <x v="0"/>
    <x v="17"/>
    <s v="PAS0036"/>
    <s v="Crr Rock'n Hash Brown Triangular 2.5Kg"/>
    <n v="4"/>
    <s v="PACK"/>
    <n v="4"/>
    <n v="420000"/>
    <n v="0"/>
    <s v="Invoice"/>
    <s v="Sudah Jadi FJ"/>
    <s v="di kirim besok expedisi roxsy cargo sanur"/>
  </r>
  <r>
    <d v="2026-10-27T00:00:00"/>
    <d v="2026-10-26T00:00:00"/>
    <s v="SO-KU/2610/260092"/>
    <s v="MKU Bali"/>
    <x v="100"/>
    <x v="0"/>
    <x v="17"/>
    <s v="PAS0037"/>
    <s v="Crr Rock'n Super Crispy Jakets Spicy Wedges 2.5Kg"/>
    <n v="4"/>
    <s v="PACK"/>
    <n v="4"/>
    <n v="380000.02"/>
    <n v="0"/>
    <s v="Invoice"/>
    <s v="Sudah Jadi FJ"/>
    <s v="di kirim besok expedisi roxsy cargo sanur"/>
  </r>
  <r>
    <d v="2026-10-27T00:00:00"/>
    <d v="2026-10-26T00:00:00"/>
    <s v="SO-KU/2610/260092"/>
    <s v="MKU Bali"/>
    <x v="100"/>
    <x v="0"/>
    <x v="17"/>
    <s v="POT0038"/>
    <s v="Premium Straight Cut 2Kg"/>
    <n v="18"/>
    <s v="PACK"/>
    <n v="18"/>
    <n v="1403999.99"/>
    <n v="0"/>
    <s v="Invoice"/>
    <s v="Sudah Jadi FJ"/>
    <s v="di kirim besok expedisi roxsy cargo sanur"/>
  </r>
  <r>
    <d v="2026-10-27T00:00:00"/>
    <d v="2026-10-26T00:00:00"/>
    <s v="SO-KU/2610/260092"/>
    <s v="MKU Bali"/>
    <x v="100"/>
    <x v="0"/>
    <x v="17"/>
    <s v="PKI0002"/>
    <s v="Premium Crincle Cut Fries 2 Kg"/>
    <n v="6"/>
    <s v="PACK"/>
    <n v="6"/>
    <n v="312000"/>
    <n v="0"/>
    <s v="Invoice"/>
    <s v="Sudah Jadi FJ"/>
    <s v="di kirim besok expedisi roxsy cargo sanur"/>
  </r>
  <r>
    <d v="2026-10-27T00:00:00"/>
    <d v="2026-10-26T00:00:00"/>
    <s v="SO-KU/2610/260093"/>
    <s v="MKU Bali"/>
    <x v="140"/>
    <x v="0"/>
    <x v="18"/>
    <s v="POS0026"/>
    <s v="O Sole Olive Nere Denocciolate 4.1 Kg"/>
    <n v="5"/>
    <s v="CAN"/>
    <n v="5"/>
    <n v="1071150"/>
    <n v="0"/>
    <s v="Invoice"/>
    <s v="Sudah Jadi FJ"/>
    <s v="spc sby"/>
  </r>
  <r>
    <d v="2026-10-27T00:00:00"/>
    <d v="2026-10-26T00:00:00"/>
    <s v="SO-KU/2610/260094"/>
    <s v="MKU Bali"/>
    <x v="140"/>
    <x v="0"/>
    <x v="18"/>
    <s v="POT0110"/>
    <s v="Bergold Shredded Pizza Topping Mozzarella"/>
    <n v="75"/>
    <s v="KG"/>
    <n v="75"/>
    <n v="6993000"/>
    <n v="0"/>
    <s v="Invoice"/>
    <s v="Sudah Jadi FJ"/>
    <s v="spc sby"/>
  </r>
  <r>
    <d v="2026-10-27T00:00:00"/>
    <d v="2026-10-26T00:00:00"/>
    <s v="SO-KU/2610/260095"/>
    <s v="MKU Bali"/>
    <x v="183"/>
    <x v="1"/>
    <x v="1"/>
    <s v="PMS0024"/>
    <s v="Masterista Original Matcha 800Gr"/>
    <n v="2"/>
    <s v="POU"/>
    <n v="2"/>
    <n v="337020"/>
    <n v="0"/>
    <s v="Invoice"/>
    <s v="Sudah Jadi FJ"/>
    <s v=""/>
  </r>
  <r>
    <d v="2026-10-27T00:00:00"/>
    <d v="2026-10-26T00:00:00"/>
    <s v="SO-KU/2610/260095"/>
    <s v="MKU Bali"/>
    <x v="183"/>
    <x v="1"/>
    <x v="1"/>
    <s v="PMS0026"/>
    <s v="Masterista Dark Chocolate 800Gr"/>
    <n v="2"/>
    <s v="POU"/>
    <n v="2"/>
    <n v="329670"/>
    <n v="0"/>
    <s v="Invoice"/>
    <s v="Sudah Jadi FJ"/>
    <s v=""/>
  </r>
  <r>
    <d v="2026-10-27T00:00:00"/>
    <d v="2026-10-26T00:00:00"/>
    <s v="SO-KU/2610/260097"/>
    <s v="MKU Bali"/>
    <x v="103"/>
    <x v="0"/>
    <x v="18"/>
    <s v="PAS0026"/>
    <s v="Crr Rock'n Batter Skin On Fries 9x9mm 10Kg/Ctn"/>
    <n v="1"/>
    <s v="KTN"/>
    <n v="1"/>
    <n v="425000"/>
    <n v="0"/>
    <s v="Invoice"/>
    <s v="Sudah Jadi FJ"/>
    <s v=""/>
  </r>
  <r>
    <d v="2026-10-27T00:00:00"/>
    <d v="2026-10-26T00:00:00"/>
    <s v="SO-KU/2610/260098"/>
    <s v="MKU Bali"/>
    <x v="184"/>
    <x v="0"/>
    <x v="15"/>
    <s v="ASS-EB-LP250"/>
    <s v="English Breakfast @250gr/Pouch"/>
    <n v="2"/>
    <s v="POU"/>
    <n v="2"/>
    <n v="410700"/>
    <n v="0"/>
    <s v="Invoice"/>
    <s v="Sudah Jadi FJ"/>
    <s v=""/>
  </r>
  <r>
    <d v="2026-10-27T00:00:00"/>
    <d v="2026-10-26T00:00:00"/>
    <s v="SO-KU/2610/260099"/>
    <s v="MKU Bali"/>
    <x v="185"/>
    <x v="0"/>
    <x v="3"/>
    <s v="PAA0001"/>
    <s v="Bergold Mozzarella Block"/>
    <n v="27"/>
    <s v="KG"/>
    <n v="28.399899999999999"/>
    <n v="2698000.14"/>
    <n v="1.3998999999999999"/>
    <s v="Invoice"/>
    <s v="Sudah Jadi FJ"/>
    <s v=""/>
  </r>
  <r>
    <d v="2026-10-27T00:00:00"/>
    <d v="2026-10-26T00:00:00"/>
    <s v="SO-KU/2610/260100"/>
    <s v="MKU Bali"/>
    <x v="104"/>
    <x v="0"/>
    <x v="18"/>
    <s v="PAS0026"/>
    <s v="Crr Rock'n Batter Skin On Fries 9x9mm 10Kg/Ctn"/>
    <n v="1"/>
    <s v="KTN"/>
    <n v="1"/>
    <n v="425000.01"/>
    <n v="0"/>
    <s v="Invoice"/>
    <s v="Sudah Jadi FJ"/>
    <s v=""/>
  </r>
  <r>
    <d v="2026-10-27T00:00:00"/>
    <d v="2026-10-26T00:00:00"/>
    <s v="SO-KU/2610/260101"/>
    <s v="MKU Bali"/>
    <x v="116"/>
    <x v="0"/>
    <x v="17"/>
    <s v="PIF0012"/>
    <s v="Pristine Classic Cooking Cream 1 Lt"/>
    <n v="12"/>
    <s v="LTR"/>
    <n v="12"/>
    <n v="744000"/>
    <n v="0"/>
    <s v="Invoice"/>
    <s v="Sudah Jadi FJ"/>
    <s v=""/>
  </r>
  <r>
    <d v="2026-10-27T00:00:00"/>
    <d v="2026-10-26T00:00:00"/>
    <s v="SO-KU/2610/260102"/>
    <s v="MKU Bali"/>
    <x v="186"/>
    <x v="0"/>
    <x v="15"/>
    <s v="PAA0001"/>
    <s v="Bergold Mozzarella Block"/>
    <n v="2.2999999999999998"/>
    <s v="KG"/>
    <n v="2.1800000000000002"/>
    <n v="254079"/>
    <n v="-0.12"/>
    <s v="Invoice"/>
    <s v="Sudah Jadi FJ"/>
    <s v=""/>
  </r>
  <r>
    <d v="2026-10-27T00:00:00"/>
    <d v="2026-10-26T00:00:00"/>
    <s v="SO-KU/2610/260103"/>
    <s v="MKU Bali"/>
    <x v="187"/>
    <x v="0"/>
    <x v="15"/>
    <s v="PAS0014"/>
    <s v="Crr Rock'n Hash Brown Triangular 10Kg/Ctn"/>
    <n v="2"/>
    <s v="KTN"/>
    <n v="2"/>
    <n v="1040000"/>
    <n v="0"/>
    <s v="Invoice"/>
    <s v="Sudah Jadi FJ"/>
    <s v=""/>
  </r>
  <r>
    <d v="2026-10-27T00:00:00"/>
    <d v="2026-10-26T00:00:00"/>
    <s v="SO-KU/2610/260104"/>
    <s v="MKU Bali"/>
    <x v="188"/>
    <x v="0"/>
    <x v="15"/>
    <s v="PMS0161"/>
    <s v="Cocofreo Soft Ice Cream Belgian Chocolate 1000 Gr"/>
    <n v="4"/>
    <s v="PACK"/>
    <n v="4"/>
    <n v="380000"/>
    <n v="0"/>
    <s v="Invoice"/>
    <s v="Sudah Jadi FJ"/>
    <s v=""/>
  </r>
  <r>
    <d v="2026-10-27T00:00:00"/>
    <d v="2026-10-26T00:00:00"/>
    <s v="SO-KU/2610/260104"/>
    <s v="MKU Bali"/>
    <x v="188"/>
    <x v="0"/>
    <x v="15"/>
    <s v="PMS0162"/>
    <s v="Cocofreo Soft Ice Cream Vanilla 1000 Gr"/>
    <n v="4"/>
    <s v="PACK"/>
    <n v="4"/>
    <n v="320000"/>
    <n v="0"/>
    <s v="Invoice"/>
    <s v="Sudah Jadi FJ"/>
    <s v=""/>
  </r>
  <r>
    <d v="2026-10-27T00:00:00"/>
    <d v="2026-10-26T00:00:00"/>
    <s v="SO-KU/2610/260106"/>
    <s v="MKU Bali"/>
    <x v="138"/>
    <x v="1"/>
    <x v="7"/>
    <s v="POT0120"/>
    <s v="Bottegaio Umbro Olio Evo Cucina 5Lt"/>
    <n v="1"/>
    <s v="GLN"/>
    <n v="1"/>
    <n v="900000.01"/>
    <n v="0"/>
    <s v="Invoice"/>
    <s v="Sudah Jadi FJ"/>
    <s v=""/>
  </r>
  <r>
    <d v="2026-10-27T00:00:00"/>
    <d v="2026-10-26T00:00:00"/>
    <s v="SO-KU/2610/260107"/>
    <s v="MKU Bali"/>
    <x v="189"/>
    <x v="1"/>
    <x v="18"/>
    <s v="PMS0026"/>
    <s v="Masterista Dark Chocolate 800Gr"/>
    <n v="1"/>
    <s v="POU"/>
    <n v="1"/>
    <n v="164835"/>
    <n v="0"/>
    <s v="Invoice"/>
    <s v="Sudah Jadi FJ"/>
    <s v="DIAZ"/>
  </r>
  <r>
    <d v="2026-10-27T00:00:00"/>
    <d v="2026-10-26T00:00:00"/>
    <s v="SO-KU/2610/260108"/>
    <s v="MKU Bali"/>
    <x v="167"/>
    <x v="1"/>
    <x v="17"/>
    <s v="PAS0014"/>
    <s v="Crr Rock'n Hash Brown Triangular 10Kg/Ctn"/>
    <n v="1"/>
    <s v="KTN"/>
    <n v="1"/>
    <n v="500000"/>
    <n v="0"/>
    <s v="Invoice"/>
    <s v="Sudah Jadi FJ"/>
    <s v=""/>
  </r>
  <r>
    <d v="2026-10-27T00:00:00"/>
    <d v="2026-10-26T00:00:00"/>
    <s v="SO-KU/2610/260108"/>
    <s v="MKU Bali"/>
    <x v="167"/>
    <x v="1"/>
    <x v="17"/>
    <s v="PAS0053"/>
    <s v="Crr Rock'n Waffle Fries 10Kg/Ctn"/>
    <n v="1"/>
    <s v="KTN"/>
    <n v="1"/>
    <n v="580000.01"/>
    <n v="0"/>
    <s v="Invoice"/>
    <s v="Sudah Jadi FJ"/>
    <s v=""/>
  </r>
  <r>
    <d v="2026-10-27T00:00:00"/>
    <d v="2026-10-26T00:00:00"/>
    <s v="SO-KU/2610/260109"/>
    <s v="MKU Bali"/>
    <x v="190"/>
    <x v="0"/>
    <x v="2"/>
    <s v="POT0120"/>
    <s v="Bottegaio Umbro Olio Evo Cucina 5Lt"/>
    <n v="1"/>
    <s v="GLN"/>
    <n v="1"/>
    <n v="64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FD027-9D8D-4366-A7EB-5B75040647E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92">
        <item x="176"/>
        <item x="184"/>
        <item x="17"/>
        <item x="2"/>
        <item x="118"/>
        <item x="134"/>
        <item x="94"/>
        <item x="55"/>
        <item x="88"/>
        <item x="25"/>
        <item x="4"/>
        <item x="29"/>
        <item x="163"/>
        <item x="185"/>
        <item x="72"/>
        <item x="137"/>
        <item x="98"/>
        <item x="74"/>
        <item x="15"/>
        <item x="143"/>
        <item x="183"/>
        <item x="161"/>
        <item x="107"/>
        <item x="145"/>
        <item x="9"/>
        <item x="157"/>
        <item x="158"/>
        <item x="24"/>
        <item x="93"/>
        <item x="136"/>
        <item x="42"/>
        <item x="68"/>
        <item x="109"/>
        <item x="116"/>
        <item x="56"/>
        <item x="28"/>
        <item x="103"/>
        <item x="179"/>
        <item x="133"/>
        <item x="18"/>
        <item x="59"/>
        <item x="177"/>
        <item x="146"/>
        <item x="138"/>
        <item x="0"/>
        <item x="100"/>
        <item x="65"/>
        <item x="123"/>
        <item x="173"/>
        <item x="90"/>
        <item x="187"/>
        <item x="186"/>
        <item x="129"/>
        <item x="83"/>
        <item x="48"/>
        <item x="84"/>
        <item x="175"/>
        <item x="41"/>
        <item x="182"/>
        <item x="12"/>
        <item x="19"/>
        <item x="22"/>
        <item x="23"/>
        <item x="16"/>
        <item x="20"/>
        <item x="105"/>
        <item x="167"/>
        <item x="64"/>
        <item x="40"/>
        <item x="119"/>
        <item x="169"/>
        <item x="47"/>
        <item x="150"/>
        <item x="49"/>
        <item x="10"/>
        <item x="165"/>
        <item x="188"/>
        <item x="178"/>
        <item x="63"/>
        <item x="13"/>
        <item x="58"/>
        <item x="89"/>
        <item x="168"/>
        <item x="52"/>
        <item x="6"/>
        <item x="148"/>
        <item x="30"/>
        <item x="62"/>
        <item x="149"/>
        <item x="147"/>
        <item x="104"/>
        <item x="53"/>
        <item x="113"/>
        <item x="174"/>
        <item x="111"/>
        <item x="159"/>
        <item x="131"/>
        <item x="8"/>
        <item x="75"/>
        <item x="180"/>
        <item x="127"/>
        <item x="170"/>
        <item x="164"/>
        <item x="5"/>
        <item x="44"/>
        <item x="57"/>
        <item x="85"/>
        <item x="132"/>
        <item x="115"/>
        <item x="11"/>
        <item x="153"/>
        <item x="73"/>
        <item x="172"/>
        <item x="189"/>
        <item x="37"/>
        <item x="144"/>
        <item x="51"/>
        <item x="125"/>
        <item x="80"/>
        <item x="190"/>
        <item x="108"/>
        <item x="21"/>
        <item x="38"/>
        <item x="39"/>
        <item x="36"/>
        <item x="110"/>
        <item x="45"/>
        <item x="82"/>
        <item x="77"/>
        <item x="142"/>
        <item x="99"/>
        <item x="35"/>
        <item x="162"/>
        <item x="78"/>
        <item x="3"/>
        <item x="102"/>
        <item x="43"/>
        <item x="101"/>
        <item x="140"/>
        <item x="79"/>
        <item x="120"/>
        <item x="66"/>
        <item x="130"/>
        <item x="121"/>
        <item x="1"/>
        <item x="122"/>
        <item x="117"/>
        <item x="152"/>
        <item x="7"/>
        <item x="87"/>
        <item x="97"/>
        <item x="139"/>
        <item x="61"/>
        <item x="33"/>
        <item x="151"/>
        <item x="181"/>
        <item x="112"/>
        <item x="70"/>
        <item x="76"/>
        <item x="124"/>
        <item x="71"/>
        <item x="135"/>
        <item x="54"/>
        <item x="81"/>
        <item x="128"/>
        <item x="67"/>
        <item x="96"/>
        <item x="31"/>
        <item x="106"/>
        <item x="126"/>
        <item x="171"/>
        <item x="86"/>
        <item x="156"/>
        <item x="141"/>
        <item x="32"/>
        <item x="34"/>
        <item x="160"/>
        <item x="14"/>
        <item x="166"/>
        <item x="114"/>
        <item x="50"/>
        <item x="92"/>
        <item x="95"/>
        <item x="154"/>
        <item x="155"/>
        <item x="60"/>
        <item x="26"/>
        <item x="46"/>
        <item x="91"/>
        <item x="69"/>
        <item x="27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0"/>
        <item x="19"/>
        <item x="6"/>
        <item x="3"/>
        <item x="2"/>
        <item x="18"/>
        <item x="8"/>
        <item x="14"/>
        <item x="11"/>
        <item x="13"/>
        <item x="12"/>
        <item x="9"/>
        <item x="4"/>
        <item x="10"/>
        <item x="16"/>
        <item x="15"/>
        <item x="7"/>
        <item x="5"/>
        <item x="1"/>
        <item x="1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16">
    <i>
      <x/>
    </i>
    <i r="1">
      <x v="2"/>
    </i>
    <i r="1">
      <x v="11"/>
    </i>
    <i r="1">
      <x v="44"/>
    </i>
    <i r="1">
      <x v="46"/>
    </i>
    <i r="1">
      <x v="60"/>
    </i>
    <i r="1">
      <x v="61"/>
    </i>
    <i r="1">
      <x v="62"/>
    </i>
    <i r="1">
      <x v="63"/>
    </i>
    <i r="1">
      <x v="64"/>
    </i>
    <i r="1">
      <x v="67"/>
    </i>
    <i r="1">
      <x v="81"/>
    </i>
    <i r="1">
      <x v="89"/>
    </i>
    <i r="1">
      <x v="97"/>
    </i>
    <i r="1">
      <x v="102"/>
    </i>
    <i r="1">
      <x v="105"/>
    </i>
    <i r="1">
      <x v="110"/>
    </i>
    <i r="1">
      <x v="115"/>
    </i>
    <i r="1">
      <x v="151"/>
    </i>
    <i r="1">
      <x v="172"/>
    </i>
    <i r="1">
      <x v="177"/>
    </i>
    <i r="1">
      <x v="185"/>
    </i>
    <i>
      <x v="1"/>
    </i>
    <i r="1">
      <x v="12"/>
    </i>
    <i>
      <x v="2"/>
    </i>
    <i r="1">
      <x v="24"/>
    </i>
    <i r="1">
      <x v="35"/>
    </i>
    <i r="1">
      <x v="72"/>
    </i>
    <i r="1">
      <x v="116"/>
    </i>
    <i r="1">
      <x v="147"/>
    </i>
    <i r="1">
      <x v="148"/>
    </i>
    <i r="1">
      <x v="154"/>
    </i>
    <i r="1">
      <x v="183"/>
    </i>
    <i r="1">
      <x v="184"/>
    </i>
    <i r="1">
      <x v="188"/>
    </i>
    <i>
      <x v="3"/>
    </i>
    <i r="1">
      <x v="10"/>
    </i>
    <i r="1">
      <x v="13"/>
    </i>
    <i r="1">
      <x v="91"/>
    </i>
    <i r="1">
      <x v="101"/>
    </i>
    <i r="1">
      <x v="108"/>
    </i>
    <i r="1">
      <x v="118"/>
    </i>
    <i r="1">
      <x v="129"/>
    </i>
    <i r="1">
      <x v="142"/>
    </i>
    <i r="1">
      <x v="159"/>
    </i>
    <i r="1">
      <x v="179"/>
    </i>
    <i>
      <x v="4"/>
    </i>
    <i r="1">
      <x v="3"/>
    </i>
    <i r="1">
      <x v="17"/>
    </i>
    <i r="1">
      <x v="39"/>
    </i>
    <i r="1">
      <x v="80"/>
    </i>
    <i r="1">
      <x v="106"/>
    </i>
    <i r="1">
      <x v="119"/>
    </i>
    <i r="1">
      <x v="134"/>
    </i>
    <i r="1">
      <x v="180"/>
    </i>
    <i>
      <x v="5"/>
    </i>
    <i r="1">
      <x v="36"/>
    </i>
    <i r="1">
      <x v="90"/>
    </i>
    <i r="1">
      <x v="113"/>
    </i>
    <i r="1">
      <x v="138"/>
    </i>
    <i>
      <x v="6"/>
    </i>
    <i r="1">
      <x v="16"/>
    </i>
    <i r="1">
      <x v="28"/>
    </i>
    <i r="1">
      <x v="29"/>
    </i>
    <i r="1">
      <x v="42"/>
    </i>
    <i r="1">
      <x v="49"/>
    </i>
    <i r="1">
      <x v="58"/>
    </i>
    <i r="1">
      <x v="65"/>
    </i>
    <i r="1">
      <x v="94"/>
    </i>
    <i r="1">
      <x v="99"/>
    </i>
    <i r="1">
      <x v="112"/>
    </i>
    <i r="1">
      <x v="120"/>
    </i>
    <i r="1">
      <x v="132"/>
    </i>
    <i r="1">
      <x v="133"/>
    </i>
    <i r="1">
      <x v="143"/>
    </i>
    <i r="1">
      <x v="146"/>
    </i>
    <i r="1">
      <x v="167"/>
    </i>
    <i r="1">
      <x v="171"/>
    </i>
    <i>
      <x v="7"/>
    </i>
    <i r="1">
      <x v="6"/>
    </i>
    <i r="1">
      <x v="7"/>
    </i>
    <i r="1">
      <x v="73"/>
    </i>
    <i r="1">
      <x v="98"/>
    </i>
    <i r="1">
      <x v="128"/>
    </i>
    <i r="1">
      <x v="150"/>
    </i>
    <i>
      <x v="8"/>
    </i>
    <i r="1">
      <x v="48"/>
    </i>
    <i r="1">
      <x v="114"/>
    </i>
    <i r="1">
      <x v="122"/>
    </i>
    <i r="1">
      <x v="123"/>
    </i>
    <i r="1">
      <x v="124"/>
    </i>
    <i r="1">
      <x v="127"/>
    </i>
    <i r="1">
      <x v="140"/>
    </i>
    <i>
      <x v="9"/>
    </i>
    <i r="1">
      <x v="104"/>
    </i>
    <i>
      <x v="10"/>
    </i>
    <i r="1">
      <x v="23"/>
    </i>
    <i r="1">
      <x v="57"/>
    </i>
    <i r="1">
      <x v="126"/>
    </i>
    <i r="1">
      <x v="136"/>
    </i>
    <i r="1">
      <x v="169"/>
    </i>
    <i>
      <x v="11"/>
    </i>
    <i r="1">
      <x v="30"/>
    </i>
    <i r="1">
      <x v="34"/>
    </i>
    <i r="1">
      <x v="174"/>
    </i>
    <i r="1">
      <x v="175"/>
    </i>
    <i>
      <x v="12"/>
    </i>
    <i r="1">
      <x v="36"/>
    </i>
    <i r="1">
      <x v="68"/>
    </i>
    <i r="1">
      <x v="86"/>
    </i>
    <i r="1">
      <x v="103"/>
    </i>
    <i r="1">
      <x v="104"/>
    </i>
    <i>
      <x v="13"/>
    </i>
    <i r="1">
      <x v="71"/>
    </i>
    <i r="1">
      <x v="130"/>
    </i>
    <i r="1">
      <x v="131"/>
    </i>
    <i r="1">
      <x v="137"/>
    </i>
    <i r="1">
      <x v="153"/>
    </i>
    <i r="1">
      <x v="187"/>
    </i>
    <i>
      <x v="14"/>
    </i>
    <i r="1">
      <x/>
    </i>
    <i r="1">
      <x v="5"/>
    </i>
    <i r="1">
      <x v="31"/>
    </i>
    <i r="1">
      <x v="32"/>
    </i>
    <i r="1">
      <x v="56"/>
    </i>
    <i r="1">
      <x v="75"/>
    </i>
    <i r="1">
      <x v="77"/>
    </i>
    <i r="1">
      <x v="78"/>
    </i>
    <i r="1">
      <x v="82"/>
    </i>
    <i r="1">
      <x v="87"/>
    </i>
    <i r="1">
      <x v="92"/>
    </i>
    <i r="1">
      <x v="96"/>
    </i>
    <i r="1">
      <x v="111"/>
    </i>
    <i r="1">
      <x v="117"/>
    </i>
    <i r="1">
      <x v="145"/>
    </i>
    <i r="1">
      <x v="149"/>
    </i>
    <i r="1">
      <x v="155"/>
    </i>
    <i r="1">
      <x v="158"/>
    </i>
    <i r="1">
      <x v="161"/>
    </i>
    <i r="1">
      <x v="162"/>
    </i>
    <i r="1">
      <x v="164"/>
    </i>
    <i r="1">
      <x v="170"/>
    </i>
    <i r="1">
      <x v="173"/>
    </i>
    <i>
      <x v="15"/>
    </i>
    <i r="1">
      <x v="1"/>
    </i>
    <i r="1">
      <x v="15"/>
    </i>
    <i r="1">
      <x v="37"/>
    </i>
    <i r="1">
      <x v="50"/>
    </i>
    <i r="1">
      <x v="51"/>
    </i>
    <i r="1">
      <x v="76"/>
    </i>
    <i r="1">
      <x v="83"/>
    </i>
    <i r="1">
      <x v="93"/>
    </i>
    <i r="1">
      <x v="95"/>
    </i>
    <i r="1">
      <x v="141"/>
    </i>
    <i r="1">
      <x v="168"/>
    </i>
    <i r="1">
      <x v="181"/>
    </i>
    <i>
      <x v="16"/>
    </i>
    <i r="1">
      <x v="9"/>
    </i>
    <i r="1">
      <x v="14"/>
    </i>
    <i r="1">
      <x v="22"/>
    </i>
    <i r="1">
      <x v="25"/>
    </i>
    <i r="1">
      <x v="26"/>
    </i>
    <i r="1">
      <x v="27"/>
    </i>
    <i r="1">
      <x v="43"/>
    </i>
    <i r="1">
      <x v="69"/>
    </i>
    <i r="1">
      <x v="100"/>
    </i>
    <i r="1">
      <x v="121"/>
    </i>
    <i r="1">
      <x v="163"/>
    </i>
    <i r="1">
      <x v="165"/>
    </i>
    <i r="1">
      <x v="166"/>
    </i>
    <i r="1">
      <x v="176"/>
    </i>
    <i r="1">
      <x v="182"/>
    </i>
    <i r="1">
      <x v="186"/>
    </i>
    <i r="1">
      <x v="189"/>
    </i>
    <i r="1">
      <x v="190"/>
    </i>
    <i>
      <x v="17"/>
    </i>
    <i r="1">
      <x v="4"/>
    </i>
    <i r="1">
      <x v="18"/>
    </i>
    <i r="1">
      <x v="19"/>
    </i>
    <i r="1">
      <x v="38"/>
    </i>
    <i r="1">
      <x v="40"/>
    </i>
    <i r="1">
      <x v="41"/>
    </i>
    <i r="1">
      <x v="47"/>
    </i>
    <i r="1">
      <x v="55"/>
    </i>
    <i r="1">
      <x v="59"/>
    </i>
    <i r="1">
      <x v="79"/>
    </i>
    <i r="1">
      <x v="84"/>
    </i>
    <i r="1">
      <x v="85"/>
    </i>
    <i r="1">
      <x v="107"/>
    </i>
    <i r="1">
      <x v="109"/>
    </i>
    <i r="1">
      <x v="135"/>
    </i>
    <i r="1">
      <x v="152"/>
    </i>
    <i>
      <x v="18"/>
    </i>
    <i r="1">
      <x v="8"/>
    </i>
    <i r="1">
      <x v="20"/>
    </i>
    <i r="1">
      <x v="21"/>
    </i>
    <i r="1">
      <x v="54"/>
    </i>
    <i r="1">
      <x v="74"/>
    </i>
    <i r="1">
      <x v="88"/>
    </i>
    <i r="1">
      <x v="125"/>
    </i>
    <i r="1">
      <x v="139"/>
    </i>
    <i r="1">
      <x v="144"/>
    </i>
    <i r="1">
      <x v="153"/>
    </i>
    <i r="1">
      <x v="156"/>
    </i>
    <i r="1">
      <x v="157"/>
    </i>
    <i r="1">
      <x v="160"/>
    </i>
    <i>
      <x v="19"/>
    </i>
    <i r="1">
      <x v="33"/>
    </i>
    <i r="1">
      <x v="34"/>
    </i>
    <i r="1">
      <x v="45"/>
    </i>
    <i r="1">
      <x v="52"/>
    </i>
    <i r="1">
      <x v="53"/>
    </i>
    <i r="1">
      <x v="66"/>
    </i>
    <i r="1">
      <x v="70"/>
    </i>
    <i r="1">
      <x v="17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6">
    <format dxfId="22">
      <pivotArea outline="0" collapsedLevelsAreSubtotals="1" fieldPosition="0"/>
    </format>
    <format dxfId="20">
      <pivotArea dataOnly="0" labelOnly="1" outline="0" fieldPosition="0">
        <references count="1">
          <reference field="5" count="0"/>
        </references>
      </pivotArea>
    </format>
    <format dxfId="17">
      <pivotArea dataOnly="0" labelOnly="1" outline="0" axis="axisValues" fieldPosition="0"/>
    </format>
    <format dxfId="12">
      <pivotArea collapsedLevelsAreSubtotals="1" fieldPosition="0">
        <references count="2">
          <reference field="4" count="1">
            <x v="113"/>
          </reference>
          <reference field="6" count="1" selected="0">
            <x v="5"/>
          </reference>
        </references>
      </pivotArea>
    </format>
    <format dxfId="11">
      <pivotArea collapsedLevelsAreSubtotals="1" fieldPosition="0">
        <references count="2">
          <reference field="4" count="1">
            <x v="94"/>
          </reference>
          <reference field="6" count="1" selected="0">
            <x v="6"/>
          </reference>
        </references>
      </pivotArea>
    </format>
    <format dxfId="10">
      <pivotArea collapsedLevelsAreSubtotals="1" fieldPosition="0">
        <references count="2">
          <reference field="4" count="1">
            <x v="120"/>
          </reference>
          <reference field="6" count="1" selected="0">
            <x v="6"/>
          </reference>
        </references>
      </pivotArea>
    </format>
    <format dxfId="9">
      <pivotArea collapsedLevelsAreSubtotals="1" fieldPosition="0">
        <references count="2">
          <reference field="4" count="1">
            <x v="140"/>
          </reference>
          <reference field="6" count="1" selected="0">
            <x v="8"/>
          </reference>
        </references>
      </pivotArea>
    </format>
    <format dxfId="8">
      <pivotArea collapsedLevelsAreSubtotals="1" fieldPosition="0">
        <references count="2">
          <reference field="4" count="1">
            <x v="36"/>
          </reference>
          <reference field="6" count="1" selected="0">
            <x v="12"/>
          </reference>
        </references>
      </pivotArea>
    </format>
    <format dxfId="7">
      <pivotArea collapsedLevelsAreSubtotals="1" fieldPosition="0">
        <references count="2">
          <reference field="4" count="1">
            <x v="75"/>
          </reference>
          <reference field="6" count="1" selected="0">
            <x v="14"/>
          </reference>
        </references>
      </pivotArea>
    </format>
    <format dxfId="6">
      <pivotArea collapsedLevelsAreSubtotals="1" fieldPosition="0">
        <references count="2">
          <reference field="4" count="2">
            <x v="77"/>
            <x v="78"/>
          </reference>
          <reference field="6" count="1" selected="0">
            <x v="14"/>
          </reference>
        </references>
      </pivotArea>
    </format>
    <format dxfId="5">
      <pivotArea collapsedLevelsAreSubtotals="1" fieldPosition="0">
        <references count="2">
          <reference field="4" count="2">
            <x v="15"/>
            <x v="37"/>
          </reference>
          <reference field="6" count="1" selected="0">
            <x v="15"/>
          </reference>
        </references>
      </pivotArea>
    </format>
    <format dxfId="4">
      <pivotArea collapsedLevelsAreSubtotals="1" fieldPosition="0">
        <references count="2">
          <reference field="4" count="1">
            <x v="51"/>
          </reference>
          <reference field="6" count="1" selected="0">
            <x v="15"/>
          </reference>
        </references>
      </pivotArea>
    </format>
    <format dxfId="3">
      <pivotArea collapsedLevelsAreSubtotals="1" fieldPosition="0">
        <references count="2">
          <reference field="4" count="1">
            <x v="182"/>
          </reference>
          <reference field="6" count="1" selected="0">
            <x v="16"/>
          </reference>
        </references>
      </pivotArea>
    </format>
    <format dxfId="2">
      <pivotArea collapsedLevelsAreSubtotals="1" fieldPosition="0">
        <references count="2">
          <reference field="4" count="1">
            <x v="18"/>
          </reference>
          <reference field="6" count="1" selected="0">
            <x v="17"/>
          </reference>
        </references>
      </pivotArea>
    </format>
    <format dxfId="1">
      <pivotArea collapsedLevelsAreSubtotals="1" fieldPosition="0">
        <references count="2">
          <reference field="4" count="1">
            <x v="41"/>
          </reference>
          <reference field="6" count="1" selected="0">
            <x v="17"/>
          </reference>
        </references>
      </pivotArea>
    </format>
    <format dxfId="0">
      <pivotArea collapsedLevelsAreSubtotals="1" fieldPosition="0">
        <references count="2">
          <reference field="4" count="1">
            <x v="144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71C1-8A14-419D-9F07-592F1E1F70B3}">
  <dimension ref="A1:B219"/>
  <sheetViews>
    <sheetView tabSelected="1" zoomScaleNormal="100" workbookViewId="0">
      <selection activeCell="B221" sqref="B221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829</v>
      </c>
    </row>
    <row r="3" spans="1:2" x14ac:dyDescent="0.25">
      <c r="A3" s="5" t="s">
        <v>827</v>
      </c>
      <c r="B3" s="9" t="s">
        <v>830</v>
      </c>
    </row>
    <row r="4" spans="1:2" x14ac:dyDescent="0.25">
      <c r="A4" s="6" t="s">
        <v>25</v>
      </c>
      <c r="B4" s="9">
        <v>50751370.610000007</v>
      </c>
    </row>
    <row r="5" spans="1:2" x14ac:dyDescent="0.25">
      <c r="A5" s="7" t="s">
        <v>102</v>
      </c>
      <c r="B5" s="9">
        <v>333000</v>
      </c>
    </row>
    <row r="6" spans="1:2" x14ac:dyDescent="0.25">
      <c r="A6" s="7" t="s">
        <v>138</v>
      </c>
      <c r="B6" s="9">
        <v>1500000.01</v>
      </c>
    </row>
    <row r="7" spans="1:2" x14ac:dyDescent="0.25">
      <c r="A7" s="7" t="s">
        <v>24</v>
      </c>
      <c r="B7" s="9">
        <v>500000</v>
      </c>
    </row>
    <row r="8" spans="1:2" x14ac:dyDescent="0.25">
      <c r="A8" s="7" t="s">
        <v>283</v>
      </c>
      <c r="B8" s="9">
        <v>4552000.07</v>
      </c>
    </row>
    <row r="9" spans="1:2" x14ac:dyDescent="0.25">
      <c r="A9" s="7" t="s">
        <v>108</v>
      </c>
      <c r="B9" s="9">
        <v>1425460</v>
      </c>
    </row>
    <row r="10" spans="1:2" x14ac:dyDescent="0.25">
      <c r="A10" s="7" t="s">
        <v>118</v>
      </c>
      <c r="B10" s="9">
        <v>1425460</v>
      </c>
    </row>
    <row r="11" spans="1:2" x14ac:dyDescent="0.25">
      <c r="A11" s="7" t="s">
        <v>120</v>
      </c>
      <c r="B11" s="9">
        <v>1425460</v>
      </c>
    </row>
    <row r="12" spans="1:2" x14ac:dyDescent="0.25">
      <c r="A12" s="7" t="s">
        <v>100</v>
      </c>
      <c r="B12" s="9">
        <v>2899999.99</v>
      </c>
    </row>
    <row r="13" spans="1:2" x14ac:dyDescent="0.25">
      <c r="A13" s="7" t="s">
        <v>110</v>
      </c>
      <c r="B13" s="9">
        <v>1425460</v>
      </c>
    </row>
    <row r="14" spans="1:2" x14ac:dyDescent="0.25">
      <c r="A14" s="7" t="s">
        <v>279</v>
      </c>
      <c r="B14" s="9">
        <v>539999.99</v>
      </c>
    </row>
    <row r="15" spans="1:2" x14ac:dyDescent="0.25">
      <c r="A15" s="7" t="s">
        <v>381</v>
      </c>
      <c r="B15" s="9">
        <v>4238000</v>
      </c>
    </row>
    <row r="16" spans="1:2" x14ac:dyDescent="0.25">
      <c r="A16" s="7" t="s">
        <v>554</v>
      </c>
      <c r="B16" s="9">
        <v>531200</v>
      </c>
    </row>
    <row r="17" spans="1:2" x14ac:dyDescent="0.25">
      <c r="A17" s="7" t="s">
        <v>72</v>
      </c>
      <c r="B17" s="9">
        <v>1212120</v>
      </c>
    </row>
    <row r="18" spans="1:2" x14ac:dyDescent="0.25">
      <c r="A18" s="7" t="s">
        <v>661</v>
      </c>
      <c r="B18" s="9">
        <v>1140000.01</v>
      </c>
    </row>
    <row r="19" spans="1:2" x14ac:dyDescent="0.25">
      <c r="A19" s="7" t="s">
        <v>255</v>
      </c>
      <c r="B19" s="9">
        <v>6580800</v>
      </c>
    </row>
    <row r="20" spans="1:2" x14ac:dyDescent="0.25">
      <c r="A20" s="7" t="s">
        <v>588</v>
      </c>
      <c r="B20" s="9">
        <v>329670</v>
      </c>
    </row>
    <row r="21" spans="1:2" x14ac:dyDescent="0.25">
      <c r="A21" s="7" t="s">
        <v>541</v>
      </c>
      <c r="B21" s="9">
        <v>333000</v>
      </c>
    </row>
    <row r="22" spans="1:2" x14ac:dyDescent="0.25">
      <c r="A22" s="7" t="s">
        <v>530</v>
      </c>
      <c r="B22" s="9">
        <v>10656000.02</v>
      </c>
    </row>
    <row r="23" spans="1:2" x14ac:dyDescent="0.25">
      <c r="A23" s="7" t="s">
        <v>609</v>
      </c>
      <c r="B23" s="9">
        <v>419890.5</v>
      </c>
    </row>
    <row r="24" spans="1:2" x14ac:dyDescent="0.25">
      <c r="A24" s="7" t="s">
        <v>94</v>
      </c>
      <c r="B24" s="9">
        <v>1475000.02</v>
      </c>
    </row>
    <row r="25" spans="1:2" x14ac:dyDescent="0.25">
      <c r="A25" s="7" t="s">
        <v>263</v>
      </c>
      <c r="B25" s="9">
        <v>7808850</v>
      </c>
    </row>
    <row r="26" spans="1:2" x14ac:dyDescent="0.25">
      <c r="A26" s="6" t="s">
        <v>648</v>
      </c>
      <c r="B26" s="9">
        <v>7878105.1200000001</v>
      </c>
    </row>
    <row r="27" spans="1:2" x14ac:dyDescent="0.25">
      <c r="A27" s="7" t="s">
        <v>647</v>
      </c>
      <c r="B27" s="9">
        <v>7878105.1200000001</v>
      </c>
    </row>
    <row r="28" spans="1:2" x14ac:dyDescent="0.25">
      <c r="A28" s="6" t="s">
        <v>67</v>
      </c>
      <c r="B28" s="9">
        <v>7280573.9900000002</v>
      </c>
    </row>
    <row r="29" spans="1:2" x14ac:dyDescent="0.25">
      <c r="A29" s="7" t="s">
        <v>77</v>
      </c>
      <c r="B29" s="9">
        <v>785880</v>
      </c>
    </row>
    <row r="30" spans="1:2" x14ac:dyDescent="0.25">
      <c r="A30" s="7" t="s">
        <v>134</v>
      </c>
      <c r="B30" s="9">
        <v>707999.96</v>
      </c>
    </row>
    <row r="31" spans="1:2" x14ac:dyDescent="0.25">
      <c r="A31" s="7" t="s">
        <v>566</v>
      </c>
      <c r="B31" s="9">
        <v>350000.01</v>
      </c>
    </row>
    <row r="32" spans="1:2" x14ac:dyDescent="0.25">
      <c r="A32" s="7" t="s">
        <v>226</v>
      </c>
      <c r="B32" s="9">
        <v>590000.01</v>
      </c>
    </row>
    <row r="33" spans="1:2" x14ac:dyDescent="0.25">
      <c r="A33" s="7" t="s">
        <v>581</v>
      </c>
      <c r="B33" s="9">
        <v>746579.91</v>
      </c>
    </row>
    <row r="34" spans="1:2" x14ac:dyDescent="0.25">
      <c r="A34" s="7" t="s">
        <v>66</v>
      </c>
      <c r="B34" s="9">
        <v>702000.1</v>
      </c>
    </row>
    <row r="35" spans="1:2" x14ac:dyDescent="0.25">
      <c r="A35" s="7" t="s">
        <v>570</v>
      </c>
      <c r="B35" s="9">
        <v>591875</v>
      </c>
    </row>
    <row r="36" spans="1:2" x14ac:dyDescent="0.25">
      <c r="A36" s="7" t="s">
        <v>590</v>
      </c>
      <c r="B36" s="9">
        <v>528769</v>
      </c>
    </row>
    <row r="37" spans="1:2" x14ac:dyDescent="0.25">
      <c r="A37" s="7" t="s">
        <v>602</v>
      </c>
      <c r="B37" s="9">
        <v>325020</v>
      </c>
    </row>
    <row r="38" spans="1:2" x14ac:dyDescent="0.25">
      <c r="A38" s="7" t="s">
        <v>388</v>
      </c>
      <c r="B38" s="9">
        <v>1952450</v>
      </c>
    </row>
    <row r="39" spans="1:2" x14ac:dyDescent="0.25">
      <c r="A39" s="6" t="s">
        <v>45</v>
      </c>
      <c r="B39" s="9">
        <v>22778000.010000002</v>
      </c>
    </row>
    <row r="40" spans="1:2" x14ac:dyDescent="0.25">
      <c r="A40" s="7" t="s">
        <v>44</v>
      </c>
      <c r="B40" s="9">
        <v>6099999.8899999997</v>
      </c>
    </row>
    <row r="41" spans="1:2" x14ac:dyDescent="0.25">
      <c r="A41" s="7" t="s">
        <v>805</v>
      </c>
      <c r="B41" s="9">
        <v>2698000.14</v>
      </c>
    </row>
    <row r="42" spans="1:2" x14ac:dyDescent="0.25">
      <c r="A42" s="7" t="s">
        <v>231</v>
      </c>
      <c r="B42" s="9">
        <v>1449999.99</v>
      </c>
    </row>
    <row r="43" spans="1:2" x14ac:dyDescent="0.25">
      <c r="A43" s="7" t="s">
        <v>694</v>
      </c>
      <c r="B43" s="9">
        <v>336000</v>
      </c>
    </row>
    <row r="44" spans="1:2" x14ac:dyDescent="0.25">
      <c r="A44" s="7" t="s">
        <v>462</v>
      </c>
      <c r="B44" s="9">
        <v>1829999.97</v>
      </c>
    </row>
    <row r="45" spans="1:2" x14ac:dyDescent="0.25">
      <c r="A45" s="7" t="s">
        <v>335</v>
      </c>
      <c r="B45" s="9">
        <v>4500000</v>
      </c>
    </row>
    <row r="46" spans="1:2" x14ac:dyDescent="0.25">
      <c r="A46" s="7" t="s">
        <v>536</v>
      </c>
      <c r="B46" s="9">
        <v>3219000</v>
      </c>
    </row>
    <row r="47" spans="1:2" x14ac:dyDescent="0.25">
      <c r="A47" s="7" t="s">
        <v>503</v>
      </c>
      <c r="B47" s="9">
        <v>1160000.04</v>
      </c>
    </row>
    <row r="48" spans="1:2" x14ac:dyDescent="0.25">
      <c r="A48" s="7" t="s">
        <v>486</v>
      </c>
      <c r="B48" s="9">
        <v>914999.98</v>
      </c>
    </row>
    <row r="49" spans="1:2" x14ac:dyDescent="0.25">
      <c r="A49" s="7" t="s">
        <v>460</v>
      </c>
      <c r="B49" s="9">
        <v>570000</v>
      </c>
    </row>
    <row r="50" spans="1:2" x14ac:dyDescent="0.25">
      <c r="A50" s="6" t="s">
        <v>19</v>
      </c>
      <c r="B50" s="9">
        <v>29325979.84</v>
      </c>
    </row>
    <row r="51" spans="1:2" x14ac:dyDescent="0.25">
      <c r="A51" s="7" t="s">
        <v>36</v>
      </c>
      <c r="B51" s="9">
        <v>2012600</v>
      </c>
    </row>
    <row r="52" spans="1:2" x14ac:dyDescent="0.25">
      <c r="A52" s="7" t="s">
        <v>311</v>
      </c>
      <c r="B52" s="9">
        <v>9099000</v>
      </c>
    </row>
    <row r="53" spans="1:2" x14ac:dyDescent="0.25">
      <c r="A53" s="7" t="s">
        <v>104</v>
      </c>
      <c r="B53" s="9">
        <v>1128870</v>
      </c>
    </row>
    <row r="54" spans="1:2" x14ac:dyDescent="0.25">
      <c r="A54" s="7" t="s">
        <v>258</v>
      </c>
      <c r="B54" s="9">
        <v>2841600</v>
      </c>
    </row>
    <row r="55" spans="1:2" x14ac:dyDescent="0.25">
      <c r="A55" s="7" t="s">
        <v>369</v>
      </c>
      <c r="B55" s="9">
        <v>3814999.88</v>
      </c>
    </row>
    <row r="56" spans="1:2" x14ac:dyDescent="0.25">
      <c r="A56" s="7" t="s">
        <v>826</v>
      </c>
      <c r="B56" s="9">
        <v>640000</v>
      </c>
    </row>
    <row r="57" spans="1:2" x14ac:dyDescent="0.25">
      <c r="A57" s="7" t="s">
        <v>40</v>
      </c>
      <c r="B57" s="9">
        <v>1088910</v>
      </c>
    </row>
    <row r="58" spans="1:2" x14ac:dyDescent="0.25">
      <c r="A58" s="7" t="s">
        <v>224</v>
      </c>
      <c r="B58" s="9">
        <v>8699999.9600000009</v>
      </c>
    </row>
    <row r="59" spans="1:2" x14ac:dyDescent="0.25">
      <c r="A59" s="6" t="s">
        <v>424</v>
      </c>
      <c r="B59" s="9">
        <v>22628145.019999996</v>
      </c>
    </row>
    <row r="60" spans="1:2" x14ac:dyDescent="0.25">
      <c r="A60" s="7" t="s">
        <v>423</v>
      </c>
      <c r="B60" s="9">
        <v>662000</v>
      </c>
    </row>
    <row r="61" spans="1:2" x14ac:dyDescent="0.25">
      <c r="A61" s="7" t="s">
        <v>432</v>
      </c>
      <c r="B61" s="9">
        <v>1537160.01</v>
      </c>
    </row>
    <row r="62" spans="1:2" x14ac:dyDescent="0.25">
      <c r="A62" s="7" t="s">
        <v>820</v>
      </c>
      <c r="B62" s="12">
        <v>164835</v>
      </c>
    </row>
    <row r="63" spans="1:2" x14ac:dyDescent="0.25">
      <c r="A63" s="7" t="s">
        <v>532</v>
      </c>
      <c r="B63" s="9">
        <v>20264150.009999998</v>
      </c>
    </row>
    <row r="64" spans="1:2" x14ac:dyDescent="0.25">
      <c r="A64" s="6" t="s">
        <v>148</v>
      </c>
      <c r="B64" s="9">
        <v>39711865.120000005</v>
      </c>
    </row>
    <row r="65" spans="1:2" x14ac:dyDescent="0.25">
      <c r="A65" s="7" t="s">
        <v>405</v>
      </c>
      <c r="B65" s="9">
        <v>3119700.02</v>
      </c>
    </row>
    <row r="66" spans="1:2" x14ac:dyDescent="0.25">
      <c r="A66" s="7" t="s">
        <v>394</v>
      </c>
      <c r="B66" s="9">
        <v>1630000</v>
      </c>
    </row>
    <row r="67" spans="1:2" x14ac:dyDescent="0.25">
      <c r="A67" s="7" t="s">
        <v>523</v>
      </c>
      <c r="B67" s="9">
        <v>580000</v>
      </c>
    </row>
    <row r="68" spans="1:2" x14ac:dyDescent="0.25">
      <c r="A68" s="7" t="s">
        <v>321</v>
      </c>
      <c r="B68" s="9">
        <v>3503160</v>
      </c>
    </row>
    <row r="69" spans="1:2" x14ac:dyDescent="0.25">
      <c r="A69" s="7" t="s">
        <v>386</v>
      </c>
      <c r="B69" s="9">
        <v>1910400</v>
      </c>
    </row>
    <row r="70" spans="1:2" x14ac:dyDescent="0.25">
      <c r="A70" s="7" t="s">
        <v>782</v>
      </c>
      <c r="B70" s="9">
        <v>2104500</v>
      </c>
    </row>
    <row r="71" spans="1:2" x14ac:dyDescent="0.25">
      <c r="A71" s="7" t="s">
        <v>436</v>
      </c>
      <c r="B71" s="9">
        <v>4135905</v>
      </c>
    </row>
    <row r="72" spans="1:2" x14ac:dyDescent="0.25">
      <c r="A72" s="7" t="s">
        <v>450</v>
      </c>
      <c r="B72" s="12">
        <v>95460</v>
      </c>
    </row>
    <row r="73" spans="1:2" x14ac:dyDescent="0.25">
      <c r="A73" s="7" t="s">
        <v>764</v>
      </c>
      <c r="B73" s="9">
        <v>4270000.08</v>
      </c>
    </row>
    <row r="74" spans="1:2" x14ac:dyDescent="0.25">
      <c r="A74" s="7" t="s">
        <v>707</v>
      </c>
      <c r="B74" s="9">
        <v>1799200.01</v>
      </c>
    </row>
    <row r="75" spans="1:2" x14ac:dyDescent="0.25">
      <c r="A75" s="7" t="s">
        <v>444</v>
      </c>
      <c r="B75" s="12">
        <v>159840</v>
      </c>
    </row>
    <row r="76" spans="1:2" x14ac:dyDescent="0.25">
      <c r="A76" s="7" t="s">
        <v>643</v>
      </c>
      <c r="B76" s="9">
        <v>1650000.02</v>
      </c>
    </row>
    <row r="77" spans="1:2" x14ac:dyDescent="0.25">
      <c r="A77" s="7" t="s">
        <v>324</v>
      </c>
      <c r="B77" s="9">
        <v>11924999.9</v>
      </c>
    </row>
    <row r="78" spans="1:2" x14ac:dyDescent="0.25">
      <c r="A78" s="7" t="s">
        <v>480</v>
      </c>
      <c r="B78" s="9">
        <v>316350</v>
      </c>
    </row>
    <row r="79" spans="1:2" x14ac:dyDescent="0.25">
      <c r="A79" s="7" t="s">
        <v>471</v>
      </c>
      <c r="B79" s="9">
        <v>982350</v>
      </c>
    </row>
    <row r="80" spans="1:2" x14ac:dyDescent="0.25">
      <c r="A80" s="7" t="s">
        <v>147</v>
      </c>
      <c r="B80" s="9">
        <v>920000.1</v>
      </c>
    </row>
    <row r="81" spans="1:2" x14ac:dyDescent="0.25">
      <c r="A81" s="7" t="s">
        <v>374</v>
      </c>
      <c r="B81" s="9">
        <v>609999.99</v>
      </c>
    </row>
    <row r="82" spans="1:2" x14ac:dyDescent="0.25">
      <c r="A82" s="6" t="s">
        <v>220</v>
      </c>
      <c r="B82" s="9">
        <v>14569148.000000002</v>
      </c>
    </row>
    <row r="83" spans="1:2" x14ac:dyDescent="0.25">
      <c r="A83" s="7" t="s">
        <v>396</v>
      </c>
      <c r="B83" s="9">
        <v>1831500</v>
      </c>
    </row>
    <row r="84" spans="1:2" x14ac:dyDescent="0.25">
      <c r="A84" s="7" t="s">
        <v>236</v>
      </c>
      <c r="B84" s="9">
        <v>2914800.2399999998</v>
      </c>
    </row>
    <row r="85" spans="1:2" x14ac:dyDescent="0.25">
      <c r="A85" s="7" t="s">
        <v>219</v>
      </c>
      <c r="B85" s="9">
        <v>799999.98</v>
      </c>
    </row>
    <row r="86" spans="1:2" x14ac:dyDescent="0.25">
      <c r="A86" s="7" t="s">
        <v>316</v>
      </c>
      <c r="B86" s="9">
        <v>962849.85</v>
      </c>
    </row>
    <row r="87" spans="1:2" x14ac:dyDescent="0.25">
      <c r="A87" s="7" t="s">
        <v>320</v>
      </c>
      <c r="B87" s="9">
        <v>7749997.7999999998</v>
      </c>
    </row>
    <row r="88" spans="1:2" x14ac:dyDescent="0.25">
      <c r="A88" s="7" t="s">
        <v>403</v>
      </c>
      <c r="B88" s="9">
        <v>310000.13</v>
      </c>
    </row>
    <row r="89" spans="1:2" x14ac:dyDescent="0.25">
      <c r="A89" s="6" t="s">
        <v>175</v>
      </c>
      <c r="B89" s="9">
        <v>4263887.4000000004</v>
      </c>
    </row>
    <row r="90" spans="1:2" x14ac:dyDescent="0.25">
      <c r="A90" s="7" t="s">
        <v>713</v>
      </c>
      <c r="B90" s="9">
        <v>469530</v>
      </c>
    </row>
    <row r="91" spans="1:2" x14ac:dyDescent="0.25">
      <c r="A91" s="7" t="s">
        <v>179</v>
      </c>
      <c r="B91" s="9">
        <v>734820</v>
      </c>
    </row>
    <row r="92" spans="1:2" x14ac:dyDescent="0.25">
      <c r="A92" s="7" t="s">
        <v>181</v>
      </c>
      <c r="B92" s="9">
        <v>734820</v>
      </c>
    </row>
    <row r="93" spans="1:2" x14ac:dyDescent="0.25">
      <c r="A93" s="7" t="s">
        <v>183</v>
      </c>
      <c r="B93" s="9">
        <v>361860</v>
      </c>
    </row>
    <row r="94" spans="1:2" x14ac:dyDescent="0.25">
      <c r="A94" s="7" t="s">
        <v>174</v>
      </c>
      <c r="B94" s="9">
        <v>734820</v>
      </c>
    </row>
    <row r="95" spans="1:2" x14ac:dyDescent="0.25">
      <c r="A95" s="7" t="s">
        <v>348</v>
      </c>
      <c r="B95" s="9">
        <v>1014917.4</v>
      </c>
    </row>
    <row r="96" spans="1:2" x14ac:dyDescent="0.25">
      <c r="A96" s="7" t="s">
        <v>478</v>
      </c>
      <c r="B96" s="12">
        <v>213120</v>
      </c>
    </row>
    <row r="97" spans="1:2" x14ac:dyDescent="0.25">
      <c r="A97" s="6" t="s">
        <v>209</v>
      </c>
      <c r="B97" s="9">
        <v>2865650.08</v>
      </c>
    </row>
    <row r="98" spans="1:2" x14ac:dyDescent="0.25">
      <c r="A98" s="7" t="s">
        <v>198</v>
      </c>
      <c r="B98" s="9">
        <v>2865650.08</v>
      </c>
    </row>
    <row r="99" spans="1:2" x14ac:dyDescent="0.25">
      <c r="A99" s="6" t="s">
        <v>188</v>
      </c>
      <c r="B99" s="9">
        <v>10120520.18</v>
      </c>
    </row>
    <row r="100" spans="1:2" x14ac:dyDescent="0.25">
      <c r="A100" s="7" t="s">
        <v>547</v>
      </c>
      <c r="B100" s="9">
        <v>324000</v>
      </c>
    </row>
    <row r="101" spans="1:2" x14ac:dyDescent="0.25">
      <c r="A101" s="7" t="s">
        <v>187</v>
      </c>
      <c r="B101" s="9">
        <v>370200</v>
      </c>
    </row>
    <row r="102" spans="1:2" x14ac:dyDescent="0.25">
      <c r="A102" s="7" t="s">
        <v>203</v>
      </c>
      <c r="B102" s="9">
        <v>5652120</v>
      </c>
    </row>
    <row r="103" spans="1:2" x14ac:dyDescent="0.25">
      <c r="A103" s="7" t="s">
        <v>194</v>
      </c>
      <c r="B103" s="9">
        <v>3025800.1500000004</v>
      </c>
    </row>
    <row r="104" spans="1:2" x14ac:dyDescent="0.25">
      <c r="A104" s="7" t="s">
        <v>490</v>
      </c>
      <c r="B104" s="9">
        <v>748400.03</v>
      </c>
    </row>
    <row r="105" spans="1:2" x14ac:dyDescent="0.25">
      <c r="A105" s="6" t="s">
        <v>154</v>
      </c>
      <c r="B105" s="9">
        <v>10673505.26</v>
      </c>
    </row>
    <row r="106" spans="1:2" x14ac:dyDescent="0.25">
      <c r="A106" s="7" t="s">
        <v>192</v>
      </c>
      <c r="B106" s="9">
        <v>4041990.15</v>
      </c>
    </row>
    <row r="107" spans="1:2" x14ac:dyDescent="0.25">
      <c r="A107" s="7" t="s">
        <v>246</v>
      </c>
      <c r="B107" s="9">
        <v>3714615</v>
      </c>
    </row>
    <row r="108" spans="1:2" x14ac:dyDescent="0.25">
      <c r="A108" s="7" t="s">
        <v>153</v>
      </c>
      <c r="B108" s="9">
        <v>2083500.08</v>
      </c>
    </row>
    <row r="109" spans="1:2" x14ac:dyDescent="0.25">
      <c r="A109" s="7" t="s">
        <v>166</v>
      </c>
      <c r="B109" s="9">
        <v>833400.03</v>
      </c>
    </row>
    <row r="110" spans="1:2" x14ac:dyDescent="0.25">
      <c r="A110" s="6" t="s">
        <v>53</v>
      </c>
      <c r="B110" s="9">
        <v>6260200.1000000006</v>
      </c>
    </row>
    <row r="111" spans="1:2" x14ac:dyDescent="0.25">
      <c r="A111" s="7" t="s">
        <v>423</v>
      </c>
      <c r="B111" s="12">
        <v>267000</v>
      </c>
    </row>
    <row r="112" spans="1:2" x14ac:dyDescent="0.25">
      <c r="A112" s="7" t="s">
        <v>185</v>
      </c>
      <c r="B112" s="9">
        <v>1483800.05</v>
      </c>
    </row>
    <row r="113" spans="1:2" x14ac:dyDescent="0.25">
      <c r="A113" s="7" t="s">
        <v>143</v>
      </c>
      <c r="B113" s="9">
        <v>2596800.0699999998</v>
      </c>
    </row>
    <row r="114" spans="1:2" x14ac:dyDescent="0.25">
      <c r="A114" s="7" t="s">
        <v>52</v>
      </c>
      <c r="B114" s="9">
        <v>862000.03</v>
      </c>
    </row>
    <row r="115" spans="1:2" x14ac:dyDescent="0.25">
      <c r="A115" s="7" t="s">
        <v>198</v>
      </c>
      <c r="B115" s="9">
        <v>1050599.95</v>
      </c>
    </row>
    <row r="116" spans="1:2" x14ac:dyDescent="0.25">
      <c r="A116" s="6" t="s">
        <v>160</v>
      </c>
      <c r="B116" s="9">
        <v>64700200.650000006</v>
      </c>
    </row>
    <row r="117" spans="1:2" x14ac:dyDescent="0.25">
      <c r="A117" s="7" t="s">
        <v>207</v>
      </c>
      <c r="B117" s="9">
        <v>3220800.1500000004</v>
      </c>
    </row>
    <row r="118" spans="1:2" x14ac:dyDescent="0.25">
      <c r="A118" s="7" t="s">
        <v>407</v>
      </c>
      <c r="B118" s="9">
        <v>1583999.99</v>
      </c>
    </row>
    <row r="119" spans="1:2" x14ac:dyDescent="0.25">
      <c r="A119" s="7" t="s">
        <v>169</v>
      </c>
      <c r="B119" s="9">
        <v>47879999.689999998</v>
      </c>
    </row>
    <row r="120" spans="1:2" x14ac:dyDescent="0.25">
      <c r="A120" s="7" t="s">
        <v>417</v>
      </c>
      <c r="B120" s="9">
        <v>6685200.7300000004</v>
      </c>
    </row>
    <row r="121" spans="1:2" x14ac:dyDescent="0.25">
      <c r="A121" s="7" t="s">
        <v>159</v>
      </c>
      <c r="B121" s="9">
        <v>3789400.03</v>
      </c>
    </row>
    <row r="122" spans="1:2" x14ac:dyDescent="0.25">
      <c r="A122" s="7" t="s">
        <v>205</v>
      </c>
      <c r="B122" s="9">
        <v>1540800.06</v>
      </c>
    </row>
    <row r="123" spans="1:2" x14ac:dyDescent="0.25">
      <c r="A123" s="6" t="s">
        <v>234</v>
      </c>
      <c r="B123" s="9">
        <v>20435989.190000001</v>
      </c>
    </row>
    <row r="124" spans="1:2" x14ac:dyDescent="0.25">
      <c r="A124" s="7" t="s">
        <v>724</v>
      </c>
      <c r="B124" s="9">
        <v>772560</v>
      </c>
    </row>
    <row r="125" spans="1:2" x14ac:dyDescent="0.25">
      <c r="A125" s="7" t="s">
        <v>430</v>
      </c>
      <c r="B125" s="9">
        <v>630000</v>
      </c>
    </row>
    <row r="126" spans="1:2" x14ac:dyDescent="0.25">
      <c r="A126" s="7" t="s">
        <v>292</v>
      </c>
      <c r="B126" s="9">
        <v>1400000.04</v>
      </c>
    </row>
    <row r="127" spans="1:2" x14ac:dyDescent="0.25">
      <c r="A127" s="7" t="s">
        <v>446</v>
      </c>
      <c r="B127" s="9">
        <v>327450</v>
      </c>
    </row>
    <row r="128" spans="1:2" x14ac:dyDescent="0.25">
      <c r="A128" s="7" t="s">
        <v>720</v>
      </c>
      <c r="B128" s="9">
        <v>1604999.99</v>
      </c>
    </row>
    <row r="129" spans="1:2" x14ac:dyDescent="0.25">
      <c r="A129" s="7" t="s">
        <v>677</v>
      </c>
      <c r="B129" s="12">
        <v>220000</v>
      </c>
    </row>
    <row r="130" spans="1:2" x14ac:dyDescent="0.25">
      <c r="A130" s="7" t="s">
        <v>731</v>
      </c>
      <c r="B130" s="12">
        <v>235620.01</v>
      </c>
    </row>
    <row r="131" spans="1:2" x14ac:dyDescent="0.25">
      <c r="A131" s="7" t="s">
        <v>275</v>
      </c>
      <c r="B131" s="12">
        <v>122100</v>
      </c>
    </row>
    <row r="132" spans="1:2" x14ac:dyDescent="0.25">
      <c r="A132" s="7" t="s">
        <v>688</v>
      </c>
      <c r="B132" s="9">
        <v>330000</v>
      </c>
    </row>
    <row r="133" spans="1:2" x14ac:dyDescent="0.25">
      <c r="A133" s="7" t="s">
        <v>270</v>
      </c>
      <c r="B133" s="9">
        <v>951845</v>
      </c>
    </row>
    <row r="134" spans="1:2" x14ac:dyDescent="0.25">
      <c r="A134" s="7" t="s">
        <v>456</v>
      </c>
      <c r="B134" s="9">
        <v>1014800</v>
      </c>
    </row>
    <row r="135" spans="1:2" x14ac:dyDescent="0.25">
      <c r="A135" s="7" t="s">
        <v>506</v>
      </c>
      <c r="B135" s="9">
        <v>1174900</v>
      </c>
    </row>
    <row r="136" spans="1:2" x14ac:dyDescent="0.25">
      <c r="A136" s="7" t="s">
        <v>309</v>
      </c>
      <c r="B136" s="9">
        <v>838500</v>
      </c>
    </row>
    <row r="137" spans="1:2" x14ac:dyDescent="0.25">
      <c r="A137" s="7" t="s">
        <v>488</v>
      </c>
      <c r="B137" s="9">
        <v>327450</v>
      </c>
    </row>
    <row r="138" spans="1:2" x14ac:dyDescent="0.25">
      <c r="A138" s="7" t="s">
        <v>482</v>
      </c>
      <c r="B138" s="9">
        <v>654900</v>
      </c>
    </row>
    <row r="139" spans="1:2" x14ac:dyDescent="0.25">
      <c r="A139" s="7" t="s">
        <v>322</v>
      </c>
      <c r="B139" s="9">
        <v>666000</v>
      </c>
    </row>
    <row r="140" spans="1:2" x14ac:dyDescent="0.25">
      <c r="A140" s="7" t="s">
        <v>777</v>
      </c>
      <c r="B140" s="9">
        <v>529914</v>
      </c>
    </row>
    <row r="141" spans="1:2" x14ac:dyDescent="0.25">
      <c r="A141" s="7" t="s">
        <v>318</v>
      </c>
      <c r="B141" s="9">
        <v>690000</v>
      </c>
    </row>
    <row r="142" spans="1:2" x14ac:dyDescent="0.25">
      <c r="A142" s="7" t="s">
        <v>521</v>
      </c>
      <c r="B142" s="9">
        <v>914999.98</v>
      </c>
    </row>
    <row r="143" spans="1:2" x14ac:dyDescent="0.25">
      <c r="A143" s="7" t="s">
        <v>233</v>
      </c>
      <c r="B143" s="9">
        <v>4940000.16</v>
      </c>
    </row>
    <row r="144" spans="1:2" x14ac:dyDescent="0.25">
      <c r="A144" s="7" t="s">
        <v>498</v>
      </c>
      <c r="B144" s="9">
        <v>327450</v>
      </c>
    </row>
    <row r="145" spans="1:2" x14ac:dyDescent="0.25">
      <c r="A145" s="7" t="s">
        <v>703</v>
      </c>
      <c r="B145" s="9">
        <v>802500</v>
      </c>
    </row>
    <row r="146" spans="1:2" x14ac:dyDescent="0.25">
      <c r="A146" s="7" t="s">
        <v>534</v>
      </c>
      <c r="B146" s="9">
        <v>960000.01</v>
      </c>
    </row>
    <row r="147" spans="1:2" x14ac:dyDescent="0.25">
      <c r="A147" s="6" t="s">
        <v>229</v>
      </c>
      <c r="B147" s="9">
        <v>13974179.099999998</v>
      </c>
    </row>
    <row r="148" spans="1:2" x14ac:dyDescent="0.25">
      <c r="A148" s="7" t="s">
        <v>803</v>
      </c>
      <c r="B148" s="9">
        <v>410700</v>
      </c>
    </row>
    <row r="149" spans="1:2" x14ac:dyDescent="0.25">
      <c r="A149" s="7" t="s">
        <v>525</v>
      </c>
      <c r="B149" s="12">
        <v>290000</v>
      </c>
    </row>
    <row r="150" spans="1:2" x14ac:dyDescent="0.25">
      <c r="A150" s="7" t="s">
        <v>760</v>
      </c>
      <c r="B150" s="12">
        <v>110000</v>
      </c>
    </row>
    <row r="151" spans="1:2" x14ac:dyDescent="0.25">
      <c r="A151" s="7" t="s">
        <v>811</v>
      </c>
      <c r="B151" s="9">
        <v>1040000</v>
      </c>
    </row>
    <row r="152" spans="1:2" x14ac:dyDescent="0.25">
      <c r="A152" s="7" t="s">
        <v>809</v>
      </c>
      <c r="B152" s="12">
        <v>254079</v>
      </c>
    </row>
    <row r="153" spans="1:2" x14ac:dyDescent="0.25">
      <c r="A153" s="7" t="s">
        <v>813</v>
      </c>
      <c r="B153" s="9">
        <v>700000</v>
      </c>
    </row>
    <row r="154" spans="1:2" x14ac:dyDescent="0.25">
      <c r="A154" s="7" t="s">
        <v>228</v>
      </c>
      <c r="B154" s="9">
        <v>2010000.05</v>
      </c>
    </row>
    <row r="155" spans="1:2" x14ac:dyDescent="0.25">
      <c r="A155" s="7" t="s">
        <v>717</v>
      </c>
      <c r="B155" s="9">
        <v>780000.01</v>
      </c>
    </row>
    <row r="156" spans="1:2" x14ac:dyDescent="0.25">
      <c r="A156" s="7" t="s">
        <v>627</v>
      </c>
      <c r="B156" s="9">
        <v>325000</v>
      </c>
    </row>
    <row r="157" spans="1:2" x14ac:dyDescent="0.25">
      <c r="A157" s="7" t="s">
        <v>285</v>
      </c>
      <c r="B157" s="9">
        <v>1776000</v>
      </c>
    </row>
    <row r="158" spans="1:2" x14ac:dyDescent="0.25">
      <c r="A158" s="7" t="s">
        <v>438</v>
      </c>
      <c r="B158" s="9">
        <v>1309800</v>
      </c>
    </row>
    <row r="159" spans="1:2" x14ac:dyDescent="0.25">
      <c r="A159" s="7" t="s">
        <v>390</v>
      </c>
      <c r="B159" s="9">
        <v>4968600.04</v>
      </c>
    </row>
    <row r="160" spans="1:2" x14ac:dyDescent="0.25">
      <c r="A160" s="6" t="s">
        <v>113</v>
      </c>
      <c r="B160" s="9">
        <v>17956550.049999997</v>
      </c>
    </row>
    <row r="161" spans="1:2" x14ac:dyDescent="0.25">
      <c r="A161" s="7" t="s">
        <v>124</v>
      </c>
      <c r="B161" s="9">
        <v>308000</v>
      </c>
    </row>
    <row r="162" spans="1:2" x14ac:dyDescent="0.25">
      <c r="A162" s="7" t="s">
        <v>305</v>
      </c>
      <c r="B162" s="9">
        <v>800000</v>
      </c>
    </row>
    <row r="163" spans="1:2" x14ac:dyDescent="0.25">
      <c r="A163" s="7" t="s">
        <v>364</v>
      </c>
      <c r="B163" s="9">
        <v>3000000</v>
      </c>
    </row>
    <row r="164" spans="1:2" x14ac:dyDescent="0.25">
      <c r="A164" s="7" t="s">
        <v>612</v>
      </c>
      <c r="B164" s="9">
        <v>2600000.02</v>
      </c>
    </row>
    <row r="165" spans="1:2" x14ac:dyDescent="0.25">
      <c r="A165" s="7" t="s">
        <v>623</v>
      </c>
      <c r="B165" s="9">
        <v>1457499.99</v>
      </c>
    </row>
    <row r="166" spans="1:2" x14ac:dyDescent="0.25">
      <c r="A166" s="7" t="s">
        <v>122</v>
      </c>
      <c r="B166" s="9">
        <v>606060</v>
      </c>
    </row>
    <row r="167" spans="1:2" x14ac:dyDescent="0.25">
      <c r="A167" s="7" t="s">
        <v>528</v>
      </c>
      <c r="B167" s="9">
        <v>1227450.01</v>
      </c>
    </row>
    <row r="168" spans="1:2" x14ac:dyDescent="0.25">
      <c r="A168" s="7" t="s">
        <v>476</v>
      </c>
      <c r="B168" s="9">
        <v>327450</v>
      </c>
    </row>
    <row r="169" spans="1:2" x14ac:dyDescent="0.25">
      <c r="A169" s="7" t="s">
        <v>496</v>
      </c>
      <c r="B169" s="9">
        <v>580000</v>
      </c>
    </row>
    <row r="170" spans="1:2" x14ac:dyDescent="0.25">
      <c r="A170" s="7" t="s">
        <v>112</v>
      </c>
      <c r="B170" s="9">
        <v>355200</v>
      </c>
    </row>
    <row r="171" spans="1:2" x14ac:dyDescent="0.25">
      <c r="A171" s="7" t="s">
        <v>339</v>
      </c>
      <c r="B171" s="9">
        <v>900000</v>
      </c>
    </row>
    <row r="172" spans="1:2" x14ac:dyDescent="0.25">
      <c r="A172" s="7" t="s">
        <v>289</v>
      </c>
      <c r="B172" s="9">
        <v>2303000</v>
      </c>
    </row>
    <row r="173" spans="1:2" x14ac:dyDescent="0.25">
      <c r="A173" s="7" t="s">
        <v>401</v>
      </c>
      <c r="B173" s="9">
        <v>330000</v>
      </c>
    </row>
    <row r="174" spans="1:2" x14ac:dyDescent="0.25">
      <c r="A174" s="7" t="s">
        <v>629</v>
      </c>
      <c r="B174" s="9">
        <v>334180.01</v>
      </c>
    </row>
    <row r="175" spans="1:2" x14ac:dyDescent="0.25">
      <c r="A175" s="7" t="s">
        <v>398</v>
      </c>
      <c r="B175" s="12">
        <v>220800.01</v>
      </c>
    </row>
    <row r="176" spans="1:2" x14ac:dyDescent="0.25">
      <c r="A176" s="7" t="s">
        <v>128</v>
      </c>
      <c r="B176" s="9">
        <v>600000.01</v>
      </c>
    </row>
    <row r="177" spans="1:2" x14ac:dyDescent="0.25">
      <c r="A177" s="7" t="s">
        <v>294</v>
      </c>
      <c r="B177" s="9">
        <v>1029000</v>
      </c>
    </row>
    <row r="178" spans="1:2" x14ac:dyDescent="0.25">
      <c r="A178" s="7" t="s">
        <v>132</v>
      </c>
      <c r="B178" s="9">
        <v>977910</v>
      </c>
    </row>
    <row r="179" spans="1:2" x14ac:dyDescent="0.25">
      <c r="A179" s="6" t="s">
        <v>61</v>
      </c>
      <c r="B179" s="9">
        <v>21726000.140000001</v>
      </c>
    </row>
    <row r="180" spans="1:2" x14ac:dyDescent="0.25">
      <c r="A180" s="7" t="s">
        <v>473</v>
      </c>
      <c r="B180" s="9">
        <v>315000</v>
      </c>
    </row>
    <row r="181" spans="1:2" x14ac:dyDescent="0.25">
      <c r="A181" s="7" t="s">
        <v>98</v>
      </c>
      <c r="B181" s="12">
        <v>253080</v>
      </c>
    </row>
    <row r="182" spans="1:2" x14ac:dyDescent="0.25">
      <c r="A182" s="7" t="s">
        <v>538</v>
      </c>
      <c r="B182" s="9">
        <v>1524999.97</v>
      </c>
    </row>
    <row r="183" spans="1:2" x14ac:dyDescent="0.25">
      <c r="A183" s="7" t="s">
        <v>515</v>
      </c>
      <c r="B183" s="9">
        <v>1425000.02</v>
      </c>
    </row>
    <row r="184" spans="1:2" x14ac:dyDescent="0.25">
      <c r="A184" s="7" t="s">
        <v>260</v>
      </c>
      <c r="B184" s="9">
        <v>11080000.1</v>
      </c>
    </row>
    <row r="185" spans="1:2" x14ac:dyDescent="0.25">
      <c r="A185" s="7" t="s">
        <v>729</v>
      </c>
      <c r="B185" s="12">
        <v>202400.02</v>
      </c>
    </row>
    <row r="186" spans="1:2" x14ac:dyDescent="0.25">
      <c r="A186" s="7" t="s">
        <v>484</v>
      </c>
      <c r="B186" s="9">
        <v>606060</v>
      </c>
    </row>
    <row r="187" spans="1:2" x14ac:dyDescent="0.25">
      <c r="A187" s="7" t="s">
        <v>366</v>
      </c>
      <c r="B187" s="9">
        <v>506000</v>
      </c>
    </row>
    <row r="188" spans="1:2" x14ac:dyDescent="0.25">
      <c r="A188" s="7" t="s">
        <v>90</v>
      </c>
      <c r="B188" s="9">
        <v>606060</v>
      </c>
    </row>
    <row r="189" spans="1:2" x14ac:dyDescent="0.25">
      <c r="A189" s="7" t="s">
        <v>92</v>
      </c>
      <c r="B189" s="9">
        <v>355200</v>
      </c>
    </row>
    <row r="190" spans="1:2" x14ac:dyDescent="0.25">
      <c r="A190" s="7" t="s">
        <v>60</v>
      </c>
      <c r="B190" s="9">
        <v>606060</v>
      </c>
    </row>
    <row r="191" spans="1:2" x14ac:dyDescent="0.25">
      <c r="A191" s="7" t="s">
        <v>558</v>
      </c>
      <c r="B191" s="9">
        <v>510000.02</v>
      </c>
    </row>
    <row r="192" spans="1:2" x14ac:dyDescent="0.25">
      <c r="A192" s="7" t="s">
        <v>510</v>
      </c>
      <c r="B192" s="9">
        <v>488400</v>
      </c>
    </row>
    <row r="193" spans="1:2" x14ac:dyDescent="0.25">
      <c r="A193" s="7" t="s">
        <v>86</v>
      </c>
      <c r="B193" s="9">
        <v>506160</v>
      </c>
    </row>
    <row r="194" spans="1:2" x14ac:dyDescent="0.25">
      <c r="A194" s="7" t="s">
        <v>421</v>
      </c>
      <c r="B194" s="9">
        <v>990000.01</v>
      </c>
    </row>
    <row r="195" spans="1:2" x14ac:dyDescent="0.25">
      <c r="A195" s="7" t="s">
        <v>268</v>
      </c>
      <c r="B195" s="9">
        <v>1751580</v>
      </c>
    </row>
    <row r="196" spans="1:2" x14ac:dyDescent="0.25">
      <c r="A196" s="6" t="s">
        <v>32</v>
      </c>
      <c r="B196" s="9">
        <v>17829890.419999998</v>
      </c>
    </row>
    <row r="197" spans="1:2" x14ac:dyDescent="0.25">
      <c r="A197" s="7" t="s">
        <v>377</v>
      </c>
      <c r="B197" s="9">
        <v>1373800</v>
      </c>
    </row>
    <row r="198" spans="1:2" x14ac:dyDescent="0.25">
      <c r="A198" s="7" t="s">
        <v>798</v>
      </c>
      <c r="B198" s="9">
        <v>666690</v>
      </c>
    </row>
    <row r="199" spans="1:2" x14ac:dyDescent="0.25">
      <c r="A199" s="7" t="s">
        <v>637</v>
      </c>
      <c r="B199" s="9">
        <v>350000.01</v>
      </c>
    </row>
    <row r="200" spans="1:2" x14ac:dyDescent="0.25">
      <c r="A200" s="7" t="s">
        <v>216</v>
      </c>
      <c r="B200" s="9">
        <v>525000</v>
      </c>
    </row>
    <row r="201" spans="1:2" x14ac:dyDescent="0.25">
      <c r="A201" s="7" t="s">
        <v>81</v>
      </c>
      <c r="B201" s="9">
        <v>2349400</v>
      </c>
    </row>
    <row r="202" spans="1:2" x14ac:dyDescent="0.25">
      <c r="A202" s="7" t="s">
        <v>562</v>
      </c>
      <c r="B202" s="9">
        <v>720000</v>
      </c>
    </row>
    <row r="203" spans="1:2" x14ac:dyDescent="0.25">
      <c r="A203" s="7" t="s">
        <v>448</v>
      </c>
      <c r="B203" s="9">
        <v>1425000.02</v>
      </c>
    </row>
    <row r="204" spans="1:2" x14ac:dyDescent="0.25">
      <c r="A204" s="7" t="s">
        <v>328</v>
      </c>
      <c r="B204" s="9">
        <v>8838200.5</v>
      </c>
    </row>
    <row r="205" spans="1:2" x14ac:dyDescent="0.25">
      <c r="A205" s="7" t="s">
        <v>30</v>
      </c>
      <c r="B205" s="12">
        <v>166500</v>
      </c>
    </row>
    <row r="206" spans="1:2" x14ac:dyDescent="0.25">
      <c r="A206" s="7" t="s">
        <v>159</v>
      </c>
      <c r="B206" s="9">
        <v>371850</v>
      </c>
    </row>
    <row r="207" spans="1:2" x14ac:dyDescent="0.25">
      <c r="A207" s="7" t="s">
        <v>454</v>
      </c>
      <c r="B207" s="9">
        <v>327450</v>
      </c>
    </row>
    <row r="208" spans="1:2" x14ac:dyDescent="0.25">
      <c r="A208" s="7" t="s">
        <v>296</v>
      </c>
      <c r="B208" s="9">
        <v>395999.99</v>
      </c>
    </row>
    <row r="209" spans="1:2" x14ac:dyDescent="0.25">
      <c r="A209" s="7" t="s">
        <v>303</v>
      </c>
      <c r="B209" s="9">
        <v>319999.90000000002</v>
      </c>
    </row>
    <row r="210" spans="1:2" x14ac:dyDescent="0.25">
      <c r="A210" s="6" t="s">
        <v>247</v>
      </c>
      <c r="B210" s="9">
        <v>38871620.600000001</v>
      </c>
    </row>
    <row r="211" spans="1:2" x14ac:dyDescent="0.25">
      <c r="A211" s="7" t="s">
        <v>464</v>
      </c>
      <c r="B211" s="9">
        <v>2029020.07</v>
      </c>
    </row>
    <row r="212" spans="1:2" x14ac:dyDescent="0.25">
      <c r="A212" s="7" t="s">
        <v>246</v>
      </c>
      <c r="B212" s="9">
        <v>7829519.75</v>
      </c>
    </row>
    <row r="213" spans="1:2" x14ac:dyDescent="0.25">
      <c r="A213" s="7" t="s">
        <v>345</v>
      </c>
      <c r="B213" s="9">
        <v>14589880.189999999</v>
      </c>
    </row>
    <row r="214" spans="1:2" x14ac:dyDescent="0.25">
      <c r="A214" s="7" t="s">
        <v>501</v>
      </c>
      <c r="B214" s="9">
        <v>1751580</v>
      </c>
    </row>
    <row r="215" spans="1:2" x14ac:dyDescent="0.25">
      <c r="A215" s="7" t="s">
        <v>352</v>
      </c>
      <c r="B215" s="9">
        <v>4007600.25</v>
      </c>
    </row>
    <row r="216" spans="1:2" x14ac:dyDescent="0.25">
      <c r="A216" s="7" t="s">
        <v>684</v>
      </c>
      <c r="B216" s="9">
        <v>2580000.1100000003</v>
      </c>
    </row>
    <row r="217" spans="1:2" x14ac:dyDescent="0.25">
      <c r="A217" s="7" t="s">
        <v>690</v>
      </c>
      <c r="B217" s="9">
        <v>4032000.1</v>
      </c>
    </row>
    <row r="218" spans="1:2" x14ac:dyDescent="0.25">
      <c r="A218" s="7" t="s">
        <v>679</v>
      </c>
      <c r="B218" s="9">
        <v>2052020.13</v>
      </c>
    </row>
    <row r="219" spans="1:2" x14ac:dyDescent="0.25">
      <c r="A219" s="6" t="s">
        <v>828</v>
      </c>
      <c r="B219" s="9">
        <v>424601380.88000005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58"/>
  <sheetViews>
    <sheetView topLeftCell="B1" workbookViewId="0">
      <pane ySplit="1" topLeftCell="A339" activePane="bottomLeft" state="frozen"/>
      <selection pane="bottomLeft" activeCell="M358" sqref="M358"/>
    </sheetView>
  </sheetViews>
  <sheetFormatPr defaultRowHeight="15" x14ac:dyDescent="0.25"/>
  <cols>
    <col min="1" max="2" width="9.7109375" style="1" customWidth="1"/>
    <col min="3" max="3" width="15.425781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2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46322</v>
      </c>
      <c r="B2" s="1">
        <v>46321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25</v>
      </c>
      <c r="H2" s="2" t="s">
        <v>26</v>
      </c>
      <c r="I2" s="2" t="s">
        <v>27</v>
      </c>
      <c r="J2" s="3">
        <v>5</v>
      </c>
      <c r="K2" s="2" t="s">
        <v>28</v>
      </c>
      <c r="L2" s="3">
        <v>5</v>
      </c>
      <c r="M2" s="10">
        <v>500000</v>
      </c>
      <c r="N2" s="3">
        <v>0</v>
      </c>
      <c r="O2" s="2" t="s">
        <v>20</v>
      </c>
      <c r="P2" s="2" t="s">
        <v>21</v>
      </c>
      <c r="Q2" s="2" t="s">
        <v>22</v>
      </c>
    </row>
    <row r="3" spans="1:17" x14ac:dyDescent="0.25">
      <c r="A3" s="1">
        <v>46322</v>
      </c>
      <c r="B3" s="1">
        <v>46321</v>
      </c>
      <c r="C3" s="2" t="s">
        <v>29</v>
      </c>
      <c r="D3" s="2" t="s">
        <v>17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3">
        <v>10</v>
      </c>
      <c r="K3" s="2" t="s">
        <v>28</v>
      </c>
      <c r="L3" s="3">
        <v>10</v>
      </c>
      <c r="M3" s="10">
        <v>166500</v>
      </c>
      <c r="N3" s="3">
        <v>0</v>
      </c>
      <c r="O3" s="2" t="s">
        <v>20</v>
      </c>
      <c r="P3" s="2" t="s">
        <v>21</v>
      </c>
      <c r="Q3" s="2" t="s">
        <v>22</v>
      </c>
    </row>
    <row r="4" spans="1:17" x14ac:dyDescent="0.25">
      <c r="A4" s="1">
        <v>46322</v>
      </c>
      <c r="B4" s="1">
        <v>46321</v>
      </c>
      <c r="C4" s="2" t="s">
        <v>35</v>
      </c>
      <c r="D4" s="2" t="s">
        <v>17</v>
      </c>
      <c r="E4" s="2" t="s">
        <v>36</v>
      </c>
      <c r="F4" s="2" t="s">
        <v>31</v>
      </c>
      <c r="G4" s="2" t="s">
        <v>19</v>
      </c>
      <c r="H4" s="2" t="s">
        <v>37</v>
      </c>
      <c r="I4" s="2" t="s">
        <v>38</v>
      </c>
      <c r="J4" s="3">
        <v>15</v>
      </c>
      <c r="K4" s="2" t="s">
        <v>28</v>
      </c>
      <c r="L4" s="3">
        <v>13.88</v>
      </c>
      <c r="M4" s="10">
        <v>2012600</v>
      </c>
      <c r="N4" s="3">
        <v>-1.1200000000000001</v>
      </c>
      <c r="O4" s="2" t="s">
        <v>20</v>
      </c>
      <c r="P4" s="2" t="s">
        <v>21</v>
      </c>
      <c r="Q4" s="2" t="s">
        <v>22</v>
      </c>
    </row>
    <row r="5" spans="1:17" x14ac:dyDescent="0.25">
      <c r="A5" s="1">
        <v>46322</v>
      </c>
      <c r="B5" s="1">
        <v>46321</v>
      </c>
      <c r="C5" s="2" t="s">
        <v>39</v>
      </c>
      <c r="D5" s="2" t="s">
        <v>17</v>
      </c>
      <c r="E5" s="2" t="s">
        <v>40</v>
      </c>
      <c r="F5" s="2" t="s">
        <v>18</v>
      </c>
      <c r="G5" s="2" t="s">
        <v>19</v>
      </c>
      <c r="H5" s="2" t="s">
        <v>41</v>
      </c>
      <c r="I5" s="2" t="s">
        <v>42</v>
      </c>
      <c r="J5" s="3">
        <v>30</v>
      </c>
      <c r="K5" s="2" t="s">
        <v>28</v>
      </c>
      <c r="L5" s="3">
        <v>30</v>
      </c>
      <c r="M5" s="10">
        <v>1088910</v>
      </c>
      <c r="N5" s="3">
        <v>0</v>
      </c>
      <c r="O5" s="2" t="s">
        <v>20</v>
      </c>
      <c r="P5" s="2" t="s">
        <v>21</v>
      </c>
      <c r="Q5" s="2" t="s">
        <v>22</v>
      </c>
    </row>
    <row r="6" spans="1:17" x14ac:dyDescent="0.25">
      <c r="A6" s="1">
        <v>46322</v>
      </c>
      <c r="B6" s="1">
        <v>46321</v>
      </c>
      <c r="C6" s="2" t="s">
        <v>43</v>
      </c>
      <c r="D6" s="2" t="s">
        <v>17</v>
      </c>
      <c r="E6" s="2" t="s">
        <v>44</v>
      </c>
      <c r="F6" s="2" t="s">
        <v>31</v>
      </c>
      <c r="G6" s="2" t="s">
        <v>45</v>
      </c>
      <c r="H6" s="2" t="s">
        <v>46</v>
      </c>
      <c r="I6" s="2" t="s">
        <v>47</v>
      </c>
      <c r="J6" s="3">
        <v>15</v>
      </c>
      <c r="K6" s="2" t="s">
        <v>48</v>
      </c>
      <c r="L6" s="3">
        <v>15</v>
      </c>
      <c r="M6" s="10">
        <v>4574999.92</v>
      </c>
      <c r="N6" s="3">
        <v>0</v>
      </c>
      <c r="O6" s="2" t="s">
        <v>20</v>
      </c>
      <c r="P6" s="2" t="s">
        <v>21</v>
      </c>
      <c r="Q6" s="2" t="s">
        <v>22</v>
      </c>
    </row>
    <row r="7" spans="1:17" x14ac:dyDescent="0.25">
      <c r="A7" s="1">
        <v>46322</v>
      </c>
      <c r="B7" s="1">
        <v>46321</v>
      </c>
      <c r="C7" s="2" t="s">
        <v>49</v>
      </c>
      <c r="D7" s="2" t="s">
        <v>17</v>
      </c>
      <c r="E7" s="2" t="s">
        <v>44</v>
      </c>
      <c r="F7" s="2" t="s">
        <v>31</v>
      </c>
      <c r="G7" s="2" t="s">
        <v>45</v>
      </c>
      <c r="H7" s="2" t="s">
        <v>46</v>
      </c>
      <c r="I7" s="2" t="s">
        <v>47</v>
      </c>
      <c r="J7" s="3">
        <v>5</v>
      </c>
      <c r="K7" s="2" t="s">
        <v>48</v>
      </c>
      <c r="L7" s="3">
        <v>5</v>
      </c>
      <c r="M7" s="10">
        <v>1524999.97</v>
      </c>
      <c r="N7" s="3">
        <v>0</v>
      </c>
      <c r="O7" s="2" t="s">
        <v>20</v>
      </c>
      <c r="P7" s="2" t="s">
        <v>21</v>
      </c>
      <c r="Q7" s="2" t="s">
        <v>50</v>
      </c>
    </row>
    <row r="8" spans="1:17" x14ac:dyDescent="0.25">
      <c r="A8" s="1">
        <v>46322</v>
      </c>
      <c r="B8" s="1">
        <v>46321</v>
      </c>
      <c r="C8" s="2" t="s">
        <v>51</v>
      </c>
      <c r="D8" s="2" t="s">
        <v>17</v>
      </c>
      <c r="E8" s="2" t="s">
        <v>52</v>
      </c>
      <c r="F8" s="2" t="s">
        <v>31</v>
      </c>
      <c r="G8" s="2" t="s">
        <v>53</v>
      </c>
      <c r="H8" s="2" t="s">
        <v>54</v>
      </c>
      <c r="I8" s="2" t="s">
        <v>55</v>
      </c>
      <c r="J8" s="3">
        <v>10</v>
      </c>
      <c r="K8" s="2" t="s">
        <v>56</v>
      </c>
      <c r="L8" s="3">
        <v>10</v>
      </c>
      <c r="M8" s="10">
        <v>541000.02</v>
      </c>
      <c r="N8" s="3">
        <v>0</v>
      </c>
      <c r="O8" s="2" t="s">
        <v>20</v>
      </c>
      <c r="P8" s="2" t="s">
        <v>21</v>
      </c>
      <c r="Q8" s="2" t="s">
        <v>22</v>
      </c>
    </row>
    <row r="9" spans="1:17" x14ac:dyDescent="0.25">
      <c r="A9" s="1">
        <v>46322</v>
      </c>
      <c r="B9" s="1">
        <v>46321</v>
      </c>
      <c r="C9" s="2" t="s">
        <v>51</v>
      </c>
      <c r="D9" s="2" t="s">
        <v>17</v>
      </c>
      <c r="E9" s="2" t="s">
        <v>52</v>
      </c>
      <c r="F9" s="2" t="s">
        <v>31</v>
      </c>
      <c r="G9" s="2" t="s">
        <v>53</v>
      </c>
      <c r="H9" s="2" t="s">
        <v>57</v>
      </c>
      <c r="I9" s="2" t="s">
        <v>58</v>
      </c>
      <c r="J9" s="3">
        <v>5</v>
      </c>
      <c r="K9" s="2" t="s">
        <v>56</v>
      </c>
      <c r="L9" s="3">
        <v>5</v>
      </c>
      <c r="M9" s="10">
        <v>321000.01</v>
      </c>
      <c r="N9" s="3">
        <v>0</v>
      </c>
      <c r="O9" s="2" t="s">
        <v>20</v>
      </c>
      <c r="P9" s="2" t="s">
        <v>21</v>
      </c>
      <c r="Q9" s="2" t="s">
        <v>22</v>
      </c>
    </row>
    <row r="10" spans="1:17" x14ac:dyDescent="0.25">
      <c r="A10" s="1">
        <v>46322</v>
      </c>
      <c r="B10" s="1">
        <v>46321</v>
      </c>
      <c r="C10" s="2" t="s">
        <v>59</v>
      </c>
      <c r="D10" s="2" t="s">
        <v>17</v>
      </c>
      <c r="E10" s="2" t="s">
        <v>60</v>
      </c>
      <c r="F10" s="2" t="s">
        <v>31</v>
      </c>
      <c r="G10" s="2" t="s">
        <v>61</v>
      </c>
      <c r="H10" s="2" t="s">
        <v>62</v>
      </c>
      <c r="I10" s="2" t="s">
        <v>63</v>
      </c>
      <c r="J10" s="3">
        <v>12</v>
      </c>
      <c r="K10" s="2" t="s">
        <v>64</v>
      </c>
      <c r="L10" s="3">
        <v>12</v>
      </c>
      <c r="M10" s="10">
        <v>606060</v>
      </c>
      <c r="N10" s="3">
        <v>0</v>
      </c>
      <c r="O10" s="2" t="s">
        <v>20</v>
      </c>
      <c r="P10" s="2" t="s">
        <v>21</v>
      </c>
      <c r="Q10" s="2" t="s">
        <v>22</v>
      </c>
    </row>
    <row r="11" spans="1:17" x14ac:dyDescent="0.25">
      <c r="A11" s="1">
        <v>46322</v>
      </c>
      <c r="B11" s="1">
        <v>46321</v>
      </c>
      <c r="C11" s="2" t="s">
        <v>65</v>
      </c>
      <c r="D11" s="2" t="s">
        <v>17</v>
      </c>
      <c r="E11" s="2" t="s">
        <v>66</v>
      </c>
      <c r="F11" s="2" t="s">
        <v>31</v>
      </c>
      <c r="G11" s="2" t="s">
        <v>67</v>
      </c>
      <c r="H11" s="2" t="s">
        <v>68</v>
      </c>
      <c r="I11" s="2" t="s">
        <v>69</v>
      </c>
      <c r="J11" s="3">
        <v>12</v>
      </c>
      <c r="K11" s="2" t="s">
        <v>70</v>
      </c>
      <c r="L11" s="3">
        <v>12</v>
      </c>
      <c r="M11" s="10">
        <v>702000.1</v>
      </c>
      <c r="N11" s="3">
        <v>0</v>
      </c>
      <c r="O11" s="2" t="s">
        <v>20</v>
      </c>
      <c r="P11" s="2" t="s">
        <v>21</v>
      </c>
      <c r="Q11" s="2" t="s">
        <v>22</v>
      </c>
    </row>
    <row r="12" spans="1:17" x14ac:dyDescent="0.25">
      <c r="A12" s="1">
        <v>46322</v>
      </c>
      <c r="B12" s="1">
        <v>46321</v>
      </c>
      <c r="C12" s="2" t="s">
        <v>71</v>
      </c>
      <c r="D12" s="2" t="s">
        <v>17</v>
      </c>
      <c r="E12" s="2" t="s">
        <v>72</v>
      </c>
      <c r="F12" s="2" t="s">
        <v>31</v>
      </c>
      <c r="G12" s="2" t="s">
        <v>25</v>
      </c>
      <c r="H12" s="2" t="s">
        <v>73</v>
      </c>
      <c r="I12" s="2" t="s">
        <v>74</v>
      </c>
      <c r="J12" s="3">
        <v>24</v>
      </c>
      <c r="K12" s="2" t="s">
        <v>64</v>
      </c>
      <c r="L12" s="3">
        <v>24</v>
      </c>
      <c r="M12" s="10">
        <v>1212120</v>
      </c>
      <c r="N12" s="3">
        <v>0</v>
      </c>
      <c r="O12" s="2" t="s">
        <v>20</v>
      </c>
      <c r="P12" s="2" t="s">
        <v>21</v>
      </c>
      <c r="Q12" s="2" t="s">
        <v>75</v>
      </c>
    </row>
    <row r="13" spans="1:17" x14ac:dyDescent="0.25">
      <c r="A13" s="1">
        <v>46322</v>
      </c>
      <c r="B13" s="1">
        <v>46321</v>
      </c>
      <c r="C13" s="2" t="s">
        <v>76</v>
      </c>
      <c r="D13" s="2" t="s">
        <v>17</v>
      </c>
      <c r="E13" s="2" t="s">
        <v>77</v>
      </c>
      <c r="F13" s="2" t="s">
        <v>31</v>
      </c>
      <c r="G13" s="2" t="s">
        <v>67</v>
      </c>
      <c r="H13" s="2" t="s">
        <v>78</v>
      </c>
      <c r="I13" s="2" t="s">
        <v>79</v>
      </c>
      <c r="J13" s="3">
        <v>12</v>
      </c>
      <c r="K13" s="2" t="s">
        <v>70</v>
      </c>
      <c r="L13" s="3">
        <v>12</v>
      </c>
      <c r="M13" s="10">
        <v>785880</v>
      </c>
      <c r="N13" s="3">
        <v>0</v>
      </c>
      <c r="O13" s="2" t="s">
        <v>20</v>
      </c>
      <c r="P13" s="2" t="s">
        <v>21</v>
      </c>
      <c r="Q13" s="2" t="s">
        <v>22</v>
      </c>
    </row>
    <row r="14" spans="1:17" x14ac:dyDescent="0.25">
      <c r="A14" s="1">
        <v>46322</v>
      </c>
      <c r="B14" s="1">
        <v>46321</v>
      </c>
      <c r="C14" s="2" t="s">
        <v>80</v>
      </c>
      <c r="D14" s="2" t="s">
        <v>17</v>
      </c>
      <c r="E14" s="2" t="s">
        <v>81</v>
      </c>
      <c r="F14" s="2" t="s">
        <v>18</v>
      </c>
      <c r="G14" s="2" t="s">
        <v>32</v>
      </c>
      <c r="H14" s="2" t="s">
        <v>82</v>
      </c>
      <c r="I14" s="2" t="s">
        <v>83</v>
      </c>
      <c r="J14" s="3">
        <v>2</v>
      </c>
      <c r="K14" s="2" t="s">
        <v>28</v>
      </c>
      <c r="L14" s="3">
        <v>13.82</v>
      </c>
      <c r="M14" s="10">
        <v>2349400</v>
      </c>
      <c r="N14" s="3">
        <v>11.82</v>
      </c>
      <c r="O14" s="2" t="s">
        <v>20</v>
      </c>
      <c r="P14" s="2" t="s">
        <v>21</v>
      </c>
      <c r="Q14" s="2" t="s">
        <v>84</v>
      </c>
    </row>
    <row r="15" spans="1:17" x14ac:dyDescent="0.25">
      <c r="A15" s="1">
        <v>46322</v>
      </c>
      <c r="B15" s="1">
        <v>46321</v>
      </c>
      <c r="C15" s="2" t="s">
        <v>85</v>
      </c>
      <c r="D15" s="2" t="s">
        <v>17</v>
      </c>
      <c r="E15" s="2" t="s">
        <v>86</v>
      </c>
      <c r="F15" s="2" t="s">
        <v>18</v>
      </c>
      <c r="G15" s="2" t="s">
        <v>61</v>
      </c>
      <c r="H15" s="2" t="s">
        <v>87</v>
      </c>
      <c r="I15" s="2" t="s">
        <v>88</v>
      </c>
      <c r="J15" s="3">
        <v>12</v>
      </c>
      <c r="K15" s="2" t="s">
        <v>56</v>
      </c>
      <c r="L15" s="3">
        <v>12</v>
      </c>
      <c r="M15" s="10">
        <v>506160</v>
      </c>
      <c r="N15" s="3">
        <v>0</v>
      </c>
      <c r="O15" s="2" t="s">
        <v>20</v>
      </c>
      <c r="P15" s="2" t="s">
        <v>21</v>
      </c>
      <c r="Q15" s="2" t="s">
        <v>22</v>
      </c>
    </row>
    <row r="16" spans="1:17" x14ac:dyDescent="0.25">
      <c r="A16" s="1">
        <v>46322</v>
      </c>
      <c r="B16" s="1">
        <v>46321</v>
      </c>
      <c r="C16" s="2" t="s">
        <v>89</v>
      </c>
      <c r="D16" s="2" t="s">
        <v>17</v>
      </c>
      <c r="E16" s="2" t="s">
        <v>90</v>
      </c>
      <c r="F16" s="2" t="s">
        <v>31</v>
      </c>
      <c r="G16" s="2" t="s">
        <v>61</v>
      </c>
      <c r="H16" s="2" t="s">
        <v>73</v>
      </c>
      <c r="I16" s="2" t="s">
        <v>74</v>
      </c>
      <c r="J16" s="3">
        <v>12</v>
      </c>
      <c r="K16" s="2" t="s">
        <v>64</v>
      </c>
      <c r="L16" s="3">
        <v>12</v>
      </c>
      <c r="M16" s="10">
        <v>606060</v>
      </c>
      <c r="N16" s="3">
        <v>0</v>
      </c>
      <c r="O16" s="2" t="s">
        <v>20</v>
      </c>
      <c r="P16" s="2" t="s">
        <v>21</v>
      </c>
      <c r="Q16" s="2" t="s">
        <v>22</v>
      </c>
    </row>
    <row r="17" spans="1:17" x14ac:dyDescent="0.25">
      <c r="A17" s="1">
        <v>46322</v>
      </c>
      <c r="B17" s="1">
        <v>46321</v>
      </c>
      <c r="C17" s="2" t="s">
        <v>91</v>
      </c>
      <c r="D17" s="2" t="s">
        <v>17</v>
      </c>
      <c r="E17" s="2" t="s">
        <v>92</v>
      </c>
      <c r="F17" s="2" t="s">
        <v>18</v>
      </c>
      <c r="G17" s="2" t="s">
        <v>61</v>
      </c>
      <c r="H17" s="2" t="s">
        <v>46</v>
      </c>
      <c r="I17" s="2" t="s">
        <v>47</v>
      </c>
      <c r="J17" s="3">
        <v>1</v>
      </c>
      <c r="K17" s="2" t="s">
        <v>48</v>
      </c>
      <c r="L17" s="3">
        <v>1</v>
      </c>
      <c r="M17" s="10">
        <v>355200</v>
      </c>
      <c r="N17" s="3">
        <v>0</v>
      </c>
      <c r="O17" s="2" t="s">
        <v>20</v>
      </c>
      <c r="P17" s="2" t="s">
        <v>21</v>
      </c>
      <c r="Q17" s="2" t="s">
        <v>22</v>
      </c>
    </row>
    <row r="18" spans="1:17" x14ac:dyDescent="0.25">
      <c r="A18" s="1">
        <v>46322</v>
      </c>
      <c r="B18" s="1">
        <v>46321</v>
      </c>
      <c r="C18" s="2" t="s">
        <v>93</v>
      </c>
      <c r="D18" s="2" t="s">
        <v>17</v>
      </c>
      <c r="E18" s="2" t="s">
        <v>94</v>
      </c>
      <c r="F18" s="2" t="s">
        <v>18</v>
      </c>
      <c r="G18" s="2" t="s">
        <v>25</v>
      </c>
      <c r="H18" s="2" t="s">
        <v>95</v>
      </c>
      <c r="I18" s="2" t="s">
        <v>96</v>
      </c>
      <c r="J18" s="3">
        <v>4</v>
      </c>
      <c r="K18" s="2" t="s">
        <v>48</v>
      </c>
      <c r="L18" s="3">
        <v>4</v>
      </c>
      <c r="M18" s="10">
        <v>1180000.02</v>
      </c>
      <c r="N18" s="3">
        <v>0</v>
      </c>
      <c r="O18" s="2" t="s">
        <v>20</v>
      </c>
      <c r="P18" s="2" t="s">
        <v>21</v>
      </c>
      <c r="Q18" s="2" t="s">
        <v>22</v>
      </c>
    </row>
    <row r="19" spans="1:17" x14ac:dyDescent="0.25">
      <c r="A19" s="1">
        <v>46322</v>
      </c>
      <c r="B19" s="1">
        <v>46321</v>
      </c>
      <c r="C19" s="2" t="s">
        <v>97</v>
      </c>
      <c r="D19" s="2" t="s">
        <v>17</v>
      </c>
      <c r="E19" s="2" t="s">
        <v>98</v>
      </c>
      <c r="F19" s="2" t="s">
        <v>31</v>
      </c>
      <c r="G19" s="2" t="s">
        <v>61</v>
      </c>
      <c r="H19" s="2" t="s">
        <v>87</v>
      </c>
      <c r="I19" s="2" t="s">
        <v>88</v>
      </c>
      <c r="J19" s="3">
        <v>6</v>
      </c>
      <c r="K19" s="2" t="s">
        <v>56</v>
      </c>
      <c r="L19" s="3">
        <v>6</v>
      </c>
      <c r="M19" s="10">
        <v>253080</v>
      </c>
      <c r="N19" s="3">
        <v>0</v>
      </c>
      <c r="O19" s="2" t="s">
        <v>20</v>
      </c>
      <c r="P19" s="2" t="s">
        <v>21</v>
      </c>
      <c r="Q19" s="2" t="s">
        <v>22</v>
      </c>
    </row>
    <row r="20" spans="1:17" x14ac:dyDescent="0.25">
      <c r="A20" s="1">
        <v>46322</v>
      </c>
      <c r="B20" s="1">
        <v>46321</v>
      </c>
      <c r="C20" s="2" t="s">
        <v>99</v>
      </c>
      <c r="D20" s="2" t="s">
        <v>17</v>
      </c>
      <c r="E20" s="2" t="s">
        <v>100</v>
      </c>
      <c r="F20" s="2" t="s">
        <v>18</v>
      </c>
      <c r="G20" s="2" t="s">
        <v>25</v>
      </c>
      <c r="H20" s="2" t="s">
        <v>95</v>
      </c>
      <c r="I20" s="2" t="s">
        <v>96</v>
      </c>
      <c r="J20" s="3">
        <v>10</v>
      </c>
      <c r="K20" s="2" t="s">
        <v>48</v>
      </c>
      <c r="L20" s="3">
        <v>10</v>
      </c>
      <c r="M20" s="10">
        <v>2899999.99</v>
      </c>
      <c r="N20" s="3">
        <v>0</v>
      </c>
      <c r="O20" s="2" t="s">
        <v>20</v>
      </c>
      <c r="P20" s="2" t="s">
        <v>21</v>
      </c>
      <c r="Q20" s="2" t="s">
        <v>22</v>
      </c>
    </row>
    <row r="21" spans="1:17" x14ac:dyDescent="0.25">
      <c r="A21" s="1">
        <v>46322</v>
      </c>
      <c r="B21" s="1">
        <v>46321</v>
      </c>
      <c r="C21" s="2" t="s">
        <v>101</v>
      </c>
      <c r="D21" s="2" t="s">
        <v>17</v>
      </c>
      <c r="E21" s="2" t="s">
        <v>102</v>
      </c>
      <c r="F21" s="2" t="s">
        <v>31</v>
      </c>
      <c r="G21" s="2" t="s">
        <v>25</v>
      </c>
      <c r="H21" s="2" t="s">
        <v>33</v>
      </c>
      <c r="I21" s="2" t="s">
        <v>34</v>
      </c>
      <c r="J21" s="3">
        <v>20</v>
      </c>
      <c r="K21" s="2" t="s">
        <v>28</v>
      </c>
      <c r="L21" s="3">
        <v>20</v>
      </c>
      <c r="M21" s="10">
        <v>333000</v>
      </c>
      <c r="N21" s="3">
        <v>0</v>
      </c>
      <c r="O21" s="2" t="s">
        <v>20</v>
      </c>
      <c r="P21" s="2" t="s">
        <v>21</v>
      </c>
      <c r="Q21" s="2" t="s">
        <v>22</v>
      </c>
    </row>
    <row r="22" spans="1:17" x14ac:dyDescent="0.25">
      <c r="A22" s="1">
        <v>46322</v>
      </c>
      <c r="B22" s="1">
        <v>46321</v>
      </c>
      <c r="C22" s="2" t="s">
        <v>103</v>
      </c>
      <c r="D22" s="2" t="s">
        <v>17</v>
      </c>
      <c r="E22" s="2" t="s">
        <v>104</v>
      </c>
      <c r="F22" s="2" t="s">
        <v>31</v>
      </c>
      <c r="G22" s="2" t="s">
        <v>19</v>
      </c>
      <c r="H22" s="2" t="s">
        <v>105</v>
      </c>
      <c r="I22" s="2" t="s">
        <v>106</v>
      </c>
      <c r="J22" s="3">
        <v>6</v>
      </c>
      <c r="K22" s="2" t="s">
        <v>64</v>
      </c>
      <c r="L22" s="3">
        <v>6</v>
      </c>
      <c r="M22" s="10">
        <v>269730</v>
      </c>
      <c r="N22" s="3">
        <v>0</v>
      </c>
      <c r="O22" s="2" t="s">
        <v>20</v>
      </c>
      <c r="P22" s="2" t="s">
        <v>21</v>
      </c>
      <c r="Q22" s="2" t="s">
        <v>22</v>
      </c>
    </row>
    <row r="23" spans="1:17" x14ac:dyDescent="0.25">
      <c r="A23" s="1">
        <v>46322</v>
      </c>
      <c r="B23" s="1">
        <v>46321</v>
      </c>
      <c r="C23" s="2" t="s">
        <v>103</v>
      </c>
      <c r="D23" s="2" t="s">
        <v>17</v>
      </c>
      <c r="E23" s="2" t="s">
        <v>104</v>
      </c>
      <c r="F23" s="2" t="s">
        <v>31</v>
      </c>
      <c r="G23" s="2" t="s">
        <v>19</v>
      </c>
      <c r="H23" s="2" t="s">
        <v>62</v>
      </c>
      <c r="I23" s="2" t="s">
        <v>63</v>
      </c>
      <c r="J23" s="3">
        <v>12</v>
      </c>
      <c r="K23" s="2" t="s">
        <v>64</v>
      </c>
      <c r="L23" s="3">
        <v>12</v>
      </c>
      <c r="M23" s="10">
        <v>606060</v>
      </c>
      <c r="N23" s="3">
        <v>0</v>
      </c>
      <c r="O23" s="2" t="s">
        <v>20</v>
      </c>
      <c r="P23" s="2" t="s">
        <v>21</v>
      </c>
      <c r="Q23" s="2" t="s">
        <v>22</v>
      </c>
    </row>
    <row r="24" spans="1:17" x14ac:dyDescent="0.25">
      <c r="A24" s="1">
        <v>46322</v>
      </c>
      <c r="B24" s="1">
        <v>46321</v>
      </c>
      <c r="C24" s="2" t="s">
        <v>103</v>
      </c>
      <c r="D24" s="2" t="s">
        <v>17</v>
      </c>
      <c r="E24" s="2" t="s">
        <v>104</v>
      </c>
      <c r="F24" s="2" t="s">
        <v>31</v>
      </c>
      <c r="G24" s="2" t="s">
        <v>19</v>
      </c>
      <c r="H24" s="2" t="s">
        <v>87</v>
      </c>
      <c r="I24" s="2" t="s">
        <v>88</v>
      </c>
      <c r="J24" s="3">
        <v>6</v>
      </c>
      <c r="K24" s="2" t="s">
        <v>56</v>
      </c>
      <c r="L24" s="3">
        <v>6</v>
      </c>
      <c r="M24" s="10">
        <v>253080</v>
      </c>
      <c r="N24" s="3">
        <v>0</v>
      </c>
      <c r="O24" s="2" t="s">
        <v>20</v>
      </c>
      <c r="P24" s="2" t="s">
        <v>21</v>
      </c>
      <c r="Q24" s="2" t="s">
        <v>22</v>
      </c>
    </row>
    <row r="25" spans="1:17" x14ac:dyDescent="0.25">
      <c r="A25" s="1">
        <v>46322</v>
      </c>
      <c r="B25" s="1">
        <v>46321</v>
      </c>
      <c r="C25" s="2" t="s">
        <v>107</v>
      </c>
      <c r="D25" s="2" t="s">
        <v>17</v>
      </c>
      <c r="E25" s="2" t="s">
        <v>108</v>
      </c>
      <c r="F25" s="2" t="s">
        <v>18</v>
      </c>
      <c r="G25" s="2" t="s">
        <v>25</v>
      </c>
      <c r="H25" s="2" t="s">
        <v>62</v>
      </c>
      <c r="I25" s="2" t="s">
        <v>63</v>
      </c>
      <c r="J25" s="3">
        <v>12</v>
      </c>
      <c r="K25" s="2" t="s">
        <v>64</v>
      </c>
      <c r="L25" s="3">
        <v>12</v>
      </c>
      <c r="M25" s="10">
        <v>606060</v>
      </c>
      <c r="N25" s="3">
        <v>0</v>
      </c>
      <c r="O25" s="2" t="s">
        <v>20</v>
      </c>
      <c r="P25" s="2" t="s">
        <v>21</v>
      </c>
      <c r="Q25" s="2" t="s">
        <v>22</v>
      </c>
    </row>
    <row r="26" spans="1:17" x14ac:dyDescent="0.25">
      <c r="A26" s="1">
        <v>46322</v>
      </c>
      <c r="B26" s="1">
        <v>46321</v>
      </c>
      <c r="C26" s="2" t="s">
        <v>109</v>
      </c>
      <c r="D26" s="2" t="s">
        <v>17</v>
      </c>
      <c r="E26" s="2" t="s">
        <v>110</v>
      </c>
      <c r="F26" s="2" t="s">
        <v>18</v>
      </c>
      <c r="G26" s="2" t="s">
        <v>25</v>
      </c>
      <c r="H26" s="2" t="s">
        <v>62</v>
      </c>
      <c r="I26" s="2" t="s">
        <v>63</v>
      </c>
      <c r="J26" s="3">
        <v>12</v>
      </c>
      <c r="K26" s="2" t="s">
        <v>64</v>
      </c>
      <c r="L26" s="3">
        <v>12</v>
      </c>
      <c r="M26" s="10">
        <v>606060</v>
      </c>
      <c r="N26" s="3">
        <v>0</v>
      </c>
      <c r="O26" s="2" t="s">
        <v>20</v>
      </c>
      <c r="P26" s="2" t="s">
        <v>21</v>
      </c>
      <c r="Q26" s="2" t="s">
        <v>22</v>
      </c>
    </row>
    <row r="27" spans="1:17" x14ac:dyDescent="0.25">
      <c r="A27" s="1">
        <v>46322</v>
      </c>
      <c r="B27" s="1">
        <v>46321</v>
      </c>
      <c r="C27" s="2" t="s">
        <v>111</v>
      </c>
      <c r="D27" s="2" t="s">
        <v>17</v>
      </c>
      <c r="E27" s="2" t="s">
        <v>112</v>
      </c>
      <c r="F27" s="2" t="s">
        <v>31</v>
      </c>
      <c r="G27" s="2" t="s">
        <v>113</v>
      </c>
      <c r="H27" s="2" t="s">
        <v>114</v>
      </c>
      <c r="I27" s="2" t="s">
        <v>115</v>
      </c>
      <c r="J27" s="3">
        <v>2</v>
      </c>
      <c r="K27" s="2" t="s">
        <v>116</v>
      </c>
      <c r="L27" s="3">
        <v>2</v>
      </c>
      <c r="M27" s="10">
        <v>355200</v>
      </c>
      <c r="N27" s="3">
        <v>0</v>
      </c>
      <c r="O27" s="2" t="s">
        <v>20</v>
      </c>
      <c r="P27" s="2" t="s">
        <v>21</v>
      </c>
      <c r="Q27" s="2" t="s">
        <v>22</v>
      </c>
    </row>
    <row r="28" spans="1:17" x14ac:dyDescent="0.25">
      <c r="A28" s="1">
        <v>46322</v>
      </c>
      <c r="B28" s="1">
        <v>46321</v>
      </c>
      <c r="C28" s="2" t="s">
        <v>117</v>
      </c>
      <c r="D28" s="2" t="s">
        <v>17</v>
      </c>
      <c r="E28" s="2" t="s">
        <v>118</v>
      </c>
      <c r="F28" s="2" t="s">
        <v>18</v>
      </c>
      <c r="G28" s="2" t="s">
        <v>25</v>
      </c>
      <c r="H28" s="2" t="s">
        <v>62</v>
      </c>
      <c r="I28" s="2" t="s">
        <v>63</v>
      </c>
      <c r="J28" s="3">
        <v>12</v>
      </c>
      <c r="K28" s="2" t="s">
        <v>64</v>
      </c>
      <c r="L28" s="3">
        <v>12</v>
      </c>
      <c r="M28" s="10">
        <v>606060</v>
      </c>
      <c r="N28" s="3">
        <v>0</v>
      </c>
      <c r="O28" s="2" t="s">
        <v>20</v>
      </c>
      <c r="P28" s="2" t="s">
        <v>21</v>
      </c>
      <c r="Q28" s="2" t="s">
        <v>22</v>
      </c>
    </row>
    <row r="29" spans="1:17" x14ac:dyDescent="0.25">
      <c r="A29" s="1">
        <v>46322</v>
      </c>
      <c r="B29" s="1">
        <v>46321</v>
      </c>
      <c r="C29" s="2" t="s">
        <v>119</v>
      </c>
      <c r="D29" s="2" t="s">
        <v>17</v>
      </c>
      <c r="E29" s="2" t="s">
        <v>120</v>
      </c>
      <c r="F29" s="2" t="s">
        <v>18</v>
      </c>
      <c r="G29" s="2" t="s">
        <v>25</v>
      </c>
      <c r="H29" s="2" t="s">
        <v>62</v>
      </c>
      <c r="I29" s="2" t="s">
        <v>63</v>
      </c>
      <c r="J29" s="3">
        <v>12</v>
      </c>
      <c r="K29" s="2" t="s">
        <v>64</v>
      </c>
      <c r="L29" s="3">
        <v>12</v>
      </c>
      <c r="M29" s="10">
        <v>606060</v>
      </c>
      <c r="N29" s="3">
        <v>0</v>
      </c>
      <c r="O29" s="2" t="s">
        <v>20</v>
      </c>
      <c r="P29" s="2" t="s">
        <v>21</v>
      </c>
      <c r="Q29" s="2" t="s">
        <v>22</v>
      </c>
    </row>
    <row r="30" spans="1:17" x14ac:dyDescent="0.25">
      <c r="A30" s="1">
        <v>46322</v>
      </c>
      <c r="B30" s="1">
        <v>46321</v>
      </c>
      <c r="C30" s="2" t="s">
        <v>121</v>
      </c>
      <c r="D30" s="2" t="s">
        <v>17</v>
      </c>
      <c r="E30" s="2" t="s">
        <v>122</v>
      </c>
      <c r="F30" s="2" t="s">
        <v>31</v>
      </c>
      <c r="G30" s="2" t="s">
        <v>113</v>
      </c>
      <c r="H30" s="2" t="s">
        <v>62</v>
      </c>
      <c r="I30" s="2" t="s">
        <v>63</v>
      </c>
      <c r="J30" s="3">
        <v>12</v>
      </c>
      <c r="K30" s="2" t="s">
        <v>64</v>
      </c>
      <c r="L30" s="3">
        <v>12</v>
      </c>
      <c r="M30" s="10">
        <v>606060</v>
      </c>
      <c r="N30" s="3">
        <v>0</v>
      </c>
      <c r="O30" s="2" t="s">
        <v>20</v>
      </c>
      <c r="P30" s="2" t="s">
        <v>21</v>
      </c>
      <c r="Q30" s="2" t="s">
        <v>22</v>
      </c>
    </row>
    <row r="31" spans="1:17" x14ac:dyDescent="0.25">
      <c r="A31" s="1">
        <v>46322</v>
      </c>
      <c r="B31" s="1">
        <v>46321</v>
      </c>
      <c r="C31" s="2" t="s">
        <v>123</v>
      </c>
      <c r="D31" s="2" t="s">
        <v>17</v>
      </c>
      <c r="E31" s="2" t="s">
        <v>124</v>
      </c>
      <c r="F31" s="2" t="s">
        <v>18</v>
      </c>
      <c r="G31" s="2" t="s">
        <v>113</v>
      </c>
      <c r="H31" s="2" t="s">
        <v>125</v>
      </c>
      <c r="I31" s="2" t="s">
        <v>126</v>
      </c>
      <c r="J31" s="3">
        <v>2</v>
      </c>
      <c r="K31" s="2" t="s">
        <v>28</v>
      </c>
      <c r="L31" s="3">
        <v>1.54</v>
      </c>
      <c r="M31" s="10">
        <v>308000</v>
      </c>
      <c r="N31" s="3">
        <v>-0.46</v>
      </c>
      <c r="O31" s="2" t="s">
        <v>20</v>
      </c>
      <c r="P31" s="2" t="s">
        <v>21</v>
      </c>
      <c r="Q31" s="2" t="s">
        <v>22</v>
      </c>
    </row>
    <row r="32" spans="1:17" x14ac:dyDescent="0.25">
      <c r="A32" s="1">
        <v>46322</v>
      </c>
      <c r="B32" s="1">
        <v>46321</v>
      </c>
      <c r="C32" s="2" t="s">
        <v>127</v>
      </c>
      <c r="D32" s="2" t="s">
        <v>17</v>
      </c>
      <c r="E32" s="2" t="s">
        <v>128</v>
      </c>
      <c r="F32" s="2" t="s">
        <v>18</v>
      </c>
      <c r="G32" s="2" t="s">
        <v>113</v>
      </c>
      <c r="H32" s="2" t="s">
        <v>129</v>
      </c>
      <c r="I32" s="2" t="s">
        <v>130</v>
      </c>
      <c r="J32" s="3">
        <v>1</v>
      </c>
      <c r="K32" s="2" t="s">
        <v>48</v>
      </c>
      <c r="L32" s="3">
        <v>1</v>
      </c>
      <c r="M32" s="10">
        <v>600000.01</v>
      </c>
      <c r="N32" s="3">
        <v>0</v>
      </c>
      <c r="O32" s="2" t="s">
        <v>20</v>
      </c>
      <c r="P32" s="2" t="s">
        <v>21</v>
      </c>
      <c r="Q32" s="2" t="s">
        <v>22</v>
      </c>
    </row>
    <row r="33" spans="1:17" x14ac:dyDescent="0.25">
      <c r="A33" s="1">
        <v>46322</v>
      </c>
      <c r="B33" s="1">
        <v>46321</v>
      </c>
      <c r="C33" s="2" t="s">
        <v>131</v>
      </c>
      <c r="D33" s="2" t="s">
        <v>17</v>
      </c>
      <c r="E33" s="2" t="s">
        <v>132</v>
      </c>
      <c r="F33" s="2" t="s">
        <v>18</v>
      </c>
      <c r="G33" s="2" t="s">
        <v>113</v>
      </c>
      <c r="H33" s="2" t="s">
        <v>62</v>
      </c>
      <c r="I33" s="2" t="s">
        <v>63</v>
      </c>
      <c r="J33" s="3">
        <v>12</v>
      </c>
      <c r="K33" s="2" t="s">
        <v>64</v>
      </c>
      <c r="L33" s="3">
        <v>12</v>
      </c>
      <c r="M33" s="10">
        <v>606060</v>
      </c>
      <c r="N33" s="3">
        <v>0</v>
      </c>
      <c r="O33" s="2" t="s">
        <v>20</v>
      </c>
      <c r="P33" s="2" t="s">
        <v>21</v>
      </c>
      <c r="Q33" s="2" t="s">
        <v>22</v>
      </c>
    </row>
    <row r="34" spans="1:17" x14ac:dyDescent="0.25">
      <c r="A34" s="1">
        <v>46322</v>
      </c>
      <c r="B34" s="1">
        <v>46321</v>
      </c>
      <c r="C34" s="2" t="s">
        <v>133</v>
      </c>
      <c r="D34" s="2" t="s">
        <v>17</v>
      </c>
      <c r="E34" s="2" t="s">
        <v>134</v>
      </c>
      <c r="F34" s="2" t="s">
        <v>31</v>
      </c>
      <c r="G34" s="2" t="s">
        <v>67</v>
      </c>
      <c r="H34" s="2" t="s">
        <v>135</v>
      </c>
      <c r="I34" s="2" t="s">
        <v>136</v>
      </c>
      <c r="J34" s="3">
        <v>12</v>
      </c>
      <c r="K34" s="2" t="s">
        <v>56</v>
      </c>
      <c r="L34" s="3">
        <v>12</v>
      </c>
      <c r="M34" s="10">
        <v>707999.96</v>
      </c>
      <c r="N34" s="3">
        <v>0</v>
      </c>
      <c r="O34" s="2" t="s">
        <v>20</v>
      </c>
      <c r="P34" s="2" t="s">
        <v>21</v>
      </c>
      <c r="Q34" s="2" t="s">
        <v>22</v>
      </c>
    </row>
    <row r="35" spans="1:17" x14ac:dyDescent="0.25">
      <c r="A35" s="1">
        <v>46322</v>
      </c>
      <c r="B35" s="1">
        <v>46321</v>
      </c>
      <c r="C35" s="2" t="s">
        <v>137</v>
      </c>
      <c r="D35" s="2" t="s">
        <v>17</v>
      </c>
      <c r="E35" s="2" t="s">
        <v>138</v>
      </c>
      <c r="F35" s="2" t="s">
        <v>18</v>
      </c>
      <c r="G35" s="2" t="s">
        <v>25</v>
      </c>
      <c r="H35" s="2" t="s">
        <v>139</v>
      </c>
      <c r="I35" s="2" t="s">
        <v>140</v>
      </c>
      <c r="J35" s="3">
        <v>1</v>
      </c>
      <c r="K35" s="2" t="s">
        <v>141</v>
      </c>
      <c r="L35" s="3">
        <v>1</v>
      </c>
      <c r="M35" s="10">
        <v>1500000.01</v>
      </c>
      <c r="N35" s="3">
        <v>0</v>
      </c>
      <c r="O35" s="2" t="s">
        <v>20</v>
      </c>
      <c r="P35" s="2" t="s">
        <v>21</v>
      </c>
      <c r="Q35" s="2" t="s">
        <v>22</v>
      </c>
    </row>
    <row r="36" spans="1:17" x14ac:dyDescent="0.25">
      <c r="A36" s="1">
        <v>46322</v>
      </c>
      <c r="B36" s="1">
        <v>46321</v>
      </c>
      <c r="C36" s="2" t="s">
        <v>142</v>
      </c>
      <c r="D36" s="2" t="s">
        <v>17</v>
      </c>
      <c r="E36" s="2" t="s">
        <v>143</v>
      </c>
      <c r="F36" s="2" t="s">
        <v>31</v>
      </c>
      <c r="G36" s="2" t="s">
        <v>53</v>
      </c>
      <c r="H36" s="2" t="s">
        <v>144</v>
      </c>
      <c r="I36" s="2" t="s">
        <v>145</v>
      </c>
      <c r="J36" s="3">
        <v>48</v>
      </c>
      <c r="K36" s="2" t="s">
        <v>56</v>
      </c>
      <c r="L36" s="3">
        <v>48</v>
      </c>
      <c r="M36" s="10">
        <v>2596800.0699999998</v>
      </c>
      <c r="N36" s="3">
        <v>0</v>
      </c>
      <c r="O36" s="2" t="s">
        <v>20</v>
      </c>
      <c r="P36" s="2" t="s">
        <v>21</v>
      </c>
      <c r="Q36" s="2" t="s">
        <v>22</v>
      </c>
    </row>
    <row r="37" spans="1:17" x14ac:dyDescent="0.25">
      <c r="A37" s="1">
        <v>46322</v>
      </c>
      <c r="B37" s="1">
        <v>46321</v>
      </c>
      <c r="C37" s="2" t="s">
        <v>146</v>
      </c>
      <c r="D37" s="2" t="s">
        <v>17</v>
      </c>
      <c r="E37" s="2" t="s">
        <v>147</v>
      </c>
      <c r="F37" s="2" t="s">
        <v>18</v>
      </c>
      <c r="G37" s="2" t="s">
        <v>148</v>
      </c>
      <c r="H37" s="2" t="s">
        <v>149</v>
      </c>
      <c r="I37" s="2" t="s">
        <v>150</v>
      </c>
      <c r="J37" s="3">
        <v>4.5999999999999996</v>
      </c>
      <c r="K37" s="2" t="s">
        <v>28</v>
      </c>
      <c r="L37" s="3">
        <v>4.5999999999999996</v>
      </c>
      <c r="M37" s="10">
        <v>460000.05</v>
      </c>
      <c r="N37" s="3">
        <v>0</v>
      </c>
      <c r="O37" s="2" t="s">
        <v>20</v>
      </c>
      <c r="P37" s="2" t="s">
        <v>21</v>
      </c>
      <c r="Q37" s="2" t="s">
        <v>22</v>
      </c>
    </row>
    <row r="38" spans="1:17" x14ac:dyDescent="0.25">
      <c r="A38" s="1">
        <v>46322</v>
      </c>
      <c r="B38" s="1">
        <v>46321</v>
      </c>
      <c r="C38" s="2" t="s">
        <v>152</v>
      </c>
      <c r="D38" s="2" t="s">
        <v>17</v>
      </c>
      <c r="E38" s="2" t="s">
        <v>153</v>
      </c>
      <c r="F38" s="2" t="s">
        <v>31</v>
      </c>
      <c r="G38" s="2" t="s">
        <v>154</v>
      </c>
      <c r="H38" s="2" t="s">
        <v>155</v>
      </c>
      <c r="I38" s="2" t="s">
        <v>156</v>
      </c>
      <c r="J38" s="3">
        <v>30</v>
      </c>
      <c r="K38" s="2" t="s">
        <v>157</v>
      </c>
      <c r="L38" s="3">
        <v>30</v>
      </c>
      <c r="M38" s="10">
        <v>2083500.08</v>
      </c>
      <c r="N38" s="3">
        <v>0</v>
      </c>
      <c r="O38" s="2" t="s">
        <v>20</v>
      </c>
      <c r="P38" s="2" t="s">
        <v>21</v>
      </c>
      <c r="Q38" s="2" t="s">
        <v>22</v>
      </c>
    </row>
    <row r="39" spans="1:17" x14ac:dyDescent="0.25">
      <c r="A39" s="1">
        <v>46322</v>
      </c>
      <c r="B39" s="1">
        <v>46321</v>
      </c>
      <c r="C39" s="2" t="s">
        <v>158</v>
      </c>
      <c r="D39" s="2" t="s">
        <v>17</v>
      </c>
      <c r="E39" s="2" t="s">
        <v>159</v>
      </c>
      <c r="F39" s="2" t="s">
        <v>18</v>
      </c>
      <c r="G39" s="2" t="s">
        <v>160</v>
      </c>
      <c r="H39" s="2" t="s">
        <v>144</v>
      </c>
      <c r="I39" s="2" t="s">
        <v>145</v>
      </c>
      <c r="J39" s="3">
        <v>12</v>
      </c>
      <c r="K39" s="2" t="s">
        <v>56</v>
      </c>
      <c r="L39" s="3">
        <v>12</v>
      </c>
      <c r="M39" s="10">
        <v>649200.02</v>
      </c>
      <c r="N39" s="3">
        <v>0</v>
      </c>
      <c r="O39" s="2" t="s">
        <v>20</v>
      </c>
      <c r="P39" s="2" t="s">
        <v>21</v>
      </c>
      <c r="Q39" s="2" t="s">
        <v>22</v>
      </c>
    </row>
    <row r="40" spans="1:17" x14ac:dyDescent="0.25">
      <c r="A40" s="1">
        <v>46322</v>
      </c>
      <c r="B40" s="1">
        <v>46321</v>
      </c>
      <c r="C40" s="2" t="s">
        <v>158</v>
      </c>
      <c r="D40" s="2" t="s">
        <v>17</v>
      </c>
      <c r="E40" s="2" t="s">
        <v>159</v>
      </c>
      <c r="F40" s="2" t="s">
        <v>18</v>
      </c>
      <c r="G40" s="2" t="s">
        <v>160</v>
      </c>
      <c r="H40" s="2" t="s">
        <v>54</v>
      </c>
      <c r="I40" s="2" t="s">
        <v>55</v>
      </c>
      <c r="J40" s="3">
        <v>12</v>
      </c>
      <c r="K40" s="2" t="s">
        <v>56</v>
      </c>
      <c r="L40" s="3">
        <v>12</v>
      </c>
      <c r="M40" s="10">
        <v>649200.01</v>
      </c>
      <c r="N40" s="3">
        <v>0</v>
      </c>
      <c r="O40" s="2" t="s">
        <v>20</v>
      </c>
      <c r="P40" s="2" t="s">
        <v>21</v>
      </c>
      <c r="Q40" s="2" t="s">
        <v>22</v>
      </c>
    </row>
    <row r="41" spans="1:17" x14ac:dyDescent="0.25">
      <c r="A41" s="1">
        <v>46322</v>
      </c>
      <c r="B41" s="1">
        <v>46321</v>
      </c>
      <c r="C41" s="2" t="s">
        <v>158</v>
      </c>
      <c r="D41" s="2" t="s">
        <v>17</v>
      </c>
      <c r="E41" s="2" t="s">
        <v>159</v>
      </c>
      <c r="F41" s="2" t="s">
        <v>18</v>
      </c>
      <c r="G41" s="2" t="s">
        <v>160</v>
      </c>
      <c r="H41" s="2" t="s">
        <v>161</v>
      </c>
      <c r="I41" s="2" t="s">
        <v>162</v>
      </c>
      <c r="J41" s="3">
        <v>10</v>
      </c>
      <c r="K41" s="2" t="s">
        <v>56</v>
      </c>
      <c r="L41" s="3">
        <v>10</v>
      </c>
      <c r="M41" s="10">
        <v>630999.99</v>
      </c>
      <c r="N41" s="3">
        <v>0</v>
      </c>
      <c r="O41" s="2" t="s">
        <v>20</v>
      </c>
      <c r="P41" s="2" t="s">
        <v>21</v>
      </c>
      <c r="Q41" s="2" t="s">
        <v>22</v>
      </c>
    </row>
    <row r="42" spans="1:17" x14ac:dyDescent="0.25">
      <c r="A42" s="1">
        <v>46322</v>
      </c>
      <c r="B42" s="1">
        <v>46321</v>
      </c>
      <c r="C42" s="2" t="s">
        <v>158</v>
      </c>
      <c r="D42" s="2" t="s">
        <v>17</v>
      </c>
      <c r="E42" s="2" t="s">
        <v>159</v>
      </c>
      <c r="F42" s="2" t="s">
        <v>18</v>
      </c>
      <c r="G42" s="2" t="s">
        <v>160</v>
      </c>
      <c r="H42" s="2" t="s">
        <v>57</v>
      </c>
      <c r="I42" s="2" t="s">
        <v>58</v>
      </c>
      <c r="J42" s="3">
        <v>12</v>
      </c>
      <c r="K42" s="2" t="s">
        <v>56</v>
      </c>
      <c r="L42" s="3">
        <v>12</v>
      </c>
      <c r="M42" s="10">
        <v>770400.03</v>
      </c>
      <c r="N42" s="3">
        <v>0</v>
      </c>
      <c r="O42" s="2" t="s">
        <v>20</v>
      </c>
      <c r="P42" s="2" t="s">
        <v>21</v>
      </c>
      <c r="Q42" s="2" t="s">
        <v>22</v>
      </c>
    </row>
    <row r="43" spans="1:17" x14ac:dyDescent="0.25">
      <c r="A43" s="1">
        <v>46322</v>
      </c>
      <c r="B43" s="1">
        <v>46321</v>
      </c>
      <c r="C43" s="2" t="s">
        <v>158</v>
      </c>
      <c r="D43" s="2" t="s">
        <v>17</v>
      </c>
      <c r="E43" s="2" t="s">
        <v>159</v>
      </c>
      <c r="F43" s="2" t="s">
        <v>18</v>
      </c>
      <c r="G43" s="2" t="s">
        <v>160</v>
      </c>
      <c r="H43" s="2" t="s">
        <v>163</v>
      </c>
      <c r="I43" s="2" t="s">
        <v>164</v>
      </c>
      <c r="J43" s="3">
        <v>16</v>
      </c>
      <c r="K43" s="2" t="s">
        <v>56</v>
      </c>
      <c r="L43" s="3">
        <v>16</v>
      </c>
      <c r="M43" s="10">
        <v>1089599.98</v>
      </c>
      <c r="N43" s="3">
        <v>0</v>
      </c>
      <c r="O43" s="2" t="s">
        <v>20</v>
      </c>
      <c r="P43" s="2" t="s">
        <v>21</v>
      </c>
      <c r="Q43" s="2" t="s">
        <v>22</v>
      </c>
    </row>
    <row r="44" spans="1:17" x14ac:dyDescent="0.25">
      <c r="A44" s="1">
        <v>46322</v>
      </c>
      <c r="B44" s="1">
        <v>46321</v>
      </c>
      <c r="C44" s="2" t="s">
        <v>165</v>
      </c>
      <c r="D44" s="2" t="s">
        <v>17</v>
      </c>
      <c r="E44" s="2" t="s">
        <v>166</v>
      </c>
      <c r="F44" s="2" t="s">
        <v>31</v>
      </c>
      <c r="G44" s="2" t="s">
        <v>154</v>
      </c>
      <c r="H44" s="2" t="s">
        <v>155</v>
      </c>
      <c r="I44" s="2" t="s">
        <v>156</v>
      </c>
      <c r="J44" s="3">
        <v>12</v>
      </c>
      <c r="K44" s="2" t="s">
        <v>157</v>
      </c>
      <c r="L44" s="3">
        <v>12</v>
      </c>
      <c r="M44" s="10">
        <v>833400.03</v>
      </c>
      <c r="N44" s="3">
        <v>0</v>
      </c>
      <c r="O44" s="2" t="s">
        <v>20</v>
      </c>
      <c r="P44" s="2" t="s">
        <v>21</v>
      </c>
      <c r="Q44" s="2" t="s">
        <v>22</v>
      </c>
    </row>
    <row r="45" spans="1:17" x14ac:dyDescent="0.25">
      <c r="A45" s="1">
        <v>46322</v>
      </c>
      <c r="B45" s="1">
        <v>46321</v>
      </c>
      <c r="C45" s="2" t="s">
        <v>167</v>
      </c>
      <c r="D45" s="2" t="s">
        <v>17</v>
      </c>
      <c r="E45" s="2" t="s">
        <v>159</v>
      </c>
      <c r="F45" s="2" t="s">
        <v>18</v>
      </c>
      <c r="G45" s="2" t="s">
        <v>32</v>
      </c>
      <c r="H45" s="2" t="s">
        <v>41</v>
      </c>
      <c r="I45" s="2" t="s">
        <v>42</v>
      </c>
      <c r="J45" s="3">
        <v>10</v>
      </c>
      <c r="K45" s="2" t="s">
        <v>28</v>
      </c>
      <c r="L45" s="3">
        <v>10</v>
      </c>
      <c r="M45" s="10">
        <v>371850</v>
      </c>
      <c r="N45" s="3">
        <v>0</v>
      </c>
      <c r="O45" s="2" t="s">
        <v>20</v>
      </c>
      <c r="P45" s="2" t="s">
        <v>21</v>
      </c>
      <c r="Q45" s="2" t="s">
        <v>22</v>
      </c>
    </row>
    <row r="46" spans="1:17" x14ac:dyDescent="0.25">
      <c r="A46" s="1">
        <v>46322</v>
      </c>
      <c r="B46" s="1">
        <v>46321</v>
      </c>
      <c r="C46" s="2" t="s">
        <v>168</v>
      </c>
      <c r="D46" s="2" t="s">
        <v>17</v>
      </c>
      <c r="E46" s="2" t="s">
        <v>169</v>
      </c>
      <c r="F46" s="2" t="s">
        <v>18</v>
      </c>
      <c r="G46" s="2" t="s">
        <v>160</v>
      </c>
      <c r="H46" s="2" t="s">
        <v>170</v>
      </c>
      <c r="I46" s="2" t="s">
        <v>171</v>
      </c>
      <c r="J46" s="3">
        <v>480</v>
      </c>
      <c r="K46" s="2" t="s">
        <v>56</v>
      </c>
      <c r="L46" s="3">
        <v>480</v>
      </c>
      <c r="M46" s="10">
        <v>47879999.689999998</v>
      </c>
      <c r="N46" s="3">
        <v>0</v>
      </c>
      <c r="O46" s="2" t="s">
        <v>20</v>
      </c>
      <c r="P46" s="2" t="s">
        <v>21</v>
      </c>
      <c r="Q46" s="2" t="s">
        <v>172</v>
      </c>
    </row>
    <row r="47" spans="1:17" x14ac:dyDescent="0.25">
      <c r="A47" s="1">
        <v>46322</v>
      </c>
      <c r="B47" s="1">
        <v>46321</v>
      </c>
      <c r="C47" s="2" t="s">
        <v>173</v>
      </c>
      <c r="D47" s="2" t="s">
        <v>17</v>
      </c>
      <c r="E47" s="2" t="s">
        <v>174</v>
      </c>
      <c r="F47" s="2" t="s">
        <v>18</v>
      </c>
      <c r="G47" s="2" t="s">
        <v>175</v>
      </c>
      <c r="H47" s="2" t="s">
        <v>176</v>
      </c>
      <c r="I47" s="2" t="s">
        <v>177</v>
      </c>
      <c r="J47" s="3">
        <v>20</v>
      </c>
      <c r="K47" s="2" t="s">
        <v>28</v>
      </c>
      <c r="L47" s="3">
        <v>20</v>
      </c>
      <c r="M47" s="10">
        <v>361860</v>
      </c>
      <c r="N47" s="3">
        <v>0</v>
      </c>
      <c r="O47" s="2" t="s">
        <v>20</v>
      </c>
      <c r="P47" s="2" t="s">
        <v>21</v>
      </c>
      <c r="Q47" s="2" t="s">
        <v>22</v>
      </c>
    </row>
    <row r="48" spans="1:17" x14ac:dyDescent="0.25">
      <c r="A48" s="1">
        <v>46322</v>
      </c>
      <c r="B48" s="1">
        <v>46321</v>
      </c>
      <c r="C48" s="2" t="s">
        <v>173</v>
      </c>
      <c r="D48" s="2" t="s">
        <v>17</v>
      </c>
      <c r="E48" s="2" t="s">
        <v>174</v>
      </c>
      <c r="F48" s="2" t="s">
        <v>18</v>
      </c>
      <c r="G48" s="2" t="s">
        <v>175</v>
      </c>
      <c r="H48" s="2" t="s">
        <v>33</v>
      </c>
      <c r="I48" s="2" t="s">
        <v>34</v>
      </c>
      <c r="J48" s="3">
        <v>20</v>
      </c>
      <c r="K48" s="2" t="s">
        <v>28</v>
      </c>
      <c r="L48" s="3">
        <v>20</v>
      </c>
      <c r="M48" s="10">
        <v>372960</v>
      </c>
      <c r="N48" s="3">
        <v>0</v>
      </c>
      <c r="O48" s="2" t="s">
        <v>20</v>
      </c>
      <c r="P48" s="2" t="s">
        <v>21</v>
      </c>
      <c r="Q48" s="2" t="s">
        <v>22</v>
      </c>
    </row>
    <row r="49" spans="1:17" x14ac:dyDescent="0.25">
      <c r="A49" s="1">
        <v>46322</v>
      </c>
      <c r="B49" s="1">
        <v>46321</v>
      </c>
      <c r="C49" s="2" t="s">
        <v>178</v>
      </c>
      <c r="D49" s="2" t="s">
        <v>17</v>
      </c>
      <c r="E49" s="2" t="s">
        <v>179</v>
      </c>
      <c r="F49" s="2" t="s">
        <v>18</v>
      </c>
      <c r="G49" s="2" t="s">
        <v>175</v>
      </c>
      <c r="H49" s="2" t="s">
        <v>176</v>
      </c>
      <c r="I49" s="2" t="s">
        <v>177</v>
      </c>
      <c r="J49" s="3">
        <v>20</v>
      </c>
      <c r="K49" s="2" t="s">
        <v>28</v>
      </c>
      <c r="L49" s="3">
        <v>20</v>
      </c>
      <c r="M49" s="10">
        <v>361860</v>
      </c>
      <c r="N49" s="3">
        <v>0</v>
      </c>
      <c r="O49" s="2" t="s">
        <v>20</v>
      </c>
      <c r="P49" s="2" t="s">
        <v>21</v>
      </c>
      <c r="Q49" s="2" t="s">
        <v>22</v>
      </c>
    </row>
    <row r="50" spans="1:17" x14ac:dyDescent="0.25">
      <c r="A50" s="1">
        <v>46322</v>
      </c>
      <c r="B50" s="1">
        <v>46321</v>
      </c>
      <c r="C50" s="2" t="s">
        <v>178</v>
      </c>
      <c r="D50" s="2" t="s">
        <v>17</v>
      </c>
      <c r="E50" s="2" t="s">
        <v>179</v>
      </c>
      <c r="F50" s="2" t="s">
        <v>18</v>
      </c>
      <c r="G50" s="2" t="s">
        <v>175</v>
      </c>
      <c r="H50" s="2" t="s">
        <v>33</v>
      </c>
      <c r="I50" s="2" t="s">
        <v>34</v>
      </c>
      <c r="J50" s="3">
        <v>20</v>
      </c>
      <c r="K50" s="2" t="s">
        <v>28</v>
      </c>
      <c r="L50" s="3">
        <v>20</v>
      </c>
      <c r="M50" s="10">
        <v>372960</v>
      </c>
      <c r="N50" s="3">
        <v>0</v>
      </c>
      <c r="O50" s="2" t="s">
        <v>20</v>
      </c>
      <c r="P50" s="2" t="s">
        <v>21</v>
      </c>
      <c r="Q50" s="2" t="s">
        <v>22</v>
      </c>
    </row>
    <row r="51" spans="1:17" x14ac:dyDescent="0.25">
      <c r="A51" s="1">
        <v>46322</v>
      </c>
      <c r="B51" s="1">
        <v>46321</v>
      </c>
      <c r="C51" s="2" t="s">
        <v>180</v>
      </c>
      <c r="D51" s="2" t="s">
        <v>17</v>
      </c>
      <c r="E51" s="2" t="s">
        <v>181</v>
      </c>
      <c r="F51" s="2" t="s">
        <v>18</v>
      </c>
      <c r="G51" s="2" t="s">
        <v>175</v>
      </c>
      <c r="H51" s="2" t="s">
        <v>33</v>
      </c>
      <c r="I51" s="2" t="s">
        <v>34</v>
      </c>
      <c r="J51" s="3">
        <v>20</v>
      </c>
      <c r="K51" s="2" t="s">
        <v>28</v>
      </c>
      <c r="L51" s="3">
        <v>20</v>
      </c>
      <c r="M51" s="10">
        <v>372960</v>
      </c>
      <c r="N51" s="3">
        <v>0</v>
      </c>
      <c r="O51" s="2" t="s">
        <v>20</v>
      </c>
      <c r="P51" s="2" t="s">
        <v>21</v>
      </c>
      <c r="Q51" s="2" t="s">
        <v>22</v>
      </c>
    </row>
    <row r="52" spans="1:17" x14ac:dyDescent="0.25">
      <c r="A52" s="1">
        <v>46322</v>
      </c>
      <c r="B52" s="1">
        <v>46321</v>
      </c>
      <c r="C52" s="2" t="s">
        <v>180</v>
      </c>
      <c r="D52" s="2" t="s">
        <v>17</v>
      </c>
      <c r="E52" s="2" t="s">
        <v>181</v>
      </c>
      <c r="F52" s="2" t="s">
        <v>18</v>
      </c>
      <c r="G52" s="2" t="s">
        <v>175</v>
      </c>
      <c r="H52" s="2" t="s">
        <v>176</v>
      </c>
      <c r="I52" s="2" t="s">
        <v>177</v>
      </c>
      <c r="J52" s="3">
        <v>20</v>
      </c>
      <c r="K52" s="2" t="s">
        <v>28</v>
      </c>
      <c r="L52" s="3">
        <v>20</v>
      </c>
      <c r="M52" s="10">
        <v>361860</v>
      </c>
      <c r="N52" s="3">
        <v>0</v>
      </c>
      <c r="O52" s="2" t="s">
        <v>20</v>
      </c>
      <c r="P52" s="2" t="s">
        <v>21</v>
      </c>
      <c r="Q52" s="2" t="s">
        <v>22</v>
      </c>
    </row>
    <row r="53" spans="1:17" x14ac:dyDescent="0.25">
      <c r="A53" s="1">
        <v>46322</v>
      </c>
      <c r="B53" s="1">
        <v>46321</v>
      </c>
      <c r="C53" s="2" t="s">
        <v>182</v>
      </c>
      <c r="D53" s="2" t="s">
        <v>17</v>
      </c>
      <c r="E53" s="2" t="s">
        <v>183</v>
      </c>
      <c r="F53" s="2" t="s">
        <v>18</v>
      </c>
      <c r="G53" s="2" t="s">
        <v>175</v>
      </c>
      <c r="H53" s="2" t="s">
        <v>176</v>
      </c>
      <c r="I53" s="2" t="s">
        <v>177</v>
      </c>
      <c r="J53" s="3">
        <v>20</v>
      </c>
      <c r="K53" s="2" t="s">
        <v>28</v>
      </c>
      <c r="L53" s="3">
        <v>20</v>
      </c>
      <c r="M53" s="10">
        <v>361860</v>
      </c>
      <c r="N53" s="3">
        <v>0</v>
      </c>
      <c r="O53" s="2" t="s">
        <v>20</v>
      </c>
      <c r="P53" s="2" t="s">
        <v>21</v>
      </c>
      <c r="Q53" s="2" t="s">
        <v>22</v>
      </c>
    </row>
    <row r="54" spans="1:17" x14ac:dyDescent="0.25">
      <c r="A54" s="1">
        <v>46322</v>
      </c>
      <c r="B54" s="1">
        <v>46321</v>
      </c>
      <c r="C54" s="2" t="s">
        <v>184</v>
      </c>
      <c r="D54" s="2" t="s">
        <v>17</v>
      </c>
      <c r="E54" s="2" t="s">
        <v>185</v>
      </c>
      <c r="F54" s="2" t="s">
        <v>18</v>
      </c>
      <c r="G54" s="2" t="s">
        <v>53</v>
      </c>
      <c r="H54" s="2" t="s">
        <v>57</v>
      </c>
      <c r="I54" s="2" t="s">
        <v>58</v>
      </c>
      <c r="J54" s="3">
        <v>13</v>
      </c>
      <c r="K54" s="2" t="s">
        <v>56</v>
      </c>
      <c r="L54" s="3">
        <v>13</v>
      </c>
      <c r="M54" s="10">
        <v>834600.03</v>
      </c>
      <c r="N54" s="3">
        <v>0</v>
      </c>
      <c r="O54" s="2" t="s">
        <v>20</v>
      </c>
      <c r="P54" s="2" t="s">
        <v>21</v>
      </c>
      <c r="Q54" s="2" t="s">
        <v>22</v>
      </c>
    </row>
    <row r="55" spans="1:17" x14ac:dyDescent="0.25">
      <c r="A55" s="1">
        <v>46322</v>
      </c>
      <c r="B55" s="1">
        <v>46321</v>
      </c>
      <c r="C55" s="2" t="s">
        <v>184</v>
      </c>
      <c r="D55" s="2" t="s">
        <v>17</v>
      </c>
      <c r="E55" s="2" t="s">
        <v>185</v>
      </c>
      <c r="F55" s="2" t="s">
        <v>18</v>
      </c>
      <c r="G55" s="2" t="s">
        <v>53</v>
      </c>
      <c r="H55" s="2" t="s">
        <v>144</v>
      </c>
      <c r="I55" s="2" t="s">
        <v>145</v>
      </c>
      <c r="J55" s="3">
        <v>12</v>
      </c>
      <c r="K55" s="2" t="s">
        <v>56</v>
      </c>
      <c r="L55" s="3">
        <v>12</v>
      </c>
      <c r="M55" s="10">
        <v>649200.02</v>
      </c>
      <c r="N55" s="3">
        <v>0</v>
      </c>
      <c r="O55" s="2" t="s">
        <v>20</v>
      </c>
      <c r="P55" s="2" t="s">
        <v>21</v>
      </c>
      <c r="Q55" s="2" t="s">
        <v>22</v>
      </c>
    </row>
    <row r="56" spans="1:17" x14ac:dyDescent="0.25">
      <c r="A56" s="1">
        <v>46322</v>
      </c>
      <c r="B56" s="1">
        <v>46321</v>
      </c>
      <c r="C56" s="2" t="s">
        <v>186</v>
      </c>
      <c r="D56" s="2" t="s">
        <v>17</v>
      </c>
      <c r="E56" s="2" t="s">
        <v>187</v>
      </c>
      <c r="F56" s="2" t="s">
        <v>31</v>
      </c>
      <c r="G56" s="2" t="s">
        <v>188</v>
      </c>
      <c r="H56" s="2" t="s">
        <v>161</v>
      </c>
      <c r="I56" s="2" t="s">
        <v>162</v>
      </c>
      <c r="J56" s="3">
        <v>3</v>
      </c>
      <c r="K56" s="2" t="s">
        <v>56</v>
      </c>
      <c r="L56" s="3">
        <v>3</v>
      </c>
      <c r="M56" s="10">
        <v>189300</v>
      </c>
      <c r="N56" s="3">
        <v>0</v>
      </c>
      <c r="O56" s="2" t="s">
        <v>20</v>
      </c>
      <c r="P56" s="2" t="s">
        <v>21</v>
      </c>
      <c r="Q56" s="2" t="s">
        <v>22</v>
      </c>
    </row>
    <row r="57" spans="1:17" x14ac:dyDescent="0.25">
      <c r="A57" s="1">
        <v>46322</v>
      </c>
      <c r="B57" s="1">
        <v>46321</v>
      </c>
      <c r="C57" s="2" t="s">
        <v>186</v>
      </c>
      <c r="D57" s="2" t="s">
        <v>17</v>
      </c>
      <c r="E57" s="2" t="s">
        <v>187</v>
      </c>
      <c r="F57" s="2" t="s">
        <v>31</v>
      </c>
      <c r="G57" s="2" t="s">
        <v>188</v>
      </c>
      <c r="H57" s="2" t="s">
        <v>189</v>
      </c>
      <c r="I57" s="2" t="s">
        <v>190</v>
      </c>
      <c r="J57" s="3">
        <v>3</v>
      </c>
      <c r="K57" s="2" t="s">
        <v>56</v>
      </c>
      <c r="L57" s="3">
        <v>3</v>
      </c>
      <c r="M57" s="10">
        <v>180900</v>
      </c>
      <c r="N57" s="3">
        <v>0</v>
      </c>
      <c r="O57" s="2" t="s">
        <v>20</v>
      </c>
      <c r="P57" s="2" t="s">
        <v>21</v>
      </c>
      <c r="Q57" s="2" t="s">
        <v>22</v>
      </c>
    </row>
    <row r="58" spans="1:17" x14ac:dyDescent="0.25">
      <c r="A58" s="1">
        <v>46322</v>
      </c>
      <c r="B58" s="1">
        <v>46321</v>
      </c>
      <c r="C58" s="2" t="s">
        <v>191</v>
      </c>
      <c r="D58" s="2" t="s">
        <v>17</v>
      </c>
      <c r="E58" s="2" t="s">
        <v>192</v>
      </c>
      <c r="F58" s="2" t="s">
        <v>31</v>
      </c>
      <c r="G58" s="2" t="s">
        <v>154</v>
      </c>
      <c r="H58" s="2" t="s">
        <v>155</v>
      </c>
      <c r="I58" s="2" t="s">
        <v>156</v>
      </c>
      <c r="J58" s="3">
        <v>60</v>
      </c>
      <c r="K58" s="2" t="s">
        <v>157</v>
      </c>
      <c r="L58" s="3">
        <v>60</v>
      </c>
      <c r="M58" s="10">
        <v>4041990.15</v>
      </c>
      <c r="N58" s="3">
        <v>0</v>
      </c>
      <c r="O58" s="2" t="s">
        <v>20</v>
      </c>
      <c r="P58" s="2" t="s">
        <v>21</v>
      </c>
      <c r="Q58" s="2" t="s">
        <v>22</v>
      </c>
    </row>
    <row r="59" spans="1:17" x14ac:dyDescent="0.25">
      <c r="A59" s="1">
        <v>46322</v>
      </c>
      <c r="B59" s="1">
        <v>46321</v>
      </c>
      <c r="C59" s="2" t="s">
        <v>193</v>
      </c>
      <c r="D59" s="2" t="s">
        <v>17</v>
      </c>
      <c r="E59" s="2" t="s">
        <v>194</v>
      </c>
      <c r="F59" s="2" t="s">
        <v>18</v>
      </c>
      <c r="G59" s="2" t="s">
        <v>188</v>
      </c>
      <c r="H59" s="2" t="s">
        <v>195</v>
      </c>
      <c r="I59" s="2" t="s">
        <v>196</v>
      </c>
      <c r="J59" s="3">
        <v>12</v>
      </c>
      <c r="K59" s="2" t="s">
        <v>56</v>
      </c>
      <c r="L59" s="3">
        <v>12</v>
      </c>
      <c r="M59" s="10">
        <v>1345800.05</v>
      </c>
      <c r="N59" s="3">
        <v>0</v>
      </c>
      <c r="O59" s="2" t="s">
        <v>20</v>
      </c>
      <c r="P59" s="2" t="s">
        <v>21</v>
      </c>
      <c r="Q59" s="2" t="s">
        <v>22</v>
      </c>
    </row>
    <row r="60" spans="1:17" x14ac:dyDescent="0.25">
      <c r="A60" s="1">
        <v>46322</v>
      </c>
      <c r="B60" s="1">
        <v>46321</v>
      </c>
      <c r="C60" s="2" t="s">
        <v>193</v>
      </c>
      <c r="D60" s="2" t="s">
        <v>17</v>
      </c>
      <c r="E60" s="2" t="s">
        <v>194</v>
      </c>
      <c r="F60" s="2" t="s">
        <v>18</v>
      </c>
      <c r="G60" s="2" t="s">
        <v>188</v>
      </c>
      <c r="H60" s="2" t="s">
        <v>170</v>
      </c>
      <c r="I60" s="2" t="s">
        <v>171</v>
      </c>
      <c r="J60" s="3">
        <v>16</v>
      </c>
      <c r="K60" s="2" t="s">
        <v>56</v>
      </c>
      <c r="L60" s="3">
        <v>16</v>
      </c>
      <c r="M60" s="10">
        <v>1680000.1</v>
      </c>
      <c r="N60" s="3">
        <v>0</v>
      </c>
      <c r="O60" s="2" t="s">
        <v>20</v>
      </c>
      <c r="P60" s="2" t="s">
        <v>21</v>
      </c>
      <c r="Q60" s="2" t="s">
        <v>22</v>
      </c>
    </row>
    <row r="61" spans="1:17" x14ac:dyDescent="0.25">
      <c r="A61" s="1">
        <v>46322</v>
      </c>
      <c r="B61" s="1">
        <v>46321</v>
      </c>
      <c r="C61" s="2" t="s">
        <v>197</v>
      </c>
      <c r="D61" s="2" t="s">
        <v>17</v>
      </c>
      <c r="E61" s="2" t="s">
        <v>198</v>
      </c>
      <c r="F61" s="2" t="s">
        <v>18</v>
      </c>
      <c r="G61" s="2" t="s">
        <v>53</v>
      </c>
      <c r="H61" s="2" t="s">
        <v>199</v>
      </c>
      <c r="I61" s="2" t="s">
        <v>200</v>
      </c>
      <c r="J61" s="3">
        <v>12</v>
      </c>
      <c r="K61" s="2" t="s">
        <v>56</v>
      </c>
      <c r="L61" s="3">
        <v>12</v>
      </c>
      <c r="M61" s="10">
        <v>1050599.95</v>
      </c>
      <c r="N61" s="3">
        <v>0</v>
      </c>
      <c r="O61" s="2" t="s">
        <v>20</v>
      </c>
      <c r="P61" s="2" t="s">
        <v>21</v>
      </c>
      <c r="Q61" s="2" t="s">
        <v>201</v>
      </c>
    </row>
    <row r="62" spans="1:17" x14ac:dyDescent="0.25">
      <c r="A62" s="1">
        <v>46322</v>
      </c>
      <c r="B62" s="1">
        <v>46321</v>
      </c>
      <c r="C62" s="2" t="s">
        <v>202</v>
      </c>
      <c r="D62" s="2" t="s">
        <v>17</v>
      </c>
      <c r="E62" s="2" t="s">
        <v>203</v>
      </c>
      <c r="F62" s="2" t="s">
        <v>18</v>
      </c>
      <c r="G62" s="2" t="s">
        <v>188</v>
      </c>
      <c r="H62" s="2" t="s">
        <v>163</v>
      </c>
      <c r="I62" s="2" t="s">
        <v>164</v>
      </c>
      <c r="J62" s="3">
        <v>32</v>
      </c>
      <c r="K62" s="2" t="s">
        <v>56</v>
      </c>
      <c r="L62" s="3">
        <v>32</v>
      </c>
      <c r="M62" s="10">
        <v>2379840</v>
      </c>
      <c r="N62" s="3">
        <v>0</v>
      </c>
      <c r="O62" s="2" t="s">
        <v>20</v>
      </c>
      <c r="P62" s="2" t="s">
        <v>21</v>
      </c>
      <c r="Q62" s="2" t="s">
        <v>22</v>
      </c>
    </row>
    <row r="63" spans="1:17" x14ac:dyDescent="0.25">
      <c r="A63" s="1">
        <v>46322</v>
      </c>
      <c r="B63" s="1">
        <v>46321</v>
      </c>
      <c r="C63" s="2" t="s">
        <v>202</v>
      </c>
      <c r="D63" s="2" t="s">
        <v>17</v>
      </c>
      <c r="E63" s="2" t="s">
        <v>203</v>
      </c>
      <c r="F63" s="2" t="s">
        <v>18</v>
      </c>
      <c r="G63" s="2" t="s">
        <v>188</v>
      </c>
      <c r="H63" s="2" t="s">
        <v>54</v>
      </c>
      <c r="I63" s="2" t="s">
        <v>55</v>
      </c>
      <c r="J63" s="3">
        <v>24</v>
      </c>
      <c r="K63" s="2" t="s">
        <v>56</v>
      </c>
      <c r="L63" s="3">
        <v>24</v>
      </c>
      <c r="M63" s="10">
        <v>1425240</v>
      </c>
      <c r="N63" s="3">
        <v>0</v>
      </c>
      <c r="O63" s="2" t="s">
        <v>20</v>
      </c>
      <c r="P63" s="2" t="s">
        <v>21</v>
      </c>
      <c r="Q63" s="2" t="s">
        <v>22</v>
      </c>
    </row>
    <row r="64" spans="1:17" x14ac:dyDescent="0.25">
      <c r="A64" s="1">
        <v>46322</v>
      </c>
      <c r="B64" s="1">
        <v>46321</v>
      </c>
      <c r="C64" s="2" t="s">
        <v>202</v>
      </c>
      <c r="D64" s="2" t="s">
        <v>17</v>
      </c>
      <c r="E64" s="2" t="s">
        <v>203</v>
      </c>
      <c r="F64" s="2" t="s">
        <v>18</v>
      </c>
      <c r="G64" s="2" t="s">
        <v>188</v>
      </c>
      <c r="H64" s="2" t="s">
        <v>170</v>
      </c>
      <c r="I64" s="2" t="s">
        <v>171</v>
      </c>
      <c r="J64" s="3">
        <v>16</v>
      </c>
      <c r="K64" s="2" t="s">
        <v>56</v>
      </c>
      <c r="L64" s="3">
        <v>16</v>
      </c>
      <c r="M64" s="10">
        <v>1847040</v>
      </c>
      <c r="N64" s="3">
        <v>0</v>
      </c>
      <c r="O64" s="2" t="s">
        <v>20</v>
      </c>
      <c r="P64" s="2" t="s">
        <v>21</v>
      </c>
      <c r="Q64" s="2" t="s">
        <v>22</v>
      </c>
    </row>
    <row r="65" spans="1:17" x14ac:dyDescent="0.25">
      <c r="A65" s="1">
        <v>46322</v>
      </c>
      <c r="B65" s="1">
        <v>46321</v>
      </c>
      <c r="C65" s="2" t="s">
        <v>204</v>
      </c>
      <c r="D65" s="2" t="s">
        <v>17</v>
      </c>
      <c r="E65" s="2" t="s">
        <v>205</v>
      </c>
      <c r="F65" s="2" t="s">
        <v>18</v>
      </c>
      <c r="G65" s="2" t="s">
        <v>160</v>
      </c>
      <c r="H65" s="2" t="s">
        <v>57</v>
      </c>
      <c r="I65" s="2" t="s">
        <v>58</v>
      </c>
      <c r="J65" s="3">
        <v>24</v>
      </c>
      <c r="K65" s="2" t="s">
        <v>56</v>
      </c>
      <c r="L65" s="3">
        <v>24</v>
      </c>
      <c r="M65" s="10">
        <v>1540800.06</v>
      </c>
      <c r="N65" s="3">
        <v>0</v>
      </c>
      <c r="O65" s="2" t="s">
        <v>20</v>
      </c>
      <c r="P65" s="2" t="s">
        <v>21</v>
      </c>
      <c r="Q65" s="2" t="s">
        <v>22</v>
      </c>
    </row>
    <row r="66" spans="1:17" x14ac:dyDescent="0.25">
      <c r="A66" s="1">
        <v>46322</v>
      </c>
      <c r="B66" s="1">
        <v>46321</v>
      </c>
      <c r="C66" s="2" t="s">
        <v>206</v>
      </c>
      <c r="D66" s="2" t="s">
        <v>17</v>
      </c>
      <c r="E66" s="2" t="s">
        <v>207</v>
      </c>
      <c r="F66" s="2" t="s">
        <v>18</v>
      </c>
      <c r="G66" s="2" t="s">
        <v>160</v>
      </c>
      <c r="H66" s="2" t="s">
        <v>170</v>
      </c>
      <c r="I66" s="2" t="s">
        <v>171</v>
      </c>
      <c r="J66" s="3">
        <v>16</v>
      </c>
      <c r="K66" s="2" t="s">
        <v>56</v>
      </c>
      <c r="L66" s="3">
        <v>16</v>
      </c>
      <c r="M66" s="10">
        <v>1680000.09</v>
      </c>
      <c r="N66" s="3">
        <v>0</v>
      </c>
      <c r="O66" s="2" t="s">
        <v>20</v>
      </c>
      <c r="P66" s="2" t="s">
        <v>21</v>
      </c>
      <c r="Q66" s="2" t="s">
        <v>22</v>
      </c>
    </row>
    <row r="67" spans="1:17" x14ac:dyDescent="0.25">
      <c r="A67" s="1">
        <v>46322</v>
      </c>
      <c r="B67" s="1">
        <v>46321</v>
      </c>
      <c r="C67" s="2" t="s">
        <v>206</v>
      </c>
      <c r="D67" s="2" t="s">
        <v>17</v>
      </c>
      <c r="E67" s="2" t="s">
        <v>207</v>
      </c>
      <c r="F67" s="2" t="s">
        <v>18</v>
      </c>
      <c r="G67" s="2" t="s">
        <v>160</v>
      </c>
      <c r="H67" s="2" t="s">
        <v>57</v>
      </c>
      <c r="I67" s="2" t="s">
        <v>58</v>
      </c>
      <c r="J67" s="3">
        <v>24</v>
      </c>
      <c r="K67" s="2" t="s">
        <v>56</v>
      </c>
      <c r="L67" s="3">
        <v>24</v>
      </c>
      <c r="M67" s="10">
        <v>1540800.06</v>
      </c>
      <c r="N67" s="3">
        <v>0</v>
      </c>
      <c r="O67" s="2" t="s">
        <v>20</v>
      </c>
      <c r="P67" s="2" t="s">
        <v>21</v>
      </c>
      <c r="Q67" s="2" t="s">
        <v>22</v>
      </c>
    </row>
    <row r="68" spans="1:17" x14ac:dyDescent="0.25">
      <c r="A68" s="1">
        <v>46322</v>
      </c>
      <c r="B68" s="1">
        <v>46321</v>
      </c>
      <c r="C68" s="2" t="s">
        <v>208</v>
      </c>
      <c r="D68" s="2" t="s">
        <v>17</v>
      </c>
      <c r="E68" s="2" t="s">
        <v>198</v>
      </c>
      <c r="F68" s="2" t="s">
        <v>18</v>
      </c>
      <c r="G68" s="2" t="s">
        <v>209</v>
      </c>
      <c r="H68" s="2" t="s">
        <v>210</v>
      </c>
      <c r="I68" s="2" t="s">
        <v>211</v>
      </c>
      <c r="J68" s="3">
        <v>30</v>
      </c>
      <c r="K68" s="2" t="s">
        <v>28</v>
      </c>
      <c r="L68" s="3">
        <v>30</v>
      </c>
      <c r="M68" s="10">
        <v>1015650</v>
      </c>
      <c r="N68" s="3">
        <v>0</v>
      </c>
      <c r="O68" s="2" t="s">
        <v>20</v>
      </c>
      <c r="P68" s="2" t="s">
        <v>21</v>
      </c>
      <c r="Q68" s="2" t="s">
        <v>212</v>
      </c>
    </row>
    <row r="69" spans="1:17" x14ac:dyDescent="0.25">
      <c r="A69" s="1">
        <v>46322</v>
      </c>
      <c r="B69" s="1">
        <v>46321</v>
      </c>
      <c r="C69" s="2" t="s">
        <v>208</v>
      </c>
      <c r="D69" s="2" t="s">
        <v>17</v>
      </c>
      <c r="E69" s="2" t="s">
        <v>198</v>
      </c>
      <c r="F69" s="2" t="s">
        <v>18</v>
      </c>
      <c r="G69" s="2" t="s">
        <v>209</v>
      </c>
      <c r="H69" s="2" t="s">
        <v>213</v>
      </c>
      <c r="I69" s="2" t="s">
        <v>214</v>
      </c>
      <c r="J69" s="3">
        <v>10</v>
      </c>
      <c r="K69" s="2" t="s">
        <v>28</v>
      </c>
      <c r="L69" s="3">
        <v>10</v>
      </c>
      <c r="M69" s="10">
        <v>320000.01</v>
      </c>
      <c r="N69" s="3">
        <v>0</v>
      </c>
      <c r="O69" s="2" t="s">
        <v>20</v>
      </c>
      <c r="P69" s="2" t="s">
        <v>21</v>
      </c>
      <c r="Q69" s="2" t="s">
        <v>212</v>
      </c>
    </row>
    <row r="70" spans="1:17" x14ac:dyDescent="0.25">
      <c r="A70" s="1">
        <v>46322</v>
      </c>
      <c r="B70" s="1">
        <v>46321</v>
      </c>
      <c r="C70" s="2" t="s">
        <v>215</v>
      </c>
      <c r="D70" s="2" t="s">
        <v>17</v>
      </c>
      <c r="E70" s="2" t="s">
        <v>216</v>
      </c>
      <c r="F70" s="2" t="s">
        <v>31</v>
      </c>
      <c r="G70" s="2" t="s">
        <v>32</v>
      </c>
      <c r="H70" s="2" t="s">
        <v>26</v>
      </c>
      <c r="I70" s="2" t="s">
        <v>27</v>
      </c>
      <c r="J70" s="3">
        <v>5</v>
      </c>
      <c r="K70" s="2" t="s">
        <v>28</v>
      </c>
      <c r="L70" s="3">
        <v>5</v>
      </c>
      <c r="M70" s="10">
        <v>525000</v>
      </c>
      <c r="N70" s="3">
        <v>0</v>
      </c>
      <c r="O70" s="2" t="s">
        <v>20</v>
      </c>
      <c r="P70" s="2" t="s">
        <v>21</v>
      </c>
      <c r="Q70" s="2" t="s">
        <v>217</v>
      </c>
    </row>
    <row r="71" spans="1:17" x14ac:dyDescent="0.25">
      <c r="A71" s="1">
        <v>46322</v>
      </c>
      <c r="B71" s="1">
        <v>46321</v>
      </c>
      <c r="C71" s="2" t="s">
        <v>218</v>
      </c>
      <c r="D71" s="2" t="s">
        <v>17</v>
      </c>
      <c r="E71" s="2" t="s">
        <v>219</v>
      </c>
      <c r="F71" s="2" t="s">
        <v>31</v>
      </c>
      <c r="G71" s="2" t="s">
        <v>220</v>
      </c>
      <c r="H71" s="2" t="s">
        <v>221</v>
      </c>
      <c r="I71" s="2" t="s">
        <v>222</v>
      </c>
      <c r="J71" s="3">
        <v>25</v>
      </c>
      <c r="K71" s="2" t="s">
        <v>56</v>
      </c>
      <c r="L71" s="3">
        <v>25</v>
      </c>
      <c r="M71" s="10">
        <v>799999.98</v>
      </c>
      <c r="N71" s="3">
        <v>0</v>
      </c>
      <c r="O71" s="2" t="s">
        <v>20</v>
      </c>
      <c r="P71" s="2" t="s">
        <v>21</v>
      </c>
      <c r="Q71" s="2" t="s">
        <v>22</v>
      </c>
    </row>
    <row r="72" spans="1:17" x14ac:dyDescent="0.25">
      <c r="A72" s="1">
        <v>46322</v>
      </c>
      <c r="B72" s="1">
        <v>46321</v>
      </c>
      <c r="C72" s="2" t="s">
        <v>223</v>
      </c>
      <c r="D72" s="2" t="s">
        <v>17</v>
      </c>
      <c r="E72" s="2" t="s">
        <v>224</v>
      </c>
      <c r="F72" s="2" t="s">
        <v>18</v>
      </c>
      <c r="G72" s="2" t="s">
        <v>19</v>
      </c>
      <c r="H72" s="2" t="s">
        <v>95</v>
      </c>
      <c r="I72" s="2" t="s">
        <v>96</v>
      </c>
      <c r="J72" s="3">
        <v>30</v>
      </c>
      <c r="K72" s="2" t="s">
        <v>48</v>
      </c>
      <c r="L72" s="3">
        <v>30</v>
      </c>
      <c r="M72" s="10">
        <v>8699999.9600000009</v>
      </c>
      <c r="N72" s="3">
        <v>0</v>
      </c>
      <c r="O72" s="2" t="s">
        <v>20</v>
      </c>
      <c r="P72" s="2" t="s">
        <v>21</v>
      </c>
      <c r="Q72" s="2" t="s">
        <v>22</v>
      </c>
    </row>
    <row r="73" spans="1:17" x14ac:dyDescent="0.25">
      <c r="A73" s="1">
        <v>46322</v>
      </c>
      <c r="B73" s="1">
        <v>46321</v>
      </c>
      <c r="C73" s="2" t="s">
        <v>225</v>
      </c>
      <c r="D73" s="2" t="s">
        <v>17</v>
      </c>
      <c r="E73" s="2" t="s">
        <v>226</v>
      </c>
      <c r="F73" s="2" t="s">
        <v>31</v>
      </c>
      <c r="G73" s="2" t="s">
        <v>67</v>
      </c>
      <c r="H73" s="2" t="s">
        <v>95</v>
      </c>
      <c r="I73" s="2" t="s">
        <v>96</v>
      </c>
      <c r="J73" s="3">
        <v>2</v>
      </c>
      <c r="K73" s="2" t="s">
        <v>48</v>
      </c>
      <c r="L73" s="3">
        <v>2</v>
      </c>
      <c r="M73" s="10">
        <v>590000.01</v>
      </c>
      <c r="N73" s="3">
        <v>0</v>
      </c>
      <c r="O73" s="2" t="s">
        <v>20</v>
      </c>
      <c r="P73" s="2" t="s">
        <v>21</v>
      </c>
      <c r="Q73" s="2" t="s">
        <v>22</v>
      </c>
    </row>
    <row r="74" spans="1:17" x14ac:dyDescent="0.25">
      <c r="A74" s="1">
        <v>46322</v>
      </c>
      <c r="B74" s="1">
        <v>46321</v>
      </c>
      <c r="C74" s="2" t="s">
        <v>227</v>
      </c>
      <c r="D74" s="2" t="s">
        <v>17</v>
      </c>
      <c r="E74" s="2" t="s">
        <v>228</v>
      </c>
      <c r="F74" s="2" t="s">
        <v>18</v>
      </c>
      <c r="G74" s="2" t="s">
        <v>229</v>
      </c>
      <c r="H74" s="2" t="s">
        <v>46</v>
      </c>
      <c r="I74" s="2" t="s">
        <v>47</v>
      </c>
      <c r="J74" s="3">
        <v>6</v>
      </c>
      <c r="K74" s="2" t="s">
        <v>48</v>
      </c>
      <c r="L74" s="3">
        <v>6</v>
      </c>
      <c r="M74" s="10">
        <v>2010000.05</v>
      </c>
      <c r="N74" s="3">
        <v>0</v>
      </c>
      <c r="O74" s="2" t="s">
        <v>20</v>
      </c>
      <c r="P74" s="2" t="s">
        <v>21</v>
      </c>
      <c r="Q74" s="2" t="s">
        <v>22</v>
      </c>
    </row>
    <row r="75" spans="1:17" x14ac:dyDescent="0.25">
      <c r="A75" s="1">
        <v>46322</v>
      </c>
      <c r="B75" s="1">
        <v>46321</v>
      </c>
      <c r="C75" s="2" t="s">
        <v>230</v>
      </c>
      <c r="D75" s="2" t="s">
        <v>17</v>
      </c>
      <c r="E75" s="2" t="s">
        <v>231</v>
      </c>
      <c r="F75" s="2" t="s">
        <v>18</v>
      </c>
      <c r="G75" s="2" t="s">
        <v>45</v>
      </c>
      <c r="H75" s="2" t="s">
        <v>95</v>
      </c>
      <c r="I75" s="2" t="s">
        <v>96</v>
      </c>
      <c r="J75" s="3">
        <v>5</v>
      </c>
      <c r="K75" s="2" t="s">
        <v>48</v>
      </c>
      <c r="L75" s="3">
        <v>5</v>
      </c>
      <c r="M75" s="10">
        <v>1449999.99</v>
      </c>
      <c r="N75" s="3">
        <v>0</v>
      </c>
      <c r="O75" s="2" t="s">
        <v>20</v>
      </c>
      <c r="P75" s="2" t="s">
        <v>21</v>
      </c>
      <c r="Q75" s="2" t="s">
        <v>22</v>
      </c>
    </row>
    <row r="76" spans="1:17" x14ac:dyDescent="0.25">
      <c r="A76" s="1">
        <v>46322</v>
      </c>
      <c r="B76" s="1">
        <v>46321</v>
      </c>
      <c r="C76" s="2" t="s">
        <v>232</v>
      </c>
      <c r="D76" s="2" t="s">
        <v>17</v>
      </c>
      <c r="E76" s="2" t="s">
        <v>233</v>
      </c>
      <c r="F76" s="2" t="s">
        <v>18</v>
      </c>
      <c r="G76" s="2" t="s">
        <v>234</v>
      </c>
      <c r="H76" s="2" t="s">
        <v>26</v>
      </c>
      <c r="I76" s="2" t="s">
        <v>27</v>
      </c>
      <c r="J76" s="3">
        <v>10</v>
      </c>
      <c r="K76" s="2" t="s">
        <v>28</v>
      </c>
      <c r="L76" s="3">
        <v>10</v>
      </c>
      <c r="M76" s="10">
        <v>1100000</v>
      </c>
      <c r="N76" s="3">
        <v>0</v>
      </c>
      <c r="O76" s="2" t="s">
        <v>20</v>
      </c>
      <c r="P76" s="2" t="s">
        <v>21</v>
      </c>
      <c r="Q76" s="2" t="s">
        <v>22</v>
      </c>
    </row>
    <row r="77" spans="1:17" x14ac:dyDescent="0.25">
      <c r="A77" s="1">
        <v>46322</v>
      </c>
      <c r="B77" s="1">
        <v>46321</v>
      </c>
      <c r="C77" s="2" t="s">
        <v>235</v>
      </c>
      <c r="D77" s="2" t="s">
        <v>17</v>
      </c>
      <c r="E77" s="2" t="s">
        <v>236</v>
      </c>
      <c r="F77" s="2" t="s">
        <v>18</v>
      </c>
      <c r="G77" s="2" t="s">
        <v>220</v>
      </c>
      <c r="H77" s="2" t="s">
        <v>237</v>
      </c>
      <c r="I77" s="2" t="s">
        <v>238</v>
      </c>
      <c r="J77" s="3">
        <v>6</v>
      </c>
      <c r="K77" s="2" t="s">
        <v>64</v>
      </c>
      <c r="L77" s="3">
        <v>6</v>
      </c>
      <c r="M77" s="10">
        <v>210000.06</v>
      </c>
      <c r="N77" s="3">
        <v>0</v>
      </c>
      <c r="O77" s="2" t="s">
        <v>20</v>
      </c>
      <c r="P77" s="2" t="s">
        <v>21</v>
      </c>
      <c r="Q77" s="2" t="s">
        <v>22</v>
      </c>
    </row>
    <row r="78" spans="1:17" x14ac:dyDescent="0.25">
      <c r="A78" s="1">
        <v>46322</v>
      </c>
      <c r="B78" s="1">
        <v>46321</v>
      </c>
      <c r="C78" s="2" t="s">
        <v>235</v>
      </c>
      <c r="D78" s="2" t="s">
        <v>17</v>
      </c>
      <c r="E78" s="2" t="s">
        <v>236</v>
      </c>
      <c r="F78" s="2" t="s">
        <v>18</v>
      </c>
      <c r="G78" s="2" t="s">
        <v>220</v>
      </c>
      <c r="H78" s="2" t="s">
        <v>239</v>
      </c>
      <c r="I78" s="2" t="s">
        <v>240</v>
      </c>
      <c r="J78" s="3">
        <v>6</v>
      </c>
      <c r="K78" s="2" t="s">
        <v>56</v>
      </c>
      <c r="L78" s="3">
        <v>6</v>
      </c>
      <c r="M78" s="10">
        <v>180000.02</v>
      </c>
      <c r="N78" s="3">
        <v>0</v>
      </c>
      <c r="O78" s="2" t="s">
        <v>20</v>
      </c>
      <c r="P78" s="2" t="s">
        <v>21</v>
      </c>
      <c r="Q78" s="2" t="s">
        <v>22</v>
      </c>
    </row>
    <row r="79" spans="1:17" x14ac:dyDescent="0.25">
      <c r="A79" s="1">
        <v>46322</v>
      </c>
      <c r="B79" s="1">
        <v>46321</v>
      </c>
      <c r="C79" s="2" t="s">
        <v>235</v>
      </c>
      <c r="D79" s="2" t="s">
        <v>17</v>
      </c>
      <c r="E79" s="2" t="s">
        <v>236</v>
      </c>
      <c r="F79" s="2" t="s">
        <v>18</v>
      </c>
      <c r="G79" s="2" t="s">
        <v>220</v>
      </c>
      <c r="H79" s="2" t="s">
        <v>241</v>
      </c>
      <c r="I79" s="2" t="s">
        <v>242</v>
      </c>
      <c r="J79" s="3">
        <v>6</v>
      </c>
      <c r="K79" s="2" t="s">
        <v>64</v>
      </c>
      <c r="L79" s="3">
        <v>6</v>
      </c>
      <c r="M79" s="10">
        <v>424800.04</v>
      </c>
      <c r="N79" s="3">
        <v>0</v>
      </c>
      <c r="O79" s="2" t="s">
        <v>20</v>
      </c>
      <c r="P79" s="2" t="s">
        <v>21</v>
      </c>
      <c r="Q79" s="2" t="s">
        <v>22</v>
      </c>
    </row>
    <row r="80" spans="1:17" x14ac:dyDescent="0.25">
      <c r="A80" s="1">
        <v>46322</v>
      </c>
      <c r="B80" s="1">
        <v>46321</v>
      </c>
      <c r="C80" s="2" t="s">
        <v>235</v>
      </c>
      <c r="D80" s="2" t="s">
        <v>17</v>
      </c>
      <c r="E80" s="2" t="s">
        <v>236</v>
      </c>
      <c r="F80" s="2" t="s">
        <v>18</v>
      </c>
      <c r="G80" s="2" t="s">
        <v>220</v>
      </c>
      <c r="H80" s="2" t="s">
        <v>243</v>
      </c>
      <c r="I80" s="2" t="s">
        <v>244</v>
      </c>
      <c r="J80" s="3">
        <v>10</v>
      </c>
      <c r="K80" s="2" t="s">
        <v>64</v>
      </c>
      <c r="L80" s="3">
        <v>10</v>
      </c>
      <c r="M80" s="10">
        <v>500000.05</v>
      </c>
      <c r="N80" s="3">
        <v>0</v>
      </c>
      <c r="O80" s="2" t="s">
        <v>20</v>
      </c>
      <c r="P80" s="2" t="s">
        <v>21</v>
      </c>
      <c r="Q80" s="2" t="s">
        <v>22</v>
      </c>
    </row>
    <row r="81" spans="1:17" x14ac:dyDescent="0.25">
      <c r="A81" s="1">
        <v>46322</v>
      </c>
      <c r="B81" s="1">
        <v>46321</v>
      </c>
      <c r="C81" s="2" t="s">
        <v>245</v>
      </c>
      <c r="D81" s="2" t="s">
        <v>17</v>
      </c>
      <c r="E81" s="2" t="s">
        <v>246</v>
      </c>
      <c r="F81" s="2" t="s">
        <v>18</v>
      </c>
      <c r="G81" s="2" t="s">
        <v>247</v>
      </c>
      <c r="H81" s="2" t="s">
        <v>62</v>
      </c>
      <c r="I81" s="2" t="s">
        <v>63</v>
      </c>
      <c r="J81" s="3">
        <v>48</v>
      </c>
      <c r="K81" s="2" t="s">
        <v>64</v>
      </c>
      <c r="L81" s="3">
        <v>48</v>
      </c>
      <c r="M81" s="10">
        <v>2424240</v>
      </c>
      <c r="N81" s="3">
        <v>0</v>
      </c>
      <c r="O81" s="2" t="s">
        <v>20</v>
      </c>
      <c r="P81" s="2" t="s">
        <v>21</v>
      </c>
      <c r="Q81" s="2" t="s">
        <v>248</v>
      </c>
    </row>
    <row r="82" spans="1:17" x14ac:dyDescent="0.25">
      <c r="A82" s="1">
        <v>46322</v>
      </c>
      <c r="B82" s="1">
        <v>46321</v>
      </c>
      <c r="C82" s="2" t="s">
        <v>245</v>
      </c>
      <c r="D82" s="2" t="s">
        <v>17</v>
      </c>
      <c r="E82" s="2" t="s">
        <v>246</v>
      </c>
      <c r="F82" s="2" t="s">
        <v>18</v>
      </c>
      <c r="G82" s="2" t="s">
        <v>247</v>
      </c>
      <c r="H82" s="2" t="s">
        <v>249</v>
      </c>
      <c r="I82" s="2" t="s">
        <v>250</v>
      </c>
      <c r="J82" s="3">
        <v>4</v>
      </c>
      <c r="K82" s="2" t="s">
        <v>48</v>
      </c>
      <c r="L82" s="3">
        <v>4</v>
      </c>
      <c r="M82" s="10">
        <v>1188000.01</v>
      </c>
      <c r="N82" s="3">
        <v>0</v>
      </c>
      <c r="O82" s="2" t="s">
        <v>20</v>
      </c>
      <c r="P82" s="2" t="s">
        <v>21</v>
      </c>
      <c r="Q82" s="2" t="s">
        <v>248</v>
      </c>
    </row>
    <row r="83" spans="1:17" x14ac:dyDescent="0.25">
      <c r="A83" s="1">
        <v>46322</v>
      </c>
      <c r="B83" s="1">
        <v>46321</v>
      </c>
      <c r="C83" s="2" t="s">
        <v>245</v>
      </c>
      <c r="D83" s="2" t="s">
        <v>17</v>
      </c>
      <c r="E83" s="2" t="s">
        <v>246</v>
      </c>
      <c r="F83" s="2" t="s">
        <v>18</v>
      </c>
      <c r="G83" s="2" t="s">
        <v>247</v>
      </c>
      <c r="H83" s="2" t="s">
        <v>46</v>
      </c>
      <c r="I83" s="2" t="s">
        <v>47</v>
      </c>
      <c r="J83" s="3">
        <v>2</v>
      </c>
      <c r="K83" s="2" t="s">
        <v>48</v>
      </c>
      <c r="L83" s="3">
        <v>2</v>
      </c>
      <c r="M83" s="10">
        <v>640000</v>
      </c>
      <c r="N83" s="3">
        <v>0</v>
      </c>
      <c r="O83" s="2" t="s">
        <v>20</v>
      </c>
      <c r="P83" s="2" t="s">
        <v>21</v>
      </c>
      <c r="Q83" s="2" t="s">
        <v>248</v>
      </c>
    </row>
    <row r="84" spans="1:17" x14ac:dyDescent="0.25">
      <c r="A84" s="1">
        <v>46322</v>
      </c>
      <c r="B84" s="1">
        <v>46321</v>
      </c>
      <c r="C84" s="2" t="s">
        <v>245</v>
      </c>
      <c r="D84" s="2" t="s">
        <v>17</v>
      </c>
      <c r="E84" s="2" t="s">
        <v>246</v>
      </c>
      <c r="F84" s="2" t="s">
        <v>18</v>
      </c>
      <c r="G84" s="2" t="s">
        <v>247</v>
      </c>
      <c r="H84" s="2" t="s">
        <v>33</v>
      </c>
      <c r="I84" s="2" t="s">
        <v>34</v>
      </c>
      <c r="J84" s="3">
        <v>60</v>
      </c>
      <c r="K84" s="2" t="s">
        <v>28</v>
      </c>
      <c r="L84" s="3">
        <v>60</v>
      </c>
      <c r="M84" s="10">
        <v>959999.71</v>
      </c>
      <c r="N84" s="3">
        <v>0</v>
      </c>
      <c r="O84" s="2" t="s">
        <v>20</v>
      </c>
      <c r="P84" s="2" t="s">
        <v>21</v>
      </c>
      <c r="Q84" s="2" t="s">
        <v>248</v>
      </c>
    </row>
    <row r="85" spans="1:17" x14ac:dyDescent="0.25">
      <c r="A85" s="1">
        <v>46322</v>
      </c>
      <c r="B85" s="1">
        <v>46321</v>
      </c>
      <c r="C85" s="2" t="s">
        <v>251</v>
      </c>
      <c r="D85" s="2" t="s">
        <v>17</v>
      </c>
      <c r="E85" s="2" t="s">
        <v>246</v>
      </c>
      <c r="F85" s="2" t="s">
        <v>18</v>
      </c>
      <c r="G85" s="2" t="s">
        <v>247</v>
      </c>
      <c r="H85" s="2" t="s">
        <v>252</v>
      </c>
      <c r="I85" s="2" t="s">
        <v>253</v>
      </c>
      <c r="J85" s="3">
        <v>10</v>
      </c>
      <c r="K85" s="2" t="s">
        <v>28</v>
      </c>
      <c r="L85" s="3">
        <v>10.64</v>
      </c>
      <c r="M85" s="10">
        <v>1617280.03</v>
      </c>
      <c r="N85" s="3">
        <v>0.64</v>
      </c>
      <c r="O85" s="2" t="s">
        <v>20</v>
      </c>
      <c r="P85" s="2" t="s">
        <v>21</v>
      </c>
      <c r="Q85" s="2" t="s">
        <v>248</v>
      </c>
    </row>
    <row r="86" spans="1:17" x14ac:dyDescent="0.25">
      <c r="A86" s="1">
        <v>46322</v>
      </c>
      <c r="B86" s="1">
        <v>46321</v>
      </c>
      <c r="C86" s="2" t="s">
        <v>254</v>
      </c>
      <c r="D86" s="2" t="s">
        <v>17</v>
      </c>
      <c r="E86" s="2" t="s">
        <v>255</v>
      </c>
      <c r="F86" s="2" t="s">
        <v>18</v>
      </c>
      <c r="G86" s="2" t="s">
        <v>25</v>
      </c>
      <c r="H86" s="2" t="s">
        <v>26</v>
      </c>
      <c r="I86" s="2" t="s">
        <v>27</v>
      </c>
      <c r="J86" s="3">
        <v>5</v>
      </c>
      <c r="K86" s="2" t="s">
        <v>28</v>
      </c>
      <c r="L86" s="3">
        <v>5</v>
      </c>
      <c r="M86" s="10">
        <v>575000</v>
      </c>
      <c r="N86" s="3">
        <v>0</v>
      </c>
      <c r="O86" s="2" t="s">
        <v>20</v>
      </c>
      <c r="P86" s="2" t="s">
        <v>21</v>
      </c>
      <c r="Q86" s="2" t="s">
        <v>256</v>
      </c>
    </row>
    <row r="87" spans="1:17" x14ac:dyDescent="0.25">
      <c r="A87" s="1">
        <v>46322</v>
      </c>
      <c r="B87" s="1">
        <v>46321</v>
      </c>
      <c r="C87" s="2" t="s">
        <v>254</v>
      </c>
      <c r="D87" s="2" t="s">
        <v>17</v>
      </c>
      <c r="E87" s="2" t="s">
        <v>255</v>
      </c>
      <c r="F87" s="2" t="s">
        <v>18</v>
      </c>
      <c r="G87" s="2" t="s">
        <v>25</v>
      </c>
      <c r="H87" s="2" t="s">
        <v>252</v>
      </c>
      <c r="I87" s="2" t="s">
        <v>253</v>
      </c>
      <c r="J87" s="3">
        <v>8</v>
      </c>
      <c r="K87" s="2" t="s">
        <v>28</v>
      </c>
      <c r="L87" s="3">
        <v>8.24</v>
      </c>
      <c r="M87" s="10">
        <v>1277200</v>
      </c>
      <c r="N87" s="3">
        <v>0.24</v>
      </c>
      <c r="O87" s="2" t="s">
        <v>20</v>
      </c>
      <c r="P87" s="2" t="s">
        <v>21</v>
      </c>
      <c r="Q87" s="2" t="s">
        <v>256</v>
      </c>
    </row>
    <row r="88" spans="1:17" x14ac:dyDescent="0.25">
      <c r="A88" s="1">
        <v>46322</v>
      </c>
      <c r="B88" s="1">
        <v>46321</v>
      </c>
      <c r="C88" s="2" t="s">
        <v>257</v>
      </c>
      <c r="D88" s="2" t="s">
        <v>17</v>
      </c>
      <c r="E88" s="2" t="s">
        <v>258</v>
      </c>
      <c r="F88" s="2" t="s">
        <v>18</v>
      </c>
      <c r="G88" s="2" t="s">
        <v>19</v>
      </c>
      <c r="H88" s="2" t="s">
        <v>46</v>
      </c>
      <c r="I88" s="2" t="s">
        <v>47</v>
      </c>
      <c r="J88" s="3">
        <v>8</v>
      </c>
      <c r="K88" s="2" t="s">
        <v>48</v>
      </c>
      <c r="L88" s="3">
        <v>8</v>
      </c>
      <c r="M88" s="10">
        <v>2841600</v>
      </c>
      <c r="N88" s="3">
        <v>0</v>
      </c>
      <c r="O88" s="2" t="s">
        <v>20</v>
      </c>
      <c r="P88" s="2" t="s">
        <v>21</v>
      </c>
      <c r="Q88" s="2" t="s">
        <v>22</v>
      </c>
    </row>
    <row r="89" spans="1:17" x14ac:dyDescent="0.25">
      <c r="A89" s="1">
        <v>46322</v>
      </c>
      <c r="B89" s="1">
        <v>46321</v>
      </c>
      <c r="C89" s="2" t="s">
        <v>259</v>
      </c>
      <c r="D89" s="2" t="s">
        <v>17</v>
      </c>
      <c r="E89" s="2" t="s">
        <v>260</v>
      </c>
      <c r="F89" s="2" t="s">
        <v>18</v>
      </c>
      <c r="G89" s="2" t="s">
        <v>61</v>
      </c>
      <c r="H89" s="2" t="s">
        <v>149</v>
      </c>
      <c r="I89" s="2" t="s">
        <v>150</v>
      </c>
      <c r="J89" s="3">
        <v>80</v>
      </c>
      <c r="K89" s="2" t="s">
        <v>28</v>
      </c>
      <c r="L89" s="3">
        <v>80.5</v>
      </c>
      <c r="M89" s="10">
        <v>8050000</v>
      </c>
      <c r="N89" s="3">
        <v>0.5</v>
      </c>
      <c r="O89" s="2" t="s">
        <v>20</v>
      </c>
      <c r="P89" s="2" t="s">
        <v>21</v>
      </c>
      <c r="Q89" s="2" t="s">
        <v>261</v>
      </c>
    </row>
    <row r="90" spans="1:17" x14ac:dyDescent="0.25">
      <c r="A90" s="1">
        <v>46322</v>
      </c>
      <c r="B90" s="1">
        <v>46321</v>
      </c>
      <c r="C90" s="2" t="s">
        <v>262</v>
      </c>
      <c r="D90" s="2" t="s">
        <v>17</v>
      </c>
      <c r="E90" s="2" t="s">
        <v>263</v>
      </c>
      <c r="F90" s="2" t="s">
        <v>18</v>
      </c>
      <c r="G90" s="2" t="s">
        <v>25</v>
      </c>
      <c r="H90" s="2" t="s">
        <v>41</v>
      </c>
      <c r="I90" s="2" t="s">
        <v>42</v>
      </c>
      <c r="J90" s="3">
        <v>150</v>
      </c>
      <c r="K90" s="2" t="s">
        <v>28</v>
      </c>
      <c r="L90" s="3">
        <v>150</v>
      </c>
      <c r="M90" s="10">
        <v>5577750</v>
      </c>
      <c r="N90" s="3">
        <v>0</v>
      </c>
      <c r="O90" s="2" t="s">
        <v>20</v>
      </c>
      <c r="P90" s="2" t="s">
        <v>21</v>
      </c>
      <c r="Q90" s="2" t="s">
        <v>264</v>
      </c>
    </row>
    <row r="91" spans="1:17" x14ac:dyDescent="0.25">
      <c r="A91" s="1">
        <v>46322</v>
      </c>
      <c r="B91" s="1">
        <v>46321</v>
      </c>
      <c r="C91" s="2" t="s">
        <v>265</v>
      </c>
      <c r="D91" s="2" t="s">
        <v>17</v>
      </c>
      <c r="E91" s="2" t="s">
        <v>263</v>
      </c>
      <c r="F91" s="2" t="s">
        <v>18</v>
      </c>
      <c r="G91" s="2" t="s">
        <v>25</v>
      </c>
      <c r="H91" s="2" t="s">
        <v>41</v>
      </c>
      <c r="I91" s="2" t="s">
        <v>42</v>
      </c>
      <c r="J91" s="3">
        <v>60</v>
      </c>
      <c r="K91" s="2" t="s">
        <v>28</v>
      </c>
      <c r="L91" s="3">
        <v>60</v>
      </c>
      <c r="M91" s="10">
        <v>2231100</v>
      </c>
      <c r="N91" s="3">
        <v>0</v>
      </c>
      <c r="O91" s="2" t="s">
        <v>20</v>
      </c>
      <c r="P91" s="2" t="s">
        <v>21</v>
      </c>
      <c r="Q91" s="2" t="s">
        <v>266</v>
      </c>
    </row>
    <row r="92" spans="1:17" x14ac:dyDescent="0.25">
      <c r="A92" s="1">
        <v>46322</v>
      </c>
      <c r="B92" s="1">
        <v>46321</v>
      </c>
      <c r="C92" s="2" t="s">
        <v>267</v>
      </c>
      <c r="D92" s="2" t="s">
        <v>17</v>
      </c>
      <c r="E92" s="2" t="s">
        <v>268</v>
      </c>
      <c r="F92" s="2" t="s">
        <v>31</v>
      </c>
      <c r="G92" s="2" t="s">
        <v>61</v>
      </c>
      <c r="H92" s="2" t="s">
        <v>105</v>
      </c>
      <c r="I92" s="2" t="s">
        <v>106</v>
      </c>
      <c r="J92" s="3">
        <v>12</v>
      </c>
      <c r="K92" s="2" t="s">
        <v>64</v>
      </c>
      <c r="L92" s="3">
        <v>12</v>
      </c>
      <c r="M92" s="10">
        <v>539460</v>
      </c>
      <c r="N92" s="3">
        <v>0</v>
      </c>
      <c r="O92" s="2" t="s">
        <v>20</v>
      </c>
      <c r="P92" s="2" t="s">
        <v>21</v>
      </c>
      <c r="Q92" s="2" t="s">
        <v>22</v>
      </c>
    </row>
    <row r="93" spans="1:17" x14ac:dyDescent="0.25">
      <c r="A93" s="1">
        <v>46322</v>
      </c>
      <c r="B93" s="1">
        <v>46321</v>
      </c>
      <c r="C93" s="2" t="s">
        <v>267</v>
      </c>
      <c r="D93" s="2" t="s">
        <v>17</v>
      </c>
      <c r="E93" s="2" t="s">
        <v>268</v>
      </c>
      <c r="F93" s="2" t="s">
        <v>31</v>
      </c>
      <c r="G93" s="2" t="s">
        <v>61</v>
      </c>
      <c r="H93" s="2" t="s">
        <v>62</v>
      </c>
      <c r="I93" s="2" t="s">
        <v>63</v>
      </c>
      <c r="J93" s="3">
        <v>24</v>
      </c>
      <c r="K93" s="2" t="s">
        <v>64</v>
      </c>
      <c r="L93" s="3">
        <v>24</v>
      </c>
      <c r="M93" s="10">
        <v>1212120</v>
      </c>
      <c r="N93" s="3">
        <v>0</v>
      </c>
      <c r="O93" s="2" t="s">
        <v>20</v>
      </c>
      <c r="P93" s="2" t="s">
        <v>21</v>
      </c>
      <c r="Q93" s="2" t="s">
        <v>22</v>
      </c>
    </row>
    <row r="94" spans="1:17" x14ac:dyDescent="0.25">
      <c r="A94" s="1">
        <v>46322</v>
      </c>
      <c r="B94" s="1">
        <v>46321</v>
      </c>
      <c r="C94" s="2" t="s">
        <v>269</v>
      </c>
      <c r="D94" s="2" t="s">
        <v>17</v>
      </c>
      <c r="E94" s="2" t="s">
        <v>270</v>
      </c>
      <c r="F94" s="2" t="s">
        <v>31</v>
      </c>
      <c r="G94" s="2" t="s">
        <v>234</v>
      </c>
      <c r="H94" s="2" t="s">
        <v>271</v>
      </c>
      <c r="I94" s="2" t="s">
        <v>272</v>
      </c>
      <c r="J94" s="3">
        <v>5</v>
      </c>
      <c r="K94" s="2" t="s">
        <v>28</v>
      </c>
      <c r="L94" s="3">
        <v>5</v>
      </c>
      <c r="M94" s="10">
        <v>174825</v>
      </c>
      <c r="N94" s="3">
        <v>0</v>
      </c>
      <c r="O94" s="2" t="s">
        <v>20</v>
      </c>
      <c r="P94" s="2" t="s">
        <v>21</v>
      </c>
      <c r="Q94" s="2" t="s">
        <v>273</v>
      </c>
    </row>
    <row r="95" spans="1:17" x14ac:dyDescent="0.25">
      <c r="A95" s="1">
        <v>46322</v>
      </c>
      <c r="B95" s="1">
        <v>46321</v>
      </c>
      <c r="C95" s="2" t="s">
        <v>274</v>
      </c>
      <c r="D95" s="2" t="s">
        <v>17</v>
      </c>
      <c r="E95" s="2" t="s">
        <v>275</v>
      </c>
      <c r="F95" s="2" t="s">
        <v>31</v>
      </c>
      <c r="G95" s="2" t="s">
        <v>234</v>
      </c>
      <c r="H95" s="2" t="s">
        <v>276</v>
      </c>
      <c r="I95" s="2" t="s">
        <v>277</v>
      </c>
      <c r="J95" s="3">
        <v>5</v>
      </c>
      <c r="K95" s="2" t="s">
        <v>28</v>
      </c>
      <c r="L95" s="3">
        <v>5</v>
      </c>
      <c r="M95" s="10">
        <v>122100</v>
      </c>
      <c r="N95" s="3">
        <v>0</v>
      </c>
      <c r="O95" s="2" t="s">
        <v>20</v>
      </c>
      <c r="P95" s="2" t="s">
        <v>21</v>
      </c>
      <c r="Q95" s="2" t="s">
        <v>22</v>
      </c>
    </row>
    <row r="96" spans="1:17" x14ac:dyDescent="0.25">
      <c r="A96" s="1">
        <v>46322</v>
      </c>
      <c r="B96" s="1">
        <v>46321</v>
      </c>
      <c r="C96" s="2" t="s">
        <v>278</v>
      </c>
      <c r="D96" s="2" t="s">
        <v>17</v>
      </c>
      <c r="E96" s="2" t="s">
        <v>279</v>
      </c>
      <c r="F96" s="2" t="s">
        <v>31</v>
      </c>
      <c r="G96" s="2" t="s">
        <v>25</v>
      </c>
      <c r="H96" s="2" t="s">
        <v>280</v>
      </c>
      <c r="I96" s="2" t="s">
        <v>281</v>
      </c>
      <c r="J96" s="3">
        <v>2</v>
      </c>
      <c r="K96" s="2" t="s">
        <v>48</v>
      </c>
      <c r="L96" s="3">
        <v>2</v>
      </c>
      <c r="M96" s="10">
        <v>539999.99</v>
      </c>
      <c r="N96" s="3">
        <v>0</v>
      </c>
      <c r="O96" s="2" t="s">
        <v>20</v>
      </c>
      <c r="P96" s="2" t="s">
        <v>21</v>
      </c>
      <c r="Q96" s="2" t="s">
        <v>22</v>
      </c>
    </row>
    <row r="97" spans="1:17" x14ac:dyDescent="0.25">
      <c r="A97" s="1">
        <v>46322</v>
      </c>
      <c r="B97" s="1">
        <v>46321</v>
      </c>
      <c r="C97" s="2" t="s">
        <v>282</v>
      </c>
      <c r="D97" s="2" t="s">
        <v>17</v>
      </c>
      <c r="E97" s="2" t="s">
        <v>283</v>
      </c>
      <c r="F97" s="2" t="s">
        <v>18</v>
      </c>
      <c r="G97" s="2" t="s">
        <v>25</v>
      </c>
      <c r="H97" s="2" t="s">
        <v>46</v>
      </c>
      <c r="I97" s="2" t="s">
        <v>47</v>
      </c>
      <c r="J97" s="3">
        <v>8</v>
      </c>
      <c r="K97" s="2" t="s">
        <v>48</v>
      </c>
      <c r="L97" s="3">
        <v>8</v>
      </c>
      <c r="M97" s="10">
        <v>2360000.04</v>
      </c>
      <c r="N97" s="3">
        <v>0</v>
      </c>
      <c r="O97" s="2" t="s">
        <v>20</v>
      </c>
      <c r="P97" s="2" t="s">
        <v>21</v>
      </c>
      <c r="Q97" s="2" t="s">
        <v>22</v>
      </c>
    </row>
    <row r="98" spans="1:17" x14ac:dyDescent="0.25">
      <c r="A98" s="1">
        <v>46322</v>
      </c>
      <c r="B98" s="1">
        <v>46321</v>
      </c>
      <c r="C98" s="2" t="s">
        <v>284</v>
      </c>
      <c r="D98" s="2" t="s">
        <v>17</v>
      </c>
      <c r="E98" s="2" t="s">
        <v>285</v>
      </c>
      <c r="F98" s="2" t="s">
        <v>18</v>
      </c>
      <c r="G98" s="2" t="s">
        <v>229</v>
      </c>
      <c r="H98" s="2" t="s">
        <v>46</v>
      </c>
      <c r="I98" s="2" t="s">
        <v>47</v>
      </c>
      <c r="J98" s="3">
        <v>5</v>
      </c>
      <c r="K98" s="2" t="s">
        <v>48</v>
      </c>
      <c r="L98" s="3">
        <v>5</v>
      </c>
      <c r="M98" s="10">
        <v>1776000</v>
      </c>
      <c r="N98" s="3">
        <v>0</v>
      </c>
      <c r="O98" s="2" t="s">
        <v>20</v>
      </c>
      <c r="P98" s="2" t="s">
        <v>21</v>
      </c>
      <c r="Q98" s="2" t="s">
        <v>22</v>
      </c>
    </row>
    <row r="99" spans="1:17" x14ac:dyDescent="0.25">
      <c r="A99" s="1">
        <v>46322</v>
      </c>
      <c r="B99" s="1">
        <v>46321</v>
      </c>
      <c r="C99" s="2" t="s">
        <v>286</v>
      </c>
      <c r="D99" s="2" t="s">
        <v>17</v>
      </c>
      <c r="E99" s="2" t="s">
        <v>260</v>
      </c>
      <c r="F99" s="2" t="s">
        <v>18</v>
      </c>
      <c r="G99" s="2" t="s">
        <v>61</v>
      </c>
      <c r="H99" s="2" t="s">
        <v>149</v>
      </c>
      <c r="I99" s="2" t="s">
        <v>150</v>
      </c>
      <c r="J99" s="3">
        <v>20</v>
      </c>
      <c r="K99" s="2" t="s">
        <v>28</v>
      </c>
      <c r="L99" s="3">
        <v>20.6999</v>
      </c>
      <c r="M99" s="10">
        <v>2069999.99</v>
      </c>
      <c r="N99" s="3">
        <v>0.69989999999999997</v>
      </c>
      <c r="O99" s="2" t="s">
        <v>20</v>
      </c>
      <c r="P99" s="2" t="s">
        <v>21</v>
      </c>
      <c r="Q99" s="2" t="s">
        <v>287</v>
      </c>
    </row>
    <row r="100" spans="1:17" x14ac:dyDescent="0.25">
      <c r="A100" s="1">
        <v>46322</v>
      </c>
      <c r="B100" s="1">
        <v>46321</v>
      </c>
      <c r="C100" s="2" t="s">
        <v>288</v>
      </c>
      <c r="D100" s="2" t="s">
        <v>17</v>
      </c>
      <c r="E100" s="2" t="s">
        <v>289</v>
      </c>
      <c r="F100" s="2" t="s">
        <v>18</v>
      </c>
      <c r="G100" s="2" t="s">
        <v>113</v>
      </c>
      <c r="H100" s="2" t="s">
        <v>249</v>
      </c>
      <c r="I100" s="2" t="s">
        <v>250</v>
      </c>
      <c r="J100" s="3">
        <v>2</v>
      </c>
      <c r="K100" s="2" t="s">
        <v>48</v>
      </c>
      <c r="L100" s="3">
        <v>2</v>
      </c>
      <c r="M100" s="10">
        <v>608000</v>
      </c>
      <c r="N100" s="3">
        <v>0</v>
      </c>
      <c r="O100" s="2" t="s">
        <v>20</v>
      </c>
      <c r="P100" s="2" t="s">
        <v>21</v>
      </c>
      <c r="Q100" s="2" t="s">
        <v>22</v>
      </c>
    </row>
    <row r="101" spans="1:17" x14ac:dyDescent="0.25">
      <c r="A101" s="1">
        <v>46322</v>
      </c>
      <c r="B101" s="1">
        <v>46321</v>
      </c>
      <c r="C101" s="2" t="s">
        <v>290</v>
      </c>
      <c r="D101" s="2" t="s">
        <v>17</v>
      </c>
      <c r="E101" s="2" t="s">
        <v>289</v>
      </c>
      <c r="F101" s="2" t="s">
        <v>18</v>
      </c>
      <c r="G101" s="2" t="s">
        <v>113</v>
      </c>
      <c r="H101" s="2" t="s">
        <v>37</v>
      </c>
      <c r="I101" s="2" t="s">
        <v>38</v>
      </c>
      <c r="J101" s="3">
        <v>5</v>
      </c>
      <c r="K101" s="2" t="s">
        <v>28</v>
      </c>
      <c r="L101" s="3">
        <v>5.22</v>
      </c>
      <c r="M101" s="10">
        <v>783000</v>
      </c>
      <c r="N101" s="3">
        <v>0.22</v>
      </c>
      <c r="O101" s="2" t="s">
        <v>20</v>
      </c>
      <c r="P101" s="2" t="s">
        <v>21</v>
      </c>
      <c r="Q101" s="2" t="s">
        <v>22</v>
      </c>
    </row>
    <row r="102" spans="1:17" x14ac:dyDescent="0.25">
      <c r="A102" s="1">
        <v>46322</v>
      </c>
      <c r="B102" s="1">
        <v>46321</v>
      </c>
      <c r="C102" s="2" t="s">
        <v>291</v>
      </c>
      <c r="D102" s="2" t="s">
        <v>17</v>
      </c>
      <c r="E102" s="2" t="s">
        <v>292</v>
      </c>
      <c r="F102" s="2" t="s">
        <v>18</v>
      </c>
      <c r="G102" s="2" t="s">
        <v>234</v>
      </c>
      <c r="H102" s="2" t="s">
        <v>95</v>
      </c>
      <c r="I102" s="2" t="s">
        <v>96</v>
      </c>
      <c r="J102" s="3">
        <v>5</v>
      </c>
      <c r="K102" s="2" t="s">
        <v>48</v>
      </c>
      <c r="L102" s="3">
        <v>5</v>
      </c>
      <c r="M102" s="10">
        <v>1400000.04</v>
      </c>
      <c r="N102" s="3">
        <v>0</v>
      </c>
      <c r="O102" s="2" t="s">
        <v>20</v>
      </c>
      <c r="P102" s="2" t="s">
        <v>21</v>
      </c>
      <c r="Q102" s="2" t="s">
        <v>22</v>
      </c>
    </row>
    <row r="103" spans="1:17" x14ac:dyDescent="0.25">
      <c r="A103" s="1">
        <v>46322</v>
      </c>
      <c r="B103" s="1">
        <v>46321</v>
      </c>
      <c r="C103" s="2" t="s">
        <v>293</v>
      </c>
      <c r="D103" s="2" t="s">
        <v>17</v>
      </c>
      <c r="E103" s="2" t="s">
        <v>294</v>
      </c>
      <c r="F103" s="2" t="s">
        <v>18</v>
      </c>
      <c r="G103" s="2" t="s">
        <v>113</v>
      </c>
      <c r="H103" s="2" t="s">
        <v>26</v>
      </c>
      <c r="I103" s="2" t="s">
        <v>27</v>
      </c>
      <c r="J103" s="3">
        <v>5</v>
      </c>
      <c r="K103" s="2" t="s">
        <v>28</v>
      </c>
      <c r="L103" s="3">
        <v>5</v>
      </c>
      <c r="M103" s="10">
        <v>525000</v>
      </c>
      <c r="N103" s="3">
        <v>0</v>
      </c>
      <c r="O103" s="2" t="s">
        <v>20</v>
      </c>
      <c r="P103" s="2" t="s">
        <v>21</v>
      </c>
      <c r="Q103" s="2" t="s">
        <v>22</v>
      </c>
    </row>
    <row r="104" spans="1:17" x14ac:dyDescent="0.25">
      <c r="A104" s="1">
        <v>46322</v>
      </c>
      <c r="B104" s="1">
        <v>46321</v>
      </c>
      <c r="C104" s="2" t="s">
        <v>295</v>
      </c>
      <c r="D104" s="2" t="s">
        <v>17</v>
      </c>
      <c r="E104" s="2" t="s">
        <v>296</v>
      </c>
      <c r="F104" s="2" t="s">
        <v>31</v>
      </c>
      <c r="G104" s="2" t="s">
        <v>32</v>
      </c>
      <c r="H104" s="2" t="s">
        <v>297</v>
      </c>
      <c r="I104" s="2" t="s">
        <v>298</v>
      </c>
      <c r="J104" s="3">
        <v>6</v>
      </c>
      <c r="K104" s="2" t="s">
        <v>64</v>
      </c>
      <c r="L104" s="3">
        <v>6</v>
      </c>
      <c r="M104" s="10">
        <v>395999.99</v>
      </c>
      <c r="N104" s="3">
        <v>0</v>
      </c>
      <c r="O104" s="2" t="s">
        <v>20</v>
      </c>
      <c r="P104" s="2" t="s">
        <v>21</v>
      </c>
      <c r="Q104" s="2" t="s">
        <v>22</v>
      </c>
    </row>
    <row r="105" spans="1:17" x14ac:dyDescent="0.25">
      <c r="A105" s="1">
        <v>46322</v>
      </c>
      <c r="B105" s="1">
        <v>46321</v>
      </c>
      <c r="C105" s="2" t="s">
        <v>299</v>
      </c>
      <c r="D105" s="2" t="s">
        <v>17</v>
      </c>
      <c r="E105" s="2" t="s">
        <v>236</v>
      </c>
      <c r="F105" s="2" t="s">
        <v>18</v>
      </c>
      <c r="G105" s="2" t="s">
        <v>220</v>
      </c>
      <c r="H105" s="2" t="s">
        <v>33</v>
      </c>
      <c r="I105" s="2" t="s">
        <v>34</v>
      </c>
      <c r="J105" s="3">
        <v>50</v>
      </c>
      <c r="K105" s="2" t="s">
        <v>28</v>
      </c>
      <c r="L105" s="3">
        <v>50</v>
      </c>
      <c r="M105" s="10">
        <v>775000.34</v>
      </c>
      <c r="N105" s="3">
        <v>0</v>
      </c>
      <c r="O105" s="2" t="s">
        <v>20</v>
      </c>
      <c r="P105" s="2" t="s">
        <v>21</v>
      </c>
      <c r="Q105" s="2" t="s">
        <v>22</v>
      </c>
    </row>
    <row r="106" spans="1:17" x14ac:dyDescent="0.25">
      <c r="A106" s="1">
        <v>46322</v>
      </c>
      <c r="B106" s="1">
        <v>46321</v>
      </c>
      <c r="C106" s="2" t="s">
        <v>299</v>
      </c>
      <c r="D106" s="2" t="s">
        <v>17</v>
      </c>
      <c r="E106" s="2" t="s">
        <v>236</v>
      </c>
      <c r="F106" s="2" t="s">
        <v>18</v>
      </c>
      <c r="G106" s="2" t="s">
        <v>220</v>
      </c>
      <c r="H106" s="2" t="s">
        <v>300</v>
      </c>
      <c r="I106" s="2" t="s">
        <v>301</v>
      </c>
      <c r="J106" s="3">
        <v>50</v>
      </c>
      <c r="K106" s="2" t="s">
        <v>28</v>
      </c>
      <c r="L106" s="3">
        <v>50</v>
      </c>
      <c r="M106" s="10">
        <v>824999.73</v>
      </c>
      <c r="N106" s="3">
        <v>0</v>
      </c>
      <c r="O106" s="2" t="s">
        <v>20</v>
      </c>
      <c r="P106" s="2" t="s">
        <v>21</v>
      </c>
      <c r="Q106" s="2" t="s">
        <v>22</v>
      </c>
    </row>
    <row r="107" spans="1:17" x14ac:dyDescent="0.25">
      <c r="A107" s="1">
        <v>46322</v>
      </c>
      <c r="B107" s="1">
        <v>46321</v>
      </c>
      <c r="C107" s="2" t="s">
        <v>302</v>
      </c>
      <c r="D107" s="2" t="s">
        <v>17</v>
      </c>
      <c r="E107" s="2" t="s">
        <v>303</v>
      </c>
      <c r="F107" s="2" t="s">
        <v>18</v>
      </c>
      <c r="G107" s="2" t="s">
        <v>32</v>
      </c>
      <c r="H107" s="2" t="s">
        <v>33</v>
      </c>
      <c r="I107" s="2" t="s">
        <v>34</v>
      </c>
      <c r="J107" s="3">
        <v>20</v>
      </c>
      <c r="K107" s="2" t="s">
        <v>28</v>
      </c>
      <c r="L107" s="3">
        <v>20</v>
      </c>
      <c r="M107" s="10">
        <v>319999.90000000002</v>
      </c>
      <c r="N107" s="3">
        <v>0</v>
      </c>
      <c r="O107" s="2" t="s">
        <v>20</v>
      </c>
      <c r="P107" s="2" t="s">
        <v>21</v>
      </c>
      <c r="Q107" s="2" t="s">
        <v>22</v>
      </c>
    </row>
    <row r="108" spans="1:17" x14ac:dyDescent="0.25">
      <c r="A108" s="1">
        <v>46322</v>
      </c>
      <c r="B108" s="1">
        <v>46321</v>
      </c>
      <c r="C108" s="2" t="s">
        <v>304</v>
      </c>
      <c r="D108" s="2" t="s">
        <v>17</v>
      </c>
      <c r="E108" s="2" t="s">
        <v>305</v>
      </c>
      <c r="F108" s="2" t="s">
        <v>18</v>
      </c>
      <c r="G108" s="2" t="s">
        <v>113</v>
      </c>
      <c r="H108" s="2" t="s">
        <v>306</v>
      </c>
      <c r="I108" s="2" t="s">
        <v>307</v>
      </c>
      <c r="J108" s="3">
        <v>2</v>
      </c>
      <c r="K108" s="2" t="s">
        <v>28</v>
      </c>
      <c r="L108" s="3">
        <v>2</v>
      </c>
      <c r="M108" s="10">
        <v>250000</v>
      </c>
      <c r="N108" s="3">
        <v>0</v>
      </c>
      <c r="O108" s="2" t="s">
        <v>20</v>
      </c>
      <c r="P108" s="2" t="s">
        <v>21</v>
      </c>
      <c r="Q108" s="2" t="s">
        <v>22</v>
      </c>
    </row>
    <row r="109" spans="1:17" x14ac:dyDescent="0.25">
      <c r="A109" s="1">
        <v>46322</v>
      </c>
      <c r="B109" s="1">
        <v>46321</v>
      </c>
      <c r="C109" s="2" t="s">
        <v>308</v>
      </c>
      <c r="D109" s="2" t="s">
        <v>17</v>
      </c>
      <c r="E109" s="2" t="s">
        <v>309</v>
      </c>
      <c r="F109" s="2" t="s">
        <v>18</v>
      </c>
      <c r="G109" s="2" t="s">
        <v>234</v>
      </c>
      <c r="H109" s="2" t="s">
        <v>125</v>
      </c>
      <c r="I109" s="2" t="s">
        <v>126</v>
      </c>
      <c r="J109" s="3">
        <v>4</v>
      </c>
      <c r="K109" s="2" t="s">
        <v>28</v>
      </c>
      <c r="L109" s="3">
        <v>4.3</v>
      </c>
      <c r="M109" s="10">
        <v>838500</v>
      </c>
      <c r="N109" s="3">
        <v>0.3</v>
      </c>
      <c r="O109" s="2" t="s">
        <v>20</v>
      </c>
      <c r="P109" s="2" t="s">
        <v>21</v>
      </c>
      <c r="Q109" s="2" t="s">
        <v>22</v>
      </c>
    </row>
    <row r="110" spans="1:17" x14ac:dyDescent="0.25">
      <c r="A110" s="1">
        <v>46322</v>
      </c>
      <c r="B110" s="1">
        <v>46321</v>
      </c>
      <c r="C110" s="2" t="s">
        <v>310</v>
      </c>
      <c r="D110" s="2" t="s">
        <v>17</v>
      </c>
      <c r="E110" s="2" t="s">
        <v>311</v>
      </c>
      <c r="F110" s="2" t="s">
        <v>18</v>
      </c>
      <c r="G110" s="2" t="s">
        <v>19</v>
      </c>
      <c r="H110" s="2" t="s">
        <v>26</v>
      </c>
      <c r="I110" s="2" t="s">
        <v>27</v>
      </c>
      <c r="J110" s="3">
        <v>10</v>
      </c>
      <c r="K110" s="2" t="s">
        <v>28</v>
      </c>
      <c r="L110" s="3">
        <v>10</v>
      </c>
      <c r="M110" s="10">
        <v>1000000</v>
      </c>
      <c r="N110" s="3">
        <v>0</v>
      </c>
      <c r="O110" s="2" t="s">
        <v>20</v>
      </c>
      <c r="P110" s="2" t="s">
        <v>21</v>
      </c>
      <c r="Q110" s="2" t="s">
        <v>312</v>
      </c>
    </row>
    <row r="111" spans="1:17" x14ac:dyDescent="0.25">
      <c r="A111" s="1">
        <v>46322</v>
      </c>
      <c r="B111" s="1">
        <v>46321</v>
      </c>
      <c r="C111" s="2" t="s">
        <v>310</v>
      </c>
      <c r="D111" s="2" t="s">
        <v>17</v>
      </c>
      <c r="E111" s="2" t="s">
        <v>311</v>
      </c>
      <c r="F111" s="2" t="s">
        <v>18</v>
      </c>
      <c r="G111" s="2" t="s">
        <v>19</v>
      </c>
      <c r="H111" s="2" t="s">
        <v>313</v>
      </c>
      <c r="I111" s="2" t="s">
        <v>314</v>
      </c>
      <c r="J111" s="3">
        <v>25</v>
      </c>
      <c r="K111" s="2" t="s">
        <v>28</v>
      </c>
      <c r="L111" s="3">
        <v>23.14</v>
      </c>
      <c r="M111" s="10">
        <v>8099000</v>
      </c>
      <c r="N111" s="3">
        <v>-1.86</v>
      </c>
      <c r="O111" s="2" t="s">
        <v>20</v>
      </c>
      <c r="P111" s="2" t="s">
        <v>21</v>
      </c>
      <c r="Q111" s="2" t="s">
        <v>312</v>
      </c>
    </row>
    <row r="112" spans="1:17" x14ac:dyDescent="0.25">
      <c r="A112" s="1">
        <v>46322</v>
      </c>
      <c r="B112" s="1">
        <v>46321</v>
      </c>
      <c r="C112" s="2" t="s">
        <v>315</v>
      </c>
      <c r="D112" s="2" t="s">
        <v>17</v>
      </c>
      <c r="E112" s="2" t="s">
        <v>316</v>
      </c>
      <c r="F112" s="2" t="s">
        <v>31</v>
      </c>
      <c r="G112" s="2" t="s">
        <v>220</v>
      </c>
      <c r="H112" s="2" t="s">
        <v>176</v>
      </c>
      <c r="I112" s="2" t="s">
        <v>177</v>
      </c>
      <c r="J112" s="3">
        <v>30</v>
      </c>
      <c r="K112" s="2" t="s">
        <v>28</v>
      </c>
      <c r="L112" s="3">
        <v>30</v>
      </c>
      <c r="M112" s="10">
        <v>482850</v>
      </c>
      <c r="N112" s="3">
        <v>0</v>
      </c>
      <c r="O112" s="2" t="s">
        <v>20</v>
      </c>
      <c r="P112" s="2" t="s">
        <v>21</v>
      </c>
      <c r="Q112" s="2" t="s">
        <v>22</v>
      </c>
    </row>
    <row r="113" spans="1:17" x14ac:dyDescent="0.25">
      <c r="A113" s="1">
        <v>46322</v>
      </c>
      <c r="B113" s="1">
        <v>46321</v>
      </c>
      <c r="C113" s="2" t="s">
        <v>315</v>
      </c>
      <c r="D113" s="2" t="s">
        <v>17</v>
      </c>
      <c r="E113" s="2" t="s">
        <v>316</v>
      </c>
      <c r="F113" s="2" t="s">
        <v>31</v>
      </c>
      <c r="G113" s="2" t="s">
        <v>220</v>
      </c>
      <c r="H113" s="2" t="s">
        <v>33</v>
      </c>
      <c r="I113" s="2" t="s">
        <v>34</v>
      </c>
      <c r="J113" s="3">
        <v>30</v>
      </c>
      <c r="K113" s="2" t="s">
        <v>28</v>
      </c>
      <c r="L113" s="3">
        <v>30</v>
      </c>
      <c r="M113" s="10">
        <v>479999.85</v>
      </c>
      <c r="N113" s="3">
        <v>0</v>
      </c>
      <c r="O113" s="2" t="s">
        <v>20</v>
      </c>
      <c r="P113" s="2" t="s">
        <v>21</v>
      </c>
      <c r="Q113" s="2" t="s">
        <v>22</v>
      </c>
    </row>
    <row r="114" spans="1:17" x14ac:dyDescent="0.25">
      <c r="A114" s="1">
        <v>46322</v>
      </c>
      <c r="B114" s="1">
        <v>46321</v>
      </c>
      <c r="C114" s="2" t="s">
        <v>317</v>
      </c>
      <c r="D114" s="2" t="s">
        <v>17</v>
      </c>
      <c r="E114" s="2" t="s">
        <v>318</v>
      </c>
      <c r="F114" s="2" t="s">
        <v>18</v>
      </c>
      <c r="G114" s="2" t="s">
        <v>234</v>
      </c>
      <c r="H114" s="2" t="s">
        <v>149</v>
      </c>
      <c r="I114" s="2" t="s">
        <v>150</v>
      </c>
      <c r="J114" s="3">
        <v>7.5</v>
      </c>
      <c r="K114" s="2" t="s">
        <v>28</v>
      </c>
      <c r="L114" s="3">
        <v>6.9</v>
      </c>
      <c r="M114" s="10">
        <v>690000</v>
      </c>
      <c r="N114" s="3">
        <v>-0.6</v>
      </c>
      <c r="O114" s="2" t="s">
        <v>20</v>
      </c>
      <c r="P114" s="2" t="s">
        <v>21</v>
      </c>
      <c r="Q114" s="2" t="s">
        <v>22</v>
      </c>
    </row>
    <row r="115" spans="1:17" x14ac:dyDescent="0.25">
      <c r="A115" s="1">
        <v>46322</v>
      </c>
      <c r="B115" s="1">
        <v>46321</v>
      </c>
      <c r="C115" s="2" t="s">
        <v>319</v>
      </c>
      <c r="D115" s="2" t="s">
        <v>17</v>
      </c>
      <c r="E115" s="2" t="s">
        <v>320</v>
      </c>
      <c r="F115" s="2" t="s">
        <v>18</v>
      </c>
      <c r="G115" s="2" t="s">
        <v>220</v>
      </c>
      <c r="H115" s="2" t="s">
        <v>33</v>
      </c>
      <c r="I115" s="2" t="s">
        <v>34</v>
      </c>
      <c r="J115" s="3">
        <v>2000</v>
      </c>
      <c r="K115" s="2" t="s">
        <v>28</v>
      </c>
      <c r="L115" s="3">
        <v>500</v>
      </c>
      <c r="M115" s="10">
        <v>7749997.7999999998</v>
      </c>
      <c r="N115" s="3">
        <v>-1500</v>
      </c>
      <c r="O115" s="2" t="s">
        <v>20</v>
      </c>
      <c r="P115" s="2" t="s">
        <v>21</v>
      </c>
      <c r="Q115" s="2" t="s">
        <v>22</v>
      </c>
    </row>
    <row r="116" spans="1:17" x14ac:dyDescent="0.25">
      <c r="A116" s="1">
        <v>46322</v>
      </c>
      <c r="B116" s="1">
        <v>46321</v>
      </c>
      <c r="C116" s="2" t="s">
        <v>323</v>
      </c>
      <c r="D116" s="2" t="s">
        <v>17</v>
      </c>
      <c r="E116" s="2" t="s">
        <v>324</v>
      </c>
      <c r="F116" s="2" t="s">
        <v>18</v>
      </c>
      <c r="G116" s="2" t="s">
        <v>148</v>
      </c>
      <c r="H116" s="2" t="s">
        <v>325</v>
      </c>
      <c r="I116" s="2" t="s">
        <v>326</v>
      </c>
      <c r="J116" s="3">
        <v>15</v>
      </c>
      <c r="K116" s="2" t="s">
        <v>48</v>
      </c>
      <c r="L116" s="3">
        <v>15</v>
      </c>
      <c r="M116" s="10">
        <v>4349999.9800000004</v>
      </c>
      <c r="N116" s="3">
        <v>0</v>
      </c>
      <c r="O116" s="2" t="s">
        <v>20</v>
      </c>
      <c r="P116" s="2" t="s">
        <v>21</v>
      </c>
      <c r="Q116" s="2" t="s">
        <v>22</v>
      </c>
    </row>
    <row r="117" spans="1:17" x14ac:dyDescent="0.25">
      <c r="A117" s="1">
        <v>46322</v>
      </c>
      <c r="B117" s="1">
        <v>46321</v>
      </c>
      <c r="C117" s="2" t="s">
        <v>323</v>
      </c>
      <c r="D117" s="2" t="s">
        <v>17</v>
      </c>
      <c r="E117" s="2" t="s">
        <v>324</v>
      </c>
      <c r="F117" s="2" t="s">
        <v>18</v>
      </c>
      <c r="G117" s="2" t="s">
        <v>148</v>
      </c>
      <c r="H117" s="2" t="s">
        <v>46</v>
      </c>
      <c r="I117" s="2" t="s">
        <v>47</v>
      </c>
      <c r="J117" s="3">
        <v>25</v>
      </c>
      <c r="K117" s="2" t="s">
        <v>48</v>
      </c>
      <c r="L117" s="3">
        <v>25</v>
      </c>
      <c r="M117" s="10">
        <v>7574999.9199999999</v>
      </c>
      <c r="N117" s="3">
        <v>0</v>
      </c>
      <c r="O117" s="2" t="s">
        <v>20</v>
      </c>
      <c r="P117" s="2" t="s">
        <v>21</v>
      </c>
      <c r="Q117" s="2" t="s">
        <v>22</v>
      </c>
    </row>
    <row r="118" spans="1:17" x14ac:dyDescent="0.25">
      <c r="A118" s="1">
        <v>46322</v>
      </c>
      <c r="B118" s="1">
        <v>46321</v>
      </c>
      <c r="C118" s="2" t="s">
        <v>327</v>
      </c>
      <c r="D118" s="2" t="s">
        <v>17</v>
      </c>
      <c r="E118" s="2" t="s">
        <v>328</v>
      </c>
      <c r="F118" s="2" t="s">
        <v>18</v>
      </c>
      <c r="G118" s="2" t="s">
        <v>32</v>
      </c>
      <c r="H118" s="2" t="s">
        <v>210</v>
      </c>
      <c r="I118" s="2" t="s">
        <v>211</v>
      </c>
      <c r="J118" s="3">
        <v>2</v>
      </c>
      <c r="K118" s="2" t="s">
        <v>28</v>
      </c>
      <c r="L118" s="3">
        <v>2</v>
      </c>
      <c r="M118" s="10">
        <v>60000.01</v>
      </c>
      <c r="N118" s="3">
        <v>0</v>
      </c>
      <c r="O118" s="2" t="s">
        <v>20</v>
      </c>
      <c r="P118" s="2" t="s">
        <v>21</v>
      </c>
      <c r="Q118" s="2" t="s">
        <v>329</v>
      </c>
    </row>
    <row r="119" spans="1:17" x14ac:dyDescent="0.25">
      <c r="A119" s="1">
        <v>46322</v>
      </c>
      <c r="B119" s="1">
        <v>46321</v>
      </c>
      <c r="C119" s="2" t="s">
        <v>330</v>
      </c>
      <c r="D119" s="2" t="s">
        <v>17</v>
      </c>
      <c r="E119" s="2" t="s">
        <v>94</v>
      </c>
      <c r="F119" s="2" t="s">
        <v>18</v>
      </c>
      <c r="G119" s="2" t="s">
        <v>25</v>
      </c>
      <c r="H119" s="2" t="s">
        <v>95</v>
      </c>
      <c r="I119" s="2" t="s">
        <v>96</v>
      </c>
      <c r="J119" s="3">
        <v>1</v>
      </c>
      <c r="K119" s="2" t="s">
        <v>48</v>
      </c>
      <c r="L119" s="3">
        <v>1</v>
      </c>
      <c r="M119" s="10">
        <v>295000</v>
      </c>
      <c r="N119" s="3">
        <v>0</v>
      </c>
      <c r="O119" s="2" t="s">
        <v>20</v>
      </c>
      <c r="P119" s="2" t="s">
        <v>21</v>
      </c>
      <c r="Q119" s="2" t="s">
        <v>331</v>
      </c>
    </row>
    <row r="120" spans="1:17" x14ac:dyDescent="0.25">
      <c r="A120" s="1">
        <v>46322</v>
      </c>
      <c r="B120" s="1">
        <v>46321</v>
      </c>
      <c r="C120" s="2" t="s">
        <v>332</v>
      </c>
      <c r="D120" s="2" t="s">
        <v>17</v>
      </c>
      <c r="E120" s="2" t="s">
        <v>328</v>
      </c>
      <c r="F120" s="2" t="s">
        <v>18</v>
      </c>
      <c r="G120" s="2" t="s">
        <v>32</v>
      </c>
      <c r="H120" s="2" t="s">
        <v>210</v>
      </c>
      <c r="I120" s="2" t="s">
        <v>211</v>
      </c>
      <c r="J120" s="3">
        <v>6</v>
      </c>
      <c r="K120" s="2" t="s">
        <v>28</v>
      </c>
      <c r="L120" s="3">
        <v>6</v>
      </c>
      <c r="M120" s="10">
        <v>180000.02</v>
      </c>
      <c r="N120" s="3">
        <v>0</v>
      </c>
      <c r="O120" s="2" t="s">
        <v>20</v>
      </c>
      <c r="P120" s="2" t="s">
        <v>21</v>
      </c>
      <c r="Q120" s="2" t="s">
        <v>329</v>
      </c>
    </row>
    <row r="121" spans="1:17" x14ac:dyDescent="0.25">
      <c r="A121" s="1">
        <v>46322</v>
      </c>
      <c r="B121" s="1">
        <v>46321</v>
      </c>
      <c r="C121" s="2" t="s">
        <v>333</v>
      </c>
      <c r="D121" s="2" t="s">
        <v>17</v>
      </c>
      <c r="E121" s="2" t="s">
        <v>328</v>
      </c>
      <c r="F121" s="2" t="s">
        <v>18</v>
      </c>
      <c r="G121" s="2" t="s">
        <v>32</v>
      </c>
      <c r="H121" s="2" t="s">
        <v>149</v>
      </c>
      <c r="I121" s="2" t="s">
        <v>150</v>
      </c>
      <c r="J121" s="3">
        <v>2.2999999999999998</v>
      </c>
      <c r="K121" s="2" t="s">
        <v>28</v>
      </c>
      <c r="L121" s="3">
        <v>2.2999999999999998</v>
      </c>
      <c r="M121" s="10">
        <v>241499.99</v>
      </c>
      <c r="N121" s="3">
        <v>0</v>
      </c>
      <c r="O121" s="2" t="s">
        <v>20</v>
      </c>
      <c r="P121" s="2" t="s">
        <v>21</v>
      </c>
      <c r="Q121" s="2" t="s">
        <v>329</v>
      </c>
    </row>
    <row r="122" spans="1:17" x14ac:dyDescent="0.25">
      <c r="A122" s="1">
        <v>46322</v>
      </c>
      <c r="B122" s="1">
        <v>46321</v>
      </c>
      <c r="C122" s="2" t="s">
        <v>334</v>
      </c>
      <c r="D122" s="2" t="s">
        <v>17</v>
      </c>
      <c r="E122" s="2" t="s">
        <v>335</v>
      </c>
      <c r="F122" s="2" t="s">
        <v>18</v>
      </c>
      <c r="G122" s="2" t="s">
        <v>45</v>
      </c>
      <c r="H122" s="2" t="s">
        <v>46</v>
      </c>
      <c r="I122" s="2" t="s">
        <v>47</v>
      </c>
      <c r="J122" s="3">
        <v>15</v>
      </c>
      <c r="K122" s="2" t="s">
        <v>48</v>
      </c>
      <c r="L122" s="3">
        <v>15</v>
      </c>
      <c r="M122" s="10">
        <v>4500000</v>
      </c>
      <c r="N122" s="3">
        <v>0</v>
      </c>
      <c r="O122" s="2" t="s">
        <v>20</v>
      </c>
      <c r="P122" s="2" t="s">
        <v>21</v>
      </c>
      <c r="Q122" s="2" t="s">
        <v>22</v>
      </c>
    </row>
    <row r="123" spans="1:17" x14ac:dyDescent="0.25">
      <c r="A123" s="1">
        <v>46322</v>
      </c>
      <c r="B123" s="1">
        <v>46321</v>
      </c>
      <c r="C123" s="2" t="s">
        <v>336</v>
      </c>
      <c r="D123" s="2" t="s">
        <v>17</v>
      </c>
      <c r="E123" s="2" t="s">
        <v>328</v>
      </c>
      <c r="F123" s="2" t="s">
        <v>18</v>
      </c>
      <c r="G123" s="2" t="s">
        <v>32</v>
      </c>
      <c r="H123" s="2" t="s">
        <v>62</v>
      </c>
      <c r="I123" s="2" t="s">
        <v>63</v>
      </c>
      <c r="J123" s="3">
        <v>24</v>
      </c>
      <c r="K123" s="2" t="s">
        <v>64</v>
      </c>
      <c r="L123" s="3">
        <v>24</v>
      </c>
      <c r="M123" s="10">
        <v>1164000.17</v>
      </c>
      <c r="N123" s="3">
        <v>0</v>
      </c>
      <c r="O123" s="2" t="s">
        <v>20</v>
      </c>
      <c r="P123" s="2" t="s">
        <v>21</v>
      </c>
      <c r="Q123" s="2" t="s">
        <v>337</v>
      </c>
    </row>
    <row r="124" spans="1:17" x14ac:dyDescent="0.25">
      <c r="A124" s="1">
        <v>46322</v>
      </c>
      <c r="B124" s="1">
        <v>46321</v>
      </c>
      <c r="C124" s="2" t="s">
        <v>338</v>
      </c>
      <c r="D124" s="2" t="s">
        <v>17</v>
      </c>
      <c r="E124" s="2" t="s">
        <v>339</v>
      </c>
      <c r="F124" s="2" t="s">
        <v>18</v>
      </c>
      <c r="G124" s="2" t="s">
        <v>113</v>
      </c>
      <c r="H124" s="2" t="s">
        <v>46</v>
      </c>
      <c r="I124" s="2" t="s">
        <v>47</v>
      </c>
      <c r="J124" s="3">
        <v>3</v>
      </c>
      <c r="K124" s="2" t="s">
        <v>48</v>
      </c>
      <c r="L124" s="3">
        <v>3</v>
      </c>
      <c r="M124" s="10">
        <v>900000</v>
      </c>
      <c r="N124" s="3">
        <v>0</v>
      </c>
      <c r="O124" s="2" t="s">
        <v>20</v>
      </c>
      <c r="P124" s="2" t="s">
        <v>21</v>
      </c>
      <c r="Q124" s="2" t="s">
        <v>22</v>
      </c>
    </row>
    <row r="125" spans="1:17" x14ac:dyDescent="0.25">
      <c r="A125" s="1">
        <v>46322</v>
      </c>
      <c r="B125" s="1">
        <v>46321</v>
      </c>
      <c r="C125" s="2" t="s">
        <v>340</v>
      </c>
      <c r="D125" s="2" t="s">
        <v>17</v>
      </c>
      <c r="E125" s="2" t="s">
        <v>328</v>
      </c>
      <c r="F125" s="2" t="s">
        <v>18</v>
      </c>
      <c r="G125" s="2" t="s">
        <v>32</v>
      </c>
      <c r="H125" s="2" t="s">
        <v>249</v>
      </c>
      <c r="I125" s="2" t="s">
        <v>250</v>
      </c>
      <c r="J125" s="3">
        <v>1</v>
      </c>
      <c r="K125" s="2" t="s">
        <v>48</v>
      </c>
      <c r="L125" s="3">
        <v>1</v>
      </c>
      <c r="M125" s="10">
        <v>327450</v>
      </c>
      <c r="N125" s="3">
        <v>0</v>
      </c>
      <c r="O125" s="2" t="s">
        <v>20</v>
      </c>
      <c r="P125" s="2" t="s">
        <v>21</v>
      </c>
      <c r="Q125" s="2" t="s">
        <v>341</v>
      </c>
    </row>
    <row r="126" spans="1:17" x14ac:dyDescent="0.25">
      <c r="A126" s="1">
        <v>46322</v>
      </c>
      <c r="B126" s="1">
        <v>46321</v>
      </c>
      <c r="C126" s="2" t="s">
        <v>342</v>
      </c>
      <c r="D126" s="2" t="s">
        <v>17</v>
      </c>
      <c r="E126" s="2" t="s">
        <v>328</v>
      </c>
      <c r="F126" s="2" t="s">
        <v>18</v>
      </c>
      <c r="G126" s="2" t="s">
        <v>32</v>
      </c>
      <c r="H126" s="2" t="s">
        <v>149</v>
      </c>
      <c r="I126" s="2" t="s">
        <v>150</v>
      </c>
      <c r="J126" s="3">
        <v>6.9</v>
      </c>
      <c r="K126" s="2" t="s">
        <v>28</v>
      </c>
      <c r="L126" s="3">
        <v>6.9</v>
      </c>
      <c r="M126" s="10">
        <v>724499.96</v>
      </c>
      <c r="N126" s="3">
        <v>0</v>
      </c>
      <c r="O126" s="2" t="s">
        <v>20</v>
      </c>
      <c r="P126" s="2" t="s">
        <v>21</v>
      </c>
      <c r="Q126" s="2" t="s">
        <v>341</v>
      </c>
    </row>
    <row r="127" spans="1:17" x14ac:dyDescent="0.25">
      <c r="A127" s="1">
        <v>46322</v>
      </c>
      <c r="B127" s="1">
        <v>46321</v>
      </c>
      <c r="C127" s="2" t="s">
        <v>343</v>
      </c>
      <c r="D127" s="2" t="s">
        <v>17</v>
      </c>
      <c r="E127" s="2" t="s">
        <v>328</v>
      </c>
      <c r="F127" s="2" t="s">
        <v>18</v>
      </c>
      <c r="G127" s="2" t="s">
        <v>32</v>
      </c>
      <c r="H127" s="2" t="s">
        <v>210</v>
      </c>
      <c r="I127" s="2" t="s">
        <v>211</v>
      </c>
      <c r="J127" s="3">
        <v>50</v>
      </c>
      <c r="K127" s="2" t="s">
        <v>28</v>
      </c>
      <c r="L127" s="3">
        <v>50</v>
      </c>
      <c r="M127" s="10">
        <v>1500000.17</v>
      </c>
      <c r="N127" s="3">
        <v>0</v>
      </c>
      <c r="O127" s="2" t="s">
        <v>20</v>
      </c>
      <c r="P127" s="2" t="s">
        <v>21</v>
      </c>
      <c r="Q127" s="2" t="s">
        <v>344</v>
      </c>
    </row>
    <row r="128" spans="1:17" x14ac:dyDescent="0.25">
      <c r="A128" s="1">
        <v>46322</v>
      </c>
      <c r="B128" s="1">
        <v>46321</v>
      </c>
      <c r="C128" s="2" t="s">
        <v>343</v>
      </c>
      <c r="D128" s="2" t="s">
        <v>17</v>
      </c>
      <c r="E128" s="2" t="s">
        <v>328</v>
      </c>
      <c r="F128" s="2" t="s">
        <v>18</v>
      </c>
      <c r="G128" s="2" t="s">
        <v>32</v>
      </c>
      <c r="H128" s="2" t="s">
        <v>105</v>
      </c>
      <c r="I128" s="2" t="s">
        <v>106</v>
      </c>
      <c r="J128" s="3">
        <v>3</v>
      </c>
      <c r="K128" s="2" t="s">
        <v>64</v>
      </c>
      <c r="L128" s="3">
        <v>3</v>
      </c>
      <c r="M128" s="10">
        <v>129000</v>
      </c>
      <c r="N128" s="3">
        <v>0</v>
      </c>
      <c r="O128" s="2" t="s">
        <v>20</v>
      </c>
      <c r="P128" s="2" t="s">
        <v>21</v>
      </c>
      <c r="Q128" s="2" t="s">
        <v>344</v>
      </c>
    </row>
    <row r="129" spans="1:17" x14ac:dyDescent="0.25">
      <c r="A129" s="1">
        <v>46322</v>
      </c>
      <c r="B129" s="1">
        <v>46321</v>
      </c>
      <c r="C129" s="2" t="s">
        <v>343</v>
      </c>
      <c r="D129" s="2" t="s">
        <v>17</v>
      </c>
      <c r="E129" s="2" t="s">
        <v>328</v>
      </c>
      <c r="F129" s="2" t="s">
        <v>18</v>
      </c>
      <c r="G129" s="2" t="s">
        <v>32</v>
      </c>
      <c r="H129" s="2" t="s">
        <v>62</v>
      </c>
      <c r="I129" s="2" t="s">
        <v>63</v>
      </c>
      <c r="J129" s="3">
        <v>24</v>
      </c>
      <c r="K129" s="2" t="s">
        <v>64</v>
      </c>
      <c r="L129" s="3">
        <v>24</v>
      </c>
      <c r="M129" s="10">
        <v>1164000.17</v>
      </c>
      <c r="N129" s="3">
        <v>0</v>
      </c>
      <c r="O129" s="2" t="s">
        <v>20</v>
      </c>
      <c r="P129" s="2" t="s">
        <v>21</v>
      </c>
      <c r="Q129" s="2" t="s">
        <v>344</v>
      </c>
    </row>
    <row r="130" spans="1:17" x14ac:dyDescent="0.25">
      <c r="A130" s="1">
        <v>46322</v>
      </c>
      <c r="B130" s="1">
        <v>46321</v>
      </c>
      <c r="C130" s="2" t="s">
        <v>346</v>
      </c>
      <c r="D130" s="2" t="s">
        <v>17</v>
      </c>
      <c r="E130" s="2" t="s">
        <v>132</v>
      </c>
      <c r="F130" s="2" t="s">
        <v>18</v>
      </c>
      <c r="G130" s="2" t="s">
        <v>113</v>
      </c>
      <c r="H130" s="2" t="s">
        <v>41</v>
      </c>
      <c r="I130" s="2" t="s">
        <v>42</v>
      </c>
      <c r="J130" s="3">
        <v>10</v>
      </c>
      <c r="K130" s="2" t="s">
        <v>28</v>
      </c>
      <c r="L130" s="3">
        <v>10</v>
      </c>
      <c r="M130" s="10">
        <v>371850</v>
      </c>
      <c r="N130" s="3">
        <v>0</v>
      </c>
      <c r="O130" s="2" t="s">
        <v>20</v>
      </c>
      <c r="P130" s="2" t="s">
        <v>21</v>
      </c>
      <c r="Q130" s="2" t="s">
        <v>22</v>
      </c>
    </row>
    <row r="131" spans="1:17" x14ac:dyDescent="0.25">
      <c r="A131" s="1">
        <v>46322</v>
      </c>
      <c r="B131" s="1">
        <v>46321</v>
      </c>
      <c r="C131" s="2" t="s">
        <v>347</v>
      </c>
      <c r="D131" s="2" t="s">
        <v>17</v>
      </c>
      <c r="E131" s="2" t="s">
        <v>348</v>
      </c>
      <c r="F131" s="2" t="s">
        <v>18</v>
      </c>
      <c r="G131" s="2" t="s">
        <v>175</v>
      </c>
      <c r="H131" s="2" t="s">
        <v>349</v>
      </c>
      <c r="I131" s="2" t="s">
        <v>350</v>
      </c>
      <c r="J131" s="3">
        <v>10</v>
      </c>
      <c r="K131" s="2" t="s">
        <v>28</v>
      </c>
      <c r="L131" s="3">
        <v>10</v>
      </c>
      <c r="M131" s="10">
        <v>418803</v>
      </c>
      <c r="N131" s="3">
        <v>0</v>
      </c>
      <c r="O131" s="2" t="s">
        <v>20</v>
      </c>
      <c r="P131" s="2" t="s">
        <v>21</v>
      </c>
      <c r="Q131" s="2" t="s">
        <v>22</v>
      </c>
    </row>
    <row r="132" spans="1:17" x14ac:dyDescent="0.25">
      <c r="A132" s="1">
        <v>46322</v>
      </c>
      <c r="B132" s="1">
        <v>46321</v>
      </c>
      <c r="C132" s="2" t="s">
        <v>351</v>
      </c>
      <c r="D132" s="2" t="s">
        <v>17</v>
      </c>
      <c r="E132" s="2" t="s">
        <v>352</v>
      </c>
      <c r="F132" s="2" t="s">
        <v>31</v>
      </c>
      <c r="G132" s="2" t="s">
        <v>247</v>
      </c>
      <c r="H132" s="2" t="s">
        <v>353</v>
      </c>
      <c r="I132" s="2" t="s">
        <v>354</v>
      </c>
      <c r="J132" s="3">
        <v>2</v>
      </c>
      <c r="K132" s="2" t="s">
        <v>64</v>
      </c>
      <c r="L132" s="3">
        <v>2</v>
      </c>
      <c r="M132" s="10">
        <v>220000</v>
      </c>
      <c r="N132" s="3">
        <v>0</v>
      </c>
      <c r="O132" s="2" t="s">
        <v>20</v>
      </c>
      <c r="P132" s="2" t="s">
        <v>21</v>
      </c>
      <c r="Q132" s="2" t="s">
        <v>22</v>
      </c>
    </row>
    <row r="133" spans="1:17" x14ac:dyDescent="0.25">
      <c r="A133" s="1">
        <v>46322</v>
      </c>
      <c r="B133" s="1">
        <v>46321</v>
      </c>
      <c r="C133" s="2" t="s">
        <v>351</v>
      </c>
      <c r="D133" s="2" t="s">
        <v>17</v>
      </c>
      <c r="E133" s="2" t="s">
        <v>352</v>
      </c>
      <c r="F133" s="2" t="s">
        <v>31</v>
      </c>
      <c r="G133" s="2" t="s">
        <v>247</v>
      </c>
      <c r="H133" s="2" t="s">
        <v>355</v>
      </c>
      <c r="I133" s="2" t="s">
        <v>356</v>
      </c>
      <c r="J133" s="3">
        <v>6</v>
      </c>
      <c r="K133" s="2" t="s">
        <v>64</v>
      </c>
      <c r="L133" s="3">
        <v>6</v>
      </c>
      <c r="M133" s="10">
        <v>210000.06</v>
      </c>
      <c r="N133" s="3">
        <v>0</v>
      </c>
      <c r="O133" s="2" t="s">
        <v>20</v>
      </c>
      <c r="P133" s="2" t="s">
        <v>21</v>
      </c>
      <c r="Q133" s="2" t="s">
        <v>22</v>
      </c>
    </row>
    <row r="134" spans="1:17" x14ac:dyDescent="0.25">
      <c r="A134" s="1">
        <v>46322</v>
      </c>
      <c r="B134" s="1">
        <v>46321</v>
      </c>
      <c r="C134" s="2" t="s">
        <v>351</v>
      </c>
      <c r="D134" s="2" t="s">
        <v>17</v>
      </c>
      <c r="E134" s="2" t="s">
        <v>352</v>
      </c>
      <c r="F134" s="2" t="s">
        <v>31</v>
      </c>
      <c r="G134" s="2" t="s">
        <v>247</v>
      </c>
      <c r="H134" s="2" t="s">
        <v>357</v>
      </c>
      <c r="I134" s="2" t="s">
        <v>358</v>
      </c>
      <c r="J134" s="3">
        <v>5</v>
      </c>
      <c r="K134" s="2" t="s">
        <v>64</v>
      </c>
      <c r="L134" s="3">
        <v>5</v>
      </c>
      <c r="M134" s="10">
        <v>177600</v>
      </c>
      <c r="N134" s="3">
        <v>0</v>
      </c>
      <c r="O134" s="2" t="s">
        <v>20</v>
      </c>
      <c r="P134" s="2" t="s">
        <v>21</v>
      </c>
      <c r="Q134" s="2" t="s">
        <v>22</v>
      </c>
    </row>
    <row r="135" spans="1:17" x14ac:dyDescent="0.25">
      <c r="A135" s="1">
        <v>46322</v>
      </c>
      <c r="B135" s="1">
        <v>46321</v>
      </c>
      <c r="C135" s="2" t="s">
        <v>351</v>
      </c>
      <c r="D135" s="2" t="s">
        <v>17</v>
      </c>
      <c r="E135" s="2" t="s">
        <v>352</v>
      </c>
      <c r="F135" s="2" t="s">
        <v>31</v>
      </c>
      <c r="G135" s="2" t="s">
        <v>247</v>
      </c>
      <c r="H135" s="2" t="s">
        <v>359</v>
      </c>
      <c r="I135" s="2" t="s">
        <v>360</v>
      </c>
      <c r="J135" s="3">
        <v>7</v>
      </c>
      <c r="K135" s="2" t="s">
        <v>64</v>
      </c>
      <c r="L135" s="3">
        <v>7</v>
      </c>
      <c r="M135" s="10">
        <v>350000.04</v>
      </c>
      <c r="N135" s="3">
        <v>0</v>
      </c>
      <c r="O135" s="2" t="s">
        <v>20</v>
      </c>
      <c r="P135" s="2" t="s">
        <v>21</v>
      </c>
      <c r="Q135" s="2" t="s">
        <v>22</v>
      </c>
    </row>
    <row r="136" spans="1:17" x14ac:dyDescent="0.25">
      <c r="A136" s="1">
        <v>46322</v>
      </c>
      <c r="B136" s="1">
        <v>46321</v>
      </c>
      <c r="C136" s="2" t="s">
        <v>351</v>
      </c>
      <c r="D136" s="2" t="s">
        <v>17</v>
      </c>
      <c r="E136" s="2" t="s">
        <v>352</v>
      </c>
      <c r="F136" s="2" t="s">
        <v>31</v>
      </c>
      <c r="G136" s="2" t="s">
        <v>247</v>
      </c>
      <c r="H136" s="2" t="s">
        <v>243</v>
      </c>
      <c r="I136" s="2" t="s">
        <v>244</v>
      </c>
      <c r="J136" s="3">
        <v>12</v>
      </c>
      <c r="K136" s="2" t="s">
        <v>64</v>
      </c>
      <c r="L136" s="3">
        <v>12</v>
      </c>
      <c r="M136" s="10">
        <v>600000.06000000006</v>
      </c>
      <c r="N136" s="3">
        <v>0</v>
      </c>
      <c r="O136" s="2" t="s">
        <v>20</v>
      </c>
      <c r="P136" s="2" t="s">
        <v>21</v>
      </c>
      <c r="Q136" s="2" t="s">
        <v>22</v>
      </c>
    </row>
    <row r="137" spans="1:17" x14ac:dyDescent="0.25">
      <c r="A137" s="1">
        <v>46322</v>
      </c>
      <c r="B137" s="1">
        <v>46321</v>
      </c>
      <c r="C137" s="2" t="s">
        <v>351</v>
      </c>
      <c r="D137" s="2" t="s">
        <v>17</v>
      </c>
      <c r="E137" s="2" t="s">
        <v>352</v>
      </c>
      <c r="F137" s="2" t="s">
        <v>31</v>
      </c>
      <c r="G137" s="2" t="s">
        <v>247</v>
      </c>
      <c r="H137" s="2" t="s">
        <v>361</v>
      </c>
      <c r="I137" s="2" t="s">
        <v>362</v>
      </c>
      <c r="J137" s="3">
        <v>10</v>
      </c>
      <c r="K137" s="2" t="s">
        <v>56</v>
      </c>
      <c r="L137" s="3">
        <v>10</v>
      </c>
      <c r="M137" s="10">
        <v>450000.11</v>
      </c>
      <c r="N137" s="3">
        <v>0</v>
      </c>
      <c r="O137" s="2" t="s">
        <v>20</v>
      </c>
      <c r="P137" s="2" t="s">
        <v>21</v>
      </c>
      <c r="Q137" s="2" t="s">
        <v>22</v>
      </c>
    </row>
    <row r="138" spans="1:17" x14ac:dyDescent="0.25">
      <c r="A138" s="1">
        <v>46322</v>
      </c>
      <c r="B138" s="1">
        <v>46321</v>
      </c>
      <c r="C138" s="2" t="s">
        <v>363</v>
      </c>
      <c r="D138" s="2" t="s">
        <v>17</v>
      </c>
      <c r="E138" s="2" t="s">
        <v>348</v>
      </c>
      <c r="F138" s="2" t="s">
        <v>18</v>
      </c>
      <c r="G138" s="2" t="s">
        <v>175</v>
      </c>
      <c r="H138" s="2" t="s">
        <v>349</v>
      </c>
      <c r="I138" s="2" t="s">
        <v>350</v>
      </c>
      <c r="J138" s="3">
        <v>10</v>
      </c>
      <c r="K138" s="2" t="s">
        <v>28</v>
      </c>
      <c r="L138" s="3">
        <v>10</v>
      </c>
      <c r="M138" s="10">
        <v>418803</v>
      </c>
      <c r="N138" s="3">
        <v>0</v>
      </c>
      <c r="O138" s="2" t="s">
        <v>20</v>
      </c>
      <c r="P138" s="2" t="s">
        <v>21</v>
      </c>
      <c r="Q138" s="2" t="s">
        <v>22</v>
      </c>
    </row>
    <row r="139" spans="1:17" x14ac:dyDescent="0.25">
      <c r="A139" s="1">
        <v>46322</v>
      </c>
      <c r="B139" s="1">
        <v>46321</v>
      </c>
      <c r="C139" s="2" t="s">
        <v>363</v>
      </c>
      <c r="D139" s="2" t="s">
        <v>17</v>
      </c>
      <c r="E139" s="2" t="s">
        <v>348</v>
      </c>
      <c r="F139" s="2" t="s">
        <v>18</v>
      </c>
      <c r="G139" s="2" t="s">
        <v>175</v>
      </c>
      <c r="H139" s="2" t="s">
        <v>176</v>
      </c>
      <c r="I139" s="2" t="s">
        <v>177</v>
      </c>
      <c r="J139" s="3">
        <v>10</v>
      </c>
      <c r="K139" s="2" t="s">
        <v>28</v>
      </c>
      <c r="L139" s="3">
        <v>10</v>
      </c>
      <c r="M139" s="10">
        <v>177311.4</v>
      </c>
      <c r="N139" s="3">
        <v>0</v>
      </c>
      <c r="O139" s="2" t="s">
        <v>20</v>
      </c>
      <c r="P139" s="2" t="s">
        <v>21</v>
      </c>
      <c r="Q139" s="2" t="s">
        <v>22</v>
      </c>
    </row>
    <row r="140" spans="1:17" x14ac:dyDescent="0.25">
      <c r="A140" s="1">
        <v>46322</v>
      </c>
      <c r="B140" s="1">
        <v>46321</v>
      </c>
      <c r="C140" s="2" t="s">
        <v>365</v>
      </c>
      <c r="D140" s="2" t="s">
        <v>17</v>
      </c>
      <c r="E140" s="2" t="s">
        <v>366</v>
      </c>
      <c r="F140" s="2" t="s">
        <v>18</v>
      </c>
      <c r="G140" s="2" t="s">
        <v>61</v>
      </c>
      <c r="H140" s="2" t="s">
        <v>149</v>
      </c>
      <c r="I140" s="2" t="s">
        <v>150</v>
      </c>
      <c r="J140" s="3">
        <v>4.5999999999999996</v>
      </c>
      <c r="K140" s="2" t="s">
        <v>28</v>
      </c>
      <c r="L140" s="3">
        <v>4.5999999999999996</v>
      </c>
      <c r="M140" s="10">
        <v>506000</v>
      </c>
      <c r="N140" s="3">
        <v>0</v>
      </c>
      <c r="O140" s="2" t="s">
        <v>20</v>
      </c>
      <c r="P140" s="2" t="s">
        <v>21</v>
      </c>
      <c r="Q140" s="2" t="s">
        <v>367</v>
      </c>
    </row>
    <row r="141" spans="1:17" x14ac:dyDescent="0.25">
      <c r="A141" s="1">
        <v>46322</v>
      </c>
      <c r="B141" s="1">
        <v>46321</v>
      </c>
      <c r="C141" s="2" t="s">
        <v>368</v>
      </c>
      <c r="D141" s="2" t="s">
        <v>17</v>
      </c>
      <c r="E141" s="2" t="s">
        <v>369</v>
      </c>
      <c r="F141" s="2" t="s">
        <v>18</v>
      </c>
      <c r="G141" s="2" t="s">
        <v>19</v>
      </c>
      <c r="H141" s="2" t="s">
        <v>249</v>
      </c>
      <c r="I141" s="2" t="s">
        <v>250</v>
      </c>
      <c r="J141" s="3">
        <v>2</v>
      </c>
      <c r="K141" s="2" t="s">
        <v>48</v>
      </c>
      <c r="L141" s="3">
        <v>2</v>
      </c>
      <c r="M141" s="10">
        <v>640000</v>
      </c>
      <c r="N141" s="3">
        <v>0</v>
      </c>
      <c r="O141" s="2" t="s">
        <v>20</v>
      </c>
      <c r="P141" s="2" t="s">
        <v>21</v>
      </c>
      <c r="Q141" s="2" t="s">
        <v>22</v>
      </c>
    </row>
    <row r="142" spans="1:17" x14ac:dyDescent="0.25">
      <c r="A142" s="1">
        <v>46322</v>
      </c>
      <c r="B142" s="1">
        <v>46321</v>
      </c>
      <c r="C142" s="2" t="s">
        <v>370</v>
      </c>
      <c r="D142" s="2" t="s">
        <v>17</v>
      </c>
      <c r="E142" s="2" t="s">
        <v>369</v>
      </c>
      <c r="F142" s="2" t="s">
        <v>18</v>
      </c>
      <c r="G142" s="2" t="s">
        <v>19</v>
      </c>
      <c r="H142" s="2" t="s">
        <v>371</v>
      </c>
      <c r="I142" s="2" t="s">
        <v>372</v>
      </c>
      <c r="J142" s="3">
        <v>25</v>
      </c>
      <c r="K142" s="2" t="s">
        <v>28</v>
      </c>
      <c r="L142" s="3">
        <v>25</v>
      </c>
      <c r="M142" s="10">
        <v>3174999.88</v>
      </c>
      <c r="N142" s="3">
        <v>0</v>
      </c>
      <c r="O142" s="2" t="s">
        <v>20</v>
      </c>
      <c r="P142" s="2" t="s">
        <v>21</v>
      </c>
      <c r="Q142" s="2" t="s">
        <v>22</v>
      </c>
    </row>
    <row r="143" spans="1:17" x14ac:dyDescent="0.25">
      <c r="A143" s="1">
        <v>46322</v>
      </c>
      <c r="B143" s="1">
        <v>46321</v>
      </c>
      <c r="C143" s="2" t="s">
        <v>373</v>
      </c>
      <c r="D143" s="2" t="s">
        <v>17</v>
      </c>
      <c r="E143" s="2" t="s">
        <v>374</v>
      </c>
      <c r="F143" s="2" t="s">
        <v>18</v>
      </c>
      <c r="G143" s="2" t="s">
        <v>148</v>
      </c>
      <c r="H143" s="2" t="s">
        <v>325</v>
      </c>
      <c r="I143" s="2" t="s">
        <v>326</v>
      </c>
      <c r="J143" s="3">
        <v>2</v>
      </c>
      <c r="K143" s="2" t="s">
        <v>48</v>
      </c>
      <c r="L143" s="3">
        <v>2</v>
      </c>
      <c r="M143" s="10">
        <v>609999.99</v>
      </c>
      <c r="N143" s="3">
        <v>0</v>
      </c>
      <c r="O143" s="2" t="s">
        <v>20</v>
      </c>
      <c r="P143" s="2" t="s">
        <v>21</v>
      </c>
      <c r="Q143" s="2" t="s">
        <v>22</v>
      </c>
    </row>
    <row r="144" spans="1:17" x14ac:dyDescent="0.25">
      <c r="A144" s="1">
        <v>46322</v>
      </c>
      <c r="B144" s="1">
        <v>46321</v>
      </c>
      <c r="C144" s="2" t="s">
        <v>375</v>
      </c>
      <c r="D144" s="2" t="s">
        <v>17</v>
      </c>
      <c r="E144" s="2" t="s">
        <v>322</v>
      </c>
      <c r="F144" s="2" t="s">
        <v>31</v>
      </c>
      <c r="G144" s="2" t="s">
        <v>234</v>
      </c>
      <c r="H144" s="2" t="s">
        <v>33</v>
      </c>
      <c r="I144" s="2" t="s">
        <v>34</v>
      </c>
      <c r="J144" s="3">
        <v>40</v>
      </c>
      <c r="K144" s="2" t="s">
        <v>28</v>
      </c>
      <c r="L144" s="3">
        <v>40</v>
      </c>
      <c r="M144" s="10">
        <v>666000</v>
      </c>
      <c r="N144" s="3">
        <v>0</v>
      </c>
      <c r="O144" s="2" t="s">
        <v>20</v>
      </c>
      <c r="P144" s="2" t="s">
        <v>21</v>
      </c>
      <c r="Q144" s="2" t="s">
        <v>22</v>
      </c>
    </row>
    <row r="145" spans="1:17" x14ac:dyDescent="0.25">
      <c r="A145" s="1">
        <v>46322</v>
      </c>
      <c r="B145" s="1">
        <v>46321</v>
      </c>
      <c r="C145" s="2" t="s">
        <v>376</v>
      </c>
      <c r="D145" s="2" t="s">
        <v>17</v>
      </c>
      <c r="E145" s="2" t="s">
        <v>377</v>
      </c>
      <c r="F145" s="2" t="s">
        <v>18</v>
      </c>
      <c r="G145" s="2" t="s">
        <v>32</v>
      </c>
      <c r="H145" s="2" t="s">
        <v>378</v>
      </c>
      <c r="I145" s="2" t="s">
        <v>379</v>
      </c>
      <c r="J145" s="3">
        <v>8</v>
      </c>
      <c r="K145" s="2" t="s">
        <v>28</v>
      </c>
      <c r="L145" s="3">
        <v>7.88</v>
      </c>
      <c r="M145" s="10">
        <v>1063800</v>
      </c>
      <c r="N145" s="3">
        <v>-0.12</v>
      </c>
      <c r="O145" s="2" t="s">
        <v>20</v>
      </c>
      <c r="P145" s="2" t="s">
        <v>21</v>
      </c>
      <c r="Q145" s="2" t="s">
        <v>22</v>
      </c>
    </row>
    <row r="146" spans="1:17" x14ac:dyDescent="0.25">
      <c r="A146" s="1">
        <v>46322</v>
      </c>
      <c r="B146" s="1">
        <v>46321</v>
      </c>
      <c r="C146" s="2" t="s">
        <v>380</v>
      </c>
      <c r="D146" s="2" t="s">
        <v>17</v>
      </c>
      <c r="E146" s="2" t="s">
        <v>381</v>
      </c>
      <c r="F146" s="2" t="s">
        <v>18</v>
      </c>
      <c r="G146" s="2" t="s">
        <v>25</v>
      </c>
      <c r="H146" s="2" t="s">
        <v>382</v>
      </c>
      <c r="I146" s="2" t="s">
        <v>383</v>
      </c>
      <c r="J146" s="3">
        <v>7</v>
      </c>
      <c r="K146" s="2" t="s">
        <v>28</v>
      </c>
      <c r="L146" s="3">
        <v>6.52</v>
      </c>
      <c r="M146" s="10">
        <v>4238000</v>
      </c>
      <c r="N146" s="3">
        <v>-0.48</v>
      </c>
      <c r="O146" s="2" t="s">
        <v>20</v>
      </c>
      <c r="P146" s="2" t="s">
        <v>21</v>
      </c>
      <c r="Q146" s="2" t="s">
        <v>384</v>
      </c>
    </row>
    <row r="147" spans="1:17" x14ac:dyDescent="0.25">
      <c r="A147" s="1">
        <v>46322</v>
      </c>
      <c r="B147" s="1">
        <v>46321</v>
      </c>
      <c r="C147" s="2" t="s">
        <v>385</v>
      </c>
      <c r="D147" s="2" t="s">
        <v>17</v>
      </c>
      <c r="E147" s="2" t="s">
        <v>386</v>
      </c>
      <c r="F147" s="2" t="s">
        <v>18</v>
      </c>
      <c r="G147" s="2" t="s">
        <v>148</v>
      </c>
      <c r="H147" s="2" t="s">
        <v>46</v>
      </c>
      <c r="I147" s="2" t="s">
        <v>47</v>
      </c>
      <c r="J147" s="3">
        <v>2</v>
      </c>
      <c r="K147" s="2" t="s">
        <v>48</v>
      </c>
      <c r="L147" s="3">
        <v>2</v>
      </c>
      <c r="M147" s="10">
        <v>710400</v>
      </c>
      <c r="N147" s="3">
        <v>0</v>
      </c>
      <c r="O147" s="2" t="s">
        <v>20</v>
      </c>
      <c r="P147" s="2" t="s">
        <v>21</v>
      </c>
      <c r="Q147" s="2" t="s">
        <v>22</v>
      </c>
    </row>
    <row r="148" spans="1:17" x14ac:dyDescent="0.25">
      <c r="A148" s="1">
        <v>46322</v>
      </c>
      <c r="B148" s="1">
        <v>46321</v>
      </c>
      <c r="C148" s="2" t="s">
        <v>385</v>
      </c>
      <c r="D148" s="2" t="s">
        <v>17</v>
      </c>
      <c r="E148" s="2" t="s">
        <v>386</v>
      </c>
      <c r="F148" s="2" t="s">
        <v>18</v>
      </c>
      <c r="G148" s="2" t="s">
        <v>148</v>
      </c>
      <c r="H148" s="2" t="s">
        <v>95</v>
      </c>
      <c r="I148" s="2" t="s">
        <v>96</v>
      </c>
      <c r="J148" s="3">
        <v>4</v>
      </c>
      <c r="K148" s="2" t="s">
        <v>48</v>
      </c>
      <c r="L148" s="3">
        <v>4</v>
      </c>
      <c r="M148" s="10">
        <v>1200000</v>
      </c>
      <c r="N148" s="3">
        <v>0</v>
      </c>
      <c r="O148" s="2" t="s">
        <v>20</v>
      </c>
      <c r="P148" s="2" t="s">
        <v>21</v>
      </c>
      <c r="Q148" s="2" t="s">
        <v>22</v>
      </c>
    </row>
    <row r="149" spans="1:17" x14ac:dyDescent="0.25">
      <c r="A149" s="1">
        <v>46322</v>
      </c>
      <c r="B149" s="1">
        <v>46321</v>
      </c>
      <c r="C149" s="2" t="s">
        <v>387</v>
      </c>
      <c r="D149" s="2" t="s">
        <v>17</v>
      </c>
      <c r="E149" s="2" t="s">
        <v>388</v>
      </c>
      <c r="F149" s="2" t="s">
        <v>31</v>
      </c>
      <c r="G149" s="2" t="s">
        <v>67</v>
      </c>
      <c r="H149" s="2" t="s">
        <v>46</v>
      </c>
      <c r="I149" s="2" t="s">
        <v>47</v>
      </c>
      <c r="J149" s="3">
        <v>5</v>
      </c>
      <c r="K149" s="2" t="s">
        <v>48</v>
      </c>
      <c r="L149" s="3">
        <v>5</v>
      </c>
      <c r="M149" s="10">
        <v>1625000</v>
      </c>
      <c r="N149" s="3">
        <v>0</v>
      </c>
      <c r="O149" s="2" t="s">
        <v>20</v>
      </c>
      <c r="P149" s="2" t="s">
        <v>21</v>
      </c>
      <c r="Q149" s="2" t="s">
        <v>22</v>
      </c>
    </row>
    <row r="150" spans="1:17" x14ac:dyDescent="0.25">
      <c r="A150" s="1">
        <v>46322</v>
      </c>
      <c r="B150" s="1">
        <v>46321</v>
      </c>
      <c r="C150" s="2" t="s">
        <v>389</v>
      </c>
      <c r="D150" s="2" t="s">
        <v>17</v>
      </c>
      <c r="E150" s="2" t="s">
        <v>390</v>
      </c>
      <c r="F150" s="2" t="s">
        <v>18</v>
      </c>
      <c r="G150" s="2" t="s">
        <v>229</v>
      </c>
      <c r="H150" s="2" t="s">
        <v>391</v>
      </c>
      <c r="I150" s="2" t="s">
        <v>392</v>
      </c>
      <c r="J150" s="3">
        <v>25</v>
      </c>
      <c r="K150" s="2" t="s">
        <v>28</v>
      </c>
      <c r="L150" s="3">
        <v>25</v>
      </c>
      <c r="M150" s="10">
        <v>4125000.04</v>
      </c>
      <c r="N150" s="3">
        <v>0</v>
      </c>
      <c r="O150" s="2" t="s">
        <v>20</v>
      </c>
      <c r="P150" s="2" t="s">
        <v>21</v>
      </c>
      <c r="Q150" s="2" t="s">
        <v>22</v>
      </c>
    </row>
    <row r="151" spans="1:17" x14ac:dyDescent="0.25">
      <c r="A151" s="1">
        <v>46322</v>
      </c>
      <c r="B151" s="1">
        <v>46321</v>
      </c>
      <c r="C151" s="2" t="s">
        <v>393</v>
      </c>
      <c r="D151" s="2" t="s">
        <v>17</v>
      </c>
      <c r="E151" s="2" t="s">
        <v>394</v>
      </c>
      <c r="F151" s="2" t="s">
        <v>18</v>
      </c>
      <c r="G151" s="2" t="s">
        <v>148</v>
      </c>
      <c r="H151" s="2" t="s">
        <v>26</v>
      </c>
      <c r="I151" s="2" t="s">
        <v>27</v>
      </c>
      <c r="J151" s="3">
        <v>10</v>
      </c>
      <c r="K151" s="2" t="s">
        <v>28</v>
      </c>
      <c r="L151" s="3">
        <v>10</v>
      </c>
      <c r="M151" s="10">
        <v>1050000</v>
      </c>
      <c r="N151" s="3">
        <v>0</v>
      </c>
      <c r="O151" s="2" t="s">
        <v>20</v>
      </c>
      <c r="P151" s="2" t="s">
        <v>21</v>
      </c>
      <c r="Q151" s="2" t="s">
        <v>22</v>
      </c>
    </row>
    <row r="152" spans="1:17" x14ac:dyDescent="0.25">
      <c r="A152" s="1">
        <v>46322</v>
      </c>
      <c r="B152" s="1">
        <v>46321</v>
      </c>
      <c r="C152" s="2" t="s">
        <v>395</v>
      </c>
      <c r="D152" s="2" t="s">
        <v>17</v>
      </c>
      <c r="E152" s="2" t="s">
        <v>396</v>
      </c>
      <c r="F152" s="2" t="s">
        <v>18</v>
      </c>
      <c r="G152" s="2" t="s">
        <v>220</v>
      </c>
      <c r="H152" s="2" t="s">
        <v>129</v>
      </c>
      <c r="I152" s="2" t="s">
        <v>130</v>
      </c>
      <c r="J152" s="3">
        <v>3</v>
      </c>
      <c r="K152" s="2" t="s">
        <v>48</v>
      </c>
      <c r="L152" s="3">
        <v>3</v>
      </c>
      <c r="M152" s="10">
        <v>1831500</v>
      </c>
      <c r="N152" s="3">
        <v>0</v>
      </c>
      <c r="O152" s="2" t="s">
        <v>20</v>
      </c>
      <c r="P152" s="2" t="s">
        <v>21</v>
      </c>
      <c r="Q152" s="2" t="s">
        <v>22</v>
      </c>
    </row>
    <row r="153" spans="1:17" x14ac:dyDescent="0.25">
      <c r="A153" s="1">
        <v>46322</v>
      </c>
      <c r="B153" s="1">
        <v>46321</v>
      </c>
      <c r="C153" s="2" t="s">
        <v>397</v>
      </c>
      <c r="D153" s="2" t="s">
        <v>17</v>
      </c>
      <c r="E153" s="2" t="s">
        <v>398</v>
      </c>
      <c r="F153" s="2" t="s">
        <v>31</v>
      </c>
      <c r="G153" s="2" t="s">
        <v>113</v>
      </c>
      <c r="H153" s="2" t="s">
        <v>149</v>
      </c>
      <c r="I153" s="2" t="s">
        <v>150</v>
      </c>
      <c r="J153" s="3">
        <v>2.2999999999999998</v>
      </c>
      <c r="K153" s="2" t="s">
        <v>28</v>
      </c>
      <c r="L153" s="3">
        <v>2.2999999999999998</v>
      </c>
      <c r="M153" s="10">
        <v>220800.01</v>
      </c>
      <c r="N153" s="3">
        <v>0</v>
      </c>
      <c r="O153" s="2" t="s">
        <v>20</v>
      </c>
      <c r="P153" s="2" t="s">
        <v>21</v>
      </c>
      <c r="Q153" s="2" t="s">
        <v>399</v>
      </c>
    </row>
    <row r="154" spans="1:17" x14ac:dyDescent="0.25">
      <c r="A154" s="1">
        <v>46322</v>
      </c>
      <c r="B154" s="1">
        <v>46321</v>
      </c>
      <c r="C154" s="2" t="s">
        <v>400</v>
      </c>
      <c r="D154" s="2" t="s">
        <v>17</v>
      </c>
      <c r="E154" s="2" t="s">
        <v>401</v>
      </c>
      <c r="F154" s="2" t="s">
        <v>31</v>
      </c>
      <c r="G154" s="2" t="s">
        <v>113</v>
      </c>
      <c r="H154" s="2" t="s">
        <v>46</v>
      </c>
      <c r="I154" s="2" t="s">
        <v>47</v>
      </c>
      <c r="J154" s="3">
        <v>1</v>
      </c>
      <c r="K154" s="2" t="s">
        <v>48</v>
      </c>
      <c r="L154" s="3">
        <v>1</v>
      </c>
      <c r="M154" s="10">
        <v>330000</v>
      </c>
      <c r="N154" s="3">
        <v>0</v>
      </c>
      <c r="O154" s="2" t="s">
        <v>20</v>
      </c>
      <c r="P154" s="2" t="s">
        <v>21</v>
      </c>
      <c r="Q154" s="2" t="s">
        <v>22</v>
      </c>
    </row>
    <row r="155" spans="1:17" x14ac:dyDescent="0.25">
      <c r="A155" s="1">
        <v>46322</v>
      </c>
      <c r="B155" s="1">
        <v>46321</v>
      </c>
      <c r="C155" s="2" t="s">
        <v>402</v>
      </c>
      <c r="D155" s="2" t="s">
        <v>17</v>
      </c>
      <c r="E155" s="2" t="s">
        <v>403</v>
      </c>
      <c r="F155" s="2" t="s">
        <v>31</v>
      </c>
      <c r="G155" s="2" t="s">
        <v>220</v>
      </c>
      <c r="H155" s="2" t="s">
        <v>33</v>
      </c>
      <c r="I155" s="2" t="s">
        <v>34</v>
      </c>
      <c r="J155" s="3">
        <v>20</v>
      </c>
      <c r="K155" s="2" t="s">
        <v>28</v>
      </c>
      <c r="L155" s="3">
        <v>20</v>
      </c>
      <c r="M155" s="10">
        <v>310000.13</v>
      </c>
      <c r="N155" s="3">
        <v>0</v>
      </c>
      <c r="O155" s="2" t="s">
        <v>20</v>
      </c>
      <c r="P155" s="2" t="s">
        <v>21</v>
      </c>
      <c r="Q155" s="2" t="s">
        <v>22</v>
      </c>
    </row>
    <row r="156" spans="1:17" x14ac:dyDescent="0.25">
      <c r="A156" s="1">
        <v>46322</v>
      </c>
      <c r="B156" s="1">
        <v>46321</v>
      </c>
      <c r="C156" s="2" t="s">
        <v>404</v>
      </c>
      <c r="D156" s="2" t="s">
        <v>17</v>
      </c>
      <c r="E156" s="2" t="s">
        <v>405</v>
      </c>
      <c r="F156" s="2" t="s">
        <v>18</v>
      </c>
      <c r="G156" s="2" t="s">
        <v>148</v>
      </c>
      <c r="H156" s="2" t="s">
        <v>41</v>
      </c>
      <c r="I156" s="2" t="s">
        <v>42</v>
      </c>
      <c r="J156" s="3">
        <v>20</v>
      </c>
      <c r="K156" s="2" t="s">
        <v>28</v>
      </c>
      <c r="L156" s="3">
        <v>20</v>
      </c>
      <c r="M156" s="10">
        <v>743700</v>
      </c>
      <c r="N156" s="3">
        <v>0</v>
      </c>
      <c r="O156" s="2" t="s">
        <v>20</v>
      </c>
      <c r="P156" s="2" t="s">
        <v>21</v>
      </c>
      <c r="Q156" s="2" t="s">
        <v>22</v>
      </c>
    </row>
    <row r="157" spans="1:17" x14ac:dyDescent="0.25">
      <c r="A157" s="1">
        <v>46322</v>
      </c>
      <c r="B157" s="1">
        <v>46321</v>
      </c>
      <c r="C157" s="2" t="s">
        <v>406</v>
      </c>
      <c r="D157" s="2" t="s">
        <v>17</v>
      </c>
      <c r="E157" s="2" t="s">
        <v>407</v>
      </c>
      <c r="F157" s="2" t="s">
        <v>18</v>
      </c>
      <c r="G157" s="2" t="s">
        <v>160</v>
      </c>
      <c r="H157" s="2" t="s">
        <v>170</v>
      </c>
      <c r="I157" s="2" t="s">
        <v>171</v>
      </c>
      <c r="J157" s="3">
        <v>16</v>
      </c>
      <c r="K157" s="2" t="s">
        <v>56</v>
      </c>
      <c r="L157" s="3">
        <v>16</v>
      </c>
      <c r="M157" s="10">
        <v>1583999.99</v>
      </c>
      <c r="N157" s="3">
        <v>0</v>
      </c>
      <c r="O157" s="2" t="s">
        <v>20</v>
      </c>
      <c r="P157" s="2" t="s">
        <v>21</v>
      </c>
      <c r="Q157" s="2" t="s">
        <v>22</v>
      </c>
    </row>
    <row r="158" spans="1:17" x14ac:dyDescent="0.25">
      <c r="A158" s="1">
        <v>46322</v>
      </c>
      <c r="B158" s="1">
        <v>46321</v>
      </c>
      <c r="C158" s="2" t="s">
        <v>408</v>
      </c>
      <c r="D158" s="2" t="s">
        <v>17</v>
      </c>
      <c r="E158" s="2" t="s">
        <v>345</v>
      </c>
      <c r="F158" s="2" t="s">
        <v>18</v>
      </c>
      <c r="G158" s="2" t="s">
        <v>247</v>
      </c>
      <c r="H158" s="2" t="s">
        <v>409</v>
      </c>
      <c r="I158" s="2" t="s">
        <v>410</v>
      </c>
      <c r="J158" s="3">
        <v>10</v>
      </c>
      <c r="K158" s="2" t="s">
        <v>116</v>
      </c>
      <c r="L158" s="3">
        <v>10</v>
      </c>
      <c r="M158" s="10">
        <v>1210000.01</v>
      </c>
      <c r="N158" s="3">
        <v>0</v>
      </c>
      <c r="O158" s="2" t="s">
        <v>20</v>
      </c>
      <c r="P158" s="2" t="s">
        <v>21</v>
      </c>
      <c r="Q158" s="2" t="s">
        <v>411</v>
      </c>
    </row>
    <row r="159" spans="1:17" x14ac:dyDescent="0.25">
      <c r="A159" s="1">
        <v>46322</v>
      </c>
      <c r="B159" s="1">
        <v>46321</v>
      </c>
      <c r="C159" s="2" t="s">
        <v>408</v>
      </c>
      <c r="D159" s="2" t="s">
        <v>17</v>
      </c>
      <c r="E159" s="2" t="s">
        <v>345</v>
      </c>
      <c r="F159" s="2" t="s">
        <v>18</v>
      </c>
      <c r="G159" s="2" t="s">
        <v>247</v>
      </c>
      <c r="H159" s="2" t="s">
        <v>105</v>
      </c>
      <c r="I159" s="2" t="s">
        <v>106</v>
      </c>
      <c r="J159" s="3">
        <v>12</v>
      </c>
      <c r="K159" s="2" t="s">
        <v>64</v>
      </c>
      <c r="L159" s="3">
        <v>12</v>
      </c>
      <c r="M159" s="10">
        <v>539460</v>
      </c>
      <c r="N159" s="3">
        <v>0</v>
      </c>
      <c r="O159" s="2" t="s">
        <v>20</v>
      </c>
      <c r="P159" s="2" t="s">
        <v>21</v>
      </c>
      <c r="Q159" s="2" t="s">
        <v>411</v>
      </c>
    </row>
    <row r="160" spans="1:17" x14ac:dyDescent="0.25">
      <c r="A160" s="1">
        <v>46322</v>
      </c>
      <c r="B160" s="1">
        <v>46321</v>
      </c>
      <c r="C160" s="2" t="s">
        <v>408</v>
      </c>
      <c r="D160" s="2" t="s">
        <v>17</v>
      </c>
      <c r="E160" s="2" t="s">
        <v>345</v>
      </c>
      <c r="F160" s="2" t="s">
        <v>18</v>
      </c>
      <c r="G160" s="2" t="s">
        <v>247</v>
      </c>
      <c r="H160" s="2" t="s">
        <v>62</v>
      </c>
      <c r="I160" s="2" t="s">
        <v>63</v>
      </c>
      <c r="J160" s="3">
        <v>36</v>
      </c>
      <c r="K160" s="2" t="s">
        <v>64</v>
      </c>
      <c r="L160" s="3">
        <v>36</v>
      </c>
      <c r="M160" s="10">
        <v>1818180</v>
      </c>
      <c r="N160" s="3">
        <v>0</v>
      </c>
      <c r="O160" s="2" t="s">
        <v>20</v>
      </c>
      <c r="P160" s="2" t="s">
        <v>21</v>
      </c>
      <c r="Q160" s="2" t="s">
        <v>411</v>
      </c>
    </row>
    <row r="161" spans="1:17" x14ac:dyDescent="0.25">
      <c r="A161" s="1">
        <v>46322</v>
      </c>
      <c r="B161" s="1">
        <v>46321</v>
      </c>
      <c r="C161" s="2" t="s">
        <v>408</v>
      </c>
      <c r="D161" s="2" t="s">
        <v>17</v>
      </c>
      <c r="E161" s="2" t="s">
        <v>345</v>
      </c>
      <c r="F161" s="2" t="s">
        <v>18</v>
      </c>
      <c r="G161" s="2" t="s">
        <v>247</v>
      </c>
      <c r="H161" s="2" t="s">
        <v>95</v>
      </c>
      <c r="I161" s="2" t="s">
        <v>96</v>
      </c>
      <c r="J161" s="3">
        <v>5</v>
      </c>
      <c r="K161" s="2" t="s">
        <v>48</v>
      </c>
      <c r="L161" s="3">
        <v>5</v>
      </c>
      <c r="M161" s="10">
        <v>1435000.01</v>
      </c>
      <c r="N161" s="3">
        <v>0</v>
      </c>
      <c r="O161" s="2" t="s">
        <v>20</v>
      </c>
      <c r="P161" s="2" t="s">
        <v>21</v>
      </c>
      <c r="Q161" s="2" t="s">
        <v>411</v>
      </c>
    </row>
    <row r="162" spans="1:17" x14ac:dyDescent="0.25">
      <c r="A162" s="1">
        <v>46322</v>
      </c>
      <c r="B162" s="1">
        <v>46321</v>
      </c>
      <c r="C162" s="2" t="s">
        <v>408</v>
      </c>
      <c r="D162" s="2" t="s">
        <v>17</v>
      </c>
      <c r="E162" s="2" t="s">
        <v>345</v>
      </c>
      <c r="F162" s="2" t="s">
        <v>18</v>
      </c>
      <c r="G162" s="2" t="s">
        <v>247</v>
      </c>
      <c r="H162" s="2" t="s">
        <v>412</v>
      </c>
      <c r="I162" s="2" t="s">
        <v>413</v>
      </c>
      <c r="J162" s="3">
        <v>240</v>
      </c>
      <c r="K162" s="2" t="s">
        <v>414</v>
      </c>
      <c r="L162" s="3">
        <v>240</v>
      </c>
      <c r="M162" s="10">
        <v>1065600</v>
      </c>
      <c r="N162" s="3">
        <v>0</v>
      </c>
      <c r="O162" s="2" t="s">
        <v>20</v>
      </c>
      <c r="P162" s="2" t="s">
        <v>21</v>
      </c>
      <c r="Q162" s="2" t="s">
        <v>411</v>
      </c>
    </row>
    <row r="163" spans="1:17" x14ac:dyDescent="0.25">
      <c r="A163" s="1">
        <v>46322</v>
      </c>
      <c r="B163" s="1">
        <v>46321</v>
      </c>
      <c r="C163" s="2" t="s">
        <v>415</v>
      </c>
      <c r="D163" s="2" t="s">
        <v>17</v>
      </c>
      <c r="E163" s="2" t="s">
        <v>345</v>
      </c>
      <c r="F163" s="2" t="s">
        <v>18</v>
      </c>
      <c r="G163" s="2" t="s">
        <v>247</v>
      </c>
      <c r="H163" s="2" t="s">
        <v>391</v>
      </c>
      <c r="I163" s="2" t="s">
        <v>392</v>
      </c>
      <c r="J163" s="3">
        <v>25</v>
      </c>
      <c r="K163" s="2" t="s">
        <v>28</v>
      </c>
      <c r="L163" s="3">
        <v>25</v>
      </c>
      <c r="M163" s="10">
        <v>4000000.16</v>
      </c>
      <c r="N163" s="3">
        <v>0</v>
      </c>
      <c r="O163" s="2" t="s">
        <v>20</v>
      </c>
      <c r="P163" s="2" t="s">
        <v>21</v>
      </c>
      <c r="Q163" s="2" t="s">
        <v>411</v>
      </c>
    </row>
    <row r="164" spans="1:17" x14ac:dyDescent="0.25">
      <c r="A164" s="1">
        <v>46322</v>
      </c>
      <c r="B164" s="1">
        <v>46321</v>
      </c>
      <c r="C164" s="2" t="s">
        <v>416</v>
      </c>
      <c r="D164" s="2" t="s">
        <v>17</v>
      </c>
      <c r="E164" s="2" t="s">
        <v>417</v>
      </c>
      <c r="F164" s="2" t="s">
        <v>18</v>
      </c>
      <c r="G164" s="2" t="s">
        <v>160</v>
      </c>
      <c r="H164" s="2" t="s">
        <v>418</v>
      </c>
      <c r="I164" s="2" t="s">
        <v>419</v>
      </c>
      <c r="J164" s="3">
        <v>48</v>
      </c>
      <c r="K164" s="2" t="s">
        <v>56</v>
      </c>
      <c r="L164" s="3">
        <v>48</v>
      </c>
      <c r="M164" s="10">
        <v>2160000.5</v>
      </c>
      <c r="N164" s="3">
        <v>0</v>
      </c>
      <c r="O164" s="2" t="s">
        <v>20</v>
      </c>
      <c r="P164" s="2" t="s">
        <v>21</v>
      </c>
      <c r="Q164" s="2" t="s">
        <v>22</v>
      </c>
    </row>
    <row r="165" spans="1:17" x14ac:dyDescent="0.25">
      <c r="A165" s="1">
        <v>46322</v>
      </c>
      <c r="B165" s="1">
        <v>46321</v>
      </c>
      <c r="C165" s="2" t="s">
        <v>416</v>
      </c>
      <c r="D165" s="2" t="s">
        <v>17</v>
      </c>
      <c r="E165" s="2" t="s">
        <v>417</v>
      </c>
      <c r="F165" s="2" t="s">
        <v>18</v>
      </c>
      <c r="G165" s="2" t="s">
        <v>160</v>
      </c>
      <c r="H165" s="2" t="s">
        <v>195</v>
      </c>
      <c r="I165" s="2" t="s">
        <v>196</v>
      </c>
      <c r="J165" s="3">
        <v>12</v>
      </c>
      <c r="K165" s="2" t="s">
        <v>56</v>
      </c>
      <c r="L165" s="3">
        <v>12</v>
      </c>
      <c r="M165" s="10">
        <v>1165200.03</v>
      </c>
      <c r="N165" s="3">
        <v>0</v>
      </c>
      <c r="O165" s="2" t="s">
        <v>20</v>
      </c>
      <c r="P165" s="2" t="s">
        <v>21</v>
      </c>
      <c r="Q165" s="2" t="s">
        <v>22</v>
      </c>
    </row>
    <row r="166" spans="1:17" x14ac:dyDescent="0.25">
      <c r="A166" s="1">
        <v>46322</v>
      </c>
      <c r="B166" s="1">
        <v>46321</v>
      </c>
      <c r="C166" s="2" t="s">
        <v>416</v>
      </c>
      <c r="D166" s="2" t="s">
        <v>17</v>
      </c>
      <c r="E166" s="2" t="s">
        <v>417</v>
      </c>
      <c r="F166" s="2" t="s">
        <v>18</v>
      </c>
      <c r="G166" s="2" t="s">
        <v>160</v>
      </c>
      <c r="H166" s="2" t="s">
        <v>170</v>
      </c>
      <c r="I166" s="2" t="s">
        <v>171</v>
      </c>
      <c r="J166" s="3">
        <v>32</v>
      </c>
      <c r="K166" s="2" t="s">
        <v>56</v>
      </c>
      <c r="L166" s="3">
        <v>32</v>
      </c>
      <c r="M166" s="10">
        <v>3360000.2</v>
      </c>
      <c r="N166" s="3">
        <v>0</v>
      </c>
      <c r="O166" s="2" t="s">
        <v>20</v>
      </c>
      <c r="P166" s="2" t="s">
        <v>21</v>
      </c>
      <c r="Q166" s="2" t="s">
        <v>22</v>
      </c>
    </row>
    <row r="167" spans="1:17" x14ac:dyDescent="0.25">
      <c r="A167" s="1">
        <v>46322</v>
      </c>
      <c r="B167" s="1">
        <v>46321</v>
      </c>
      <c r="C167" s="2" t="s">
        <v>420</v>
      </c>
      <c r="D167" s="2" t="s">
        <v>17</v>
      </c>
      <c r="E167" s="2" t="s">
        <v>421</v>
      </c>
      <c r="F167" s="2" t="s">
        <v>18</v>
      </c>
      <c r="G167" s="2" t="s">
        <v>61</v>
      </c>
      <c r="H167" s="2" t="s">
        <v>46</v>
      </c>
      <c r="I167" s="2" t="s">
        <v>47</v>
      </c>
      <c r="J167" s="3">
        <v>3</v>
      </c>
      <c r="K167" s="2" t="s">
        <v>48</v>
      </c>
      <c r="L167" s="3">
        <v>3</v>
      </c>
      <c r="M167" s="10">
        <v>990000.01</v>
      </c>
      <c r="N167" s="3">
        <v>0</v>
      </c>
      <c r="O167" s="2" t="s">
        <v>20</v>
      </c>
      <c r="P167" s="2" t="s">
        <v>21</v>
      </c>
      <c r="Q167" s="2" t="s">
        <v>22</v>
      </c>
    </row>
    <row r="168" spans="1:17" x14ac:dyDescent="0.25">
      <c r="A168" s="1">
        <v>46322</v>
      </c>
      <c r="B168" s="1">
        <v>46321</v>
      </c>
      <c r="C168" s="2" t="s">
        <v>422</v>
      </c>
      <c r="D168" s="2" t="s">
        <v>17</v>
      </c>
      <c r="E168" s="2" t="s">
        <v>423</v>
      </c>
      <c r="F168" s="2" t="s">
        <v>18</v>
      </c>
      <c r="G168" s="2" t="s">
        <v>424</v>
      </c>
      <c r="H168" s="2" t="s">
        <v>425</v>
      </c>
      <c r="I168" s="2" t="s">
        <v>426</v>
      </c>
      <c r="J168" s="3">
        <v>12</v>
      </c>
      <c r="K168" s="2" t="s">
        <v>427</v>
      </c>
      <c r="L168" s="3">
        <v>12</v>
      </c>
      <c r="M168" s="10">
        <v>237000</v>
      </c>
      <c r="N168" s="3">
        <v>0</v>
      </c>
      <c r="O168" s="2" t="s">
        <v>20</v>
      </c>
      <c r="P168" s="2" t="s">
        <v>21</v>
      </c>
      <c r="Q168" s="2" t="s">
        <v>22</v>
      </c>
    </row>
    <row r="169" spans="1:17" x14ac:dyDescent="0.25">
      <c r="A169" s="1">
        <v>46322</v>
      </c>
      <c r="B169" s="1">
        <v>46321</v>
      </c>
      <c r="C169" s="2" t="s">
        <v>422</v>
      </c>
      <c r="D169" s="2" t="s">
        <v>17</v>
      </c>
      <c r="E169" s="2" t="s">
        <v>423</v>
      </c>
      <c r="F169" s="2" t="s">
        <v>18</v>
      </c>
      <c r="G169" s="2" t="s">
        <v>53</v>
      </c>
      <c r="H169" s="2" t="s">
        <v>428</v>
      </c>
      <c r="I169" s="2" t="s">
        <v>429</v>
      </c>
      <c r="J169" s="3">
        <v>3</v>
      </c>
      <c r="K169" s="2" t="s">
        <v>56</v>
      </c>
      <c r="L169" s="3">
        <v>3</v>
      </c>
      <c r="M169" s="10">
        <v>267000</v>
      </c>
      <c r="N169" s="3">
        <v>0</v>
      </c>
      <c r="O169" s="2" t="s">
        <v>20</v>
      </c>
      <c r="P169" s="2" t="s">
        <v>21</v>
      </c>
      <c r="Q169" s="2" t="s">
        <v>22</v>
      </c>
    </row>
    <row r="170" spans="1:17" x14ac:dyDescent="0.25">
      <c r="A170" s="1">
        <v>46322</v>
      </c>
      <c r="B170" s="1">
        <v>46321</v>
      </c>
      <c r="C170" s="2" t="s">
        <v>431</v>
      </c>
      <c r="D170" s="2" t="s">
        <v>17</v>
      </c>
      <c r="E170" s="2" t="s">
        <v>432</v>
      </c>
      <c r="F170" s="2" t="s">
        <v>18</v>
      </c>
      <c r="G170" s="2" t="s">
        <v>424</v>
      </c>
      <c r="H170" s="2" t="s">
        <v>433</v>
      </c>
      <c r="I170" s="2" t="s">
        <v>434</v>
      </c>
      <c r="J170" s="3">
        <v>6</v>
      </c>
      <c r="K170" s="2" t="s">
        <v>28</v>
      </c>
      <c r="L170" s="3">
        <v>6.62</v>
      </c>
      <c r="M170" s="10">
        <v>1112160</v>
      </c>
      <c r="N170" s="3">
        <v>0.62</v>
      </c>
      <c r="O170" s="2" t="s">
        <v>20</v>
      </c>
      <c r="P170" s="2" t="s">
        <v>21</v>
      </c>
      <c r="Q170" s="2" t="s">
        <v>22</v>
      </c>
    </row>
    <row r="171" spans="1:17" x14ac:dyDescent="0.25">
      <c r="A171" s="1">
        <v>46322</v>
      </c>
      <c r="B171" s="1">
        <v>46321</v>
      </c>
      <c r="C171" s="2" t="s">
        <v>435</v>
      </c>
      <c r="D171" s="2" t="s">
        <v>17</v>
      </c>
      <c r="E171" s="2" t="s">
        <v>436</v>
      </c>
      <c r="F171" s="2" t="s">
        <v>18</v>
      </c>
      <c r="G171" s="2" t="s">
        <v>148</v>
      </c>
      <c r="H171" s="2" t="s">
        <v>62</v>
      </c>
      <c r="I171" s="2" t="s">
        <v>63</v>
      </c>
      <c r="J171" s="3">
        <v>1</v>
      </c>
      <c r="K171" s="2" t="s">
        <v>64</v>
      </c>
      <c r="L171" s="3">
        <v>1</v>
      </c>
      <c r="M171" s="10">
        <v>50505</v>
      </c>
      <c r="N171" s="3">
        <v>0</v>
      </c>
      <c r="O171" s="2" t="s">
        <v>20</v>
      </c>
      <c r="P171" s="2" t="s">
        <v>21</v>
      </c>
      <c r="Q171" s="2" t="s">
        <v>22</v>
      </c>
    </row>
    <row r="172" spans="1:17" x14ac:dyDescent="0.25">
      <c r="A172" s="1">
        <v>46322</v>
      </c>
      <c r="B172" s="1">
        <v>46321</v>
      </c>
      <c r="C172" s="2" t="s">
        <v>437</v>
      </c>
      <c r="D172" s="2" t="s">
        <v>17</v>
      </c>
      <c r="E172" s="2" t="s">
        <v>438</v>
      </c>
      <c r="F172" s="2" t="s">
        <v>18</v>
      </c>
      <c r="G172" s="2" t="s">
        <v>229</v>
      </c>
      <c r="H172" s="2" t="s">
        <v>249</v>
      </c>
      <c r="I172" s="2" t="s">
        <v>250</v>
      </c>
      <c r="J172" s="3">
        <v>4</v>
      </c>
      <c r="K172" s="2" t="s">
        <v>48</v>
      </c>
      <c r="L172" s="3">
        <v>4</v>
      </c>
      <c r="M172" s="10">
        <v>1309800</v>
      </c>
      <c r="N172" s="3">
        <v>0</v>
      </c>
      <c r="O172" s="2" t="s">
        <v>20</v>
      </c>
      <c r="P172" s="2" t="s">
        <v>21</v>
      </c>
      <c r="Q172" s="2" t="s">
        <v>22</v>
      </c>
    </row>
    <row r="173" spans="1:17" x14ac:dyDescent="0.25">
      <c r="A173" s="1">
        <v>46322</v>
      </c>
      <c r="B173" s="1">
        <v>46321</v>
      </c>
      <c r="C173" s="2" t="s">
        <v>439</v>
      </c>
      <c r="D173" s="2" t="s">
        <v>17</v>
      </c>
      <c r="E173" s="2" t="s">
        <v>436</v>
      </c>
      <c r="F173" s="2" t="s">
        <v>18</v>
      </c>
      <c r="G173" s="2" t="s">
        <v>148</v>
      </c>
      <c r="H173" s="2" t="s">
        <v>440</v>
      </c>
      <c r="I173" s="2" t="s">
        <v>441</v>
      </c>
      <c r="J173" s="3">
        <v>20</v>
      </c>
      <c r="K173" s="2" t="s">
        <v>28</v>
      </c>
      <c r="L173" s="3">
        <v>18.57</v>
      </c>
      <c r="M173" s="10">
        <v>4085400</v>
      </c>
      <c r="N173" s="3">
        <v>-1.43</v>
      </c>
      <c r="O173" s="2" t="s">
        <v>20</v>
      </c>
      <c r="P173" s="2" t="s">
        <v>21</v>
      </c>
      <c r="Q173" s="2" t="s">
        <v>22</v>
      </c>
    </row>
    <row r="174" spans="1:17" x14ac:dyDescent="0.25">
      <c r="A174" s="1">
        <v>46322</v>
      </c>
      <c r="B174" s="1">
        <v>46321</v>
      </c>
      <c r="C174" s="2" t="s">
        <v>442</v>
      </c>
      <c r="D174" s="2" t="s">
        <v>17</v>
      </c>
      <c r="E174" s="2" t="s">
        <v>364</v>
      </c>
      <c r="F174" s="2" t="s">
        <v>18</v>
      </c>
      <c r="G174" s="2" t="s">
        <v>113</v>
      </c>
      <c r="H174" s="2" t="s">
        <v>249</v>
      </c>
      <c r="I174" s="2" t="s">
        <v>250</v>
      </c>
      <c r="J174" s="3">
        <v>10</v>
      </c>
      <c r="K174" s="2" t="s">
        <v>48</v>
      </c>
      <c r="L174" s="3">
        <v>10</v>
      </c>
      <c r="M174" s="10">
        <v>3000000</v>
      </c>
      <c r="N174" s="3">
        <v>0</v>
      </c>
      <c r="O174" s="2" t="s">
        <v>20</v>
      </c>
      <c r="P174" s="2" t="s">
        <v>21</v>
      </c>
      <c r="Q174" s="2" t="s">
        <v>22</v>
      </c>
    </row>
    <row r="175" spans="1:17" x14ac:dyDescent="0.25">
      <c r="A175" s="1">
        <v>46322</v>
      </c>
      <c r="B175" s="1">
        <v>46321</v>
      </c>
      <c r="C175" s="2" t="s">
        <v>443</v>
      </c>
      <c r="D175" s="2" t="s">
        <v>17</v>
      </c>
      <c r="E175" s="2" t="s">
        <v>444</v>
      </c>
      <c r="F175" s="2" t="s">
        <v>18</v>
      </c>
      <c r="G175" s="2" t="s">
        <v>148</v>
      </c>
      <c r="H175" s="2" t="s">
        <v>241</v>
      </c>
      <c r="I175" s="2" t="s">
        <v>242</v>
      </c>
      <c r="J175" s="3">
        <v>2</v>
      </c>
      <c r="K175" s="2" t="s">
        <v>64</v>
      </c>
      <c r="L175" s="3">
        <v>2</v>
      </c>
      <c r="M175" s="10">
        <v>159840</v>
      </c>
      <c r="N175" s="3">
        <v>0</v>
      </c>
      <c r="O175" s="2" t="s">
        <v>20</v>
      </c>
      <c r="P175" s="2" t="s">
        <v>21</v>
      </c>
      <c r="Q175" s="2" t="s">
        <v>22</v>
      </c>
    </row>
    <row r="176" spans="1:17" x14ac:dyDescent="0.25">
      <c r="A176" s="1">
        <v>46322</v>
      </c>
      <c r="B176" s="1">
        <v>46321</v>
      </c>
      <c r="C176" s="2" t="s">
        <v>445</v>
      </c>
      <c r="D176" s="2" t="s">
        <v>17</v>
      </c>
      <c r="E176" s="2" t="s">
        <v>446</v>
      </c>
      <c r="F176" s="2" t="s">
        <v>18</v>
      </c>
      <c r="G176" s="2" t="s">
        <v>234</v>
      </c>
      <c r="H176" s="2" t="s">
        <v>249</v>
      </c>
      <c r="I176" s="2" t="s">
        <v>250</v>
      </c>
      <c r="J176" s="3">
        <v>1</v>
      </c>
      <c r="K176" s="2" t="s">
        <v>48</v>
      </c>
      <c r="L176" s="3">
        <v>1</v>
      </c>
      <c r="M176" s="10">
        <v>327450</v>
      </c>
      <c r="N176" s="3">
        <v>0</v>
      </c>
      <c r="O176" s="2" t="s">
        <v>20</v>
      </c>
      <c r="P176" s="2" t="s">
        <v>21</v>
      </c>
      <c r="Q176" s="2" t="s">
        <v>22</v>
      </c>
    </row>
    <row r="177" spans="1:17" x14ac:dyDescent="0.25">
      <c r="A177" s="1">
        <v>46322</v>
      </c>
      <c r="B177" s="1">
        <v>46321</v>
      </c>
      <c r="C177" s="2" t="s">
        <v>447</v>
      </c>
      <c r="D177" s="2" t="s">
        <v>17</v>
      </c>
      <c r="E177" s="2" t="s">
        <v>448</v>
      </c>
      <c r="F177" s="2" t="s">
        <v>18</v>
      </c>
      <c r="G177" s="2" t="s">
        <v>32</v>
      </c>
      <c r="H177" s="2" t="s">
        <v>249</v>
      </c>
      <c r="I177" s="2" t="s">
        <v>250</v>
      </c>
      <c r="J177" s="3">
        <v>5</v>
      </c>
      <c r="K177" s="2" t="s">
        <v>48</v>
      </c>
      <c r="L177" s="3">
        <v>5</v>
      </c>
      <c r="M177" s="10">
        <v>1425000.02</v>
      </c>
      <c r="N177" s="3">
        <v>0</v>
      </c>
      <c r="O177" s="2" t="s">
        <v>20</v>
      </c>
      <c r="P177" s="2" t="s">
        <v>21</v>
      </c>
      <c r="Q177" s="2" t="s">
        <v>22</v>
      </c>
    </row>
    <row r="178" spans="1:17" x14ac:dyDescent="0.25">
      <c r="A178" s="1">
        <v>46322</v>
      </c>
      <c r="B178" s="1">
        <v>46321</v>
      </c>
      <c r="C178" s="2" t="s">
        <v>449</v>
      </c>
      <c r="D178" s="2" t="s">
        <v>17</v>
      </c>
      <c r="E178" s="2" t="s">
        <v>450</v>
      </c>
      <c r="F178" s="2" t="s">
        <v>18</v>
      </c>
      <c r="G178" s="2" t="s">
        <v>148</v>
      </c>
      <c r="H178" s="2" t="s">
        <v>451</v>
      </c>
      <c r="I178" s="2" t="s">
        <v>452</v>
      </c>
      <c r="J178" s="3">
        <v>1</v>
      </c>
      <c r="K178" s="2" t="s">
        <v>70</v>
      </c>
      <c r="L178" s="3">
        <v>1</v>
      </c>
      <c r="M178" s="10">
        <v>95460</v>
      </c>
      <c r="N178" s="3">
        <v>0</v>
      </c>
      <c r="O178" s="2" t="s">
        <v>20</v>
      </c>
      <c r="P178" s="2" t="s">
        <v>21</v>
      </c>
      <c r="Q178" s="2" t="s">
        <v>22</v>
      </c>
    </row>
    <row r="179" spans="1:17" x14ac:dyDescent="0.25">
      <c r="A179" s="1">
        <v>46322</v>
      </c>
      <c r="B179" s="1">
        <v>46321</v>
      </c>
      <c r="C179" s="2" t="s">
        <v>453</v>
      </c>
      <c r="D179" s="2" t="s">
        <v>17</v>
      </c>
      <c r="E179" s="2" t="s">
        <v>454</v>
      </c>
      <c r="F179" s="2" t="s">
        <v>18</v>
      </c>
      <c r="G179" s="2" t="s">
        <v>32</v>
      </c>
      <c r="H179" s="2" t="s">
        <v>249</v>
      </c>
      <c r="I179" s="2" t="s">
        <v>250</v>
      </c>
      <c r="J179" s="3">
        <v>1</v>
      </c>
      <c r="K179" s="2" t="s">
        <v>48</v>
      </c>
      <c r="L179" s="3">
        <v>1</v>
      </c>
      <c r="M179" s="10">
        <v>327450</v>
      </c>
      <c r="N179" s="3">
        <v>0</v>
      </c>
      <c r="O179" s="2" t="s">
        <v>20</v>
      </c>
      <c r="P179" s="2" t="s">
        <v>21</v>
      </c>
      <c r="Q179" s="2" t="s">
        <v>22</v>
      </c>
    </row>
    <row r="180" spans="1:17" x14ac:dyDescent="0.25">
      <c r="A180" s="1">
        <v>46322</v>
      </c>
      <c r="B180" s="1">
        <v>46321</v>
      </c>
      <c r="C180" s="2" t="s">
        <v>455</v>
      </c>
      <c r="D180" s="2" t="s">
        <v>17</v>
      </c>
      <c r="E180" s="2" t="s">
        <v>456</v>
      </c>
      <c r="F180" s="2" t="s">
        <v>18</v>
      </c>
      <c r="G180" s="2" t="s">
        <v>234</v>
      </c>
      <c r="H180" s="2" t="s">
        <v>457</v>
      </c>
      <c r="I180" s="2" t="s">
        <v>458</v>
      </c>
      <c r="J180" s="3">
        <v>3</v>
      </c>
      <c r="K180" s="2" t="s">
        <v>28</v>
      </c>
      <c r="L180" s="3">
        <v>2.36</v>
      </c>
      <c r="M180" s="10">
        <v>1014800</v>
      </c>
      <c r="N180" s="3">
        <v>-0.64</v>
      </c>
      <c r="O180" s="2" t="s">
        <v>20</v>
      </c>
      <c r="P180" s="2" t="s">
        <v>21</v>
      </c>
      <c r="Q180" s="2" t="s">
        <v>22</v>
      </c>
    </row>
    <row r="181" spans="1:17" x14ac:dyDescent="0.25">
      <c r="A181" s="1">
        <v>46322</v>
      </c>
      <c r="B181" s="1">
        <v>46321</v>
      </c>
      <c r="C181" s="2" t="s">
        <v>459</v>
      </c>
      <c r="D181" s="2" t="s">
        <v>17</v>
      </c>
      <c r="E181" s="2" t="s">
        <v>460</v>
      </c>
      <c r="F181" s="2" t="s">
        <v>31</v>
      </c>
      <c r="G181" s="2" t="s">
        <v>45</v>
      </c>
      <c r="H181" s="2" t="s">
        <v>249</v>
      </c>
      <c r="I181" s="2" t="s">
        <v>250</v>
      </c>
      <c r="J181" s="3">
        <v>2</v>
      </c>
      <c r="K181" s="2" t="s">
        <v>48</v>
      </c>
      <c r="L181" s="3">
        <v>2</v>
      </c>
      <c r="M181" s="10">
        <v>570000</v>
      </c>
      <c r="N181" s="3">
        <v>0</v>
      </c>
      <c r="O181" s="2" t="s">
        <v>20</v>
      </c>
      <c r="P181" s="2" t="s">
        <v>21</v>
      </c>
      <c r="Q181" s="2" t="s">
        <v>22</v>
      </c>
    </row>
    <row r="182" spans="1:17" x14ac:dyDescent="0.25">
      <c r="A182" s="1">
        <v>46322</v>
      </c>
      <c r="B182" s="1">
        <v>46321</v>
      </c>
      <c r="C182" s="2" t="s">
        <v>461</v>
      </c>
      <c r="D182" s="2" t="s">
        <v>17</v>
      </c>
      <c r="E182" s="2" t="s">
        <v>462</v>
      </c>
      <c r="F182" s="2" t="s">
        <v>31</v>
      </c>
      <c r="G182" s="2" t="s">
        <v>45</v>
      </c>
      <c r="H182" s="2" t="s">
        <v>249</v>
      </c>
      <c r="I182" s="2" t="s">
        <v>250</v>
      </c>
      <c r="J182" s="3">
        <v>6</v>
      </c>
      <c r="K182" s="2" t="s">
        <v>48</v>
      </c>
      <c r="L182" s="3">
        <v>6</v>
      </c>
      <c r="M182" s="10">
        <v>1829999.97</v>
      </c>
      <c r="N182" s="3">
        <v>0</v>
      </c>
      <c r="O182" s="2" t="s">
        <v>20</v>
      </c>
      <c r="P182" s="2" t="s">
        <v>21</v>
      </c>
      <c r="Q182" s="2" t="s">
        <v>22</v>
      </c>
    </row>
    <row r="183" spans="1:17" x14ac:dyDescent="0.25">
      <c r="A183" s="1">
        <v>46322</v>
      </c>
      <c r="B183" s="1">
        <v>46321</v>
      </c>
      <c r="C183" s="2" t="s">
        <v>463</v>
      </c>
      <c r="D183" s="2" t="s">
        <v>17</v>
      </c>
      <c r="E183" s="2" t="s">
        <v>464</v>
      </c>
      <c r="F183" s="2" t="s">
        <v>18</v>
      </c>
      <c r="G183" s="2" t="s">
        <v>247</v>
      </c>
      <c r="H183" s="2" t="s">
        <v>465</v>
      </c>
      <c r="I183" s="2" t="s">
        <v>466</v>
      </c>
      <c r="J183" s="3">
        <v>12</v>
      </c>
      <c r="K183" s="2" t="s">
        <v>70</v>
      </c>
      <c r="L183" s="3">
        <v>12</v>
      </c>
      <c r="M183" s="10">
        <v>812520</v>
      </c>
      <c r="N183" s="3">
        <v>0</v>
      </c>
      <c r="O183" s="2" t="s">
        <v>20</v>
      </c>
      <c r="P183" s="2" t="s">
        <v>21</v>
      </c>
      <c r="Q183" s="2" t="s">
        <v>22</v>
      </c>
    </row>
    <row r="184" spans="1:17" x14ac:dyDescent="0.25">
      <c r="A184" s="1">
        <v>46322</v>
      </c>
      <c r="B184" s="1">
        <v>46321</v>
      </c>
      <c r="C184" s="2" t="s">
        <v>467</v>
      </c>
      <c r="D184" s="2" t="s">
        <v>17</v>
      </c>
      <c r="E184" s="2" t="s">
        <v>464</v>
      </c>
      <c r="F184" s="2" t="s">
        <v>18</v>
      </c>
      <c r="G184" s="2" t="s">
        <v>247</v>
      </c>
      <c r="H184" s="2" t="s">
        <v>361</v>
      </c>
      <c r="I184" s="2" t="s">
        <v>362</v>
      </c>
      <c r="J184" s="3">
        <v>6</v>
      </c>
      <c r="K184" s="2" t="s">
        <v>56</v>
      </c>
      <c r="L184" s="3">
        <v>6</v>
      </c>
      <c r="M184" s="10">
        <v>270000.06</v>
      </c>
      <c r="N184" s="3">
        <v>0</v>
      </c>
      <c r="O184" s="2" t="s">
        <v>20</v>
      </c>
      <c r="P184" s="2" t="s">
        <v>21</v>
      </c>
      <c r="Q184" s="2" t="s">
        <v>22</v>
      </c>
    </row>
    <row r="185" spans="1:17" x14ac:dyDescent="0.25">
      <c r="A185" s="1">
        <v>46322</v>
      </c>
      <c r="B185" s="1">
        <v>46321</v>
      </c>
      <c r="C185" s="2" t="s">
        <v>467</v>
      </c>
      <c r="D185" s="2" t="s">
        <v>17</v>
      </c>
      <c r="E185" s="2" t="s">
        <v>464</v>
      </c>
      <c r="F185" s="2" t="s">
        <v>18</v>
      </c>
      <c r="G185" s="2" t="s">
        <v>247</v>
      </c>
      <c r="H185" s="2" t="s">
        <v>468</v>
      </c>
      <c r="I185" s="2" t="s">
        <v>469</v>
      </c>
      <c r="J185" s="3">
        <v>1</v>
      </c>
      <c r="K185" s="2" t="s">
        <v>64</v>
      </c>
      <c r="L185" s="3">
        <v>1</v>
      </c>
      <c r="M185" s="10">
        <v>202500.01</v>
      </c>
      <c r="N185" s="3">
        <v>0</v>
      </c>
      <c r="O185" s="2" t="s">
        <v>20</v>
      </c>
      <c r="P185" s="2" t="s">
        <v>21</v>
      </c>
      <c r="Q185" s="2" t="s">
        <v>22</v>
      </c>
    </row>
    <row r="186" spans="1:17" x14ac:dyDescent="0.25">
      <c r="A186" s="1">
        <v>46322</v>
      </c>
      <c r="B186" s="1">
        <v>46321</v>
      </c>
      <c r="C186" s="2" t="s">
        <v>470</v>
      </c>
      <c r="D186" s="2" t="s">
        <v>17</v>
      </c>
      <c r="E186" s="2" t="s">
        <v>471</v>
      </c>
      <c r="F186" s="2" t="s">
        <v>18</v>
      </c>
      <c r="G186" s="2" t="s">
        <v>148</v>
      </c>
      <c r="H186" s="2" t="s">
        <v>249</v>
      </c>
      <c r="I186" s="2" t="s">
        <v>250</v>
      </c>
      <c r="J186" s="3">
        <v>3</v>
      </c>
      <c r="K186" s="2" t="s">
        <v>48</v>
      </c>
      <c r="L186" s="3">
        <v>3</v>
      </c>
      <c r="M186" s="10">
        <v>982350</v>
      </c>
      <c r="N186" s="3">
        <v>0</v>
      </c>
      <c r="O186" s="2" t="s">
        <v>20</v>
      </c>
      <c r="P186" s="2" t="s">
        <v>21</v>
      </c>
      <c r="Q186" s="2" t="s">
        <v>22</v>
      </c>
    </row>
    <row r="187" spans="1:17" x14ac:dyDescent="0.25">
      <c r="A187" s="1">
        <v>46322</v>
      </c>
      <c r="B187" s="1">
        <v>46321</v>
      </c>
      <c r="C187" s="2" t="s">
        <v>472</v>
      </c>
      <c r="D187" s="2" t="s">
        <v>17</v>
      </c>
      <c r="E187" s="2" t="s">
        <v>473</v>
      </c>
      <c r="F187" s="2" t="s">
        <v>18</v>
      </c>
      <c r="G187" s="2" t="s">
        <v>61</v>
      </c>
      <c r="H187" s="2" t="s">
        <v>249</v>
      </c>
      <c r="I187" s="2" t="s">
        <v>250</v>
      </c>
      <c r="J187" s="3">
        <v>1</v>
      </c>
      <c r="K187" s="2" t="s">
        <v>48</v>
      </c>
      <c r="L187" s="3">
        <v>1</v>
      </c>
      <c r="M187" s="10">
        <v>315000</v>
      </c>
      <c r="N187" s="3">
        <v>0</v>
      </c>
      <c r="O187" s="2" t="s">
        <v>20</v>
      </c>
      <c r="P187" s="2" t="s">
        <v>21</v>
      </c>
      <c r="Q187" s="2" t="s">
        <v>22</v>
      </c>
    </row>
    <row r="188" spans="1:17" x14ac:dyDescent="0.25">
      <c r="A188" s="1">
        <v>46322</v>
      </c>
      <c r="B188" s="1">
        <v>46321</v>
      </c>
      <c r="C188" s="2" t="s">
        <v>474</v>
      </c>
      <c r="D188" s="2" t="s">
        <v>17</v>
      </c>
      <c r="E188" s="2" t="s">
        <v>289</v>
      </c>
      <c r="F188" s="2" t="s">
        <v>18</v>
      </c>
      <c r="G188" s="2" t="s">
        <v>113</v>
      </c>
      <c r="H188" s="2" t="s">
        <v>249</v>
      </c>
      <c r="I188" s="2" t="s">
        <v>250</v>
      </c>
      <c r="J188" s="3">
        <v>1</v>
      </c>
      <c r="K188" s="2" t="s">
        <v>48</v>
      </c>
      <c r="L188" s="3">
        <v>1</v>
      </c>
      <c r="M188" s="10">
        <v>304000</v>
      </c>
      <c r="N188" s="3">
        <v>0</v>
      </c>
      <c r="O188" s="2" t="s">
        <v>20</v>
      </c>
      <c r="P188" s="2" t="s">
        <v>21</v>
      </c>
      <c r="Q188" s="2" t="s">
        <v>22</v>
      </c>
    </row>
    <row r="189" spans="1:17" x14ac:dyDescent="0.25">
      <c r="A189" s="1">
        <v>46322</v>
      </c>
      <c r="B189" s="1">
        <v>46321</v>
      </c>
      <c r="C189" s="2" t="s">
        <v>475</v>
      </c>
      <c r="D189" s="2" t="s">
        <v>17</v>
      </c>
      <c r="E189" s="2" t="s">
        <v>476</v>
      </c>
      <c r="F189" s="2" t="s">
        <v>31</v>
      </c>
      <c r="G189" s="2" t="s">
        <v>113</v>
      </c>
      <c r="H189" s="2" t="s">
        <v>249</v>
      </c>
      <c r="I189" s="2" t="s">
        <v>250</v>
      </c>
      <c r="J189" s="3">
        <v>1</v>
      </c>
      <c r="K189" s="2" t="s">
        <v>48</v>
      </c>
      <c r="L189" s="3">
        <v>1</v>
      </c>
      <c r="M189" s="10">
        <v>327450</v>
      </c>
      <c r="N189" s="3">
        <v>0</v>
      </c>
      <c r="O189" s="2" t="s">
        <v>20</v>
      </c>
      <c r="P189" s="2" t="s">
        <v>21</v>
      </c>
      <c r="Q189" s="2" t="s">
        <v>22</v>
      </c>
    </row>
    <row r="190" spans="1:17" x14ac:dyDescent="0.25">
      <c r="A190" s="1">
        <v>46322</v>
      </c>
      <c r="B190" s="1">
        <v>46321</v>
      </c>
      <c r="C190" s="2" t="s">
        <v>477</v>
      </c>
      <c r="D190" s="2" t="s">
        <v>17</v>
      </c>
      <c r="E190" s="2" t="s">
        <v>478</v>
      </c>
      <c r="F190" s="2" t="s">
        <v>18</v>
      </c>
      <c r="G190" s="2" t="s">
        <v>175</v>
      </c>
      <c r="H190" s="2" t="s">
        <v>176</v>
      </c>
      <c r="I190" s="2" t="s">
        <v>177</v>
      </c>
      <c r="J190" s="3">
        <v>12</v>
      </c>
      <c r="K190" s="2" t="s">
        <v>28</v>
      </c>
      <c r="L190" s="3">
        <v>12</v>
      </c>
      <c r="M190" s="10">
        <v>213120</v>
      </c>
      <c r="N190" s="3">
        <v>0</v>
      </c>
      <c r="O190" s="2" t="s">
        <v>20</v>
      </c>
      <c r="P190" s="2" t="s">
        <v>21</v>
      </c>
      <c r="Q190" s="2" t="s">
        <v>22</v>
      </c>
    </row>
    <row r="191" spans="1:17" x14ac:dyDescent="0.25">
      <c r="A191" s="1">
        <v>46322</v>
      </c>
      <c r="B191" s="1">
        <v>46321</v>
      </c>
      <c r="C191" s="2" t="s">
        <v>479</v>
      </c>
      <c r="D191" s="2" t="s">
        <v>17</v>
      </c>
      <c r="E191" s="2" t="s">
        <v>480</v>
      </c>
      <c r="F191" s="2" t="s">
        <v>18</v>
      </c>
      <c r="G191" s="2" t="s">
        <v>148</v>
      </c>
      <c r="H191" s="2" t="s">
        <v>325</v>
      </c>
      <c r="I191" s="2" t="s">
        <v>326</v>
      </c>
      <c r="J191" s="3">
        <v>1</v>
      </c>
      <c r="K191" s="2" t="s">
        <v>48</v>
      </c>
      <c r="L191" s="3">
        <v>1</v>
      </c>
      <c r="M191" s="10">
        <v>316350</v>
      </c>
      <c r="N191" s="3">
        <v>0</v>
      </c>
      <c r="O191" s="2" t="s">
        <v>20</v>
      </c>
      <c r="P191" s="2" t="s">
        <v>21</v>
      </c>
      <c r="Q191" s="2" t="s">
        <v>22</v>
      </c>
    </row>
    <row r="192" spans="1:17" x14ac:dyDescent="0.25">
      <c r="A192" s="1">
        <v>46322</v>
      </c>
      <c r="B192" s="1">
        <v>46321</v>
      </c>
      <c r="C192" s="2" t="s">
        <v>481</v>
      </c>
      <c r="D192" s="2" t="s">
        <v>17</v>
      </c>
      <c r="E192" s="2" t="s">
        <v>482</v>
      </c>
      <c r="F192" s="2" t="s">
        <v>18</v>
      </c>
      <c r="G192" s="2" t="s">
        <v>234</v>
      </c>
      <c r="H192" s="2" t="s">
        <v>249</v>
      </c>
      <c r="I192" s="2" t="s">
        <v>250</v>
      </c>
      <c r="J192" s="3">
        <v>2</v>
      </c>
      <c r="K192" s="2" t="s">
        <v>48</v>
      </c>
      <c r="L192" s="3">
        <v>2</v>
      </c>
      <c r="M192" s="10">
        <v>654900</v>
      </c>
      <c r="N192" s="3">
        <v>0</v>
      </c>
      <c r="O192" s="2" t="s">
        <v>20</v>
      </c>
      <c r="P192" s="2" t="s">
        <v>21</v>
      </c>
      <c r="Q192" s="2" t="s">
        <v>22</v>
      </c>
    </row>
    <row r="193" spans="1:17" x14ac:dyDescent="0.25">
      <c r="A193" s="1">
        <v>46322</v>
      </c>
      <c r="B193" s="1">
        <v>46321</v>
      </c>
      <c r="C193" s="2" t="s">
        <v>483</v>
      </c>
      <c r="D193" s="2" t="s">
        <v>17</v>
      </c>
      <c r="E193" s="2" t="s">
        <v>484</v>
      </c>
      <c r="F193" s="2" t="s">
        <v>18</v>
      </c>
      <c r="G193" s="2" t="s">
        <v>61</v>
      </c>
      <c r="H193" s="2" t="s">
        <v>62</v>
      </c>
      <c r="I193" s="2" t="s">
        <v>63</v>
      </c>
      <c r="J193" s="3">
        <v>12</v>
      </c>
      <c r="K193" s="2" t="s">
        <v>64</v>
      </c>
      <c r="L193" s="3">
        <v>12</v>
      </c>
      <c r="M193" s="10">
        <v>606060</v>
      </c>
      <c r="N193" s="3">
        <v>0</v>
      </c>
      <c r="O193" s="2" t="s">
        <v>20</v>
      </c>
      <c r="P193" s="2" t="s">
        <v>21</v>
      </c>
      <c r="Q193" s="2" t="s">
        <v>22</v>
      </c>
    </row>
    <row r="194" spans="1:17" x14ac:dyDescent="0.25">
      <c r="A194" s="1">
        <v>46322</v>
      </c>
      <c r="B194" s="1">
        <v>46321</v>
      </c>
      <c r="C194" s="2" t="s">
        <v>485</v>
      </c>
      <c r="D194" s="2" t="s">
        <v>17</v>
      </c>
      <c r="E194" s="2" t="s">
        <v>486</v>
      </c>
      <c r="F194" s="2" t="s">
        <v>18</v>
      </c>
      <c r="G194" s="2" t="s">
        <v>45</v>
      </c>
      <c r="H194" s="2" t="s">
        <v>249</v>
      </c>
      <c r="I194" s="2" t="s">
        <v>250</v>
      </c>
      <c r="J194" s="3">
        <v>3</v>
      </c>
      <c r="K194" s="2" t="s">
        <v>48</v>
      </c>
      <c r="L194" s="3">
        <v>3</v>
      </c>
      <c r="M194" s="10">
        <v>914999.98</v>
      </c>
      <c r="N194" s="3">
        <v>0</v>
      </c>
      <c r="O194" s="2" t="s">
        <v>20</v>
      </c>
      <c r="P194" s="2" t="s">
        <v>21</v>
      </c>
      <c r="Q194" s="2" t="s">
        <v>22</v>
      </c>
    </row>
    <row r="195" spans="1:17" x14ac:dyDescent="0.25">
      <c r="A195" s="1">
        <v>46322</v>
      </c>
      <c r="B195" s="1">
        <v>46321</v>
      </c>
      <c r="C195" s="2" t="s">
        <v>487</v>
      </c>
      <c r="D195" s="2" t="s">
        <v>17</v>
      </c>
      <c r="E195" s="2" t="s">
        <v>488</v>
      </c>
      <c r="F195" s="2" t="s">
        <v>18</v>
      </c>
      <c r="G195" s="2" t="s">
        <v>234</v>
      </c>
      <c r="H195" s="2" t="s">
        <v>249</v>
      </c>
      <c r="I195" s="2" t="s">
        <v>250</v>
      </c>
      <c r="J195" s="3">
        <v>1</v>
      </c>
      <c r="K195" s="2" t="s">
        <v>48</v>
      </c>
      <c r="L195" s="3">
        <v>1</v>
      </c>
      <c r="M195" s="10">
        <v>327450</v>
      </c>
      <c r="N195" s="3">
        <v>0</v>
      </c>
      <c r="O195" s="2" t="s">
        <v>20</v>
      </c>
      <c r="P195" s="2" t="s">
        <v>21</v>
      </c>
      <c r="Q195" s="2" t="s">
        <v>22</v>
      </c>
    </row>
    <row r="196" spans="1:17" x14ac:dyDescent="0.25">
      <c r="A196" s="1">
        <v>46322</v>
      </c>
      <c r="B196" s="1">
        <v>46321</v>
      </c>
      <c r="C196" s="2" t="s">
        <v>489</v>
      </c>
      <c r="D196" s="2" t="s">
        <v>17</v>
      </c>
      <c r="E196" s="2" t="s">
        <v>490</v>
      </c>
      <c r="F196" s="2" t="s">
        <v>31</v>
      </c>
      <c r="G196" s="2" t="s">
        <v>188</v>
      </c>
      <c r="H196" s="2" t="s">
        <v>170</v>
      </c>
      <c r="I196" s="2" t="s">
        <v>171</v>
      </c>
      <c r="J196" s="3">
        <v>3</v>
      </c>
      <c r="K196" s="2" t="s">
        <v>56</v>
      </c>
      <c r="L196" s="3">
        <v>3</v>
      </c>
      <c r="M196" s="10">
        <v>315000.02</v>
      </c>
      <c r="N196" s="3">
        <v>0</v>
      </c>
      <c r="O196" s="2" t="s">
        <v>20</v>
      </c>
      <c r="P196" s="2" t="s">
        <v>21</v>
      </c>
      <c r="Q196" s="2" t="s">
        <v>22</v>
      </c>
    </row>
    <row r="197" spans="1:17" x14ac:dyDescent="0.25">
      <c r="A197" s="1">
        <v>46322</v>
      </c>
      <c r="B197" s="1">
        <v>46321</v>
      </c>
      <c r="C197" s="2" t="s">
        <v>489</v>
      </c>
      <c r="D197" s="2" t="s">
        <v>17</v>
      </c>
      <c r="E197" s="2" t="s">
        <v>490</v>
      </c>
      <c r="F197" s="2" t="s">
        <v>31</v>
      </c>
      <c r="G197" s="2" t="s">
        <v>188</v>
      </c>
      <c r="H197" s="2" t="s">
        <v>428</v>
      </c>
      <c r="I197" s="2" t="s">
        <v>429</v>
      </c>
      <c r="J197" s="3">
        <v>3</v>
      </c>
      <c r="K197" s="2" t="s">
        <v>56</v>
      </c>
      <c r="L197" s="3">
        <v>3</v>
      </c>
      <c r="M197" s="10">
        <v>267000</v>
      </c>
      <c r="N197" s="3">
        <v>0</v>
      </c>
      <c r="O197" s="2" t="s">
        <v>20</v>
      </c>
      <c r="P197" s="2" t="s">
        <v>21</v>
      </c>
      <c r="Q197" s="2" t="s">
        <v>22</v>
      </c>
    </row>
    <row r="198" spans="1:17" x14ac:dyDescent="0.25">
      <c r="A198" s="1">
        <v>46322</v>
      </c>
      <c r="B198" s="1">
        <v>46321</v>
      </c>
      <c r="C198" s="2" t="s">
        <v>489</v>
      </c>
      <c r="D198" s="2" t="s">
        <v>17</v>
      </c>
      <c r="E198" s="2" t="s">
        <v>490</v>
      </c>
      <c r="F198" s="2" t="s">
        <v>31</v>
      </c>
      <c r="G198" s="2" t="s">
        <v>188</v>
      </c>
      <c r="H198" s="2" t="s">
        <v>57</v>
      </c>
      <c r="I198" s="2" t="s">
        <v>58</v>
      </c>
      <c r="J198" s="3">
        <v>1</v>
      </c>
      <c r="K198" s="2" t="s">
        <v>56</v>
      </c>
      <c r="L198" s="3">
        <v>1</v>
      </c>
      <c r="M198" s="10">
        <v>64200</v>
      </c>
      <c r="N198" s="3">
        <v>0</v>
      </c>
      <c r="O198" s="2" t="s">
        <v>20</v>
      </c>
      <c r="P198" s="2" t="s">
        <v>21</v>
      </c>
      <c r="Q198" s="2" t="s">
        <v>22</v>
      </c>
    </row>
    <row r="199" spans="1:17" x14ac:dyDescent="0.25">
      <c r="A199" s="1">
        <v>46322</v>
      </c>
      <c r="B199" s="1">
        <v>46321</v>
      </c>
      <c r="C199" s="2" t="s">
        <v>489</v>
      </c>
      <c r="D199" s="2" t="s">
        <v>17</v>
      </c>
      <c r="E199" s="2" t="s">
        <v>490</v>
      </c>
      <c r="F199" s="2" t="s">
        <v>31</v>
      </c>
      <c r="G199" s="2" t="s">
        <v>188</v>
      </c>
      <c r="H199" s="2" t="s">
        <v>491</v>
      </c>
      <c r="I199" s="2" t="s">
        <v>492</v>
      </c>
      <c r="J199" s="3">
        <v>2</v>
      </c>
      <c r="K199" s="2" t="s">
        <v>56</v>
      </c>
      <c r="L199" s="3">
        <v>2</v>
      </c>
      <c r="M199" s="10">
        <v>102200.01</v>
      </c>
      <c r="N199" s="3">
        <v>0</v>
      </c>
      <c r="O199" s="2" t="s">
        <v>20</v>
      </c>
      <c r="P199" s="2" t="s">
        <v>21</v>
      </c>
      <c r="Q199" s="2" t="s">
        <v>22</v>
      </c>
    </row>
    <row r="200" spans="1:17" x14ac:dyDescent="0.25">
      <c r="A200" s="1">
        <v>46322</v>
      </c>
      <c r="B200" s="1">
        <v>46321</v>
      </c>
      <c r="C200" s="2" t="s">
        <v>493</v>
      </c>
      <c r="D200" s="2" t="s">
        <v>17</v>
      </c>
      <c r="E200" s="2" t="s">
        <v>289</v>
      </c>
      <c r="F200" s="2" t="s">
        <v>18</v>
      </c>
      <c r="G200" s="2" t="s">
        <v>113</v>
      </c>
      <c r="H200" s="2" t="s">
        <v>249</v>
      </c>
      <c r="I200" s="2" t="s">
        <v>250</v>
      </c>
      <c r="J200" s="3">
        <v>2</v>
      </c>
      <c r="K200" s="2" t="s">
        <v>48</v>
      </c>
      <c r="L200" s="3">
        <v>2</v>
      </c>
      <c r="M200" s="10">
        <v>608000</v>
      </c>
      <c r="N200" s="3">
        <v>0</v>
      </c>
      <c r="O200" s="2" t="s">
        <v>20</v>
      </c>
      <c r="P200" s="2" t="s">
        <v>21</v>
      </c>
      <c r="Q200" s="2" t="s">
        <v>494</v>
      </c>
    </row>
    <row r="201" spans="1:17" x14ac:dyDescent="0.25">
      <c r="A201" s="1">
        <v>46322</v>
      </c>
      <c r="B201" s="1">
        <v>46321</v>
      </c>
      <c r="C201" s="2" t="s">
        <v>495</v>
      </c>
      <c r="D201" s="2" t="s">
        <v>17</v>
      </c>
      <c r="E201" s="2" t="s">
        <v>496</v>
      </c>
      <c r="F201" s="2" t="s">
        <v>18</v>
      </c>
      <c r="G201" s="2" t="s">
        <v>113</v>
      </c>
      <c r="H201" s="2" t="s">
        <v>249</v>
      </c>
      <c r="I201" s="2" t="s">
        <v>250</v>
      </c>
      <c r="J201" s="3">
        <v>2</v>
      </c>
      <c r="K201" s="2" t="s">
        <v>48</v>
      </c>
      <c r="L201" s="3">
        <v>2</v>
      </c>
      <c r="M201" s="10">
        <v>580000</v>
      </c>
      <c r="N201" s="3">
        <v>0</v>
      </c>
      <c r="O201" s="2" t="s">
        <v>20</v>
      </c>
      <c r="P201" s="2" t="s">
        <v>21</v>
      </c>
      <c r="Q201" s="2" t="s">
        <v>22</v>
      </c>
    </row>
    <row r="202" spans="1:17" x14ac:dyDescent="0.25">
      <c r="A202" s="1">
        <v>46322</v>
      </c>
      <c r="B202" s="1">
        <v>46321</v>
      </c>
      <c r="C202" s="2" t="s">
        <v>497</v>
      </c>
      <c r="D202" s="2" t="s">
        <v>17</v>
      </c>
      <c r="E202" s="2" t="s">
        <v>498</v>
      </c>
      <c r="F202" s="2" t="s">
        <v>18</v>
      </c>
      <c r="G202" s="2" t="s">
        <v>234</v>
      </c>
      <c r="H202" s="2" t="s">
        <v>249</v>
      </c>
      <c r="I202" s="2" t="s">
        <v>250</v>
      </c>
      <c r="J202" s="3">
        <v>1</v>
      </c>
      <c r="K202" s="2" t="s">
        <v>48</v>
      </c>
      <c r="L202" s="3">
        <v>1</v>
      </c>
      <c r="M202" s="10">
        <v>327450</v>
      </c>
      <c r="N202" s="3">
        <v>0</v>
      </c>
      <c r="O202" s="2" t="s">
        <v>20</v>
      </c>
      <c r="P202" s="2" t="s">
        <v>21</v>
      </c>
      <c r="Q202" s="2" t="s">
        <v>22</v>
      </c>
    </row>
    <row r="203" spans="1:17" x14ac:dyDescent="0.25">
      <c r="A203" s="1">
        <v>46322</v>
      </c>
      <c r="B203" s="1">
        <v>46321</v>
      </c>
      <c r="C203" s="2" t="s">
        <v>499</v>
      </c>
      <c r="D203" s="2" t="s">
        <v>17</v>
      </c>
      <c r="E203" s="2" t="s">
        <v>283</v>
      </c>
      <c r="F203" s="2" t="s">
        <v>18</v>
      </c>
      <c r="G203" s="2" t="s">
        <v>25</v>
      </c>
      <c r="H203" s="2" t="s">
        <v>249</v>
      </c>
      <c r="I203" s="2" t="s">
        <v>250</v>
      </c>
      <c r="J203" s="3">
        <v>8</v>
      </c>
      <c r="K203" s="2" t="s">
        <v>48</v>
      </c>
      <c r="L203" s="3">
        <v>8</v>
      </c>
      <c r="M203" s="10">
        <v>2192000.0299999998</v>
      </c>
      <c r="N203" s="3">
        <v>0</v>
      </c>
      <c r="O203" s="2" t="s">
        <v>20</v>
      </c>
      <c r="P203" s="2" t="s">
        <v>21</v>
      </c>
      <c r="Q203" s="2" t="s">
        <v>22</v>
      </c>
    </row>
    <row r="204" spans="1:17" x14ac:dyDescent="0.25">
      <c r="A204" s="1">
        <v>46322</v>
      </c>
      <c r="B204" s="1">
        <v>46321</v>
      </c>
      <c r="C204" s="2" t="s">
        <v>500</v>
      </c>
      <c r="D204" s="2" t="s">
        <v>17</v>
      </c>
      <c r="E204" s="2" t="s">
        <v>501</v>
      </c>
      <c r="F204" s="2" t="s">
        <v>31</v>
      </c>
      <c r="G204" s="2" t="s">
        <v>247</v>
      </c>
      <c r="H204" s="2" t="s">
        <v>105</v>
      </c>
      <c r="I204" s="2" t="s">
        <v>106</v>
      </c>
      <c r="J204" s="3">
        <v>12</v>
      </c>
      <c r="K204" s="2" t="s">
        <v>64</v>
      </c>
      <c r="L204" s="3">
        <v>12</v>
      </c>
      <c r="M204" s="10">
        <v>539460</v>
      </c>
      <c r="N204" s="3">
        <v>0</v>
      </c>
      <c r="O204" s="2" t="s">
        <v>20</v>
      </c>
      <c r="P204" s="2" t="s">
        <v>21</v>
      </c>
      <c r="Q204" s="2" t="s">
        <v>22</v>
      </c>
    </row>
    <row r="205" spans="1:17" x14ac:dyDescent="0.25">
      <c r="A205" s="1">
        <v>46322</v>
      </c>
      <c r="B205" s="1">
        <v>46321</v>
      </c>
      <c r="C205" s="2" t="s">
        <v>500</v>
      </c>
      <c r="D205" s="2" t="s">
        <v>17</v>
      </c>
      <c r="E205" s="2" t="s">
        <v>501</v>
      </c>
      <c r="F205" s="2" t="s">
        <v>31</v>
      </c>
      <c r="G205" s="2" t="s">
        <v>247</v>
      </c>
      <c r="H205" s="2" t="s">
        <v>73</v>
      </c>
      <c r="I205" s="2" t="s">
        <v>74</v>
      </c>
      <c r="J205" s="3">
        <v>12</v>
      </c>
      <c r="K205" s="2" t="s">
        <v>64</v>
      </c>
      <c r="L205" s="3">
        <v>12</v>
      </c>
      <c r="M205" s="10">
        <v>606060</v>
      </c>
      <c r="N205" s="3">
        <v>0</v>
      </c>
      <c r="O205" s="2" t="s">
        <v>20</v>
      </c>
      <c r="P205" s="2" t="s">
        <v>21</v>
      </c>
      <c r="Q205" s="2" t="s">
        <v>22</v>
      </c>
    </row>
    <row r="206" spans="1:17" x14ac:dyDescent="0.25">
      <c r="A206" s="1">
        <v>46322</v>
      </c>
      <c r="B206" s="1">
        <v>46321</v>
      </c>
      <c r="C206" s="2" t="s">
        <v>500</v>
      </c>
      <c r="D206" s="2" t="s">
        <v>17</v>
      </c>
      <c r="E206" s="2" t="s">
        <v>501</v>
      </c>
      <c r="F206" s="2" t="s">
        <v>31</v>
      </c>
      <c r="G206" s="2" t="s">
        <v>247</v>
      </c>
      <c r="H206" s="2" t="s">
        <v>62</v>
      </c>
      <c r="I206" s="2" t="s">
        <v>63</v>
      </c>
      <c r="J206" s="3">
        <v>12</v>
      </c>
      <c r="K206" s="2" t="s">
        <v>64</v>
      </c>
      <c r="L206" s="3">
        <v>12</v>
      </c>
      <c r="M206" s="10">
        <v>606060</v>
      </c>
      <c r="N206" s="3">
        <v>0</v>
      </c>
      <c r="O206" s="2" t="s">
        <v>20</v>
      </c>
      <c r="P206" s="2" t="s">
        <v>21</v>
      </c>
      <c r="Q206" s="2" t="s">
        <v>22</v>
      </c>
    </row>
    <row r="207" spans="1:17" x14ac:dyDescent="0.25">
      <c r="A207" s="1">
        <v>46322</v>
      </c>
      <c r="B207" s="1">
        <v>46321</v>
      </c>
      <c r="C207" s="2" t="s">
        <v>502</v>
      </c>
      <c r="D207" s="2" t="s">
        <v>17</v>
      </c>
      <c r="E207" s="2" t="s">
        <v>503</v>
      </c>
      <c r="F207" s="2" t="s">
        <v>31</v>
      </c>
      <c r="G207" s="2" t="s">
        <v>45</v>
      </c>
      <c r="H207" s="2" t="s">
        <v>249</v>
      </c>
      <c r="I207" s="2" t="s">
        <v>250</v>
      </c>
      <c r="J207" s="3">
        <v>4</v>
      </c>
      <c r="K207" s="2" t="s">
        <v>48</v>
      </c>
      <c r="L207" s="3">
        <v>4</v>
      </c>
      <c r="M207" s="10">
        <v>1160000.04</v>
      </c>
      <c r="N207" s="3">
        <v>0</v>
      </c>
      <c r="O207" s="2" t="s">
        <v>20</v>
      </c>
      <c r="P207" s="2" t="s">
        <v>21</v>
      </c>
      <c r="Q207" s="2" t="s">
        <v>504</v>
      </c>
    </row>
    <row r="208" spans="1:17" x14ac:dyDescent="0.25">
      <c r="A208" s="1">
        <v>46322</v>
      </c>
      <c r="B208" s="1">
        <v>46321</v>
      </c>
      <c r="C208" s="2" t="s">
        <v>505</v>
      </c>
      <c r="D208" s="2" t="s">
        <v>17</v>
      </c>
      <c r="E208" s="2" t="s">
        <v>506</v>
      </c>
      <c r="F208" s="2" t="s">
        <v>18</v>
      </c>
      <c r="G208" s="2" t="s">
        <v>234</v>
      </c>
      <c r="H208" s="2" t="s">
        <v>249</v>
      </c>
      <c r="I208" s="2" t="s">
        <v>250</v>
      </c>
      <c r="J208" s="3">
        <v>2</v>
      </c>
      <c r="K208" s="2" t="s">
        <v>48</v>
      </c>
      <c r="L208" s="3">
        <v>2</v>
      </c>
      <c r="M208" s="10">
        <v>654900</v>
      </c>
      <c r="N208" s="3">
        <v>0</v>
      </c>
      <c r="O208" s="2" t="s">
        <v>20</v>
      </c>
      <c r="P208" s="2" t="s">
        <v>21</v>
      </c>
      <c r="Q208" s="2" t="s">
        <v>22</v>
      </c>
    </row>
    <row r="209" spans="1:17" x14ac:dyDescent="0.25">
      <c r="A209" s="1">
        <v>46322</v>
      </c>
      <c r="B209" s="1">
        <v>46321</v>
      </c>
      <c r="C209" s="2" t="s">
        <v>507</v>
      </c>
      <c r="D209" s="2" t="s">
        <v>17</v>
      </c>
      <c r="E209" s="2" t="s">
        <v>345</v>
      </c>
      <c r="F209" s="2" t="s">
        <v>18</v>
      </c>
      <c r="G209" s="2" t="s">
        <v>247</v>
      </c>
      <c r="H209" s="2" t="s">
        <v>465</v>
      </c>
      <c r="I209" s="2" t="s">
        <v>466</v>
      </c>
      <c r="J209" s="3">
        <v>6</v>
      </c>
      <c r="K209" s="2" t="s">
        <v>70</v>
      </c>
      <c r="L209" s="3">
        <v>6</v>
      </c>
      <c r="M209" s="10">
        <v>439560</v>
      </c>
      <c r="N209" s="3">
        <v>0</v>
      </c>
      <c r="O209" s="2" t="s">
        <v>20</v>
      </c>
      <c r="P209" s="2" t="s">
        <v>21</v>
      </c>
      <c r="Q209" s="2" t="s">
        <v>508</v>
      </c>
    </row>
    <row r="210" spans="1:17" x14ac:dyDescent="0.25">
      <c r="A210" s="1">
        <v>46322</v>
      </c>
      <c r="B210" s="1">
        <v>46321</v>
      </c>
      <c r="C210" s="2" t="s">
        <v>509</v>
      </c>
      <c r="D210" s="2" t="s">
        <v>17</v>
      </c>
      <c r="E210" s="2" t="s">
        <v>510</v>
      </c>
      <c r="F210" s="2" t="s">
        <v>31</v>
      </c>
      <c r="G210" s="2" t="s">
        <v>61</v>
      </c>
      <c r="H210" s="2" t="s">
        <v>62</v>
      </c>
      <c r="I210" s="2" t="s">
        <v>63</v>
      </c>
      <c r="J210" s="3">
        <v>8</v>
      </c>
      <c r="K210" s="2" t="s">
        <v>64</v>
      </c>
      <c r="L210" s="3">
        <v>8</v>
      </c>
      <c r="M210" s="10">
        <v>404040</v>
      </c>
      <c r="N210" s="3">
        <v>0</v>
      </c>
      <c r="O210" s="2" t="s">
        <v>20</v>
      </c>
      <c r="P210" s="2" t="s">
        <v>21</v>
      </c>
      <c r="Q210" s="2" t="s">
        <v>511</v>
      </c>
    </row>
    <row r="211" spans="1:17" x14ac:dyDescent="0.25">
      <c r="A211" s="1">
        <v>46322</v>
      </c>
      <c r="B211" s="1">
        <v>46321</v>
      </c>
      <c r="C211" s="2" t="s">
        <v>509</v>
      </c>
      <c r="D211" s="2" t="s">
        <v>17</v>
      </c>
      <c r="E211" s="2" t="s">
        <v>510</v>
      </c>
      <c r="F211" s="2" t="s">
        <v>31</v>
      </c>
      <c r="G211" s="2" t="s">
        <v>61</v>
      </c>
      <c r="H211" s="2" t="s">
        <v>87</v>
      </c>
      <c r="I211" s="2" t="s">
        <v>88</v>
      </c>
      <c r="J211" s="3">
        <v>2</v>
      </c>
      <c r="K211" s="2" t="s">
        <v>56</v>
      </c>
      <c r="L211" s="3">
        <v>2</v>
      </c>
      <c r="M211" s="10">
        <v>84360</v>
      </c>
      <c r="N211" s="3">
        <v>0</v>
      </c>
      <c r="O211" s="2" t="s">
        <v>20</v>
      </c>
      <c r="P211" s="2" t="s">
        <v>21</v>
      </c>
      <c r="Q211" s="2" t="s">
        <v>511</v>
      </c>
    </row>
    <row r="212" spans="1:17" x14ac:dyDescent="0.25">
      <c r="A212" s="1">
        <v>46322</v>
      </c>
      <c r="B212" s="1">
        <v>46321</v>
      </c>
      <c r="C212" s="2" t="s">
        <v>512</v>
      </c>
      <c r="D212" s="2" t="s">
        <v>17</v>
      </c>
      <c r="E212" s="2" t="s">
        <v>377</v>
      </c>
      <c r="F212" s="2" t="s">
        <v>18</v>
      </c>
      <c r="G212" s="2" t="s">
        <v>32</v>
      </c>
      <c r="H212" s="2" t="s">
        <v>249</v>
      </c>
      <c r="I212" s="2" t="s">
        <v>250</v>
      </c>
      <c r="J212" s="3">
        <v>1</v>
      </c>
      <c r="K212" s="2" t="s">
        <v>48</v>
      </c>
      <c r="L212" s="3">
        <v>1</v>
      </c>
      <c r="M212" s="10">
        <v>310000</v>
      </c>
      <c r="N212" s="3">
        <v>0</v>
      </c>
      <c r="O212" s="2" t="s">
        <v>20</v>
      </c>
      <c r="P212" s="2" t="s">
        <v>21</v>
      </c>
      <c r="Q212" s="2" t="s">
        <v>22</v>
      </c>
    </row>
    <row r="213" spans="1:17" x14ac:dyDescent="0.25">
      <c r="A213" s="1">
        <v>46322</v>
      </c>
      <c r="B213" s="1">
        <v>46321</v>
      </c>
      <c r="C213" s="2" t="s">
        <v>513</v>
      </c>
      <c r="D213" s="2" t="s">
        <v>17</v>
      </c>
      <c r="E213" s="2" t="s">
        <v>147</v>
      </c>
      <c r="F213" s="2" t="s">
        <v>18</v>
      </c>
      <c r="G213" s="2" t="s">
        <v>148</v>
      </c>
      <c r="H213" s="2" t="s">
        <v>149</v>
      </c>
      <c r="I213" s="2" t="s">
        <v>150</v>
      </c>
      <c r="J213" s="3">
        <v>4.5999999999999996</v>
      </c>
      <c r="K213" s="2" t="s">
        <v>28</v>
      </c>
      <c r="L213" s="3">
        <v>4.5999999999999996</v>
      </c>
      <c r="M213" s="10">
        <v>460000.05</v>
      </c>
      <c r="N213" s="3">
        <v>0</v>
      </c>
      <c r="O213" s="2" t="s">
        <v>20</v>
      </c>
      <c r="P213" s="2" t="s">
        <v>21</v>
      </c>
      <c r="Q213" s="2" t="s">
        <v>22</v>
      </c>
    </row>
    <row r="214" spans="1:17" x14ac:dyDescent="0.25">
      <c r="A214" s="1">
        <v>46322</v>
      </c>
      <c r="B214" s="1">
        <v>46321</v>
      </c>
      <c r="C214" s="2" t="s">
        <v>514</v>
      </c>
      <c r="D214" s="2" t="s">
        <v>17</v>
      </c>
      <c r="E214" s="2" t="s">
        <v>515</v>
      </c>
      <c r="F214" s="2" t="s">
        <v>18</v>
      </c>
      <c r="G214" s="2" t="s">
        <v>61</v>
      </c>
      <c r="H214" s="2" t="s">
        <v>249</v>
      </c>
      <c r="I214" s="2" t="s">
        <v>250</v>
      </c>
      <c r="J214" s="3">
        <v>5</v>
      </c>
      <c r="K214" s="2" t="s">
        <v>48</v>
      </c>
      <c r="L214" s="3">
        <v>5</v>
      </c>
      <c r="M214" s="10">
        <v>1425000.02</v>
      </c>
      <c r="N214" s="3">
        <v>0</v>
      </c>
      <c r="O214" s="2" t="s">
        <v>20</v>
      </c>
      <c r="P214" s="2" t="s">
        <v>21</v>
      </c>
      <c r="Q214" s="2" t="s">
        <v>516</v>
      </c>
    </row>
    <row r="215" spans="1:17" x14ac:dyDescent="0.25">
      <c r="A215" s="1">
        <v>46322</v>
      </c>
      <c r="B215" s="1">
        <v>46321</v>
      </c>
      <c r="C215" s="2" t="s">
        <v>517</v>
      </c>
      <c r="D215" s="2" t="s">
        <v>17</v>
      </c>
      <c r="E215" s="2" t="s">
        <v>405</v>
      </c>
      <c r="F215" s="2" t="s">
        <v>18</v>
      </c>
      <c r="G215" s="2" t="s">
        <v>148</v>
      </c>
      <c r="H215" s="2" t="s">
        <v>249</v>
      </c>
      <c r="I215" s="2" t="s">
        <v>250</v>
      </c>
      <c r="J215" s="3">
        <v>8</v>
      </c>
      <c r="K215" s="2" t="s">
        <v>48</v>
      </c>
      <c r="L215" s="3">
        <v>8</v>
      </c>
      <c r="M215" s="10">
        <v>2376000.02</v>
      </c>
      <c r="N215" s="3">
        <v>0</v>
      </c>
      <c r="O215" s="2" t="s">
        <v>20</v>
      </c>
      <c r="P215" s="2" t="s">
        <v>21</v>
      </c>
      <c r="Q215" s="2" t="s">
        <v>22</v>
      </c>
    </row>
    <row r="216" spans="1:17" x14ac:dyDescent="0.25">
      <c r="A216" s="1">
        <v>46322</v>
      </c>
      <c r="B216" s="1">
        <v>46321</v>
      </c>
      <c r="C216" s="2" t="s">
        <v>518</v>
      </c>
      <c r="D216" s="2" t="s">
        <v>17</v>
      </c>
      <c r="E216" s="2" t="s">
        <v>388</v>
      </c>
      <c r="F216" s="2" t="s">
        <v>31</v>
      </c>
      <c r="G216" s="2" t="s">
        <v>67</v>
      </c>
      <c r="H216" s="2" t="s">
        <v>249</v>
      </c>
      <c r="I216" s="2" t="s">
        <v>250</v>
      </c>
      <c r="J216" s="3">
        <v>1</v>
      </c>
      <c r="K216" s="2" t="s">
        <v>48</v>
      </c>
      <c r="L216" s="3">
        <v>1</v>
      </c>
      <c r="M216" s="10">
        <v>327450</v>
      </c>
      <c r="N216" s="3">
        <v>0</v>
      </c>
      <c r="O216" s="2" t="s">
        <v>20</v>
      </c>
      <c r="P216" s="2" t="s">
        <v>21</v>
      </c>
      <c r="Q216" s="2" t="s">
        <v>22</v>
      </c>
    </row>
    <row r="217" spans="1:17" x14ac:dyDescent="0.25">
      <c r="A217" s="1">
        <v>46322</v>
      </c>
      <c r="B217" s="1">
        <v>46321</v>
      </c>
      <c r="C217" s="2" t="s">
        <v>519</v>
      </c>
      <c r="D217" s="2" t="s">
        <v>17</v>
      </c>
      <c r="E217" s="2" t="s">
        <v>430</v>
      </c>
      <c r="F217" s="2" t="s">
        <v>18</v>
      </c>
      <c r="G217" s="2" t="s">
        <v>234</v>
      </c>
      <c r="H217" s="2" t="s">
        <v>249</v>
      </c>
      <c r="I217" s="2" t="s">
        <v>250</v>
      </c>
      <c r="J217" s="3">
        <v>2</v>
      </c>
      <c r="K217" s="2" t="s">
        <v>48</v>
      </c>
      <c r="L217" s="3">
        <v>2</v>
      </c>
      <c r="M217" s="10">
        <v>630000</v>
      </c>
      <c r="N217" s="3">
        <v>0</v>
      </c>
      <c r="O217" s="2" t="s">
        <v>20</v>
      </c>
      <c r="P217" s="2" t="s">
        <v>21</v>
      </c>
      <c r="Q217" s="2" t="s">
        <v>22</v>
      </c>
    </row>
    <row r="218" spans="1:17" x14ac:dyDescent="0.25">
      <c r="A218" s="1">
        <v>46322</v>
      </c>
      <c r="B218" s="1">
        <v>46321</v>
      </c>
      <c r="C218" s="2" t="s">
        <v>520</v>
      </c>
      <c r="D218" s="2" t="s">
        <v>17</v>
      </c>
      <c r="E218" s="2" t="s">
        <v>521</v>
      </c>
      <c r="F218" s="2" t="s">
        <v>18</v>
      </c>
      <c r="G218" s="2" t="s">
        <v>234</v>
      </c>
      <c r="H218" s="2" t="s">
        <v>249</v>
      </c>
      <c r="I218" s="2" t="s">
        <v>250</v>
      </c>
      <c r="J218" s="3">
        <v>3</v>
      </c>
      <c r="K218" s="2" t="s">
        <v>48</v>
      </c>
      <c r="L218" s="3">
        <v>3</v>
      </c>
      <c r="M218" s="10">
        <v>914999.98</v>
      </c>
      <c r="N218" s="3">
        <v>0</v>
      </c>
      <c r="O218" s="2" t="s">
        <v>20</v>
      </c>
      <c r="P218" s="2" t="s">
        <v>21</v>
      </c>
      <c r="Q218" s="2" t="s">
        <v>22</v>
      </c>
    </row>
    <row r="219" spans="1:17" x14ac:dyDescent="0.25">
      <c r="A219" s="1">
        <v>46322</v>
      </c>
      <c r="B219" s="1">
        <v>46321</v>
      </c>
      <c r="C219" s="2" t="s">
        <v>522</v>
      </c>
      <c r="D219" s="2" t="s">
        <v>17</v>
      </c>
      <c r="E219" s="2" t="s">
        <v>523</v>
      </c>
      <c r="F219" s="2" t="s">
        <v>18</v>
      </c>
      <c r="G219" s="2" t="s">
        <v>148</v>
      </c>
      <c r="H219" s="2" t="s">
        <v>249</v>
      </c>
      <c r="I219" s="2" t="s">
        <v>250</v>
      </c>
      <c r="J219" s="3">
        <v>2</v>
      </c>
      <c r="K219" s="2" t="s">
        <v>48</v>
      </c>
      <c r="L219" s="3">
        <v>2</v>
      </c>
      <c r="M219" s="10">
        <v>580000</v>
      </c>
      <c r="N219" s="3">
        <v>0</v>
      </c>
      <c r="O219" s="2" t="s">
        <v>20</v>
      </c>
      <c r="P219" s="2" t="s">
        <v>21</v>
      </c>
      <c r="Q219" s="2" t="s">
        <v>22</v>
      </c>
    </row>
    <row r="220" spans="1:17" x14ac:dyDescent="0.25">
      <c r="A220" s="1">
        <v>46322</v>
      </c>
      <c r="B220" s="1">
        <v>46321</v>
      </c>
      <c r="C220" s="2" t="s">
        <v>524</v>
      </c>
      <c r="D220" s="2" t="s">
        <v>17</v>
      </c>
      <c r="E220" s="2" t="s">
        <v>525</v>
      </c>
      <c r="F220" s="2" t="s">
        <v>18</v>
      </c>
      <c r="G220" s="2" t="s">
        <v>229</v>
      </c>
      <c r="H220" s="2" t="s">
        <v>249</v>
      </c>
      <c r="I220" s="2" t="s">
        <v>250</v>
      </c>
      <c r="J220" s="3">
        <v>1</v>
      </c>
      <c r="K220" s="2" t="s">
        <v>48</v>
      </c>
      <c r="L220" s="3">
        <v>1</v>
      </c>
      <c r="M220" s="10">
        <v>290000</v>
      </c>
      <c r="N220" s="3">
        <v>0</v>
      </c>
      <c r="O220" s="2" t="s">
        <v>20</v>
      </c>
      <c r="P220" s="2" t="s">
        <v>21</v>
      </c>
      <c r="Q220" s="2" t="s">
        <v>22</v>
      </c>
    </row>
    <row r="221" spans="1:17" x14ac:dyDescent="0.25">
      <c r="A221" s="1">
        <v>46322</v>
      </c>
      <c r="B221" s="1">
        <v>46321</v>
      </c>
      <c r="C221" s="2" t="s">
        <v>526</v>
      </c>
      <c r="D221" s="2" t="s">
        <v>17</v>
      </c>
      <c r="E221" s="2" t="s">
        <v>394</v>
      </c>
      <c r="F221" s="2" t="s">
        <v>18</v>
      </c>
      <c r="G221" s="2" t="s">
        <v>148</v>
      </c>
      <c r="H221" s="2" t="s">
        <v>249</v>
      </c>
      <c r="I221" s="2" t="s">
        <v>250</v>
      </c>
      <c r="J221" s="3">
        <v>2</v>
      </c>
      <c r="K221" s="2" t="s">
        <v>48</v>
      </c>
      <c r="L221" s="3">
        <v>2</v>
      </c>
      <c r="M221" s="10">
        <v>580000</v>
      </c>
      <c r="N221" s="3">
        <v>0</v>
      </c>
      <c r="O221" s="2" t="s">
        <v>20</v>
      </c>
      <c r="P221" s="2" t="s">
        <v>21</v>
      </c>
      <c r="Q221" s="2" t="s">
        <v>22</v>
      </c>
    </row>
    <row r="222" spans="1:17" x14ac:dyDescent="0.25">
      <c r="A222" s="1">
        <v>46322</v>
      </c>
      <c r="B222" s="1">
        <v>46321</v>
      </c>
      <c r="C222" s="2" t="s">
        <v>527</v>
      </c>
      <c r="D222" s="2" t="s">
        <v>17</v>
      </c>
      <c r="E222" s="2" t="s">
        <v>528</v>
      </c>
      <c r="F222" s="2" t="s">
        <v>31</v>
      </c>
      <c r="G222" s="2" t="s">
        <v>113</v>
      </c>
      <c r="H222" s="2" t="s">
        <v>249</v>
      </c>
      <c r="I222" s="2" t="s">
        <v>250</v>
      </c>
      <c r="J222" s="3">
        <v>1</v>
      </c>
      <c r="K222" s="2" t="s">
        <v>48</v>
      </c>
      <c r="L222" s="3">
        <v>1</v>
      </c>
      <c r="M222" s="10">
        <v>327450</v>
      </c>
      <c r="N222" s="3">
        <v>0</v>
      </c>
      <c r="O222" s="2" t="s">
        <v>20</v>
      </c>
      <c r="P222" s="2" t="s">
        <v>21</v>
      </c>
      <c r="Q222" s="2" t="s">
        <v>22</v>
      </c>
    </row>
    <row r="223" spans="1:17" x14ac:dyDescent="0.25">
      <c r="A223" s="1">
        <v>46322</v>
      </c>
      <c r="B223" s="1">
        <v>46321</v>
      </c>
      <c r="C223" s="2" t="s">
        <v>529</v>
      </c>
      <c r="D223" s="2" t="s">
        <v>17</v>
      </c>
      <c r="E223" s="2" t="s">
        <v>530</v>
      </c>
      <c r="F223" s="2" t="s">
        <v>18</v>
      </c>
      <c r="G223" s="2" t="s">
        <v>25</v>
      </c>
      <c r="H223" s="2" t="s">
        <v>249</v>
      </c>
      <c r="I223" s="2" t="s">
        <v>250</v>
      </c>
      <c r="J223" s="3">
        <v>50</v>
      </c>
      <c r="K223" s="2" t="s">
        <v>48</v>
      </c>
      <c r="L223" s="3">
        <v>37</v>
      </c>
      <c r="M223" s="10">
        <v>10656000.02</v>
      </c>
      <c r="N223" s="3">
        <v>-13</v>
      </c>
      <c r="O223" s="2" t="s">
        <v>20</v>
      </c>
      <c r="P223" s="2" t="s">
        <v>21</v>
      </c>
      <c r="Q223" s="2" t="s">
        <v>22</v>
      </c>
    </row>
    <row r="224" spans="1:17" x14ac:dyDescent="0.25">
      <c r="A224" s="1">
        <v>46322</v>
      </c>
      <c r="B224" s="1">
        <v>46321</v>
      </c>
      <c r="C224" s="2" t="s">
        <v>531</v>
      </c>
      <c r="D224" s="2" t="s">
        <v>17</v>
      </c>
      <c r="E224" s="2" t="s">
        <v>532</v>
      </c>
      <c r="F224" s="2" t="s">
        <v>18</v>
      </c>
      <c r="G224" s="2" t="s">
        <v>424</v>
      </c>
      <c r="H224" s="2" t="s">
        <v>371</v>
      </c>
      <c r="I224" s="2" t="s">
        <v>372</v>
      </c>
      <c r="J224" s="3">
        <v>100</v>
      </c>
      <c r="K224" s="2" t="s">
        <v>28</v>
      </c>
      <c r="L224" s="3">
        <v>100</v>
      </c>
      <c r="M224" s="10">
        <v>12200000.01</v>
      </c>
      <c r="N224" s="3">
        <v>0</v>
      </c>
      <c r="O224" s="2" t="s">
        <v>20</v>
      </c>
      <c r="P224" s="2" t="s">
        <v>21</v>
      </c>
      <c r="Q224" s="2" t="s">
        <v>22</v>
      </c>
    </row>
    <row r="225" spans="1:17" x14ac:dyDescent="0.25">
      <c r="A225" s="1">
        <v>46322</v>
      </c>
      <c r="B225" s="1">
        <v>46321</v>
      </c>
      <c r="C225" s="2" t="s">
        <v>533</v>
      </c>
      <c r="D225" s="2" t="s">
        <v>17</v>
      </c>
      <c r="E225" s="2" t="s">
        <v>534</v>
      </c>
      <c r="F225" s="2" t="s">
        <v>18</v>
      </c>
      <c r="G225" s="2" t="s">
        <v>234</v>
      </c>
      <c r="H225" s="2" t="s">
        <v>249</v>
      </c>
      <c r="I225" s="2" t="s">
        <v>250</v>
      </c>
      <c r="J225" s="3">
        <v>3</v>
      </c>
      <c r="K225" s="2" t="s">
        <v>48</v>
      </c>
      <c r="L225" s="3">
        <v>3</v>
      </c>
      <c r="M225" s="10">
        <v>960000.01</v>
      </c>
      <c r="N225" s="3">
        <v>0</v>
      </c>
      <c r="O225" s="2" t="s">
        <v>20</v>
      </c>
      <c r="P225" s="2" t="s">
        <v>21</v>
      </c>
      <c r="Q225" s="2" t="s">
        <v>22</v>
      </c>
    </row>
    <row r="226" spans="1:17" x14ac:dyDescent="0.25">
      <c r="A226" s="1">
        <v>46322</v>
      </c>
      <c r="B226" s="1">
        <v>46321</v>
      </c>
      <c r="C226" s="2" t="s">
        <v>535</v>
      </c>
      <c r="D226" s="2" t="s">
        <v>17</v>
      </c>
      <c r="E226" s="2" t="s">
        <v>536</v>
      </c>
      <c r="F226" s="2" t="s">
        <v>18</v>
      </c>
      <c r="G226" s="2" t="s">
        <v>45</v>
      </c>
      <c r="H226" s="2" t="s">
        <v>249</v>
      </c>
      <c r="I226" s="2" t="s">
        <v>250</v>
      </c>
      <c r="J226" s="3">
        <v>10</v>
      </c>
      <c r="K226" s="2" t="s">
        <v>48</v>
      </c>
      <c r="L226" s="3">
        <v>10</v>
      </c>
      <c r="M226" s="10">
        <v>3219000</v>
      </c>
      <c r="N226" s="3">
        <v>0</v>
      </c>
      <c r="O226" s="2" t="s">
        <v>20</v>
      </c>
      <c r="P226" s="2" t="s">
        <v>21</v>
      </c>
      <c r="Q226" s="2" t="s">
        <v>22</v>
      </c>
    </row>
    <row r="227" spans="1:17" x14ac:dyDescent="0.25">
      <c r="A227" s="1">
        <v>46322</v>
      </c>
      <c r="B227" s="1">
        <v>46321</v>
      </c>
      <c r="C227" s="2" t="s">
        <v>537</v>
      </c>
      <c r="D227" s="2" t="s">
        <v>17</v>
      </c>
      <c r="E227" s="2" t="s">
        <v>538</v>
      </c>
      <c r="F227" s="2" t="s">
        <v>18</v>
      </c>
      <c r="G227" s="2" t="s">
        <v>61</v>
      </c>
      <c r="H227" s="2" t="s">
        <v>249</v>
      </c>
      <c r="I227" s="2" t="s">
        <v>250</v>
      </c>
      <c r="J227" s="3">
        <v>5</v>
      </c>
      <c r="K227" s="2" t="s">
        <v>48</v>
      </c>
      <c r="L227" s="3">
        <v>5</v>
      </c>
      <c r="M227" s="10">
        <v>1524999.97</v>
      </c>
      <c r="N227" s="3">
        <v>0</v>
      </c>
      <c r="O227" s="2" t="s">
        <v>20</v>
      </c>
      <c r="P227" s="2" t="s">
        <v>21</v>
      </c>
      <c r="Q227" s="2" t="s">
        <v>539</v>
      </c>
    </row>
    <row r="228" spans="1:17" x14ac:dyDescent="0.25">
      <c r="A228" s="1">
        <v>46322</v>
      </c>
      <c r="B228" s="1">
        <v>46321</v>
      </c>
      <c r="C228" s="2" t="s">
        <v>540</v>
      </c>
      <c r="D228" s="2" t="s">
        <v>17</v>
      </c>
      <c r="E228" s="2" t="s">
        <v>541</v>
      </c>
      <c r="F228" s="2" t="s">
        <v>31</v>
      </c>
      <c r="G228" s="2" t="s">
        <v>25</v>
      </c>
      <c r="H228" s="2" t="s">
        <v>33</v>
      </c>
      <c r="I228" s="2" t="s">
        <v>34</v>
      </c>
      <c r="J228" s="3">
        <v>20</v>
      </c>
      <c r="K228" s="2" t="s">
        <v>28</v>
      </c>
      <c r="L228" s="3">
        <v>20</v>
      </c>
      <c r="M228" s="10">
        <v>333000</v>
      </c>
      <c r="N228" s="3">
        <v>0</v>
      </c>
      <c r="O228" s="2" t="s">
        <v>20</v>
      </c>
      <c r="P228" s="2" t="s">
        <v>21</v>
      </c>
      <c r="Q228" s="2" t="s">
        <v>22</v>
      </c>
    </row>
    <row r="229" spans="1:17" x14ac:dyDescent="0.25">
      <c r="A229" s="1">
        <v>46322</v>
      </c>
      <c r="B229" s="1">
        <v>46321</v>
      </c>
      <c r="C229" s="2" t="s">
        <v>542</v>
      </c>
      <c r="D229" s="2" t="s">
        <v>17</v>
      </c>
      <c r="E229" s="2" t="s">
        <v>246</v>
      </c>
      <c r="F229" s="2" t="s">
        <v>18</v>
      </c>
      <c r="G229" s="2" t="s">
        <v>154</v>
      </c>
      <c r="H229" s="2" t="s">
        <v>543</v>
      </c>
      <c r="I229" s="2" t="s">
        <v>544</v>
      </c>
      <c r="J229" s="3">
        <v>50</v>
      </c>
      <c r="K229" s="2" t="s">
        <v>56</v>
      </c>
      <c r="L229" s="3">
        <v>50</v>
      </c>
      <c r="M229" s="10">
        <v>3714615</v>
      </c>
      <c r="N229" s="3">
        <v>0</v>
      </c>
      <c r="O229" s="2" t="s">
        <v>20</v>
      </c>
      <c r="P229" s="2" t="s">
        <v>21</v>
      </c>
      <c r="Q229" s="2" t="s">
        <v>545</v>
      </c>
    </row>
    <row r="230" spans="1:17" x14ac:dyDescent="0.25">
      <c r="A230" s="1">
        <v>46322</v>
      </c>
      <c r="B230" s="1">
        <v>46321</v>
      </c>
      <c r="C230" s="2" t="s">
        <v>546</v>
      </c>
      <c r="D230" s="2" t="s">
        <v>17</v>
      </c>
      <c r="E230" s="2" t="s">
        <v>547</v>
      </c>
      <c r="F230" s="2" t="s">
        <v>31</v>
      </c>
      <c r="G230" s="2" t="s">
        <v>188</v>
      </c>
      <c r="H230" s="2" t="s">
        <v>418</v>
      </c>
      <c r="I230" s="2" t="s">
        <v>419</v>
      </c>
      <c r="J230" s="3">
        <v>6</v>
      </c>
      <c r="K230" s="2" t="s">
        <v>56</v>
      </c>
      <c r="L230" s="3">
        <v>6</v>
      </c>
      <c r="M230" s="10">
        <v>324000</v>
      </c>
      <c r="N230" s="3">
        <v>0</v>
      </c>
      <c r="O230" s="2" t="s">
        <v>20</v>
      </c>
      <c r="P230" s="2" t="s">
        <v>21</v>
      </c>
      <c r="Q230" s="2" t="s">
        <v>548</v>
      </c>
    </row>
    <row r="231" spans="1:17" x14ac:dyDescent="0.25">
      <c r="A231" s="1">
        <v>46322</v>
      </c>
      <c r="B231" s="1">
        <v>46321</v>
      </c>
      <c r="C231" s="2" t="s">
        <v>549</v>
      </c>
      <c r="D231" s="2" t="s">
        <v>550</v>
      </c>
      <c r="E231" s="2" t="s">
        <v>321</v>
      </c>
      <c r="F231" s="2" t="s">
        <v>18</v>
      </c>
      <c r="G231" s="2" t="s">
        <v>148</v>
      </c>
      <c r="H231" s="2" t="s">
        <v>551</v>
      </c>
      <c r="I231" s="2" t="s">
        <v>552</v>
      </c>
      <c r="J231" s="3">
        <v>12</v>
      </c>
      <c r="K231" s="2" t="s">
        <v>56</v>
      </c>
      <c r="L231" s="3">
        <v>12</v>
      </c>
      <c r="M231" s="10">
        <v>3503160</v>
      </c>
      <c r="N231" s="3">
        <v>0</v>
      </c>
      <c r="O231" s="2" t="s">
        <v>20</v>
      </c>
      <c r="P231" s="2" t="s">
        <v>21</v>
      </c>
      <c r="Q231" s="2" t="s">
        <v>22</v>
      </c>
    </row>
    <row r="232" spans="1:17" x14ac:dyDescent="0.25">
      <c r="A232" s="1">
        <v>46322</v>
      </c>
      <c r="B232" s="1">
        <v>46321</v>
      </c>
      <c r="C232" s="2" t="s">
        <v>553</v>
      </c>
      <c r="D232" s="2" t="s">
        <v>550</v>
      </c>
      <c r="E232" s="2" t="s">
        <v>554</v>
      </c>
      <c r="F232" s="2" t="s">
        <v>18</v>
      </c>
      <c r="G232" s="2" t="s">
        <v>25</v>
      </c>
      <c r="H232" s="2" t="s">
        <v>555</v>
      </c>
      <c r="I232" s="2" t="s">
        <v>556</v>
      </c>
      <c r="J232" s="3">
        <v>3</v>
      </c>
      <c r="K232" s="2" t="s">
        <v>28</v>
      </c>
      <c r="L232" s="3">
        <v>3.32</v>
      </c>
      <c r="M232" s="10">
        <v>531200</v>
      </c>
      <c r="N232" s="3">
        <v>0.32</v>
      </c>
      <c r="O232" s="2" t="s">
        <v>20</v>
      </c>
      <c r="P232" s="2" t="s">
        <v>21</v>
      </c>
      <c r="Q232" s="2" t="s">
        <v>22</v>
      </c>
    </row>
    <row r="233" spans="1:17" x14ac:dyDescent="0.25">
      <c r="A233" s="1">
        <v>46322</v>
      </c>
      <c r="B233" s="1">
        <v>46321</v>
      </c>
      <c r="C233" s="2" t="s">
        <v>557</v>
      </c>
      <c r="D233" s="2" t="s">
        <v>550</v>
      </c>
      <c r="E233" s="2" t="s">
        <v>558</v>
      </c>
      <c r="F233" s="2" t="s">
        <v>18</v>
      </c>
      <c r="G233" s="2" t="s">
        <v>61</v>
      </c>
      <c r="H233" s="2" t="s">
        <v>559</v>
      </c>
      <c r="I233" s="2" t="s">
        <v>560</v>
      </c>
      <c r="J233" s="3">
        <v>6</v>
      </c>
      <c r="K233" s="2" t="s">
        <v>414</v>
      </c>
      <c r="L233" s="3">
        <v>6</v>
      </c>
      <c r="M233" s="10">
        <v>510000.02</v>
      </c>
      <c r="N233" s="3">
        <v>0</v>
      </c>
      <c r="O233" s="2" t="s">
        <v>20</v>
      </c>
      <c r="P233" s="2" t="s">
        <v>21</v>
      </c>
      <c r="Q233" s="2" t="s">
        <v>22</v>
      </c>
    </row>
    <row r="234" spans="1:17" x14ac:dyDescent="0.25">
      <c r="A234" s="1">
        <v>46322</v>
      </c>
      <c r="B234" s="1">
        <v>46321</v>
      </c>
      <c r="C234" s="2" t="s">
        <v>561</v>
      </c>
      <c r="D234" s="2" t="s">
        <v>550</v>
      </c>
      <c r="E234" s="2" t="s">
        <v>562</v>
      </c>
      <c r="F234" s="2" t="s">
        <v>31</v>
      </c>
      <c r="G234" s="2" t="s">
        <v>32</v>
      </c>
      <c r="H234" s="2" t="s">
        <v>563</v>
      </c>
      <c r="I234" s="2" t="s">
        <v>564</v>
      </c>
      <c r="J234" s="3">
        <v>12</v>
      </c>
      <c r="K234" s="2" t="s">
        <v>427</v>
      </c>
      <c r="L234" s="3">
        <v>12</v>
      </c>
      <c r="M234" s="10">
        <v>720000</v>
      </c>
      <c r="N234" s="3">
        <v>0</v>
      </c>
      <c r="O234" s="2" t="s">
        <v>20</v>
      </c>
      <c r="P234" s="2" t="s">
        <v>21</v>
      </c>
      <c r="Q234" s="2" t="s">
        <v>22</v>
      </c>
    </row>
    <row r="235" spans="1:17" x14ac:dyDescent="0.25">
      <c r="A235" s="1">
        <v>46322</v>
      </c>
      <c r="B235" s="1">
        <v>46321</v>
      </c>
      <c r="C235" s="2" t="s">
        <v>565</v>
      </c>
      <c r="D235" s="2" t="s">
        <v>550</v>
      </c>
      <c r="E235" s="2" t="s">
        <v>566</v>
      </c>
      <c r="F235" s="2" t="s">
        <v>31</v>
      </c>
      <c r="G235" s="2" t="s">
        <v>67</v>
      </c>
      <c r="H235" s="2" t="s">
        <v>567</v>
      </c>
      <c r="I235" s="2" t="s">
        <v>568</v>
      </c>
      <c r="J235" s="3">
        <v>1</v>
      </c>
      <c r="K235" s="2" t="s">
        <v>151</v>
      </c>
      <c r="L235" s="3">
        <v>1</v>
      </c>
      <c r="M235" s="10">
        <v>350000.01</v>
      </c>
      <c r="N235" s="3">
        <v>0</v>
      </c>
      <c r="O235" s="2" t="s">
        <v>20</v>
      </c>
      <c r="P235" s="2" t="s">
        <v>21</v>
      </c>
      <c r="Q235" s="2" t="s">
        <v>22</v>
      </c>
    </row>
    <row r="236" spans="1:17" x14ac:dyDescent="0.25">
      <c r="A236" s="1">
        <v>46322</v>
      </c>
      <c r="B236" s="1">
        <v>46321</v>
      </c>
      <c r="C236" s="2" t="s">
        <v>569</v>
      </c>
      <c r="D236" s="2" t="s">
        <v>550</v>
      </c>
      <c r="E236" s="2" t="s">
        <v>570</v>
      </c>
      <c r="F236" s="2" t="s">
        <v>31</v>
      </c>
      <c r="G236" s="2" t="s">
        <v>67</v>
      </c>
      <c r="H236" s="2" t="s">
        <v>571</v>
      </c>
      <c r="I236" s="2" t="s">
        <v>572</v>
      </c>
      <c r="J236" s="3">
        <v>2</v>
      </c>
      <c r="K236" s="2" t="s">
        <v>56</v>
      </c>
      <c r="L236" s="3">
        <v>2</v>
      </c>
      <c r="M236" s="10">
        <v>133200</v>
      </c>
      <c r="N236" s="3">
        <v>0</v>
      </c>
      <c r="O236" s="2" t="s">
        <v>20</v>
      </c>
      <c r="P236" s="2" t="s">
        <v>21</v>
      </c>
      <c r="Q236" s="2" t="s">
        <v>573</v>
      </c>
    </row>
    <row r="237" spans="1:17" x14ac:dyDescent="0.25">
      <c r="A237" s="1">
        <v>46322</v>
      </c>
      <c r="B237" s="1">
        <v>46321</v>
      </c>
      <c r="C237" s="2" t="s">
        <v>569</v>
      </c>
      <c r="D237" s="2" t="s">
        <v>550</v>
      </c>
      <c r="E237" s="2" t="s">
        <v>570</v>
      </c>
      <c r="F237" s="2" t="s">
        <v>31</v>
      </c>
      <c r="G237" s="2" t="s">
        <v>67</v>
      </c>
      <c r="H237" s="2" t="s">
        <v>574</v>
      </c>
      <c r="I237" s="2" t="s">
        <v>575</v>
      </c>
      <c r="J237" s="3">
        <v>1</v>
      </c>
      <c r="K237" s="2" t="s">
        <v>56</v>
      </c>
      <c r="L237" s="3">
        <v>1</v>
      </c>
      <c r="M237" s="10">
        <v>99345</v>
      </c>
      <c r="N237" s="3">
        <v>0</v>
      </c>
      <c r="O237" s="2" t="s">
        <v>20</v>
      </c>
      <c r="P237" s="2" t="s">
        <v>21</v>
      </c>
      <c r="Q237" s="2" t="s">
        <v>573</v>
      </c>
    </row>
    <row r="238" spans="1:17" x14ac:dyDescent="0.25">
      <c r="A238" s="1">
        <v>46322</v>
      </c>
      <c r="B238" s="1">
        <v>46321</v>
      </c>
      <c r="C238" s="2" t="s">
        <v>569</v>
      </c>
      <c r="D238" s="2" t="s">
        <v>550</v>
      </c>
      <c r="E238" s="2" t="s">
        <v>570</v>
      </c>
      <c r="F238" s="2" t="s">
        <v>31</v>
      </c>
      <c r="G238" s="2" t="s">
        <v>67</v>
      </c>
      <c r="H238" s="2" t="s">
        <v>576</v>
      </c>
      <c r="I238" s="2" t="s">
        <v>577</v>
      </c>
      <c r="J238" s="3">
        <v>2</v>
      </c>
      <c r="K238" s="2" t="s">
        <v>56</v>
      </c>
      <c r="L238" s="3">
        <v>2</v>
      </c>
      <c r="M238" s="10">
        <v>139330</v>
      </c>
      <c r="N238" s="3">
        <v>0</v>
      </c>
      <c r="O238" s="2" t="s">
        <v>20</v>
      </c>
      <c r="P238" s="2" t="s">
        <v>21</v>
      </c>
      <c r="Q238" s="2" t="s">
        <v>573</v>
      </c>
    </row>
    <row r="239" spans="1:17" x14ac:dyDescent="0.25">
      <c r="A239" s="1">
        <v>46322</v>
      </c>
      <c r="B239" s="1">
        <v>46321</v>
      </c>
      <c r="C239" s="2" t="s">
        <v>569</v>
      </c>
      <c r="D239" s="2" t="s">
        <v>550</v>
      </c>
      <c r="E239" s="2" t="s">
        <v>570</v>
      </c>
      <c r="F239" s="2" t="s">
        <v>31</v>
      </c>
      <c r="G239" s="2" t="s">
        <v>67</v>
      </c>
      <c r="H239" s="2" t="s">
        <v>578</v>
      </c>
      <c r="I239" s="2" t="s">
        <v>579</v>
      </c>
      <c r="J239" s="3">
        <v>2</v>
      </c>
      <c r="K239" s="2" t="s">
        <v>157</v>
      </c>
      <c r="L239" s="3">
        <v>2</v>
      </c>
      <c r="M239" s="10">
        <v>220000</v>
      </c>
      <c r="N239" s="3">
        <v>0</v>
      </c>
      <c r="O239" s="2" t="s">
        <v>20</v>
      </c>
      <c r="P239" s="2" t="s">
        <v>21</v>
      </c>
      <c r="Q239" s="2" t="s">
        <v>573</v>
      </c>
    </row>
    <row r="240" spans="1:17" x14ac:dyDescent="0.25">
      <c r="A240" s="1">
        <v>46322</v>
      </c>
      <c r="B240" s="1">
        <v>46321</v>
      </c>
      <c r="C240" s="2" t="s">
        <v>580</v>
      </c>
      <c r="D240" s="2" t="s">
        <v>550</v>
      </c>
      <c r="E240" s="2" t="s">
        <v>581</v>
      </c>
      <c r="F240" s="2" t="s">
        <v>31</v>
      </c>
      <c r="G240" s="2" t="s">
        <v>67</v>
      </c>
      <c r="H240" s="2" t="s">
        <v>582</v>
      </c>
      <c r="I240" s="2" t="s">
        <v>583</v>
      </c>
      <c r="J240" s="3">
        <v>2</v>
      </c>
      <c r="K240" s="2" t="s">
        <v>70</v>
      </c>
      <c r="L240" s="3">
        <v>2</v>
      </c>
      <c r="M240" s="10">
        <v>319779.90000000002</v>
      </c>
      <c r="N240" s="3">
        <v>0</v>
      </c>
      <c r="O240" s="2" t="s">
        <v>20</v>
      </c>
      <c r="P240" s="2" t="s">
        <v>21</v>
      </c>
      <c r="Q240" s="2" t="s">
        <v>584</v>
      </c>
    </row>
    <row r="241" spans="1:17" x14ac:dyDescent="0.25">
      <c r="A241" s="1">
        <v>46322</v>
      </c>
      <c r="B241" s="1">
        <v>46321</v>
      </c>
      <c r="C241" s="2" t="s">
        <v>580</v>
      </c>
      <c r="D241" s="2" t="s">
        <v>550</v>
      </c>
      <c r="E241" s="2" t="s">
        <v>581</v>
      </c>
      <c r="F241" s="2" t="s">
        <v>31</v>
      </c>
      <c r="G241" s="2" t="s">
        <v>67</v>
      </c>
      <c r="H241" s="2" t="s">
        <v>585</v>
      </c>
      <c r="I241" s="2" t="s">
        <v>586</v>
      </c>
      <c r="J241" s="3">
        <v>4</v>
      </c>
      <c r="K241" s="2" t="s">
        <v>157</v>
      </c>
      <c r="L241" s="3">
        <v>4</v>
      </c>
      <c r="M241" s="10">
        <v>426800.01</v>
      </c>
      <c r="N241" s="3">
        <v>0</v>
      </c>
      <c r="O241" s="2" t="s">
        <v>20</v>
      </c>
      <c r="P241" s="2" t="s">
        <v>21</v>
      </c>
      <c r="Q241" s="2" t="s">
        <v>584</v>
      </c>
    </row>
    <row r="242" spans="1:17" x14ac:dyDescent="0.25">
      <c r="A242" s="1">
        <v>46322</v>
      </c>
      <c r="B242" s="1">
        <v>46321</v>
      </c>
      <c r="C242" s="2" t="s">
        <v>587</v>
      </c>
      <c r="D242" s="2" t="s">
        <v>550</v>
      </c>
      <c r="E242" s="2" t="s">
        <v>588</v>
      </c>
      <c r="F242" s="2" t="s">
        <v>31</v>
      </c>
      <c r="G242" s="2" t="s">
        <v>25</v>
      </c>
      <c r="H242" s="2" t="s">
        <v>582</v>
      </c>
      <c r="I242" s="2" t="s">
        <v>583</v>
      </c>
      <c r="J242" s="3">
        <v>2</v>
      </c>
      <c r="K242" s="2" t="s">
        <v>70</v>
      </c>
      <c r="L242" s="3">
        <v>2</v>
      </c>
      <c r="M242" s="10">
        <v>329670</v>
      </c>
      <c r="N242" s="3">
        <v>0</v>
      </c>
      <c r="O242" s="2" t="s">
        <v>20</v>
      </c>
      <c r="P242" s="2" t="s">
        <v>21</v>
      </c>
      <c r="Q242" s="2" t="s">
        <v>22</v>
      </c>
    </row>
    <row r="243" spans="1:17" x14ac:dyDescent="0.25">
      <c r="A243" s="1">
        <v>46322</v>
      </c>
      <c r="B243" s="1">
        <v>46321</v>
      </c>
      <c r="C243" s="2" t="s">
        <v>589</v>
      </c>
      <c r="D243" s="2" t="s">
        <v>550</v>
      </c>
      <c r="E243" s="2" t="s">
        <v>590</v>
      </c>
      <c r="F243" s="2" t="s">
        <v>18</v>
      </c>
      <c r="G243" s="2" t="s">
        <v>67</v>
      </c>
      <c r="H243" s="2" t="s">
        <v>591</v>
      </c>
      <c r="I243" s="2" t="s">
        <v>592</v>
      </c>
      <c r="J243" s="3">
        <v>1</v>
      </c>
      <c r="K243" s="2" t="s">
        <v>70</v>
      </c>
      <c r="L243" s="3">
        <v>1</v>
      </c>
      <c r="M243" s="10">
        <v>160084.5</v>
      </c>
      <c r="N243" s="3">
        <v>0</v>
      </c>
      <c r="O243" s="2" t="s">
        <v>20</v>
      </c>
      <c r="P243" s="2" t="s">
        <v>21</v>
      </c>
      <c r="Q243" s="2" t="s">
        <v>22</v>
      </c>
    </row>
    <row r="244" spans="1:17" x14ac:dyDescent="0.25">
      <c r="A244" s="1">
        <v>46322</v>
      </c>
      <c r="B244" s="1">
        <v>46321</v>
      </c>
      <c r="C244" s="2" t="s">
        <v>589</v>
      </c>
      <c r="D244" s="2" t="s">
        <v>550</v>
      </c>
      <c r="E244" s="2" t="s">
        <v>590</v>
      </c>
      <c r="F244" s="2" t="s">
        <v>18</v>
      </c>
      <c r="G244" s="2" t="s">
        <v>67</v>
      </c>
      <c r="H244" s="2" t="s">
        <v>593</v>
      </c>
      <c r="I244" s="2" t="s">
        <v>594</v>
      </c>
      <c r="J244" s="3">
        <v>1</v>
      </c>
      <c r="K244" s="2" t="s">
        <v>70</v>
      </c>
      <c r="L244" s="3">
        <v>1</v>
      </c>
      <c r="M244" s="10">
        <v>148684.5</v>
      </c>
      <c r="N244" s="3">
        <v>0</v>
      </c>
      <c r="O244" s="2" t="s">
        <v>20</v>
      </c>
      <c r="P244" s="2" t="s">
        <v>21</v>
      </c>
      <c r="Q244" s="2" t="s">
        <v>22</v>
      </c>
    </row>
    <row r="245" spans="1:17" x14ac:dyDescent="0.25">
      <c r="A245" s="1">
        <v>46322</v>
      </c>
      <c r="B245" s="1">
        <v>46321</v>
      </c>
      <c r="C245" s="2" t="s">
        <v>589</v>
      </c>
      <c r="D245" s="2" t="s">
        <v>550</v>
      </c>
      <c r="E245" s="2" t="s">
        <v>590</v>
      </c>
      <c r="F245" s="2" t="s">
        <v>18</v>
      </c>
      <c r="G245" s="2" t="s">
        <v>67</v>
      </c>
      <c r="H245" s="2" t="s">
        <v>595</v>
      </c>
      <c r="I245" s="2" t="s">
        <v>596</v>
      </c>
      <c r="J245" s="3">
        <v>2</v>
      </c>
      <c r="K245" s="2" t="s">
        <v>157</v>
      </c>
      <c r="L245" s="3">
        <v>2</v>
      </c>
      <c r="M245" s="10">
        <v>220000</v>
      </c>
      <c r="N245" s="3">
        <v>0</v>
      </c>
      <c r="O245" s="2" t="s">
        <v>20</v>
      </c>
      <c r="P245" s="2" t="s">
        <v>21</v>
      </c>
      <c r="Q245" s="2" t="s">
        <v>22</v>
      </c>
    </row>
    <row r="246" spans="1:17" x14ac:dyDescent="0.25">
      <c r="A246" s="1">
        <v>46322</v>
      </c>
      <c r="B246" s="1">
        <v>46321</v>
      </c>
      <c r="C246" s="2" t="s">
        <v>597</v>
      </c>
      <c r="D246" s="2" t="s">
        <v>550</v>
      </c>
      <c r="E246" s="2" t="s">
        <v>108</v>
      </c>
      <c r="F246" s="2" t="s">
        <v>18</v>
      </c>
      <c r="G246" s="2" t="s">
        <v>25</v>
      </c>
      <c r="H246" s="2" t="s">
        <v>598</v>
      </c>
      <c r="I246" s="2" t="s">
        <v>599</v>
      </c>
      <c r="J246" s="3">
        <v>4.5</v>
      </c>
      <c r="K246" s="2" t="s">
        <v>28</v>
      </c>
      <c r="L246" s="3">
        <v>4.5</v>
      </c>
      <c r="M246" s="10">
        <v>599400</v>
      </c>
      <c r="N246" s="3">
        <v>0</v>
      </c>
      <c r="O246" s="2" t="s">
        <v>20</v>
      </c>
      <c r="P246" s="2" t="s">
        <v>21</v>
      </c>
      <c r="Q246" s="2" t="s">
        <v>600</v>
      </c>
    </row>
    <row r="247" spans="1:17" x14ac:dyDescent="0.25">
      <c r="A247" s="1">
        <v>46322</v>
      </c>
      <c r="B247" s="1">
        <v>46321</v>
      </c>
      <c r="C247" s="2" t="s">
        <v>601</v>
      </c>
      <c r="D247" s="2" t="s">
        <v>550</v>
      </c>
      <c r="E247" s="2" t="s">
        <v>602</v>
      </c>
      <c r="F247" s="2" t="s">
        <v>18</v>
      </c>
      <c r="G247" s="2" t="s">
        <v>67</v>
      </c>
      <c r="H247" s="2" t="s">
        <v>591</v>
      </c>
      <c r="I247" s="2" t="s">
        <v>592</v>
      </c>
      <c r="J247" s="3">
        <v>1</v>
      </c>
      <c r="K247" s="2" t="s">
        <v>70</v>
      </c>
      <c r="L247" s="3">
        <v>1</v>
      </c>
      <c r="M247" s="10">
        <v>168510</v>
      </c>
      <c r="N247" s="3">
        <v>0</v>
      </c>
      <c r="O247" s="2" t="s">
        <v>20</v>
      </c>
      <c r="P247" s="2" t="s">
        <v>21</v>
      </c>
      <c r="Q247" s="2" t="s">
        <v>603</v>
      </c>
    </row>
    <row r="248" spans="1:17" x14ac:dyDescent="0.25">
      <c r="A248" s="1">
        <v>46322</v>
      </c>
      <c r="B248" s="1">
        <v>46321</v>
      </c>
      <c r="C248" s="2" t="s">
        <v>601</v>
      </c>
      <c r="D248" s="2" t="s">
        <v>550</v>
      </c>
      <c r="E248" s="2" t="s">
        <v>602</v>
      </c>
      <c r="F248" s="2" t="s">
        <v>18</v>
      </c>
      <c r="G248" s="2" t="s">
        <v>67</v>
      </c>
      <c r="H248" s="2" t="s">
        <v>593</v>
      </c>
      <c r="I248" s="2" t="s">
        <v>594</v>
      </c>
      <c r="J248" s="3">
        <v>1</v>
      </c>
      <c r="K248" s="2" t="s">
        <v>70</v>
      </c>
      <c r="L248" s="3">
        <v>1</v>
      </c>
      <c r="M248" s="10">
        <v>156510</v>
      </c>
      <c r="N248" s="3">
        <v>0</v>
      </c>
      <c r="O248" s="2" t="s">
        <v>20</v>
      </c>
      <c r="P248" s="2" t="s">
        <v>21</v>
      </c>
      <c r="Q248" s="2" t="s">
        <v>603</v>
      </c>
    </row>
    <row r="249" spans="1:17" x14ac:dyDescent="0.25">
      <c r="A249" s="1">
        <v>46322</v>
      </c>
      <c r="B249" s="1">
        <v>46321</v>
      </c>
      <c r="C249" s="2" t="s">
        <v>604</v>
      </c>
      <c r="D249" s="2" t="s">
        <v>550</v>
      </c>
      <c r="E249" s="2" t="s">
        <v>110</v>
      </c>
      <c r="F249" s="2" t="s">
        <v>18</v>
      </c>
      <c r="G249" s="2" t="s">
        <v>25</v>
      </c>
      <c r="H249" s="2" t="s">
        <v>598</v>
      </c>
      <c r="I249" s="2" t="s">
        <v>599</v>
      </c>
      <c r="J249" s="3">
        <v>4.5</v>
      </c>
      <c r="K249" s="2" t="s">
        <v>28</v>
      </c>
      <c r="L249" s="3">
        <v>4.5</v>
      </c>
      <c r="M249" s="10">
        <v>599400</v>
      </c>
      <c r="N249" s="3">
        <v>0</v>
      </c>
      <c r="O249" s="2" t="s">
        <v>20</v>
      </c>
      <c r="P249" s="2" t="s">
        <v>21</v>
      </c>
      <c r="Q249" s="2" t="s">
        <v>605</v>
      </c>
    </row>
    <row r="250" spans="1:17" x14ac:dyDescent="0.25">
      <c r="A250" s="1">
        <v>46322</v>
      </c>
      <c r="B250" s="1">
        <v>46321</v>
      </c>
      <c r="C250" s="2" t="s">
        <v>606</v>
      </c>
      <c r="D250" s="2" t="s">
        <v>550</v>
      </c>
      <c r="E250" s="2" t="s">
        <v>118</v>
      </c>
      <c r="F250" s="2" t="s">
        <v>18</v>
      </c>
      <c r="G250" s="2" t="s">
        <v>25</v>
      </c>
      <c r="H250" s="2" t="s">
        <v>598</v>
      </c>
      <c r="I250" s="2" t="s">
        <v>599</v>
      </c>
      <c r="J250" s="3">
        <v>4.5</v>
      </c>
      <c r="K250" s="2" t="s">
        <v>28</v>
      </c>
      <c r="L250" s="3">
        <v>4.5</v>
      </c>
      <c r="M250" s="10">
        <v>599400</v>
      </c>
      <c r="N250" s="3">
        <v>0</v>
      </c>
      <c r="O250" s="2" t="s">
        <v>20</v>
      </c>
      <c r="P250" s="2" t="s">
        <v>21</v>
      </c>
      <c r="Q250" s="2" t="s">
        <v>600</v>
      </c>
    </row>
    <row r="251" spans="1:17" x14ac:dyDescent="0.25">
      <c r="A251" s="1">
        <v>46322</v>
      </c>
      <c r="B251" s="1">
        <v>46321</v>
      </c>
      <c r="C251" s="2" t="s">
        <v>607</v>
      </c>
      <c r="D251" s="2" t="s">
        <v>550</v>
      </c>
      <c r="E251" s="2" t="s">
        <v>120</v>
      </c>
      <c r="F251" s="2" t="s">
        <v>18</v>
      </c>
      <c r="G251" s="2" t="s">
        <v>25</v>
      </c>
      <c r="H251" s="2" t="s">
        <v>598</v>
      </c>
      <c r="I251" s="2" t="s">
        <v>599</v>
      </c>
      <c r="J251" s="3">
        <v>4.5</v>
      </c>
      <c r="K251" s="2" t="s">
        <v>28</v>
      </c>
      <c r="L251" s="3">
        <v>4.5</v>
      </c>
      <c r="M251" s="10">
        <v>599400</v>
      </c>
      <c r="N251" s="3">
        <v>0</v>
      </c>
      <c r="O251" s="2" t="s">
        <v>20</v>
      </c>
      <c r="P251" s="2" t="s">
        <v>21</v>
      </c>
      <c r="Q251" s="2" t="s">
        <v>600</v>
      </c>
    </row>
    <row r="252" spans="1:17" x14ac:dyDescent="0.25">
      <c r="A252" s="1">
        <v>46322</v>
      </c>
      <c r="B252" s="1">
        <v>46321</v>
      </c>
      <c r="C252" s="2" t="s">
        <v>608</v>
      </c>
      <c r="D252" s="2" t="s">
        <v>550</v>
      </c>
      <c r="E252" s="2" t="s">
        <v>609</v>
      </c>
      <c r="F252" s="2" t="s">
        <v>18</v>
      </c>
      <c r="G252" s="2" t="s">
        <v>25</v>
      </c>
      <c r="H252" s="2" t="s">
        <v>591</v>
      </c>
      <c r="I252" s="2" t="s">
        <v>592</v>
      </c>
      <c r="J252" s="3">
        <v>1</v>
      </c>
      <c r="K252" s="2" t="s">
        <v>70</v>
      </c>
      <c r="L252" s="3">
        <v>1</v>
      </c>
      <c r="M252" s="10">
        <v>151659</v>
      </c>
      <c r="N252" s="3">
        <v>0</v>
      </c>
      <c r="O252" s="2" t="s">
        <v>20</v>
      </c>
      <c r="P252" s="2" t="s">
        <v>21</v>
      </c>
      <c r="Q252" s="2" t="s">
        <v>610</v>
      </c>
    </row>
    <row r="253" spans="1:17" x14ac:dyDescent="0.25">
      <c r="A253" s="1">
        <v>46322</v>
      </c>
      <c r="B253" s="1">
        <v>46321</v>
      </c>
      <c r="C253" s="2" t="s">
        <v>608</v>
      </c>
      <c r="D253" s="2" t="s">
        <v>550</v>
      </c>
      <c r="E253" s="2" t="s">
        <v>609</v>
      </c>
      <c r="F253" s="2" t="s">
        <v>18</v>
      </c>
      <c r="G253" s="2" t="s">
        <v>25</v>
      </c>
      <c r="H253" s="2" t="s">
        <v>582</v>
      </c>
      <c r="I253" s="2" t="s">
        <v>583</v>
      </c>
      <c r="J253" s="3">
        <v>1</v>
      </c>
      <c r="K253" s="2" t="s">
        <v>70</v>
      </c>
      <c r="L253" s="3">
        <v>1</v>
      </c>
      <c r="M253" s="10">
        <v>148351.5</v>
      </c>
      <c r="N253" s="3">
        <v>0</v>
      </c>
      <c r="O253" s="2" t="s">
        <v>20</v>
      </c>
      <c r="P253" s="2" t="s">
        <v>21</v>
      </c>
      <c r="Q253" s="2" t="s">
        <v>610</v>
      </c>
    </row>
    <row r="254" spans="1:17" x14ac:dyDescent="0.25">
      <c r="A254" s="1">
        <v>46322</v>
      </c>
      <c r="B254" s="1">
        <v>46321</v>
      </c>
      <c r="C254" s="2" t="s">
        <v>608</v>
      </c>
      <c r="D254" s="2" t="s">
        <v>550</v>
      </c>
      <c r="E254" s="2" t="s">
        <v>609</v>
      </c>
      <c r="F254" s="2" t="s">
        <v>18</v>
      </c>
      <c r="G254" s="2" t="s">
        <v>25</v>
      </c>
      <c r="H254" s="2" t="s">
        <v>571</v>
      </c>
      <c r="I254" s="2" t="s">
        <v>572</v>
      </c>
      <c r="J254" s="3">
        <v>2</v>
      </c>
      <c r="K254" s="2" t="s">
        <v>56</v>
      </c>
      <c r="L254" s="3">
        <v>2</v>
      </c>
      <c r="M254" s="10">
        <v>119880</v>
      </c>
      <c r="N254" s="3">
        <v>0</v>
      </c>
      <c r="O254" s="2" t="s">
        <v>20</v>
      </c>
      <c r="P254" s="2" t="s">
        <v>21</v>
      </c>
      <c r="Q254" s="2" t="s">
        <v>610</v>
      </c>
    </row>
    <row r="255" spans="1:17" x14ac:dyDescent="0.25">
      <c r="A255" s="1">
        <v>46322</v>
      </c>
      <c r="B255" s="1">
        <v>46321</v>
      </c>
      <c r="C255" s="2" t="s">
        <v>611</v>
      </c>
      <c r="D255" s="2" t="s">
        <v>550</v>
      </c>
      <c r="E255" s="2" t="s">
        <v>612</v>
      </c>
      <c r="F255" s="2" t="s">
        <v>18</v>
      </c>
      <c r="G255" s="2" t="s">
        <v>113</v>
      </c>
      <c r="H255" s="2" t="s">
        <v>613</v>
      </c>
      <c r="I255" s="2" t="s">
        <v>614</v>
      </c>
      <c r="J255" s="3">
        <v>4</v>
      </c>
      <c r="K255" s="2" t="s">
        <v>615</v>
      </c>
      <c r="L255" s="3">
        <v>4</v>
      </c>
      <c r="M255" s="10">
        <v>2600000.02</v>
      </c>
      <c r="N255" s="3">
        <v>0</v>
      </c>
      <c r="O255" s="2" t="s">
        <v>20</v>
      </c>
      <c r="P255" s="2" t="s">
        <v>21</v>
      </c>
      <c r="Q255" s="2" t="s">
        <v>22</v>
      </c>
    </row>
    <row r="256" spans="1:17" x14ac:dyDescent="0.25">
      <c r="A256" s="1">
        <v>46322</v>
      </c>
      <c r="B256" s="1">
        <v>46321</v>
      </c>
      <c r="C256" s="2" t="s">
        <v>616</v>
      </c>
      <c r="D256" s="2" t="s">
        <v>550</v>
      </c>
      <c r="E256" s="2" t="s">
        <v>120</v>
      </c>
      <c r="F256" s="2" t="s">
        <v>18</v>
      </c>
      <c r="G256" s="2" t="s">
        <v>25</v>
      </c>
      <c r="H256" s="2" t="s">
        <v>617</v>
      </c>
      <c r="I256" s="2" t="s">
        <v>618</v>
      </c>
      <c r="J256" s="3">
        <v>2</v>
      </c>
      <c r="K256" s="2" t="s">
        <v>157</v>
      </c>
      <c r="L256" s="3">
        <v>2</v>
      </c>
      <c r="M256" s="10">
        <v>220000</v>
      </c>
      <c r="N256" s="3">
        <v>0</v>
      </c>
      <c r="O256" s="2" t="s">
        <v>20</v>
      </c>
      <c r="P256" s="2" t="s">
        <v>21</v>
      </c>
      <c r="Q256" s="2" t="s">
        <v>22</v>
      </c>
    </row>
    <row r="257" spans="1:17" x14ac:dyDescent="0.25">
      <c r="A257" s="1">
        <v>46322</v>
      </c>
      <c r="B257" s="1">
        <v>46321</v>
      </c>
      <c r="C257" s="2" t="s">
        <v>619</v>
      </c>
      <c r="D257" s="2" t="s">
        <v>550</v>
      </c>
      <c r="E257" s="2" t="s">
        <v>118</v>
      </c>
      <c r="F257" s="2" t="s">
        <v>18</v>
      </c>
      <c r="G257" s="2" t="s">
        <v>25</v>
      </c>
      <c r="H257" s="2" t="s">
        <v>617</v>
      </c>
      <c r="I257" s="2" t="s">
        <v>618</v>
      </c>
      <c r="J257" s="3">
        <v>2</v>
      </c>
      <c r="K257" s="2" t="s">
        <v>157</v>
      </c>
      <c r="L257" s="3">
        <v>2</v>
      </c>
      <c r="M257" s="10">
        <v>220000</v>
      </c>
      <c r="N257" s="3">
        <v>0</v>
      </c>
      <c r="O257" s="2" t="s">
        <v>20</v>
      </c>
      <c r="P257" s="2" t="s">
        <v>21</v>
      </c>
      <c r="Q257" s="2" t="s">
        <v>22</v>
      </c>
    </row>
    <row r="258" spans="1:17" x14ac:dyDescent="0.25">
      <c r="A258" s="1">
        <v>46322</v>
      </c>
      <c r="B258" s="1">
        <v>46321</v>
      </c>
      <c r="C258" s="2" t="s">
        <v>620</v>
      </c>
      <c r="D258" s="2" t="s">
        <v>550</v>
      </c>
      <c r="E258" s="2" t="s">
        <v>110</v>
      </c>
      <c r="F258" s="2" t="s">
        <v>18</v>
      </c>
      <c r="G258" s="2" t="s">
        <v>25</v>
      </c>
      <c r="H258" s="2" t="s">
        <v>617</v>
      </c>
      <c r="I258" s="2" t="s">
        <v>618</v>
      </c>
      <c r="J258" s="3">
        <v>2</v>
      </c>
      <c r="K258" s="2" t="s">
        <v>157</v>
      </c>
      <c r="L258" s="3">
        <v>2</v>
      </c>
      <c r="M258" s="10">
        <v>220000</v>
      </c>
      <c r="N258" s="3">
        <v>0</v>
      </c>
      <c r="O258" s="2" t="s">
        <v>20</v>
      </c>
      <c r="P258" s="2" t="s">
        <v>21</v>
      </c>
      <c r="Q258" s="2" t="s">
        <v>22</v>
      </c>
    </row>
    <row r="259" spans="1:17" x14ac:dyDescent="0.25">
      <c r="A259" s="1">
        <v>46322</v>
      </c>
      <c r="B259" s="1">
        <v>46321</v>
      </c>
      <c r="C259" s="2" t="s">
        <v>621</v>
      </c>
      <c r="D259" s="2" t="s">
        <v>550</v>
      </c>
      <c r="E259" s="2" t="s">
        <v>108</v>
      </c>
      <c r="F259" s="2" t="s">
        <v>18</v>
      </c>
      <c r="G259" s="2" t="s">
        <v>25</v>
      </c>
      <c r="H259" s="2" t="s">
        <v>617</v>
      </c>
      <c r="I259" s="2" t="s">
        <v>618</v>
      </c>
      <c r="J259" s="3">
        <v>2</v>
      </c>
      <c r="K259" s="2" t="s">
        <v>157</v>
      </c>
      <c r="L259" s="3">
        <v>2</v>
      </c>
      <c r="M259" s="10">
        <v>220000</v>
      </c>
      <c r="N259" s="3">
        <v>0</v>
      </c>
      <c r="O259" s="2" t="s">
        <v>20</v>
      </c>
      <c r="P259" s="2" t="s">
        <v>21</v>
      </c>
      <c r="Q259" s="2" t="s">
        <v>22</v>
      </c>
    </row>
    <row r="260" spans="1:17" x14ac:dyDescent="0.25">
      <c r="A260" s="1">
        <v>46322</v>
      </c>
      <c r="B260" s="1">
        <v>46321</v>
      </c>
      <c r="C260" s="2" t="s">
        <v>622</v>
      </c>
      <c r="D260" s="2" t="s">
        <v>550</v>
      </c>
      <c r="E260" s="2" t="s">
        <v>623</v>
      </c>
      <c r="F260" s="2" t="s">
        <v>18</v>
      </c>
      <c r="G260" s="2" t="s">
        <v>113</v>
      </c>
      <c r="H260" s="2" t="s">
        <v>624</v>
      </c>
      <c r="I260" s="2" t="s">
        <v>625</v>
      </c>
      <c r="J260" s="3">
        <v>6</v>
      </c>
      <c r="K260" s="2" t="s">
        <v>56</v>
      </c>
      <c r="L260" s="3">
        <v>6</v>
      </c>
      <c r="M260" s="10">
        <v>794999.99</v>
      </c>
      <c r="N260" s="3">
        <v>0</v>
      </c>
      <c r="O260" s="2" t="s">
        <v>20</v>
      </c>
      <c r="P260" s="2" t="s">
        <v>21</v>
      </c>
      <c r="Q260" s="2" t="s">
        <v>22</v>
      </c>
    </row>
    <row r="261" spans="1:17" x14ac:dyDescent="0.25">
      <c r="A261" s="1">
        <v>46322</v>
      </c>
      <c r="B261" s="1">
        <v>46321</v>
      </c>
      <c r="C261" s="2" t="s">
        <v>626</v>
      </c>
      <c r="D261" s="2" t="s">
        <v>550</v>
      </c>
      <c r="E261" s="2" t="s">
        <v>627</v>
      </c>
      <c r="F261" s="2" t="s">
        <v>18</v>
      </c>
      <c r="G261" s="2" t="s">
        <v>229</v>
      </c>
      <c r="H261" s="2" t="s">
        <v>563</v>
      </c>
      <c r="I261" s="2" t="s">
        <v>564</v>
      </c>
      <c r="J261" s="3">
        <v>5</v>
      </c>
      <c r="K261" s="2" t="s">
        <v>427</v>
      </c>
      <c r="L261" s="3">
        <v>5</v>
      </c>
      <c r="M261" s="10">
        <v>325000</v>
      </c>
      <c r="N261" s="3">
        <v>0</v>
      </c>
      <c r="O261" s="2" t="s">
        <v>20</v>
      </c>
      <c r="P261" s="2" t="s">
        <v>21</v>
      </c>
      <c r="Q261" s="2" t="s">
        <v>22</v>
      </c>
    </row>
    <row r="262" spans="1:17" x14ac:dyDescent="0.25">
      <c r="A262" s="1">
        <v>46322</v>
      </c>
      <c r="B262" s="1">
        <v>46321</v>
      </c>
      <c r="C262" s="2" t="s">
        <v>628</v>
      </c>
      <c r="D262" s="2" t="s">
        <v>550</v>
      </c>
      <c r="E262" s="2" t="s">
        <v>629</v>
      </c>
      <c r="F262" s="2" t="s">
        <v>18</v>
      </c>
      <c r="G262" s="2" t="s">
        <v>113</v>
      </c>
      <c r="H262" s="2" t="s">
        <v>630</v>
      </c>
      <c r="I262" s="2" t="s">
        <v>631</v>
      </c>
      <c r="J262" s="3">
        <v>2</v>
      </c>
      <c r="K262" s="2" t="s">
        <v>632</v>
      </c>
      <c r="L262" s="3">
        <v>2</v>
      </c>
      <c r="M262" s="10">
        <v>213180.01</v>
      </c>
      <c r="N262" s="3">
        <v>0</v>
      </c>
      <c r="O262" s="2" t="s">
        <v>20</v>
      </c>
      <c r="P262" s="2" t="s">
        <v>21</v>
      </c>
      <c r="Q262" s="2" t="s">
        <v>633</v>
      </c>
    </row>
    <row r="263" spans="1:17" x14ac:dyDescent="0.25">
      <c r="A263" s="1">
        <v>46322</v>
      </c>
      <c r="B263" s="1">
        <v>46321</v>
      </c>
      <c r="C263" s="2" t="s">
        <v>628</v>
      </c>
      <c r="D263" s="2" t="s">
        <v>550</v>
      </c>
      <c r="E263" s="2" t="s">
        <v>629</v>
      </c>
      <c r="F263" s="2" t="s">
        <v>18</v>
      </c>
      <c r="G263" s="2" t="s">
        <v>113</v>
      </c>
      <c r="H263" s="2" t="s">
        <v>634</v>
      </c>
      <c r="I263" s="2" t="s">
        <v>635</v>
      </c>
      <c r="J263" s="3">
        <v>1</v>
      </c>
      <c r="K263" s="2" t="s">
        <v>632</v>
      </c>
      <c r="L263" s="3">
        <v>1</v>
      </c>
      <c r="M263" s="10">
        <v>121000</v>
      </c>
      <c r="N263" s="3">
        <v>0</v>
      </c>
      <c r="O263" s="2" t="s">
        <v>20</v>
      </c>
      <c r="P263" s="2" t="s">
        <v>21</v>
      </c>
      <c r="Q263" s="2" t="s">
        <v>633</v>
      </c>
    </row>
    <row r="264" spans="1:17" x14ac:dyDescent="0.25">
      <c r="A264" s="1">
        <v>46322</v>
      </c>
      <c r="B264" s="1">
        <v>46321</v>
      </c>
      <c r="C264" s="2" t="s">
        <v>636</v>
      </c>
      <c r="D264" s="2" t="s">
        <v>550</v>
      </c>
      <c r="E264" s="2" t="s">
        <v>637</v>
      </c>
      <c r="F264" s="2" t="s">
        <v>31</v>
      </c>
      <c r="G264" s="2" t="s">
        <v>32</v>
      </c>
      <c r="H264" s="2" t="s">
        <v>563</v>
      </c>
      <c r="I264" s="2" t="s">
        <v>564</v>
      </c>
      <c r="J264" s="3">
        <v>3</v>
      </c>
      <c r="K264" s="2" t="s">
        <v>427</v>
      </c>
      <c r="L264" s="3">
        <v>3</v>
      </c>
      <c r="M264" s="10">
        <v>150000.01</v>
      </c>
      <c r="N264" s="3">
        <v>0</v>
      </c>
      <c r="O264" s="2" t="s">
        <v>20</v>
      </c>
      <c r="P264" s="2" t="s">
        <v>21</v>
      </c>
      <c r="Q264" s="2" t="s">
        <v>638</v>
      </c>
    </row>
    <row r="265" spans="1:17" x14ac:dyDescent="0.25">
      <c r="A265" s="1">
        <v>46322</v>
      </c>
      <c r="B265" s="1">
        <v>46321</v>
      </c>
      <c r="C265" s="2" t="s">
        <v>639</v>
      </c>
      <c r="D265" s="2" t="s">
        <v>550</v>
      </c>
      <c r="E265" s="2" t="s">
        <v>637</v>
      </c>
      <c r="F265" s="2" t="s">
        <v>31</v>
      </c>
      <c r="G265" s="2" t="s">
        <v>32</v>
      </c>
      <c r="H265" s="2" t="s">
        <v>640</v>
      </c>
      <c r="I265" s="2" t="s">
        <v>641</v>
      </c>
      <c r="J265" s="3">
        <v>2</v>
      </c>
      <c r="K265" s="2" t="s">
        <v>28</v>
      </c>
      <c r="L265" s="3">
        <v>2</v>
      </c>
      <c r="M265" s="10">
        <v>200000</v>
      </c>
      <c r="N265" s="3">
        <v>0</v>
      </c>
      <c r="O265" s="2" t="s">
        <v>20</v>
      </c>
      <c r="P265" s="2" t="s">
        <v>21</v>
      </c>
      <c r="Q265" s="2" t="s">
        <v>638</v>
      </c>
    </row>
    <row r="266" spans="1:17" x14ac:dyDescent="0.25">
      <c r="A266" s="1">
        <v>46322</v>
      </c>
      <c r="B266" s="1">
        <v>46321</v>
      </c>
      <c r="C266" s="2" t="s">
        <v>642</v>
      </c>
      <c r="D266" s="2" t="s">
        <v>550</v>
      </c>
      <c r="E266" s="2" t="s">
        <v>643</v>
      </c>
      <c r="F266" s="2" t="s">
        <v>18</v>
      </c>
      <c r="G266" s="2" t="s">
        <v>148</v>
      </c>
      <c r="H266" s="2" t="s">
        <v>644</v>
      </c>
      <c r="I266" s="2" t="s">
        <v>645</v>
      </c>
      <c r="J266" s="3">
        <v>3</v>
      </c>
      <c r="K266" s="2" t="s">
        <v>151</v>
      </c>
      <c r="L266" s="3">
        <v>3</v>
      </c>
      <c r="M266" s="10">
        <v>1650000.02</v>
      </c>
      <c r="N266" s="3">
        <v>0</v>
      </c>
      <c r="O266" s="2" t="s">
        <v>20</v>
      </c>
      <c r="P266" s="2" t="s">
        <v>21</v>
      </c>
      <c r="Q266" s="2" t="s">
        <v>22</v>
      </c>
    </row>
    <row r="267" spans="1:17" x14ac:dyDescent="0.25">
      <c r="A267" s="1">
        <v>46322</v>
      </c>
      <c r="B267" s="1">
        <v>46321</v>
      </c>
      <c r="C267" s="2" t="s">
        <v>646</v>
      </c>
      <c r="D267" s="2" t="s">
        <v>550</v>
      </c>
      <c r="E267" s="2" t="s">
        <v>647</v>
      </c>
      <c r="F267" s="2" t="s">
        <v>18</v>
      </c>
      <c r="G267" s="2" t="s">
        <v>648</v>
      </c>
      <c r="H267" s="2" t="s">
        <v>591</v>
      </c>
      <c r="I267" s="2" t="s">
        <v>592</v>
      </c>
      <c r="J267" s="3">
        <v>24</v>
      </c>
      <c r="K267" s="2" t="s">
        <v>70</v>
      </c>
      <c r="L267" s="3">
        <v>24</v>
      </c>
      <c r="M267" s="10">
        <v>4044165.1200000001</v>
      </c>
      <c r="N267" s="3">
        <v>0</v>
      </c>
      <c r="O267" s="2" t="s">
        <v>20</v>
      </c>
      <c r="P267" s="2" t="s">
        <v>21</v>
      </c>
      <c r="Q267" s="2" t="s">
        <v>22</v>
      </c>
    </row>
    <row r="268" spans="1:17" x14ac:dyDescent="0.25">
      <c r="A268" s="1">
        <v>46322</v>
      </c>
      <c r="B268" s="1">
        <v>46321</v>
      </c>
      <c r="C268" s="2" t="s">
        <v>646</v>
      </c>
      <c r="D268" s="2" t="s">
        <v>550</v>
      </c>
      <c r="E268" s="2" t="s">
        <v>647</v>
      </c>
      <c r="F268" s="2" t="s">
        <v>18</v>
      </c>
      <c r="G268" s="2" t="s">
        <v>648</v>
      </c>
      <c r="H268" s="2" t="s">
        <v>582</v>
      </c>
      <c r="I268" s="2" t="s">
        <v>583</v>
      </c>
      <c r="J268" s="3">
        <v>12</v>
      </c>
      <c r="K268" s="2" t="s">
        <v>70</v>
      </c>
      <c r="L268" s="3">
        <v>12</v>
      </c>
      <c r="M268" s="10">
        <v>1978020</v>
      </c>
      <c r="N268" s="3">
        <v>0</v>
      </c>
      <c r="O268" s="2" t="s">
        <v>20</v>
      </c>
      <c r="P268" s="2" t="s">
        <v>21</v>
      </c>
      <c r="Q268" s="2" t="s">
        <v>22</v>
      </c>
    </row>
    <row r="269" spans="1:17" x14ac:dyDescent="0.25">
      <c r="A269" s="1">
        <v>46322</v>
      </c>
      <c r="B269" s="1">
        <v>46321</v>
      </c>
      <c r="C269" s="2" t="s">
        <v>646</v>
      </c>
      <c r="D269" s="2" t="s">
        <v>550</v>
      </c>
      <c r="E269" s="2" t="s">
        <v>647</v>
      </c>
      <c r="F269" s="2" t="s">
        <v>18</v>
      </c>
      <c r="G269" s="2" t="s">
        <v>648</v>
      </c>
      <c r="H269" s="2" t="s">
        <v>649</v>
      </c>
      <c r="I269" s="2" t="s">
        <v>650</v>
      </c>
      <c r="J269" s="3">
        <v>40</v>
      </c>
      <c r="K269" s="2" t="s">
        <v>70</v>
      </c>
      <c r="L269" s="3">
        <v>31</v>
      </c>
      <c r="M269" s="10">
        <v>1797922.5</v>
      </c>
      <c r="N269" s="3">
        <v>-9</v>
      </c>
      <c r="O269" s="2" t="s">
        <v>20</v>
      </c>
      <c r="P269" s="2" t="s">
        <v>21</v>
      </c>
      <c r="Q269" s="2" t="s">
        <v>22</v>
      </c>
    </row>
    <row r="270" spans="1:17" x14ac:dyDescent="0.25">
      <c r="A270" s="1">
        <v>46322</v>
      </c>
      <c r="B270" s="1">
        <v>46321</v>
      </c>
      <c r="C270" s="2" t="s">
        <v>646</v>
      </c>
      <c r="D270" s="2" t="s">
        <v>550</v>
      </c>
      <c r="E270" s="2" t="s">
        <v>647</v>
      </c>
      <c r="F270" s="2" t="s">
        <v>18</v>
      </c>
      <c r="G270" s="2" t="s">
        <v>648</v>
      </c>
      <c r="H270" s="2" t="s">
        <v>651</v>
      </c>
      <c r="I270" s="2" t="s">
        <v>652</v>
      </c>
      <c r="J270" s="3">
        <v>48</v>
      </c>
      <c r="K270" s="2" t="s">
        <v>56</v>
      </c>
      <c r="L270" s="3">
        <v>2</v>
      </c>
      <c r="M270" s="10">
        <v>57997.5</v>
      </c>
      <c r="N270" s="3">
        <v>-46</v>
      </c>
      <c r="O270" s="2" t="s">
        <v>20</v>
      </c>
      <c r="P270" s="2" t="s">
        <v>21</v>
      </c>
      <c r="Q270" s="2" t="s">
        <v>22</v>
      </c>
    </row>
    <row r="271" spans="1:17" x14ac:dyDescent="0.25">
      <c r="A271" s="1">
        <v>46322</v>
      </c>
      <c r="B271" s="1">
        <v>46321</v>
      </c>
      <c r="C271" s="2" t="s">
        <v>653</v>
      </c>
      <c r="D271" s="2" t="s">
        <v>550</v>
      </c>
      <c r="E271" s="2" t="s">
        <v>198</v>
      </c>
      <c r="F271" s="2" t="s">
        <v>18</v>
      </c>
      <c r="G271" s="2" t="s">
        <v>209</v>
      </c>
      <c r="H271" s="2" t="s">
        <v>559</v>
      </c>
      <c r="I271" s="2" t="s">
        <v>560</v>
      </c>
      <c r="J271" s="3">
        <v>18</v>
      </c>
      <c r="K271" s="2" t="s">
        <v>414</v>
      </c>
      <c r="L271" s="3">
        <v>18</v>
      </c>
      <c r="M271" s="10">
        <v>1530000.07</v>
      </c>
      <c r="N271" s="3">
        <v>0</v>
      </c>
      <c r="O271" s="2" t="s">
        <v>20</v>
      </c>
      <c r="P271" s="2" t="s">
        <v>21</v>
      </c>
      <c r="Q271" s="2" t="s">
        <v>654</v>
      </c>
    </row>
    <row r="272" spans="1:17" x14ac:dyDescent="0.25">
      <c r="A272" s="1">
        <v>46322</v>
      </c>
      <c r="B272" s="1">
        <v>46321</v>
      </c>
      <c r="C272" s="2" t="s">
        <v>655</v>
      </c>
      <c r="D272" s="2" t="s">
        <v>550</v>
      </c>
      <c r="E272" s="2" t="s">
        <v>260</v>
      </c>
      <c r="F272" s="2" t="s">
        <v>18</v>
      </c>
      <c r="G272" s="2" t="s">
        <v>61</v>
      </c>
      <c r="H272" s="2" t="s">
        <v>559</v>
      </c>
      <c r="I272" s="2" t="s">
        <v>560</v>
      </c>
      <c r="J272" s="3">
        <v>12</v>
      </c>
      <c r="K272" s="2" t="s">
        <v>414</v>
      </c>
      <c r="L272" s="3">
        <v>12</v>
      </c>
      <c r="M272" s="10">
        <v>960000.11</v>
      </c>
      <c r="N272" s="3">
        <v>0</v>
      </c>
      <c r="O272" s="2" t="s">
        <v>20</v>
      </c>
      <c r="P272" s="2" t="s">
        <v>21</v>
      </c>
      <c r="Q272" s="2" t="s">
        <v>656</v>
      </c>
    </row>
    <row r="273" spans="1:17" x14ac:dyDescent="0.25">
      <c r="A273" s="1">
        <v>46322</v>
      </c>
      <c r="B273" s="1">
        <v>46321</v>
      </c>
      <c r="C273" s="2" t="s">
        <v>657</v>
      </c>
      <c r="D273" s="2" t="s">
        <v>550</v>
      </c>
      <c r="E273" s="2" t="s">
        <v>233</v>
      </c>
      <c r="F273" s="2" t="s">
        <v>18</v>
      </c>
      <c r="G273" s="2" t="s">
        <v>234</v>
      </c>
      <c r="H273" s="2" t="s">
        <v>598</v>
      </c>
      <c r="I273" s="2" t="s">
        <v>599</v>
      </c>
      <c r="J273" s="3">
        <v>30</v>
      </c>
      <c r="K273" s="2" t="s">
        <v>28</v>
      </c>
      <c r="L273" s="3">
        <v>30</v>
      </c>
      <c r="M273" s="10">
        <v>3840000.16</v>
      </c>
      <c r="N273" s="3">
        <v>0</v>
      </c>
      <c r="O273" s="2" t="s">
        <v>20</v>
      </c>
      <c r="P273" s="2" t="s">
        <v>21</v>
      </c>
      <c r="Q273" s="2" t="s">
        <v>22</v>
      </c>
    </row>
    <row r="274" spans="1:17" x14ac:dyDescent="0.25">
      <c r="A274" s="1">
        <v>46322</v>
      </c>
      <c r="B274" s="1">
        <v>46321</v>
      </c>
      <c r="C274" s="2" t="s">
        <v>658</v>
      </c>
      <c r="D274" s="2" t="s">
        <v>550</v>
      </c>
      <c r="E274" s="2" t="s">
        <v>246</v>
      </c>
      <c r="F274" s="2" t="s">
        <v>18</v>
      </c>
      <c r="G274" s="2" t="s">
        <v>247</v>
      </c>
      <c r="H274" s="2" t="s">
        <v>644</v>
      </c>
      <c r="I274" s="2" t="s">
        <v>645</v>
      </c>
      <c r="J274" s="3">
        <v>2</v>
      </c>
      <c r="K274" s="2" t="s">
        <v>151</v>
      </c>
      <c r="L274" s="3">
        <v>2</v>
      </c>
      <c r="M274" s="10">
        <v>1000000</v>
      </c>
      <c r="N274" s="3">
        <v>0</v>
      </c>
      <c r="O274" s="2" t="s">
        <v>20</v>
      </c>
      <c r="P274" s="2" t="s">
        <v>21</v>
      </c>
      <c r="Q274" s="2" t="s">
        <v>659</v>
      </c>
    </row>
    <row r="275" spans="1:17" x14ac:dyDescent="0.25">
      <c r="A275" s="1">
        <v>46322</v>
      </c>
      <c r="B275" s="1">
        <v>46321</v>
      </c>
      <c r="C275" s="2" t="s">
        <v>660</v>
      </c>
      <c r="D275" s="2" t="s">
        <v>550</v>
      </c>
      <c r="E275" s="2" t="s">
        <v>661</v>
      </c>
      <c r="F275" s="2" t="s">
        <v>18</v>
      </c>
      <c r="G275" s="2" t="s">
        <v>25</v>
      </c>
      <c r="H275" s="2" t="s">
        <v>662</v>
      </c>
      <c r="I275" s="2" t="s">
        <v>663</v>
      </c>
      <c r="J275" s="3">
        <v>8</v>
      </c>
      <c r="K275" s="2" t="s">
        <v>56</v>
      </c>
      <c r="L275" s="3">
        <v>8</v>
      </c>
      <c r="M275" s="10">
        <v>1140000.01</v>
      </c>
      <c r="N275" s="3">
        <v>0</v>
      </c>
      <c r="O275" s="2" t="s">
        <v>20</v>
      </c>
      <c r="P275" s="2" t="s">
        <v>21</v>
      </c>
      <c r="Q275" s="2" t="s">
        <v>22</v>
      </c>
    </row>
    <row r="276" spans="1:17" x14ac:dyDescent="0.25">
      <c r="A276" s="1">
        <v>46322</v>
      </c>
      <c r="B276" s="1">
        <v>46321</v>
      </c>
      <c r="C276" s="2" t="s">
        <v>664</v>
      </c>
      <c r="D276" s="2" t="s">
        <v>550</v>
      </c>
      <c r="E276" s="2" t="s">
        <v>255</v>
      </c>
      <c r="F276" s="2" t="s">
        <v>18</v>
      </c>
      <c r="G276" s="2" t="s">
        <v>25</v>
      </c>
      <c r="H276" s="2" t="s">
        <v>665</v>
      </c>
      <c r="I276" s="2" t="s">
        <v>666</v>
      </c>
      <c r="J276" s="3">
        <v>24</v>
      </c>
      <c r="K276" s="2" t="s">
        <v>28</v>
      </c>
      <c r="L276" s="3">
        <v>28.78</v>
      </c>
      <c r="M276" s="10">
        <v>3453600</v>
      </c>
      <c r="N276" s="3">
        <v>4.78</v>
      </c>
      <c r="O276" s="2" t="s">
        <v>20</v>
      </c>
      <c r="P276" s="2" t="s">
        <v>21</v>
      </c>
      <c r="Q276" s="2" t="s">
        <v>667</v>
      </c>
    </row>
    <row r="277" spans="1:17" x14ac:dyDescent="0.25">
      <c r="A277" s="1">
        <v>46322</v>
      </c>
      <c r="B277" s="1">
        <v>46321</v>
      </c>
      <c r="C277" s="2" t="s">
        <v>664</v>
      </c>
      <c r="D277" s="2" t="s">
        <v>550</v>
      </c>
      <c r="E277" s="2" t="s">
        <v>255</v>
      </c>
      <c r="F277" s="2" t="s">
        <v>18</v>
      </c>
      <c r="G277" s="2" t="s">
        <v>25</v>
      </c>
      <c r="H277" s="2" t="s">
        <v>662</v>
      </c>
      <c r="I277" s="2" t="s">
        <v>663</v>
      </c>
      <c r="J277" s="3">
        <v>10</v>
      </c>
      <c r="K277" s="2" t="s">
        <v>56</v>
      </c>
      <c r="L277" s="3">
        <v>10</v>
      </c>
      <c r="M277" s="10">
        <v>1275000</v>
      </c>
      <c r="N277" s="3">
        <v>0</v>
      </c>
      <c r="O277" s="2" t="s">
        <v>20</v>
      </c>
      <c r="P277" s="2" t="s">
        <v>21</v>
      </c>
      <c r="Q277" s="2" t="s">
        <v>667</v>
      </c>
    </row>
    <row r="278" spans="1:17" x14ac:dyDescent="0.25">
      <c r="A278" s="1">
        <v>46322</v>
      </c>
      <c r="B278" s="1">
        <v>46321</v>
      </c>
      <c r="C278" s="2" t="s">
        <v>668</v>
      </c>
      <c r="D278" s="2" t="s">
        <v>550</v>
      </c>
      <c r="E278" s="2" t="s">
        <v>270</v>
      </c>
      <c r="F278" s="2" t="s">
        <v>31</v>
      </c>
      <c r="G278" s="2" t="s">
        <v>234</v>
      </c>
      <c r="H278" s="2" t="s">
        <v>591</v>
      </c>
      <c r="I278" s="2" t="s">
        <v>592</v>
      </c>
      <c r="J278" s="3">
        <v>2</v>
      </c>
      <c r="K278" s="2" t="s">
        <v>70</v>
      </c>
      <c r="L278" s="3">
        <v>2</v>
      </c>
      <c r="M278" s="10">
        <v>337020</v>
      </c>
      <c r="N278" s="3">
        <v>0</v>
      </c>
      <c r="O278" s="2" t="s">
        <v>20</v>
      </c>
      <c r="P278" s="2" t="s">
        <v>21</v>
      </c>
      <c r="Q278" s="2" t="s">
        <v>669</v>
      </c>
    </row>
    <row r="279" spans="1:17" x14ac:dyDescent="0.25">
      <c r="A279" s="1">
        <v>46322</v>
      </c>
      <c r="B279" s="1">
        <v>46321</v>
      </c>
      <c r="C279" s="2" t="s">
        <v>668</v>
      </c>
      <c r="D279" s="2" t="s">
        <v>550</v>
      </c>
      <c r="E279" s="2" t="s">
        <v>270</v>
      </c>
      <c r="F279" s="2" t="s">
        <v>31</v>
      </c>
      <c r="G279" s="2" t="s">
        <v>234</v>
      </c>
      <c r="H279" s="2" t="s">
        <v>670</v>
      </c>
      <c r="I279" s="2" t="s">
        <v>671</v>
      </c>
      <c r="J279" s="3">
        <v>1</v>
      </c>
      <c r="K279" s="2" t="s">
        <v>157</v>
      </c>
      <c r="L279" s="3">
        <v>1</v>
      </c>
      <c r="M279" s="10">
        <v>110000</v>
      </c>
      <c r="N279" s="3">
        <v>0</v>
      </c>
      <c r="O279" s="2" t="s">
        <v>20</v>
      </c>
      <c r="P279" s="2" t="s">
        <v>21</v>
      </c>
      <c r="Q279" s="2" t="s">
        <v>669</v>
      </c>
    </row>
    <row r="280" spans="1:17" x14ac:dyDescent="0.25">
      <c r="A280" s="1">
        <v>46322</v>
      </c>
      <c r="B280" s="1">
        <v>46321</v>
      </c>
      <c r="C280" s="2" t="s">
        <v>668</v>
      </c>
      <c r="D280" s="2" t="s">
        <v>550</v>
      </c>
      <c r="E280" s="2" t="s">
        <v>270</v>
      </c>
      <c r="F280" s="2" t="s">
        <v>31</v>
      </c>
      <c r="G280" s="2" t="s">
        <v>234</v>
      </c>
      <c r="H280" s="2" t="s">
        <v>672</v>
      </c>
      <c r="I280" s="2" t="s">
        <v>673</v>
      </c>
      <c r="J280" s="3">
        <v>2</v>
      </c>
      <c r="K280" s="2" t="s">
        <v>157</v>
      </c>
      <c r="L280" s="3">
        <v>2</v>
      </c>
      <c r="M280" s="10">
        <v>220000</v>
      </c>
      <c r="N280" s="3">
        <v>0</v>
      </c>
      <c r="O280" s="2" t="s">
        <v>20</v>
      </c>
      <c r="P280" s="2" t="s">
        <v>21</v>
      </c>
      <c r="Q280" s="2" t="s">
        <v>669</v>
      </c>
    </row>
    <row r="281" spans="1:17" x14ac:dyDescent="0.25">
      <c r="A281" s="1">
        <v>46322</v>
      </c>
      <c r="B281" s="1">
        <v>46321</v>
      </c>
      <c r="C281" s="2" t="s">
        <v>668</v>
      </c>
      <c r="D281" s="2" t="s">
        <v>550</v>
      </c>
      <c r="E281" s="2" t="s">
        <v>270</v>
      </c>
      <c r="F281" s="2" t="s">
        <v>31</v>
      </c>
      <c r="G281" s="2" t="s">
        <v>234</v>
      </c>
      <c r="H281" s="2" t="s">
        <v>674</v>
      </c>
      <c r="I281" s="2" t="s">
        <v>675</v>
      </c>
      <c r="J281" s="3">
        <v>1</v>
      </c>
      <c r="K281" s="2" t="s">
        <v>157</v>
      </c>
      <c r="L281" s="3">
        <v>1</v>
      </c>
      <c r="M281" s="10">
        <v>110000</v>
      </c>
      <c r="N281" s="3">
        <v>0</v>
      </c>
      <c r="O281" s="2" t="s">
        <v>20</v>
      </c>
      <c r="P281" s="2" t="s">
        <v>21</v>
      </c>
      <c r="Q281" s="2" t="s">
        <v>669</v>
      </c>
    </row>
    <row r="282" spans="1:17" x14ac:dyDescent="0.25">
      <c r="A282" s="1">
        <v>46322</v>
      </c>
      <c r="B282" s="1">
        <v>46321</v>
      </c>
      <c r="C282" s="2" t="s">
        <v>676</v>
      </c>
      <c r="D282" s="2" t="s">
        <v>550</v>
      </c>
      <c r="E282" s="2" t="s">
        <v>677</v>
      </c>
      <c r="F282" s="2" t="s">
        <v>31</v>
      </c>
      <c r="G282" s="2" t="s">
        <v>234</v>
      </c>
      <c r="H282" s="2" t="s">
        <v>585</v>
      </c>
      <c r="I282" s="2" t="s">
        <v>586</v>
      </c>
      <c r="J282" s="3">
        <v>2</v>
      </c>
      <c r="K282" s="2" t="s">
        <v>157</v>
      </c>
      <c r="L282" s="3">
        <v>2</v>
      </c>
      <c r="M282" s="10">
        <v>220000</v>
      </c>
      <c r="N282" s="3">
        <v>0</v>
      </c>
      <c r="O282" s="2" t="s">
        <v>20</v>
      </c>
      <c r="P282" s="2" t="s">
        <v>21</v>
      </c>
      <c r="Q282" s="2" t="s">
        <v>22</v>
      </c>
    </row>
    <row r="283" spans="1:17" x14ac:dyDescent="0.25">
      <c r="A283" s="1">
        <v>46322</v>
      </c>
      <c r="B283" s="1">
        <v>46321</v>
      </c>
      <c r="C283" s="2" t="s">
        <v>678</v>
      </c>
      <c r="D283" s="2" t="s">
        <v>550</v>
      </c>
      <c r="E283" s="2" t="s">
        <v>679</v>
      </c>
      <c r="F283" s="2" t="s">
        <v>31</v>
      </c>
      <c r="G283" s="2" t="s">
        <v>247</v>
      </c>
      <c r="H283" s="2" t="s">
        <v>680</v>
      </c>
      <c r="I283" s="2" t="s">
        <v>681</v>
      </c>
      <c r="J283" s="3">
        <v>23</v>
      </c>
      <c r="K283" s="2" t="s">
        <v>28</v>
      </c>
      <c r="L283" s="3">
        <v>21.829899999999999</v>
      </c>
      <c r="M283" s="10">
        <v>2052020.13</v>
      </c>
      <c r="N283" s="3">
        <v>-1.1700999999999999</v>
      </c>
      <c r="O283" s="2" t="s">
        <v>20</v>
      </c>
      <c r="P283" s="2" t="s">
        <v>21</v>
      </c>
      <c r="Q283" s="2" t="s">
        <v>682</v>
      </c>
    </row>
    <row r="284" spans="1:17" x14ac:dyDescent="0.25">
      <c r="A284" s="1">
        <v>46322</v>
      </c>
      <c r="B284" s="1">
        <v>46321</v>
      </c>
      <c r="C284" s="2" t="s">
        <v>683</v>
      </c>
      <c r="D284" s="2" t="s">
        <v>550</v>
      </c>
      <c r="E284" s="2" t="s">
        <v>684</v>
      </c>
      <c r="F284" s="2" t="s">
        <v>31</v>
      </c>
      <c r="G284" s="2" t="s">
        <v>247</v>
      </c>
      <c r="H284" s="2" t="s">
        <v>685</v>
      </c>
      <c r="I284" s="2" t="s">
        <v>686</v>
      </c>
      <c r="J284" s="3">
        <v>12</v>
      </c>
      <c r="K284" s="2" t="s">
        <v>414</v>
      </c>
      <c r="L284" s="3">
        <v>12</v>
      </c>
      <c r="M284" s="10">
        <v>1500000.1</v>
      </c>
      <c r="N284" s="3">
        <v>0</v>
      </c>
      <c r="O284" s="2" t="s">
        <v>20</v>
      </c>
      <c r="P284" s="2" t="s">
        <v>21</v>
      </c>
      <c r="Q284" s="2" t="s">
        <v>22</v>
      </c>
    </row>
    <row r="285" spans="1:17" x14ac:dyDescent="0.25">
      <c r="A285" s="1">
        <v>46322</v>
      </c>
      <c r="B285" s="1">
        <v>46321</v>
      </c>
      <c r="C285" s="2" t="s">
        <v>687</v>
      </c>
      <c r="D285" s="2" t="s">
        <v>550</v>
      </c>
      <c r="E285" s="2" t="s">
        <v>688</v>
      </c>
      <c r="F285" s="2" t="s">
        <v>31</v>
      </c>
      <c r="G285" s="2" t="s">
        <v>234</v>
      </c>
      <c r="H285" s="2" t="s">
        <v>672</v>
      </c>
      <c r="I285" s="2" t="s">
        <v>673</v>
      </c>
      <c r="J285" s="3">
        <v>1</v>
      </c>
      <c r="K285" s="2" t="s">
        <v>157</v>
      </c>
      <c r="L285" s="3">
        <v>1</v>
      </c>
      <c r="M285" s="10">
        <v>110000</v>
      </c>
      <c r="N285" s="3">
        <v>0</v>
      </c>
      <c r="O285" s="2" t="s">
        <v>20</v>
      </c>
      <c r="P285" s="2" t="s">
        <v>21</v>
      </c>
      <c r="Q285" s="2" t="s">
        <v>22</v>
      </c>
    </row>
    <row r="286" spans="1:17" x14ac:dyDescent="0.25">
      <c r="A286" s="1">
        <v>46322</v>
      </c>
      <c r="B286" s="1">
        <v>46321</v>
      </c>
      <c r="C286" s="2" t="s">
        <v>687</v>
      </c>
      <c r="D286" s="2" t="s">
        <v>550</v>
      </c>
      <c r="E286" s="2" t="s">
        <v>688</v>
      </c>
      <c r="F286" s="2" t="s">
        <v>31</v>
      </c>
      <c r="G286" s="2" t="s">
        <v>234</v>
      </c>
      <c r="H286" s="2" t="s">
        <v>578</v>
      </c>
      <c r="I286" s="2" t="s">
        <v>579</v>
      </c>
      <c r="J286" s="3">
        <v>1</v>
      </c>
      <c r="K286" s="2" t="s">
        <v>157</v>
      </c>
      <c r="L286" s="3">
        <v>1</v>
      </c>
      <c r="M286" s="10">
        <v>110000</v>
      </c>
      <c r="N286" s="3">
        <v>0</v>
      </c>
      <c r="O286" s="2" t="s">
        <v>20</v>
      </c>
      <c r="P286" s="2" t="s">
        <v>21</v>
      </c>
      <c r="Q286" s="2" t="s">
        <v>22</v>
      </c>
    </row>
    <row r="287" spans="1:17" x14ac:dyDescent="0.25">
      <c r="A287" s="1">
        <v>46322</v>
      </c>
      <c r="B287" s="1">
        <v>46321</v>
      </c>
      <c r="C287" s="2" t="s">
        <v>687</v>
      </c>
      <c r="D287" s="2" t="s">
        <v>550</v>
      </c>
      <c r="E287" s="2" t="s">
        <v>688</v>
      </c>
      <c r="F287" s="2" t="s">
        <v>31</v>
      </c>
      <c r="G287" s="2" t="s">
        <v>234</v>
      </c>
      <c r="H287" s="2" t="s">
        <v>617</v>
      </c>
      <c r="I287" s="2" t="s">
        <v>618</v>
      </c>
      <c r="J287" s="3">
        <v>1</v>
      </c>
      <c r="K287" s="2" t="s">
        <v>157</v>
      </c>
      <c r="L287" s="3">
        <v>1</v>
      </c>
      <c r="M287" s="10">
        <v>110000</v>
      </c>
      <c r="N287" s="3">
        <v>0</v>
      </c>
      <c r="O287" s="2" t="s">
        <v>20</v>
      </c>
      <c r="P287" s="2" t="s">
        <v>21</v>
      </c>
      <c r="Q287" s="2" t="s">
        <v>22</v>
      </c>
    </row>
    <row r="288" spans="1:17" x14ac:dyDescent="0.25">
      <c r="A288" s="1">
        <v>46322</v>
      </c>
      <c r="B288" s="1">
        <v>46321</v>
      </c>
      <c r="C288" s="2" t="s">
        <v>689</v>
      </c>
      <c r="D288" s="2" t="s">
        <v>550</v>
      </c>
      <c r="E288" s="2" t="s">
        <v>690</v>
      </c>
      <c r="F288" s="2" t="s">
        <v>31</v>
      </c>
      <c r="G288" s="2" t="s">
        <v>247</v>
      </c>
      <c r="H288" s="2" t="s">
        <v>691</v>
      </c>
      <c r="I288" s="2" t="s">
        <v>692</v>
      </c>
      <c r="J288" s="3">
        <v>12</v>
      </c>
      <c r="K288" s="2" t="s">
        <v>151</v>
      </c>
      <c r="L288" s="3">
        <v>12</v>
      </c>
      <c r="M288" s="10">
        <v>4032000.1</v>
      </c>
      <c r="N288" s="3">
        <v>0</v>
      </c>
      <c r="O288" s="2" t="s">
        <v>20</v>
      </c>
      <c r="P288" s="2" t="s">
        <v>21</v>
      </c>
      <c r="Q288" s="2" t="s">
        <v>22</v>
      </c>
    </row>
    <row r="289" spans="1:17" x14ac:dyDescent="0.25">
      <c r="A289" s="1">
        <v>46322</v>
      </c>
      <c r="B289" s="1">
        <v>46321</v>
      </c>
      <c r="C289" s="2" t="s">
        <v>693</v>
      </c>
      <c r="D289" s="2" t="s">
        <v>550</v>
      </c>
      <c r="E289" s="2" t="s">
        <v>694</v>
      </c>
      <c r="F289" s="2" t="s">
        <v>31</v>
      </c>
      <c r="G289" s="2" t="s">
        <v>45</v>
      </c>
      <c r="H289" s="2" t="s">
        <v>695</v>
      </c>
      <c r="I289" s="2" t="s">
        <v>696</v>
      </c>
      <c r="J289" s="3">
        <v>1</v>
      </c>
      <c r="K289" s="2" t="s">
        <v>157</v>
      </c>
      <c r="L289" s="3">
        <v>1</v>
      </c>
      <c r="M289" s="10">
        <v>110000</v>
      </c>
      <c r="N289" s="3">
        <v>0</v>
      </c>
      <c r="O289" s="2" t="s">
        <v>20</v>
      </c>
      <c r="P289" s="2" t="s">
        <v>21</v>
      </c>
      <c r="Q289" s="2" t="s">
        <v>22</v>
      </c>
    </row>
    <row r="290" spans="1:17" x14ac:dyDescent="0.25">
      <c r="A290" s="1">
        <v>46322</v>
      </c>
      <c r="B290" s="1">
        <v>46321</v>
      </c>
      <c r="C290" s="2" t="s">
        <v>693</v>
      </c>
      <c r="D290" s="2" t="s">
        <v>550</v>
      </c>
      <c r="E290" s="2" t="s">
        <v>694</v>
      </c>
      <c r="F290" s="2" t="s">
        <v>31</v>
      </c>
      <c r="G290" s="2" t="s">
        <v>45</v>
      </c>
      <c r="H290" s="2" t="s">
        <v>697</v>
      </c>
      <c r="I290" s="2" t="s">
        <v>698</v>
      </c>
      <c r="J290" s="3">
        <v>2</v>
      </c>
      <c r="K290" s="2" t="s">
        <v>157</v>
      </c>
      <c r="L290" s="3">
        <v>2</v>
      </c>
      <c r="M290" s="10">
        <v>116000</v>
      </c>
      <c r="N290" s="3">
        <v>0</v>
      </c>
      <c r="O290" s="2" t="s">
        <v>20</v>
      </c>
      <c r="P290" s="2" t="s">
        <v>21</v>
      </c>
      <c r="Q290" s="2" t="s">
        <v>22</v>
      </c>
    </row>
    <row r="291" spans="1:17" x14ac:dyDescent="0.25">
      <c r="A291" s="1">
        <v>46322</v>
      </c>
      <c r="B291" s="1">
        <v>46321</v>
      </c>
      <c r="C291" s="2" t="s">
        <v>693</v>
      </c>
      <c r="D291" s="2" t="s">
        <v>550</v>
      </c>
      <c r="E291" s="2" t="s">
        <v>694</v>
      </c>
      <c r="F291" s="2" t="s">
        <v>31</v>
      </c>
      <c r="G291" s="2" t="s">
        <v>45</v>
      </c>
      <c r="H291" s="2" t="s">
        <v>699</v>
      </c>
      <c r="I291" s="2" t="s">
        <v>700</v>
      </c>
      <c r="J291" s="3">
        <v>1</v>
      </c>
      <c r="K291" s="2" t="s">
        <v>157</v>
      </c>
      <c r="L291" s="3">
        <v>1</v>
      </c>
      <c r="M291" s="10">
        <v>110000</v>
      </c>
      <c r="N291" s="3">
        <v>0</v>
      </c>
      <c r="O291" s="2" t="s">
        <v>20</v>
      </c>
      <c r="P291" s="2" t="s">
        <v>21</v>
      </c>
      <c r="Q291" s="2" t="s">
        <v>22</v>
      </c>
    </row>
    <row r="292" spans="1:17" x14ac:dyDescent="0.25">
      <c r="A292" s="1">
        <v>46322</v>
      </c>
      <c r="B292" s="1">
        <v>46321</v>
      </c>
      <c r="C292" s="2" t="s">
        <v>701</v>
      </c>
      <c r="D292" s="2" t="s">
        <v>550</v>
      </c>
      <c r="E292" s="2" t="s">
        <v>506</v>
      </c>
      <c r="F292" s="2" t="s">
        <v>18</v>
      </c>
      <c r="G292" s="2" t="s">
        <v>234</v>
      </c>
      <c r="H292" s="2" t="s">
        <v>644</v>
      </c>
      <c r="I292" s="2" t="s">
        <v>645</v>
      </c>
      <c r="J292" s="3">
        <v>1</v>
      </c>
      <c r="K292" s="2" t="s">
        <v>151</v>
      </c>
      <c r="L292" s="3">
        <v>1</v>
      </c>
      <c r="M292" s="10">
        <v>520000</v>
      </c>
      <c r="N292" s="3">
        <v>0</v>
      </c>
      <c r="O292" s="2" t="s">
        <v>20</v>
      </c>
      <c r="P292" s="2" t="s">
        <v>21</v>
      </c>
      <c r="Q292" s="2" t="s">
        <v>22</v>
      </c>
    </row>
    <row r="293" spans="1:17" x14ac:dyDescent="0.25">
      <c r="A293" s="1">
        <v>46322</v>
      </c>
      <c r="B293" s="1">
        <v>46321</v>
      </c>
      <c r="C293" s="2" t="s">
        <v>702</v>
      </c>
      <c r="D293" s="2" t="s">
        <v>550</v>
      </c>
      <c r="E293" s="2" t="s">
        <v>703</v>
      </c>
      <c r="F293" s="2" t="s">
        <v>18</v>
      </c>
      <c r="G293" s="2" t="s">
        <v>234</v>
      </c>
      <c r="H293" s="2" t="s">
        <v>704</v>
      </c>
      <c r="I293" s="2" t="s">
        <v>705</v>
      </c>
      <c r="J293" s="3">
        <v>1</v>
      </c>
      <c r="K293" s="2" t="s">
        <v>151</v>
      </c>
      <c r="L293" s="3">
        <v>1</v>
      </c>
      <c r="M293" s="10">
        <v>390000</v>
      </c>
      <c r="N293" s="3">
        <v>0</v>
      </c>
      <c r="O293" s="2" t="s">
        <v>20</v>
      </c>
      <c r="P293" s="2" t="s">
        <v>21</v>
      </c>
      <c r="Q293" s="2" t="s">
        <v>22</v>
      </c>
    </row>
    <row r="294" spans="1:17" x14ac:dyDescent="0.25">
      <c r="A294" s="1">
        <v>46322</v>
      </c>
      <c r="B294" s="1">
        <v>46321</v>
      </c>
      <c r="C294" s="2" t="s">
        <v>702</v>
      </c>
      <c r="D294" s="2" t="s">
        <v>550</v>
      </c>
      <c r="E294" s="2" t="s">
        <v>703</v>
      </c>
      <c r="F294" s="2" t="s">
        <v>18</v>
      </c>
      <c r="G294" s="2" t="s">
        <v>234</v>
      </c>
      <c r="H294" s="2" t="s">
        <v>624</v>
      </c>
      <c r="I294" s="2" t="s">
        <v>625</v>
      </c>
      <c r="J294" s="3">
        <v>3</v>
      </c>
      <c r="K294" s="2" t="s">
        <v>56</v>
      </c>
      <c r="L294" s="3">
        <v>3</v>
      </c>
      <c r="M294" s="10">
        <v>412500</v>
      </c>
      <c r="N294" s="3">
        <v>0</v>
      </c>
      <c r="O294" s="2" t="s">
        <v>20</v>
      </c>
      <c r="P294" s="2" t="s">
        <v>21</v>
      </c>
      <c r="Q294" s="2" t="s">
        <v>22</v>
      </c>
    </row>
    <row r="295" spans="1:17" x14ac:dyDescent="0.25">
      <c r="A295" s="1">
        <v>46322</v>
      </c>
      <c r="B295" s="1">
        <v>46321</v>
      </c>
      <c r="C295" s="2" t="s">
        <v>706</v>
      </c>
      <c r="D295" s="2" t="s">
        <v>550</v>
      </c>
      <c r="E295" s="2" t="s">
        <v>707</v>
      </c>
      <c r="F295" s="2" t="s">
        <v>18</v>
      </c>
      <c r="G295" s="2" t="s">
        <v>148</v>
      </c>
      <c r="H295" s="2" t="s">
        <v>563</v>
      </c>
      <c r="I295" s="2" t="s">
        <v>564</v>
      </c>
      <c r="J295" s="3">
        <v>12</v>
      </c>
      <c r="K295" s="2" t="s">
        <v>427</v>
      </c>
      <c r="L295" s="3">
        <v>12</v>
      </c>
      <c r="M295" s="10">
        <v>840000</v>
      </c>
      <c r="N295" s="3">
        <v>0</v>
      </c>
      <c r="O295" s="2" t="s">
        <v>20</v>
      </c>
      <c r="P295" s="2" t="s">
        <v>21</v>
      </c>
      <c r="Q295" s="2" t="s">
        <v>22</v>
      </c>
    </row>
    <row r="296" spans="1:17" x14ac:dyDescent="0.25">
      <c r="A296" s="1">
        <v>46322</v>
      </c>
      <c r="B296" s="1">
        <v>46321</v>
      </c>
      <c r="C296" s="2" t="s">
        <v>708</v>
      </c>
      <c r="D296" s="2" t="s">
        <v>550</v>
      </c>
      <c r="E296" s="2" t="s">
        <v>707</v>
      </c>
      <c r="F296" s="2" t="s">
        <v>18</v>
      </c>
      <c r="G296" s="2" t="s">
        <v>148</v>
      </c>
      <c r="H296" s="2" t="s">
        <v>709</v>
      </c>
      <c r="I296" s="2" t="s">
        <v>710</v>
      </c>
      <c r="J296" s="3">
        <v>10</v>
      </c>
      <c r="K296" s="2" t="s">
        <v>28</v>
      </c>
      <c r="L296" s="3">
        <v>8.7200000000000006</v>
      </c>
      <c r="M296" s="10">
        <v>959200.01</v>
      </c>
      <c r="N296" s="3">
        <v>-1.28</v>
      </c>
      <c r="O296" s="2" t="s">
        <v>20</v>
      </c>
      <c r="P296" s="2" t="s">
        <v>21</v>
      </c>
      <c r="Q296" s="2" t="s">
        <v>22</v>
      </c>
    </row>
    <row r="297" spans="1:17" x14ac:dyDescent="0.25">
      <c r="A297" s="1">
        <v>46322</v>
      </c>
      <c r="B297" s="1">
        <v>46321</v>
      </c>
      <c r="C297" s="2" t="s">
        <v>711</v>
      </c>
      <c r="D297" s="2" t="s">
        <v>550</v>
      </c>
      <c r="E297" s="2" t="s">
        <v>294</v>
      </c>
      <c r="F297" s="2" t="s">
        <v>18</v>
      </c>
      <c r="G297" s="2" t="s">
        <v>113</v>
      </c>
      <c r="H297" s="2" t="s">
        <v>563</v>
      </c>
      <c r="I297" s="2" t="s">
        <v>564</v>
      </c>
      <c r="J297" s="3">
        <v>3</v>
      </c>
      <c r="K297" s="2" t="s">
        <v>427</v>
      </c>
      <c r="L297" s="3">
        <v>3</v>
      </c>
      <c r="M297" s="10">
        <v>204000</v>
      </c>
      <c r="N297" s="3">
        <v>0</v>
      </c>
      <c r="O297" s="2" t="s">
        <v>20</v>
      </c>
      <c r="P297" s="2" t="s">
        <v>21</v>
      </c>
      <c r="Q297" s="2" t="s">
        <v>22</v>
      </c>
    </row>
    <row r="298" spans="1:17" x14ac:dyDescent="0.25">
      <c r="A298" s="1">
        <v>46322</v>
      </c>
      <c r="B298" s="1">
        <v>46321</v>
      </c>
      <c r="C298" s="2" t="s">
        <v>712</v>
      </c>
      <c r="D298" s="2" t="s">
        <v>550</v>
      </c>
      <c r="E298" s="2" t="s">
        <v>713</v>
      </c>
      <c r="F298" s="2" t="s">
        <v>18</v>
      </c>
      <c r="G298" s="2" t="s">
        <v>175</v>
      </c>
      <c r="H298" s="2" t="s">
        <v>714</v>
      </c>
      <c r="I298" s="2" t="s">
        <v>715</v>
      </c>
      <c r="J298" s="3">
        <v>3</v>
      </c>
      <c r="K298" s="2" t="s">
        <v>70</v>
      </c>
      <c r="L298" s="3">
        <v>3</v>
      </c>
      <c r="M298" s="10">
        <v>469530</v>
      </c>
      <c r="N298" s="3">
        <v>0</v>
      </c>
      <c r="O298" s="2" t="s">
        <v>20</v>
      </c>
      <c r="P298" s="2" t="s">
        <v>21</v>
      </c>
      <c r="Q298" s="2" t="s">
        <v>22</v>
      </c>
    </row>
    <row r="299" spans="1:17" x14ac:dyDescent="0.25">
      <c r="A299" s="1">
        <v>46322</v>
      </c>
      <c r="B299" s="1">
        <v>46321</v>
      </c>
      <c r="C299" s="2" t="s">
        <v>716</v>
      </c>
      <c r="D299" s="2" t="s">
        <v>550</v>
      </c>
      <c r="E299" s="2" t="s">
        <v>717</v>
      </c>
      <c r="F299" s="2" t="s">
        <v>18</v>
      </c>
      <c r="G299" s="2" t="s">
        <v>229</v>
      </c>
      <c r="H299" s="2" t="s">
        <v>644</v>
      </c>
      <c r="I299" s="2" t="s">
        <v>645</v>
      </c>
      <c r="J299" s="3">
        <v>1</v>
      </c>
      <c r="K299" s="2" t="s">
        <v>151</v>
      </c>
      <c r="L299" s="3">
        <v>1</v>
      </c>
      <c r="M299" s="10">
        <v>520000</v>
      </c>
      <c r="N299" s="3">
        <v>0</v>
      </c>
      <c r="O299" s="2" t="s">
        <v>20</v>
      </c>
      <c r="P299" s="2" t="s">
        <v>21</v>
      </c>
      <c r="Q299" s="2" t="s">
        <v>22</v>
      </c>
    </row>
    <row r="300" spans="1:17" x14ac:dyDescent="0.25">
      <c r="A300" s="1">
        <v>46322</v>
      </c>
      <c r="B300" s="1">
        <v>46321</v>
      </c>
      <c r="C300" s="2" t="s">
        <v>716</v>
      </c>
      <c r="D300" s="2" t="s">
        <v>550</v>
      </c>
      <c r="E300" s="2" t="s">
        <v>717</v>
      </c>
      <c r="F300" s="2" t="s">
        <v>18</v>
      </c>
      <c r="G300" s="2" t="s">
        <v>229</v>
      </c>
      <c r="H300" s="2" t="s">
        <v>624</v>
      </c>
      <c r="I300" s="2" t="s">
        <v>625</v>
      </c>
      <c r="J300" s="3">
        <v>2</v>
      </c>
      <c r="K300" s="2" t="s">
        <v>56</v>
      </c>
      <c r="L300" s="3">
        <v>2</v>
      </c>
      <c r="M300" s="10">
        <v>260000.01</v>
      </c>
      <c r="N300" s="3">
        <v>0</v>
      </c>
      <c r="O300" s="2" t="s">
        <v>20</v>
      </c>
      <c r="P300" s="2" t="s">
        <v>21</v>
      </c>
      <c r="Q300" s="2" t="s">
        <v>22</v>
      </c>
    </row>
    <row r="301" spans="1:17" x14ac:dyDescent="0.25">
      <c r="A301" s="1">
        <v>46322</v>
      </c>
      <c r="B301" s="1">
        <v>46321</v>
      </c>
      <c r="C301" s="2" t="s">
        <v>718</v>
      </c>
      <c r="D301" s="2" t="s">
        <v>550</v>
      </c>
      <c r="E301" s="2" t="s">
        <v>305</v>
      </c>
      <c r="F301" s="2" t="s">
        <v>18</v>
      </c>
      <c r="G301" s="2" t="s">
        <v>113</v>
      </c>
      <c r="H301" s="2" t="s">
        <v>640</v>
      </c>
      <c r="I301" s="2" t="s">
        <v>641</v>
      </c>
      <c r="J301" s="3">
        <v>5</v>
      </c>
      <c r="K301" s="2" t="s">
        <v>28</v>
      </c>
      <c r="L301" s="3">
        <v>5</v>
      </c>
      <c r="M301" s="10">
        <v>550000</v>
      </c>
      <c r="N301" s="3">
        <v>0</v>
      </c>
      <c r="O301" s="2" t="s">
        <v>20</v>
      </c>
      <c r="P301" s="2" t="s">
        <v>21</v>
      </c>
      <c r="Q301" s="2" t="s">
        <v>22</v>
      </c>
    </row>
    <row r="302" spans="1:17" x14ac:dyDescent="0.25">
      <c r="A302" s="1">
        <v>46322</v>
      </c>
      <c r="B302" s="1">
        <v>46321</v>
      </c>
      <c r="C302" s="2" t="s">
        <v>719</v>
      </c>
      <c r="D302" s="2" t="s">
        <v>550</v>
      </c>
      <c r="E302" s="2" t="s">
        <v>720</v>
      </c>
      <c r="F302" s="2" t="s">
        <v>18</v>
      </c>
      <c r="G302" s="2" t="s">
        <v>234</v>
      </c>
      <c r="H302" s="2" t="s">
        <v>624</v>
      </c>
      <c r="I302" s="2" t="s">
        <v>625</v>
      </c>
      <c r="J302" s="3">
        <v>3</v>
      </c>
      <c r="K302" s="2" t="s">
        <v>56</v>
      </c>
      <c r="L302" s="3">
        <v>3</v>
      </c>
      <c r="M302" s="10">
        <v>465000</v>
      </c>
      <c r="N302" s="3">
        <v>0</v>
      </c>
      <c r="O302" s="2" t="s">
        <v>20</v>
      </c>
      <c r="P302" s="2" t="s">
        <v>21</v>
      </c>
      <c r="Q302" s="2" t="s">
        <v>22</v>
      </c>
    </row>
    <row r="303" spans="1:17" x14ac:dyDescent="0.25">
      <c r="A303" s="1">
        <v>46322</v>
      </c>
      <c r="B303" s="1">
        <v>46321</v>
      </c>
      <c r="C303" s="2" t="s">
        <v>719</v>
      </c>
      <c r="D303" s="2" t="s">
        <v>550</v>
      </c>
      <c r="E303" s="2" t="s">
        <v>720</v>
      </c>
      <c r="F303" s="2" t="s">
        <v>18</v>
      </c>
      <c r="G303" s="2" t="s">
        <v>234</v>
      </c>
      <c r="H303" s="2" t="s">
        <v>721</v>
      </c>
      <c r="I303" s="2" t="s">
        <v>722</v>
      </c>
      <c r="J303" s="3">
        <v>8</v>
      </c>
      <c r="K303" s="2" t="s">
        <v>56</v>
      </c>
      <c r="L303" s="3">
        <v>8</v>
      </c>
      <c r="M303" s="10">
        <v>1139999.99</v>
      </c>
      <c r="N303" s="3">
        <v>0</v>
      </c>
      <c r="O303" s="2" t="s">
        <v>20</v>
      </c>
      <c r="P303" s="2" t="s">
        <v>21</v>
      </c>
      <c r="Q303" s="2" t="s">
        <v>22</v>
      </c>
    </row>
    <row r="304" spans="1:17" x14ac:dyDescent="0.25">
      <c r="A304" s="1">
        <v>46322</v>
      </c>
      <c r="B304" s="1">
        <v>46321</v>
      </c>
      <c r="C304" s="2" t="s">
        <v>723</v>
      </c>
      <c r="D304" s="2" t="s">
        <v>550</v>
      </c>
      <c r="E304" s="2" t="s">
        <v>724</v>
      </c>
      <c r="F304" s="2" t="s">
        <v>18</v>
      </c>
      <c r="G304" s="2" t="s">
        <v>234</v>
      </c>
      <c r="H304" s="2" t="s">
        <v>725</v>
      </c>
      <c r="I304" s="2" t="s">
        <v>726</v>
      </c>
      <c r="J304" s="3">
        <v>12</v>
      </c>
      <c r="K304" s="2" t="s">
        <v>427</v>
      </c>
      <c r="L304" s="3">
        <v>12</v>
      </c>
      <c r="M304" s="10">
        <v>772560</v>
      </c>
      <c r="N304" s="3">
        <v>0</v>
      </c>
      <c r="O304" s="2" t="s">
        <v>20</v>
      </c>
      <c r="P304" s="2" t="s">
        <v>21</v>
      </c>
      <c r="Q304" s="2" t="s">
        <v>727</v>
      </c>
    </row>
    <row r="305" spans="1:17" x14ac:dyDescent="0.25">
      <c r="A305" s="1">
        <v>46322</v>
      </c>
      <c r="B305" s="1">
        <v>46321</v>
      </c>
      <c r="C305" s="2" t="s">
        <v>728</v>
      </c>
      <c r="D305" s="2" t="s">
        <v>550</v>
      </c>
      <c r="E305" s="2" t="s">
        <v>729</v>
      </c>
      <c r="F305" s="2" t="s">
        <v>18</v>
      </c>
      <c r="G305" s="2" t="s">
        <v>61</v>
      </c>
      <c r="H305" s="2" t="s">
        <v>709</v>
      </c>
      <c r="I305" s="2" t="s">
        <v>710</v>
      </c>
      <c r="J305" s="3">
        <v>2.2999999999999998</v>
      </c>
      <c r="K305" s="2" t="s">
        <v>28</v>
      </c>
      <c r="L305" s="3">
        <v>2.2000000000000002</v>
      </c>
      <c r="M305" s="10">
        <v>202400.02</v>
      </c>
      <c r="N305" s="3">
        <v>-0.1</v>
      </c>
      <c r="O305" s="2" t="s">
        <v>20</v>
      </c>
      <c r="P305" s="2" t="s">
        <v>21</v>
      </c>
      <c r="Q305" s="2" t="s">
        <v>84</v>
      </c>
    </row>
    <row r="306" spans="1:17" x14ac:dyDescent="0.25">
      <c r="A306" s="1">
        <v>46322</v>
      </c>
      <c r="B306" s="1">
        <v>46321</v>
      </c>
      <c r="C306" s="2" t="s">
        <v>730</v>
      </c>
      <c r="D306" s="2" t="s">
        <v>550</v>
      </c>
      <c r="E306" s="2" t="s">
        <v>731</v>
      </c>
      <c r="F306" s="2" t="s">
        <v>31</v>
      </c>
      <c r="G306" s="2" t="s">
        <v>234</v>
      </c>
      <c r="H306" s="2" t="s">
        <v>732</v>
      </c>
      <c r="I306" s="2" t="s">
        <v>733</v>
      </c>
      <c r="J306" s="3">
        <v>2</v>
      </c>
      <c r="K306" s="2" t="s">
        <v>632</v>
      </c>
      <c r="L306" s="3">
        <v>2</v>
      </c>
      <c r="M306" s="10">
        <v>235620.01</v>
      </c>
      <c r="N306" s="3">
        <v>0</v>
      </c>
      <c r="O306" s="2" t="s">
        <v>20</v>
      </c>
      <c r="P306" s="2" t="s">
        <v>21</v>
      </c>
      <c r="Q306" s="2" t="s">
        <v>22</v>
      </c>
    </row>
    <row r="307" spans="1:17" x14ac:dyDescent="0.25">
      <c r="A307" s="1">
        <v>46322</v>
      </c>
      <c r="B307" s="1">
        <v>46321</v>
      </c>
      <c r="C307" s="2" t="s">
        <v>734</v>
      </c>
      <c r="D307" s="2" t="s">
        <v>550</v>
      </c>
      <c r="E307" s="2" t="s">
        <v>328</v>
      </c>
      <c r="F307" s="2" t="s">
        <v>18</v>
      </c>
      <c r="G307" s="2" t="s">
        <v>32</v>
      </c>
      <c r="H307" s="2" t="s">
        <v>735</v>
      </c>
      <c r="I307" s="2" t="s">
        <v>736</v>
      </c>
      <c r="J307" s="3">
        <v>3</v>
      </c>
      <c r="K307" s="2" t="s">
        <v>28</v>
      </c>
      <c r="L307" s="3">
        <v>3</v>
      </c>
      <c r="M307" s="10">
        <v>327000.01</v>
      </c>
      <c r="N307" s="3">
        <v>0</v>
      </c>
      <c r="O307" s="2" t="s">
        <v>20</v>
      </c>
      <c r="P307" s="2" t="s">
        <v>21</v>
      </c>
      <c r="Q307" s="2" t="s">
        <v>329</v>
      </c>
    </row>
    <row r="308" spans="1:17" x14ac:dyDescent="0.25">
      <c r="A308" s="1">
        <v>46322</v>
      </c>
      <c r="B308" s="1">
        <v>46321</v>
      </c>
      <c r="C308" s="2" t="s">
        <v>737</v>
      </c>
      <c r="D308" s="2" t="s">
        <v>550</v>
      </c>
      <c r="E308" s="2" t="s">
        <v>328</v>
      </c>
      <c r="F308" s="2" t="s">
        <v>18</v>
      </c>
      <c r="G308" s="2" t="s">
        <v>32</v>
      </c>
      <c r="H308" s="2" t="s">
        <v>738</v>
      </c>
      <c r="I308" s="2" t="s">
        <v>739</v>
      </c>
      <c r="J308" s="3">
        <v>2</v>
      </c>
      <c r="K308" s="2" t="s">
        <v>70</v>
      </c>
      <c r="L308" s="3">
        <v>2</v>
      </c>
      <c r="M308" s="10">
        <v>388500</v>
      </c>
      <c r="N308" s="3">
        <v>0</v>
      </c>
      <c r="O308" s="2" t="s">
        <v>20</v>
      </c>
      <c r="P308" s="2" t="s">
        <v>21</v>
      </c>
      <c r="Q308" s="2" t="s">
        <v>740</v>
      </c>
    </row>
    <row r="309" spans="1:17" x14ac:dyDescent="0.25">
      <c r="A309" s="1">
        <v>46322</v>
      </c>
      <c r="B309" s="1">
        <v>46321</v>
      </c>
      <c r="C309" s="2" t="s">
        <v>737</v>
      </c>
      <c r="D309" s="2" t="s">
        <v>550</v>
      </c>
      <c r="E309" s="2" t="s">
        <v>328</v>
      </c>
      <c r="F309" s="2" t="s">
        <v>18</v>
      </c>
      <c r="G309" s="2" t="s">
        <v>32</v>
      </c>
      <c r="H309" s="2" t="s">
        <v>630</v>
      </c>
      <c r="I309" s="2" t="s">
        <v>631</v>
      </c>
      <c r="J309" s="3">
        <v>12</v>
      </c>
      <c r="K309" s="2" t="s">
        <v>632</v>
      </c>
      <c r="L309" s="3">
        <v>12</v>
      </c>
      <c r="M309" s="10">
        <v>1049999.99</v>
      </c>
      <c r="N309" s="3">
        <v>0</v>
      </c>
      <c r="O309" s="2" t="s">
        <v>20</v>
      </c>
      <c r="P309" s="2" t="s">
        <v>21</v>
      </c>
      <c r="Q309" s="2" t="s">
        <v>740</v>
      </c>
    </row>
    <row r="310" spans="1:17" x14ac:dyDescent="0.25">
      <c r="A310" s="1">
        <v>46322</v>
      </c>
      <c r="B310" s="1">
        <v>46321</v>
      </c>
      <c r="C310" s="2" t="s">
        <v>741</v>
      </c>
      <c r="D310" s="2" t="s">
        <v>550</v>
      </c>
      <c r="E310" s="2" t="s">
        <v>328</v>
      </c>
      <c r="F310" s="2" t="s">
        <v>18</v>
      </c>
      <c r="G310" s="2" t="s">
        <v>32</v>
      </c>
      <c r="H310" s="2" t="s">
        <v>735</v>
      </c>
      <c r="I310" s="2" t="s">
        <v>736</v>
      </c>
      <c r="J310" s="3">
        <v>4</v>
      </c>
      <c r="K310" s="2" t="s">
        <v>28</v>
      </c>
      <c r="L310" s="3">
        <v>4</v>
      </c>
      <c r="M310" s="10">
        <v>436000.01</v>
      </c>
      <c r="N310" s="3">
        <v>0</v>
      </c>
      <c r="O310" s="2" t="s">
        <v>20</v>
      </c>
      <c r="P310" s="2" t="s">
        <v>21</v>
      </c>
      <c r="Q310" s="2" t="s">
        <v>742</v>
      </c>
    </row>
    <row r="311" spans="1:17" x14ac:dyDescent="0.25">
      <c r="A311" s="1">
        <v>46322</v>
      </c>
      <c r="B311" s="1">
        <v>46321</v>
      </c>
      <c r="C311" s="2" t="s">
        <v>743</v>
      </c>
      <c r="D311" s="2" t="s">
        <v>550</v>
      </c>
      <c r="E311" s="2" t="s">
        <v>328</v>
      </c>
      <c r="F311" s="2" t="s">
        <v>18</v>
      </c>
      <c r="G311" s="2" t="s">
        <v>32</v>
      </c>
      <c r="H311" s="2" t="s">
        <v>738</v>
      </c>
      <c r="I311" s="2" t="s">
        <v>739</v>
      </c>
      <c r="J311" s="3">
        <v>5</v>
      </c>
      <c r="K311" s="2" t="s">
        <v>70</v>
      </c>
      <c r="L311" s="3">
        <v>5</v>
      </c>
      <c r="M311" s="10">
        <v>971250</v>
      </c>
      <c r="N311" s="3">
        <v>0</v>
      </c>
      <c r="O311" s="2" t="s">
        <v>20</v>
      </c>
      <c r="P311" s="2" t="s">
        <v>21</v>
      </c>
      <c r="Q311" s="2" t="s">
        <v>744</v>
      </c>
    </row>
    <row r="312" spans="1:17" x14ac:dyDescent="0.25">
      <c r="A312" s="1">
        <v>46322</v>
      </c>
      <c r="B312" s="1">
        <v>46321</v>
      </c>
      <c r="C312" s="2" t="s">
        <v>743</v>
      </c>
      <c r="D312" s="2" t="s">
        <v>550</v>
      </c>
      <c r="E312" s="2" t="s">
        <v>328</v>
      </c>
      <c r="F312" s="2" t="s">
        <v>18</v>
      </c>
      <c r="G312" s="2" t="s">
        <v>32</v>
      </c>
      <c r="H312" s="2" t="s">
        <v>630</v>
      </c>
      <c r="I312" s="2" t="s">
        <v>631</v>
      </c>
      <c r="J312" s="3">
        <v>2</v>
      </c>
      <c r="K312" s="2" t="s">
        <v>632</v>
      </c>
      <c r="L312" s="3">
        <v>2</v>
      </c>
      <c r="M312" s="10">
        <v>175000</v>
      </c>
      <c r="N312" s="3">
        <v>0</v>
      </c>
      <c r="O312" s="2" t="s">
        <v>20</v>
      </c>
      <c r="P312" s="2" t="s">
        <v>21</v>
      </c>
      <c r="Q312" s="2" t="s">
        <v>744</v>
      </c>
    </row>
    <row r="313" spans="1:17" x14ac:dyDescent="0.25">
      <c r="A313" s="1">
        <v>46322</v>
      </c>
      <c r="B313" s="1">
        <v>46321</v>
      </c>
      <c r="C313" s="2" t="s">
        <v>745</v>
      </c>
      <c r="D313" s="2" t="s">
        <v>550</v>
      </c>
      <c r="E313" s="2" t="s">
        <v>294</v>
      </c>
      <c r="F313" s="2" t="s">
        <v>18</v>
      </c>
      <c r="G313" s="2" t="s">
        <v>113</v>
      </c>
      <c r="H313" s="2" t="s">
        <v>746</v>
      </c>
      <c r="I313" s="2" t="s">
        <v>747</v>
      </c>
      <c r="J313" s="3">
        <v>5</v>
      </c>
      <c r="K313" s="2" t="s">
        <v>56</v>
      </c>
      <c r="L313" s="3">
        <v>5</v>
      </c>
      <c r="M313" s="10">
        <v>300000</v>
      </c>
      <c r="N313" s="3">
        <v>0</v>
      </c>
      <c r="O313" s="2" t="s">
        <v>20</v>
      </c>
      <c r="P313" s="2" t="s">
        <v>21</v>
      </c>
      <c r="Q313" s="2" t="s">
        <v>22</v>
      </c>
    </row>
    <row r="314" spans="1:17" x14ac:dyDescent="0.25">
      <c r="A314" s="1">
        <v>46322</v>
      </c>
      <c r="B314" s="1">
        <v>46321</v>
      </c>
      <c r="C314" s="2" t="s">
        <v>748</v>
      </c>
      <c r="D314" s="2" t="s">
        <v>550</v>
      </c>
      <c r="E314" s="2" t="s">
        <v>352</v>
      </c>
      <c r="F314" s="2" t="s">
        <v>31</v>
      </c>
      <c r="G314" s="2" t="s">
        <v>247</v>
      </c>
      <c r="H314" s="2" t="s">
        <v>749</v>
      </c>
      <c r="I314" s="2" t="s">
        <v>750</v>
      </c>
      <c r="J314" s="3">
        <v>4</v>
      </c>
      <c r="K314" s="2" t="s">
        <v>56</v>
      </c>
      <c r="L314" s="3">
        <v>4</v>
      </c>
      <c r="M314" s="10">
        <v>320000</v>
      </c>
      <c r="N314" s="3">
        <v>0</v>
      </c>
      <c r="O314" s="2" t="s">
        <v>20</v>
      </c>
      <c r="P314" s="2" t="s">
        <v>21</v>
      </c>
      <c r="Q314" s="2" t="s">
        <v>22</v>
      </c>
    </row>
    <row r="315" spans="1:17" x14ac:dyDescent="0.25">
      <c r="A315" s="1">
        <v>46322</v>
      </c>
      <c r="B315" s="1">
        <v>46321</v>
      </c>
      <c r="C315" s="2" t="s">
        <v>748</v>
      </c>
      <c r="D315" s="2" t="s">
        <v>550</v>
      </c>
      <c r="E315" s="2" t="s">
        <v>352</v>
      </c>
      <c r="F315" s="2" t="s">
        <v>31</v>
      </c>
      <c r="G315" s="2" t="s">
        <v>247</v>
      </c>
      <c r="H315" s="2" t="s">
        <v>751</v>
      </c>
      <c r="I315" s="2" t="s">
        <v>752</v>
      </c>
      <c r="J315" s="3">
        <v>4</v>
      </c>
      <c r="K315" s="2" t="s">
        <v>56</v>
      </c>
      <c r="L315" s="3">
        <v>4</v>
      </c>
      <c r="M315" s="10">
        <v>320000</v>
      </c>
      <c r="N315" s="3">
        <v>0</v>
      </c>
      <c r="O315" s="2" t="s">
        <v>20</v>
      </c>
      <c r="P315" s="2" t="s">
        <v>21</v>
      </c>
      <c r="Q315" s="2" t="s">
        <v>22</v>
      </c>
    </row>
    <row r="316" spans="1:17" x14ac:dyDescent="0.25">
      <c r="A316" s="1">
        <v>46322</v>
      </c>
      <c r="B316" s="1">
        <v>46321</v>
      </c>
      <c r="C316" s="2" t="s">
        <v>748</v>
      </c>
      <c r="D316" s="2" t="s">
        <v>550</v>
      </c>
      <c r="E316" s="2" t="s">
        <v>352</v>
      </c>
      <c r="F316" s="2" t="s">
        <v>31</v>
      </c>
      <c r="G316" s="2" t="s">
        <v>247</v>
      </c>
      <c r="H316" s="2" t="s">
        <v>753</v>
      </c>
      <c r="I316" s="2" t="s">
        <v>754</v>
      </c>
      <c r="J316" s="3">
        <v>4</v>
      </c>
      <c r="K316" s="2" t="s">
        <v>56</v>
      </c>
      <c r="L316" s="3">
        <v>4</v>
      </c>
      <c r="M316" s="10">
        <v>319999.99</v>
      </c>
      <c r="N316" s="3">
        <v>0</v>
      </c>
      <c r="O316" s="2" t="s">
        <v>20</v>
      </c>
      <c r="P316" s="2" t="s">
        <v>21</v>
      </c>
      <c r="Q316" s="2" t="s">
        <v>22</v>
      </c>
    </row>
    <row r="317" spans="1:17" x14ac:dyDescent="0.25">
      <c r="A317" s="1">
        <v>46322</v>
      </c>
      <c r="B317" s="1">
        <v>46321</v>
      </c>
      <c r="C317" s="2" t="s">
        <v>748</v>
      </c>
      <c r="D317" s="2" t="s">
        <v>550</v>
      </c>
      <c r="E317" s="2" t="s">
        <v>352</v>
      </c>
      <c r="F317" s="2" t="s">
        <v>31</v>
      </c>
      <c r="G317" s="2" t="s">
        <v>247</v>
      </c>
      <c r="H317" s="2" t="s">
        <v>755</v>
      </c>
      <c r="I317" s="2" t="s">
        <v>756</v>
      </c>
      <c r="J317" s="3">
        <v>4</v>
      </c>
      <c r="K317" s="2" t="s">
        <v>56</v>
      </c>
      <c r="L317" s="3">
        <v>4</v>
      </c>
      <c r="M317" s="10">
        <v>319999.99</v>
      </c>
      <c r="N317" s="3">
        <v>0</v>
      </c>
      <c r="O317" s="2" t="s">
        <v>20</v>
      </c>
      <c r="P317" s="2" t="s">
        <v>21</v>
      </c>
      <c r="Q317" s="2" t="s">
        <v>22</v>
      </c>
    </row>
    <row r="318" spans="1:17" x14ac:dyDescent="0.25">
      <c r="A318" s="1">
        <v>46322</v>
      </c>
      <c r="B318" s="1">
        <v>46321</v>
      </c>
      <c r="C318" s="2" t="s">
        <v>748</v>
      </c>
      <c r="D318" s="2" t="s">
        <v>550</v>
      </c>
      <c r="E318" s="2" t="s">
        <v>352</v>
      </c>
      <c r="F318" s="2" t="s">
        <v>31</v>
      </c>
      <c r="G318" s="2" t="s">
        <v>247</v>
      </c>
      <c r="H318" s="2" t="s">
        <v>746</v>
      </c>
      <c r="I318" s="2" t="s">
        <v>747</v>
      </c>
      <c r="J318" s="3">
        <v>6</v>
      </c>
      <c r="K318" s="2" t="s">
        <v>56</v>
      </c>
      <c r="L318" s="3">
        <v>6</v>
      </c>
      <c r="M318" s="10">
        <v>360000</v>
      </c>
      <c r="N318" s="3">
        <v>0</v>
      </c>
      <c r="O318" s="2" t="s">
        <v>20</v>
      </c>
      <c r="P318" s="2" t="s">
        <v>21</v>
      </c>
      <c r="Q318" s="2" t="s">
        <v>22</v>
      </c>
    </row>
    <row r="319" spans="1:17" x14ac:dyDescent="0.25">
      <c r="A319" s="1">
        <v>46322</v>
      </c>
      <c r="B319" s="1">
        <v>46321</v>
      </c>
      <c r="C319" s="2" t="s">
        <v>748</v>
      </c>
      <c r="D319" s="2" t="s">
        <v>550</v>
      </c>
      <c r="E319" s="2" t="s">
        <v>352</v>
      </c>
      <c r="F319" s="2" t="s">
        <v>31</v>
      </c>
      <c r="G319" s="2" t="s">
        <v>247</v>
      </c>
      <c r="H319" s="2" t="s">
        <v>757</v>
      </c>
      <c r="I319" s="2" t="s">
        <v>758</v>
      </c>
      <c r="J319" s="3">
        <v>6</v>
      </c>
      <c r="K319" s="2" t="s">
        <v>56</v>
      </c>
      <c r="L319" s="3">
        <v>6</v>
      </c>
      <c r="M319" s="10">
        <v>360000</v>
      </c>
      <c r="N319" s="3">
        <v>0</v>
      </c>
      <c r="O319" s="2" t="s">
        <v>20</v>
      </c>
      <c r="P319" s="2" t="s">
        <v>21</v>
      </c>
      <c r="Q319" s="2" t="s">
        <v>22</v>
      </c>
    </row>
    <row r="320" spans="1:17" x14ac:dyDescent="0.25">
      <c r="A320" s="1">
        <v>46322</v>
      </c>
      <c r="B320" s="1">
        <v>46321</v>
      </c>
      <c r="C320" s="2" t="s">
        <v>759</v>
      </c>
      <c r="D320" s="2" t="s">
        <v>550</v>
      </c>
      <c r="E320" s="2" t="s">
        <v>760</v>
      </c>
      <c r="F320" s="2" t="s">
        <v>18</v>
      </c>
      <c r="G320" s="2" t="s">
        <v>229</v>
      </c>
      <c r="H320" s="2" t="s">
        <v>761</v>
      </c>
      <c r="I320" s="2" t="s">
        <v>762</v>
      </c>
      <c r="J320" s="3">
        <v>1</v>
      </c>
      <c r="K320" s="2" t="s">
        <v>157</v>
      </c>
      <c r="L320" s="3">
        <v>1</v>
      </c>
      <c r="M320" s="10">
        <v>110000</v>
      </c>
      <c r="N320" s="3">
        <v>0</v>
      </c>
      <c r="O320" s="2" t="s">
        <v>20</v>
      </c>
      <c r="P320" s="2" t="s">
        <v>21</v>
      </c>
      <c r="Q320" s="2" t="s">
        <v>22</v>
      </c>
    </row>
    <row r="321" spans="1:17" x14ac:dyDescent="0.25">
      <c r="A321" s="1">
        <v>46322</v>
      </c>
      <c r="B321" s="1">
        <v>46321</v>
      </c>
      <c r="C321" s="2" t="s">
        <v>763</v>
      </c>
      <c r="D321" s="2" t="s">
        <v>550</v>
      </c>
      <c r="E321" s="2" t="s">
        <v>764</v>
      </c>
      <c r="F321" s="2" t="s">
        <v>18</v>
      </c>
      <c r="G321" s="2" t="s">
        <v>148</v>
      </c>
      <c r="H321" s="2" t="s">
        <v>765</v>
      </c>
      <c r="I321" s="2" t="s">
        <v>766</v>
      </c>
      <c r="J321" s="3">
        <v>2</v>
      </c>
      <c r="K321" s="2" t="s">
        <v>151</v>
      </c>
      <c r="L321" s="3">
        <v>2</v>
      </c>
      <c r="M321" s="10">
        <v>840000</v>
      </c>
      <c r="N321" s="3">
        <v>0</v>
      </c>
      <c r="O321" s="2" t="s">
        <v>20</v>
      </c>
      <c r="P321" s="2" t="s">
        <v>21</v>
      </c>
      <c r="Q321" s="2" t="s">
        <v>22</v>
      </c>
    </row>
    <row r="322" spans="1:17" x14ac:dyDescent="0.25">
      <c r="A322" s="1">
        <v>46322</v>
      </c>
      <c r="B322" s="1">
        <v>46321</v>
      </c>
      <c r="C322" s="2" t="s">
        <v>767</v>
      </c>
      <c r="D322" s="2" t="s">
        <v>550</v>
      </c>
      <c r="E322" s="2" t="s">
        <v>764</v>
      </c>
      <c r="F322" s="2" t="s">
        <v>18</v>
      </c>
      <c r="G322" s="2" t="s">
        <v>148</v>
      </c>
      <c r="H322" s="2" t="s">
        <v>768</v>
      </c>
      <c r="I322" s="2" t="s">
        <v>769</v>
      </c>
      <c r="J322" s="3">
        <v>24</v>
      </c>
      <c r="K322" s="2" t="s">
        <v>56</v>
      </c>
      <c r="L322" s="3">
        <v>24</v>
      </c>
      <c r="M322" s="10">
        <v>720000.08</v>
      </c>
      <c r="N322" s="3">
        <v>0</v>
      </c>
      <c r="O322" s="2" t="s">
        <v>20</v>
      </c>
      <c r="P322" s="2" t="s">
        <v>21</v>
      </c>
      <c r="Q322" s="2" t="s">
        <v>22</v>
      </c>
    </row>
    <row r="323" spans="1:17" x14ac:dyDescent="0.25">
      <c r="A323" s="1">
        <v>46322</v>
      </c>
      <c r="B323" s="1">
        <v>46321</v>
      </c>
      <c r="C323" s="2" t="s">
        <v>770</v>
      </c>
      <c r="D323" s="2" t="s">
        <v>550</v>
      </c>
      <c r="E323" s="2" t="s">
        <v>764</v>
      </c>
      <c r="F323" s="2" t="s">
        <v>18</v>
      </c>
      <c r="G323" s="2" t="s">
        <v>148</v>
      </c>
      <c r="H323" s="2" t="s">
        <v>771</v>
      </c>
      <c r="I323" s="2" t="s">
        <v>772</v>
      </c>
      <c r="J323" s="3">
        <v>2</v>
      </c>
      <c r="K323" s="2" t="s">
        <v>56</v>
      </c>
      <c r="L323" s="3">
        <v>2</v>
      </c>
      <c r="M323" s="10">
        <v>210000</v>
      </c>
      <c r="N323" s="3">
        <v>0</v>
      </c>
      <c r="O323" s="2" t="s">
        <v>20</v>
      </c>
      <c r="P323" s="2" t="s">
        <v>21</v>
      </c>
      <c r="Q323" s="2" t="s">
        <v>22</v>
      </c>
    </row>
    <row r="324" spans="1:17" x14ac:dyDescent="0.25">
      <c r="A324" s="1">
        <v>46322</v>
      </c>
      <c r="B324" s="1">
        <v>46321</v>
      </c>
      <c r="C324" s="2" t="s">
        <v>773</v>
      </c>
      <c r="D324" s="2" t="s">
        <v>550</v>
      </c>
      <c r="E324" s="2" t="s">
        <v>764</v>
      </c>
      <c r="F324" s="2" t="s">
        <v>18</v>
      </c>
      <c r="G324" s="2" t="s">
        <v>148</v>
      </c>
      <c r="H324" s="2" t="s">
        <v>774</v>
      </c>
      <c r="I324" s="2" t="s">
        <v>775</v>
      </c>
      <c r="J324" s="3">
        <v>25</v>
      </c>
      <c r="K324" s="2" t="s">
        <v>28</v>
      </c>
      <c r="L324" s="3">
        <v>25</v>
      </c>
      <c r="M324" s="10">
        <v>2500000</v>
      </c>
      <c r="N324" s="3">
        <v>0</v>
      </c>
      <c r="O324" s="2" t="s">
        <v>20</v>
      </c>
      <c r="P324" s="2" t="s">
        <v>21</v>
      </c>
      <c r="Q324" s="2" t="s">
        <v>22</v>
      </c>
    </row>
    <row r="325" spans="1:17" x14ac:dyDescent="0.25">
      <c r="A325" s="1">
        <v>46322</v>
      </c>
      <c r="B325" s="1">
        <v>46321</v>
      </c>
      <c r="C325" s="2" t="s">
        <v>776</v>
      </c>
      <c r="D325" s="2" t="s">
        <v>550</v>
      </c>
      <c r="E325" s="2" t="s">
        <v>777</v>
      </c>
      <c r="F325" s="2" t="s">
        <v>18</v>
      </c>
      <c r="G325" s="2" t="s">
        <v>234</v>
      </c>
      <c r="H325" s="2" t="s">
        <v>709</v>
      </c>
      <c r="I325" s="2" t="s">
        <v>710</v>
      </c>
      <c r="J325" s="3">
        <v>5</v>
      </c>
      <c r="K325" s="2" t="s">
        <v>28</v>
      </c>
      <c r="L325" s="3">
        <v>4.34</v>
      </c>
      <c r="M325" s="10">
        <v>529914</v>
      </c>
      <c r="N325" s="3">
        <v>-0.66</v>
      </c>
      <c r="O325" s="2" t="s">
        <v>20</v>
      </c>
      <c r="P325" s="2" t="s">
        <v>21</v>
      </c>
      <c r="Q325" s="2" t="s">
        <v>22</v>
      </c>
    </row>
    <row r="326" spans="1:17" x14ac:dyDescent="0.25">
      <c r="A326" s="1">
        <v>46322</v>
      </c>
      <c r="B326" s="1">
        <v>46321</v>
      </c>
      <c r="C326" s="2" t="s">
        <v>778</v>
      </c>
      <c r="D326" s="2" t="s">
        <v>550</v>
      </c>
      <c r="E326" s="2" t="s">
        <v>390</v>
      </c>
      <c r="F326" s="2" t="s">
        <v>18</v>
      </c>
      <c r="G326" s="2" t="s">
        <v>229</v>
      </c>
      <c r="H326" s="2" t="s">
        <v>779</v>
      </c>
      <c r="I326" s="2" t="s">
        <v>780</v>
      </c>
      <c r="J326" s="3">
        <v>1</v>
      </c>
      <c r="K326" s="2" t="s">
        <v>56</v>
      </c>
      <c r="L326" s="3">
        <v>1</v>
      </c>
      <c r="M326" s="10">
        <v>843600</v>
      </c>
      <c r="N326" s="3">
        <v>0</v>
      </c>
      <c r="O326" s="2" t="s">
        <v>20</v>
      </c>
      <c r="P326" s="2" t="s">
        <v>21</v>
      </c>
      <c r="Q326" s="2" t="s">
        <v>22</v>
      </c>
    </row>
    <row r="327" spans="1:17" x14ac:dyDescent="0.25">
      <c r="A327" s="1">
        <v>46322</v>
      </c>
      <c r="B327" s="1">
        <v>46321</v>
      </c>
      <c r="C327" s="2" t="s">
        <v>781</v>
      </c>
      <c r="D327" s="2" t="s">
        <v>550</v>
      </c>
      <c r="E327" s="2" t="s">
        <v>782</v>
      </c>
      <c r="F327" s="2" t="s">
        <v>18</v>
      </c>
      <c r="G327" s="2" t="s">
        <v>148</v>
      </c>
      <c r="H327" s="2" t="s">
        <v>598</v>
      </c>
      <c r="I327" s="2" t="s">
        <v>599</v>
      </c>
      <c r="J327" s="3">
        <v>1.5</v>
      </c>
      <c r="K327" s="2" t="s">
        <v>28</v>
      </c>
      <c r="L327" s="3">
        <v>1.5</v>
      </c>
      <c r="M327" s="10">
        <v>169500</v>
      </c>
      <c r="N327" s="3">
        <v>0</v>
      </c>
      <c r="O327" s="2" t="s">
        <v>20</v>
      </c>
      <c r="P327" s="2" t="s">
        <v>21</v>
      </c>
      <c r="Q327" s="2" t="s">
        <v>22</v>
      </c>
    </row>
    <row r="328" spans="1:17" x14ac:dyDescent="0.25">
      <c r="A328" s="1">
        <v>46322</v>
      </c>
      <c r="B328" s="1">
        <v>46321</v>
      </c>
      <c r="C328" s="2" t="s">
        <v>783</v>
      </c>
      <c r="D328" s="2" t="s">
        <v>550</v>
      </c>
      <c r="E328" s="2" t="s">
        <v>623</v>
      </c>
      <c r="F328" s="2" t="s">
        <v>18</v>
      </c>
      <c r="G328" s="2" t="s">
        <v>113</v>
      </c>
      <c r="H328" s="2" t="s">
        <v>624</v>
      </c>
      <c r="I328" s="2" t="s">
        <v>625</v>
      </c>
      <c r="J328" s="3">
        <v>5</v>
      </c>
      <c r="K328" s="2" t="s">
        <v>56</v>
      </c>
      <c r="L328" s="3">
        <v>5</v>
      </c>
      <c r="M328" s="10">
        <v>662500</v>
      </c>
      <c r="N328" s="3">
        <v>0</v>
      </c>
      <c r="O328" s="2" t="s">
        <v>20</v>
      </c>
      <c r="P328" s="2" t="s">
        <v>21</v>
      </c>
      <c r="Q328" s="2" t="s">
        <v>784</v>
      </c>
    </row>
    <row r="329" spans="1:17" x14ac:dyDescent="0.25">
      <c r="A329" s="1">
        <v>46322</v>
      </c>
      <c r="B329" s="1">
        <v>46321</v>
      </c>
      <c r="C329" s="2" t="s">
        <v>785</v>
      </c>
      <c r="D329" s="2" t="s">
        <v>550</v>
      </c>
      <c r="E329" s="2" t="s">
        <v>782</v>
      </c>
      <c r="F329" s="2" t="s">
        <v>18</v>
      </c>
      <c r="G329" s="2" t="s">
        <v>148</v>
      </c>
      <c r="H329" s="2" t="s">
        <v>559</v>
      </c>
      <c r="I329" s="2" t="s">
        <v>560</v>
      </c>
      <c r="J329" s="3">
        <v>2</v>
      </c>
      <c r="K329" s="2" t="s">
        <v>414</v>
      </c>
      <c r="L329" s="3">
        <v>2</v>
      </c>
      <c r="M329" s="10">
        <v>160000.01999999999</v>
      </c>
      <c r="N329" s="3">
        <v>0</v>
      </c>
      <c r="O329" s="2" t="s">
        <v>20</v>
      </c>
      <c r="P329" s="2" t="s">
        <v>21</v>
      </c>
      <c r="Q329" s="2" t="s">
        <v>22</v>
      </c>
    </row>
    <row r="330" spans="1:17" x14ac:dyDescent="0.25">
      <c r="A330" s="1">
        <v>46322</v>
      </c>
      <c r="B330" s="1">
        <v>46321</v>
      </c>
      <c r="C330" s="2" t="s">
        <v>786</v>
      </c>
      <c r="D330" s="2" t="s">
        <v>550</v>
      </c>
      <c r="E330" s="2" t="s">
        <v>782</v>
      </c>
      <c r="F330" s="2" t="s">
        <v>18</v>
      </c>
      <c r="G330" s="2" t="s">
        <v>148</v>
      </c>
      <c r="H330" s="2" t="s">
        <v>598</v>
      </c>
      <c r="I330" s="2" t="s">
        <v>599</v>
      </c>
      <c r="J330" s="3">
        <v>1.5</v>
      </c>
      <c r="K330" s="2" t="s">
        <v>28</v>
      </c>
      <c r="L330" s="3">
        <v>1.5</v>
      </c>
      <c r="M330" s="10">
        <v>169500</v>
      </c>
      <c r="N330" s="3">
        <v>0</v>
      </c>
      <c r="O330" s="2" t="s">
        <v>20</v>
      </c>
      <c r="P330" s="2" t="s">
        <v>21</v>
      </c>
      <c r="Q330" s="2" t="s">
        <v>22</v>
      </c>
    </row>
    <row r="331" spans="1:17" x14ac:dyDescent="0.25">
      <c r="A331" s="1">
        <v>46322</v>
      </c>
      <c r="B331" s="1">
        <v>46321</v>
      </c>
      <c r="C331" s="2" t="s">
        <v>787</v>
      </c>
      <c r="D331" s="2" t="s">
        <v>550</v>
      </c>
      <c r="E331" s="2" t="s">
        <v>782</v>
      </c>
      <c r="F331" s="2" t="s">
        <v>18</v>
      </c>
      <c r="G331" s="2" t="s">
        <v>148</v>
      </c>
      <c r="H331" s="2" t="s">
        <v>598</v>
      </c>
      <c r="I331" s="2" t="s">
        <v>599</v>
      </c>
      <c r="J331" s="3">
        <v>9</v>
      </c>
      <c r="K331" s="2" t="s">
        <v>28</v>
      </c>
      <c r="L331" s="3">
        <v>9</v>
      </c>
      <c r="M331" s="10">
        <v>1016999.98</v>
      </c>
      <c r="N331" s="3">
        <v>0</v>
      </c>
      <c r="O331" s="2" t="s">
        <v>20</v>
      </c>
      <c r="P331" s="2" t="s">
        <v>21</v>
      </c>
      <c r="Q331" s="2" t="s">
        <v>22</v>
      </c>
    </row>
    <row r="332" spans="1:17" x14ac:dyDescent="0.25">
      <c r="A332" s="1">
        <v>46322</v>
      </c>
      <c r="B332" s="1">
        <v>46321</v>
      </c>
      <c r="C332" s="2" t="s">
        <v>788</v>
      </c>
      <c r="D332" s="2" t="s">
        <v>550</v>
      </c>
      <c r="E332" s="2" t="s">
        <v>782</v>
      </c>
      <c r="F332" s="2" t="s">
        <v>18</v>
      </c>
      <c r="G332" s="2" t="s">
        <v>148</v>
      </c>
      <c r="H332" s="2" t="s">
        <v>598</v>
      </c>
      <c r="I332" s="2" t="s">
        <v>599</v>
      </c>
      <c r="J332" s="3">
        <v>4.5</v>
      </c>
      <c r="K332" s="2" t="s">
        <v>28</v>
      </c>
      <c r="L332" s="3">
        <v>4.5</v>
      </c>
      <c r="M332" s="10">
        <v>508499.99</v>
      </c>
      <c r="N332" s="3">
        <v>0</v>
      </c>
      <c r="O332" s="2" t="s">
        <v>20</v>
      </c>
      <c r="P332" s="2" t="s">
        <v>21</v>
      </c>
      <c r="Q332" s="2" t="s">
        <v>22</v>
      </c>
    </row>
    <row r="333" spans="1:17" x14ac:dyDescent="0.25">
      <c r="A333" s="1">
        <v>46322</v>
      </c>
      <c r="B333" s="1">
        <v>46321</v>
      </c>
      <c r="C333" s="2" t="s">
        <v>789</v>
      </c>
      <c r="D333" s="2" t="s">
        <v>550</v>
      </c>
      <c r="E333" s="2" t="s">
        <v>782</v>
      </c>
      <c r="F333" s="2" t="s">
        <v>18</v>
      </c>
      <c r="G333" s="2" t="s">
        <v>148</v>
      </c>
      <c r="H333" s="2" t="s">
        <v>559</v>
      </c>
      <c r="I333" s="2" t="s">
        <v>560</v>
      </c>
      <c r="J333" s="3">
        <v>1</v>
      </c>
      <c r="K333" s="2" t="s">
        <v>414</v>
      </c>
      <c r="L333" s="3">
        <v>1</v>
      </c>
      <c r="M333" s="10">
        <v>80000.009999999995</v>
      </c>
      <c r="N333" s="3">
        <v>0</v>
      </c>
      <c r="O333" s="2" t="s">
        <v>20</v>
      </c>
      <c r="P333" s="2" t="s">
        <v>21</v>
      </c>
      <c r="Q333" s="2" t="s">
        <v>22</v>
      </c>
    </row>
    <row r="334" spans="1:17" x14ac:dyDescent="0.25">
      <c r="A334" s="1">
        <v>46322</v>
      </c>
      <c r="B334" s="1">
        <v>46321</v>
      </c>
      <c r="C334" s="2" t="s">
        <v>790</v>
      </c>
      <c r="D334" s="2" t="s">
        <v>550</v>
      </c>
      <c r="E334" s="2" t="s">
        <v>345</v>
      </c>
      <c r="F334" s="2" t="s">
        <v>18</v>
      </c>
      <c r="G334" s="2" t="s">
        <v>247</v>
      </c>
      <c r="H334" s="2" t="s">
        <v>578</v>
      </c>
      <c r="I334" s="2" t="s">
        <v>579</v>
      </c>
      <c r="J334" s="3">
        <v>6</v>
      </c>
      <c r="K334" s="2" t="s">
        <v>157</v>
      </c>
      <c r="L334" s="3">
        <v>6</v>
      </c>
      <c r="M334" s="10">
        <v>586080</v>
      </c>
      <c r="N334" s="3">
        <v>0</v>
      </c>
      <c r="O334" s="2" t="s">
        <v>20</v>
      </c>
      <c r="P334" s="2" t="s">
        <v>21</v>
      </c>
      <c r="Q334" s="2" t="s">
        <v>411</v>
      </c>
    </row>
    <row r="335" spans="1:17" x14ac:dyDescent="0.25">
      <c r="A335" s="1">
        <v>46322</v>
      </c>
      <c r="B335" s="1">
        <v>46321</v>
      </c>
      <c r="C335" s="2" t="s">
        <v>791</v>
      </c>
      <c r="D335" s="2" t="s">
        <v>550</v>
      </c>
      <c r="E335" s="2" t="s">
        <v>345</v>
      </c>
      <c r="F335" s="2" t="s">
        <v>18</v>
      </c>
      <c r="G335" s="2" t="s">
        <v>247</v>
      </c>
      <c r="H335" s="2" t="s">
        <v>749</v>
      </c>
      <c r="I335" s="2" t="s">
        <v>750</v>
      </c>
      <c r="J335" s="3">
        <v>16</v>
      </c>
      <c r="K335" s="2" t="s">
        <v>56</v>
      </c>
      <c r="L335" s="3">
        <v>16</v>
      </c>
      <c r="M335" s="10">
        <v>980000</v>
      </c>
      <c r="N335" s="3">
        <v>0</v>
      </c>
      <c r="O335" s="2" t="s">
        <v>20</v>
      </c>
      <c r="P335" s="2" t="s">
        <v>21</v>
      </c>
      <c r="Q335" s="2" t="s">
        <v>411</v>
      </c>
    </row>
    <row r="336" spans="1:17" x14ac:dyDescent="0.25">
      <c r="A336" s="1">
        <v>46322</v>
      </c>
      <c r="B336" s="1">
        <v>46321</v>
      </c>
      <c r="C336" s="2" t="s">
        <v>791</v>
      </c>
      <c r="D336" s="2" t="s">
        <v>550</v>
      </c>
      <c r="E336" s="2" t="s">
        <v>345</v>
      </c>
      <c r="F336" s="2" t="s">
        <v>18</v>
      </c>
      <c r="G336" s="2" t="s">
        <v>247</v>
      </c>
      <c r="H336" s="2" t="s">
        <v>624</v>
      </c>
      <c r="I336" s="2" t="s">
        <v>625</v>
      </c>
      <c r="J336" s="3">
        <v>4</v>
      </c>
      <c r="K336" s="2" t="s">
        <v>56</v>
      </c>
      <c r="L336" s="3">
        <v>4</v>
      </c>
      <c r="M336" s="10">
        <v>420000</v>
      </c>
      <c r="N336" s="3">
        <v>0</v>
      </c>
      <c r="O336" s="2" t="s">
        <v>20</v>
      </c>
      <c r="P336" s="2" t="s">
        <v>21</v>
      </c>
      <c r="Q336" s="2" t="s">
        <v>411</v>
      </c>
    </row>
    <row r="337" spans="1:17" x14ac:dyDescent="0.25">
      <c r="A337" s="1">
        <v>46322</v>
      </c>
      <c r="B337" s="1">
        <v>46321</v>
      </c>
      <c r="C337" s="2" t="s">
        <v>791</v>
      </c>
      <c r="D337" s="2" t="s">
        <v>550</v>
      </c>
      <c r="E337" s="2" t="s">
        <v>345</v>
      </c>
      <c r="F337" s="2" t="s">
        <v>18</v>
      </c>
      <c r="G337" s="2" t="s">
        <v>247</v>
      </c>
      <c r="H337" s="2" t="s">
        <v>721</v>
      </c>
      <c r="I337" s="2" t="s">
        <v>722</v>
      </c>
      <c r="J337" s="3">
        <v>4</v>
      </c>
      <c r="K337" s="2" t="s">
        <v>56</v>
      </c>
      <c r="L337" s="3">
        <v>4</v>
      </c>
      <c r="M337" s="10">
        <v>380000.02</v>
      </c>
      <c r="N337" s="3">
        <v>0</v>
      </c>
      <c r="O337" s="2" t="s">
        <v>20</v>
      </c>
      <c r="P337" s="2" t="s">
        <v>21</v>
      </c>
      <c r="Q337" s="2" t="s">
        <v>411</v>
      </c>
    </row>
    <row r="338" spans="1:17" x14ac:dyDescent="0.25">
      <c r="A338" s="1">
        <v>46322</v>
      </c>
      <c r="B338" s="1">
        <v>46321</v>
      </c>
      <c r="C338" s="2" t="s">
        <v>791</v>
      </c>
      <c r="D338" s="2" t="s">
        <v>550</v>
      </c>
      <c r="E338" s="2" t="s">
        <v>345</v>
      </c>
      <c r="F338" s="2" t="s">
        <v>18</v>
      </c>
      <c r="G338" s="2" t="s">
        <v>247</v>
      </c>
      <c r="H338" s="2" t="s">
        <v>746</v>
      </c>
      <c r="I338" s="2" t="s">
        <v>747</v>
      </c>
      <c r="J338" s="3">
        <v>18</v>
      </c>
      <c r="K338" s="2" t="s">
        <v>56</v>
      </c>
      <c r="L338" s="3">
        <v>18</v>
      </c>
      <c r="M338" s="10">
        <v>1403999.99</v>
      </c>
      <c r="N338" s="3">
        <v>0</v>
      </c>
      <c r="O338" s="2" t="s">
        <v>20</v>
      </c>
      <c r="P338" s="2" t="s">
        <v>21</v>
      </c>
      <c r="Q338" s="2" t="s">
        <v>411</v>
      </c>
    </row>
    <row r="339" spans="1:17" x14ac:dyDescent="0.25">
      <c r="A339" s="1">
        <v>46322</v>
      </c>
      <c r="B339" s="1">
        <v>46321</v>
      </c>
      <c r="C339" s="2" t="s">
        <v>791</v>
      </c>
      <c r="D339" s="2" t="s">
        <v>550</v>
      </c>
      <c r="E339" s="2" t="s">
        <v>345</v>
      </c>
      <c r="F339" s="2" t="s">
        <v>18</v>
      </c>
      <c r="G339" s="2" t="s">
        <v>247</v>
      </c>
      <c r="H339" s="2" t="s">
        <v>757</v>
      </c>
      <c r="I339" s="2" t="s">
        <v>758</v>
      </c>
      <c r="J339" s="3">
        <v>6</v>
      </c>
      <c r="K339" s="2" t="s">
        <v>56</v>
      </c>
      <c r="L339" s="3">
        <v>6</v>
      </c>
      <c r="M339" s="10">
        <v>312000</v>
      </c>
      <c r="N339" s="3">
        <v>0</v>
      </c>
      <c r="O339" s="2" t="s">
        <v>20</v>
      </c>
      <c r="P339" s="2" t="s">
        <v>21</v>
      </c>
      <c r="Q339" s="2" t="s">
        <v>411</v>
      </c>
    </row>
    <row r="340" spans="1:17" x14ac:dyDescent="0.25">
      <c r="A340" s="1">
        <v>46322</v>
      </c>
      <c r="B340" s="1">
        <v>46321</v>
      </c>
      <c r="C340" s="2" t="s">
        <v>792</v>
      </c>
      <c r="D340" s="2" t="s">
        <v>550</v>
      </c>
      <c r="E340" s="2" t="s">
        <v>532</v>
      </c>
      <c r="F340" s="2" t="s">
        <v>18</v>
      </c>
      <c r="G340" s="2" t="s">
        <v>424</v>
      </c>
      <c r="H340" s="2" t="s">
        <v>793</v>
      </c>
      <c r="I340" s="2" t="s">
        <v>794</v>
      </c>
      <c r="J340" s="3">
        <v>5</v>
      </c>
      <c r="K340" s="2" t="s">
        <v>414</v>
      </c>
      <c r="L340" s="3">
        <v>5</v>
      </c>
      <c r="M340" s="10">
        <v>1071150</v>
      </c>
      <c r="N340" s="3">
        <v>0</v>
      </c>
      <c r="O340" s="2" t="s">
        <v>20</v>
      </c>
      <c r="P340" s="2" t="s">
        <v>21</v>
      </c>
      <c r="Q340" s="2" t="s">
        <v>795</v>
      </c>
    </row>
    <row r="341" spans="1:17" x14ac:dyDescent="0.25">
      <c r="A341" s="1">
        <v>46322</v>
      </c>
      <c r="B341" s="1">
        <v>46321</v>
      </c>
      <c r="C341" s="2" t="s">
        <v>796</v>
      </c>
      <c r="D341" s="2" t="s">
        <v>550</v>
      </c>
      <c r="E341" s="2" t="s">
        <v>532</v>
      </c>
      <c r="F341" s="2" t="s">
        <v>18</v>
      </c>
      <c r="G341" s="2" t="s">
        <v>424</v>
      </c>
      <c r="H341" s="2" t="s">
        <v>598</v>
      </c>
      <c r="I341" s="2" t="s">
        <v>599</v>
      </c>
      <c r="J341" s="3">
        <v>75</v>
      </c>
      <c r="K341" s="2" t="s">
        <v>28</v>
      </c>
      <c r="L341" s="3">
        <v>75</v>
      </c>
      <c r="M341" s="10">
        <v>6993000</v>
      </c>
      <c r="N341" s="3">
        <v>0</v>
      </c>
      <c r="O341" s="2" t="s">
        <v>20</v>
      </c>
      <c r="P341" s="2" t="s">
        <v>21</v>
      </c>
      <c r="Q341" s="2" t="s">
        <v>795</v>
      </c>
    </row>
    <row r="342" spans="1:17" x14ac:dyDescent="0.25">
      <c r="A342" s="1">
        <v>46322</v>
      </c>
      <c r="B342" s="1">
        <v>46321</v>
      </c>
      <c r="C342" s="2" t="s">
        <v>797</v>
      </c>
      <c r="D342" s="2" t="s">
        <v>550</v>
      </c>
      <c r="E342" s="2" t="s">
        <v>798</v>
      </c>
      <c r="F342" s="2" t="s">
        <v>31</v>
      </c>
      <c r="G342" s="2" t="s">
        <v>32</v>
      </c>
      <c r="H342" s="2" t="s">
        <v>591</v>
      </c>
      <c r="I342" s="2" t="s">
        <v>592</v>
      </c>
      <c r="J342" s="3">
        <v>2</v>
      </c>
      <c r="K342" s="2" t="s">
        <v>70</v>
      </c>
      <c r="L342" s="3">
        <v>2</v>
      </c>
      <c r="M342" s="10">
        <v>337020</v>
      </c>
      <c r="N342" s="3">
        <v>0</v>
      </c>
      <c r="O342" s="2" t="s">
        <v>20</v>
      </c>
      <c r="P342" s="2" t="s">
        <v>21</v>
      </c>
      <c r="Q342" s="2" t="s">
        <v>22</v>
      </c>
    </row>
    <row r="343" spans="1:17" x14ac:dyDescent="0.25">
      <c r="A343" s="1">
        <v>46322</v>
      </c>
      <c r="B343" s="1">
        <v>46321</v>
      </c>
      <c r="C343" s="2" t="s">
        <v>797</v>
      </c>
      <c r="D343" s="2" t="s">
        <v>550</v>
      </c>
      <c r="E343" s="2" t="s">
        <v>798</v>
      </c>
      <c r="F343" s="2" t="s">
        <v>31</v>
      </c>
      <c r="G343" s="2" t="s">
        <v>32</v>
      </c>
      <c r="H343" s="2" t="s">
        <v>582</v>
      </c>
      <c r="I343" s="2" t="s">
        <v>583</v>
      </c>
      <c r="J343" s="3">
        <v>2</v>
      </c>
      <c r="K343" s="2" t="s">
        <v>70</v>
      </c>
      <c r="L343" s="3">
        <v>2</v>
      </c>
      <c r="M343" s="10">
        <v>329670</v>
      </c>
      <c r="N343" s="3">
        <v>0</v>
      </c>
      <c r="O343" s="2" t="s">
        <v>20</v>
      </c>
      <c r="P343" s="2" t="s">
        <v>21</v>
      </c>
      <c r="Q343" s="2" t="s">
        <v>22</v>
      </c>
    </row>
    <row r="344" spans="1:17" x14ac:dyDescent="0.25">
      <c r="A344" s="1">
        <v>46322</v>
      </c>
      <c r="B344" s="1">
        <v>46321</v>
      </c>
      <c r="C344" s="2" t="s">
        <v>799</v>
      </c>
      <c r="D344" s="2" t="s">
        <v>550</v>
      </c>
      <c r="E344" s="2" t="s">
        <v>423</v>
      </c>
      <c r="F344" s="2" t="s">
        <v>18</v>
      </c>
      <c r="G344" s="2" t="s">
        <v>424</v>
      </c>
      <c r="H344" s="2" t="s">
        <v>800</v>
      </c>
      <c r="I344" s="2" t="s">
        <v>801</v>
      </c>
      <c r="J344" s="3">
        <v>1</v>
      </c>
      <c r="K344" s="2" t="s">
        <v>151</v>
      </c>
      <c r="L344" s="3">
        <v>1</v>
      </c>
      <c r="M344" s="10">
        <v>425000</v>
      </c>
      <c r="N344" s="3">
        <v>0</v>
      </c>
      <c r="O344" s="2" t="s">
        <v>20</v>
      </c>
      <c r="P344" s="2" t="s">
        <v>21</v>
      </c>
      <c r="Q344" s="2" t="s">
        <v>22</v>
      </c>
    </row>
    <row r="345" spans="1:17" x14ac:dyDescent="0.25">
      <c r="A345" s="1">
        <v>46322</v>
      </c>
      <c r="B345" s="1">
        <v>46321</v>
      </c>
      <c r="C345" s="2" t="s">
        <v>802</v>
      </c>
      <c r="D345" s="2" t="s">
        <v>550</v>
      </c>
      <c r="E345" s="2" t="s">
        <v>803</v>
      </c>
      <c r="F345" s="2" t="s">
        <v>18</v>
      </c>
      <c r="G345" s="2" t="s">
        <v>229</v>
      </c>
      <c r="H345" s="2" t="s">
        <v>738</v>
      </c>
      <c r="I345" s="2" t="s">
        <v>739</v>
      </c>
      <c r="J345" s="3">
        <v>2</v>
      </c>
      <c r="K345" s="2" t="s">
        <v>70</v>
      </c>
      <c r="L345" s="3">
        <v>2</v>
      </c>
      <c r="M345" s="10">
        <v>410700</v>
      </c>
      <c r="N345" s="3">
        <v>0</v>
      </c>
      <c r="O345" s="2" t="s">
        <v>20</v>
      </c>
      <c r="P345" s="2" t="s">
        <v>21</v>
      </c>
      <c r="Q345" s="2" t="s">
        <v>22</v>
      </c>
    </row>
    <row r="346" spans="1:17" x14ac:dyDescent="0.25">
      <c r="A346" s="1">
        <v>46322</v>
      </c>
      <c r="B346" s="1">
        <v>46321</v>
      </c>
      <c r="C346" s="2" t="s">
        <v>804</v>
      </c>
      <c r="D346" s="2" t="s">
        <v>550</v>
      </c>
      <c r="E346" s="2" t="s">
        <v>805</v>
      </c>
      <c r="F346" s="2" t="s">
        <v>18</v>
      </c>
      <c r="G346" s="2" t="s">
        <v>45</v>
      </c>
      <c r="H346" s="2" t="s">
        <v>709</v>
      </c>
      <c r="I346" s="2" t="s">
        <v>710</v>
      </c>
      <c r="J346" s="3">
        <v>27</v>
      </c>
      <c r="K346" s="2" t="s">
        <v>28</v>
      </c>
      <c r="L346" s="3">
        <v>28.399899999999999</v>
      </c>
      <c r="M346" s="10">
        <v>2698000.14</v>
      </c>
      <c r="N346" s="3">
        <v>1.3998999999999999</v>
      </c>
      <c r="O346" s="2" t="s">
        <v>20</v>
      </c>
      <c r="P346" s="2" t="s">
        <v>21</v>
      </c>
      <c r="Q346" s="2" t="s">
        <v>22</v>
      </c>
    </row>
    <row r="347" spans="1:17" x14ac:dyDescent="0.25">
      <c r="A347" s="1">
        <v>46322</v>
      </c>
      <c r="B347" s="1">
        <v>46321</v>
      </c>
      <c r="C347" s="2" t="s">
        <v>806</v>
      </c>
      <c r="D347" s="2" t="s">
        <v>550</v>
      </c>
      <c r="E347" s="2" t="s">
        <v>432</v>
      </c>
      <c r="F347" s="2" t="s">
        <v>18</v>
      </c>
      <c r="G347" s="2" t="s">
        <v>424</v>
      </c>
      <c r="H347" s="2" t="s">
        <v>800</v>
      </c>
      <c r="I347" s="2" t="s">
        <v>801</v>
      </c>
      <c r="J347" s="3">
        <v>1</v>
      </c>
      <c r="K347" s="2" t="s">
        <v>151</v>
      </c>
      <c r="L347" s="3">
        <v>1</v>
      </c>
      <c r="M347" s="10">
        <v>425000.01</v>
      </c>
      <c r="N347" s="3">
        <v>0</v>
      </c>
      <c r="O347" s="2" t="s">
        <v>20</v>
      </c>
      <c r="P347" s="2" t="s">
        <v>21</v>
      </c>
      <c r="Q347" s="2" t="s">
        <v>22</v>
      </c>
    </row>
    <row r="348" spans="1:17" x14ac:dyDescent="0.25">
      <c r="A348" s="1">
        <v>46322</v>
      </c>
      <c r="B348" s="1">
        <v>46321</v>
      </c>
      <c r="C348" s="2" t="s">
        <v>807</v>
      </c>
      <c r="D348" s="2" t="s">
        <v>550</v>
      </c>
      <c r="E348" s="2" t="s">
        <v>464</v>
      </c>
      <c r="F348" s="2" t="s">
        <v>18</v>
      </c>
      <c r="G348" s="2" t="s">
        <v>247</v>
      </c>
      <c r="H348" s="2" t="s">
        <v>563</v>
      </c>
      <c r="I348" s="2" t="s">
        <v>564</v>
      </c>
      <c r="J348" s="3">
        <v>12</v>
      </c>
      <c r="K348" s="2" t="s">
        <v>427</v>
      </c>
      <c r="L348" s="3">
        <v>12</v>
      </c>
      <c r="M348" s="10">
        <v>744000</v>
      </c>
      <c r="N348" s="3">
        <v>0</v>
      </c>
      <c r="O348" s="2" t="s">
        <v>20</v>
      </c>
      <c r="P348" s="2" t="s">
        <v>21</v>
      </c>
      <c r="Q348" s="2" t="s">
        <v>22</v>
      </c>
    </row>
    <row r="349" spans="1:17" x14ac:dyDescent="0.25">
      <c r="A349" s="1">
        <v>46322</v>
      </c>
      <c r="B349" s="1">
        <v>46321</v>
      </c>
      <c r="C349" s="2" t="s">
        <v>808</v>
      </c>
      <c r="D349" s="2" t="s">
        <v>550</v>
      </c>
      <c r="E349" s="2" t="s">
        <v>809</v>
      </c>
      <c r="F349" s="2" t="s">
        <v>18</v>
      </c>
      <c r="G349" s="2" t="s">
        <v>229</v>
      </c>
      <c r="H349" s="2" t="s">
        <v>709</v>
      </c>
      <c r="I349" s="2" t="s">
        <v>710</v>
      </c>
      <c r="J349" s="3">
        <v>2.2999999999999998</v>
      </c>
      <c r="K349" s="2" t="s">
        <v>28</v>
      </c>
      <c r="L349" s="3">
        <v>2.1800000000000002</v>
      </c>
      <c r="M349" s="10">
        <v>254079</v>
      </c>
      <c r="N349" s="3">
        <v>-0.12</v>
      </c>
      <c r="O349" s="2" t="s">
        <v>20</v>
      </c>
      <c r="P349" s="2" t="s">
        <v>21</v>
      </c>
      <c r="Q349" s="2" t="s">
        <v>22</v>
      </c>
    </row>
    <row r="350" spans="1:17" x14ac:dyDescent="0.25">
      <c r="A350" s="1">
        <v>46322</v>
      </c>
      <c r="B350" s="1">
        <v>46321</v>
      </c>
      <c r="C350" s="2" t="s">
        <v>810</v>
      </c>
      <c r="D350" s="2" t="s">
        <v>550</v>
      </c>
      <c r="E350" s="2" t="s">
        <v>811</v>
      </c>
      <c r="F350" s="2" t="s">
        <v>18</v>
      </c>
      <c r="G350" s="2" t="s">
        <v>229</v>
      </c>
      <c r="H350" s="2" t="s">
        <v>644</v>
      </c>
      <c r="I350" s="2" t="s">
        <v>645</v>
      </c>
      <c r="J350" s="3">
        <v>2</v>
      </c>
      <c r="K350" s="2" t="s">
        <v>151</v>
      </c>
      <c r="L350" s="3">
        <v>2</v>
      </c>
      <c r="M350" s="10">
        <v>1040000</v>
      </c>
      <c r="N350" s="3">
        <v>0</v>
      </c>
      <c r="O350" s="2" t="s">
        <v>20</v>
      </c>
      <c r="P350" s="2" t="s">
        <v>21</v>
      </c>
      <c r="Q350" s="2" t="s">
        <v>22</v>
      </c>
    </row>
    <row r="351" spans="1:17" x14ac:dyDescent="0.25">
      <c r="A351" s="1">
        <v>46322</v>
      </c>
      <c r="B351" s="1">
        <v>46321</v>
      </c>
      <c r="C351" s="2" t="s">
        <v>812</v>
      </c>
      <c r="D351" s="2" t="s">
        <v>550</v>
      </c>
      <c r="E351" s="2" t="s">
        <v>813</v>
      </c>
      <c r="F351" s="2" t="s">
        <v>18</v>
      </c>
      <c r="G351" s="2" t="s">
        <v>229</v>
      </c>
      <c r="H351" s="2" t="s">
        <v>814</v>
      </c>
      <c r="I351" s="2" t="s">
        <v>815</v>
      </c>
      <c r="J351" s="3">
        <v>4</v>
      </c>
      <c r="K351" s="2" t="s">
        <v>56</v>
      </c>
      <c r="L351" s="3">
        <v>4</v>
      </c>
      <c r="M351" s="10">
        <v>380000</v>
      </c>
      <c r="N351" s="3">
        <v>0</v>
      </c>
      <c r="O351" s="2" t="s">
        <v>20</v>
      </c>
      <c r="P351" s="2" t="s">
        <v>21</v>
      </c>
      <c r="Q351" s="2" t="s">
        <v>22</v>
      </c>
    </row>
    <row r="352" spans="1:17" x14ac:dyDescent="0.25">
      <c r="A352" s="1">
        <v>46322</v>
      </c>
      <c r="B352" s="1">
        <v>46321</v>
      </c>
      <c r="C352" s="2" t="s">
        <v>812</v>
      </c>
      <c r="D352" s="2" t="s">
        <v>550</v>
      </c>
      <c r="E352" s="2" t="s">
        <v>813</v>
      </c>
      <c r="F352" s="2" t="s">
        <v>18</v>
      </c>
      <c r="G352" s="2" t="s">
        <v>229</v>
      </c>
      <c r="H352" s="2" t="s">
        <v>816</v>
      </c>
      <c r="I352" s="2" t="s">
        <v>817</v>
      </c>
      <c r="J352" s="3">
        <v>4</v>
      </c>
      <c r="K352" s="2" t="s">
        <v>56</v>
      </c>
      <c r="L352" s="3">
        <v>4</v>
      </c>
      <c r="M352" s="10">
        <v>320000</v>
      </c>
      <c r="N352" s="3">
        <v>0</v>
      </c>
      <c r="O352" s="2" t="s">
        <v>20</v>
      </c>
      <c r="P352" s="2" t="s">
        <v>21</v>
      </c>
      <c r="Q352" s="2" t="s">
        <v>22</v>
      </c>
    </row>
    <row r="353" spans="1:17" x14ac:dyDescent="0.25">
      <c r="A353" s="1">
        <v>46322</v>
      </c>
      <c r="B353" s="1">
        <v>46321</v>
      </c>
      <c r="C353" s="2" t="s">
        <v>818</v>
      </c>
      <c r="D353" s="2" t="s">
        <v>550</v>
      </c>
      <c r="E353" s="2" t="s">
        <v>528</v>
      </c>
      <c r="F353" s="2" t="s">
        <v>31</v>
      </c>
      <c r="G353" s="2" t="s">
        <v>113</v>
      </c>
      <c r="H353" s="2" t="s">
        <v>613</v>
      </c>
      <c r="I353" s="2" t="s">
        <v>614</v>
      </c>
      <c r="J353" s="3">
        <v>1</v>
      </c>
      <c r="K353" s="2" t="s">
        <v>615</v>
      </c>
      <c r="L353" s="3">
        <v>1</v>
      </c>
      <c r="M353" s="10">
        <v>900000.01</v>
      </c>
      <c r="N353" s="3">
        <v>0</v>
      </c>
      <c r="O353" s="2" t="s">
        <v>20</v>
      </c>
      <c r="P353" s="2" t="s">
        <v>21</v>
      </c>
      <c r="Q353" s="2" t="s">
        <v>22</v>
      </c>
    </row>
    <row r="354" spans="1:17" x14ac:dyDescent="0.25">
      <c r="A354" s="1">
        <v>46322</v>
      </c>
      <c r="B354" s="1">
        <v>46321</v>
      </c>
      <c r="C354" s="2" t="s">
        <v>819</v>
      </c>
      <c r="D354" s="2" t="s">
        <v>550</v>
      </c>
      <c r="E354" s="2" t="s">
        <v>820</v>
      </c>
      <c r="F354" s="2" t="s">
        <v>31</v>
      </c>
      <c r="G354" s="2" t="s">
        <v>424</v>
      </c>
      <c r="H354" s="2" t="s">
        <v>582</v>
      </c>
      <c r="I354" s="2" t="s">
        <v>583</v>
      </c>
      <c r="J354" s="3">
        <v>1</v>
      </c>
      <c r="K354" s="2" t="s">
        <v>70</v>
      </c>
      <c r="L354" s="3">
        <v>1</v>
      </c>
      <c r="M354" s="10">
        <v>164835</v>
      </c>
      <c r="N354" s="3">
        <v>0</v>
      </c>
      <c r="O354" s="2" t="s">
        <v>20</v>
      </c>
      <c r="P354" s="2" t="s">
        <v>21</v>
      </c>
      <c r="Q354" s="2" t="s">
        <v>821</v>
      </c>
    </row>
    <row r="355" spans="1:17" x14ac:dyDescent="0.25">
      <c r="A355" s="1">
        <v>46322</v>
      </c>
      <c r="B355" s="1">
        <v>46321</v>
      </c>
      <c r="C355" s="2" t="s">
        <v>822</v>
      </c>
      <c r="D355" s="2" t="s">
        <v>550</v>
      </c>
      <c r="E355" s="2" t="s">
        <v>684</v>
      </c>
      <c r="F355" s="2" t="s">
        <v>31</v>
      </c>
      <c r="G355" s="2" t="s">
        <v>247</v>
      </c>
      <c r="H355" s="2" t="s">
        <v>644</v>
      </c>
      <c r="I355" s="2" t="s">
        <v>645</v>
      </c>
      <c r="J355" s="3">
        <v>1</v>
      </c>
      <c r="K355" s="2" t="s">
        <v>151</v>
      </c>
      <c r="L355" s="3">
        <v>1</v>
      </c>
      <c r="M355" s="10">
        <v>500000</v>
      </c>
      <c r="N355" s="3">
        <v>0</v>
      </c>
      <c r="O355" s="2" t="s">
        <v>20</v>
      </c>
      <c r="P355" s="2" t="s">
        <v>21</v>
      </c>
      <c r="Q355" s="2" t="s">
        <v>22</v>
      </c>
    </row>
    <row r="356" spans="1:17" x14ac:dyDescent="0.25">
      <c r="A356" s="1">
        <v>46322</v>
      </c>
      <c r="B356" s="1">
        <v>46321</v>
      </c>
      <c r="C356" s="2" t="s">
        <v>822</v>
      </c>
      <c r="D356" s="2" t="s">
        <v>550</v>
      </c>
      <c r="E356" s="2" t="s">
        <v>684</v>
      </c>
      <c r="F356" s="2" t="s">
        <v>31</v>
      </c>
      <c r="G356" s="2" t="s">
        <v>247</v>
      </c>
      <c r="H356" s="2" t="s">
        <v>823</v>
      </c>
      <c r="I356" s="2" t="s">
        <v>824</v>
      </c>
      <c r="J356" s="3">
        <v>1</v>
      </c>
      <c r="K356" s="2" t="s">
        <v>151</v>
      </c>
      <c r="L356" s="3">
        <v>1</v>
      </c>
      <c r="M356" s="10">
        <v>580000.01</v>
      </c>
      <c r="N356" s="3">
        <v>0</v>
      </c>
      <c r="O356" s="2" t="s">
        <v>20</v>
      </c>
      <c r="P356" s="2" t="s">
        <v>21</v>
      </c>
      <c r="Q356" s="2" t="s">
        <v>22</v>
      </c>
    </row>
    <row r="357" spans="1:17" x14ac:dyDescent="0.25">
      <c r="A357" s="1">
        <v>46322</v>
      </c>
      <c r="B357" s="1">
        <v>46321</v>
      </c>
      <c r="C357" s="2" t="s">
        <v>825</v>
      </c>
      <c r="D357" s="2" t="s">
        <v>550</v>
      </c>
      <c r="E357" s="2" t="s">
        <v>826</v>
      </c>
      <c r="F357" s="2" t="s">
        <v>18</v>
      </c>
      <c r="G357" s="2" t="s">
        <v>19</v>
      </c>
      <c r="H357" s="2" t="s">
        <v>613</v>
      </c>
      <c r="I357" s="2" t="s">
        <v>614</v>
      </c>
      <c r="J357" s="3">
        <v>1</v>
      </c>
      <c r="K357" s="2" t="s">
        <v>615</v>
      </c>
      <c r="L357" s="3">
        <v>1</v>
      </c>
      <c r="M357" s="10">
        <v>640000</v>
      </c>
      <c r="N357" s="3">
        <v>0</v>
      </c>
      <c r="O357" s="2" t="s">
        <v>20</v>
      </c>
      <c r="P357" s="2" t="s">
        <v>21</v>
      </c>
      <c r="Q357" s="2" t="s">
        <v>22</v>
      </c>
    </row>
    <row r="358" spans="1:17" x14ac:dyDescent="0.25">
      <c r="M358" s="11">
        <f>SUM(M2:M357)</f>
        <v>424601380.87999976</v>
      </c>
    </row>
  </sheetData>
  <autoFilter ref="A1:Q230" xr:uid="{00000000-0009-0000-0000-000000000000}"/>
  <pageMargins left="0.7" right="0.7" top="0.75" bottom="0.75" header="0.3" footer="0.3"/>
  <ignoredErrors>
    <ignoredError sqref="A1:Q1 A210:Q216 A191:Q209 A183:Q190 A217:Q230 A171:Q182 A170:Q170 A143:Q169 A141:Q142 A140:Q140 A131:Q139 A130:Q130 A125:Q129 A118:Q124 A116:Q117 A112:Q115 A110:Q111 A103:Q109 A102:Q102 A99:Q101 A95:Q98 A94:Q94 A62:Q93 A56:Q61 A38:Q55 A37:Q37 A36:Q36 A34:Q35 A26:Q33 A22:Q25 A2:Q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2026-10-27T00:39:30Z</dcterms:created>
  <dcterms:modified xsi:type="dcterms:W3CDTF">2026-10-27T00:46:33Z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