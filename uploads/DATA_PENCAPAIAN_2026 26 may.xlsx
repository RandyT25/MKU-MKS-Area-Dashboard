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9195" windowHeight="7290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H51" i="7" s="1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M52" i="7" s="1"/>
  <c r="N52" i="7" s="1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I51" i="7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2" i="7" l="1"/>
  <c r="G42" i="3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<sst xmlns="http://schemas.openxmlformats.org/spreadsheetml/2006/main" count="1872" uniqueCount="185">
  <si>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</si>
  <si>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</si>
  <si>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</si>
  <si>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</si>
  <si>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</si>
  <si>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</si>
  <si>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</si>
  <si>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</si>
  <si>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</si>
  <si>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</si>
  <si>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</si>
  <si>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</si>
  <si>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</si>
  <si>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</si>
  <si>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</si>
  <si>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</si>
  <si>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</si>
  <si>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</si>
  <si>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</si>
  <si>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</si>
  <si>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</si>
  <si>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</si>
  <si>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</si>
  <si>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</si>
  <si>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</si>
  <si>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</si>
  <si>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</si>
  <si>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</si>
  <si>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</si>
  <si>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</si>
  <si>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</si>
  <si>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</si>
  <si>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</si>
  <si>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</si>
  <si>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</si>
  <si>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</si>
  <si>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</si>
  <si>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</si>
  <si>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</si>
  <si>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</si>
  <si>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</si>
  <si>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</si>
  <si>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</si>
  <si>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</si>
  <si>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</si>
  <si>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</si>
  <si>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</si>
  <si>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</si>
  <si>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</si>
  <si>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</si>
  <si>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</si>
  <si>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</si>
  <si>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</si>
  <si>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</si>
  <si>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</si>
  <si>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</si>
  <si>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</si>
  <si>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</si>
  <si>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</si>
  <si>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</si>
  <si>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</si>
  <si>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</si>
  <si>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</si>
  <si>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</si>
  <si>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</si>
  <si>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</si>
  <si>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</si>
  <si>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</si>
  <si>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</si>
  <si>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</si>
  <si>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</si>
  <si>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</si>
  <si>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</si>
  <si>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</si>
  <si>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</si>
  <si>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</si>
  <si>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</si>
  <si>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</si>
  <si>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</si>
  <si>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</si>
  <si>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</si>
  <si>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</si>
  <si>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</si>
  <si>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</si>
  <si>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</si>
  <si>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</si>
  <si>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</si>
  <si>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</si>
  <si>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</si>
  <si>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</si>
  <si>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</si>
  <si>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</si>
  <si>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</si>
  <si>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</si>
  <si>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</si>
  <si>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</si>
  <si>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</si>
  <si>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</si>
  <si>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</si>
  <si>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</si>
  <si>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</si>
  <si>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</si>
  <si>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</si>
  <si>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</si>
  <si>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</si>
  <si>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</si>
  <si>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</si>
  <si>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</si>
  <si>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</si>
  <si>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</si>
  <si>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</si>
  <si>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</si>
  <si>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</si>
  <si>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</si>
  <si>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</si>
  <si>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</si>
  <si>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</si>
  <si>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</si>
  <si>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</si>
  <si>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</si>
  <si>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</si>
  <si>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</si>
  <si>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</si>
  <si>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</si>
  <si>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</si>
  <si>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</si>
  <si>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</si>
  <si>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</si>
  <si>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</si>
  <si>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</si>
  <si>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</si>
  <si>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</si>
  <si>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</si>
  <si>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</si>
  <si>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</si>
  <si>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</si>
  <si>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</si>
  <si>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</si>
  <si>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</si>
  <si>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</si>
  <si>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</si>
  <si>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</si>
  <si>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</si>
  <si>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</si>
  <si>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</si>
  <si>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</si>
  <si>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</si>
  <si>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</si>
  <si>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</si>
  <si>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</si>
  <si>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</si>
  <si>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</si>
  <si>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</si>
  <si>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</si>
  <si>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</si>
  <si>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</si>
  <si>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</si>
  <si>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</si>
  <si>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</si>
  <si>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</si>
  <si>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</si>
  <si>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</si>
  <si>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</si>
  <si>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</si>
  <si>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</si>
  <si>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</si>
  <si>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</si>
  <si>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</si>
  <si>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</si>
  <si>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</si>
  <si>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</si>
  <si>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</si>
  <si>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</si>
  <si>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</si>
  <si>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</si>
  <si>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</si>
  <si>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</si>
  <si>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</si>
  <si>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</si>
  <si>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</si>
  <si>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</si>
  <si>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</si>
  <si>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</si>
  <si>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</si>
  <si>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26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</si>
</sst>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5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254512394.267885</v>
      </c>
      <c r="N8" s="11">
        <f>D24</f>
        <v>37644371.543454997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450163430.59335101</v>
      </c>
      <c r="N9" s="11">
        <f>D12+D13</f>
        <v>87396620.680083007</v>
      </c>
    </row>
    <row r="10" spans="2:14" x14ac:dyDescent="0.25">
      <c r="B10" s="74" t="s">
        <v>113</v>
      </c>
      <c r="C10" s="205">
        <v>245904663.37819701</v>
      </c>
      <c r="D10" s="205">
        <v>30000486.200826</v>
      </c>
      <c r="E10" s="205">
        <v>135459239.519999</v>
      </c>
      <c r="F10" s="205">
        <v>411364389.09902197</v>
      </c>
      <c r="H10" s="116"/>
      <c r="I10" s="116"/>
      <c r="J10" s="116"/>
      <c r="M10" s="11">
        <f>C14</f>
        <v>531463288.50028402</v>
      </c>
      <c r="N10" s="11">
        <f>D14</f>
        <v>24103560.081103001</v>
      </c>
    </row>
    <row r="11" spans="2:14" x14ac:dyDescent="0.25">
      <c r="B11" s="74" t="s">
        <v>114</v>
      </c>
      <c r="C11" s="205">
        <v>328044269.38552397</v>
      </c>
      <c r="D11" s="205">
        <v>83068874.754528001</v>
      </c>
      <c r="E11" s="205">
        <v>38843243.600000001</v>
      </c>
      <c r="F11" s="205">
        <v>449956387.74005198</v>
      </c>
      <c r="H11" s="116"/>
      <c r="I11" s="116"/>
      <c r="J11" s="116"/>
      <c r="M11" s="11">
        <f>C17</f>
        <v>314350697.279998</v>
      </c>
      <c r="N11" s="11">
        <f>D17</f>
        <v>33550551.18</v>
      </c>
    </row>
    <row r="12" spans="2:14" x14ac:dyDescent="0.25">
      <c r="B12" s="74" t="s">
        <v>70</v>
      </c>
      <c r="C12" s="205">
        <v>244185492.48785701</v>
      </c>
      <c r="D12" s="205">
        <v>58807481.59025</v>
      </c>
      <c r="E12" s="205">
        <v>37261125.280000001</v>
      </c>
      <c r="F12" s="205">
        <v>340254099.35810697</v>
      </c>
      <c r="H12" s="116"/>
      <c r="I12" s="116"/>
      <c r="J12" s="116"/>
      <c r="M12" s="11">
        <f>C16</f>
        <v>364392495.68195301</v>
      </c>
      <c r="N12" s="11">
        <f>D16</f>
        <v>57646324.609319001</v>
      </c>
    </row>
    <row r="13" spans="2:14" x14ac:dyDescent="0.25">
      <c r="B13" s="74" t="s">
        <v>115</v>
      </c>
      <c r="C13" s="205">
        <v>205977938.10549399</v>
      </c>
      <c r="D13" s="205">
        <v>28589139.089832999</v>
      </c>
      <c r="E13" s="205">
        <v>36852139.219999999</v>
      </c>
      <c r="F13" s="205">
        <v>271419216.41532701</v>
      </c>
      <c r="H13" s="116"/>
      <c r="I13" s="116"/>
      <c r="J13" s="116"/>
      <c r="M13" s="11">
        <f>C19</f>
        <v>783530562.45213401</v>
      </c>
      <c r="N13" s="11">
        <f>D19</f>
        <v>63122836.769892</v>
      </c>
    </row>
    <row r="14" spans="2:14" x14ac:dyDescent="0.25">
      <c r="B14" s="74" t="s">
        <v>116</v>
      </c>
      <c r="C14" s="205">
        <v>531463288.50028402</v>
      </c>
      <c r="D14" s="205">
        <v>24103560.081103001</v>
      </c>
      <c r="E14" s="205">
        <v>185618737.74000001</v>
      </c>
      <c r="F14" s="205">
        <v>741185586.32138705</v>
      </c>
      <c r="H14" s="116"/>
      <c r="I14" s="116"/>
      <c r="J14" s="116"/>
      <c r="M14" s="11">
        <f>C25</f>
        <v>333984691.930942</v>
      </c>
      <c r="N14" s="11">
        <f>D25</f>
        <v>58336776.719756998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328044269.38552397</v>
      </c>
      <c r="N15" s="11">
        <f>D11</f>
        <v>83068874.754528001</v>
      </c>
    </row>
    <row r="16" spans="2:14" x14ac:dyDescent="0.25">
      <c r="B16" s="74" t="s">
        <v>74</v>
      </c>
      <c r="C16" s="205">
        <v>364392495.68195301</v>
      </c>
      <c r="D16" s="205">
        <v>57646324.609319001</v>
      </c>
      <c r="E16" s="205">
        <v>11608108</v>
      </c>
      <c r="F16" s="205">
        <v>433646928.29127198</v>
      </c>
      <c r="H16" s="116"/>
      <c r="I16" s="116"/>
      <c r="J16" s="116"/>
      <c r="M16" s="11">
        <f>C26</f>
        <v>389025523.14936203</v>
      </c>
      <c r="N16" s="11">
        <f>D26</f>
        <v>52235612.639940999</v>
      </c>
    </row>
    <row r="17" spans="2:14" x14ac:dyDescent="0.25">
      <c r="B17" s="74" t="s">
        <v>118</v>
      </c>
      <c r="C17" s="205">
        <v>314350697.279998</v>
      </c>
      <c r="D17" s="205">
        <v>33550551.18</v>
      </c>
      <c r="E17" s="205" t="s">
        <v>169</v>
      </c>
      <c r="F17" s="205">
        <v>347901248.45999801</v>
      </c>
      <c r="H17" s="116"/>
      <c r="I17" s="116"/>
      <c r="J17" s="116"/>
      <c r="M17" s="11">
        <f>C10</f>
        <v>245904663.37819701</v>
      </c>
      <c r="N17" s="11">
        <f>D10</f>
        <v>30000486.200826</v>
      </c>
    </row>
    <row r="18" spans="2:14" x14ac:dyDescent="0.25">
      <c r="B18" s="74" t="s">
        <v>119</v>
      </c>
      <c r="C18" s="205">
        <v>882983776.94476902</v>
      </c>
      <c r="D18" s="205">
        <v>8619114.3119760007</v>
      </c>
      <c r="E18" s="205">
        <v>10706756.74</v>
      </c>
      <c r="F18" s="205">
        <v>902309647.99674499</v>
      </c>
      <c r="H18" s="116"/>
      <c r="I18" s="116"/>
      <c r="J18" s="116"/>
      <c r="M18" s="11">
        <f>C27</f>
        <v>585538328.93634605</v>
      </c>
      <c r="N18" s="11">
        <f>D27</f>
        <v>172859916.172685</v>
      </c>
    </row>
    <row r="19" spans="2:14" x14ac:dyDescent="0.25">
      <c r="B19" s="74" t="s">
        <v>121</v>
      </c>
      <c r="C19" s="205">
        <v>783530562.45213401</v>
      </c>
      <c r="D19" s="205">
        <v>63122836.769892</v>
      </c>
      <c r="E19" s="205">
        <v>599431298.08994305</v>
      </c>
      <c r="F19" s="205">
        <v>1446084697.311969</v>
      </c>
      <c r="H19" s="116"/>
      <c r="I19" s="116"/>
      <c r="J19" s="116"/>
      <c r="M19" s="11">
        <f>C20+C21</f>
        <v>202946310.76466301</v>
      </c>
      <c r="N19" s="11">
        <f>D20+D21</f>
        <v>118446982.960512</v>
      </c>
    </row>
    <row r="20" spans="2:14" x14ac:dyDescent="0.25">
      <c r="B20" s="74" t="s">
        <v>123</v>
      </c>
      <c r="C20" s="205">
        <v>158951496.76466301</v>
      </c>
      <c r="D20" s="205">
        <v>28556299.959775999</v>
      </c>
      <c r="E20" s="205">
        <v>3816216.3</v>
      </c>
      <c r="F20" s="205">
        <v>191324013.02443901</v>
      </c>
      <c r="H20" s="116"/>
      <c r="I20" s="116"/>
      <c r="J20" s="116"/>
      <c r="M20" s="14">
        <f>IFERROR(C31,0)+IFERROR(C15,0)+IFERROR(C36,0)</f>
        <v>822000</v>
      </c>
      <c r="N20" s="10" t="s">
        <v>120</v>
      </c>
    </row>
    <row r="21" spans="2:14" x14ac:dyDescent="0.25">
      <c r="B21" s="74" t="s">
        <v>124</v>
      </c>
      <c r="C21" s="205">
        <v>43994814</v>
      </c>
      <c r="D21" s="205">
        <v>89890683.000735998</v>
      </c>
      <c r="E21" s="205">
        <v>48551352.280000001</v>
      </c>
      <c r="F21" s="205">
        <v>182436849.280736</v>
      </c>
      <c r="H21" s="116"/>
      <c r="I21" s="116"/>
      <c r="J21" s="116"/>
      <c r="M21" s="14">
        <f>IFERROR(C34,0)+IFERROR(C35,0)+M20</f>
        <v>554303461.83272099</v>
      </c>
      <c r="N21" s="10" t="s">
        <v>122</v>
      </c>
    </row>
    <row r="22" spans="2:14" x14ac:dyDescent="0.25">
      <c r="B22" s="74" t="s">
        <v>173</v>
      </c>
      <c r="C22" s="205">
        <v>211281605.80000001</v>
      </c>
      <c r="D22" s="205" t="s">
        <v>169</v>
      </c>
      <c r="E22" s="205">
        <v>10814414.119999999</v>
      </c>
      <c r="F22" s="205">
        <v>222096019.91999999</v>
      </c>
      <c r="H22" s="116"/>
      <c r="I22" s="116"/>
      <c r="J22" s="116"/>
    </row>
    <row r="23" spans="2:14" x14ac:dyDescent="0.25">
      <c r="B23" s="74" t="s">
        <v>174</v>
      </c>
      <c r="C23" s="205">
        <v>241460975.249975</v>
      </c>
      <c r="D23" s="205" t="s">
        <v>169</v>
      </c>
      <c r="E23" s="205">
        <v>10300179.9</v>
      </c>
      <c r="F23" s="205">
        <v>251761155.149975</v>
      </c>
      <c r="H23" s="116"/>
      <c r="I23" s="116"/>
      <c r="J23" s="116"/>
    </row>
    <row r="24" spans="2:14" x14ac:dyDescent="0.25">
      <c r="B24" s="74" t="s">
        <v>125</v>
      </c>
      <c r="C24" s="205">
        <v>254512394.267885</v>
      </c>
      <c r="D24" s="205">
        <v>37644371.543454997</v>
      </c>
      <c r="E24" s="205">
        <v>99482755.359999999</v>
      </c>
      <c r="F24" s="205">
        <v>391639521.17133999</v>
      </c>
      <c r="H24" s="116"/>
      <c r="I24" s="116"/>
      <c r="J24" s="116"/>
    </row>
    <row r="25" spans="2:14" x14ac:dyDescent="0.25">
      <c r="B25" s="74" t="s">
        <v>126</v>
      </c>
      <c r="C25" s="205">
        <v>333984691.930942</v>
      </c>
      <c r="D25" s="205">
        <v>58336776.719756998</v>
      </c>
      <c r="E25" s="205">
        <v>208051531.43981999</v>
      </c>
      <c r="F25" s="205">
        <v>600373000.09051895</v>
      </c>
      <c r="H25" s="116"/>
      <c r="I25" s="116"/>
      <c r="J25" s="116"/>
    </row>
    <row r="26" spans="2:14" x14ac:dyDescent="0.25">
      <c r="B26" s="74" t="s">
        <v>127</v>
      </c>
      <c r="C26" s="205">
        <v>389025523.14936203</v>
      </c>
      <c r="D26" s="205">
        <v>52235612.639940999</v>
      </c>
      <c r="E26" s="205">
        <v>368505403.31984103</v>
      </c>
      <c r="F26" s="205">
        <v>809766539.10914397</v>
      </c>
      <c r="H26" s="116"/>
      <c r="I26" s="116"/>
      <c r="J26" s="116"/>
    </row>
    <row r="27" spans="2:14" x14ac:dyDescent="0.25">
      <c r="B27" s="74" t="s">
        <v>128</v>
      </c>
      <c r="C27" s="205">
        <v>585538328.93634605</v>
      </c>
      <c r="D27" s="205">
        <v>172859916.172685</v>
      </c>
      <c r="E27" s="205">
        <v>18025946.155999999</v>
      </c>
      <c r="F27" s="205">
        <v>776424191.26503098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233726396.70464301</v>
      </c>
      <c r="G32" s="116"/>
      <c r="H32" s="116"/>
      <c r="I32" s="116"/>
    </row>
    <row r="33" spans="2:14" x14ac:dyDescent="0.25">
      <c r="B33" s="84" t="s">
        <v>133</v>
      </c>
      <c r="C33" s="205">
        <v>321596578.36200398</v>
      </c>
      <c r="G33" s="116"/>
      <c r="H33" s="116"/>
      <c r="I33" s="116"/>
    </row>
    <row r="34" spans="2:14" x14ac:dyDescent="0.25">
      <c r="B34" s="84" t="s">
        <v>134</v>
      </c>
      <c r="C34" s="205">
        <v>269880090.13584203</v>
      </c>
      <c r="G34" s="116"/>
      <c r="H34" s="116"/>
      <c r="I34" s="116"/>
    </row>
    <row r="35" spans="2:14" x14ac:dyDescent="0.25">
      <c r="B35" s="84" t="s">
        <v>135</v>
      </c>
      <c r="C35" s="205">
        <v>283601371.69687903</v>
      </c>
      <c r="G35" s="116"/>
      <c r="H35" s="116"/>
      <c r="I35" s="116"/>
    </row>
    <row r="36" spans="2:14" x14ac:dyDescent="0.25">
      <c r="B36" s="84" t="s">
        <v>136</v>
      </c>
      <c r="C36" s="205">
        <v>822000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38" t="s">
        <v>184</v>
      </c>
      <c r="C41" s="239"/>
      <c r="D41" s="240"/>
      <c r="E41" s="67" t="s">
        <v>138</v>
      </c>
      <c r="F41" s="73">
        <f ca="1">IF(MONTH(TODAY())=5,DAY(TODAY())/DAY(EOMONTH(TODAY(),0)),IF(MONTH(TODAY())&gt;5,1,0))</f>
        <v>0.83870967741935487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5236599237.3706141</v>
      </c>
      <c r="F43" s="44">
        <f>IFERROR(E43/D43,0)</f>
        <v>0.76566535495477173</v>
      </c>
      <c r="G43" s="118">
        <f>D43-E43</f>
        <v>1602680094.6293859</v>
      </c>
      <c r="H43" s="118">
        <f ca="1">IFERROR(G43/C3,0)</f>
        <v>320536018.92587721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818412914.31210101</v>
      </c>
      <c r="F44" s="44">
        <f>IFERROR(E44/D44,0)</f>
        <v>0.5547566110678539</v>
      </c>
      <c r="G44" s="118">
        <f>D44-E44</f>
        <v>656851909.9082607</v>
      </c>
      <c r="H44" s="118">
        <f ca="1">IFERROR(G44/C3,0)</f>
        <v>131370381.98165214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1109626436.899368</v>
      </c>
      <c r="F45" s="44">
        <f>IFERROR(E45/D45,0)</f>
        <v>0.62234418298651883</v>
      </c>
      <c r="G45" s="118">
        <f>D45-E45</f>
        <v>673352286.50488782</v>
      </c>
      <c r="H45" s="118">
        <f ca="1">IFERROR(G45/C3,0)</f>
        <v>134670457.30097756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7164638588.5820837</v>
      </c>
      <c r="F46" s="43">
        <f>IFERROR(E46/D46,0)</f>
        <v>0.70954417969572692</v>
      </c>
      <c r="G46" s="119">
        <f>G43+G44+G45</f>
        <v>2932884291.0425348</v>
      </c>
      <c r="H46" s="119">
        <f ca="1">IFERROR(G46/C3,0)</f>
        <v>586576858.20850694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254512394.267885</v>
      </c>
      <c r="H51" s="122">
        <f>N8</f>
        <v>37644371.543454997</v>
      </c>
      <c r="I51" s="122">
        <f t="shared" ref="I51:I64" si="1">G51+H51</f>
        <v>292156765.81133997</v>
      </c>
      <c r="J51" s="61">
        <f t="shared" ref="J51:J64" si="2">IFERROR(I51/F51,0)</f>
        <v>0.60244237303730996</v>
      </c>
      <c r="K51" s="51">
        <f t="shared" ref="K51:M64" si="3">D51-G51</f>
        <v>162171083.732115</v>
      </c>
      <c r="L51" s="51">
        <f t="shared" si="3"/>
        <v>30626029.677199312</v>
      </c>
      <c r="M51" s="51">
        <f t="shared" si="3"/>
        <v>192797113.40931433</v>
      </c>
      <c r="N51" s="51">
        <f ca="1">IFERROR(M51/C3,0)</f>
        <v>38559422.681862868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450163430.59335101</v>
      </c>
      <c r="H52" s="122">
        <f>N9</f>
        <v>87396620.680083007</v>
      </c>
      <c r="I52" s="122">
        <f t="shared" si="1"/>
        <v>537560051.27343404</v>
      </c>
      <c r="J52" s="61">
        <f t="shared" si="2"/>
        <v>0.71988625015375762</v>
      </c>
      <c r="K52" s="54">
        <f t="shared" si="3"/>
        <v>105018940.40664899</v>
      </c>
      <c r="L52" s="54">
        <f t="shared" si="3"/>
        <v>104150163.31991699</v>
      </c>
      <c r="M52" s="54">
        <f t="shared" si="3"/>
        <v>209169103.72656596</v>
      </c>
      <c r="N52" s="54">
        <f ca="1">IFERROR(M52/C3,0)</f>
        <v>41833820.74531319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211281605.80000001</v>
      </c>
      <c r="H53" s="122">
        <f>IF(D22="",0,D22)</f>
        <v>0</v>
      </c>
      <c r="I53" s="122">
        <f>G53+H53</f>
        <v>211281605.80000001</v>
      </c>
      <c r="J53" s="61">
        <f>IFERROR(I53/F53,0)</f>
        <v>0.87496892533876669</v>
      </c>
      <c r="K53" s="54">
        <f>D53-G53</f>
        <v>30191662.199999988</v>
      </c>
      <c r="L53" s="54">
        <f>E53-H53</f>
        <v>0</v>
      </c>
      <c r="M53" s="54">
        <f>F53-I53</f>
        <v>30191662.199999988</v>
      </c>
      <c r="N53" s="54">
        <f ca="1">IFERROR(M53/C3,0)</f>
        <v>6038332.4399999976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531463288.50028402</v>
      </c>
      <c r="H54" s="122">
        <f t="shared" ref="H54:H58" si="4">N10</f>
        <v>24103560.081103001</v>
      </c>
      <c r="I54" s="122">
        <f t="shared" si="1"/>
        <v>555566848.58138704</v>
      </c>
      <c r="J54" s="61">
        <f t="shared" si="2"/>
        <v>0.84484742276591906</v>
      </c>
      <c r="K54" s="54">
        <f>D54-G54</f>
        <v>79249183.499715984</v>
      </c>
      <c r="L54" s="54">
        <f t="shared" si="3"/>
        <v>22778266.73623189</v>
      </c>
      <c r="M54" s="54">
        <f t="shared" si="3"/>
        <v>102027450.23594785</v>
      </c>
      <c r="N54" s="54">
        <f ca="1">IFERROR(M54/C3,0)</f>
        <v>20405490.047189571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314350697.279998</v>
      </c>
      <c r="H55" s="122">
        <f t="shared" si="4"/>
        <v>33550551.18</v>
      </c>
      <c r="I55" s="122">
        <f t="shared" si="1"/>
        <v>347901248.45999801</v>
      </c>
      <c r="J55" s="61">
        <f t="shared" si="2"/>
        <v>0.71301087288787446</v>
      </c>
      <c r="K55" s="54">
        <f t="shared" si="3"/>
        <v>90712586.720001996</v>
      </c>
      <c r="L55" s="54">
        <f t="shared" si="3"/>
        <v>49318764.011524148</v>
      </c>
      <c r="M55" s="54">
        <f t="shared" si="3"/>
        <v>140031350.73152614</v>
      </c>
      <c r="N55" s="54">
        <f ca="1">IFERROR(M55/C3,0)</f>
        <v>28006270.146305226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364392495.68195301</v>
      </c>
      <c r="H56" s="122">
        <f t="shared" si="4"/>
        <v>57646324.609319001</v>
      </c>
      <c r="I56" s="122">
        <f t="shared" si="1"/>
        <v>422038820.29127204</v>
      </c>
      <c r="J56" s="61">
        <f t="shared" si="2"/>
        <v>0.76021357593650984</v>
      </c>
      <c r="K56" s="54">
        <f t="shared" si="3"/>
        <v>109526336.31804699</v>
      </c>
      <c r="L56" s="54">
        <f t="shared" si="3"/>
        <v>23593069.513334602</v>
      </c>
      <c r="M56" s="54">
        <f t="shared" si="3"/>
        <v>133119405.83138156</v>
      </c>
      <c r="N56" s="54">
        <f ca="1">IFERROR(M56/C3,0)</f>
        <v>26623881.166276313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783530562.45213401</v>
      </c>
      <c r="H57" s="122">
        <f t="shared" si="4"/>
        <v>63122836.769892</v>
      </c>
      <c r="I57" s="122">
        <f t="shared" si="1"/>
        <v>846653399.22202599</v>
      </c>
      <c r="J57" s="61">
        <f t="shared" si="2"/>
        <v>0.80351514484586517</v>
      </c>
      <c r="K57" s="54">
        <f t="shared" si="3"/>
        <v>178227782.54786599</v>
      </c>
      <c r="L57" s="54">
        <f t="shared" si="3"/>
        <v>28805739.56926439</v>
      </c>
      <c r="M57" s="54">
        <f t="shared" si="3"/>
        <v>207033522.1171304</v>
      </c>
      <c r="N57" s="54">
        <f ca="1">IFERROR(M57/C3,0)</f>
        <v>41406704.423426077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333984691.930942</v>
      </c>
      <c r="H58" s="122">
        <f t="shared" si="4"/>
        <v>58336776.719756998</v>
      </c>
      <c r="I58" s="122">
        <f>G58+H58</f>
        <v>392321468.65069902</v>
      </c>
      <c r="J58" s="61">
        <f>IFERROR(I58/F58,0)</f>
        <v>0.68940996410602184</v>
      </c>
      <c r="K58" s="54">
        <f t="shared" si="3"/>
        <v>171302367.069058</v>
      </c>
      <c r="L58" s="54">
        <f t="shared" si="3"/>
        <v>5444627.2802430019</v>
      </c>
      <c r="M58" s="54">
        <f t="shared" si="3"/>
        <v>176746994.34930098</v>
      </c>
      <c r="N58" s="54">
        <f ca="1">IFERROR(M58/C3,0)</f>
        <v>35349398.869860195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241460975.249975</v>
      </c>
      <c r="H59" s="122">
        <f>IF(D23="",0,D23)</f>
        <v>0</v>
      </c>
      <c r="I59" s="122">
        <f>G59+H59</f>
        <v>241460975.249975</v>
      </c>
      <c r="J59" s="61">
        <f>IFERROR(I59/F59,0)</f>
        <v>0.59747800482657887</v>
      </c>
      <c r="K59" s="54">
        <f>D59-G59</f>
        <v>162672688.750025</v>
      </c>
      <c r="L59" s="54">
        <f>E59-H59</f>
        <v>0</v>
      </c>
      <c r="M59" s="54">
        <f>F59-I59</f>
        <v>162672688.750025</v>
      </c>
      <c r="N59" s="54">
        <f ca="1">IFERROR(M59/C3,0)</f>
        <v>32534537.750004999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328044269.38552397</v>
      </c>
      <c r="H60" s="122">
        <f t="shared" ref="H60:H64" si="5">N15</f>
        <v>83068874.754528001</v>
      </c>
      <c r="I60" s="122">
        <f t="shared" si="1"/>
        <v>411113144.14005196</v>
      </c>
      <c r="J60" s="61">
        <f t="shared" si="2"/>
        <v>0.75783781228506808</v>
      </c>
      <c r="K60" s="54">
        <f t="shared" si="3"/>
        <v>75973039.614476025</v>
      </c>
      <c r="L60" s="54">
        <f t="shared" si="3"/>
        <v>55395515.463467404</v>
      </c>
      <c r="M60" s="54">
        <f t="shared" si="3"/>
        <v>131368555.07794344</v>
      </c>
      <c r="N60" s="54">
        <f ca="1">IFERROR(M60/C3,0)</f>
        <v>26273711.01558869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389025523.14936203</v>
      </c>
      <c r="H61" s="122">
        <f t="shared" si="5"/>
        <v>52235612.639940999</v>
      </c>
      <c r="I61" s="122">
        <f t="shared" si="1"/>
        <v>441261135.789303</v>
      </c>
      <c r="J61" s="61">
        <f t="shared" si="2"/>
        <v>0.63916504332114787</v>
      </c>
      <c r="K61" s="54">
        <f t="shared" si="3"/>
        <v>242604072.85063797</v>
      </c>
      <c r="L61" s="54">
        <f t="shared" si="3"/>
        <v>6505987.9706842676</v>
      </c>
      <c r="M61" s="54">
        <f t="shared" si="3"/>
        <v>249110060.82132226</v>
      </c>
      <c r="N61" s="54">
        <f ca="1">IFERROR(M61/C3,0)</f>
        <v>49822012.164264455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245904663.37819701</v>
      </c>
      <c r="H62" s="122">
        <f t="shared" si="5"/>
        <v>30000486.200826</v>
      </c>
      <c r="I62" s="122">
        <f t="shared" si="1"/>
        <v>275905149.579023</v>
      </c>
      <c r="J62" s="61">
        <f t="shared" si="2"/>
        <v>0.61270431203670028</v>
      </c>
      <c r="K62" s="54">
        <f t="shared" si="3"/>
        <v>140638359.62180299</v>
      </c>
      <c r="L62" s="54">
        <f t="shared" si="3"/>
        <v>33763668.598987803</v>
      </c>
      <c r="M62" s="54">
        <f t="shared" si="3"/>
        <v>174402028.2207908</v>
      </c>
      <c r="N62" s="54">
        <f ca="1">IFERROR(M62/C3,0)</f>
        <v>34880405.644158162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585538328.93634605</v>
      </c>
      <c r="H63" s="122">
        <f t="shared" si="5"/>
        <v>172859916.172685</v>
      </c>
      <c r="I63" s="122">
        <f t="shared" si="1"/>
        <v>758398245.10903108</v>
      </c>
      <c r="J63" s="61">
        <f t="shared" si="2"/>
        <v>0.83052258093794407</v>
      </c>
      <c r="K63" s="54">
        <f t="shared" si="3"/>
        <v>-2187386.9363460541</v>
      </c>
      <c r="L63" s="54">
        <f t="shared" si="3"/>
        <v>156947028.82003239</v>
      </c>
      <c r="M63" s="54">
        <f t="shared" si="3"/>
        <v>154759641.8836863</v>
      </c>
      <c r="N63" s="54">
        <f ca="1">IFERROR(M63/C3,0)</f>
        <v>30951928.376737259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202946310.76466301</v>
      </c>
      <c r="H64" s="122">
        <f t="shared" si="5"/>
        <v>118446982.960512</v>
      </c>
      <c r="I64" s="122">
        <f t="shared" si="1"/>
        <v>321393293.72517502</v>
      </c>
      <c r="J64" s="61">
        <f t="shared" si="2"/>
        <v>0.6210549783123378</v>
      </c>
      <c r="K64" s="54">
        <f t="shared" si="3"/>
        <v>56579378.235336989</v>
      </c>
      <c r="L64" s="54">
        <f t="shared" si="3"/>
        <v>139523048.9473744</v>
      </c>
      <c r="M64" s="54">
        <f t="shared" si="3"/>
        <v>196102427.18271136</v>
      </c>
      <c r="N64" s="54">
        <f ca="1">IFERROR(M64/C3,0)</f>
        <v>39220485.436542273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5236599237.3706141</v>
      </c>
      <c r="H65" s="152">
        <f>SUM(H51:H64)</f>
        <v>818412914.31210101</v>
      </c>
      <c r="I65" s="152">
        <f>SUM(I51:I64)</f>
        <v>6055012151.6827154</v>
      </c>
      <c r="J65" s="153">
        <f>IFERROR(I65/F65,0)</f>
        <v>0.72824342957548394</v>
      </c>
      <c r="K65" s="154">
        <f>SUM(K51:K64)</f>
        <v>1602680094.6293859</v>
      </c>
      <c r="L65" s="154">
        <f>SUM(L51:L64)</f>
        <v>656851909.90826058</v>
      </c>
      <c r="M65" s="154">
        <f>SUM(M51:M64)</f>
        <v>2259532004.5376463</v>
      </c>
      <c r="N65" s="154">
        <f ca="1">IFERROR(M65/C3,0)</f>
        <v>451906400.90752923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99482755.359999999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74113264.5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10814414.119999999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185618737.74000001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11608108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599431298.08994305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208051531.43981999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10300179.9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38843243.600000001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368505403.31984103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135459239.519999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18025946.155999999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52367568.579999998</v>
      </c>
    </row>
    <row r="84" spans="2:9" ht="20.100000000000001" customHeight="1" x14ac:dyDescent="0.25">
      <c r="B84" s="57" t="s">
        <v>152</v>
      </c>
      <c r="C84" s="58"/>
      <c r="D84" s="129">
        <f>SUM(D70:D83)</f>
        <v>1812621690.3256028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233726396.70464301</v>
      </c>
      <c r="F89" s="61">
        <f t="shared" ref="F89:F94" si="7">IFERROR(E89/D89,0)</f>
        <v>0.84054705868820534</v>
      </c>
      <c r="G89" s="125">
        <f>D89-E89</f>
        <v>44338221.199566543</v>
      </c>
      <c r="H89" s="125">
        <f ca="1">IFERROR(G89/C3,0)</f>
        <v>8867644.239913309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321596578.36200398</v>
      </c>
      <c r="F90" s="61">
        <f t="shared" si="7"/>
        <v>0.77007253606946158</v>
      </c>
      <c r="G90" s="126">
        <f>D90-E90</f>
        <v>96021974.824517608</v>
      </c>
      <c r="H90" s="126">
        <f ca="1">IFERROR(G90/C3,0)</f>
        <v>19204394.964903522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554303461.83272099</v>
      </c>
      <c r="F91" s="61">
        <f t="shared" si="7"/>
        <v>0.50980017406792999</v>
      </c>
      <c r="G91" s="125">
        <f>D91-E91</f>
        <v>532992090.48080373</v>
      </c>
      <c r="H91" s="125">
        <f ca="1">IFERROR(G91/C3,0)</f>
        <v>106598418.09616074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1109626436.899368</v>
      </c>
      <c r="F94" s="43">
        <f t="shared" si="7"/>
        <v>0.62234418298651883</v>
      </c>
      <c r="G94" s="119">
        <f>SUM(G89:G93)</f>
        <v>673352286.50488782</v>
      </c>
      <c r="H94" s="119">
        <f ca="1">IFERROR(G94/C3,0)</f>
        <v>134670457.30097756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2026-05-26T00:53:16Z</dcterms:modified>
  <dc:language>en-US</dc:language>
</cp:coreProperties>
</file>