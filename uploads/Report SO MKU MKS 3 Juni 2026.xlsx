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D8A7BFB5-01BC-4B81-B5DB-4C555F145A7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Sheet!$A$1:$Q$595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595" i="1" l="1"/>
</calcChain>
</file>

<file path=xl/sharedStrings.xml><?xml version="1.0" encoding="utf-8"?>
<sst xmlns="http://schemas.openxmlformats.org/spreadsheetml/2006/main" count="6770" uniqueCount="1169">
  <si>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</si>
  <si>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</si>
  <si>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</si>
  <si>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</si>
  <si>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</si>
  <si>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</si>
  <si>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</si>
  <si>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</si>
  <si>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</si>
  <si>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</si>
  <si>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</si>
  <si>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</si>
  <si>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</si>
  <si>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</si>
  <si>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</si>
  <si>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</si>
  <si>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</si>
  <si>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</si>
  <si>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Cash</t>
  </si>
  <si>
    <t>Ni Ketut Sriasih (GT)</t>
  </si>
  <si>
    <t>PACK</t>
  </si>
  <si>
    <t>Invoice</t>
  </si>
  <si>
    <t/>
  </si>
  <si>
    <t>SO-KS/2606/020170</t>
  </si>
  <si>
    <t>ROOM FOR DESSERT</t>
  </si>
  <si>
    <t>Picrom Stalyon</t>
  </si>
  <si>
    <t>SFM007</t>
  </si>
  <si>
    <t>Tepung Double Zero @25Kg/Sack</t>
  </si>
  <si>
    <t>SACK</t>
  </si>
  <si>
    <t>Sudah Jadi FJ</t>
  </si>
  <si>
    <t>SO-KS/2606/020171</t>
  </si>
  <si>
    <t>LOLAS CANTINA CANGGU</t>
  </si>
  <si>
    <t>Credit</t>
  </si>
  <si>
    <t>Taufik</t>
  </si>
  <si>
    <t>PPK0010</t>
  </si>
  <si>
    <t>Block Red Cheddar Mix Cheese 5x2kg</t>
  </si>
  <si>
    <t>KG</t>
  </si>
  <si>
    <t>1 loaf. KIRIM KE PRODUCTION
JL. Pulau adi dalam</t>
  </si>
  <si>
    <t>SO-KS/2606/020172</t>
  </si>
  <si>
    <t>ROSSO VIVO</t>
  </si>
  <si>
    <t>LANI</t>
  </si>
  <si>
    <t>SO-KS/2606/020173</t>
  </si>
  <si>
    <t>RICE PADDY CAFE</t>
  </si>
  <si>
    <t>Eka</t>
  </si>
  <si>
    <t>PAN0024</t>
  </si>
  <si>
    <t>NZMP Mozarella</t>
  </si>
  <si>
    <t>2  LOAF</t>
  </si>
  <si>
    <t>SO-KS/2606/020174</t>
  </si>
  <si>
    <t>PURE PIZZA</t>
  </si>
  <si>
    <t>I MADE LUIH</t>
  </si>
  <si>
    <t>SFM009</t>
  </si>
  <si>
    <t>Tepung Hime @25Kg/Sack</t>
  </si>
  <si>
    <t>SO-KS/2606/020175</t>
  </si>
  <si>
    <t>DESA KOPI BALI</t>
  </si>
  <si>
    <t>SO-KS/2606/020176</t>
  </si>
  <si>
    <t>LACASETTA CAFETARIA</t>
  </si>
  <si>
    <t>Dewi Kristiani</t>
  </si>
  <si>
    <t>PSF0014</t>
  </si>
  <si>
    <t>Tepung 00 Fusion @25Kg</t>
  </si>
  <si>
    <t>SO-KS/2606/020177</t>
  </si>
  <si>
    <t>FRANKIES BAR AND GRILL</t>
  </si>
  <si>
    <t>Sujana</t>
  </si>
  <si>
    <t>2 loaf</t>
  </si>
  <si>
    <t>SO-KS/2606/020178</t>
  </si>
  <si>
    <t>PPA0092</t>
  </si>
  <si>
    <t>Emborg Pizza Topping 2.3 Kg</t>
  </si>
  <si>
    <t>SO-KS/2606/020179</t>
  </si>
  <si>
    <t>REMPAH COFFE &amp; EATERY</t>
  </si>
  <si>
    <t>120010</t>
  </si>
  <si>
    <t>Tepung Easymix Pancake @1kg/pack</t>
  </si>
  <si>
    <t>SO-KS/2606/020180</t>
  </si>
  <si>
    <t>TAKE RESTAURANT</t>
  </si>
  <si>
    <t>120015</t>
  </si>
  <si>
    <t>Tepung Japanese Tempura 1kg/pack</t>
  </si>
  <si>
    <t>kirim siang stlh jam 12, resto buka siang
Customer bayar cash langsung uang ambil dikasir</t>
  </si>
  <si>
    <t>SO-KS/2606/020182</t>
  </si>
  <si>
    <t>PT. NYIUR MELAMBAI LAMBAI</t>
  </si>
  <si>
    <t>SFM052</t>
  </si>
  <si>
    <t>Inofa Heat Treated Wheat Flour SF 346 @25kg/sack</t>
  </si>
  <si>
    <t>Damaria</t>
  </si>
  <si>
    <t>SO-KS/2606/020183</t>
  </si>
  <si>
    <t>REVOLVER OBEROI</t>
  </si>
  <si>
    <t>080241</t>
  </si>
  <si>
    <t>THE ALTERNATIVE Barista Almond Milk 1 Lt</t>
  </si>
  <si>
    <t>PCS</t>
  </si>
  <si>
    <t>080239</t>
  </si>
  <si>
    <t>THE ALTERNATIVE Barista Soy Milk 1 Lt</t>
  </si>
  <si>
    <t>SO-KS/2606/020184</t>
  </si>
  <si>
    <t>LOSTERIA JIMBARAN</t>
  </si>
  <si>
    <t>Juni</t>
  </si>
  <si>
    <t>SO-KS/2606/020188</t>
  </si>
  <si>
    <t>WHITE ORCHID NUSA DUA</t>
  </si>
  <si>
    <t>PSJ0393</t>
  </si>
  <si>
    <t>Duck Peking whole size 2-2.2 kg</t>
  </si>
  <si>
    <t>4 ekor</t>
  </si>
  <si>
    <t>SO-KS/2606/020189</t>
  </si>
  <si>
    <t>BALKAN SHAWARMA UNGASAN</t>
  </si>
  <si>
    <t>SO-KS/2606/020190</t>
  </si>
  <si>
    <t>SERU COFFEE &amp; PASTRY</t>
  </si>
  <si>
    <t>PSJ0228</t>
  </si>
  <si>
    <t>Premium Minced Beef (2.5kg/pack)</t>
  </si>
  <si>
    <t>1 pack</t>
  </si>
  <si>
    <t>SO-KS/2606/020191</t>
  </si>
  <si>
    <t>IMADJI SUNSHINE</t>
  </si>
  <si>
    <t>PLN0005</t>
  </si>
  <si>
    <t>RICH CRÈME ND 08 1000G POUCH</t>
  </si>
  <si>
    <t>POU</t>
  </si>
  <si>
    <t>SO-KS/2606/020192</t>
  </si>
  <si>
    <t>MAGUS WARUNG MELASTI</t>
  </si>
  <si>
    <t>120006</t>
  </si>
  <si>
    <t>Tepung Crispy Ala Kentucky 1kg/pack</t>
  </si>
  <si>
    <t>120009</t>
  </si>
  <si>
    <t>Tepung Easymix Fish n Chips 1kg/pack</t>
  </si>
  <si>
    <t>SO-KS/2606/020193</t>
  </si>
  <si>
    <t>BRUNN BAKEHAUS PRODUKSI</t>
  </si>
  <si>
    <t>SO-KS/2606/020194</t>
  </si>
  <si>
    <t>LE CROISSANT</t>
  </si>
  <si>
    <t>SO-KS/2606/020196</t>
  </si>
  <si>
    <t>PANDAN SARI</t>
  </si>
  <si>
    <t>120007</t>
  </si>
  <si>
    <t>Tepung Double Zero 1kg/pack</t>
  </si>
  <si>
    <t>SO-KS/2606/020197</t>
  </si>
  <si>
    <t>DASA CAFE</t>
  </si>
  <si>
    <t>customer bayar cash</t>
  </si>
  <si>
    <t>120011</t>
  </si>
  <si>
    <t>Tepung Easymix Pisang Goreng @1kg/pack</t>
  </si>
  <si>
    <t>SO-KS/2606/020204</t>
  </si>
  <si>
    <t>BO DAN BUN RESTAURANT</t>
  </si>
  <si>
    <t>PSJ0063</t>
  </si>
  <si>
    <t>Amron Tenderloin Whole</t>
  </si>
  <si>
    <t>kirim sales besok</t>
  </si>
  <si>
    <t>SO-KS/2606/020206</t>
  </si>
  <si>
    <t>IMADJI COFFEE AND SPACE</t>
  </si>
  <si>
    <t>SO-KS/2606/020207</t>
  </si>
  <si>
    <t>UD. METRI</t>
  </si>
  <si>
    <t>SO-KS/2606/020208</t>
  </si>
  <si>
    <t>IMADJI COFFEE YOS SUDARSO</t>
  </si>
  <si>
    <t>SO-KS/2606/020209</t>
  </si>
  <si>
    <t>KENYA COFFEE</t>
  </si>
  <si>
    <t>Kirim ke Prema cargo Sanur</t>
  </si>
  <si>
    <t>SO-KS/2606/020210</t>
  </si>
  <si>
    <t>SO-KS/2606/020211</t>
  </si>
  <si>
    <t>CV. KASIH HOKI</t>
  </si>
  <si>
    <t>PSF0026</t>
  </si>
  <si>
    <t>Tepung Double Zero Fusion 5Kg</t>
  </si>
  <si>
    <t>BAG</t>
  </si>
  <si>
    <t>120014</t>
  </si>
  <si>
    <t>Tepung Hime 1kg/pack</t>
  </si>
  <si>
    <t>120018</t>
  </si>
  <si>
    <t>Tepung Ninja 1kg/pack</t>
  </si>
  <si>
    <t>SO-KS/2606/020215</t>
  </si>
  <si>
    <t>BARO BAKERY PERERENAN</t>
  </si>
  <si>
    <t>1 blok</t>
  </si>
  <si>
    <t>SO-KS/2606/020216</t>
  </si>
  <si>
    <t>SO-KS/2606/020217</t>
  </si>
  <si>
    <t>PURI SANTRIAN</t>
  </si>
  <si>
    <t>I Made Luih (Sanur)</t>
  </si>
  <si>
    <t xml:space="preserve">DML  Kitchen Pastry D01260602003
.  jam operational Receiving 09.00 - 15.00 wita(pastikan dikirim saat jam tersebut)
</t>
  </si>
  <si>
    <t>SO-KS/2606/020218</t>
  </si>
  <si>
    <t>KAFIN</t>
  </si>
  <si>
    <t>080240</t>
  </si>
  <si>
    <t>THE ALTERNATIVE Barista Oat Milk 1 Lt</t>
  </si>
  <si>
    <t>kirim ke dalam Bandara Internasional, Terminal kedatangan depan Papi Mart</t>
  </si>
  <si>
    <t>SO-KS/2606/020222</t>
  </si>
  <si>
    <t>RISE AND SHINE</t>
  </si>
  <si>
    <t>PLN0002</t>
  </si>
  <si>
    <t>RICH CREME WHIPING CREAM 800G POUCH</t>
  </si>
  <si>
    <t>SO-KS/2606/020223</t>
  </si>
  <si>
    <t>ALAS HARUM UBUD</t>
  </si>
  <si>
    <t>BAR COFFEE</t>
  </si>
  <si>
    <t>PT. AMAN BALI NUSA LAUT (LUIGIS HOT PIZZA)</t>
  </si>
  <si>
    <t>Monica</t>
  </si>
  <si>
    <t>SO-KS/2606/020226</t>
  </si>
  <si>
    <t>MASTER KIM</t>
  </si>
  <si>
    <t>SFM018</t>
  </si>
  <si>
    <t>Tepung Ninja @25Kg/Sack</t>
  </si>
  <si>
    <t>SO-KS/2606/020227</t>
  </si>
  <si>
    <t>THE SEMINYAK</t>
  </si>
  <si>
    <t>dikirim sebelum jam 3</t>
  </si>
  <si>
    <t>SO-KS/2606/020229</t>
  </si>
  <si>
    <t>SADARA BOUTIQUE BEACH RESORT</t>
  </si>
  <si>
    <t>SO-KS/2606/020231</t>
  </si>
  <si>
    <t>COFFEE PHORA</t>
  </si>
  <si>
    <t>SO-KS/2606/020232</t>
  </si>
  <si>
    <t>PIE SUSU AJIK</t>
  </si>
  <si>
    <t>Lani P</t>
  </si>
  <si>
    <t>Dkirim besok ke Pabrik baru tuban</t>
  </si>
  <si>
    <t>SO-KS/2606/020233</t>
  </si>
  <si>
    <t>TABU ULUWATU</t>
  </si>
  <si>
    <t>PSJ0046</t>
  </si>
  <si>
    <t>Allana Tenderloin Whole</t>
  </si>
  <si>
    <t>SO-KS/2606/020235</t>
  </si>
  <si>
    <t>BALI PIZZA PARTY</t>
  </si>
  <si>
    <t>SO-KS/2606/020236</t>
  </si>
  <si>
    <t>BUCU WARUNG</t>
  </si>
  <si>
    <t>SO-KS/2606/020237</t>
  </si>
  <si>
    <t>SUMAK SANUR</t>
  </si>
  <si>
    <t>SO-KS/2606/020238</t>
  </si>
  <si>
    <t>D'JOGLO SEMINYAK</t>
  </si>
  <si>
    <t>PSJ0007</t>
  </si>
  <si>
    <t>Friboi Brazil Tenderloin Whole</t>
  </si>
  <si>
    <t xml:space="preserve"> 2 loaf</t>
  </si>
  <si>
    <t>SO-KS/2606/020239</t>
  </si>
  <si>
    <t>TAKSU SPA &amp; RESTAURANT UBUD</t>
  </si>
  <si>
    <t>SO-KS/2606/020240</t>
  </si>
  <si>
    <t>LITTLE UJI</t>
  </si>
  <si>
    <t>SO-KS/2606/020242</t>
  </si>
  <si>
    <t>RUMAH LAWAS KOPI PUPUTAN</t>
  </si>
  <si>
    <t>SO-KS/2606/020244</t>
  </si>
  <si>
    <t>RUMAH LAWAS KOPI NARAKUSUMA</t>
  </si>
  <si>
    <t>SO-KS/2606/020245</t>
  </si>
  <si>
    <t>UNO RESTAURANT NUSA DUA</t>
  </si>
  <si>
    <t>SO-KS/2606/020248</t>
  </si>
  <si>
    <t>SO-KS/2606/020249</t>
  </si>
  <si>
    <t>PT. GLOBAL BUANA PREMIUM</t>
  </si>
  <si>
    <t>Kirim ke Load Dock Internasional</t>
  </si>
  <si>
    <t>SO-KS/2606/020250</t>
  </si>
  <si>
    <t>BARVERA RESTAURANT</t>
  </si>
  <si>
    <t>SO-KS/2606/020252</t>
  </si>
  <si>
    <t>OLDMAN'S CANGGU</t>
  </si>
  <si>
    <t>SO-KS/2606/020253</t>
  </si>
  <si>
    <t>ARTE CANGGU</t>
  </si>
  <si>
    <t>SO-KS/2606/020256</t>
  </si>
  <si>
    <t>PT. VATOS TANORA INDONESIA / AGAVE &amp; AZUL</t>
  </si>
  <si>
    <t>SO-KS/2606/020257</t>
  </si>
  <si>
    <t>PIZZERIA MONELLO UBUD</t>
  </si>
  <si>
    <t>SO-KS/2606/020258</t>
  </si>
  <si>
    <t>PLANT BISTRO</t>
  </si>
  <si>
    <t>SO-KS/2606/020262</t>
  </si>
  <si>
    <t>CP LOUNGE UBUD</t>
  </si>
  <si>
    <t>SO-KS/2606/020263</t>
  </si>
  <si>
    <t>PT. KHARISMA ANUGRAH JAWARA ABADI (SAVAYA BALI)</t>
  </si>
  <si>
    <t>SO-KS/2606/020270</t>
  </si>
  <si>
    <t>LV 8 RESORT SEMINYAK</t>
  </si>
  <si>
    <t>SO-KS/2606/020273</t>
  </si>
  <si>
    <t>NOVOTEL BALI UBUD RESORT</t>
  </si>
  <si>
    <t>SO-KS/2606/020274</t>
  </si>
  <si>
    <t>BHIMA JAYA</t>
  </si>
  <si>
    <t>Wira</t>
  </si>
  <si>
    <t>SO-KS/2606/020276</t>
  </si>
  <si>
    <t>SUMAK TURKISH CUISINE</t>
  </si>
  <si>
    <t>SO-KS/2606/020278</t>
  </si>
  <si>
    <t>PT LAPLANCHA BALI SEJAHTERA</t>
  </si>
  <si>
    <t>kirim ke la favela</t>
  </si>
  <si>
    <t>SO-KS/2606/020280</t>
  </si>
  <si>
    <t>THE MERU BALI</t>
  </si>
  <si>
    <t>SO-KS/2606/020281</t>
  </si>
  <si>
    <t>BALI DYNASTY RESORT</t>
  </si>
  <si>
    <t>SO-KS/2606/020282</t>
  </si>
  <si>
    <t>BALI MANDIRA</t>
  </si>
  <si>
    <t>SO-KS/2606/020283</t>
  </si>
  <si>
    <t>M&amp;M CATERING</t>
  </si>
  <si>
    <t>PSF0002</t>
  </si>
  <si>
    <t>Tepung Tali Emas Regular 055 @25kg/sack</t>
  </si>
  <si>
    <t>SO-KS/2606/020284</t>
  </si>
  <si>
    <t>THE BAKERS BISTRO</t>
  </si>
  <si>
    <t>SO-KS/2606/020287</t>
  </si>
  <si>
    <t>JOJO PIZZA</t>
  </si>
  <si>
    <t>LOKASI KIRIM : JL. KAPTEN AGUNG NO. 02</t>
  </si>
  <si>
    <t>SO-KS/2606/020288</t>
  </si>
  <si>
    <t>CAFE DUNIA</t>
  </si>
  <si>
    <t>SO-KS/2606/020289</t>
  </si>
  <si>
    <t>DAMASTA</t>
  </si>
  <si>
    <t>SO-KS/2606/020290</t>
  </si>
  <si>
    <t>KILO RESTAURANT</t>
  </si>
  <si>
    <t>SO-KS/2606/020291</t>
  </si>
  <si>
    <t>JALAPENO SANUR</t>
  </si>
  <si>
    <t xml:space="preserve"> 2 blok</t>
  </si>
  <si>
    <t>SO-KS/2606/020292</t>
  </si>
  <si>
    <t>YAMMA YAA LEGIAN</t>
  </si>
  <si>
    <t>1 box</t>
  </si>
  <si>
    <t>SO-KS/2606/020293</t>
  </si>
  <si>
    <t>CHISA DE BOGA</t>
  </si>
  <si>
    <t>SO-KS/2606/020294</t>
  </si>
  <si>
    <t>FUCINA ITALIA</t>
  </si>
  <si>
    <t>SO-KS/2606/020295</t>
  </si>
  <si>
    <t>DOUGHNUT BOSS</t>
  </si>
  <si>
    <t>Di kirim  pagi  barang urgent</t>
  </si>
  <si>
    <t>SO-KS/2606/020296</t>
  </si>
  <si>
    <t>080165</t>
  </si>
  <si>
    <t>EMBORG Cream Cheese 200 Gr</t>
  </si>
  <si>
    <t xml:space="preserve"> 6 dus  ( 72 pack)</t>
  </si>
  <si>
    <t>SO-KS/2606/020297</t>
  </si>
  <si>
    <t>BUTTERMAN (CASAMAYOR)</t>
  </si>
  <si>
    <t>120020</t>
  </si>
  <si>
    <t>Tepung Yokozuna 1kg/pack</t>
  </si>
  <si>
    <t>di kirim ke central kitchen butterman di dalung</t>
  </si>
  <si>
    <t>SO-KS/2606/020298</t>
  </si>
  <si>
    <t>GODDES BAKERY ( GOLDEN BAKERY )</t>
  </si>
  <si>
    <t>SO-KS/2606/020299</t>
  </si>
  <si>
    <t>TWO IDIOT</t>
  </si>
  <si>
    <t>SO-KS/2606/020300</t>
  </si>
  <si>
    <t>MIE LEE</t>
  </si>
  <si>
    <t>PSF0003</t>
  </si>
  <si>
    <t>Tepung Tali Emas SP 022 @25kg/sack</t>
  </si>
  <si>
    <t>SO-KS/2606/020301</t>
  </si>
  <si>
    <t>TUI BLUE BERAWA HOTEL</t>
  </si>
  <si>
    <t>SO-KS/2606/020302</t>
  </si>
  <si>
    <t>PT. TIBI MODERN SENTOSA (AMNAYA HOTEL)</t>
  </si>
  <si>
    <t>SO-KS/2606/020303</t>
  </si>
  <si>
    <t>TE AMO GASTRO BISTRO</t>
  </si>
  <si>
    <t>SO-KS/2606/020306</t>
  </si>
  <si>
    <t>SUGAR ROCK</t>
  </si>
  <si>
    <t>SO-KS/2606/020307</t>
  </si>
  <si>
    <t>DODO PIZZA</t>
  </si>
  <si>
    <t>PPA0133</t>
  </si>
  <si>
    <t>EMBORG Perfect Pasta 1L</t>
  </si>
  <si>
    <t>LUMBUNG PANGAN</t>
  </si>
  <si>
    <t>SO-KS/2606/020310</t>
  </si>
  <si>
    <t>SO-KS/2606/020311</t>
  </si>
  <si>
    <t>LA TERAZA</t>
  </si>
  <si>
    <t>SO-KS/2606/020313</t>
  </si>
  <si>
    <t>THE VILLAGE CUCINA RESTORAN</t>
  </si>
  <si>
    <t>PSF0005</t>
  </si>
  <si>
    <t>Tepung Pita Emas @25Kg/Sack</t>
  </si>
  <si>
    <t>SO-KS/2606/020314</t>
  </si>
  <si>
    <t>PT. GLOBAL RETAILINDO PRATAMA</t>
  </si>
  <si>
    <t>kirim ke Jln Nyangnyang sari Kuta</t>
  </si>
  <si>
    <t>SO-KS/2606/020315</t>
  </si>
  <si>
    <t>DELUNA HOUSE</t>
  </si>
  <si>
    <t>SO-KS/2606/020316</t>
  </si>
  <si>
    <t>SACRA STUJA UBUD</t>
  </si>
  <si>
    <t>SO-KS/2606/020317</t>
  </si>
  <si>
    <t>KABAK BAKERY</t>
  </si>
  <si>
    <t>di kirim pagian</t>
  </si>
  <si>
    <t>NP4</t>
  </si>
  <si>
    <t>SO-KS/2606/020319</t>
  </si>
  <si>
    <t>BAMBU BALI ULUWATU</t>
  </si>
  <si>
    <t>oasis 8 Loaf</t>
  </si>
  <si>
    <t>SO-KS/2606/020320</t>
  </si>
  <si>
    <t>cafe. 8 loaf</t>
  </si>
  <si>
    <t>SO-KS/2606/020321</t>
  </si>
  <si>
    <t>PT BIDADARI DUNIA</t>
  </si>
  <si>
    <t>SO-KS/2606/020322</t>
  </si>
  <si>
    <t>SO-KS/2606/020323</t>
  </si>
  <si>
    <t>PEPPER LUNCH RESTAURANT (BW GUDANG BASEMENT)</t>
  </si>
  <si>
    <t>020020</t>
  </si>
  <si>
    <t>NESTLE Milo Activ-Go NPro 960Gr/Pack</t>
  </si>
  <si>
    <t>060013</t>
  </si>
  <si>
    <t>Nestea Lemon Tea 1kg/Pack</t>
  </si>
  <si>
    <t>060015</t>
  </si>
  <si>
    <t>Nestea Lychee Tea Npro 560gr/Pack</t>
  </si>
  <si>
    <t>SO-KS/2606/020324</t>
  </si>
  <si>
    <t>BOTTEGA ITALIANA PERERENAN</t>
  </si>
  <si>
    <t>di kirim ke produksi baru di umalas tegal cupek</t>
  </si>
  <si>
    <t>SO-KS/2606/020325</t>
  </si>
  <si>
    <t>TOAST BALI</t>
  </si>
  <si>
    <t>SO-KS/2606/020326</t>
  </si>
  <si>
    <t>PEPPER LUNCH LIVING WORLD BALI</t>
  </si>
  <si>
    <t>SO-KS/2606/020327</t>
  </si>
  <si>
    <t>OSTERIA LUNA ULUWATU</t>
  </si>
  <si>
    <t>Nama OSTERIA LUNA dan kirimnya ke Osteria Luna</t>
  </si>
  <si>
    <t>SO-KS/2606/020328</t>
  </si>
  <si>
    <t>FINNS BEACH CLUB</t>
  </si>
  <si>
    <t xml:space="preserve"> PO kitchen asian</t>
  </si>
  <si>
    <t>SO-KS/2606/020330</t>
  </si>
  <si>
    <t>WARUNG I MEME</t>
  </si>
  <si>
    <t>SO-KS/2606/020331</t>
  </si>
  <si>
    <t>ALKALINE VEGAN RESTAURANT</t>
  </si>
  <si>
    <t>SO-KS/2606/020332</t>
  </si>
  <si>
    <t>UD DAMA SEMESTA</t>
  </si>
  <si>
    <t>SO-KS/2606/020334</t>
  </si>
  <si>
    <t>SO-KS/2606/020335</t>
  </si>
  <si>
    <t>PPTO MRKT ECO BEACH</t>
  </si>
  <si>
    <t>Ni Ketut Sriasih (MT)</t>
  </si>
  <si>
    <t>SO-KS/2606/020336</t>
  </si>
  <si>
    <t>PLN0003</t>
  </si>
  <si>
    <t>ELLENKA BARISTA COCONUT MILK 1000ML APL</t>
  </si>
  <si>
    <t>SO-KS/2606/020337</t>
  </si>
  <si>
    <t>PPTO MRKT ULUWATU</t>
  </si>
  <si>
    <t>SO-KS/2606/020338</t>
  </si>
  <si>
    <t>THE ALLEYS</t>
  </si>
  <si>
    <t>SO-KS/2606/020339</t>
  </si>
  <si>
    <t>PPTO MRKT TEBONGKANG</t>
  </si>
  <si>
    <t>SO-KS/2606/020340</t>
  </si>
  <si>
    <t>GOLA ITALIAN MARKET &amp; RESTAURANT</t>
  </si>
  <si>
    <t>SO-KS/2606/020341</t>
  </si>
  <si>
    <t>PPTO MRKT SEMER</t>
  </si>
  <si>
    <t>SO-KS/2606/020342</t>
  </si>
  <si>
    <t>BAR CRETYA</t>
  </si>
  <si>
    <t>SO-KS/2606/020343</t>
  </si>
  <si>
    <t>PEPITO FRESH MARKET PECATU GRAHA</t>
  </si>
  <si>
    <t>SO-KS/2606/020344</t>
  </si>
  <si>
    <t>IMADJI DEWI SRI</t>
  </si>
  <si>
    <t>SO-KS/2606/020346</t>
  </si>
  <si>
    <t>PPTO MRKT PETITENGET</t>
  </si>
  <si>
    <t>NISSAN NUSA DUA</t>
  </si>
  <si>
    <t>NP1</t>
  </si>
  <si>
    <t>060004</t>
  </si>
  <si>
    <t>Nescafe Cappuccino Caramel Era 500gr/Pack</t>
  </si>
  <si>
    <t>SO-KS/2606/020348</t>
  </si>
  <si>
    <t>POPULAR HAYAM WURUK</t>
  </si>
  <si>
    <t>SO-KS/2606/020349</t>
  </si>
  <si>
    <t>WAREHOUSE PEPITO</t>
  </si>
  <si>
    <t>SO-KS/2606/020350</t>
  </si>
  <si>
    <t>Cbd</t>
  </si>
  <si>
    <t>SO-KS/2606/020351</t>
  </si>
  <si>
    <t>PNS0005</t>
  </si>
  <si>
    <t>Nestle Milo Npro 1.5Kg</t>
  </si>
  <si>
    <t>SO-KS/2606/020353</t>
  </si>
  <si>
    <t>SO-KS/2606/020354</t>
  </si>
  <si>
    <t>IMADJI LIVING WORLD</t>
  </si>
  <si>
    <t>SO-KS/2606/020355</t>
  </si>
  <si>
    <t>NAUGHTY NURIS SANUR</t>
  </si>
  <si>
    <t>NP3</t>
  </si>
  <si>
    <t>300096</t>
  </si>
  <si>
    <t>MAGGI Chicken Powder @1kg/Pack</t>
  </si>
  <si>
    <t>PENERIMAAN BARANG NAUGHTY NURIS SANUR 
JAM 08.00 - 13.00</t>
  </si>
  <si>
    <t>KTN</t>
  </si>
  <si>
    <t>SO-KS/2606/020357</t>
  </si>
  <si>
    <t>TROPICAL RESTAURANT 3</t>
  </si>
  <si>
    <t>SFM053</t>
  </si>
  <si>
    <t>Inofa Heat Treated Wheat Flour SF 346 @1kg/pack</t>
  </si>
  <si>
    <t>SO-KS/2606/020358</t>
  </si>
  <si>
    <t>PT SNAK SNAKS INDONESIA (BALI ZOO)</t>
  </si>
  <si>
    <t>060017</t>
  </si>
  <si>
    <t>Nestle Blackcurrant Drink 750gr/Pack</t>
  </si>
  <si>
    <t>060019</t>
  </si>
  <si>
    <t>Nestle Orange Pouch NP 560gr/Pack</t>
  </si>
  <si>
    <t>SO-KS/2606/020359</t>
  </si>
  <si>
    <t>COCO BISTRO SANUR</t>
  </si>
  <si>
    <t>SO-KS/2606/020360</t>
  </si>
  <si>
    <t>BAKMI &amp; BUBUR AYAM BINTANG LIMA</t>
  </si>
  <si>
    <t>SO-KS/2606/020361</t>
  </si>
  <si>
    <t>ANVAYA HOTEL</t>
  </si>
  <si>
    <t>PSJ0187</t>
  </si>
  <si>
    <t>Borello Topside</t>
  </si>
  <si>
    <t>SO-KS/2606/020362</t>
  </si>
  <si>
    <t>SO-KS/2606/020364</t>
  </si>
  <si>
    <t>PT. ROYAL SAMITRA ADINATA</t>
  </si>
  <si>
    <t>CBD (dikirim ke tamora galery)</t>
  </si>
  <si>
    <t>060007</t>
  </si>
  <si>
    <t>Nescafe Classic Vending 120gr/Pack</t>
  </si>
  <si>
    <t>SO-KS/2606/020365</t>
  </si>
  <si>
    <t>SO-KS/2606/020366</t>
  </si>
  <si>
    <t>RAMEN 1 LIVING WORLD</t>
  </si>
  <si>
    <t>Invoice 1</t>
  </si>
  <si>
    <t>Invoice 2</t>
  </si>
  <si>
    <t>SO-KS/2606/020369</t>
  </si>
  <si>
    <t>SO-KS/2606/020371</t>
  </si>
  <si>
    <t>UD. BAYOU BALI SUPPIER</t>
  </si>
  <si>
    <t>NP2</t>
  </si>
  <si>
    <t>060006</t>
  </si>
  <si>
    <t>Nescafe Classic Sac+Bag Era 60x2gr</t>
  </si>
  <si>
    <t>SO-KS/2606/020372</t>
  </si>
  <si>
    <t>CV DWI BOGA</t>
  </si>
  <si>
    <t>300098</t>
  </si>
  <si>
    <t>MAGGI Seasoning @800ml/Btl</t>
  </si>
  <si>
    <t>BTL</t>
  </si>
  <si>
    <t>SO-KS/2606/020374</t>
  </si>
  <si>
    <t>UD. BABYLON</t>
  </si>
  <si>
    <t>SO-KS/2606/020375</t>
  </si>
  <si>
    <t>SUBWAY RENON BALI</t>
  </si>
  <si>
    <t>060018</t>
  </si>
  <si>
    <t>Nestle Lemonade Original 640gr/Pack</t>
  </si>
  <si>
    <t>SO-KS/2606/020376</t>
  </si>
  <si>
    <t>KELAPA MUDA UBUD POOL BAR &amp; KITCHEN</t>
  </si>
  <si>
    <t>300099</t>
  </si>
  <si>
    <t>Magic Lezat @1kg/pack</t>
  </si>
  <si>
    <t>Dikirim dgb Barang Global</t>
  </si>
  <si>
    <t>RED GUNPOWDER</t>
  </si>
  <si>
    <t>SO-KS/2606/020378</t>
  </si>
  <si>
    <t>PT. FASTFOOD INDONESIA ( KFC JIMBARAN )</t>
  </si>
  <si>
    <t>SO-KS/2606/020379</t>
  </si>
  <si>
    <t>RAMEN 1 (LEVEL 21 MALL)</t>
  </si>
  <si>
    <t>SO-KS/2606/020380</t>
  </si>
  <si>
    <t>SO-KS/2606/020381</t>
  </si>
  <si>
    <t>RAMEN 1 MBG</t>
  </si>
  <si>
    <t>SO-KS/2606/020383</t>
  </si>
  <si>
    <t>THE PANTRY SANUR</t>
  </si>
  <si>
    <t>SO-KS/2606/020384</t>
  </si>
  <si>
    <t>RAMEN 1 ICON SANUR MALL</t>
  </si>
  <si>
    <t>SO-KS/2606/020385</t>
  </si>
  <si>
    <t>SO-KS/2606/020386</t>
  </si>
  <si>
    <t>EXPERT ID COFFEE</t>
  </si>
  <si>
    <t>020011</t>
  </si>
  <si>
    <t>Nestle Dark Cocoa Drink Npro 1kg/Pack</t>
  </si>
  <si>
    <t>SO-KS/2606/020387</t>
  </si>
  <si>
    <t>MISNOW WR SUPRATMAN</t>
  </si>
  <si>
    <t>SO-KS/2606/020388</t>
  </si>
  <si>
    <t>NAN KOPITIAM</t>
  </si>
  <si>
    <t>SO-KS/2606/020390</t>
  </si>
  <si>
    <t>PT. ADIKARYA PANGAN FRESHINDO</t>
  </si>
  <si>
    <t>SO-KS/2606/020391</t>
  </si>
  <si>
    <t>THE SEGARA SEAVIEW SABA</t>
  </si>
  <si>
    <t>SO-KS/2606/020392</t>
  </si>
  <si>
    <t>SO-KS/2606/020393</t>
  </si>
  <si>
    <t>LALAPAN CAK JUL OONGAN</t>
  </si>
  <si>
    <t>SO-KS/2606/020395</t>
  </si>
  <si>
    <t>NOURISH UNGASAN</t>
  </si>
  <si>
    <t>PAN0004</t>
  </si>
  <si>
    <t>DP Mozzarella 2.5Kg</t>
  </si>
  <si>
    <t>SO-KS/2606/020396</t>
  </si>
  <si>
    <t>SHUKA GRILLS</t>
  </si>
  <si>
    <t>020013</t>
  </si>
  <si>
    <t>Nestle Skim Milk Powder 250g/pack</t>
  </si>
  <si>
    <t>SO-KS/2606/020398</t>
  </si>
  <si>
    <t>KAIZEN RENON</t>
  </si>
  <si>
    <t>060009</t>
  </si>
  <si>
    <t>Nescafe Latte 500gr/Pack</t>
  </si>
  <si>
    <t>SO-KS/2606/020399</t>
  </si>
  <si>
    <t>MASONRY CANGGU</t>
  </si>
  <si>
    <t>SO-KS/2606/020400</t>
  </si>
  <si>
    <t>SHABURI KINTAN</t>
  </si>
  <si>
    <t>SO-KS/2606/020401</t>
  </si>
  <si>
    <t>KOPI JO</t>
  </si>
  <si>
    <t>SO-KS/2606/020402</t>
  </si>
  <si>
    <t>SO-KS/2606/020403</t>
  </si>
  <si>
    <t>AKARI RAMEN</t>
  </si>
  <si>
    <t>060016</t>
  </si>
  <si>
    <t>Nestea Teh Tarik NPro 960gr/Pack</t>
  </si>
  <si>
    <t>SO-KS/2606/020404</t>
  </si>
  <si>
    <t>BUKA BAJU MARLBORO</t>
  </si>
  <si>
    <t>SO-KS/2606/020405</t>
  </si>
  <si>
    <t>CENTRAL KITCHEN LOSTERIA (SUKAWATI)</t>
  </si>
  <si>
    <t>SO-KS/2606/020406</t>
  </si>
  <si>
    <t>TOKO RUSNI</t>
  </si>
  <si>
    <t>SO-KS/2606/020407</t>
  </si>
  <si>
    <t>INTERCONTINENTAL BALI RESORT</t>
  </si>
  <si>
    <t>SO-KS/2606/020408</t>
  </si>
  <si>
    <t>SO-KS/2606/020410</t>
  </si>
  <si>
    <t>ORANGE BAKERY</t>
  </si>
  <si>
    <t>SO-KS/2606/020412</t>
  </si>
  <si>
    <t>CV. SEJAHTERA BAROKAH</t>
  </si>
  <si>
    <t>ZIA TINA BALI</t>
  </si>
  <si>
    <t>SISTERFIELDS CAFE</t>
  </si>
  <si>
    <t>TAMBAHAN</t>
  </si>
  <si>
    <t>SO-KS/2606/020416</t>
  </si>
  <si>
    <t xml:space="preserve"> kitchen fbc</t>
  </si>
  <si>
    <t>SO-KS/2606/020418</t>
  </si>
  <si>
    <t>tmbhan</t>
  </si>
  <si>
    <t>SO-KS/2606/020419</t>
  </si>
  <si>
    <t>SO-KS/2606/020420</t>
  </si>
  <si>
    <t>HONEY SALT CAFE</t>
  </si>
  <si>
    <t>SO-KS/2606/020421</t>
  </si>
  <si>
    <t>SO-KS/2606/020422</t>
  </si>
  <si>
    <t>KEKON LUWUS</t>
  </si>
  <si>
    <t>SO-KS/2606/020423</t>
  </si>
  <si>
    <t>CLIP AND CLIMB</t>
  </si>
  <si>
    <t>SO-KS/2606/020425</t>
  </si>
  <si>
    <t>SO-KS/2606/020426</t>
  </si>
  <si>
    <t>B9B RESTAURANT</t>
  </si>
  <si>
    <t>1 pck</t>
  </si>
  <si>
    <t>SO-KS/2606/020428</t>
  </si>
  <si>
    <t>Tambahan</t>
  </si>
  <si>
    <t>SO-KS/2606/020429</t>
  </si>
  <si>
    <t>HARRIS HOTEL SEMINYAK</t>
  </si>
  <si>
    <t>BULGARI</t>
  </si>
  <si>
    <t>SO-KS/2606/020431</t>
  </si>
  <si>
    <t>SO-KS/2606/020432</t>
  </si>
  <si>
    <t>KOMANEKA TANGGAYUDA</t>
  </si>
  <si>
    <t>SO-KS/2606/020433</t>
  </si>
  <si>
    <t>oasis. tambahan</t>
  </si>
  <si>
    <t>SO-KS/2606/020434</t>
  </si>
  <si>
    <t>APPITITO PIZZA AND PASTA</t>
  </si>
  <si>
    <t>SO-KS/2606/020435</t>
  </si>
  <si>
    <t>TOKO PRANATA</t>
  </si>
  <si>
    <t>SO-KS/2606/020436</t>
  </si>
  <si>
    <t>KORO BALI</t>
  </si>
  <si>
    <t>SO-KS/2606/020437</t>
  </si>
  <si>
    <t>TOKO BAHAN KUE OLIFIA</t>
  </si>
  <si>
    <t>THE KAYON JUNGLE RESORT</t>
  </si>
  <si>
    <t>SO-KS/2606/020439</t>
  </si>
  <si>
    <t>SO-KS/2606/020440</t>
  </si>
  <si>
    <t>HARMONY HEALTH AND WELNESS</t>
  </si>
  <si>
    <t>3 loaf</t>
  </si>
  <si>
    <t>SO-KS/2606/020441</t>
  </si>
  <si>
    <t>MERUSAKA NUSA DUA</t>
  </si>
  <si>
    <t>SO-KS/2606/020442</t>
  </si>
  <si>
    <t>TITIK DUA HOTEL</t>
  </si>
  <si>
    <t>SO-KS/2606/020443</t>
  </si>
  <si>
    <t>HOTEL SEGARA VILLAGE</t>
  </si>
  <si>
    <t>SO-KS/2606/020444</t>
  </si>
  <si>
    <t>SO-KS/2606/020445</t>
  </si>
  <si>
    <t>PENJUALAN CASH</t>
  </si>
  <si>
    <t>I Ketu Adi Setiawan-Purchasing Staff PT. SSP TAURUS GEMILANG ( sales-gek mas) ikut kiriman PT. SSP TAURUS GEMILANG produk nestle</t>
  </si>
  <si>
    <t>SO-KS/2606/020446</t>
  </si>
  <si>
    <t>SO-KS/2606/020447</t>
  </si>
  <si>
    <t>SO-KS/2606/020448</t>
  </si>
  <si>
    <t>SO-KS/2606/020449</t>
  </si>
  <si>
    <t>THE GRIYA VILLAS SPA</t>
  </si>
  <si>
    <t>SO-KS/2606/020450</t>
  </si>
  <si>
    <t>WARUNG MADE SEMINYAK</t>
  </si>
  <si>
    <t>PSJ0024</t>
  </si>
  <si>
    <t>Halal Minced Beef 1Kg/Pack</t>
  </si>
  <si>
    <t>untuk pak remon</t>
  </si>
  <si>
    <t>SO-KS/2606/020451</t>
  </si>
  <si>
    <t>CIBO PASTA LAB</t>
  </si>
  <si>
    <t>SO-KS/2606/020453</t>
  </si>
  <si>
    <t>LE MERIDIEN JIMBARAN</t>
  </si>
  <si>
    <t>PKA0010</t>
  </si>
  <si>
    <t>EQUAL Classic 100 Pcs/Pack</t>
  </si>
  <si>
    <t>SO-KS/2606/020454</t>
  </si>
  <si>
    <t>PT BALI PERKASASUKSES</t>
  </si>
  <si>
    <t>SO-KS/2606/020455</t>
  </si>
  <si>
    <t>HOLIDAY INN TANJUNG BENOA</t>
  </si>
  <si>
    <t>SO-KS/2606/020456</t>
  </si>
  <si>
    <t>PT. KREASI BALI PRIMA</t>
  </si>
  <si>
    <t>SO-KS/2606/020457</t>
  </si>
  <si>
    <t>SO-KS/2606/020458</t>
  </si>
  <si>
    <t>SO-KS/2606/020459</t>
  </si>
  <si>
    <t>PIZZA DUMPLING</t>
  </si>
  <si>
    <t>SO-KS/2606/020460</t>
  </si>
  <si>
    <t>CV. FENNY BERSAMA</t>
  </si>
  <si>
    <t>SO-KS/2606/020461</t>
  </si>
  <si>
    <t>LA SANTANERA</t>
  </si>
  <si>
    <t>SO-KS/2606/020462</t>
  </si>
  <si>
    <t>YAN'S HOUSE</t>
  </si>
  <si>
    <t>SO-KS/2606/020463</t>
  </si>
  <si>
    <t>PADMA UBUD RESORT</t>
  </si>
  <si>
    <t>SO-KS/2606/020464</t>
  </si>
  <si>
    <t>ALILA RESORT UBUD</t>
  </si>
  <si>
    <t>PSJ0203</t>
  </si>
  <si>
    <t>Borello Rump</t>
  </si>
  <si>
    <t>SO-KS/2606/020466</t>
  </si>
  <si>
    <t>MAYA UBUD</t>
  </si>
  <si>
    <t>SO-KS/2606/020467</t>
  </si>
  <si>
    <t>CV MEGANTARA</t>
  </si>
  <si>
    <t>SO-KS/2606/020468</t>
  </si>
  <si>
    <t>JIMBARAN BAY BEACH</t>
  </si>
  <si>
    <t>SO-KS/2606/020469</t>
  </si>
  <si>
    <t>TIS CAFE</t>
  </si>
  <si>
    <t>SO-KS/2606/020470</t>
  </si>
  <si>
    <t>CHAPUNG SEBALI RESORT &amp; SPA</t>
  </si>
  <si>
    <t>SO-KS/2606/020471</t>
  </si>
  <si>
    <t>SENDOK WARUNG</t>
  </si>
  <si>
    <t xml:space="preserve"> Di Kirim besok ke gudang baru dalung</t>
  </si>
  <si>
    <t>SO-KS/2606/020472</t>
  </si>
  <si>
    <t>ZERO 4 KARAOKE</t>
  </si>
  <si>
    <t>SO-KS/2606/020473</t>
  </si>
  <si>
    <t>po estia. 5 loaf</t>
  </si>
  <si>
    <t>SO-KS/2606/020474</t>
  </si>
  <si>
    <t>THE WESTIN RESORT NUSA DUA</t>
  </si>
  <si>
    <t>SO-KS/2606/020475</t>
  </si>
  <si>
    <t>PPTO MRKT PELIATAN</t>
  </si>
  <si>
    <t>DOUBLE SIX HOTEL</t>
  </si>
  <si>
    <t>SO-KS/2606/020477</t>
  </si>
  <si>
    <t>PSF0023</t>
  </si>
  <si>
    <t>Tepung Hime Fusion 5Kg</t>
  </si>
  <si>
    <t>SO-KS/2606/020479</t>
  </si>
  <si>
    <t>SO-KS/2606/020480</t>
  </si>
  <si>
    <t>PPTO MRKT CANGGU</t>
  </si>
  <si>
    <t>SO-KS/2606/020481</t>
  </si>
  <si>
    <t>SO-KS/2606/020482</t>
  </si>
  <si>
    <t>SO-KS/2606/020483</t>
  </si>
  <si>
    <t>PPTO MARKET TABANAN</t>
  </si>
  <si>
    <t>SO-KS/2606/020484</t>
  </si>
  <si>
    <t>SO-KS/2606/020485</t>
  </si>
  <si>
    <t>tambahan</t>
  </si>
  <si>
    <t>SO-KS/2606/020486</t>
  </si>
  <si>
    <t>PPTO EXP SEMINYAK</t>
  </si>
  <si>
    <t>SO-KS/2606/020487</t>
  </si>
  <si>
    <t>HILTON HOTEL</t>
  </si>
  <si>
    <t>SO-KS/2606/020488</t>
  </si>
  <si>
    <t>SO-KS/2606/020489</t>
  </si>
  <si>
    <t>PPTO MRKT PERERENAN</t>
  </si>
  <si>
    <t>SO-KS/2606/020490</t>
  </si>
  <si>
    <t>SO-KS/2606/020491</t>
  </si>
  <si>
    <t>SO-KS/2606/020492</t>
  </si>
  <si>
    <t>PPTO MRKT ANDONG</t>
  </si>
  <si>
    <t>SO-KS/2606/020493</t>
  </si>
  <si>
    <t>SO-KS/2606/020494</t>
  </si>
  <si>
    <t>POT0983</t>
  </si>
  <si>
    <t>IKPS Sechuan Preserved Vegetable 340 Gr</t>
  </si>
  <si>
    <t>CAN</t>
  </si>
  <si>
    <t>SO-KS/2606/020495</t>
  </si>
  <si>
    <t>SO-KS/2606/020496</t>
  </si>
  <si>
    <t>GRAND MERCURE SEMINYAK</t>
  </si>
  <si>
    <t>SO-KS/2606/020497</t>
  </si>
  <si>
    <t>GEP'S DELI ( TOKO SURYANTI NUSA )</t>
  </si>
  <si>
    <t>SO-KS/2606/020498</t>
  </si>
  <si>
    <t>NAUGHTY NURIS SEMINYAK</t>
  </si>
  <si>
    <t>NN Sujana</t>
  </si>
  <si>
    <t>JAM PENERIMAAN BARANG 09:00 S/D 13:00</t>
  </si>
  <si>
    <t>SO-KS/2606/020499</t>
  </si>
  <si>
    <t>FAJAR MILLENIUM</t>
  </si>
  <si>
    <t>SO-KS/2606/020500</t>
  </si>
  <si>
    <t>HYATT REGENCY SANUR</t>
  </si>
  <si>
    <t>SO-KS/2606/020501</t>
  </si>
  <si>
    <t>AUTOGRILL</t>
  </si>
  <si>
    <t>SO-KS/2606/020502</t>
  </si>
  <si>
    <t>MEKAYU SARI MUPU SUPPLIER</t>
  </si>
  <si>
    <t>SO-KS/2606/020503</t>
  </si>
  <si>
    <t>SO-KS/2606/020504</t>
  </si>
  <si>
    <t>STHALA UBUD</t>
  </si>
  <si>
    <t>SO-KS/2606/020505</t>
  </si>
  <si>
    <t>THE LAGUNA</t>
  </si>
  <si>
    <t>SO-KS/2606/020506</t>
  </si>
  <si>
    <t>SO-KS/2606/020507</t>
  </si>
  <si>
    <t>NIHIWATU (KUTA POLENG)</t>
  </si>
  <si>
    <t>dikirim ke Kompleks Kuta Poleng no D6 ( Gangnya masuk dr Dijon Cafe)</t>
  </si>
  <si>
    <t>SO-KS/2606/020508</t>
  </si>
  <si>
    <t>LEGIAN BEACH HOTEL</t>
  </si>
  <si>
    <t>SO-KS/2606/020509</t>
  </si>
  <si>
    <t>REDDOG LEVEL 21 MALL</t>
  </si>
  <si>
    <t>SO-KS/2606/020510</t>
  </si>
  <si>
    <t>REDDOG ICON BALI</t>
  </si>
  <si>
    <t>SO-KS/2606/020511</t>
  </si>
  <si>
    <t>ARTE UBUD</t>
  </si>
  <si>
    <t>PSJ0275</t>
  </si>
  <si>
    <t>Pickled Gherkins (2kg/pack)</t>
  </si>
  <si>
    <t>SO-KS/2606/020512</t>
  </si>
  <si>
    <t>REDDOG LIVING WORLD MALL</t>
  </si>
  <si>
    <t>SO-KS/2606/020513</t>
  </si>
  <si>
    <t>REDDOG MALL BALI GALERIA</t>
  </si>
  <si>
    <t>SO-KS/2606/020514</t>
  </si>
  <si>
    <t>SO-KS/2606/020515</t>
  </si>
  <si>
    <t>KEDAI KOPI RANTAU</t>
  </si>
  <si>
    <t>SO-KS/2606/020516</t>
  </si>
  <si>
    <t>PT. SSP TAURUS GEMILANG INDONESIA</t>
  </si>
  <si>
    <t>kirim ke office kelan</t>
  </si>
  <si>
    <t>SO-KS/2606/020517</t>
  </si>
  <si>
    <t>CV. SURYA PANGAN</t>
  </si>
  <si>
    <t>SO-KS/2606/020518</t>
  </si>
  <si>
    <t>MAMAKA</t>
  </si>
  <si>
    <t>SO-KS/2606/020519</t>
  </si>
  <si>
    <t>DAS BISTRO</t>
  </si>
  <si>
    <t>SO-KS/2606/020520</t>
  </si>
  <si>
    <t>COURTYARD MARRIOT HOTEL</t>
  </si>
  <si>
    <t>SO-KS/2606/020521</t>
  </si>
  <si>
    <t>PSJ0127</t>
  </si>
  <si>
    <t>Amron Striploin Whole</t>
  </si>
  <si>
    <t>SO-KS/2606/020522</t>
  </si>
  <si>
    <t>Management Bali</t>
  </si>
  <si>
    <t>SO-KS/2606/020524</t>
  </si>
  <si>
    <t>COCO BISTRO NUSA DUA</t>
  </si>
  <si>
    <t>SO-KS/2606/020525</t>
  </si>
  <si>
    <t>NOURISH CAFE</t>
  </si>
  <si>
    <t>SO-KS/2606/020526</t>
  </si>
  <si>
    <t>FOOD GALLERIA</t>
  </si>
  <si>
    <t>SO-KS/2606/020527</t>
  </si>
  <si>
    <t>NICO'S SMOKEHOUSE BBQ - CANGGU</t>
  </si>
  <si>
    <t>Tambahan 2 blok</t>
  </si>
  <si>
    <t>SO-KS/2606/020528</t>
  </si>
  <si>
    <t>MOVENPICK</t>
  </si>
  <si>
    <t>SO-KS/2606/020529</t>
  </si>
  <si>
    <t>BELLA ITALIA SANUR</t>
  </si>
  <si>
    <t>SO-KS/2606/020530</t>
  </si>
  <si>
    <t>NANDIYA BAKERY</t>
  </si>
  <si>
    <t>SO-KS/2606/020531</t>
  </si>
  <si>
    <t>DOMESTIK</t>
  </si>
  <si>
    <t>SO-KS/2606/020532</t>
  </si>
  <si>
    <t>SUDAMALA RESORT SANUR</t>
  </si>
  <si>
    <t>SO-KS/2606/020533</t>
  </si>
  <si>
    <t xml:space="preserve"> INTERNASIONA</t>
  </si>
  <si>
    <t>SO-KU/2606/020084</t>
  </si>
  <si>
    <t>MKU Bali</t>
  </si>
  <si>
    <t>MAHARAJA THE ROYAL DINING</t>
  </si>
  <si>
    <t>PQW0010</t>
  </si>
  <si>
    <t>IQF FF Shoestring 10Kg/Ctn</t>
  </si>
  <si>
    <t>kirim diatas jam 11 siang, resto buka siang</t>
  </si>
  <si>
    <t>SO-KU/2606/020085</t>
  </si>
  <si>
    <t>PIF0011</t>
  </si>
  <si>
    <t>Pristine Classic Whip Topping 1 Lt</t>
  </si>
  <si>
    <t>LTR</t>
  </si>
  <si>
    <t>PIF0012</t>
  </si>
  <si>
    <t>Pristine Classic Cooking Cream 1 Lt</t>
  </si>
  <si>
    <t>SO-KU/2606/020086</t>
  </si>
  <si>
    <t>PEA0005</t>
  </si>
  <si>
    <t>Gold Box Melange Butter MP331 5 Kg</t>
  </si>
  <si>
    <t>SO-KU/2606/020094</t>
  </si>
  <si>
    <t>KOJA PANTAI SANUR</t>
  </si>
  <si>
    <t>SO-KU/2606/020095</t>
  </si>
  <si>
    <t>CENDOL RATU</t>
  </si>
  <si>
    <t>PMS0076</t>
  </si>
  <si>
    <t>Masterista Creamer Base (Creamy)</t>
  </si>
  <si>
    <t>SO-KU/2606/020096</t>
  </si>
  <si>
    <t>SEDUH COFFEE</t>
  </si>
  <si>
    <t>PMS0031</t>
  </si>
  <si>
    <t>Masterista Aren Sugar Liquid 1000Gr</t>
  </si>
  <si>
    <t>PMS0114</t>
  </si>
  <si>
    <t>Masterista Cold Foam Sea Salt 500 Gr</t>
  </si>
  <si>
    <t>PMS0125</t>
  </si>
  <si>
    <t>Flavourista Syrup Butterscotch 1000 Ml</t>
  </si>
  <si>
    <t>SO-KU/2606/020097</t>
  </si>
  <si>
    <t>FLAPJACKS KARTIKA PLAZA KUTA</t>
  </si>
  <si>
    <t>PMS0024</t>
  </si>
  <si>
    <t>Masterista Original Matcha 800Gr</t>
  </si>
  <si>
    <t>PMS0130</t>
  </si>
  <si>
    <t>Masterista Syrup Classic Caramel 850ml</t>
  </si>
  <si>
    <t>PMS0132</t>
  </si>
  <si>
    <t>Masterista Syrup Vanilla Tradition 850ml</t>
  </si>
  <si>
    <t>PMS0134</t>
  </si>
  <si>
    <t>Masterista Syrup Salted Caramel 850 ML</t>
  </si>
  <si>
    <t>SO-KU/2606/020098</t>
  </si>
  <si>
    <t>LULU BISTROT BALI</t>
  </si>
  <si>
    <t>ASS-EB-LP250</t>
  </si>
  <si>
    <t>English Breakfast @250gr/Pouch</t>
  </si>
  <si>
    <t>SO-KU/2606/020099</t>
  </si>
  <si>
    <t>WARUNG MODUS</t>
  </si>
  <si>
    <t>SO-KU/2606/020100</t>
  </si>
  <si>
    <t>MAMA MATCHA</t>
  </si>
  <si>
    <t>PMS0036</t>
  </si>
  <si>
    <t>Artisan Pure Matcha (500Gr/Pack)</t>
  </si>
  <si>
    <t>SO-KU/2606/020101</t>
  </si>
  <si>
    <t>BAKMIE AKIU PUSAT</t>
  </si>
  <si>
    <t>PMS0162</t>
  </si>
  <si>
    <t>Cocofreo Soft Ice Cream Vanilla 1000 Gr</t>
  </si>
  <si>
    <t>SO-KU/2606/020102</t>
  </si>
  <si>
    <t>PMS0093</t>
  </si>
  <si>
    <t>Masterista Syrup Strawberry 850 Ml</t>
  </si>
  <si>
    <t>SO-KU/2606/020103</t>
  </si>
  <si>
    <t>SENSE SUNSET SEMINYAK</t>
  </si>
  <si>
    <t>PMS0090</t>
  </si>
  <si>
    <t>Flavorista Coffee Classic 250 Gr</t>
  </si>
  <si>
    <t>SO-KU/2606/020104</t>
  </si>
  <si>
    <t>AREA JAYA MART</t>
  </si>
  <si>
    <t>PJS0008</t>
  </si>
  <si>
    <t>ANI Hijau 580 Ml</t>
  </si>
  <si>
    <t>PJS0010</t>
  </si>
  <si>
    <t>ANI Pink 580 Ml</t>
  </si>
  <si>
    <t>SO-KU/2606/020105</t>
  </si>
  <si>
    <t>ONION RESTO</t>
  </si>
  <si>
    <t>PMS0131</t>
  </si>
  <si>
    <t>Masterista Syrup Tropical Lychee 850 Ml</t>
  </si>
  <si>
    <t>PMS0150</t>
  </si>
  <si>
    <t>Masterista Syrup Natural Mint 850 Ml</t>
  </si>
  <si>
    <t>SO-KU/2606/020106</t>
  </si>
  <si>
    <t>REDWHITE COFFEE</t>
  </si>
  <si>
    <t>PMS0098</t>
  </si>
  <si>
    <t>Masterista Frappe Base 800 Gr</t>
  </si>
  <si>
    <t>SO-KU/2606/020107</t>
  </si>
  <si>
    <t>MARGOT RIVERSIDE RESTORAN</t>
  </si>
  <si>
    <t>PMS0026</t>
  </si>
  <si>
    <t>Masterista Dark Chocolate 800Gr</t>
  </si>
  <si>
    <t>SO-KU/2606/020108</t>
  </si>
  <si>
    <t>PHILO RESTAURANT</t>
  </si>
  <si>
    <t>ASS-CBT</t>
  </si>
  <si>
    <t>Classic Black Tea @50TB/Box</t>
  </si>
  <si>
    <t>BOX</t>
  </si>
  <si>
    <t>ASS-JVG</t>
  </si>
  <si>
    <t>Java Ginger @50TB/Box</t>
  </si>
  <si>
    <t>SO-KU/2606/020109</t>
  </si>
  <si>
    <t>CENTRAL FOOD VILLAGE (BALI ZOO)</t>
  </si>
  <si>
    <t>SO-KU/2606/020110</t>
  </si>
  <si>
    <t>RASA DEWATA RESTO</t>
  </si>
  <si>
    <t>PAS0022</t>
  </si>
  <si>
    <t>Crr Rock'n Simply Crrrrips Straight Cut Fries 10 Kg/Ctn</t>
  </si>
  <si>
    <t>PAS0036</t>
  </si>
  <si>
    <t>Crr Rock'n Hash Brown Triangular 2.5Kg</t>
  </si>
  <si>
    <t>SO-KU/2606/020111</t>
  </si>
  <si>
    <t>WARUNG AYU PANDE PUTRI</t>
  </si>
  <si>
    <t>SO-KU/2606/020112</t>
  </si>
  <si>
    <t>TROPICALIFE CANGGU</t>
  </si>
  <si>
    <t>PMS0178</t>
  </si>
  <si>
    <t>Masterista Ceremonial Pure Matcha Powder 500 Gr</t>
  </si>
  <si>
    <t>Bayar Cash</t>
  </si>
  <si>
    <t>SO-KU/2606/020114</t>
  </si>
  <si>
    <t>BOODAYA COFFEE</t>
  </si>
  <si>
    <t>PMS0119</t>
  </si>
  <si>
    <t>Masterista Sweet Sauce Caramel 500 Gr</t>
  </si>
  <si>
    <t>Kirim ke Jalan kaswari no 22 penatih</t>
  </si>
  <si>
    <t>SO-KU/2606/020115</t>
  </si>
  <si>
    <t>DJAYA DELAPAN COFFEE</t>
  </si>
  <si>
    <t>PMS0094</t>
  </si>
  <si>
    <t>Masterista Syrup Butterscotch 850 Ml</t>
  </si>
  <si>
    <t>SO-KU/2606/020116</t>
  </si>
  <si>
    <t>SAKARA COFFEE</t>
  </si>
  <si>
    <t>PMS0033</t>
  </si>
  <si>
    <t>Masterista Ice Shaken Lemon Tea 1000Gr</t>
  </si>
  <si>
    <t>PMS0034</t>
  </si>
  <si>
    <t>Masterista Ice Shaken Lychee Tea 1000Gr</t>
  </si>
  <si>
    <t>PMS0072</t>
  </si>
  <si>
    <t>ICE SHAKEN PEACH TEA 1000 GR</t>
  </si>
  <si>
    <t>SO-KU/2606/020117</t>
  </si>
  <si>
    <t>SERUPUT KOPI</t>
  </si>
  <si>
    <t>SO-KU/2606/020118</t>
  </si>
  <si>
    <t>SO-KU/2606/020119</t>
  </si>
  <si>
    <t>THREE COIN EATRY</t>
  </si>
  <si>
    <t>PMS0143</t>
  </si>
  <si>
    <t>Masterista Syrup Premium Hazelnut 850 Ml</t>
  </si>
  <si>
    <t>PMS0144</t>
  </si>
  <si>
    <t>Masterista Syrup Peach 850ml</t>
  </si>
  <si>
    <t>SO-KU/2606/020120</t>
  </si>
  <si>
    <t>ART CAFE BUMBU BALI</t>
  </si>
  <si>
    <t>PSJ0019</t>
  </si>
  <si>
    <t>Pork B Sliced (1kg/pack)</t>
  </si>
  <si>
    <t>SO-KU/2606/020121</t>
  </si>
  <si>
    <t>BREAD YARD</t>
  </si>
  <si>
    <t>PMS0142</t>
  </si>
  <si>
    <t>Flavourista Syrup Caramel 1.000 Ml</t>
  </si>
  <si>
    <t>PMS0156</t>
  </si>
  <si>
    <t>Flavourista Syrup Hazelnut 1000 Ml</t>
  </si>
  <si>
    <t>SO-KU/2606/020122</t>
  </si>
  <si>
    <t>PMS0154</t>
  </si>
  <si>
    <t>Flavourista Syrup Lychee 1000 Ml</t>
  </si>
  <si>
    <t>PMS0164</t>
  </si>
  <si>
    <t>Flavourista Syrup Salted Caramel 1000 Ml</t>
  </si>
  <si>
    <t>SO-KU/2606/020123</t>
  </si>
  <si>
    <t>BALE UDANG MANG ENGKING</t>
  </si>
  <si>
    <t>PMS0027</t>
  </si>
  <si>
    <t>Masterista Red Velvet Expecta 800Gr</t>
  </si>
  <si>
    <t>PMS0028</t>
  </si>
  <si>
    <t>Masterista Taro Expecta 800Gr</t>
  </si>
  <si>
    <t>SO-KU/2606/020124</t>
  </si>
  <si>
    <t>LILY'S KOREAN BBQ</t>
  </si>
  <si>
    <t>Coren Pork belly Skinless</t>
  </si>
  <si>
    <t>SO-KU/2606/020125</t>
  </si>
  <si>
    <t>PORTO COFFEE</t>
  </si>
  <si>
    <t>SO-KU/2606/020126</t>
  </si>
  <si>
    <t>POS0024</t>
  </si>
  <si>
    <t>O Sole Pomodori Pelati Peeled Tomatoes 2.5Kg</t>
  </si>
  <si>
    <t>SO-KU/2606/020127</t>
  </si>
  <si>
    <t>JAJE BITE</t>
  </si>
  <si>
    <t>PAS0041</t>
  </si>
  <si>
    <t>Maestro FF 10x10mm Straight Cut 2.5 Kg</t>
  </si>
  <si>
    <t>SO-KU/2606/020128</t>
  </si>
  <si>
    <t>METLAND VENYA UBUD</t>
  </si>
  <si>
    <t>PAS0014</t>
  </si>
  <si>
    <t>Crr Rock'n Hash Brown Triangular 10Kg/Ctn</t>
  </si>
  <si>
    <t>SO-KU/2606/020129</t>
  </si>
  <si>
    <t xml:space="preserve"> BAR CRETYA</t>
  </si>
  <si>
    <t>SO-KU/2606/020130</t>
  </si>
  <si>
    <t>SO-KU/2606/020132</t>
  </si>
  <si>
    <t>SO-KU/2606/020133</t>
  </si>
  <si>
    <t>PAS0037</t>
  </si>
  <si>
    <t>Crr Rock'n Super Crispy Jakets Spicy Wedges 2.5Kg</t>
  </si>
  <si>
    <t>PAA0001</t>
  </si>
  <si>
    <t>Bergold Mozzarella Block</t>
  </si>
  <si>
    <t>PAL0003</t>
  </si>
  <si>
    <t>Isabi Smoked Salmon Slice 1Kg/Pack</t>
  </si>
  <si>
    <t>SO-KU/2606/020135</t>
  </si>
  <si>
    <t>SO-KU/2606/020136</t>
  </si>
  <si>
    <t>ABADI MART SUPPLIER</t>
  </si>
  <si>
    <t>SO-KU/2606/020137</t>
  </si>
  <si>
    <t>SO-KU/2606/020138</t>
  </si>
  <si>
    <t>SO-KU/2606/020139</t>
  </si>
  <si>
    <t>SECANA BEACH TOWN</t>
  </si>
  <si>
    <t>SO-KU/2606/020140</t>
  </si>
  <si>
    <t>SO-KU/2606/020142</t>
  </si>
  <si>
    <t>HAN SANG KOREAN BBQ &amp; SUKI</t>
  </si>
  <si>
    <t>CKP1S-160</t>
  </si>
  <si>
    <t>Daebak Soju Mango @360ml/btl</t>
  </si>
  <si>
    <t>12+1</t>
  </si>
  <si>
    <t>SO-KU/2606/020143</t>
  </si>
  <si>
    <t>SO-KU/2606/020144</t>
  </si>
  <si>
    <t>SO-KU/2606/020145</t>
  </si>
  <si>
    <t>DASH HOTEL SEMINYAK</t>
  </si>
  <si>
    <t>ASS-EBT</t>
  </si>
  <si>
    <t>English Breakfast@50TB/Box</t>
  </si>
  <si>
    <t>SO-KU/2606/020146</t>
  </si>
  <si>
    <t>ROUMS COFE</t>
  </si>
  <si>
    <t>PAS0027</t>
  </si>
  <si>
    <t>Maestro FF 10x10mm Straight Cut 10Kg/Ctn</t>
  </si>
  <si>
    <t>SO-KU/2606/020147</t>
  </si>
  <si>
    <t>CHILL HOTEL SEMINYAK</t>
  </si>
  <si>
    <t>ASS-JVJ</t>
  </si>
  <si>
    <t>Javanese Jasmine Tea @50TB/Box</t>
  </si>
  <si>
    <t>SO-KU/2606/020148</t>
  </si>
  <si>
    <t xml:space="preserve"> 3 loaf (pack) / 6,9kg</t>
  </si>
  <si>
    <t>SO-KU/2606/020150</t>
  </si>
  <si>
    <t>NN Made Luih</t>
  </si>
  <si>
    <t>PSJ0029</t>
  </si>
  <si>
    <t>Iga Babi</t>
  </si>
  <si>
    <t>SO-KU/2606/020151</t>
  </si>
  <si>
    <t>PPTO MRKT NUSA DUA</t>
  </si>
  <si>
    <t>CKP1S-181</t>
  </si>
  <si>
    <t>Daebak Soju Grape 360ml</t>
  </si>
  <si>
    <t>SO-KU/2606/020152</t>
  </si>
  <si>
    <t>SO-KU/2606/020153</t>
  </si>
  <si>
    <t>PEA0006</t>
  </si>
  <si>
    <t>Gold Box Extra Butter MP341 5 Kg</t>
  </si>
  <si>
    <t>SO-KU/2606/020154</t>
  </si>
  <si>
    <t>M MART</t>
  </si>
  <si>
    <t>PJS0005</t>
  </si>
  <si>
    <t>Daebak Spark Ice Lemon Tea 330 Ml</t>
  </si>
  <si>
    <t>PJS0007</t>
  </si>
  <si>
    <t>Daebak Spark Grape 330 Ml</t>
  </si>
  <si>
    <t>SO-KU/2606/020155</t>
  </si>
  <si>
    <t>SO-KU/2606/020156</t>
  </si>
  <si>
    <t>COPENHAGEN CAFE BERAWA</t>
  </si>
  <si>
    <t>SO-KU/2606/020159</t>
  </si>
  <si>
    <t>PKI0002</t>
  </si>
  <si>
    <t>Premium Crincle Cut Fries 2 Kg</t>
  </si>
  <si>
    <t>SO-KU/2606/020160</t>
  </si>
  <si>
    <t>SHERATON BALI KUTA RESORT</t>
  </si>
  <si>
    <t>PAS0068</t>
  </si>
  <si>
    <t>Arass Green Tea 100 Tb</t>
  </si>
  <si>
    <t>PAS0069</t>
  </si>
  <si>
    <t>Arass English Breakfast Tea 100 Tb</t>
  </si>
  <si>
    <t>SO-KU/2606/020161</t>
  </si>
  <si>
    <t>SO-KU/2606/020162</t>
  </si>
  <si>
    <t>SOOGUD COFFEE</t>
  </si>
  <si>
    <t>PMS0160</t>
  </si>
  <si>
    <t>Masterista Syrup Blackcurrant 850 Ml</t>
  </si>
  <si>
    <t>SO-KU/2606/020164</t>
  </si>
  <si>
    <t>HUMA COFFEE</t>
  </si>
  <si>
    <t>SO-KU/2606/020165</t>
  </si>
  <si>
    <t>FOX AND RABBIT</t>
  </si>
  <si>
    <t>PMS0095</t>
  </si>
  <si>
    <t>Masterista Syrup Tropical Mango 850 Ml</t>
  </si>
  <si>
    <t>SO-KU/2606/020167</t>
  </si>
  <si>
    <t>KOPI SAQU</t>
  </si>
  <si>
    <t>PMS0165</t>
  </si>
  <si>
    <t>Flavourista Syrup Vanilla 1000 Ml</t>
  </si>
  <si>
    <t>SO-KU/2606/020168</t>
  </si>
  <si>
    <t>SO-KU/2606/020169</t>
  </si>
  <si>
    <t>SO-KU/2606/020170</t>
  </si>
  <si>
    <t>BAKERY PETIT PARIS (PT. CIPTA RASA MULTINDO)</t>
  </si>
  <si>
    <t>SO-KU/2606/020171</t>
  </si>
  <si>
    <t>POS0025</t>
  </si>
  <si>
    <t>O Sole Doppio Concentrato Paste Tomato 2.2 Kg</t>
  </si>
  <si>
    <t>SO-KU/2606/020172</t>
  </si>
  <si>
    <t>SO-KU/2606/020173</t>
  </si>
  <si>
    <t>PAS0039</t>
  </si>
  <si>
    <t>Crr Rock'n Simply Crrrrips Straight Cut Fries 2.5 Kg</t>
  </si>
  <si>
    <t>SO-KU/2606/020174</t>
  </si>
  <si>
    <t>SO-KU/2606/020175</t>
  </si>
  <si>
    <t>MRD1318A</t>
  </si>
  <si>
    <t>MAMAS BELLY RIND ON SB OUT (SKIN ON) 3-5KG/PACK</t>
  </si>
  <si>
    <t>SO-KU/2606/020176</t>
  </si>
  <si>
    <t>PQW0012</t>
  </si>
  <si>
    <t>IQF FF Shoestring 2.5 Kg/Pack</t>
  </si>
  <si>
    <t>SO-KU/2606/020177</t>
  </si>
  <si>
    <t>150226</t>
  </si>
  <si>
    <t>Belly Skinless Premium (2.5Kg/Pack)</t>
  </si>
  <si>
    <t>SO-KU/2606/020178</t>
  </si>
  <si>
    <t>DEUS CAFE</t>
  </si>
  <si>
    <t>PMS0140</t>
  </si>
  <si>
    <t>Masterista Japanese Matcha Powder Premium 500 Ml</t>
  </si>
  <si>
    <t>SO-KU/2606/020179</t>
  </si>
  <si>
    <t>tambahan kitchen fbc</t>
  </si>
  <si>
    <t>SO-KU/2606/020180</t>
  </si>
  <si>
    <t>SO-KU/2606/020181</t>
  </si>
  <si>
    <t>WORSHIP CAFE 4:19</t>
  </si>
  <si>
    <t>SO-KU/2606/020182</t>
  </si>
  <si>
    <t>WAROENG OPON BALI</t>
  </si>
  <si>
    <t>SO-KU/2606/020183</t>
  </si>
  <si>
    <t>SO-KU/2606/020184</t>
  </si>
  <si>
    <t>HUTAN INDAH KITCHEN &amp; LOUNGE GIANYAR</t>
  </si>
  <si>
    <t>PMS0152</t>
  </si>
  <si>
    <t>Masterista Syrup Passion Fruit 850 Ml</t>
  </si>
  <si>
    <t>PMS0179</t>
  </si>
  <si>
    <t>Masterista Syrup Yuzu 850 Ml</t>
  </si>
  <si>
    <t>SO-KU/2606/020185</t>
  </si>
  <si>
    <t>ASAI VILLAGE</t>
  </si>
  <si>
    <t>PMS0059</t>
  </si>
  <si>
    <t>Flavour Artisan - Belgian Signature Dark Chocolate (80 Cocoa%)  500gr</t>
  </si>
  <si>
    <t>SO-KU/2606/020186</t>
  </si>
  <si>
    <t>SO-KU/2606/020187</t>
  </si>
  <si>
    <t>1 loaf</t>
  </si>
  <si>
    <t>SO-KU/2606/020188</t>
  </si>
  <si>
    <t>UD. ZIO PANGAN JAYA</t>
  </si>
  <si>
    <t>SO-KU/2606/020189</t>
  </si>
  <si>
    <t>CV. SARI ANUGERAH MAKMUR</t>
  </si>
  <si>
    <t>SO-KU/2606/020191</t>
  </si>
  <si>
    <t>W HOTEL</t>
  </si>
  <si>
    <t>SO-KU/2606/020192</t>
  </si>
  <si>
    <t>POT0046</t>
  </si>
  <si>
    <t>Australian Butter Unsalted</t>
  </si>
  <si>
    <t>SO-KU/2606/020193</t>
  </si>
  <si>
    <t>SO-KU/2606/020194</t>
  </si>
  <si>
    <t>KOJA KITCHEN AND COFFEE</t>
  </si>
  <si>
    <t>SO-KU/2606/020195</t>
  </si>
  <si>
    <t>PENINSULA BEACH RESORT</t>
  </si>
  <si>
    <t>SO-KU/2606/020196</t>
  </si>
  <si>
    <t>GOURMET MARKET</t>
  </si>
  <si>
    <t>ASS-PGT</t>
  </si>
  <si>
    <t>Pure Green Tea @50TB/Box</t>
  </si>
  <si>
    <t>SO-KU/2606/020197</t>
  </si>
  <si>
    <t>SO-KU/2606/020198</t>
  </si>
  <si>
    <t>SO-KU/2606/020199</t>
  </si>
  <si>
    <t>SO-KU/2606/020200</t>
  </si>
  <si>
    <t>BALI CATERING COMPANY</t>
  </si>
  <si>
    <t>SO-KU/2606/020201</t>
  </si>
  <si>
    <t>BAKERS CORNER TUBAN</t>
  </si>
  <si>
    <t>SO-KU/2606/020203</t>
  </si>
  <si>
    <t>SO-KU/2606/020204</t>
  </si>
  <si>
    <t>PEPITO MARKET DEWI SRI</t>
  </si>
  <si>
    <t>SO-KU/2606/020206</t>
  </si>
  <si>
    <t>SO-KU/2606/020208</t>
  </si>
  <si>
    <t>ASS-CH-TB50</t>
  </si>
  <si>
    <t>Chamomile Dream @50Tb/Box</t>
  </si>
  <si>
    <t>ASS-EGT</t>
  </si>
  <si>
    <t>Earl Grey @50TB/Box</t>
  </si>
  <si>
    <t>SO-KU/2606/020210</t>
  </si>
  <si>
    <t>CKP1S-153</t>
  </si>
  <si>
    <t>Jinro Chamisul Soju Green Grape 360ml</t>
  </si>
  <si>
    <t>SO-KU/2606/020212</t>
  </si>
  <si>
    <t>PENERIMAAN BRANG DARI JAM 09.00-13.00</t>
  </si>
  <si>
    <t>SO-KU/2606/020213</t>
  </si>
  <si>
    <t>SO-KU/2606/020214</t>
  </si>
  <si>
    <t>PSJ0027</t>
  </si>
  <si>
    <t>Iga Babi Super</t>
  </si>
  <si>
    <t>PAS0040</t>
  </si>
  <si>
    <t>Crr Rock'n Batter Skin On Fries 9x9mm 2.5 Kg</t>
  </si>
  <si>
    <t>SO-KU/2606/020215</t>
  </si>
  <si>
    <t>COFFEE CARTEL</t>
  </si>
  <si>
    <t>SO-KU/2606/020216</t>
  </si>
  <si>
    <t>MAURI RESTAURANT</t>
  </si>
  <si>
    <t>SO-KU/2606/020217</t>
  </si>
  <si>
    <t>SO-KU/2606/020218</t>
  </si>
  <si>
    <t>PDM0004</t>
  </si>
  <si>
    <t>Armando Spaghetti 500 Gr/Pack</t>
  </si>
  <si>
    <t>SO-KU/2606/020219</t>
  </si>
  <si>
    <t>POT0110</t>
  </si>
  <si>
    <t>Bergold Shredded Pizza Topping Mozzarella</t>
  </si>
  <si>
    <t>SO-KU/2606/020220</t>
  </si>
  <si>
    <t>SO-KU/2606/020221</t>
  </si>
  <si>
    <t>PSJ0026</t>
  </si>
  <si>
    <t>Samcan Babi Tanpa Kulit</t>
  </si>
  <si>
    <t>MOHON SAMPAI NURIS JAM 10 PAGI</t>
  </si>
  <si>
    <t>SO-KU/2606/020222</t>
  </si>
  <si>
    <t>NUSA DUA BEACH HOTEL</t>
  </si>
  <si>
    <t>PAS0043</t>
  </si>
  <si>
    <t>Maestro FF Shoestring 7x7mm 10Kg/Ctn</t>
  </si>
  <si>
    <t>SO-KU/2606/020223</t>
  </si>
  <si>
    <t>VOUK HOTEL</t>
  </si>
  <si>
    <t>SO-KU/2606/020224</t>
  </si>
  <si>
    <t>SO-KU/2606/020225</t>
  </si>
  <si>
    <t>SO-KU/2606/020226</t>
  </si>
  <si>
    <t>SO-KU/2606/020227</t>
  </si>
  <si>
    <t>FOLD UBUD</t>
  </si>
  <si>
    <t>SO-KU/2606/020228</t>
  </si>
  <si>
    <t>SO-KU/2606/020229</t>
  </si>
  <si>
    <t>COURTYARD SEMINYAK</t>
  </si>
  <si>
    <t>ASS-MO-B</t>
  </si>
  <si>
    <t>Manggo Tea @50TB/Box</t>
  </si>
  <si>
    <t>ASS-PD-G</t>
  </si>
  <si>
    <t>Pandanus Green Tea @50TB/Box</t>
  </si>
  <si>
    <t>SO-KU/2606/020230</t>
  </si>
  <si>
    <t>SOFITEL BALI ND BEACH RESORT</t>
  </si>
  <si>
    <t>SO-KU/2606/020231</t>
  </si>
  <si>
    <t>SO-KU/2606/020232</t>
  </si>
  <si>
    <t>SO-KU/2606/020233</t>
  </si>
  <si>
    <t>PEA0004</t>
  </si>
  <si>
    <t>Gold Box Extra Butter MP341</t>
  </si>
  <si>
    <t>SO-KU/2606/020234</t>
  </si>
  <si>
    <t>SO-KU/2606/020235</t>
  </si>
  <si>
    <t>SO-KU/2606/020236</t>
  </si>
  <si>
    <t>SO-KU/2606/020237</t>
  </si>
  <si>
    <t>SO-KU/2606/020238</t>
  </si>
  <si>
    <t>SO-KU/2606/020239</t>
  </si>
  <si>
    <t>SO-KU/2606/020240</t>
  </si>
  <si>
    <t>SO-KU/2606/020241</t>
  </si>
  <si>
    <t>MAMAS GERMAN REST.</t>
  </si>
  <si>
    <t>PAS0026</t>
  </si>
  <si>
    <t>Crr Rock'n Batter Skin On Fries 9x9mm 10Kg/Ctn</t>
  </si>
  <si>
    <t>SO-KU/2606/020242</t>
  </si>
  <si>
    <t>PAS0064</t>
  </si>
  <si>
    <t>Crr Rock'n Waffle Fries 2.5 Kg</t>
  </si>
  <si>
    <t>SO-KU/2606/020243</t>
  </si>
  <si>
    <t>SO-KU/2606/020244</t>
  </si>
  <si>
    <t>SO-KU/2606/020245</t>
  </si>
  <si>
    <t>TRIBE HOTEL KUTA</t>
  </si>
  <si>
    <t>SO-KU/2606/020246</t>
  </si>
  <si>
    <t>MERCURE BALI LEGIAN</t>
  </si>
  <si>
    <t>SO-KU/2606/020247</t>
  </si>
  <si>
    <t>ARTIKULASI COFFEE</t>
  </si>
  <si>
    <t>SO-KU/2606/020248</t>
  </si>
  <si>
    <t>BELLA ITALIAN GRAND MAS</t>
  </si>
  <si>
    <t>SO-KU/2606/020249</t>
  </si>
  <si>
    <t>PMS0133</t>
  </si>
  <si>
    <t>Masterista Syrup Blue Lagoon 850ml</t>
  </si>
  <si>
    <t>SO-KU/2606/020250</t>
  </si>
  <si>
    <t>INTER</t>
  </si>
  <si>
    <t>SO-KU/2606/020251</t>
  </si>
  <si>
    <t>DOMES</t>
  </si>
  <si>
    <t>SO-KU/2606/020252</t>
  </si>
  <si>
    <t>ASS-JT-LP250</t>
  </si>
  <si>
    <t>Jasmine Tea @250gr/Pouch</t>
  </si>
  <si>
    <t>SO-KU/2606/020253</t>
  </si>
  <si>
    <t>SO-KU/2606/020254</t>
  </si>
  <si>
    <t>SO-KU/2606/020255</t>
  </si>
  <si>
    <t>PT. SOEJASCH BALI</t>
  </si>
  <si>
    <t>spc sby 1508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</si>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</sst>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50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76.341993981485" createdVersion="8" refreshedVersion="8" minRefreshableVersion="3" recordCount="593" xr:uid="{BD1AD59A-E639-43A2-B3DD-B5D4A035EDDA}">
  <cacheSource type="worksheet">
    <worksheetSource ref="A1:Q594" sheet="Sheet"/>
  </cacheSource>
  <cacheFields count="17">
    <cacheField name="Tgl Kirim" numFmtId="164">
      <sharedItems containsSemiMixedTypes="0" containsNonDate="0" containsDate="1" containsString="0" minDate="2026-06-03T00:00:00" maxDate="2026-06-04T00:00:00"/>
    </cacheField>
    <cacheField name="Tgl SO" numFmtId="164">
      <sharedItems containsSemiMixedTypes="0" containsNonDate="0" containsDate="1" containsString="0" minDate="2026-06-02T00:00:00" maxDate="2026-06-03T00:00:00"/>
    </cacheField>
    <cacheField name="No SO" numFmtId="0">
      <sharedItems/>
    </cacheField>
    <cacheField name="Nama Divisi" numFmtId="0">
      <sharedItems/>
    </cacheField>
    <cacheField name="Nama Customer" numFmtId="0">
      <sharedItems count="306">
        <s v="ROOM FOR DESSERT"/>
        <s v="LOLAS CANTINA CANGGU"/>
        <s v="ROSSO VIVO"/>
        <s v="RICE PADDY CAFE"/>
        <s v="PURE PIZZA"/>
        <s v="DESA KOPI BALI"/>
        <s v="LACASETTA CAFETARIA"/>
        <s v="FRANKIES BAR AND GRILL"/>
        <s v="REMPAH COFFE &amp; EATERY"/>
        <s v="TAKE RESTAURANT"/>
        <s v="PT. NYIUR MELAMBAI LAMBAI"/>
        <s v="REVOLVER OBEROI"/>
        <s v="LOSTERIA JIMBARAN"/>
        <s v="WHITE ORCHID NUSA DUA"/>
        <s v="BALKAN SHAWARMA UNGASAN"/>
        <s v="SERU COFFEE &amp; PASTRY"/>
        <s v="IMADJI SUNSHINE"/>
        <s v="MAGUS WARUNG MELASTI"/>
        <s v="BRUNN BAKEHAUS PRODUKSI"/>
        <s v="LE CROISSANT"/>
        <s v="PANDAN SARI"/>
        <s v="DASA CAFE"/>
        <s v="BO DAN BUN RESTAURANT"/>
        <s v="IMADJI COFFEE AND SPACE"/>
        <s v="UD. METRI"/>
        <s v="IMADJI COFFEE YOS SUDARSO"/>
        <s v="KENYA COFFEE"/>
        <s v="CV. KASIH HOKI"/>
        <s v="BARO BAKERY PERERENAN"/>
        <s v="PURI SANTRIAN"/>
        <s v="KAFIN"/>
        <s v="RISE AND SHINE"/>
        <s v="ALAS HARUM UBUD"/>
        <s v="MASTER KIM"/>
        <s v="THE SEMINYAK"/>
        <s v="SADARA BOUTIQUE BEACH RESORT"/>
        <s v="COFFEE PHORA"/>
        <s v="PIE SUSU AJIK"/>
        <s v="TABU ULUWATU"/>
        <s v="BALI PIZZA PARTY"/>
        <s v="BUCU WARUNG"/>
        <s v="SUMAK SANUR"/>
        <s v="D'JOGLO SEMINYAK"/>
        <s v="TAKSU SPA &amp; RESTAURANT UBUD"/>
        <s v="LITTLE UJI"/>
        <s v="RUMAH LAWAS KOPI PUPUTAN"/>
        <s v="RUMAH LAWAS KOPI NARAKUSUMA"/>
        <s v="UNO RESTAURANT NUSA DUA"/>
        <s v="PT. AMAN BALI NUSA LAUT (LUIGIS HOT PIZZA)"/>
        <s v="PT. GLOBAL BUANA PREMIUM"/>
        <s v="BARVERA RESTAURANT"/>
        <s v="OLDMAN'S CANGGU"/>
        <s v="ARTE CANGGU"/>
        <s v="PT. VATOS TANORA INDONESIA / AGAVE &amp; AZUL"/>
        <s v="PIZZERIA MONELLO UBUD"/>
        <s v="PLANT BISTRO"/>
        <s v="CP LOUNGE UBUD"/>
        <s v="PT. KHARISMA ANUGRAH JAWARA ABADI (SAVAYA BALI)"/>
        <s v="LV 8 RESORT SEMINYAK"/>
        <s v="NOVOTEL BALI UBUD RESORT"/>
        <s v="BHIMA JAYA"/>
        <s v="SUMAK TURKISH CUISINE"/>
        <s v="PT LAPLANCHA BALI SEJAHTERA"/>
        <s v="THE MERU BALI"/>
        <s v="BALI DYNASTY RESORT"/>
        <s v="BALI MANDIRA"/>
        <s v="M&amp;M CATERING"/>
        <s v="THE BAKERS BISTRO"/>
        <s v="JOJO PIZZA"/>
        <s v="CAFE DUNIA"/>
        <s v="DAMASTA"/>
        <s v="KILO RESTAURANT"/>
        <s v="JALAPENO SANUR"/>
        <s v="YAMMA YAA LEGIAN"/>
        <s v="CHISA DE BOGA"/>
        <s v="FUCINA ITALIA"/>
        <s v="DOUGHNUT BOSS"/>
        <s v="BUTTERMAN (CASAMAYOR)"/>
        <s v="GODDES BAKERY ( GOLDEN BAKERY )"/>
        <s v="TWO IDIOT"/>
        <s v="MIE LEE"/>
        <s v="TUI BLUE BERAWA HOTEL"/>
        <s v="PT. TIBI MODERN SENTOSA (AMNAYA HOTEL)"/>
        <s v="TE AMO GASTRO BISTRO"/>
        <s v="SUGAR ROCK"/>
        <s v="DODO PIZZA"/>
        <s v="LUMBUNG PANGAN"/>
        <s v="LA TERAZA"/>
        <s v="THE VILLAGE CUCINA RESTORAN"/>
        <s v="PT. GLOBAL RETAILINDO PRATAMA"/>
        <s v="DELUNA HOUSE"/>
        <s v="SACRA STUJA UBUD"/>
        <s v="KABAK BAKERY"/>
        <s v="BAMBU BALI ULUWATU"/>
        <s v="PT BIDADARI DUNIA"/>
        <s v="PEPPER LUNCH RESTAURANT (BW GUDANG BASEMENT)"/>
        <s v="BOTTEGA ITALIANA PERERENAN"/>
        <s v="TOAST BALI"/>
        <s v="PEPPER LUNCH LIVING WORLD BALI"/>
        <s v="OSTERIA LUNA ULUWATU"/>
        <s v="FINNS BEACH CLUB"/>
        <s v="WARUNG I MEME"/>
        <s v="ALKALINE VEGAN RESTAURANT"/>
        <s v="UD DAMA SEMESTA"/>
        <s v="PPTO MRKT ECO BEACH"/>
        <s v="PPTO MRKT ULUWATU"/>
        <s v="THE ALLEYS"/>
        <s v="PPTO MRKT TEBONGKANG"/>
        <s v="GOLA ITALIAN MARKET &amp; RESTAURANT"/>
        <s v="PPTO MRKT SEMER"/>
        <s v="PEPITO FRESH MARKET PECATU GRAHA"/>
        <s v="IMADJI DEWI SRI"/>
        <s v="PPTO MRKT PETITENGET"/>
        <s v="POPULAR HAYAM WURUK"/>
        <s v="WAREHOUSE PEPITO"/>
        <s v="NISSAN NUSA DUA"/>
        <s v="IMADJI LIVING WORLD"/>
        <s v="NAUGHTY NURIS SANUR"/>
        <s v="TROPICAL RESTAURANT 3"/>
        <s v="PT SNAK SNAKS INDONESIA (BALI ZOO)"/>
        <s v="COCO BISTRO SANUR"/>
        <s v="BAKMI &amp; BUBUR AYAM BINTANG LIMA"/>
        <s v="ANVAYA HOTEL"/>
        <s v="PT. ROYAL SAMITRA ADINATA"/>
        <s v="RAMEN 1 LIVING WORLD"/>
        <s v="UD. BAYOU BALI SUPPIER"/>
        <s v="CV DWI BOGA"/>
        <s v="UD. BABYLON"/>
        <s v="SUBWAY RENON BALI"/>
        <s v="KELAPA MUDA UBUD POOL BAR &amp; KITCHEN"/>
        <s v="PT. FASTFOOD INDONESIA ( KFC JIMBARAN )"/>
        <s v="RAMEN 1 (LEVEL 21 MALL)"/>
        <s v="RAMEN 1 MBG"/>
        <s v="THE PANTRY SANUR"/>
        <s v="RAMEN 1 ICON SANUR MALL"/>
        <s v="EXPERT ID COFFEE"/>
        <s v="MISNOW WR SUPRATMAN"/>
        <s v="NAN KOPITIAM"/>
        <s v="PT. ADIKARYA PANGAN FRESHINDO"/>
        <s v="THE SEGARA SEAVIEW SABA"/>
        <s v="LALAPAN CAK JUL OONGAN"/>
        <s v="NOURISH UNGASAN"/>
        <s v="SHUKA GRILLS"/>
        <s v="KAIZEN RENON"/>
        <s v="MASONRY CANGGU"/>
        <s v="SHABURI KINTAN"/>
        <s v="KOPI JO"/>
        <s v="AKARI RAMEN"/>
        <s v="BUKA BAJU MARLBORO"/>
        <s v="CENTRAL KITCHEN LOSTERIA (SUKAWATI)"/>
        <s v="TOKO RUSNI"/>
        <s v="INTERCONTINENTAL BALI RESORT"/>
        <s v="ORANGE BAKERY"/>
        <s v="CV. SEJAHTERA BAROKAH"/>
        <s v="HONEY SALT CAFE"/>
        <s v="KEKON LUWUS"/>
        <s v="CLIP AND CLIMB"/>
        <s v="B9B RESTAURANT"/>
        <s v="HARRIS HOTEL SEMINYAK"/>
        <s v="BULGARI"/>
        <s v="KOMANEKA TANGGAYUDA"/>
        <s v="APPITITO PIZZA AND PASTA"/>
        <s v="TOKO PRANATA"/>
        <s v="KORO BALI"/>
        <s v="TOKO BAHAN KUE OLIFIA"/>
        <s v="HARMONY HEALTH AND WELNESS"/>
        <s v="MERUSAKA NUSA DUA"/>
        <s v="TITIK DUA HOTEL"/>
        <s v="HOTEL SEGARA VILLAGE"/>
        <s v="PENJUALAN CASH"/>
        <s v="THE GRIYA VILLAS SPA"/>
        <s v="WARUNG MADE SEMINYAK"/>
        <s v="CIBO PASTA LAB"/>
        <s v="LE MERIDIEN JIMBARAN"/>
        <s v="PT BALI PERKASASUKSES"/>
        <s v="HOLIDAY INN TANJUNG BENOA"/>
        <s v="PT. KREASI BALI PRIMA"/>
        <s v="PIZZA DUMPLING"/>
        <s v="CV. FENNY BERSAMA"/>
        <s v="LA SANTANERA"/>
        <s v="YAN'S HOUSE"/>
        <s v="PADMA UBUD RESORT"/>
        <s v="ALILA RESORT UBUD"/>
        <s v="MAYA UBUD"/>
        <s v="CV MEGANTARA"/>
        <s v="JIMBARAN BAY BEACH"/>
        <s v="TIS CAFE"/>
        <s v="CHAPUNG SEBALI RESORT &amp; SPA"/>
        <s v="SENDOK WARUNG"/>
        <s v="ZERO 4 KARAOKE"/>
        <s v="SISTERFIELDS CAFE"/>
        <s v="THE WESTIN RESORT NUSA DUA"/>
        <s v="PPTO MRKT PELIATAN"/>
        <s v="PPTO MRKT CANGGU"/>
        <s v="PPTO MARKET TABANAN"/>
        <s v="DOUBLE SIX HOTEL"/>
        <s v="PPTO EXP SEMINYAK"/>
        <s v="HILTON HOTEL"/>
        <s v="PPTO MRKT PERERENAN"/>
        <s v="PPTO MRKT ANDONG"/>
        <s v="GRAND MERCURE SEMINYAK"/>
        <s v="GEP'S DELI ( TOKO SURYANTI NUSA )"/>
        <s v="NAUGHTY NURIS SEMINYAK"/>
        <s v="FAJAR MILLENIUM"/>
        <s v="HYATT REGENCY SANUR"/>
        <s v="AUTOGRILL"/>
        <s v="MEKAYU SARI MUPU SUPPLIER"/>
        <s v="STHALA UBUD"/>
        <s v="THE LAGUNA"/>
        <s v="NIHIWATU (KUTA POLENG)"/>
        <s v="LEGIAN BEACH HOTEL"/>
        <s v="REDDOG LEVEL 21 MALL"/>
        <s v="REDDOG ICON BALI"/>
        <s v="ARTE UBUD"/>
        <s v="REDDOG LIVING WORLD MALL"/>
        <s v="REDDOG MALL BALI GALERIA"/>
        <s v="KEDAI KOPI RANTAU"/>
        <s v="PT. SSP TAURUS GEMILANG INDONESIA"/>
        <s v="CV. SURYA PANGAN"/>
        <s v="MAMAKA"/>
        <s v="DAS BISTRO"/>
        <s v="COURTYARD MARRIOT HOTEL"/>
        <s v="COCO BISTRO NUSA DUA"/>
        <s v="NOURISH CAFE"/>
        <s v="FOOD GALLERIA"/>
        <s v="NICO'S SMOKEHOUSE BBQ - CANGGU"/>
        <s v="MOVENPICK"/>
        <s v="BELLA ITALIA SANUR"/>
        <s v="NANDIYA BAKERY"/>
        <s v="SUDAMALA RESORT SANUR"/>
        <s v="MAHARAJA THE ROYAL DINING"/>
        <s v="KOJA PANTAI SANUR"/>
        <s v="CENDOL RATU"/>
        <s v="SEDUH COFFEE"/>
        <s v="FLAPJACKS KARTIKA PLAZA KUTA"/>
        <s v="LULU BISTROT BALI"/>
        <s v="WARUNG MODUS"/>
        <s v="MAMA MATCHA"/>
        <s v="BAKMIE AKIU PUSAT"/>
        <s v="SENSE SUNSET SEMINYAK"/>
        <s v="AREA JAYA MART"/>
        <s v="ONION RESTO"/>
        <s v="REDWHITE COFFEE"/>
        <s v="MARGOT RIVERSIDE RESTORAN"/>
        <s v="PHILO RESTAURANT"/>
        <s v="CENTRAL FOOD VILLAGE (BALI ZOO)"/>
        <s v="RASA DEWATA RESTO"/>
        <s v="WARUNG AYU PANDE PUTRI"/>
        <s v="TROPICALIFE CANGGU"/>
        <s v="BOODAYA COFFEE"/>
        <s v="DJAYA DELAPAN COFFEE"/>
        <s v="SAKARA COFFEE"/>
        <s v="SERUPUT KOPI"/>
        <s v="THREE COIN EATRY"/>
        <s v="ART CAFE BUMBU BALI"/>
        <s v="BREAD YARD"/>
        <s v="BALE UDANG MANG ENGKING"/>
        <s v="LILY'S KOREAN BBQ"/>
        <s v="PORTO COFFEE"/>
        <s v="JAJE BITE"/>
        <s v="METLAND VENYA UBUD"/>
        <s v="ABADI MART SUPPLIER"/>
        <s v="SECANA BEACH TOWN"/>
        <s v="HAN SANG KOREAN BBQ &amp; SUKI"/>
        <s v="DASH HOTEL SEMINYAK"/>
        <s v="ROUMS COFE"/>
        <s v="CHILL HOTEL SEMINYAK"/>
        <s v="PPTO MRKT NUSA DUA"/>
        <s v="M MART"/>
        <s v="COPENHAGEN CAFE BERAWA"/>
        <s v="SHERATON BALI KUTA RESORT"/>
        <s v="SOOGUD COFFEE"/>
        <s v="HUMA COFFEE"/>
        <s v="FOX AND RABBIT"/>
        <s v="KOPI SAQU"/>
        <s v="BAKERY PETIT PARIS (PT. CIPTA RASA MULTINDO)"/>
        <s v="DEUS CAFE"/>
        <s v="WORSHIP CAFE 4:19"/>
        <s v="WAROENG OPON BALI"/>
        <s v="HUTAN INDAH KITCHEN &amp; LOUNGE GIANYAR"/>
        <s v="ASAI VILLAGE"/>
        <s v="RED GUNPOWDER"/>
        <s v="UD. ZIO PANGAN JAYA"/>
        <s v="CV. SARI ANUGERAH MAKMUR"/>
        <s v="W HOTEL"/>
        <s v="KOJA KITCHEN AND COFFEE"/>
        <s v="PENINSULA BEACH RESORT"/>
        <s v="GOURMET MARKET"/>
        <s v="BALI CATERING COMPANY"/>
        <s v="BAKERS CORNER TUBAN"/>
        <s v="PEPITO MARKET DEWI SRI"/>
        <s v="THE KAYON JUNGLE RESORT"/>
        <s v="COFFEE CARTEL"/>
        <s v="MAURI RESTAURANT"/>
        <s v="NUSA DUA BEACH HOTEL"/>
        <s v="VOUK HOTEL"/>
        <s v="FOLD UBUD"/>
        <s v="ZIA TINA BALI"/>
        <s v="COURTYARD SEMINYAK"/>
        <s v="SOFITEL BALI ND BEACH RESORT"/>
        <s v="MAMAS GERMAN REST."/>
        <s v="TRIBE HOTEL KUTA"/>
        <s v="MERCURE BALI LEGIAN"/>
        <s v="ARTIKULASI COFFEE"/>
        <s v="BELLA ITALIAN GRAND MAS"/>
        <s v="PT. SOEJASCH BALI"/>
      </sharedItems>
    </cacheField>
    <cacheField name="Syarat Bayar" numFmtId="0">
      <sharedItems count="2">
        <s v="Cash"/>
        <s v="Credit"/>
      </sharedItems>
    </cacheField>
    <cacheField name="Nama Sales" numFmtId="0">
      <sharedItems count="22">
        <s v="Picrom Stalyon"/>
        <s v="Taufik"/>
        <s v="LANI"/>
        <s v="Eka"/>
        <s v="I MADE LUIH"/>
        <s v="Dewi Kristiani"/>
        <s v="Sujana"/>
        <s v="Juni"/>
        <s v="Ni Ketut Sriasih (GT)"/>
        <s v="I Made Luih (Sanur)"/>
        <s v="Monica"/>
        <s v="Lani P"/>
        <s v="Wira"/>
        <s v="NP4"/>
        <s v="Ni Ketut Sriasih (MT)"/>
        <s v="NP1"/>
        <s v="NP3"/>
        <s v="NP2"/>
        <s v=""/>
        <s v="NN Sujana"/>
        <s v="Management Bali"/>
        <s v="NN Made Luih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16650" maxValue="38999999.299999997"/>
    </cacheField>
    <cacheField name="BS-SO(Pcs)" numFmtId="165">
      <sharedItems containsSemiMixedTypes="0" containsString="0" containsNumber="1" minValue="-60" maxValue="4.779899999999999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3">
  <r>
    <d v="2026-06-03T00:00:00"/>
    <d v="2026-06-02T00:00:00"/>
    <s v="SO-KS/2606/020170"/>
    <s v="MKS Bali"/>
    <x v="0"/>
    <x v="0"/>
    <x v="0"/>
    <s v="SFM007"/>
    <s v="Tepung Double Zero @25Kg/Sack"/>
    <n v="2"/>
    <s v="SACK"/>
    <n v="2"/>
    <n v="654900"/>
    <n v="0"/>
    <s v="Invoice"/>
    <s v="Sudah Jadi FJ"/>
    <s v=""/>
  </r>
  <r>
    <d v="2026-06-03T00:00:00"/>
    <d v="2026-06-02T00:00:00"/>
    <s v="SO-KS/2606/020171"/>
    <s v="MKS Bali"/>
    <x v="1"/>
    <x v="1"/>
    <x v="1"/>
    <s v="PPK0010"/>
    <s v="Block Red Cheddar Mix Cheese 5x2kg"/>
    <n v="2"/>
    <s v="KG"/>
    <n v="2.02"/>
    <n v="282800.01"/>
    <n v="0.02"/>
    <s v="Invoice"/>
    <s v="Sudah Jadi FJ"/>
    <s v="1 loaf. KIRIM KE PRODUCTION_x000a_JL. Pulau adi dalam"/>
  </r>
  <r>
    <d v="2026-06-03T00:00:00"/>
    <d v="2026-06-02T00:00:00"/>
    <s v="SO-KS/2606/020172"/>
    <s v="MKS Bali"/>
    <x v="2"/>
    <x v="1"/>
    <x v="2"/>
    <s v="SFM007"/>
    <s v="Tepung Double Zero @25Kg/Sack"/>
    <n v="5"/>
    <s v="SACK"/>
    <n v="5"/>
    <n v="1637250"/>
    <n v="0"/>
    <s v="Invoice"/>
    <s v="Sudah Jadi FJ"/>
    <s v=""/>
  </r>
  <r>
    <d v="2026-06-03T00:00:00"/>
    <d v="2026-06-02T00:00:00"/>
    <s v="SO-KS/2606/020173"/>
    <s v="MKS Bali"/>
    <x v="3"/>
    <x v="0"/>
    <x v="3"/>
    <s v="PAN0024"/>
    <s v="NZMP Mozarella"/>
    <n v="4"/>
    <s v="KG"/>
    <n v="5"/>
    <n v="624999.99"/>
    <n v="1"/>
    <s v="Invoice"/>
    <s v="Sudah Jadi FJ"/>
    <s v="2  LOAF"/>
  </r>
  <r>
    <d v="2026-06-03T00:00:00"/>
    <d v="2026-06-02T00:00:00"/>
    <s v="SO-KS/2606/020174"/>
    <s v="MKS Bali"/>
    <x v="4"/>
    <x v="1"/>
    <x v="4"/>
    <s v="SFM007"/>
    <s v="Tepung Double Zero @25Kg/Sack"/>
    <n v="2"/>
    <s v="SACK"/>
    <n v="2"/>
    <n v="590000"/>
    <n v="0"/>
    <s v="Invoice"/>
    <s v="Sudah Jadi FJ"/>
    <s v=""/>
  </r>
  <r>
    <d v="2026-06-03T00:00:00"/>
    <d v="2026-06-02T00:00:00"/>
    <s v="SO-KS/2606/020174"/>
    <s v="MKS Bali"/>
    <x v="4"/>
    <x v="1"/>
    <x v="4"/>
    <s v="SFM009"/>
    <s v="Tepung Hime @25Kg/Sack"/>
    <n v="2"/>
    <s v="SACK"/>
    <n v="2"/>
    <n v="620000"/>
    <n v="0"/>
    <s v="Invoice"/>
    <s v="Sudah Jadi FJ"/>
    <s v=""/>
  </r>
  <r>
    <d v="2026-06-03T00:00:00"/>
    <d v="2026-06-02T00:00:00"/>
    <s v="SO-KS/2606/020175"/>
    <s v="MKS Bali"/>
    <x v="5"/>
    <x v="0"/>
    <x v="1"/>
    <s v="SFM007"/>
    <s v="Tepung Double Zero @25Kg/Sack"/>
    <n v="1"/>
    <s v="SACK"/>
    <n v="1"/>
    <n v="327450"/>
    <n v="0"/>
    <s v="Invoice"/>
    <s v="Sudah Jadi FJ"/>
    <s v=""/>
  </r>
  <r>
    <d v="2026-06-03T00:00:00"/>
    <d v="2026-06-02T00:00:00"/>
    <s v="SO-KS/2606/020176"/>
    <s v="MKS Bali"/>
    <x v="6"/>
    <x v="0"/>
    <x v="5"/>
    <s v="PSF0014"/>
    <s v="Tepung 00 Fusion @25Kg"/>
    <n v="3"/>
    <s v="SACK"/>
    <n v="3"/>
    <n v="825000"/>
    <n v="0"/>
    <s v="Invoice"/>
    <s v="Sudah Jadi FJ"/>
    <s v=""/>
  </r>
  <r>
    <d v="2026-06-03T00:00:00"/>
    <d v="2026-06-02T00:00:00"/>
    <s v="SO-KS/2606/020177"/>
    <s v="MKS Bali"/>
    <x v="7"/>
    <x v="0"/>
    <x v="6"/>
    <s v="SFM007"/>
    <s v="Tepung Double Zero @25Kg/Sack"/>
    <n v="1"/>
    <s v="SACK"/>
    <n v="1"/>
    <n v="327450"/>
    <n v="0"/>
    <s v="Invoice"/>
    <s v="Sudah Jadi FJ"/>
    <s v="2 loaf"/>
  </r>
  <r>
    <d v="2026-06-03T00:00:00"/>
    <d v="2026-06-02T00:00:00"/>
    <s v="SO-KS/2606/020178"/>
    <s v="MKS Bali"/>
    <x v="7"/>
    <x v="0"/>
    <x v="6"/>
    <s v="PPA0092"/>
    <s v="Emborg Pizza Topping 2.3 Kg"/>
    <n v="4.5999999999999996"/>
    <s v="KG"/>
    <n v="4.5999999999999996"/>
    <n v="506000"/>
    <n v="0"/>
    <s v="Invoice"/>
    <s v="Sudah Jadi FJ"/>
    <s v="2 loaf"/>
  </r>
  <r>
    <d v="2026-06-03T00:00:00"/>
    <d v="2026-06-02T00:00:00"/>
    <s v="SO-KS/2606/020179"/>
    <s v="MKS Bali"/>
    <x v="8"/>
    <x v="0"/>
    <x v="3"/>
    <s v="120010"/>
    <s v="Tepung Easymix Pancake @1kg/pack"/>
    <n v="10"/>
    <s v="KG"/>
    <n v="10"/>
    <n v="427350"/>
    <n v="0"/>
    <s v="Invoice"/>
    <s v="Sudah Jadi FJ"/>
    <s v=""/>
  </r>
  <r>
    <d v="2026-06-03T00:00:00"/>
    <d v="2026-06-02T00:00:00"/>
    <s v="SO-KS/2606/020180"/>
    <s v="MKS Bali"/>
    <x v="9"/>
    <x v="0"/>
    <x v="3"/>
    <s v="120015"/>
    <s v="Tepung Japanese Tempura 1kg/pack"/>
    <n v="10"/>
    <s v="KG"/>
    <n v="10"/>
    <n v="362970"/>
    <n v="0"/>
    <s v="Invoice"/>
    <s v="Sudah Jadi FJ"/>
    <s v="kirim siang stlh jam 12, resto buka siang_x000a_Customer bayar cash langsung uang ambil dikasir"/>
  </r>
  <r>
    <d v="2026-06-03T00:00:00"/>
    <d v="2026-06-02T00:00:00"/>
    <s v="SO-KS/2606/020182"/>
    <s v="MKS Bali"/>
    <x v="10"/>
    <x v="1"/>
    <x v="6"/>
    <s v="SFM052"/>
    <s v="Inofa Heat Treated Wheat Flour SF 346 @25kg/sack"/>
    <n v="1"/>
    <s v="SACK"/>
    <n v="1"/>
    <n v="565000"/>
    <n v="0"/>
    <s v="Invoice"/>
    <s v="Sudah Jadi FJ"/>
    <s v="Damaria"/>
  </r>
  <r>
    <d v="2026-06-03T00:00:00"/>
    <d v="2026-06-02T00:00:00"/>
    <s v="SO-KS/2606/020182"/>
    <s v="MKS Bali"/>
    <x v="10"/>
    <x v="1"/>
    <x v="6"/>
    <s v="SFM007"/>
    <s v="Tepung Double Zero @25Kg/Sack"/>
    <n v="2"/>
    <s v="SACK"/>
    <n v="2"/>
    <n v="600000"/>
    <n v="0"/>
    <s v="Invoice"/>
    <s v="Sudah Jadi FJ"/>
    <s v="Damaria"/>
  </r>
  <r>
    <d v="2026-06-03T00:00:00"/>
    <d v="2026-06-02T00:00:00"/>
    <s v="SO-KS/2606/020182"/>
    <s v="MKS Bali"/>
    <x v="10"/>
    <x v="1"/>
    <x v="6"/>
    <s v="SFM009"/>
    <s v="Tepung Hime @25Kg/Sack"/>
    <n v="3"/>
    <s v="SACK"/>
    <n v="3"/>
    <n v="915000"/>
    <n v="0"/>
    <s v="Invoice"/>
    <s v="Sudah Jadi FJ"/>
    <s v="Damaria"/>
  </r>
  <r>
    <d v="2026-06-03T00:00:00"/>
    <d v="2026-06-02T00:00:00"/>
    <s v="SO-KS/2606/020183"/>
    <s v="MKS Bali"/>
    <x v="11"/>
    <x v="1"/>
    <x v="6"/>
    <s v="080241"/>
    <s v="THE ALTERNATIVE Barista Almond Milk 1 Lt"/>
    <n v="48"/>
    <s v="PCS"/>
    <n v="48"/>
    <n v="2237760"/>
    <n v="0"/>
    <s v="Invoice"/>
    <s v="Sudah Jadi FJ"/>
    <s v=""/>
  </r>
  <r>
    <d v="2026-06-03T00:00:00"/>
    <d v="2026-06-02T00:00:00"/>
    <s v="SO-KS/2606/020183"/>
    <s v="MKS Bali"/>
    <x v="11"/>
    <x v="1"/>
    <x v="6"/>
    <s v="080239"/>
    <s v="THE ALTERNATIVE Barista Soy Milk 1 Lt"/>
    <n v="24"/>
    <s v="PCS"/>
    <n v="24"/>
    <n v="923076"/>
    <n v="0"/>
    <s v="Invoice"/>
    <s v="Sudah Jadi FJ"/>
    <s v=""/>
  </r>
  <r>
    <d v="2026-06-03T00:00:00"/>
    <d v="2026-06-02T00:00:00"/>
    <s v="SO-KS/2606/020184"/>
    <s v="MKS Bali"/>
    <x v="12"/>
    <x v="1"/>
    <x v="7"/>
    <s v="SFM007"/>
    <s v="Tepung Double Zero @25Kg/Sack"/>
    <n v="3"/>
    <s v="SACK"/>
    <n v="3"/>
    <n v="945000"/>
    <n v="0"/>
    <s v="Invoice"/>
    <s v="Sudah Jadi FJ"/>
    <s v=""/>
  </r>
  <r>
    <d v="2026-06-03T00:00:00"/>
    <d v="2026-06-02T00:00:00"/>
    <s v="SO-KS/2606/020188"/>
    <s v="MKS Bali"/>
    <x v="13"/>
    <x v="0"/>
    <x v="7"/>
    <s v="PSJ0393"/>
    <s v="Duck Peking whole size 2-2.2 kg"/>
    <n v="8.8000000000000007"/>
    <s v="KG"/>
    <n v="8.65"/>
    <n v="648750"/>
    <n v="-0.15"/>
    <s v="Invoice"/>
    <s v="Sudah Jadi FJ"/>
    <s v="4 ekor"/>
  </r>
  <r>
    <d v="2026-06-03T00:00:00"/>
    <d v="2026-06-02T00:00:00"/>
    <s v="SO-KS/2606/020189"/>
    <s v="MKS Bali"/>
    <x v="14"/>
    <x v="0"/>
    <x v="7"/>
    <s v="SFM007"/>
    <s v="Tepung Double Zero @25Kg/Sack"/>
    <n v="1"/>
    <s v="SACK"/>
    <n v="1"/>
    <n v="300000"/>
    <n v="0"/>
    <s v="Invoice"/>
    <s v="Sudah Jadi FJ"/>
    <s v=""/>
  </r>
  <r>
    <d v="2026-06-03T00:00:00"/>
    <d v="2026-06-02T00:00:00"/>
    <s v="SO-KS/2606/020190"/>
    <s v="MKS Bali"/>
    <x v="15"/>
    <x v="0"/>
    <x v="7"/>
    <s v="PSJ0228"/>
    <s v="Premium Minced Beef (2.5kg/pack)"/>
    <n v="2.5"/>
    <s v="KG"/>
    <n v="2.5"/>
    <n v="262500"/>
    <n v="0"/>
    <s v="Invoice"/>
    <s v="Sudah Jadi FJ"/>
    <s v="1 pack"/>
  </r>
  <r>
    <d v="2026-06-03T00:00:00"/>
    <d v="2026-06-02T00:00:00"/>
    <s v="SO-KS/2606/020191"/>
    <s v="MKS Bali"/>
    <x v="16"/>
    <x v="1"/>
    <x v="7"/>
    <s v="PLN0005"/>
    <s v="RICH CRÈME ND 08 1000G POUCH"/>
    <n v="48"/>
    <s v="POU"/>
    <n v="48"/>
    <n v="2697599.97"/>
    <n v="0"/>
    <s v="Invoice"/>
    <s v="Sudah Jadi FJ"/>
    <s v=""/>
  </r>
  <r>
    <d v="2026-06-03T00:00:00"/>
    <d v="2026-06-02T00:00:00"/>
    <s v="SO-KS/2606/020192"/>
    <s v="MKS Bali"/>
    <x v="17"/>
    <x v="1"/>
    <x v="7"/>
    <s v="120006"/>
    <s v="Tepung Crispy Ala Kentucky 1kg/pack"/>
    <n v="2"/>
    <s v="KG"/>
    <n v="2"/>
    <n v="65490"/>
    <n v="0"/>
    <s v="Invoice"/>
    <s v="Sudah Jadi FJ"/>
    <s v=""/>
  </r>
  <r>
    <d v="2026-06-03T00:00:00"/>
    <d v="2026-06-02T00:00:00"/>
    <s v="SO-KS/2606/020192"/>
    <s v="MKS Bali"/>
    <x v="17"/>
    <x v="1"/>
    <x v="7"/>
    <s v="120009"/>
    <s v="Tepung Easymix Fish n Chips 1kg/pack"/>
    <n v="2"/>
    <s v="KG"/>
    <n v="2"/>
    <n v="74592"/>
    <n v="0"/>
    <s v="Invoice"/>
    <s v="Sudah Jadi FJ"/>
    <s v=""/>
  </r>
  <r>
    <d v="2026-06-03T00:00:00"/>
    <d v="2026-06-02T00:00:00"/>
    <s v="SO-KS/2606/020192"/>
    <s v="MKS Bali"/>
    <x v="17"/>
    <x v="1"/>
    <x v="7"/>
    <s v="SFM007"/>
    <s v="Tepung Double Zero @25Kg/Sack"/>
    <n v="3"/>
    <s v="SACK"/>
    <n v="3"/>
    <n v="982350"/>
    <n v="0"/>
    <s v="Invoice"/>
    <s v="Sudah Jadi FJ"/>
    <s v=""/>
  </r>
  <r>
    <d v="2026-06-03T00:00:00"/>
    <d v="2026-06-02T00:00:00"/>
    <s v="SO-KS/2606/020193"/>
    <s v="MKS Bali"/>
    <x v="18"/>
    <x v="0"/>
    <x v="5"/>
    <s v="SFM009"/>
    <s v="Tepung Hime @25Kg/Sack"/>
    <n v="4"/>
    <s v="SACK"/>
    <n v="4"/>
    <n v="1159999.99"/>
    <n v="0"/>
    <s v="Invoice"/>
    <s v="Sudah Jadi FJ"/>
    <s v=""/>
  </r>
  <r>
    <d v="2026-06-03T00:00:00"/>
    <d v="2026-06-02T00:00:00"/>
    <s v="SO-KS/2606/020194"/>
    <s v="MKS Bali"/>
    <x v="19"/>
    <x v="0"/>
    <x v="4"/>
    <s v="SFM007"/>
    <s v="Tepung Double Zero @25Kg/Sack"/>
    <n v="1"/>
    <s v="SACK"/>
    <n v="1"/>
    <n v="285000"/>
    <n v="0"/>
    <s v="Invoice"/>
    <s v="Sudah Jadi FJ"/>
    <s v=""/>
  </r>
  <r>
    <d v="2026-06-03T00:00:00"/>
    <d v="2026-06-02T00:00:00"/>
    <s v="SO-KS/2606/020196"/>
    <s v="MKS Bali"/>
    <x v="20"/>
    <x v="1"/>
    <x v="4"/>
    <s v="120007"/>
    <s v="Tepung Double Zero 1kg/pack"/>
    <n v="150"/>
    <s v="KG"/>
    <n v="150"/>
    <n v="2497500"/>
    <n v="0"/>
    <s v="Invoice"/>
    <s v="Sudah Jadi FJ"/>
    <s v=""/>
  </r>
  <r>
    <d v="2026-06-03T00:00:00"/>
    <d v="2026-06-02T00:00:00"/>
    <s v="SO-KS/2606/020196"/>
    <s v="MKS Bali"/>
    <x v="20"/>
    <x v="1"/>
    <x v="4"/>
    <s v="120010"/>
    <s v="Tepung Easymix Pancake @1kg/pack"/>
    <n v="30"/>
    <s v="KG"/>
    <n v="30"/>
    <n v="1282050"/>
    <n v="0"/>
    <s v="Invoice"/>
    <s v="Sudah Jadi FJ"/>
    <s v=""/>
  </r>
  <r>
    <d v="2026-06-03T00:00:00"/>
    <d v="2026-06-02T00:00:00"/>
    <s v="SO-KS/2606/020197"/>
    <s v="MKS Bali"/>
    <x v="21"/>
    <x v="0"/>
    <x v="3"/>
    <s v="120009"/>
    <s v="Tepung Easymix Fish n Chips 1kg/pack"/>
    <n v="10"/>
    <s v="KG"/>
    <n v="10"/>
    <n v="361771.2"/>
    <n v="0"/>
    <s v="Invoice"/>
    <s v="Sudah Jadi FJ"/>
    <s v="customer bayar cash"/>
  </r>
  <r>
    <d v="2026-06-03T00:00:00"/>
    <d v="2026-06-02T00:00:00"/>
    <s v="SO-KS/2606/020197"/>
    <s v="MKS Bali"/>
    <x v="21"/>
    <x v="0"/>
    <x v="3"/>
    <s v="120011"/>
    <s v="Tepung Easymix Pisang Goreng @1kg/pack"/>
    <n v="10"/>
    <s v="KG"/>
    <n v="10"/>
    <n v="317626.5"/>
    <n v="0"/>
    <s v="Invoice"/>
    <s v="Sudah Jadi FJ"/>
    <s v="customer bayar cash"/>
  </r>
  <r>
    <d v="2026-06-03T00:00:00"/>
    <d v="2026-06-02T00:00:00"/>
    <s v="SO-KS/2606/020204"/>
    <s v="MKS Bali"/>
    <x v="22"/>
    <x v="1"/>
    <x v="6"/>
    <s v="PSJ0063"/>
    <s v="Amron Tenderloin Whole"/>
    <n v="6"/>
    <s v="KG"/>
    <n v="6.05"/>
    <n v="1119250"/>
    <n v="0.05"/>
    <s v="Invoice"/>
    <s v="Sudah Jadi FJ"/>
    <s v="kirim sales besok"/>
  </r>
  <r>
    <d v="2026-06-03T00:00:00"/>
    <d v="2026-06-02T00:00:00"/>
    <s v="SO-KS/2606/020206"/>
    <s v="MKS Bali"/>
    <x v="23"/>
    <x v="1"/>
    <x v="3"/>
    <s v="PLN0005"/>
    <s v="RICH CRÈME ND 08 1000G POUCH"/>
    <n v="60"/>
    <s v="POU"/>
    <n v="60"/>
    <n v="3371999.96"/>
    <n v="0"/>
    <s v="Invoice"/>
    <s v="Sudah Jadi FJ"/>
    <s v=""/>
  </r>
  <r>
    <d v="2026-06-03T00:00:00"/>
    <d v="2026-06-02T00:00:00"/>
    <s v="SO-KS/2606/020207"/>
    <s v="MKS Bali"/>
    <x v="24"/>
    <x v="0"/>
    <x v="8"/>
    <s v="120015"/>
    <s v="Tepung Japanese Tempura 1kg/pack"/>
    <n v="30"/>
    <s v="KG"/>
    <n v="30"/>
    <n v="1088910"/>
    <n v="0"/>
    <s v="Invoice"/>
    <s v="Sudah Jadi FJ"/>
    <s v=""/>
  </r>
  <r>
    <d v="2026-06-03T00:00:00"/>
    <d v="2026-06-02T00:00:00"/>
    <s v="SO-KS/2606/020208"/>
    <s v="MKS Bali"/>
    <x v="25"/>
    <x v="1"/>
    <x v="4"/>
    <s v="PLN0005"/>
    <s v="RICH CRÈME ND 08 1000G POUCH"/>
    <n v="96"/>
    <s v="POU"/>
    <n v="96"/>
    <n v="5395199.9299999997"/>
    <n v="0"/>
    <s v="Invoice"/>
    <s v="Sudah Jadi FJ"/>
    <s v=""/>
  </r>
  <r>
    <d v="2026-06-03T00:00:00"/>
    <d v="2026-06-02T00:00:00"/>
    <s v="SO-KS/2606/020209"/>
    <s v="MKS Bali"/>
    <x v="26"/>
    <x v="0"/>
    <x v="3"/>
    <s v="080241"/>
    <s v="THE ALTERNATIVE Barista Almond Milk 1 Lt"/>
    <n v="12"/>
    <s v="PCS"/>
    <n v="12"/>
    <n v="559440"/>
    <n v="0"/>
    <s v="Invoice"/>
    <s v="Sudah Jadi FJ"/>
    <s v="Kirim ke Prema cargo Sanur"/>
  </r>
  <r>
    <d v="2026-06-03T00:00:00"/>
    <d v="2026-06-02T00:00:00"/>
    <s v="SO-KS/2606/020210"/>
    <s v="MKS Bali"/>
    <x v="22"/>
    <x v="1"/>
    <x v="6"/>
    <s v="SFM007"/>
    <s v="Tepung Double Zero @25Kg/Sack"/>
    <n v="4"/>
    <s v="SACK"/>
    <n v="4"/>
    <n v="1139999.99"/>
    <n v="0"/>
    <s v="Invoice"/>
    <s v="Sudah Jadi FJ"/>
    <s v=""/>
  </r>
  <r>
    <d v="2026-06-03T00:00:00"/>
    <d v="2026-06-02T00:00:00"/>
    <s v="SO-KS/2606/020211"/>
    <s v="MKS Bali"/>
    <x v="27"/>
    <x v="1"/>
    <x v="8"/>
    <s v="PSF0026"/>
    <s v="Tepung Double Zero Fusion 5Kg"/>
    <n v="2"/>
    <s v="BAG"/>
    <n v="2"/>
    <n v="180000"/>
    <n v="0"/>
    <s v="Invoice"/>
    <s v="Sudah Jadi FJ"/>
    <s v=""/>
  </r>
  <r>
    <d v="2026-06-03T00:00:00"/>
    <d v="2026-06-02T00:00:00"/>
    <s v="SO-KS/2606/020211"/>
    <s v="MKS Bali"/>
    <x v="27"/>
    <x v="1"/>
    <x v="8"/>
    <s v="120007"/>
    <s v="Tepung Double Zero 1kg/pack"/>
    <n v="20"/>
    <s v="KG"/>
    <n v="20"/>
    <n v="299999.92"/>
    <n v="0"/>
    <s v="Invoice"/>
    <s v="Sudah Jadi FJ"/>
    <s v=""/>
  </r>
  <r>
    <d v="2026-06-03T00:00:00"/>
    <d v="2026-06-02T00:00:00"/>
    <s v="SO-KS/2606/020211"/>
    <s v="MKS Bali"/>
    <x v="27"/>
    <x v="1"/>
    <x v="8"/>
    <s v="120014"/>
    <s v="Tepung Hime 1kg/pack"/>
    <n v="20"/>
    <s v="KG"/>
    <n v="20"/>
    <n v="329999.89"/>
    <n v="0"/>
    <s v="Invoice"/>
    <s v="Sudah Jadi FJ"/>
    <s v=""/>
  </r>
  <r>
    <d v="2026-06-03T00:00:00"/>
    <d v="2026-06-02T00:00:00"/>
    <s v="SO-KS/2606/020211"/>
    <s v="MKS Bali"/>
    <x v="27"/>
    <x v="1"/>
    <x v="8"/>
    <s v="120018"/>
    <s v="Tepung Ninja 1kg/pack"/>
    <n v="10"/>
    <s v="KG"/>
    <n v="10"/>
    <n v="154999.96"/>
    <n v="0"/>
    <s v="Invoice"/>
    <s v="Sudah Jadi FJ"/>
    <s v=""/>
  </r>
  <r>
    <d v="2026-06-03T00:00:00"/>
    <d v="2026-06-02T00:00:00"/>
    <s v="SO-KS/2606/020215"/>
    <s v="MKS Bali"/>
    <x v="28"/>
    <x v="1"/>
    <x v="1"/>
    <s v="SFM007"/>
    <s v="Tepung Double Zero @25Kg/Sack"/>
    <n v="12"/>
    <s v="SACK"/>
    <n v="12"/>
    <n v="3600000"/>
    <n v="0"/>
    <s v="Invoice"/>
    <s v="Sudah Jadi FJ"/>
    <s v="1 blok"/>
  </r>
  <r>
    <d v="2026-06-03T00:00:00"/>
    <d v="2026-06-02T00:00:00"/>
    <s v="SO-KS/2606/020216"/>
    <s v="MKS Bali"/>
    <x v="28"/>
    <x v="1"/>
    <x v="1"/>
    <s v="PPK0010"/>
    <s v="Block Red Cheddar Mix Cheese 5x2kg"/>
    <n v="2"/>
    <s v="KG"/>
    <n v="1.98"/>
    <n v="297000.01"/>
    <n v="-0.02"/>
    <s v="Invoice"/>
    <s v="Sudah Jadi FJ"/>
    <s v="1 blok"/>
  </r>
  <r>
    <d v="2026-06-03T00:00:00"/>
    <d v="2026-06-02T00:00:00"/>
    <s v="SO-KS/2606/020217"/>
    <s v="MKS Bali"/>
    <x v="29"/>
    <x v="1"/>
    <x v="9"/>
    <s v="SFM007"/>
    <s v="Tepung Double Zero @25Kg/Sack"/>
    <n v="1"/>
    <s v="SACK"/>
    <n v="1"/>
    <n v="300000.01"/>
    <n v="0"/>
    <s v="Invoice"/>
    <s v="Sudah Jadi FJ"/>
    <s v="DML  Kitchen Pastry D01260602003_x000a_.  jam operational Receiving 09.00 - 15.00 wita(pastikan dikirim saat jam tersebut)_x000a_"/>
  </r>
  <r>
    <d v="2026-06-03T00:00:00"/>
    <d v="2026-06-02T00:00:00"/>
    <s v="SO-KS/2606/020218"/>
    <s v="MKS Bali"/>
    <x v="30"/>
    <x v="1"/>
    <x v="3"/>
    <s v="080240"/>
    <s v="THE ALTERNATIVE Barista Oat Milk 1 Lt"/>
    <n v="12"/>
    <s v="PCS"/>
    <n v="12"/>
    <n v="559440"/>
    <n v="0"/>
    <s v="Invoice"/>
    <s v="Sudah Jadi FJ"/>
    <s v="kirim ke dalam Bandara Internasional, Terminal kedatangan depan Papi Mart"/>
  </r>
  <r>
    <d v="2026-06-03T00:00:00"/>
    <d v="2026-06-02T00:00:00"/>
    <s v="SO-KS/2606/020218"/>
    <s v="MKS Bali"/>
    <x v="30"/>
    <x v="1"/>
    <x v="3"/>
    <s v="080241"/>
    <s v="THE ALTERNATIVE Barista Almond Milk 1 Lt"/>
    <n v="12"/>
    <s v="PCS"/>
    <n v="12"/>
    <n v="559440"/>
    <n v="0"/>
    <s v="Invoice"/>
    <s v="Sudah Jadi FJ"/>
    <s v="kirim ke dalam Bandara Internasional, Terminal kedatangan depan Papi Mart"/>
  </r>
  <r>
    <d v="2026-06-03T00:00:00"/>
    <d v="2026-06-02T00:00:00"/>
    <s v="SO-KS/2606/020222"/>
    <s v="MKS Bali"/>
    <x v="31"/>
    <x v="0"/>
    <x v="1"/>
    <s v="PLN0002"/>
    <s v="RICH CREME WHIPING CREAM 800G POUCH"/>
    <n v="4"/>
    <s v="POU"/>
    <n v="4"/>
    <n v="360000"/>
    <n v="0"/>
    <s v="Invoice"/>
    <s v="Sudah Jadi FJ"/>
    <s v=""/>
  </r>
  <r>
    <d v="2026-06-03T00:00:00"/>
    <d v="2026-06-02T00:00:00"/>
    <s v="SO-KS/2606/020223"/>
    <s v="MKS Bali"/>
    <x v="32"/>
    <x v="1"/>
    <x v="0"/>
    <s v="080241"/>
    <s v="THE ALTERNATIVE Barista Almond Milk 1 Lt"/>
    <n v="5"/>
    <s v="PCS"/>
    <n v="5"/>
    <n v="233100"/>
    <n v="0"/>
    <s v="Invoice"/>
    <s v="Sudah Jadi FJ"/>
    <s v="BAR COFFEE"/>
  </r>
  <r>
    <d v="2026-06-03T00:00:00"/>
    <d v="2026-06-02T00:00:00"/>
    <s v="SO-KS/2606/020226"/>
    <s v="MKS Bali"/>
    <x v="33"/>
    <x v="0"/>
    <x v="6"/>
    <s v="SFM018"/>
    <s v="Tepung Ninja @25Kg/Sack"/>
    <n v="2"/>
    <s v="SACK"/>
    <n v="2"/>
    <n v="632700"/>
    <n v="0"/>
    <s v="Invoice"/>
    <s v="Sudah Jadi FJ"/>
    <s v=""/>
  </r>
  <r>
    <d v="2026-06-03T00:00:00"/>
    <d v="2026-06-02T00:00:00"/>
    <s v="SO-KS/2606/020227"/>
    <s v="MKS Bali"/>
    <x v="34"/>
    <x v="1"/>
    <x v="2"/>
    <s v="SFM007"/>
    <s v="Tepung Double Zero @25Kg/Sack"/>
    <n v="3"/>
    <s v="SACK"/>
    <n v="3"/>
    <n v="975000"/>
    <n v="0"/>
    <s v="Invoice"/>
    <s v="Sudah Jadi FJ"/>
    <s v="dikirim sebelum jam 3"/>
  </r>
  <r>
    <d v="2026-06-03T00:00:00"/>
    <d v="2026-06-02T00:00:00"/>
    <s v="SO-KS/2606/020229"/>
    <s v="MKS Bali"/>
    <x v="35"/>
    <x v="1"/>
    <x v="10"/>
    <s v="PLN0002"/>
    <s v="RICH CREME WHIPING CREAM 800G POUCH"/>
    <n v="10"/>
    <s v="POU"/>
    <n v="10"/>
    <n v="899999.99"/>
    <n v="0"/>
    <s v="Invoice"/>
    <s v="Sudah Jadi FJ"/>
    <s v=""/>
  </r>
  <r>
    <d v="2026-06-03T00:00:00"/>
    <d v="2026-06-02T00:00:00"/>
    <s v="SO-KS/2606/020231"/>
    <s v="MKS Bali"/>
    <x v="36"/>
    <x v="0"/>
    <x v="6"/>
    <s v="080239"/>
    <s v="THE ALTERNATIVE Barista Soy Milk 1 Lt"/>
    <n v="4"/>
    <s v="PCS"/>
    <n v="4"/>
    <n v="153846"/>
    <n v="0"/>
    <s v="Invoice"/>
    <s v="Sudah Jadi FJ"/>
    <s v=""/>
  </r>
  <r>
    <d v="2026-06-03T00:00:00"/>
    <d v="2026-06-02T00:00:00"/>
    <s v="SO-KS/2606/020232"/>
    <s v="MKS Bali"/>
    <x v="37"/>
    <x v="1"/>
    <x v="11"/>
    <s v="SFM018"/>
    <s v="Tepung Ninja @25Kg/Sack"/>
    <n v="150"/>
    <s v="SACK"/>
    <n v="150"/>
    <n v="38999999.299999997"/>
    <n v="0"/>
    <s v="Invoice"/>
    <s v="Sudah Jadi FJ"/>
    <s v="Dkirim besok ke Pabrik baru tuban"/>
  </r>
  <r>
    <d v="2026-06-03T00:00:00"/>
    <d v="2026-06-02T00:00:00"/>
    <s v="SO-KS/2606/020233"/>
    <s v="MKS Bali"/>
    <x v="38"/>
    <x v="1"/>
    <x v="7"/>
    <s v="PSJ0046"/>
    <s v="Allana Tenderloin Whole"/>
    <n v="80"/>
    <s v="KG"/>
    <n v="81.06"/>
    <n v="14996100"/>
    <n v="1.06"/>
    <s v="Invoice"/>
    <s v="Sudah Jadi FJ"/>
    <s v=""/>
  </r>
  <r>
    <d v="2026-06-03T00:00:00"/>
    <d v="2026-06-02T00:00:00"/>
    <s v="SO-KS/2606/020235"/>
    <s v="MKS Bali"/>
    <x v="39"/>
    <x v="0"/>
    <x v="1"/>
    <s v="SFM007"/>
    <s v="Tepung Double Zero @25Kg/Sack"/>
    <n v="2"/>
    <s v="SACK"/>
    <n v="2"/>
    <n v="654900"/>
    <n v="0"/>
    <s v="Invoice"/>
    <s v="Sudah Jadi FJ"/>
    <s v=""/>
  </r>
  <r>
    <d v="2026-06-03T00:00:00"/>
    <d v="2026-06-02T00:00:00"/>
    <s v="SO-KS/2606/020236"/>
    <s v="MKS Bali"/>
    <x v="40"/>
    <x v="0"/>
    <x v="4"/>
    <s v="120011"/>
    <s v="Tepung Easymix Pisang Goreng @1kg/pack"/>
    <n v="10"/>
    <s v="KG"/>
    <n v="10"/>
    <n v="327450"/>
    <n v="0"/>
    <s v="Invoice"/>
    <s v="Sudah Jadi FJ"/>
    <s v=""/>
  </r>
  <r>
    <d v="2026-06-03T00:00:00"/>
    <d v="2026-06-02T00:00:00"/>
    <s v="SO-KS/2606/020237"/>
    <s v="MKS Bali"/>
    <x v="41"/>
    <x v="0"/>
    <x v="9"/>
    <s v="SFM007"/>
    <s v="Tepung Double Zero @25Kg/Sack"/>
    <n v="4"/>
    <s v="SACK"/>
    <n v="4"/>
    <n v="1180000"/>
    <n v="0"/>
    <s v="Invoice"/>
    <s v="Sudah Jadi FJ"/>
    <s v=""/>
  </r>
  <r>
    <d v="2026-06-03T00:00:00"/>
    <d v="2026-06-02T00:00:00"/>
    <s v="SO-KS/2606/020238"/>
    <s v="MKS Bali"/>
    <x v="42"/>
    <x v="1"/>
    <x v="6"/>
    <s v="PSJ0007"/>
    <s v="Friboi Brazil Tenderloin Whole"/>
    <n v="4"/>
    <s v="KG"/>
    <n v="4.54"/>
    <n v="1589000"/>
    <n v="0.54"/>
    <s v="Invoice"/>
    <s v="Sudah Jadi FJ"/>
    <s v=" 2 loaf"/>
  </r>
  <r>
    <d v="2026-06-03T00:00:00"/>
    <d v="2026-06-02T00:00:00"/>
    <s v="SO-KS/2606/020239"/>
    <s v="MKS Bali"/>
    <x v="43"/>
    <x v="1"/>
    <x v="0"/>
    <s v="SFM007"/>
    <s v="Tepung Double Zero @25Kg/Sack"/>
    <n v="8"/>
    <s v="SACK"/>
    <n v="8"/>
    <n v="2619600"/>
    <n v="0"/>
    <s v="Invoice"/>
    <s v="Sudah Jadi FJ"/>
    <s v=""/>
  </r>
  <r>
    <d v="2026-06-03T00:00:00"/>
    <d v="2026-06-02T00:00:00"/>
    <s v="SO-KS/2606/020240"/>
    <s v="MKS Bali"/>
    <x v="44"/>
    <x v="0"/>
    <x v="5"/>
    <s v="080240"/>
    <s v="THE ALTERNATIVE Barista Oat Milk 1 Lt"/>
    <n v="120"/>
    <s v="PCS"/>
    <n v="120"/>
    <n v="5594400"/>
    <n v="0"/>
    <s v="Invoice"/>
    <s v="Sudah Jadi FJ"/>
    <s v=""/>
  </r>
  <r>
    <d v="2026-06-03T00:00:00"/>
    <d v="2026-06-02T00:00:00"/>
    <s v="SO-KS/2606/020242"/>
    <s v="MKS Bali"/>
    <x v="45"/>
    <x v="0"/>
    <x v="4"/>
    <s v="PLN0005"/>
    <s v="RICH CRÈME ND 08 1000G POUCH"/>
    <n v="12"/>
    <s v="POU"/>
    <n v="12"/>
    <n v="674400.12"/>
    <n v="0"/>
    <s v="Invoice"/>
    <s v="Sudah Jadi FJ"/>
    <s v=""/>
  </r>
  <r>
    <d v="2026-06-03T00:00:00"/>
    <d v="2026-06-02T00:00:00"/>
    <s v="SO-KS/2606/020244"/>
    <s v="MKS Bali"/>
    <x v="46"/>
    <x v="0"/>
    <x v="4"/>
    <s v="PLN0005"/>
    <s v="RICH CRÈME ND 08 1000G POUCH"/>
    <n v="12"/>
    <s v="POU"/>
    <n v="12"/>
    <n v="674400.12"/>
    <n v="0"/>
    <s v="Invoice"/>
    <s v="Sudah Jadi FJ"/>
    <s v=""/>
  </r>
  <r>
    <d v="2026-06-03T00:00:00"/>
    <d v="2026-06-02T00:00:00"/>
    <s v="SO-KS/2606/020245"/>
    <s v="MKS Bali"/>
    <x v="47"/>
    <x v="0"/>
    <x v="7"/>
    <s v="SFM007"/>
    <s v="Tepung Double Zero @25Kg/Sack"/>
    <n v="2"/>
    <s v="SACK"/>
    <n v="2"/>
    <n v="570000"/>
    <n v="0"/>
    <s v="Invoice"/>
    <s v="Sudah Jadi FJ"/>
    <s v=""/>
  </r>
  <r>
    <d v="2026-06-03T00:00:00"/>
    <d v="2026-06-02T00:00:00"/>
    <s v="SO-KS/2606/020248"/>
    <s v="MKS Bali"/>
    <x v="48"/>
    <x v="1"/>
    <x v="1"/>
    <s v="SFM007"/>
    <s v="Tepung Double Zero @25Kg/Sack"/>
    <n v="2"/>
    <s v="SACK"/>
    <n v="2"/>
    <n v="600000"/>
    <n v="0"/>
    <s v="Invoice"/>
    <s v="Sudah Jadi FJ"/>
    <s v=""/>
  </r>
  <r>
    <d v="2026-06-03T00:00:00"/>
    <d v="2026-06-02T00:00:00"/>
    <s v="SO-KS/2606/020249"/>
    <s v="MKS Bali"/>
    <x v="49"/>
    <x v="1"/>
    <x v="3"/>
    <s v="080241"/>
    <s v="THE ALTERNATIVE Barista Almond Milk 1 Lt"/>
    <n v="12"/>
    <s v="PCS"/>
    <n v="12"/>
    <n v="559440"/>
    <n v="0"/>
    <s v="Invoice"/>
    <s v="Sudah Jadi FJ"/>
    <s v="Kirim ke Load Dock Internasional"/>
  </r>
  <r>
    <d v="2026-06-03T00:00:00"/>
    <d v="2026-06-02T00:00:00"/>
    <s v="SO-KS/2606/020249"/>
    <s v="MKS Bali"/>
    <x v="49"/>
    <x v="1"/>
    <x v="3"/>
    <s v="080240"/>
    <s v="THE ALTERNATIVE Barista Oat Milk 1 Lt"/>
    <n v="24"/>
    <s v="PCS"/>
    <n v="24"/>
    <n v="1118880"/>
    <n v="0"/>
    <s v="Invoice"/>
    <s v="Sudah Jadi FJ"/>
    <s v="Kirim ke Load Dock Internasional"/>
  </r>
  <r>
    <d v="2026-06-03T00:00:00"/>
    <d v="2026-06-02T00:00:00"/>
    <s v="SO-KS/2606/020250"/>
    <s v="MKS Bali"/>
    <x v="50"/>
    <x v="1"/>
    <x v="1"/>
    <s v="120014"/>
    <s v="Tepung Hime 1kg/pack"/>
    <n v="20"/>
    <s v="KG"/>
    <n v="20"/>
    <n v="319999.90000000002"/>
    <n v="0"/>
    <s v="Invoice"/>
    <s v="Sudah Jadi FJ"/>
    <s v=""/>
  </r>
  <r>
    <d v="2026-06-03T00:00:00"/>
    <d v="2026-06-02T00:00:00"/>
    <s v="SO-KS/2606/020252"/>
    <s v="MKS Bali"/>
    <x v="51"/>
    <x v="0"/>
    <x v="1"/>
    <s v="SFM007"/>
    <s v="Tepung Double Zero @25Kg/Sack"/>
    <n v="1"/>
    <s v="SACK"/>
    <n v="1"/>
    <n v="327450"/>
    <n v="0"/>
    <s v="Invoice"/>
    <s v="Sudah Jadi FJ"/>
    <s v=""/>
  </r>
  <r>
    <d v="2026-06-03T00:00:00"/>
    <d v="2026-06-02T00:00:00"/>
    <s v="SO-KS/2606/020253"/>
    <s v="MKS Bali"/>
    <x v="52"/>
    <x v="1"/>
    <x v="1"/>
    <s v="SFM018"/>
    <s v="Tepung Ninja @25Kg/Sack"/>
    <n v="1"/>
    <s v="SACK"/>
    <n v="1"/>
    <n v="315000"/>
    <n v="0"/>
    <s v="Invoice"/>
    <s v="Sudah Jadi FJ"/>
    <s v=""/>
  </r>
  <r>
    <d v="2026-06-03T00:00:00"/>
    <d v="2026-06-02T00:00:00"/>
    <s v="SO-KS/2606/020256"/>
    <s v="MKS Bali"/>
    <x v="53"/>
    <x v="0"/>
    <x v="5"/>
    <s v="120010"/>
    <s v="Tepung Easymix Pancake @1kg/pack"/>
    <n v="5"/>
    <s v="KG"/>
    <n v="5"/>
    <n v="213675"/>
    <n v="0"/>
    <s v="Invoice"/>
    <s v="Sudah Jadi FJ"/>
    <s v=""/>
  </r>
  <r>
    <d v="2026-06-03T00:00:00"/>
    <d v="2026-06-02T00:00:00"/>
    <s v="SO-KS/2606/020257"/>
    <s v="MKS Bali"/>
    <x v="54"/>
    <x v="1"/>
    <x v="0"/>
    <s v="SFM007"/>
    <s v="Tepung Double Zero @25Kg/Sack"/>
    <n v="5"/>
    <s v="SACK"/>
    <n v="5"/>
    <n v="1375000"/>
    <n v="0"/>
    <s v="Invoice"/>
    <s v="Sudah Jadi FJ"/>
    <s v=""/>
  </r>
  <r>
    <d v="2026-06-03T00:00:00"/>
    <d v="2026-06-02T00:00:00"/>
    <s v="SO-KS/2606/020258"/>
    <s v="MKS Bali"/>
    <x v="55"/>
    <x v="1"/>
    <x v="0"/>
    <s v="SFM007"/>
    <s v="Tepung Double Zero @25Kg/Sack"/>
    <n v="5"/>
    <s v="SACK"/>
    <n v="5"/>
    <n v="1575000"/>
    <n v="0"/>
    <s v="Invoice"/>
    <s v="Sudah Jadi FJ"/>
    <s v=""/>
  </r>
  <r>
    <d v="2026-06-03T00:00:00"/>
    <d v="2026-06-02T00:00:00"/>
    <s v="SO-KS/2606/020262"/>
    <s v="MKS Bali"/>
    <x v="56"/>
    <x v="0"/>
    <x v="0"/>
    <s v="120009"/>
    <s v="Tepung Easymix Fish n Chips 1kg/pack"/>
    <n v="10"/>
    <s v="KG"/>
    <n v="10"/>
    <n v="372960"/>
    <n v="0"/>
    <s v="Invoice"/>
    <s v="Sudah Jadi FJ"/>
    <s v=""/>
  </r>
  <r>
    <d v="2026-06-03T00:00:00"/>
    <d v="2026-06-02T00:00:00"/>
    <s v="SO-KS/2606/020263"/>
    <s v="MKS Bali"/>
    <x v="57"/>
    <x v="1"/>
    <x v="7"/>
    <s v="SFM007"/>
    <s v="Tepung Double Zero @25Kg/Sack"/>
    <n v="3"/>
    <s v="SACK"/>
    <n v="3"/>
    <n v="839999.99"/>
    <n v="0"/>
    <s v="Invoice"/>
    <s v="Sudah Jadi FJ"/>
    <s v=""/>
  </r>
  <r>
    <d v="2026-06-03T00:00:00"/>
    <d v="2026-06-02T00:00:00"/>
    <s v="SO-KS/2606/020263"/>
    <s v="MKS Bali"/>
    <x v="57"/>
    <x v="1"/>
    <x v="7"/>
    <s v="120015"/>
    <s v="Tepung Japanese Tempura 1kg/pack"/>
    <n v="20"/>
    <s v="KG"/>
    <n v="20"/>
    <n v="660000.01"/>
    <n v="0"/>
    <s v="Invoice"/>
    <s v="Sudah Jadi FJ"/>
    <s v=""/>
  </r>
  <r>
    <d v="2026-06-03T00:00:00"/>
    <d v="2026-06-02T00:00:00"/>
    <s v="SO-KS/2606/020270"/>
    <s v="MKS Bali"/>
    <x v="58"/>
    <x v="0"/>
    <x v="1"/>
    <s v="SFM052"/>
    <s v="Inofa Heat Treated Wheat Flour SF 346 @25kg/sack"/>
    <n v="1"/>
    <s v="SACK"/>
    <n v="1"/>
    <n v="577200"/>
    <n v="0"/>
    <s v="Invoice"/>
    <s v="Sudah Jadi FJ"/>
    <s v=""/>
  </r>
  <r>
    <d v="2026-06-03T00:00:00"/>
    <d v="2026-06-02T00:00:00"/>
    <s v="SO-KS/2606/020273"/>
    <s v="MKS Bali"/>
    <x v="59"/>
    <x v="1"/>
    <x v="0"/>
    <s v="SFM007"/>
    <s v="Tepung Double Zero @25Kg/Sack"/>
    <n v="1"/>
    <s v="SACK"/>
    <n v="1"/>
    <n v="327450"/>
    <n v="0"/>
    <s v="Invoice"/>
    <s v="Sudah Jadi FJ"/>
    <s v=""/>
  </r>
  <r>
    <d v="2026-06-03T00:00:00"/>
    <d v="2026-06-02T00:00:00"/>
    <s v="SO-KS/2606/020274"/>
    <s v="MKS Bali"/>
    <x v="60"/>
    <x v="0"/>
    <x v="12"/>
    <s v="SFM007"/>
    <s v="Tepung Double Zero @25Kg/Sack"/>
    <n v="6"/>
    <s v="SACK"/>
    <n v="6"/>
    <n v="1680000"/>
    <n v="0"/>
    <s v="Invoice"/>
    <s v="Sudah Jadi FJ"/>
    <s v=""/>
  </r>
  <r>
    <d v="2026-06-03T00:00:00"/>
    <d v="2026-06-02T00:00:00"/>
    <s v="SO-KS/2606/020276"/>
    <s v="MKS Bali"/>
    <x v="61"/>
    <x v="1"/>
    <x v="6"/>
    <s v="SFM007"/>
    <s v="Tepung Double Zero @25Kg/Sack"/>
    <n v="6"/>
    <s v="SACK"/>
    <n v="6"/>
    <n v="1769999.99"/>
    <n v="0"/>
    <s v="Invoice"/>
    <s v="Sudah Jadi FJ"/>
    <s v=""/>
  </r>
  <r>
    <d v="2026-06-03T00:00:00"/>
    <d v="2026-06-02T00:00:00"/>
    <s v="SO-KS/2606/020278"/>
    <s v="MKS Bali"/>
    <x v="62"/>
    <x v="1"/>
    <x v="6"/>
    <s v="SFM007"/>
    <s v="Tepung Double Zero @25Kg/Sack"/>
    <n v="6"/>
    <s v="SACK"/>
    <n v="6"/>
    <n v="1680000"/>
    <n v="0"/>
    <s v="Invoice"/>
    <s v="Sudah Jadi FJ"/>
    <s v="kirim ke la favela"/>
  </r>
  <r>
    <d v="2026-06-03T00:00:00"/>
    <d v="2026-06-02T00:00:00"/>
    <s v="SO-KS/2606/020280"/>
    <s v="MKS Bali"/>
    <x v="63"/>
    <x v="1"/>
    <x v="4"/>
    <s v="SFM007"/>
    <s v="Tepung Double Zero @25Kg/Sack"/>
    <n v="5"/>
    <s v="SACK"/>
    <n v="5"/>
    <n v="1637250"/>
    <n v="0"/>
    <s v="Invoice"/>
    <s v="Sudah Jadi FJ"/>
    <s v=""/>
  </r>
  <r>
    <d v="2026-06-03T00:00:00"/>
    <d v="2026-06-02T00:00:00"/>
    <s v="SO-KS/2606/020280"/>
    <s v="MKS Bali"/>
    <x v="63"/>
    <x v="1"/>
    <x v="4"/>
    <s v="SFM009"/>
    <s v="Tepung Hime @25Kg/Sack"/>
    <n v="6"/>
    <s v="SACK"/>
    <n v="6"/>
    <n v="2131200"/>
    <n v="0"/>
    <s v="Invoice"/>
    <s v="Sudah Jadi FJ"/>
    <s v=""/>
  </r>
  <r>
    <d v="2026-06-03T00:00:00"/>
    <d v="2026-06-02T00:00:00"/>
    <s v="SO-KS/2606/020280"/>
    <s v="MKS Bali"/>
    <x v="63"/>
    <x v="1"/>
    <x v="4"/>
    <s v="SFM018"/>
    <s v="Tepung Ninja @25Kg/Sack"/>
    <n v="3"/>
    <s v="SACK"/>
    <n v="3"/>
    <n v="949050"/>
    <n v="0"/>
    <s v="Invoice"/>
    <s v="Sudah Jadi FJ"/>
    <s v=""/>
  </r>
  <r>
    <d v="2026-06-03T00:00:00"/>
    <d v="2026-06-02T00:00:00"/>
    <s v="SO-KS/2606/020281"/>
    <s v="MKS Bali"/>
    <x v="64"/>
    <x v="1"/>
    <x v="2"/>
    <s v="SFM052"/>
    <s v="Inofa Heat Treated Wheat Flour SF 346 @25kg/sack"/>
    <n v="1"/>
    <s v="SACK"/>
    <n v="1"/>
    <n v="560000"/>
    <n v="0"/>
    <s v="Invoice"/>
    <s v="Sudah Jadi FJ"/>
    <s v=""/>
  </r>
  <r>
    <d v="2026-06-03T00:00:00"/>
    <d v="2026-06-02T00:00:00"/>
    <s v="SO-KS/2606/020282"/>
    <s v="MKS Bali"/>
    <x v="65"/>
    <x v="1"/>
    <x v="2"/>
    <s v="SFM007"/>
    <s v="Tepung Double Zero @25Kg/Sack"/>
    <n v="1"/>
    <s v="SACK"/>
    <n v="1"/>
    <n v="280000"/>
    <n v="0"/>
    <s v="Invoice"/>
    <s v="Sudah Jadi FJ"/>
    <s v=""/>
  </r>
  <r>
    <d v="2026-06-03T00:00:00"/>
    <d v="2026-06-02T00:00:00"/>
    <s v="SO-KS/2606/020283"/>
    <s v="MKS Bali"/>
    <x v="66"/>
    <x v="1"/>
    <x v="3"/>
    <s v="PSF0002"/>
    <s v="Tepung Tali Emas Regular 055 @25kg/sack"/>
    <n v="3"/>
    <s v="SACK"/>
    <n v="3"/>
    <n v="690000.01"/>
    <n v="0"/>
    <s v="Invoice"/>
    <s v="Sudah Jadi FJ"/>
    <s v=""/>
  </r>
  <r>
    <d v="2026-06-03T00:00:00"/>
    <d v="2026-06-02T00:00:00"/>
    <s v="SO-KS/2606/020283"/>
    <s v="MKS Bali"/>
    <x v="66"/>
    <x v="1"/>
    <x v="3"/>
    <s v="SFM007"/>
    <s v="Tepung Double Zero @25Kg/Sack"/>
    <n v="3"/>
    <s v="SACK"/>
    <n v="3"/>
    <n v="982350"/>
    <n v="0"/>
    <s v="Invoice"/>
    <s v="Sudah Jadi FJ"/>
    <s v=""/>
  </r>
  <r>
    <d v="2026-06-03T00:00:00"/>
    <d v="2026-06-02T00:00:00"/>
    <s v="SO-KS/2606/020284"/>
    <s v="MKS Bali"/>
    <x v="67"/>
    <x v="1"/>
    <x v="6"/>
    <s v="SFM009"/>
    <s v="Tepung Hime @25Kg/Sack"/>
    <n v="2"/>
    <s v="SACK"/>
    <n v="2"/>
    <n v="570000"/>
    <n v="0"/>
    <s v="Invoice"/>
    <s v="Sudah Jadi FJ"/>
    <s v=""/>
  </r>
  <r>
    <d v="2026-06-03T00:00:00"/>
    <d v="2026-06-02T00:00:00"/>
    <s v="SO-KS/2606/020287"/>
    <s v="MKS Bali"/>
    <x v="68"/>
    <x v="0"/>
    <x v="9"/>
    <s v="120007"/>
    <s v="Tepung Double Zero 1kg/pack"/>
    <n v="100"/>
    <s v="KG"/>
    <n v="100"/>
    <n v="1599999.51"/>
    <n v="0"/>
    <s v="Invoice"/>
    <s v="Sudah Jadi FJ"/>
    <s v="LOKASI KIRIM : JL. KAPTEN AGUNG NO. 02"/>
  </r>
  <r>
    <d v="2026-06-03T00:00:00"/>
    <d v="2026-06-02T00:00:00"/>
    <s v="SO-KS/2606/020288"/>
    <s v="MKS Bali"/>
    <x v="69"/>
    <x v="0"/>
    <x v="6"/>
    <s v="SFM007"/>
    <s v="Tepung Double Zero @25Kg/Sack"/>
    <n v="1"/>
    <s v="SACK"/>
    <n v="1"/>
    <n v="320000"/>
    <n v="0"/>
    <s v="Invoice"/>
    <s v="Sudah Jadi FJ"/>
    <s v=""/>
  </r>
  <r>
    <d v="2026-06-03T00:00:00"/>
    <d v="2026-06-02T00:00:00"/>
    <s v="SO-KS/2606/020289"/>
    <s v="MKS Bali"/>
    <x v="70"/>
    <x v="1"/>
    <x v="6"/>
    <s v="SFM007"/>
    <s v="Tepung Double Zero @25Kg/Sack"/>
    <n v="1"/>
    <s v="SACK"/>
    <n v="1"/>
    <n v="300000"/>
    <n v="0"/>
    <s v="Invoice"/>
    <s v="Sudah Jadi FJ"/>
    <s v=""/>
  </r>
  <r>
    <d v="2026-06-03T00:00:00"/>
    <d v="2026-06-02T00:00:00"/>
    <s v="SO-KS/2606/020290"/>
    <s v="MKS Bali"/>
    <x v="71"/>
    <x v="1"/>
    <x v="6"/>
    <s v="SFM007"/>
    <s v="Tepung Double Zero @25Kg/Sack"/>
    <n v="2"/>
    <s v="SACK"/>
    <n v="2"/>
    <n v="649999.99"/>
    <n v="0"/>
    <s v="Invoice"/>
    <s v="Sudah Jadi FJ"/>
    <s v=""/>
  </r>
  <r>
    <d v="2026-06-03T00:00:00"/>
    <d v="2026-06-02T00:00:00"/>
    <s v="SO-KS/2606/020291"/>
    <s v="MKS Bali"/>
    <x v="72"/>
    <x v="0"/>
    <x v="9"/>
    <s v="PPK0010"/>
    <s v="Block Red Cheddar Mix Cheese 5x2kg"/>
    <n v="4"/>
    <s v="KG"/>
    <n v="3.98"/>
    <n v="597000.02"/>
    <n v="-0.02"/>
    <s v="Invoice"/>
    <s v="Sudah Jadi FJ"/>
    <s v=" 2 blok"/>
  </r>
  <r>
    <d v="2026-06-03T00:00:00"/>
    <d v="2026-06-02T00:00:00"/>
    <s v="SO-KS/2606/020292"/>
    <s v="MKS Bali"/>
    <x v="73"/>
    <x v="1"/>
    <x v="6"/>
    <s v="PSJ0228"/>
    <s v="Premium Minced Beef (2.5kg/pack)"/>
    <n v="10"/>
    <s v="KG"/>
    <n v="10"/>
    <n v="1000000"/>
    <n v="0"/>
    <s v="Invoice"/>
    <s v="Sudah Jadi FJ"/>
    <s v="1 box"/>
  </r>
  <r>
    <d v="2026-06-03T00:00:00"/>
    <d v="2026-06-02T00:00:00"/>
    <s v="SO-KS/2606/020293"/>
    <s v="MKS Bali"/>
    <x v="74"/>
    <x v="0"/>
    <x v="12"/>
    <s v="120018"/>
    <s v="Tepung Ninja 1kg/pack"/>
    <n v="10"/>
    <s v="KG"/>
    <n v="10"/>
    <n v="154999.96"/>
    <n v="0"/>
    <s v="Invoice"/>
    <s v="Sudah Jadi FJ"/>
    <s v=""/>
  </r>
  <r>
    <d v="2026-06-03T00:00:00"/>
    <d v="2026-06-02T00:00:00"/>
    <s v="SO-KS/2606/020293"/>
    <s v="MKS Bali"/>
    <x v="74"/>
    <x v="0"/>
    <x v="12"/>
    <s v="120007"/>
    <s v="Tepung Double Zero 1kg/pack"/>
    <n v="10"/>
    <s v="KG"/>
    <n v="10"/>
    <n v="159999.95000000001"/>
    <n v="0"/>
    <s v="Invoice"/>
    <s v="Sudah Jadi FJ"/>
    <s v=""/>
  </r>
  <r>
    <d v="2026-06-03T00:00:00"/>
    <d v="2026-06-02T00:00:00"/>
    <s v="SO-KS/2606/020293"/>
    <s v="MKS Bali"/>
    <x v="74"/>
    <x v="0"/>
    <x v="12"/>
    <s v="120014"/>
    <s v="Tepung Hime 1kg/pack"/>
    <n v="10"/>
    <s v="KG"/>
    <n v="10"/>
    <n v="172050"/>
    <n v="0"/>
    <s v="Invoice"/>
    <s v="Sudah Jadi FJ"/>
    <s v=""/>
  </r>
  <r>
    <d v="2026-06-03T00:00:00"/>
    <d v="2026-06-02T00:00:00"/>
    <s v="SO-KS/2606/020294"/>
    <s v="MKS Bali"/>
    <x v="75"/>
    <x v="1"/>
    <x v="5"/>
    <s v="SFM007"/>
    <s v="Tepung Double Zero @25Kg/Sack"/>
    <n v="3"/>
    <s v="SACK"/>
    <n v="3"/>
    <n v="825000"/>
    <n v="0"/>
    <s v="Invoice"/>
    <s v="Sudah Jadi FJ"/>
    <s v=""/>
  </r>
  <r>
    <d v="2026-06-03T00:00:00"/>
    <d v="2026-06-02T00:00:00"/>
    <s v="SO-KS/2606/020295"/>
    <s v="MKS Bali"/>
    <x v="76"/>
    <x v="0"/>
    <x v="5"/>
    <s v="PSF0014"/>
    <s v="Tepung 00 Fusion @25Kg"/>
    <n v="8"/>
    <s v="SACK"/>
    <n v="8"/>
    <n v="2681760"/>
    <n v="0"/>
    <s v="Invoice"/>
    <s v="Sudah Jadi FJ"/>
    <s v="Di kirim  pagi  barang urgent"/>
  </r>
  <r>
    <d v="2026-06-03T00:00:00"/>
    <d v="2026-06-02T00:00:00"/>
    <s v="SO-KS/2606/020296"/>
    <s v="MKS Bali"/>
    <x v="44"/>
    <x v="0"/>
    <x v="5"/>
    <s v="080165"/>
    <s v="EMBORG Cream Cheese 200 Gr"/>
    <n v="72"/>
    <s v="PACK"/>
    <n v="12"/>
    <n v="559440"/>
    <n v="-60"/>
    <s v="Invoice"/>
    <s v="Sudah Jadi FJ"/>
    <s v=" 6 dus  ( 72 pack)"/>
  </r>
  <r>
    <d v="2026-06-03T00:00:00"/>
    <d v="2026-06-02T00:00:00"/>
    <s v="SO-KS/2606/020297"/>
    <s v="MKS Bali"/>
    <x v="77"/>
    <x v="0"/>
    <x v="5"/>
    <s v="120020"/>
    <s v="Tepung Yokozuna 1kg/pack"/>
    <n v="10"/>
    <s v="KG"/>
    <n v="10"/>
    <n v="144999.97"/>
    <n v="0"/>
    <s v="Invoice"/>
    <s v="Sudah Jadi FJ"/>
    <s v="di kirim ke central kitchen butterman di dalung"/>
  </r>
  <r>
    <d v="2026-06-03T00:00:00"/>
    <d v="2026-06-02T00:00:00"/>
    <s v="SO-KS/2606/020298"/>
    <s v="MKS Bali"/>
    <x v="78"/>
    <x v="1"/>
    <x v="4"/>
    <s v="PSF0014"/>
    <s v="Tepung 00 Fusion @25Kg"/>
    <n v="10"/>
    <s v="SACK"/>
    <n v="10"/>
    <n v="2879999.99"/>
    <n v="0"/>
    <s v="Invoice"/>
    <s v="Sudah Jadi FJ"/>
    <s v=""/>
  </r>
  <r>
    <d v="2026-06-03T00:00:00"/>
    <d v="2026-06-02T00:00:00"/>
    <s v="SO-KS/2606/020299"/>
    <s v="MKS Bali"/>
    <x v="79"/>
    <x v="0"/>
    <x v="5"/>
    <s v="120006"/>
    <s v="Tepung Crispy Ala Kentucky 1kg/pack"/>
    <n v="2"/>
    <s v="KG"/>
    <n v="2"/>
    <n v="65490"/>
    <n v="0"/>
    <s v="Invoice"/>
    <s v="Sudah Jadi FJ"/>
    <s v=""/>
  </r>
  <r>
    <d v="2026-06-03T00:00:00"/>
    <d v="2026-06-02T00:00:00"/>
    <s v="SO-KS/2606/020300"/>
    <s v="MKS Bali"/>
    <x v="80"/>
    <x v="0"/>
    <x v="7"/>
    <s v="PSF0003"/>
    <s v="Tepung Tali Emas SP 022 @25kg/sack"/>
    <n v="2"/>
    <s v="SACK"/>
    <n v="2"/>
    <n v="470000.02"/>
    <n v="0"/>
    <s v="Invoice"/>
    <s v="Sudah Jadi FJ"/>
    <s v=""/>
  </r>
  <r>
    <d v="2026-06-03T00:00:00"/>
    <d v="2026-06-02T00:00:00"/>
    <s v="SO-KS/2606/020301"/>
    <s v="MKS Bali"/>
    <x v="81"/>
    <x v="1"/>
    <x v="5"/>
    <s v="PSF0014"/>
    <s v="Tepung 00 Fusion @25Kg"/>
    <n v="6"/>
    <s v="SACK"/>
    <n v="6"/>
    <n v="1710000.02"/>
    <n v="0"/>
    <s v="Invoice"/>
    <s v="Sudah Jadi FJ"/>
    <s v=""/>
  </r>
  <r>
    <d v="2026-06-03T00:00:00"/>
    <d v="2026-06-02T00:00:00"/>
    <s v="SO-KS/2606/020302"/>
    <s v="MKS Bali"/>
    <x v="82"/>
    <x v="1"/>
    <x v="2"/>
    <s v="SFM009"/>
    <s v="Tepung Hime @25Kg/Sack"/>
    <n v="7"/>
    <s v="SACK"/>
    <n v="7"/>
    <n v="2486400"/>
    <n v="0"/>
    <s v="Invoice"/>
    <s v="Sudah Jadi FJ"/>
    <s v=""/>
  </r>
  <r>
    <d v="2026-06-03T00:00:00"/>
    <d v="2026-06-02T00:00:00"/>
    <s v="SO-KS/2606/020303"/>
    <s v="MKS Bali"/>
    <x v="83"/>
    <x v="0"/>
    <x v="5"/>
    <s v="SFM007"/>
    <s v="Tepung Double Zero @25Kg/Sack"/>
    <n v="6"/>
    <s v="SACK"/>
    <n v="6"/>
    <n v="1964700"/>
    <n v="0"/>
    <s v="Invoice"/>
    <s v="Sudah Jadi FJ"/>
    <s v=""/>
  </r>
  <r>
    <d v="2026-06-03T00:00:00"/>
    <d v="2026-06-02T00:00:00"/>
    <s v="SO-KS/2606/020306"/>
    <s v="MKS Bali"/>
    <x v="84"/>
    <x v="0"/>
    <x v="7"/>
    <s v="SFM007"/>
    <s v="Tepung Double Zero @25Kg/Sack"/>
    <n v="1"/>
    <s v="SACK"/>
    <n v="1"/>
    <n v="320000"/>
    <n v="0"/>
    <s v="Invoice"/>
    <s v="Sudah Jadi FJ"/>
    <s v=""/>
  </r>
  <r>
    <d v="2026-06-03T00:00:00"/>
    <d v="2026-06-02T00:00:00"/>
    <s v="SO-KS/2606/020307"/>
    <s v="MKS Bali"/>
    <x v="85"/>
    <x v="1"/>
    <x v="1"/>
    <s v="PPA0133"/>
    <s v="EMBORG Perfect Pasta 1L"/>
    <n v="10"/>
    <s v="PCS"/>
    <n v="10"/>
    <n v="610000.06000000006"/>
    <n v="0"/>
    <s v="Invoice"/>
    <s v="Sudah Jadi FJ"/>
    <s v=""/>
  </r>
  <r>
    <d v="2026-06-03T00:00:00"/>
    <d v="2026-06-02T00:00:00"/>
    <s v="SO-KS/2606/020307"/>
    <s v="MKS Bali"/>
    <x v="85"/>
    <x v="1"/>
    <x v="1"/>
    <s v="PSF0014"/>
    <s v="Tepung 00 Fusion @25Kg"/>
    <n v="6"/>
    <s v="SACK"/>
    <n v="6"/>
    <n v="1740000"/>
    <n v="0"/>
    <s v="Invoice"/>
    <s v="Sudah Jadi FJ"/>
    <s v=""/>
  </r>
  <r>
    <d v="2026-06-03T00:00:00"/>
    <d v="2026-06-02T00:00:00"/>
    <s v="SO-KS/2606/020310"/>
    <s v="MKS Bali"/>
    <x v="86"/>
    <x v="0"/>
    <x v="12"/>
    <s v="120010"/>
    <s v="Tepung Easymix Pancake @1kg/pack"/>
    <n v="20"/>
    <s v="KG"/>
    <n v="20"/>
    <n v="800000.09"/>
    <n v="0"/>
    <s v="Invoice"/>
    <s v="Sudah Jadi FJ"/>
    <s v=""/>
  </r>
  <r>
    <d v="2026-06-03T00:00:00"/>
    <d v="2026-06-02T00:00:00"/>
    <s v="SO-KS/2606/020311"/>
    <s v="MKS Bali"/>
    <x v="87"/>
    <x v="1"/>
    <x v="7"/>
    <s v="SFM009"/>
    <s v="Tepung Hime @25Kg/Sack"/>
    <n v="6"/>
    <s v="SACK"/>
    <n v="6"/>
    <n v="2131200"/>
    <n v="0"/>
    <s v="Invoice"/>
    <s v="Sudah Jadi FJ"/>
    <s v=""/>
  </r>
  <r>
    <d v="2026-06-03T00:00:00"/>
    <d v="2026-06-02T00:00:00"/>
    <s v="SO-KS/2606/020313"/>
    <s v="MKS Bali"/>
    <x v="88"/>
    <x v="1"/>
    <x v="9"/>
    <s v="SFM007"/>
    <s v="Tepung Double Zero @25Kg/Sack"/>
    <n v="3"/>
    <s v="SACK"/>
    <n v="3"/>
    <n v="930000"/>
    <n v="0"/>
    <s v="Invoice"/>
    <s v="Sudah Jadi FJ"/>
    <s v=""/>
  </r>
  <r>
    <d v="2026-06-03T00:00:00"/>
    <d v="2026-06-02T00:00:00"/>
    <s v="SO-KS/2606/020313"/>
    <s v="MKS Bali"/>
    <x v="88"/>
    <x v="1"/>
    <x v="9"/>
    <s v="PSF0005"/>
    <s v="Tepung Pita Emas @25Kg/Sack"/>
    <n v="1"/>
    <s v="SACK"/>
    <n v="1"/>
    <n v="255300"/>
    <n v="0"/>
    <s v="Invoice"/>
    <s v="Sudah Jadi FJ"/>
    <s v=""/>
  </r>
  <r>
    <d v="2026-06-03T00:00:00"/>
    <d v="2026-06-02T00:00:00"/>
    <s v="SO-KS/2606/020314"/>
    <s v="MKS Bali"/>
    <x v="89"/>
    <x v="1"/>
    <x v="3"/>
    <s v="PLN0005"/>
    <s v="RICH CRÈME ND 08 1000G POUCH"/>
    <n v="132"/>
    <s v="POU"/>
    <n v="132"/>
    <n v="7421238"/>
    <n v="0"/>
    <s v="Invoice"/>
    <s v="Sudah Jadi FJ"/>
    <s v="kirim ke Jln Nyangnyang sari Kuta"/>
  </r>
  <r>
    <d v="2026-06-03T00:00:00"/>
    <d v="2026-06-02T00:00:00"/>
    <s v="SO-KS/2606/020315"/>
    <s v="MKS Bali"/>
    <x v="90"/>
    <x v="0"/>
    <x v="8"/>
    <s v="120007"/>
    <s v="Tepung Double Zero 1kg/pack"/>
    <n v="100"/>
    <s v="KG"/>
    <n v="100"/>
    <n v="1599999.51"/>
    <n v="0"/>
    <s v="Invoice"/>
    <s v="Sudah Jadi FJ"/>
    <s v=""/>
  </r>
  <r>
    <d v="2026-06-03T00:00:00"/>
    <d v="2026-06-02T00:00:00"/>
    <s v="SO-KS/2606/020316"/>
    <s v="MKS Bali"/>
    <x v="91"/>
    <x v="0"/>
    <x v="0"/>
    <s v="120007"/>
    <s v="Tepung Double Zero 1kg/pack"/>
    <n v="30"/>
    <s v="KG"/>
    <n v="30"/>
    <n v="499500"/>
    <n v="0"/>
    <s v="Invoice"/>
    <s v="Sudah Jadi FJ"/>
    <s v=""/>
  </r>
  <r>
    <d v="2026-06-03T00:00:00"/>
    <d v="2026-06-02T00:00:00"/>
    <s v="SO-KS/2606/020317"/>
    <s v="MKS Bali"/>
    <x v="92"/>
    <x v="0"/>
    <x v="5"/>
    <s v="PSF0005"/>
    <s v="Tepung Pita Emas @25Kg/Sack"/>
    <n v="1"/>
    <s v="SACK"/>
    <n v="1"/>
    <n v="255300"/>
    <n v="0"/>
    <s v="Invoice"/>
    <s v="Sudah Jadi FJ"/>
    <s v="di kirim pagian"/>
  </r>
  <r>
    <d v="2026-06-03T00:00:00"/>
    <d v="2026-06-02T00:00:00"/>
    <s v="SO-KS/2606/020319"/>
    <s v="MKS Bali"/>
    <x v="93"/>
    <x v="1"/>
    <x v="7"/>
    <s v="PSJ0228"/>
    <s v="Premium Minced Beef (2.5kg/pack)"/>
    <n v="7.5"/>
    <s v="KG"/>
    <n v="7.5"/>
    <n v="750000"/>
    <n v="0"/>
    <s v="Invoice"/>
    <s v="Sudah Jadi FJ"/>
    <s v="oasis 8 Loaf"/>
  </r>
  <r>
    <d v="2026-06-03T00:00:00"/>
    <d v="2026-06-02T00:00:00"/>
    <s v="SO-KS/2606/020319"/>
    <s v="MKS Bali"/>
    <x v="93"/>
    <x v="1"/>
    <x v="7"/>
    <s v="PSJ0007"/>
    <s v="Friboi Brazil Tenderloin Whole"/>
    <n v="16"/>
    <s v="KG"/>
    <n v="20.28"/>
    <n v="7098000"/>
    <n v="4.28"/>
    <s v="Invoice"/>
    <s v="Sudah Jadi FJ"/>
    <s v="oasis 8 Loaf"/>
  </r>
  <r>
    <d v="2026-06-03T00:00:00"/>
    <d v="2026-06-02T00:00:00"/>
    <s v="SO-KS/2606/020320"/>
    <s v="MKS Bali"/>
    <x v="93"/>
    <x v="1"/>
    <x v="7"/>
    <s v="PSJ0228"/>
    <s v="Premium Minced Beef (2.5kg/pack)"/>
    <n v="7.5"/>
    <s v="KG"/>
    <n v="7.5"/>
    <n v="750000"/>
    <n v="0"/>
    <s v="Invoice"/>
    <s v="Sudah Jadi FJ"/>
    <s v="cafe. 8 loaf"/>
  </r>
  <r>
    <d v="2026-06-03T00:00:00"/>
    <d v="2026-06-02T00:00:00"/>
    <s v="SO-KS/2606/020320"/>
    <s v="MKS Bali"/>
    <x v="93"/>
    <x v="1"/>
    <x v="7"/>
    <s v="PSJ0007"/>
    <s v="Friboi Brazil Tenderloin Whole"/>
    <n v="16"/>
    <s v="KG"/>
    <n v="19.3"/>
    <n v="6755000"/>
    <n v="3.3"/>
    <s v="Invoice"/>
    <s v="Sudah Jadi FJ"/>
    <s v="cafe. 8 loaf"/>
  </r>
  <r>
    <d v="2026-06-03T00:00:00"/>
    <d v="2026-06-02T00:00:00"/>
    <s v="SO-KS/2606/020321"/>
    <s v="MKS Bali"/>
    <x v="94"/>
    <x v="1"/>
    <x v="6"/>
    <s v="120007"/>
    <s v="Tepung Double Zero 1kg/pack"/>
    <n v="1"/>
    <s v="KG"/>
    <n v="1"/>
    <n v="16650"/>
    <n v="0"/>
    <s v="Invoice"/>
    <s v="Sudah Jadi FJ"/>
    <s v=""/>
  </r>
  <r>
    <d v="2026-06-03T00:00:00"/>
    <d v="2026-06-02T00:00:00"/>
    <s v="SO-KS/2606/020322"/>
    <s v="MKS Bali"/>
    <x v="1"/>
    <x v="1"/>
    <x v="1"/>
    <s v="PPK0010"/>
    <s v="Block Red Cheddar Mix Cheese 5x2kg"/>
    <n v="4"/>
    <s v="KG"/>
    <n v="4.08"/>
    <n v="571200.02"/>
    <n v="0.08"/>
    <s v="Invoice"/>
    <s v="Sudah Jadi FJ"/>
    <s v="2 loaf"/>
  </r>
  <r>
    <d v="2026-06-03T00:00:00"/>
    <d v="2026-06-02T00:00:00"/>
    <s v="SO-KS/2606/020323"/>
    <s v="MKS Bali"/>
    <x v="95"/>
    <x v="1"/>
    <x v="13"/>
    <s v="020020"/>
    <s v="NESTLE Milo Activ-Go NPro 960Gr/Pack"/>
    <n v="16"/>
    <s v="PACK"/>
    <n v="16"/>
    <n v="1679999.99"/>
    <n v="0"/>
    <s v="Invoice"/>
    <s v="Sudah Jadi FJ"/>
    <s v=""/>
  </r>
  <r>
    <d v="2026-06-03T00:00:00"/>
    <d v="2026-06-02T00:00:00"/>
    <s v="SO-KS/2606/020323"/>
    <s v="MKS Bali"/>
    <x v="95"/>
    <x v="1"/>
    <x v="13"/>
    <s v="060013"/>
    <s v="Nestea Lemon Tea 1kg/Pack"/>
    <n v="24"/>
    <s v="PACK"/>
    <n v="24"/>
    <n v="1540800.06"/>
    <n v="0"/>
    <s v="Invoice"/>
    <s v="Sudah Jadi FJ"/>
    <s v=""/>
  </r>
  <r>
    <d v="2026-06-03T00:00:00"/>
    <d v="2026-06-02T00:00:00"/>
    <s v="SO-KS/2606/020323"/>
    <s v="MKS Bali"/>
    <x v="95"/>
    <x v="1"/>
    <x v="13"/>
    <s v="060015"/>
    <s v="Nestea Lychee Tea Npro 560gr/Pack"/>
    <n v="12"/>
    <s v="PACK"/>
    <n v="12"/>
    <n v="613200.05000000005"/>
    <n v="0"/>
    <s v="Invoice"/>
    <s v="Sudah Jadi FJ"/>
    <s v=""/>
  </r>
  <r>
    <d v="2026-06-03T00:00:00"/>
    <d v="2026-06-02T00:00:00"/>
    <s v="SO-KS/2606/020324"/>
    <s v="MKS Bali"/>
    <x v="96"/>
    <x v="1"/>
    <x v="5"/>
    <s v="SFM007"/>
    <s v="Tepung Double Zero @25Kg/Sack"/>
    <n v="1"/>
    <s v="SACK"/>
    <n v="1"/>
    <n v="290000"/>
    <n v="0"/>
    <s v="Invoice"/>
    <s v="Sudah Jadi FJ"/>
    <s v="di kirim ke produksi baru di umalas tegal cupek"/>
  </r>
  <r>
    <d v="2026-06-03T00:00:00"/>
    <d v="2026-06-02T00:00:00"/>
    <s v="SO-KS/2606/020324"/>
    <s v="MKS Bali"/>
    <x v="96"/>
    <x v="1"/>
    <x v="5"/>
    <s v="SFM009"/>
    <s v="Tepung Hime @25Kg/Sack"/>
    <n v="1"/>
    <s v="SACK"/>
    <n v="1"/>
    <n v="310000"/>
    <n v="0"/>
    <s v="Invoice"/>
    <s v="Sudah Jadi FJ"/>
    <s v="di kirim ke produksi baru di umalas tegal cupek"/>
  </r>
  <r>
    <d v="2026-06-03T00:00:00"/>
    <d v="2026-06-02T00:00:00"/>
    <s v="SO-KS/2606/020325"/>
    <s v="MKS Bali"/>
    <x v="97"/>
    <x v="0"/>
    <x v="7"/>
    <s v="PSJ0063"/>
    <s v="Amron Tenderloin Whole"/>
    <n v="4"/>
    <s v="KG"/>
    <n v="3.55"/>
    <n v="674500"/>
    <n v="-0.45"/>
    <s v="Invoice"/>
    <s v="Sudah Jadi FJ"/>
    <s v="2 loaf"/>
  </r>
  <r>
    <d v="2026-06-03T00:00:00"/>
    <d v="2026-06-02T00:00:00"/>
    <s v="SO-KS/2606/020326"/>
    <s v="MKS Bali"/>
    <x v="98"/>
    <x v="1"/>
    <x v="13"/>
    <s v="060015"/>
    <s v="Nestea Lychee Tea Npro 560gr/Pack"/>
    <n v="12"/>
    <s v="PACK"/>
    <n v="12"/>
    <n v="613200.05000000005"/>
    <n v="0"/>
    <s v="Invoice"/>
    <s v="Sudah Jadi FJ"/>
    <s v=""/>
  </r>
  <r>
    <d v="2026-06-03T00:00:00"/>
    <d v="2026-06-02T00:00:00"/>
    <s v="SO-KS/2606/020326"/>
    <s v="MKS Bali"/>
    <x v="98"/>
    <x v="1"/>
    <x v="13"/>
    <s v="060013"/>
    <s v="Nestea Lemon Tea 1kg/Pack"/>
    <n v="60"/>
    <s v="PACK"/>
    <n v="60"/>
    <n v="3852000.14"/>
    <n v="0"/>
    <s v="Invoice"/>
    <s v="Sudah Jadi FJ"/>
    <s v=""/>
  </r>
  <r>
    <d v="2026-06-03T00:00:00"/>
    <d v="2026-06-02T00:00:00"/>
    <s v="SO-KS/2606/020326"/>
    <s v="MKS Bali"/>
    <x v="98"/>
    <x v="1"/>
    <x v="13"/>
    <s v="020020"/>
    <s v="NESTLE Milo Activ-Go NPro 960Gr/Pack"/>
    <n v="16"/>
    <s v="PACK"/>
    <n v="16"/>
    <n v="1679999.99"/>
    <n v="0"/>
    <s v="Invoice"/>
    <s v="Sudah Jadi FJ"/>
    <s v=""/>
  </r>
  <r>
    <d v="2026-06-03T00:00:00"/>
    <d v="2026-06-02T00:00:00"/>
    <s v="SO-KS/2606/020327"/>
    <s v="MKS Bali"/>
    <x v="99"/>
    <x v="1"/>
    <x v="7"/>
    <s v="SFM007"/>
    <s v="Tepung Double Zero @25Kg/Sack"/>
    <n v="2"/>
    <s v="SACK"/>
    <n v="2"/>
    <n v="654900"/>
    <n v="0"/>
    <s v="Invoice"/>
    <s v="Sudah Jadi FJ"/>
    <s v="Nama OSTERIA LUNA dan kirimnya ke Osteria Luna"/>
  </r>
  <r>
    <d v="2026-06-03T00:00:00"/>
    <d v="2026-06-02T00:00:00"/>
    <s v="SO-KS/2606/020328"/>
    <s v="MKS Bali"/>
    <x v="100"/>
    <x v="1"/>
    <x v="1"/>
    <s v="PPA0092"/>
    <s v="Emborg Pizza Topping 2.3 Kg"/>
    <n v="50"/>
    <s v="KG"/>
    <n v="50.6"/>
    <n v="5059999.99"/>
    <n v="0.6"/>
    <s v="Invoice"/>
    <s v="Sudah Jadi FJ"/>
    <s v=" PO kitchen asian"/>
  </r>
  <r>
    <d v="2026-06-03T00:00:00"/>
    <d v="2026-06-02T00:00:00"/>
    <s v="SO-KS/2606/020330"/>
    <s v="MKS Bali"/>
    <x v="101"/>
    <x v="1"/>
    <x v="4"/>
    <s v="SFM007"/>
    <s v="Tepung Double Zero @25Kg/Sack"/>
    <n v="2"/>
    <s v="SACK"/>
    <n v="2"/>
    <n v="649999.99"/>
    <n v="0"/>
    <s v="Invoice"/>
    <s v="Sudah Jadi FJ"/>
    <s v=""/>
  </r>
  <r>
    <d v="2026-06-03T00:00:00"/>
    <d v="2026-06-02T00:00:00"/>
    <s v="SO-KS/2606/020331"/>
    <s v="MKS Bali"/>
    <x v="102"/>
    <x v="0"/>
    <x v="5"/>
    <s v="120007"/>
    <s v="Tepung Double Zero 1kg/pack"/>
    <n v="20"/>
    <s v="KG"/>
    <n v="20"/>
    <n v="333000"/>
    <n v="0"/>
    <s v="Invoice"/>
    <s v="Sudah Jadi FJ"/>
    <s v=""/>
  </r>
  <r>
    <d v="2026-06-03T00:00:00"/>
    <d v="2026-06-02T00:00:00"/>
    <s v="SO-KS/2606/020332"/>
    <s v="MKS Bali"/>
    <x v="103"/>
    <x v="0"/>
    <x v="8"/>
    <s v="120014"/>
    <s v="Tepung Hime 1kg/pack"/>
    <n v="20"/>
    <s v="KG"/>
    <n v="20"/>
    <n v="344100"/>
    <n v="0"/>
    <s v="Invoice"/>
    <s v="Sudah Jadi FJ"/>
    <s v=""/>
  </r>
  <r>
    <d v="2026-06-03T00:00:00"/>
    <d v="2026-06-02T00:00:00"/>
    <s v="SO-KS/2606/020332"/>
    <s v="MKS Bali"/>
    <x v="103"/>
    <x v="0"/>
    <x v="8"/>
    <s v="120015"/>
    <s v="Tepung Japanese Tempura 1kg/pack"/>
    <n v="10"/>
    <s v="KG"/>
    <n v="10"/>
    <n v="362970"/>
    <n v="0"/>
    <s v="Invoice"/>
    <s v="Sudah Jadi FJ"/>
    <s v=""/>
  </r>
  <r>
    <d v="2026-06-03T00:00:00"/>
    <d v="2026-06-02T00:00:00"/>
    <s v="SO-KS/2606/020332"/>
    <s v="MKS Bali"/>
    <x v="103"/>
    <x v="0"/>
    <x v="8"/>
    <s v="120007"/>
    <s v="Tepung Double Zero 1kg/pack"/>
    <n v="500"/>
    <s v="KG"/>
    <n v="500"/>
    <n v="7349998.2000000002"/>
    <n v="0"/>
    <s v="Invoice"/>
    <s v="Sudah Jadi FJ"/>
    <s v=""/>
  </r>
  <r>
    <d v="2026-06-03T00:00:00"/>
    <d v="2026-06-02T00:00:00"/>
    <s v="SO-KS/2606/020334"/>
    <s v="MKS Bali"/>
    <x v="25"/>
    <x v="1"/>
    <x v="4"/>
    <s v="PLN0005"/>
    <s v="RICH CRÈME ND 08 1000G POUCH"/>
    <n v="96"/>
    <s v="POU"/>
    <n v="96"/>
    <n v="5395199.9299999997"/>
    <n v="0"/>
    <s v="Invoice"/>
    <s v="Sudah Jadi FJ"/>
    <s v=""/>
  </r>
  <r>
    <d v="2026-06-03T00:00:00"/>
    <d v="2026-06-02T00:00:00"/>
    <s v="SO-KS/2606/020335"/>
    <s v="MKS Bali"/>
    <x v="104"/>
    <x v="1"/>
    <x v="14"/>
    <s v="120014"/>
    <s v="Tepung Hime 1kg/pack"/>
    <n v="20"/>
    <s v="KG"/>
    <n v="20"/>
    <n v="384060"/>
    <n v="0"/>
    <s v="Invoice"/>
    <s v="Sudah Jadi FJ"/>
    <s v=""/>
  </r>
  <r>
    <d v="2026-06-03T00:00:00"/>
    <d v="2026-06-02T00:00:00"/>
    <s v="SO-KS/2606/020335"/>
    <s v="MKS Bali"/>
    <x v="104"/>
    <x v="1"/>
    <x v="14"/>
    <s v="120007"/>
    <s v="Tepung Double Zero 1kg/pack"/>
    <n v="20"/>
    <s v="KG"/>
    <n v="20"/>
    <n v="372960"/>
    <n v="0"/>
    <s v="Invoice"/>
    <s v="Sudah Jadi FJ"/>
    <s v=""/>
  </r>
  <r>
    <d v="2026-06-03T00:00:00"/>
    <d v="2026-06-02T00:00:00"/>
    <s v="SO-KS/2606/020335"/>
    <s v="MKS Bali"/>
    <x v="104"/>
    <x v="1"/>
    <x v="14"/>
    <s v="120018"/>
    <s v="Tepung Ninja 1kg/pack"/>
    <n v="20"/>
    <s v="KG"/>
    <n v="20"/>
    <n v="361860"/>
    <n v="0"/>
    <s v="Invoice"/>
    <s v="Sudah Jadi FJ"/>
    <s v=""/>
  </r>
  <r>
    <d v="2026-06-03T00:00:00"/>
    <d v="2026-06-02T00:00:00"/>
    <s v="SO-KS/2606/020336"/>
    <s v="MKS Bali"/>
    <x v="102"/>
    <x v="0"/>
    <x v="5"/>
    <s v="PLN0003"/>
    <s v="ELLENKA BARISTA COCONUT MILK 1000ML APL"/>
    <n v="24"/>
    <s v="PACK"/>
    <n v="24"/>
    <n v="1012320"/>
    <n v="0"/>
    <s v="Invoice"/>
    <s v="Sudah Jadi FJ"/>
    <s v=""/>
  </r>
  <r>
    <d v="2026-06-03T00:00:00"/>
    <d v="2026-06-02T00:00:00"/>
    <s v="SO-KS/2606/020337"/>
    <s v="MKS Bali"/>
    <x v="105"/>
    <x v="1"/>
    <x v="14"/>
    <s v="120018"/>
    <s v="Tepung Ninja 1kg/pack"/>
    <n v="20"/>
    <s v="KG"/>
    <n v="20"/>
    <n v="361860"/>
    <n v="0"/>
    <s v="Invoice"/>
    <s v="Sudah Jadi FJ"/>
    <s v=""/>
  </r>
  <r>
    <d v="2026-06-03T00:00:00"/>
    <d v="2026-06-02T00:00:00"/>
    <s v="SO-KS/2606/020338"/>
    <s v="MKS Bali"/>
    <x v="106"/>
    <x v="0"/>
    <x v="3"/>
    <s v="080240"/>
    <s v="THE ALTERNATIVE Barista Oat Milk 1 Lt"/>
    <n v="4"/>
    <s v="PCS"/>
    <n v="4"/>
    <n v="186480"/>
    <n v="0"/>
    <s v="Invoice"/>
    <s v="Sudah Jadi FJ"/>
    <s v=""/>
  </r>
  <r>
    <d v="2026-06-03T00:00:00"/>
    <d v="2026-06-02T00:00:00"/>
    <s v="SO-KS/2606/020338"/>
    <s v="MKS Bali"/>
    <x v="106"/>
    <x v="0"/>
    <x v="3"/>
    <s v="080241"/>
    <s v="THE ALTERNATIVE Barista Almond Milk 1 Lt"/>
    <n v="4"/>
    <s v="PCS"/>
    <n v="4"/>
    <n v="186480"/>
    <n v="0"/>
    <s v="Invoice"/>
    <s v="Sudah Jadi FJ"/>
    <s v=""/>
  </r>
  <r>
    <d v="2026-06-03T00:00:00"/>
    <d v="2026-06-02T00:00:00"/>
    <s v="SO-KS/2606/020339"/>
    <s v="MKS Bali"/>
    <x v="107"/>
    <x v="1"/>
    <x v="14"/>
    <s v="120007"/>
    <s v="Tepung Double Zero 1kg/pack"/>
    <n v="20"/>
    <s v="KG"/>
    <n v="20"/>
    <n v="372960"/>
    <n v="0"/>
    <s v="Invoice"/>
    <s v="Sudah Jadi FJ"/>
    <s v=""/>
  </r>
  <r>
    <d v="2026-06-03T00:00:00"/>
    <d v="2026-06-02T00:00:00"/>
    <s v="SO-KS/2606/020339"/>
    <s v="MKS Bali"/>
    <x v="107"/>
    <x v="1"/>
    <x v="14"/>
    <s v="120018"/>
    <s v="Tepung Ninja 1kg/pack"/>
    <n v="20"/>
    <s v="KG"/>
    <n v="20"/>
    <n v="361860"/>
    <n v="0"/>
    <s v="Invoice"/>
    <s v="Sudah Jadi FJ"/>
    <s v=""/>
  </r>
  <r>
    <d v="2026-06-03T00:00:00"/>
    <d v="2026-06-02T00:00:00"/>
    <s v="SO-KS/2606/020340"/>
    <s v="MKS Bali"/>
    <x v="108"/>
    <x v="0"/>
    <x v="1"/>
    <s v="080240"/>
    <s v="THE ALTERNATIVE Barista Oat Milk 1 Lt"/>
    <n v="12"/>
    <s v="PCS"/>
    <n v="12"/>
    <n v="559440"/>
    <n v="0"/>
    <s v="Invoice"/>
    <s v="Sudah Jadi FJ"/>
    <s v=""/>
  </r>
  <r>
    <d v="2026-06-03T00:00:00"/>
    <d v="2026-06-02T00:00:00"/>
    <s v="SO-KS/2606/020341"/>
    <s v="MKS Bali"/>
    <x v="109"/>
    <x v="1"/>
    <x v="14"/>
    <s v="120018"/>
    <s v="Tepung Ninja 1kg/pack"/>
    <n v="20"/>
    <s v="KG"/>
    <n v="20"/>
    <n v="361860"/>
    <n v="0"/>
    <s v="Invoice"/>
    <s v="Sudah Jadi FJ"/>
    <s v=""/>
  </r>
  <r>
    <d v="2026-06-03T00:00:00"/>
    <d v="2026-06-02T00:00:00"/>
    <s v="SO-KS/2606/020341"/>
    <s v="MKS Bali"/>
    <x v="109"/>
    <x v="1"/>
    <x v="14"/>
    <s v="120014"/>
    <s v="Tepung Hime 1kg/pack"/>
    <n v="20"/>
    <s v="KG"/>
    <n v="20"/>
    <n v="384060"/>
    <n v="0"/>
    <s v="Invoice"/>
    <s v="Sudah Jadi FJ"/>
    <s v=""/>
  </r>
  <r>
    <d v="2026-06-03T00:00:00"/>
    <d v="2026-06-02T00:00:00"/>
    <s v="SO-KS/2606/020342"/>
    <s v="MKS Bali"/>
    <x v="32"/>
    <x v="1"/>
    <x v="0"/>
    <s v="080241"/>
    <s v="THE ALTERNATIVE Barista Almond Milk 1 Lt"/>
    <n v="12"/>
    <s v="PCS"/>
    <n v="12"/>
    <n v="559440"/>
    <n v="0"/>
    <s v="Invoice"/>
    <s v="Sudah Jadi FJ"/>
    <s v="BAR CRETYA"/>
  </r>
  <r>
    <d v="2026-06-03T00:00:00"/>
    <d v="2026-06-02T00:00:00"/>
    <s v="SO-KS/2606/020342"/>
    <s v="MKS Bali"/>
    <x v="32"/>
    <x v="1"/>
    <x v="0"/>
    <s v="080240"/>
    <s v="THE ALTERNATIVE Barista Oat Milk 1 Lt"/>
    <n v="12"/>
    <s v="PCS"/>
    <n v="12"/>
    <n v="559440"/>
    <n v="0"/>
    <s v="Invoice"/>
    <s v="Sudah Jadi FJ"/>
    <s v="BAR CRETYA"/>
  </r>
  <r>
    <d v="2026-06-03T00:00:00"/>
    <d v="2026-06-02T00:00:00"/>
    <s v="SO-KS/2606/020343"/>
    <s v="MKS Bali"/>
    <x v="110"/>
    <x v="1"/>
    <x v="14"/>
    <s v="120014"/>
    <s v="Tepung Hime 1kg/pack"/>
    <n v="20"/>
    <s v="KG"/>
    <n v="20"/>
    <n v="384060"/>
    <n v="0"/>
    <s v="Invoice"/>
    <s v="Sudah Jadi FJ"/>
    <s v=""/>
  </r>
  <r>
    <d v="2026-06-03T00:00:00"/>
    <d v="2026-06-02T00:00:00"/>
    <s v="SO-KS/2606/020344"/>
    <s v="MKS Bali"/>
    <x v="111"/>
    <x v="1"/>
    <x v="6"/>
    <s v="PLN0005"/>
    <s v="RICH CRÈME ND 08 1000G POUCH"/>
    <n v="84"/>
    <s v="POU"/>
    <n v="84"/>
    <n v="4720799.9400000004"/>
    <n v="0"/>
    <s v="Invoice"/>
    <s v="Sudah Jadi FJ"/>
    <s v=""/>
  </r>
  <r>
    <d v="2026-06-03T00:00:00"/>
    <d v="2026-06-02T00:00:00"/>
    <s v="SO-KS/2606/020346"/>
    <s v="MKS Bali"/>
    <x v="112"/>
    <x v="1"/>
    <x v="14"/>
    <s v="120014"/>
    <s v="Tepung Hime 1kg/pack"/>
    <n v="20"/>
    <s v="KG"/>
    <n v="20"/>
    <n v="384060"/>
    <n v="0"/>
    <s v="Invoice"/>
    <s v="Sudah Jadi FJ"/>
    <s v=""/>
  </r>
  <r>
    <d v="2026-06-03T00:00:00"/>
    <d v="2026-06-02T00:00:00"/>
    <s v="SO-KS/2606/020348"/>
    <s v="MKS Bali"/>
    <x v="113"/>
    <x v="1"/>
    <x v="14"/>
    <s v="120014"/>
    <s v="Tepung Hime 1kg/pack"/>
    <n v="20"/>
    <s v="KG"/>
    <n v="20"/>
    <n v="384060"/>
    <n v="0"/>
    <s v="Invoice"/>
    <s v="Sudah Jadi FJ"/>
    <s v=""/>
  </r>
  <r>
    <d v="2026-06-03T00:00:00"/>
    <d v="2026-06-02T00:00:00"/>
    <s v="SO-KS/2606/020349"/>
    <s v="MKS Bali"/>
    <x v="114"/>
    <x v="1"/>
    <x v="14"/>
    <s v="120018"/>
    <s v="Tepung Ninja 1kg/pack"/>
    <n v="20"/>
    <s v="KG"/>
    <n v="20"/>
    <n v="361860"/>
    <n v="0"/>
    <s v="Invoice"/>
    <s v="Sudah Jadi FJ"/>
    <s v=""/>
  </r>
  <r>
    <d v="2026-06-03T00:00:00"/>
    <d v="2026-06-02T00:00:00"/>
    <s v="SO-KS/2606/020349"/>
    <s v="MKS Bali"/>
    <x v="114"/>
    <x v="1"/>
    <x v="14"/>
    <s v="120007"/>
    <s v="Tepung Double Zero 1kg/pack"/>
    <n v="20"/>
    <s v="KG"/>
    <n v="20"/>
    <n v="372960"/>
    <n v="0"/>
    <s v="Invoice"/>
    <s v="Sudah Jadi FJ"/>
    <s v=""/>
  </r>
  <r>
    <d v="2026-06-03T00:00:00"/>
    <d v="2026-06-02T00:00:00"/>
    <s v="SO-KS/2606/020350"/>
    <s v="MKS Bali"/>
    <x v="115"/>
    <x v="0"/>
    <x v="15"/>
    <s v="060004"/>
    <s v="Nescafe Cappuccino Caramel Era 500gr/Pack"/>
    <n v="10"/>
    <s v="PACK"/>
    <n v="10"/>
    <n v="688200"/>
    <n v="0"/>
    <s v="Invoice"/>
    <s v="Sudah Jadi FJ"/>
    <s v="Cbd"/>
  </r>
  <r>
    <d v="2026-06-03T00:00:00"/>
    <d v="2026-06-02T00:00:00"/>
    <s v="SO-KS/2606/020350"/>
    <s v="MKS Bali"/>
    <x v="115"/>
    <x v="0"/>
    <x v="15"/>
    <s v="020020"/>
    <s v="NESTLE Milo Activ-Go NPro 960Gr/Pack"/>
    <n v="2"/>
    <s v="PACK"/>
    <n v="2"/>
    <n v="230880"/>
    <n v="0"/>
    <s v="Invoice"/>
    <s v="Sudah Jadi FJ"/>
    <s v="Cbd"/>
  </r>
  <r>
    <d v="2026-06-03T00:00:00"/>
    <d v="2026-06-02T00:00:00"/>
    <s v="SO-KS/2606/020351"/>
    <s v="MKS Bali"/>
    <x v="23"/>
    <x v="1"/>
    <x v="15"/>
    <s v="PNS0005"/>
    <s v="Nestle Milo Npro 1.5Kg"/>
    <n v="5"/>
    <s v="PACK"/>
    <n v="5"/>
    <n v="666000"/>
    <n v="0"/>
    <s v="Invoice"/>
    <s v="Sudah Jadi FJ"/>
    <s v=""/>
  </r>
  <r>
    <d v="2026-06-03T00:00:00"/>
    <d v="2026-06-02T00:00:00"/>
    <s v="SO-KS/2606/020353"/>
    <s v="MKS Bali"/>
    <x v="16"/>
    <x v="1"/>
    <x v="15"/>
    <s v="PNS0005"/>
    <s v="Nestle Milo Npro 1.5Kg"/>
    <n v="8"/>
    <s v="PACK"/>
    <n v="8"/>
    <n v="1065600"/>
    <n v="0"/>
    <s v="Invoice"/>
    <s v="Sudah Jadi FJ"/>
    <s v=""/>
  </r>
  <r>
    <d v="2026-06-03T00:00:00"/>
    <d v="2026-06-02T00:00:00"/>
    <s v="SO-KS/2606/020354"/>
    <s v="MKS Bali"/>
    <x v="116"/>
    <x v="1"/>
    <x v="15"/>
    <s v="PNS0005"/>
    <s v="Nestle Milo Npro 1.5Kg"/>
    <n v="8"/>
    <s v="PACK"/>
    <n v="8"/>
    <n v="1065600"/>
    <n v="0"/>
    <s v="Invoice"/>
    <s v="Sudah Jadi FJ"/>
    <s v=""/>
  </r>
  <r>
    <d v="2026-06-03T00:00:00"/>
    <d v="2026-06-02T00:00:00"/>
    <s v="SO-KS/2606/020355"/>
    <s v="MKS Bali"/>
    <x v="117"/>
    <x v="1"/>
    <x v="16"/>
    <s v="300096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6-03T00:00:00"/>
    <d v="2026-06-02T00:00:00"/>
    <s v="SO-KS/2606/020357"/>
    <s v="MKS Bali"/>
    <x v="118"/>
    <x v="1"/>
    <x v="7"/>
    <s v="SFM053"/>
    <s v="Inofa Heat Treated Wheat Flour SF 346 @1kg/pack"/>
    <n v="4"/>
    <s v="KG"/>
    <n v="4"/>
    <n v="108780"/>
    <n v="0"/>
    <s v="Invoice"/>
    <s v="Sudah Jadi FJ"/>
    <s v=""/>
  </r>
  <r>
    <d v="2026-06-03T00:00:00"/>
    <d v="2026-06-02T00:00:00"/>
    <s v="SO-KS/2606/020357"/>
    <s v="MKS Bali"/>
    <x v="118"/>
    <x v="1"/>
    <x v="7"/>
    <s v="SFM007"/>
    <s v="Tepung Double Zero @25Kg/Sack"/>
    <n v="1"/>
    <s v="SACK"/>
    <n v="1"/>
    <n v="327450"/>
    <n v="0"/>
    <s v="Invoice"/>
    <s v="Sudah Jadi FJ"/>
    <s v=""/>
  </r>
  <r>
    <d v="2026-06-03T00:00:00"/>
    <d v="2026-06-02T00:00:00"/>
    <s v="SO-KS/2606/020358"/>
    <s v="MKS Bali"/>
    <x v="119"/>
    <x v="1"/>
    <x v="15"/>
    <s v="060017"/>
    <s v="Nestle Blackcurrant Drink 750gr/Pack"/>
    <n v="48"/>
    <s v="PACK"/>
    <n v="48"/>
    <n v="3569760"/>
    <n v="0"/>
    <s v="Invoice"/>
    <s v="Sudah Jadi FJ"/>
    <s v=""/>
  </r>
  <r>
    <d v="2026-06-03T00:00:00"/>
    <d v="2026-06-02T00:00:00"/>
    <s v="SO-KS/2606/020358"/>
    <s v="MKS Bali"/>
    <x v="119"/>
    <x v="1"/>
    <x v="15"/>
    <s v="060019"/>
    <s v="Nestle Orange Pouch NP 560gr/Pack"/>
    <n v="36"/>
    <s v="PACK"/>
    <n v="36"/>
    <n v="2137860"/>
    <n v="0"/>
    <s v="Invoice"/>
    <s v="Sudah Jadi FJ"/>
    <s v=""/>
  </r>
  <r>
    <d v="2026-06-03T00:00:00"/>
    <d v="2026-06-02T00:00:00"/>
    <s v="SO-KS/2606/020358"/>
    <s v="MKS Bali"/>
    <x v="119"/>
    <x v="1"/>
    <x v="15"/>
    <s v="020020"/>
    <s v="NESTLE Milo Activ-Go NPro 960Gr/Pack"/>
    <n v="6"/>
    <s v="PACK"/>
    <n v="6"/>
    <n v="692640"/>
    <n v="0"/>
    <s v="Invoice"/>
    <s v="Sudah Jadi FJ"/>
    <s v=""/>
  </r>
  <r>
    <d v="2026-06-03T00:00:00"/>
    <d v="2026-06-02T00:00:00"/>
    <s v="SO-KS/2606/020359"/>
    <s v="MKS Bali"/>
    <x v="120"/>
    <x v="1"/>
    <x v="9"/>
    <s v="SFM007"/>
    <s v="Tepung Double Zero @25Kg/Sack"/>
    <n v="1"/>
    <s v="SACK"/>
    <n v="1"/>
    <n v="327450"/>
    <n v="0"/>
    <s v="Invoice"/>
    <s v="Sudah Jadi FJ"/>
    <s v=""/>
  </r>
  <r>
    <d v="2026-06-03T00:00:00"/>
    <d v="2026-06-02T00:00:00"/>
    <s v="SO-KS/2606/020359"/>
    <s v="MKS Bali"/>
    <x v="120"/>
    <x v="1"/>
    <x v="9"/>
    <s v="SFM053"/>
    <s v="Inofa Heat Treated Wheat Flour SF 346 @1kg/pack"/>
    <n v="6"/>
    <s v="KG"/>
    <n v="6"/>
    <n v="163170"/>
    <n v="0"/>
    <s v="Invoice"/>
    <s v="Sudah Jadi FJ"/>
    <s v=""/>
  </r>
  <r>
    <d v="2026-06-03T00:00:00"/>
    <d v="2026-06-02T00:00:00"/>
    <s v="SO-KS/2606/020360"/>
    <s v="MKS Bali"/>
    <x v="121"/>
    <x v="0"/>
    <x v="16"/>
    <s v="PNS0005"/>
    <s v="Nestle Milo Npro 1.5Kg"/>
    <n v="8"/>
    <s v="PACK"/>
    <n v="8"/>
    <n v="1065600"/>
    <n v="0"/>
    <s v="Invoice"/>
    <s v="Sudah Jadi FJ"/>
    <s v=""/>
  </r>
  <r>
    <d v="2026-06-03T00:00:00"/>
    <d v="2026-06-02T00:00:00"/>
    <s v="SO-KS/2606/020361"/>
    <s v="MKS Bali"/>
    <x v="122"/>
    <x v="1"/>
    <x v="2"/>
    <s v="PSJ0063"/>
    <s v="Amron Tenderloin Whole"/>
    <n v="5"/>
    <s v="KG"/>
    <n v="4.7300000000000004"/>
    <n v="804100"/>
    <n v="-0.27"/>
    <s v="Invoice"/>
    <s v="Sudah Jadi FJ"/>
    <s v=""/>
  </r>
  <r>
    <d v="2026-06-03T00:00:00"/>
    <d v="2026-06-02T00:00:00"/>
    <s v="SO-KS/2606/020361"/>
    <s v="MKS Bali"/>
    <x v="122"/>
    <x v="1"/>
    <x v="2"/>
    <s v="PSJ0187"/>
    <s v="Borello Topside"/>
    <n v="13"/>
    <s v="KG"/>
    <n v="14.72"/>
    <n v="2428800"/>
    <n v="1.72"/>
    <s v="Invoice"/>
    <s v="Sudah Jadi FJ"/>
    <s v=""/>
  </r>
  <r>
    <d v="2026-06-03T00:00:00"/>
    <d v="2026-06-02T00:00:00"/>
    <s v="SO-KS/2606/020362"/>
    <s v="MKS Bali"/>
    <x v="122"/>
    <x v="1"/>
    <x v="2"/>
    <s v="PSJ0063"/>
    <s v="Amron Tenderloin Whole"/>
    <n v="18"/>
    <s v="KG"/>
    <n v="17.559899999999999"/>
    <n v="2985200"/>
    <n v="-0.44009999999999999"/>
    <s v="Invoice"/>
    <s v="Sudah Jadi FJ"/>
    <s v=""/>
  </r>
  <r>
    <d v="2026-06-03T00:00:00"/>
    <d v="2026-06-02T00:00:00"/>
    <s v="SO-KS/2606/020364"/>
    <s v="MKS Bali"/>
    <x v="123"/>
    <x v="1"/>
    <x v="15"/>
    <s v="020020"/>
    <s v="NESTLE Milo Activ-Go NPro 960Gr/Pack"/>
    <n v="5"/>
    <s v="PACK"/>
    <n v="5"/>
    <n v="577200"/>
    <n v="0"/>
    <s v="Invoice"/>
    <s v="Sudah Jadi FJ"/>
    <s v="CBD (dikirim ke tamora galery)"/>
  </r>
  <r>
    <d v="2026-06-03T00:00:00"/>
    <d v="2026-06-02T00:00:00"/>
    <s v="SO-KS/2606/020364"/>
    <s v="MKS Bali"/>
    <x v="123"/>
    <x v="1"/>
    <x v="15"/>
    <s v="060004"/>
    <s v="Nescafe Cappuccino Caramel Era 500gr/Pack"/>
    <n v="15"/>
    <s v="PACK"/>
    <n v="15"/>
    <n v="1032300"/>
    <n v="0"/>
    <s v="Invoice"/>
    <s v="Sudah Jadi FJ"/>
    <s v="CBD (dikirim ke tamora galery)"/>
  </r>
  <r>
    <d v="2026-06-03T00:00:00"/>
    <d v="2026-06-02T00:00:00"/>
    <s v="SO-KS/2606/020364"/>
    <s v="MKS Bali"/>
    <x v="123"/>
    <x v="1"/>
    <x v="15"/>
    <s v="060007"/>
    <s v="Nescafe Classic Vending 120gr/Pack"/>
    <n v="15"/>
    <s v="PACK"/>
    <n v="15"/>
    <n v="890775"/>
    <n v="0"/>
    <s v="Invoice"/>
    <s v="Sudah Jadi FJ"/>
    <s v="CBD (dikirim ke tamora galery)"/>
  </r>
  <r>
    <d v="2026-06-03T00:00:00"/>
    <d v="2026-06-02T00:00:00"/>
    <s v="SO-KS/2606/020365"/>
    <s v="MKS Bali"/>
    <x v="122"/>
    <x v="1"/>
    <x v="2"/>
    <s v="PSJ0187"/>
    <s v="Borello Topside"/>
    <n v="12"/>
    <s v="KG"/>
    <n v="8.3698999999999995"/>
    <n v="1381050"/>
    <n v="-3.6301000000000001"/>
    <s v="Invoice"/>
    <s v="Sudah Jadi FJ"/>
    <s v=""/>
  </r>
  <r>
    <d v="2026-06-03T00:00:00"/>
    <d v="2026-06-02T00:00:00"/>
    <s v="SO-KS/2606/020366"/>
    <s v="MKS Bali"/>
    <x v="124"/>
    <x v="1"/>
    <x v="13"/>
    <s v="060013"/>
    <s v="Nestea Lemon Tea 1kg/Pack"/>
    <n v="12"/>
    <s v="PACK"/>
    <n v="12"/>
    <n v="770400.03"/>
    <n v="0"/>
    <s v="Invoice"/>
    <s v="Sudah Jadi FJ"/>
    <s v="Invoice 1"/>
  </r>
  <r>
    <d v="2026-06-03T00:00:00"/>
    <d v="2026-06-02T00:00:00"/>
    <s v="SO-KS/2606/020369"/>
    <s v="MKS Bali"/>
    <x v="122"/>
    <x v="1"/>
    <x v="2"/>
    <s v="080241"/>
    <s v="THE ALTERNATIVE Barista Almond Milk 1 Lt"/>
    <n v="3"/>
    <s v="PCS"/>
    <n v="3"/>
    <n v="139860"/>
    <n v="0"/>
    <s v="Invoice"/>
    <s v="Sudah Jadi FJ"/>
    <s v=""/>
  </r>
  <r>
    <d v="2026-06-03T00:00:00"/>
    <d v="2026-06-02T00:00:00"/>
    <s v="SO-KS/2606/020371"/>
    <s v="MKS Bali"/>
    <x v="125"/>
    <x v="0"/>
    <x v="17"/>
    <s v="060006"/>
    <s v="Nescafe Classic Sac+Bag Era 60x2gr"/>
    <n v="20"/>
    <s v="PACK"/>
    <n v="20"/>
    <n v="1388339.98"/>
    <n v="0"/>
    <s v="Invoice"/>
    <s v="Sudah Jadi FJ"/>
    <s v=""/>
  </r>
  <r>
    <d v="2026-06-03T00:00:00"/>
    <d v="2026-06-02T00:00:00"/>
    <s v="SO-KS/2606/020372"/>
    <s v="MKS Bali"/>
    <x v="126"/>
    <x v="0"/>
    <x v="15"/>
    <s v="300098"/>
    <s v="MAGGI Seasoning @800ml/Btl"/>
    <n v="30"/>
    <s v="BTL"/>
    <n v="30"/>
    <n v="2083500.08"/>
    <n v="0"/>
    <s v="Invoice"/>
    <s v="Sudah Jadi FJ"/>
    <s v=""/>
  </r>
  <r>
    <d v="2026-06-03T00:00:00"/>
    <d v="2026-06-02T00:00:00"/>
    <s v="SO-KS/2606/020374"/>
    <s v="MKS Bali"/>
    <x v="127"/>
    <x v="1"/>
    <x v="17"/>
    <s v="060007"/>
    <s v="Nescafe Classic Vending 120gr/Pack"/>
    <n v="96"/>
    <s v="PACK"/>
    <n v="96"/>
    <n v="5183999.93"/>
    <n v="0"/>
    <s v="Invoice"/>
    <s v="Sudah Jadi FJ"/>
    <s v=""/>
  </r>
  <r>
    <d v="2026-06-03T00:00:00"/>
    <d v="2026-06-02T00:00:00"/>
    <s v="SO-KS/2606/020375"/>
    <s v="MKS Bali"/>
    <x v="128"/>
    <x v="1"/>
    <x v="13"/>
    <s v="060018"/>
    <s v="Nestle Lemonade Original 640gr/Pack"/>
    <n v="12"/>
    <s v="PACK"/>
    <n v="12"/>
    <n v="649200.02"/>
    <n v="0"/>
    <s v="Invoice"/>
    <s v="Sudah Jadi FJ"/>
    <s v=""/>
  </r>
  <r>
    <d v="2026-06-03T00:00:00"/>
    <d v="2026-06-02T00:00:00"/>
    <s v="SO-KS/2606/020375"/>
    <s v="MKS Bali"/>
    <x v="128"/>
    <x v="1"/>
    <x v="13"/>
    <s v="020020"/>
    <s v="NESTLE Milo Activ-Go NPro 960Gr/Pack"/>
    <n v="32"/>
    <s v="PACK"/>
    <n v="32"/>
    <n v="3359999.98"/>
    <n v="0"/>
    <s v="Invoice"/>
    <s v="Sudah Jadi FJ"/>
    <s v=""/>
  </r>
  <r>
    <d v="2026-06-03T00:00:00"/>
    <d v="2026-06-02T00:00:00"/>
    <s v="SO-KS/2606/020376"/>
    <s v="MKS Bali"/>
    <x v="129"/>
    <x v="0"/>
    <x v="15"/>
    <s v="300099"/>
    <s v="Magic Lezat @1kg/pack"/>
    <n v="2"/>
    <s v="PACK"/>
    <n v="2"/>
    <n v="95460"/>
    <n v="0"/>
    <s v="Invoice"/>
    <s v="Sudah Jadi FJ"/>
    <s v="Dikirim dgb Barang Global"/>
  </r>
  <r>
    <d v="2026-06-03T00:00:00"/>
    <d v="2026-06-02T00:00:00"/>
    <s v="SO-KS/2606/020378"/>
    <s v="MKS Bali"/>
    <x v="130"/>
    <x v="1"/>
    <x v="13"/>
    <s v="060004"/>
    <s v="Nescafe Cappuccino Caramel Era 500gr/Pack"/>
    <n v="30"/>
    <s v="PACK"/>
    <n v="30"/>
    <n v="1644260"/>
    <n v="0"/>
    <s v="Invoice"/>
    <s v="Sudah Jadi FJ"/>
    <s v=""/>
  </r>
  <r>
    <d v="2026-06-03T00:00:00"/>
    <d v="2026-06-02T00:00:00"/>
    <s v="SO-KS/2606/020378"/>
    <s v="MKS Bali"/>
    <x v="130"/>
    <x v="1"/>
    <x v="13"/>
    <s v="020020"/>
    <s v="NESTLE Milo Activ-Go NPro 960Gr/Pack"/>
    <n v="16"/>
    <s v="PACK"/>
    <n v="16"/>
    <n v="1583999.99"/>
    <n v="0"/>
    <s v="Invoice"/>
    <s v="Sudah Jadi FJ"/>
    <s v=""/>
  </r>
  <r>
    <d v="2026-06-03T00:00:00"/>
    <d v="2026-06-02T00:00:00"/>
    <s v="SO-KS/2606/020379"/>
    <s v="MKS Bali"/>
    <x v="131"/>
    <x v="1"/>
    <x v="13"/>
    <s v="060013"/>
    <s v="Nestea Lemon Tea 1kg/Pack"/>
    <n v="36"/>
    <s v="PACK"/>
    <n v="36"/>
    <n v="2311200.09"/>
    <n v="0"/>
    <s v="Invoice"/>
    <s v="Sudah Jadi FJ"/>
    <s v="Invoice 1"/>
  </r>
  <r>
    <d v="2026-06-03T00:00:00"/>
    <d v="2026-06-02T00:00:00"/>
    <s v="SO-KS/2606/020380"/>
    <s v="MKS Bali"/>
    <x v="131"/>
    <x v="1"/>
    <x v="13"/>
    <s v="020020"/>
    <s v="NESTLE Milo Activ-Go NPro 960Gr/Pack"/>
    <n v="16"/>
    <s v="PACK"/>
    <n v="16"/>
    <n v="1679999.92"/>
    <n v="0"/>
    <s v="Invoice"/>
    <s v="Sudah Jadi FJ"/>
    <s v="Invoice 2"/>
  </r>
  <r>
    <d v="2026-06-03T00:00:00"/>
    <d v="2026-06-02T00:00:00"/>
    <s v="SO-KS/2606/020380"/>
    <s v="MKS Bali"/>
    <x v="131"/>
    <x v="1"/>
    <x v="13"/>
    <s v="060015"/>
    <s v="Nestea Lychee Tea Npro 560gr/Pack"/>
    <n v="36"/>
    <s v="PACK"/>
    <n v="12"/>
    <n v="613200.05000000005"/>
    <n v="-24"/>
    <s v="Invoice"/>
    <s v="Sudah Jadi FJ"/>
    <s v="Invoice 2"/>
  </r>
  <r>
    <d v="2026-06-03T00:00:00"/>
    <d v="2026-06-02T00:00:00"/>
    <s v="SO-KS/2606/020381"/>
    <s v="MKS Bali"/>
    <x v="132"/>
    <x v="1"/>
    <x v="13"/>
    <s v="020020"/>
    <s v="NESTLE Milo Activ-Go NPro 960Gr/Pack"/>
    <n v="32"/>
    <s v="PACK"/>
    <n v="32"/>
    <n v="3359999.84"/>
    <n v="0"/>
    <s v="Invoice"/>
    <s v="Sudah Jadi FJ"/>
    <s v="Invoice 1"/>
  </r>
  <r>
    <d v="2026-06-03T00:00:00"/>
    <d v="2026-06-02T00:00:00"/>
    <s v="SO-KS/2606/020383"/>
    <s v="MKS Bali"/>
    <x v="133"/>
    <x v="1"/>
    <x v="9"/>
    <s v="120007"/>
    <s v="Tepung Double Zero 1kg/pack"/>
    <n v="5"/>
    <s v="KG"/>
    <n v="5"/>
    <n v="83250"/>
    <n v="0"/>
    <s v="Invoice"/>
    <s v="Sudah Jadi FJ"/>
    <s v=""/>
  </r>
  <r>
    <d v="2026-06-03T00:00:00"/>
    <d v="2026-06-02T00:00:00"/>
    <s v="SO-KS/2606/020383"/>
    <s v="MKS Bali"/>
    <x v="133"/>
    <x v="1"/>
    <x v="9"/>
    <s v="120018"/>
    <s v="Tepung Ninja 1kg/pack"/>
    <n v="10"/>
    <s v="KG"/>
    <n v="10"/>
    <n v="160950"/>
    <n v="0"/>
    <s v="Invoice"/>
    <s v="Sudah Jadi FJ"/>
    <s v=""/>
  </r>
  <r>
    <d v="2026-06-03T00:00:00"/>
    <d v="2026-06-02T00:00:00"/>
    <s v="SO-KS/2606/020384"/>
    <s v="MKS Bali"/>
    <x v="134"/>
    <x v="1"/>
    <x v="13"/>
    <s v="020020"/>
    <s v="NESTLE Milo Activ-Go NPro 960Gr/Pack"/>
    <n v="32"/>
    <s v="PACK"/>
    <n v="32"/>
    <n v="3359999.84"/>
    <n v="0"/>
    <s v="Invoice"/>
    <s v="Sudah Jadi FJ"/>
    <s v="Invoice 1"/>
  </r>
  <r>
    <d v="2026-06-03T00:00:00"/>
    <d v="2026-06-02T00:00:00"/>
    <s v="SO-KS/2606/020385"/>
    <s v="MKS Bali"/>
    <x v="134"/>
    <x v="1"/>
    <x v="13"/>
    <s v="060013"/>
    <s v="Nestea Lemon Tea 1kg/Pack"/>
    <n v="24"/>
    <s v="PACK"/>
    <n v="24"/>
    <n v="1540800.06"/>
    <n v="0"/>
    <s v="Invoice"/>
    <s v="Sudah Jadi FJ"/>
    <s v="Invoice 2"/>
  </r>
  <r>
    <d v="2026-06-03T00:00:00"/>
    <d v="2026-06-02T00:00:00"/>
    <s v="SO-KS/2606/020386"/>
    <s v="MKS Bali"/>
    <x v="135"/>
    <x v="0"/>
    <x v="15"/>
    <s v="020011"/>
    <s v="Nestle Dark Cocoa Drink Npro 1kg/Pack"/>
    <n v="4"/>
    <s v="PACK"/>
    <n v="4"/>
    <n v="356000"/>
    <n v="0"/>
    <s v="Invoice"/>
    <s v="Sudah Jadi FJ"/>
    <s v=""/>
  </r>
  <r>
    <d v="2026-06-03T00:00:00"/>
    <d v="2026-06-02T00:00:00"/>
    <s v="SO-KS/2606/020387"/>
    <s v="MKS Bali"/>
    <x v="136"/>
    <x v="0"/>
    <x v="15"/>
    <s v="PNS0005"/>
    <s v="Nestle Milo Npro 1.5Kg"/>
    <n v="8"/>
    <s v="PACK"/>
    <n v="8"/>
    <n v="1065600"/>
    <n v="0"/>
    <s v="Invoice"/>
    <s v="Sudah Jadi FJ"/>
    <s v=""/>
  </r>
  <r>
    <d v="2026-06-03T00:00:00"/>
    <d v="2026-06-02T00:00:00"/>
    <s v="SO-KS/2606/020388"/>
    <s v="MKS Bali"/>
    <x v="137"/>
    <x v="0"/>
    <x v="15"/>
    <s v="020020"/>
    <s v="NESTLE Milo Activ-Go NPro 960Gr/Pack"/>
    <n v="3"/>
    <s v="PACK"/>
    <n v="3"/>
    <n v="315000"/>
    <n v="0"/>
    <s v="Invoice"/>
    <s v="Sudah Jadi FJ"/>
    <s v=""/>
  </r>
  <r>
    <d v="2026-06-03T00:00:00"/>
    <d v="2026-06-02T00:00:00"/>
    <s v="SO-KS/2606/020390"/>
    <s v="MKS Bali"/>
    <x v="138"/>
    <x v="1"/>
    <x v="14"/>
    <s v="120007"/>
    <s v="Tepung Double Zero 1kg/pack"/>
    <n v="40"/>
    <s v="KG"/>
    <n v="40"/>
    <n v="731001.6"/>
    <n v="0"/>
    <s v="Invoice"/>
    <s v="Sudah Jadi FJ"/>
    <s v=""/>
  </r>
  <r>
    <d v="2026-06-03T00:00:00"/>
    <d v="2026-06-02T00:00:00"/>
    <s v="SO-KS/2606/020391"/>
    <s v="MKS Bali"/>
    <x v="139"/>
    <x v="0"/>
    <x v="15"/>
    <s v="020020"/>
    <s v="NESTLE Milo Activ-Go NPro 960Gr/Pack"/>
    <n v="3"/>
    <s v="PACK"/>
    <n v="3"/>
    <n v="315000"/>
    <n v="0"/>
    <s v="Invoice"/>
    <s v="Sudah Jadi FJ"/>
    <s v=""/>
  </r>
  <r>
    <d v="2026-06-03T00:00:00"/>
    <d v="2026-06-02T00:00:00"/>
    <s v="SO-KS/2606/020391"/>
    <s v="MKS Bali"/>
    <x v="139"/>
    <x v="0"/>
    <x v="15"/>
    <s v="060013"/>
    <s v="Nestea Lemon Tea 1kg/Pack"/>
    <n v="1"/>
    <s v="PACK"/>
    <n v="1"/>
    <n v="64200"/>
    <n v="0"/>
    <s v="Invoice"/>
    <s v="Sudah Jadi FJ"/>
    <s v=""/>
  </r>
  <r>
    <d v="2026-06-03T00:00:00"/>
    <d v="2026-06-02T00:00:00"/>
    <s v="SO-KS/2606/020391"/>
    <s v="MKS Bali"/>
    <x v="139"/>
    <x v="0"/>
    <x v="15"/>
    <s v="020011"/>
    <s v="Nestle Dark Cocoa Drink Npro 1kg/Pack"/>
    <n v="3"/>
    <s v="PACK"/>
    <n v="3"/>
    <n v="267000"/>
    <n v="0"/>
    <s v="Invoice"/>
    <s v="Sudah Jadi FJ"/>
    <s v=""/>
  </r>
  <r>
    <d v="2026-06-03T00:00:00"/>
    <d v="2026-06-02T00:00:00"/>
    <s v="SO-KS/2606/020391"/>
    <s v="MKS Bali"/>
    <x v="139"/>
    <x v="0"/>
    <x v="15"/>
    <s v="060007"/>
    <s v="Nescafe Classic Vending 120gr/Pack"/>
    <n v="1"/>
    <s v="PACK"/>
    <n v="1"/>
    <n v="54000"/>
    <n v="0"/>
    <s v="Invoice"/>
    <s v="Sudah Jadi FJ"/>
    <s v=""/>
  </r>
  <r>
    <d v="2026-06-03T00:00:00"/>
    <d v="2026-06-02T00:00:00"/>
    <s v="SO-KS/2606/020392"/>
    <s v="MKS Bali"/>
    <x v="138"/>
    <x v="1"/>
    <x v="14"/>
    <s v="120007"/>
    <s v="Tepung Double Zero 1kg/pack"/>
    <n v="20"/>
    <s v="KG"/>
    <n v="20"/>
    <n v="365500.8"/>
    <n v="0"/>
    <s v="Invoice"/>
    <s v="Sudah Jadi FJ"/>
    <s v=""/>
  </r>
  <r>
    <d v="2026-06-03T00:00:00"/>
    <d v="2026-06-02T00:00:00"/>
    <s v="SO-KS/2606/020392"/>
    <s v="MKS Bali"/>
    <x v="138"/>
    <x v="1"/>
    <x v="14"/>
    <s v="120014"/>
    <s v="Tepung Hime 1kg/pack"/>
    <n v="10"/>
    <s v="KG"/>
    <n v="10"/>
    <n v="188189.4"/>
    <n v="0"/>
    <s v="Invoice"/>
    <s v="Sudah Jadi FJ"/>
    <s v=""/>
  </r>
  <r>
    <d v="2026-06-03T00:00:00"/>
    <d v="2026-06-02T00:00:00"/>
    <s v="SO-KS/2606/020392"/>
    <s v="MKS Bali"/>
    <x v="138"/>
    <x v="1"/>
    <x v="14"/>
    <s v="120018"/>
    <s v="Tepung Ninja 1kg/pack"/>
    <n v="10"/>
    <s v="KG"/>
    <n v="10"/>
    <n v="177311.4"/>
    <n v="0"/>
    <s v="Invoice"/>
    <s v="Sudah Jadi FJ"/>
    <s v=""/>
  </r>
  <r>
    <d v="2026-06-03T00:00:00"/>
    <d v="2026-06-02T00:00:00"/>
    <s v="SO-KS/2606/020393"/>
    <s v="MKS Bali"/>
    <x v="140"/>
    <x v="0"/>
    <x v="16"/>
    <s v="300099"/>
    <s v="Magic Lezat @1kg/pack"/>
    <n v="12"/>
    <s v="PACK"/>
    <n v="12"/>
    <n v="572760"/>
    <n v="0"/>
    <s v="Invoice"/>
    <s v="Sudah Jadi FJ"/>
    <s v=""/>
  </r>
  <r>
    <d v="2026-06-03T00:00:00"/>
    <d v="2026-06-02T00:00:00"/>
    <s v="SO-KS/2606/020395"/>
    <s v="MKS Bali"/>
    <x v="141"/>
    <x v="1"/>
    <x v="7"/>
    <s v="PAN0004"/>
    <s v="DP Mozzarella 2.5Kg"/>
    <n v="25"/>
    <s v="KG"/>
    <n v="25"/>
    <n v="3174999.88"/>
    <n v="0"/>
    <s v="Invoice"/>
    <s v="Sudah Jadi FJ"/>
    <s v=""/>
  </r>
  <r>
    <d v="2026-06-03T00:00:00"/>
    <d v="2026-06-02T00:00:00"/>
    <s v="SO-KS/2606/020396"/>
    <s v="MKS Bali"/>
    <x v="142"/>
    <x v="1"/>
    <x v="16"/>
    <s v="060017"/>
    <s v="Nestle Blackcurrant Drink 750gr/Pack"/>
    <n v="4"/>
    <s v="PACK"/>
    <n v="4"/>
    <n v="272399.99"/>
    <n v="0"/>
    <s v="Invoice"/>
    <s v="Sudah Jadi FJ"/>
    <s v=""/>
  </r>
  <r>
    <d v="2026-06-03T00:00:00"/>
    <d v="2026-06-02T00:00:00"/>
    <s v="SO-KS/2606/020396"/>
    <s v="MKS Bali"/>
    <x v="142"/>
    <x v="1"/>
    <x v="16"/>
    <s v="060018"/>
    <s v="Nestle Lemonade Original 640gr/Pack"/>
    <n v="6"/>
    <s v="PACK"/>
    <n v="6"/>
    <n v="324600.01"/>
    <n v="0"/>
    <s v="Invoice"/>
    <s v="Sudah Jadi FJ"/>
    <s v=""/>
  </r>
  <r>
    <d v="2026-06-03T00:00:00"/>
    <d v="2026-06-02T00:00:00"/>
    <s v="SO-KS/2606/020396"/>
    <s v="MKS Bali"/>
    <x v="142"/>
    <x v="1"/>
    <x v="16"/>
    <s v="060013"/>
    <s v="Nestea Lemon Tea 1kg/Pack"/>
    <n v="4"/>
    <s v="PACK"/>
    <n v="4"/>
    <n v="256800.01"/>
    <n v="0"/>
    <s v="Invoice"/>
    <s v="Sudah Jadi FJ"/>
    <s v=""/>
  </r>
  <r>
    <d v="2026-06-03T00:00:00"/>
    <d v="2026-06-02T00:00:00"/>
    <s v="SO-KS/2606/020396"/>
    <s v="MKS Bali"/>
    <x v="142"/>
    <x v="1"/>
    <x v="16"/>
    <s v="020011"/>
    <s v="Nestle Dark Cocoa Drink Npro 1kg/Pack"/>
    <n v="4"/>
    <s v="PACK"/>
    <n v="4"/>
    <n v="356000"/>
    <n v="0"/>
    <s v="Invoice"/>
    <s v="Sudah Jadi FJ"/>
    <s v=""/>
  </r>
  <r>
    <d v="2026-06-03T00:00:00"/>
    <d v="2026-06-02T00:00:00"/>
    <s v="SO-KS/2606/020396"/>
    <s v="MKS Bali"/>
    <x v="142"/>
    <x v="1"/>
    <x v="16"/>
    <s v="020013"/>
    <s v="Nestle Skim Milk Powder 250g/pack"/>
    <n v="5"/>
    <s v="PACK"/>
    <n v="5"/>
    <n v="174999.99"/>
    <n v="0"/>
    <s v="Invoice"/>
    <s v="Sudah Jadi FJ"/>
    <s v=""/>
  </r>
  <r>
    <d v="2026-06-03T00:00:00"/>
    <d v="2026-06-02T00:00:00"/>
    <s v="SO-KS/2606/020398"/>
    <s v="MKS Bali"/>
    <x v="143"/>
    <x v="1"/>
    <x v="16"/>
    <s v="060004"/>
    <s v="Nescafe Cappuccino Caramel Era 500gr/Pack"/>
    <n v="5"/>
    <s v="PACK"/>
    <n v="5"/>
    <n v="299725.02"/>
    <n v="0"/>
    <s v="Invoice"/>
    <s v="Sudah Jadi FJ"/>
    <s v=""/>
  </r>
  <r>
    <d v="2026-06-03T00:00:00"/>
    <d v="2026-06-02T00:00:00"/>
    <s v="SO-KS/2606/020398"/>
    <s v="MKS Bali"/>
    <x v="143"/>
    <x v="1"/>
    <x v="16"/>
    <s v="060007"/>
    <s v="Nescafe Classic Vending 120gr/Pack"/>
    <n v="3"/>
    <s v="PACK"/>
    <n v="3"/>
    <n v="153900"/>
    <n v="0"/>
    <s v="Invoice"/>
    <s v="Sudah Jadi FJ"/>
    <s v=""/>
  </r>
  <r>
    <d v="2026-06-03T00:00:00"/>
    <d v="2026-06-02T00:00:00"/>
    <s v="SO-KS/2606/020398"/>
    <s v="MKS Bali"/>
    <x v="143"/>
    <x v="1"/>
    <x v="16"/>
    <s v="060009"/>
    <s v="Nescafe Latte 500gr/Pack"/>
    <n v="5"/>
    <s v="PACK"/>
    <n v="5"/>
    <n v="286424.98"/>
    <n v="0"/>
    <s v="Invoice"/>
    <s v="Sudah Jadi FJ"/>
    <s v=""/>
  </r>
  <r>
    <d v="2026-06-03T00:00:00"/>
    <d v="2026-06-02T00:00:00"/>
    <s v="SO-KS/2606/020398"/>
    <s v="MKS Bali"/>
    <x v="143"/>
    <x v="1"/>
    <x v="16"/>
    <s v="020020"/>
    <s v="NESTLE Milo Activ-Go NPro 960Gr/Pack"/>
    <n v="5"/>
    <s v="PACK"/>
    <n v="5"/>
    <n v="498749.97"/>
    <n v="0"/>
    <s v="Invoice"/>
    <s v="Sudah Jadi FJ"/>
    <s v=""/>
  </r>
  <r>
    <d v="2026-06-03T00:00:00"/>
    <d v="2026-06-02T00:00:00"/>
    <s v="SO-KS/2606/020399"/>
    <s v="MKS Bali"/>
    <x v="144"/>
    <x v="1"/>
    <x v="1"/>
    <s v="SFM009"/>
    <s v="Tepung Hime @25Kg/Sack"/>
    <n v="2"/>
    <s v="SACK"/>
    <n v="2"/>
    <n v="580000"/>
    <n v="0"/>
    <s v="Invoice"/>
    <s v="Sudah Jadi FJ"/>
    <s v=""/>
  </r>
  <r>
    <d v="2026-06-03T00:00:00"/>
    <d v="2026-06-02T00:00:00"/>
    <s v="SO-KS/2606/020400"/>
    <s v="MKS Bali"/>
    <x v="145"/>
    <x v="1"/>
    <x v="3"/>
    <s v="120015"/>
    <s v="Tepung Japanese Tempura 1kg/pack"/>
    <n v="30"/>
    <s v="KG"/>
    <n v="30"/>
    <n v="1088910"/>
    <n v="0"/>
    <s v="Invoice"/>
    <s v="Sudah Jadi FJ"/>
    <s v=""/>
  </r>
  <r>
    <d v="2026-06-03T00:00:00"/>
    <d v="2026-06-02T00:00:00"/>
    <s v="SO-KS/2606/020401"/>
    <s v="MKS Bali"/>
    <x v="146"/>
    <x v="0"/>
    <x v="15"/>
    <s v="060007"/>
    <s v="Nescafe Classic Vending 120gr/Pack"/>
    <n v="12"/>
    <s v="PACK"/>
    <n v="12"/>
    <n v="648000"/>
    <n v="0"/>
    <s v="Invoice"/>
    <s v="Sudah Jadi FJ"/>
    <s v=""/>
  </r>
  <r>
    <d v="2026-06-03T00:00:00"/>
    <d v="2026-06-02T00:00:00"/>
    <s v="SO-KS/2606/020402"/>
    <s v="MKS Bali"/>
    <x v="145"/>
    <x v="1"/>
    <x v="13"/>
    <s v="060017"/>
    <s v="Nestle Blackcurrant Drink 750gr/Pack"/>
    <n v="16"/>
    <s v="PACK"/>
    <n v="16"/>
    <n v="1089599.98"/>
    <n v="0"/>
    <s v="Invoice"/>
    <s v="Sudah Jadi FJ"/>
    <s v=""/>
  </r>
  <r>
    <d v="2026-06-03T00:00:00"/>
    <d v="2026-06-02T00:00:00"/>
    <s v="SO-KS/2606/020402"/>
    <s v="MKS Bali"/>
    <x v="145"/>
    <x v="1"/>
    <x v="13"/>
    <s v="060018"/>
    <s v="Nestle Lemonade Original 640gr/Pack"/>
    <n v="12"/>
    <s v="PACK"/>
    <n v="12"/>
    <n v="649200.02"/>
    <n v="0"/>
    <s v="Invoice"/>
    <s v="Sudah Jadi FJ"/>
    <s v=""/>
  </r>
  <r>
    <d v="2026-06-03T00:00:00"/>
    <d v="2026-06-02T00:00:00"/>
    <s v="SO-KS/2606/020402"/>
    <s v="MKS Bali"/>
    <x v="145"/>
    <x v="1"/>
    <x v="13"/>
    <s v="060019"/>
    <s v="Nestle Orange Pouch NP 560gr/Pack"/>
    <n v="12"/>
    <s v="PACK"/>
    <n v="12"/>
    <n v="649200.01"/>
    <n v="0"/>
    <s v="Invoice"/>
    <s v="Sudah Jadi FJ"/>
    <s v=""/>
  </r>
  <r>
    <d v="2026-06-03T00:00:00"/>
    <d v="2026-06-02T00:00:00"/>
    <s v="SO-KS/2606/020402"/>
    <s v="MKS Bali"/>
    <x v="145"/>
    <x v="1"/>
    <x v="13"/>
    <s v="060013"/>
    <s v="Nestea Lemon Tea 1kg/Pack"/>
    <n v="12"/>
    <s v="PACK"/>
    <n v="12"/>
    <n v="770400.03"/>
    <n v="0"/>
    <s v="Invoice"/>
    <s v="Sudah Jadi FJ"/>
    <s v=""/>
  </r>
  <r>
    <d v="2026-06-03T00:00:00"/>
    <d v="2026-06-02T00:00:00"/>
    <s v="SO-KS/2606/020403"/>
    <s v="MKS Bali"/>
    <x v="147"/>
    <x v="1"/>
    <x v="16"/>
    <s v="020020"/>
    <s v="NESTLE Milo Activ-Go NPro 960Gr/Pack"/>
    <n v="16"/>
    <s v="PACK"/>
    <n v="16"/>
    <n v="1847040"/>
    <n v="0"/>
    <s v="Invoice"/>
    <s v="Sudah Jadi FJ"/>
    <s v=""/>
  </r>
  <r>
    <d v="2026-06-03T00:00:00"/>
    <d v="2026-06-02T00:00:00"/>
    <s v="SO-KS/2606/020403"/>
    <s v="MKS Bali"/>
    <x v="147"/>
    <x v="1"/>
    <x v="16"/>
    <s v="060015"/>
    <s v="Nestea Lychee Tea Npro 560gr/Pack"/>
    <n v="24"/>
    <s v="PACK"/>
    <n v="24"/>
    <n v="1345320"/>
    <n v="0"/>
    <s v="Invoice"/>
    <s v="Sudah Jadi FJ"/>
    <s v=""/>
  </r>
  <r>
    <d v="2026-06-03T00:00:00"/>
    <d v="2026-06-02T00:00:00"/>
    <s v="SO-KS/2606/020403"/>
    <s v="MKS Bali"/>
    <x v="147"/>
    <x v="1"/>
    <x v="16"/>
    <s v="060016"/>
    <s v="Nestea Teh Tarik NPro 960gr/Pack"/>
    <n v="16"/>
    <s v="PACK"/>
    <n v="16"/>
    <n v="1900320"/>
    <n v="0"/>
    <s v="Invoice"/>
    <s v="Sudah Jadi FJ"/>
    <s v=""/>
  </r>
  <r>
    <d v="2026-06-03T00:00:00"/>
    <d v="2026-06-02T00:00:00"/>
    <s v="SO-KS/2606/020403"/>
    <s v="MKS Bali"/>
    <x v="147"/>
    <x v="1"/>
    <x v="16"/>
    <s v="060013"/>
    <s v="Nestea Lemon Tea 1kg/Pack"/>
    <n v="24"/>
    <s v="PACK"/>
    <n v="24"/>
    <n v="1691640"/>
    <n v="0"/>
    <s v="Invoice"/>
    <s v="Sudah Jadi FJ"/>
    <s v=""/>
  </r>
  <r>
    <d v="2026-06-03T00:00:00"/>
    <d v="2026-06-02T00:00:00"/>
    <s v="SO-KS/2606/020404"/>
    <s v="MKS Bali"/>
    <x v="148"/>
    <x v="0"/>
    <x v="16"/>
    <s v="300099"/>
    <s v="Magic Lezat @1kg/pack"/>
    <n v="6"/>
    <s v="PACK"/>
    <n v="6"/>
    <n v="261899.97"/>
    <n v="0"/>
    <s v="Invoice"/>
    <s v="Sudah Jadi FJ"/>
    <s v=""/>
  </r>
  <r>
    <d v="2026-06-03T00:00:00"/>
    <d v="2026-06-02T00:00:00"/>
    <s v="SO-KS/2606/020405"/>
    <s v="MKS Bali"/>
    <x v="149"/>
    <x v="1"/>
    <x v="16"/>
    <s v="060007"/>
    <s v="Nescafe Classic Vending 120gr/Pack"/>
    <n v="48"/>
    <s v="PACK"/>
    <n v="48"/>
    <n v="2850480"/>
    <n v="0"/>
    <s v="Invoice"/>
    <s v="Sudah Jadi FJ"/>
    <s v=""/>
  </r>
  <r>
    <d v="2026-06-03T00:00:00"/>
    <d v="2026-06-02T00:00:00"/>
    <s v="SO-KS/2606/020406"/>
    <s v="MKS Bali"/>
    <x v="150"/>
    <x v="0"/>
    <x v="17"/>
    <s v="300099"/>
    <s v="Magic Lezat @1kg/pack"/>
    <n v="30"/>
    <s v="PACK"/>
    <n v="30"/>
    <n v="1309499.8600000001"/>
    <n v="0"/>
    <s v="Invoice"/>
    <s v="Sudah Jadi FJ"/>
    <s v=""/>
  </r>
  <r>
    <d v="2026-06-03T00:00:00"/>
    <d v="2026-06-02T00:00:00"/>
    <s v="SO-KS/2606/020407"/>
    <s v="MKS Bali"/>
    <x v="151"/>
    <x v="1"/>
    <x v="10"/>
    <s v="PSJ0063"/>
    <s v="Amron Tenderloin Whole"/>
    <n v="10"/>
    <s v="KG"/>
    <n v="9.9498999999999995"/>
    <n v="1741250"/>
    <n v="-5.0099999999999999E-2"/>
    <s v="Invoice"/>
    <s v="Sudah Jadi FJ"/>
    <s v=""/>
  </r>
  <r>
    <d v="2026-06-03T00:00:00"/>
    <d v="2026-06-02T00:00:00"/>
    <s v="SO-KS/2606/020408"/>
    <s v="MKS Bali"/>
    <x v="151"/>
    <x v="1"/>
    <x v="10"/>
    <s v="SFM018"/>
    <s v="Tepung Ninja @25Kg/Sack"/>
    <n v="1"/>
    <s v="SACK"/>
    <n v="1"/>
    <n v="295000"/>
    <n v="0"/>
    <s v="Invoice"/>
    <s v="Sudah Jadi FJ"/>
    <s v=""/>
  </r>
  <r>
    <d v="2026-06-03T00:00:00"/>
    <d v="2026-06-02T00:00:00"/>
    <s v="SO-KS/2606/020410"/>
    <s v="MKS Bali"/>
    <x v="152"/>
    <x v="0"/>
    <x v="15"/>
    <s v="020011"/>
    <s v="Nestle Dark Cocoa Drink Npro 1kg/Pack"/>
    <n v="2"/>
    <s v="PACK"/>
    <n v="2"/>
    <n v="178000"/>
    <n v="0"/>
    <s v="Invoice"/>
    <s v="Sudah Jadi FJ"/>
    <s v=""/>
  </r>
  <r>
    <d v="2026-06-03T00:00:00"/>
    <d v="2026-06-02T00:00:00"/>
    <s v="SO-KS/2606/020412"/>
    <s v="MKS Bali"/>
    <x v="153"/>
    <x v="0"/>
    <x v="17"/>
    <s v="300098"/>
    <s v="MAGGI Seasoning @800ml/Btl"/>
    <n v="4"/>
    <s v="BTL"/>
    <n v="4"/>
    <n v="277800.01"/>
    <n v="0"/>
    <s v="Invoice"/>
    <s v="Sudah Jadi FJ"/>
    <s v=""/>
  </r>
  <r>
    <d v="2026-06-03T00:00:00"/>
    <d v="2026-06-02T00:00:00"/>
    <s v="SO-KS/2606/020412"/>
    <s v="MKS Bali"/>
    <x v="153"/>
    <x v="0"/>
    <x v="17"/>
    <s v="060007"/>
    <s v="Nescafe Classic Vending 120gr/Pack"/>
    <n v="48"/>
    <s v="PACK"/>
    <n v="48"/>
    <n v="2591999.96"/>
    <n v="0"/>
    <s v="Invoice"/>
    <s v="Sudah Jadi FJ"/>
    <s v=""/>
  </r>
  <r>
    <d v="2026-06-03T00:00:00"/>
    <d v="2026-06-02T00:00:00"/>
    <s v="SO-KS/2606/020416"/>
    <s v="MKS Bali"/>
    <x v="100"/>
    <x v="1"/>
    <x v="1"/>
    <s v="PSJ0187"/>
    <s v="Borello Topside"/>
    <n v="27"/>
    <s v="KG"/>
    <n v="23.219899999999999"/>
    <n v="3831300"/>
    <n v="-3.7801"/>
    <s v="Invoice"/>
    <s v="Sudah Jadi FJ"/>
    <s v=" kitchen fbc"/>
  </r>
  <r>
    <d v="2026-06-03T00:00:00"/>
    <d v="2026-06-02T00:00:00"/>
    <s v="SO-KS/2606/020418"/>
    <s v="MKS Bali"/>
    <x v="108"/>
    <x v="0"/>
    <x v="1"/>
    <s v="080240"/>
    <s v="THE ALTERNATIVE Barista Oat Milk 1 Lt"/>
    <n v="12"/>
    <s v="PCS"/>
    <n v="12"/>
    <n v="559440"/>
    <n v="0"/>
    <s v="Invoice"/>
    <s v="Sudah Jadi FJ"/>
    <s v="tmbhan"/>
  </r>
  <r>
    <d v="2026-06-03T00:00:00"/>
    <d v="2026-06-02T00:00:00"/>
    <s v="SO-KS/2606/020419"/>
    <s v="MKS Bali"/>
    <x v="127"/>
    <x v="1"/>
    <x v="12"/>
    <s v="120007"/>
    <s v="Tepung Double Zero 1kg/pack"/>
    <n v="150"/>
    <s v="KG"/>
    <n v="150"/>
    <n v="2249999.42"/>
    <n v="0"/>
    <s v="Invoice"/>
    <s v="Sudah Jadi FJ"/>
    <s v=""/>
  </r>
  <r>
    <d v="2026-06-03T00:00:00"/>
    <d v="2026-06-02T00:00:00"/>
    <s v="SO-KS/2606/020420"/>
    <s v="MKS Bali"/>
    <x v="154"/>
    <x v="0"/>
    <x v="1"/>
    <s v="080241"/>
    <s v="THE ALTERNATIVE Barista Almond Milk 1 Lt"/>
    <n v="8"/>
    <s v="PCS"/>
    <n v="8"/>
    <n v="372960"/>
    <n v="0"/>
    <s v="Invoice"/>
    <s v="Sudah Jadi FJ"/>
    <s v=""/>
  </r>
  <r>
    <d v="2026-06-03T00:00:00"/>
    <d v="2026-06-02T00:00:00"/>
    <s v="SO-KS/2606/020420"/>
    <s v="MKS Bali"/>
    <x v="154"/>
    <x v="0"/>
    <x v="1"/>
    <s v="PLN0003"/>
    <s v="ELLENKA BARISTA COCONUT MILK 1000ML APL"/>
    <n v="2"/>
    <s v="PACK"/>
    <n v="2"/>
    <n v="84360"/>
    <n v="0"/>
    <s v="Invoice"/>
    <s v="Sudah Jadi FJ"/>
    <s v=""/>
  </r>
  <r>
    <d v="2026-06-03T00:00:00"/>
    <d v="2026-06-02T00:00:00"/>
    <s v="SO-KS/2606/020421"/>
    <s v="MKS Bali"/>
    <x v="52"/>
    <x v="1"/>
    <x v="1"/>
    <s v="SFM018"/>
    <s v="Tepung Ninja @25Kg/Sack"/>
    <n v="1"/>
    <s v="SACK"/>
    <n v="1"/>
    <n v="315000"/>
    <n v="0"/>
    <s v="Invoice"/>
    <s v="Sudah Jadi FJ"/>
    <s v="TAMBAHAN"/>
  </r>
  <r>
    <d v="2026-06-03T00:00:00"/>
    <d v="2026-06-02T00:00:00"/>
    <s v="SO-KS/2606/020422"/>
    <s v="MKS Bali"/>
    <x v="155"/>
    <x v="0"/>
    <x v="1"/>
    <s v="120011"/>
    <s v="Tepung Easymix Pisang Goreng @1kg/pack"/>
    <n v="10"/>
    <s v="KG"/>
    <n v="10"/>
    <n v="327450"/>
    <n v="0"/>
    <s v="Invoice"/>
    <s v="Sudah Jadi FJ"/>
    <s v=""/>
  </r>
  <r>
    <d v="2026-06-03T00:00:00"/>
    <d v="2026-06-02T00:00:00"/>
    <s v="SO-KS/2606/020423"/>
    <s v="MKS Bali"/>
    <x v="156"/>
    <x v="0"/>
    <x v="9"/>
    <s v="120006"/>
    <s v="Tepung Crispy Ala Kentucky 1kg/pack"/>
    <n v="3"/>
    <s v="KG"/>
    <n v="3"/>
    <n v="98235"/>
    <n v="0"/>
    <s v="Invoice"/>
    <s v="Sudah Jadi FJ"/>
    <s v=""/>
  </r>
  <r>
    <d v="2026-06-03T00:00:00"/>
    <d v="2026-06-02T00:00:00"/>
    <s v="SO-KS/2606/020425"/>
    <s v="MKS Bali"/>
    <x v="8"/>
    <x v="0"/>
    <x v="3"/>
    <s v="120006"/>
    <s v="Tepung Crispy Ala Kentucky 1kg/pack"/>
    <n v="10"/>
    <s v="KG"/>
    <n v="10"/>
    <n v="327450"/>
    <n v="0"/>
    <s v="Invoice"/>
    <s v="Sudah Jadi FJ"/>
    <s v=""/>
  </r>
  <r>
    <d v="2026-06-03T00:00:00"/>
    <d v="2026-06-02T00:00:00"/>
    <s v="SO-KS/2606/020426"/>
    <s v="MKS Bali"/>
    <x v="157"/>
    <x v="1"/>
    <x v="6"/>
    <s v="PPK0010"/>
    <s v="Block Red Cheddar Mix Cheese 5x2kg"/>
    <n v="2"/>
    <s v="KG"/>
    <n v="2.0099999999999998"/>
    <n v="301500.01"/>
    <n v="0.01"/>
    <s v="Invoice"/>
    <s v="Sudah Jadi FJ"/>
    <s v="1 pck"/>
  </r>
  <r>
    <d v="2026-06-03T00:00:00"/>
    <d v="2026-06-02T00:00:00"/>
    <s v="SO-KS/2606/020428"/>
    <s v="MKS Bali"/>
    <x v="14"/>
    <x v="0"/>
    <x v="7"/>
    <s v="SFM007"/>
    <s v="Tepung Double Zero @25Kg/Sack"/>
    <n v="1"/>
    <s v="SACK"/>
    <n v="1"/>
    <n v="300000"/>
    <n v="0"/>
    <s v="Invoice"/>
    <s v="Sudah Jadi FJ"/>
    <s v="Tambahan"/>
  </r>
  <r>
    <d v="2026-06-03T00:00:00"/>
    <d v="2026-06-02T00:00:00"/>
    <s v="SO-KS/2606/020429"/>
    <s v="MKS Bali"/>
    <x v="158"/>
    <x v="1"/>
    <x v="2"/>
    <s v="SFM053"/>
    <s v="Inofa Heat Treated Wheat Flour SF 346 @1kg/pack"/>
    <n v="15"/>
    <s v="KG"/>
    <n v="15"/>
    <n v="407925"/>
    <n v="0"/>
    <s v="Invoice"/>
    <s v="Sudah Jadi FJ"/>
    <s v=""/>
  </r>
  <r>
    <d v="2026-06-03T00:00:00"/>
    <d v="2026-06-02T00:00:00"/>
    <s v="SO-KS/2606/020431"/>
    <s v="MKS Bali"/>
    <x v="159"/>
    <x v="1"/>
    <x v="10"/>
    <s v="SFM018"/>
    <s v="Tepung Ninja @25Kg/Sack"/>
    <n v="2"/>
    <s v="SACK"/>
    <n v="2"/>
    <n v="568000"/>
    <n v="0"/>
    <s v="Invoice"/>
    <s v="Sudah Jadi FJ"/>
    <s v=""/>
  </r>
  <r>
    <d v="2026-06-03T00:00:00"/>
    <d v="2026-06-02T00:00:00"/>
    <s v="SO-KS/2606/020432"/>
    <s v="MKS Bali"/>
    <x v="160"/>
    <x v="1"/>
    <x v="0"/>
    <s v="120015"/>
    <s v="Tepung Japanese Tempura 1kg/pack"/>
    <n v="10"/>
    <s v="KG"/>
    <n v="10"/>
    <n v="362970"/>
    <n v="0"/>
    <s v="Invoice"/>
    <s v="Sudah Jadi FJ"/>
    <s v=""/>
  </r>
  <r>
    <d v="2026-06-03T00:00:00"/>
    <d v="2026-06-02T00:00:00"/>
    <s v="SO-KS/2606/020433"/>
    <s v="MKS Bali"/>
    <x v="93"/>
    <x v="1"/>
    <x v="7"/>
    <s v="PSJ0228"/>
    <s v="Premium Minced Beef (2.5kg/pack)"/>
    <n v="10"/>
    <s v="KG"/>
    <n v="10"/>
    <n v="1000000"/>
    <n v="0"/>
    <s v="Invoice"/>
    <s v="Sudah Jadi FJ"/>
    <s v="oasis. tambahan"/>
  </r>
  <r>
    <d v="2026-06-03T00:00:00"/>
    <d v="2026-06-02T00:00:00"/>
    <s v="SO-KS/2606/020434"/>
    <s v="MKS Bali"/>
    <x v="161"/>
    <x v="1"/>
    <x v="4"/>
    <s v="SFM007"/>
    <s v="Tepung Double Zero @25Kg/Sack"/>
    <n v="3"/>
    <s v="SACK"/>
    <n v="3"/>
    <n v="918000"/>
    <n v="0"/>
    <s v="Invoice"/>
    <s v="Sudah Jadi FJ"/>
    <s v=""/>
  </r>
  <r>
    <d v="2026-06-03T00:00:00"/>
    <d v="2026-06-02T00:00:00"/>
    <s v="SO-KS/2606/020435"/>
    <s v="MKS Bali"/>
    <x v="162"/>
    <x v="0"/>
    <x v="8"/>
    <s v="120006"/>
    <s v="Tepung Crispy Ala Kentucky 1kg/pack"/>
    <n v="10"/>
    <s v="KG"/>
    <n v="10"/>
    <n v="327450"/>
    <n v="0"/>
    <s v="Invoice"/>
    <s v="Sudah Jadi FJ"/>
    <s v=""/>
  </r>
  <r>
    <d v="2026-06-03T00:00:00"/>
    <d v="2026-06-02T00:00:00"/>
    <s v="SO-KS/2606/020435"/>
    <s v="MKS Bali"/>
    <x v="162"/>
    <x v="0"/>
    <x v="8"/>
    <s v="120015"/>
    <s v="Tepung Japanese Tempura 1kg/pack"/>
    <n v="20"/>
    <s v="KG"/>
    <n v="20"/>
    <n v="725940"/>
    <n v="0"/>
    <s v="Invoice"/>
    <s v="Sudah Jadi FJ"/>
    <s v=""/>
  </r>
  <r>
    <d v="2026-06-03T00:00:00"/>
    <d v="2026-06-02T00:00:00"/>
    <s v="SO-KS/2606/020435"/>
    <s v="MKS Bali"/>
    <x v="162"/>
    <x v="0"/>
    <x v="8"/>
    <s v="120007"/>
    <s v="Tepung Double Zero 1kg/pack"/>
    <n v="50"/>
    <s v="KG"/>
    <n v="50"/>
    <n v="799999.76"/>
    <n v="0"/>
    <s v="Invoice"/>
    <s v="Sudah Jadi FJ"/>
    <s v=""/>
  </r>
  <r>
    <d v="2026-06-03T00:00:00"/>
    <d v="2026-06-02T00:00:00"/>
    <s v="SO-KS/2606/020436"/>
    <s v="MKS Bali"/>
    <x v="163"/>
    <x v="1"/>
    <x v="1"/>
    <s v="120007"/>
    <s v="Tepung Double Zero 1kg/pack"/>
    <n v="8"/>
    <s v="KG"/>
    <n v="8"/>
    <n v="133200"/>
    <n v="0"/>
    <s v="Invoice"/>
    <s v="Sudah Jadi FJ"/>
    <s v=""/>
  </r>
  <r>
    <d v="2026-06-03T00:00:00"/>
    <d v="2026-06-02T00:00:00"/>
    <s v="SO-KS/2606/020437"/>
    <s v="MKS Bali"/>
    <x v="164"/>
    <x v="0"/>
    <x v="8"/>
    <s v="120015"/>
    <s v="Tepung Japanese Tempura 1kg/pack"/>
    <n v="10"/>
    <s v="KG"/>
    <n v="10"/>
    <n v="362970"/>
    <n v="0"/>
    <s v="Invoice"/>
    <s v="Sudah Jadi FJ"/>
    <s v=""/>
  </r>
  <r>
    <d v="2026-06-03T00:00:00"/>
    <d v="2026-06-02T00:00:00"/>
    <s v="SO-KS/2606/020439"/>
    <s v="MKS Bali"/>
    <x v="149"/>
    <x v="1"/>
    <x v="0"/>
    <s v="SFM007"/>
    <s v="Tepung Double Zero @25Kg/Sack"/>
    <n v="4"/>
    <s v="SACK"/>
    <n v="4"/>
    <n v="1259999.99"/>
    <n v="0"/>
    <s v="Invoice"/>
    <s v="Sudah Jadi FJ"/>
    <s v=""/>
  </r>
  <r>
    <d v="2026-06-03T00:00:00"/>
    <d v="2026-06-02T00:00:00"/>
    <s v="SO-KS/2606/020440"/>
    <s v="MKS Bali"/>
    <x v="165"/>
    <x v="1"/>
    <x v="1"/>
    <s v="PPA0092"/>
    <s v="Emborg Pizza Topping 2.3 Kg"/>
    <n v="6.9"/>
    <s v="KG"/>
    <n v="6.9"/>
    <n v="759000.01"/>
    <n v="0"/>
    <s v="Invoice"/>
    <s v="Sudah Jadi FJ"/>
    <s v="3 loaf"/>
  </r>
  <r>
    <d v="2026-06-03T00:00:00"/>
    <d v="2026-06-02T00:00:00"/>
    <s v="SO-KS/2606/020441"/>
    <s v="MKS Bali"/>
    <x v="166"/>
    <x v="1"/>
    <x v="10"/>
    <s v="PSJ0063"/>
    <s v="Amron Tenderloin Whole"/>
    <n v="4"/>
    <s v="KG"/>
    <n v="3.76"/>
    <n v="639200"/>
    <n v="-0.24"/>
    <s v="Invoice"/>
    <s v="Sudah Jadi FJ"/>
    <s v=""/>
  </r>
  <r>
    <d v="2026-06-03T00:00:00"/>
    <d v="2026-06-02T00:00:00"/>
    <s v="SO-KS/2606/020442"/>
    <s v="MKS Bali"/>
    <x v="167"/>
    <x v="0"/>
    <x v="0"/>
    <s v="PSJ0393"/>
    <s v="Duck Peking whole size 2-2.2 kg"/>
    <n v="25"/>
    <s v="KG"/>
    <n v="25.399899999999999"/>
    <n v="1905000"/>
    <n v="0.39989999999999998"/>
    <s v="Invoice"/>
    <s v="Sudah Jadi FJ"/>
    <s v=""/>
  </r>
  <r>
    <d v="2026-06-03T00:00:00"/>
    <d v="2026-06-02T00:00:00"/>
    <s v="SO-KS/2606/020443"/>
    <s v="MKS Bali"/>
    <x v="168"/>
    <x v="1"/>
    <x v="9"/>
    <s v="SFM052"/>
    <s v="Inofa Heat Treated Wheat Flour SF 346 @25kg/sack"/>
    <n v="2"/>
    <s v="SACK"/>
    <n v="2"/>
    <n v="1134000"/>
    <n v="0"/>
    <s v="Invoice"/>
    <s v="Sudah Jadi FJ"/>
    <s v=""/>
  </r>
  <r>
    <d v="2026-06-03T00:00:00"/>
    <d v="2026-06-02T00:00:00"/>
    <s v="SO-KS/2606/020444"/>
    <s v="MKS Bali"/>
    <x v="166"/>
    <x v="1"/>
    <x v="10"/>
    <s v="PSJ0063"/>
    <s v="Amron Tenderloin Whole"/>
    <n v="5"/>
    <s v="KG"/>
    <n v="4.75"/>
    <n v="807500"/>
    <n v="-0.25"/>
    <s v="Invoice"/>
    <s v="Sudah Jadi FJ"/>
    <s v=""/>
  </r>
  <r>
    <d v="2026-06-03T00:00:00"/>
    <d v="2026-06-02T00:00:00"/>
    <s v="SO-KS/2606/020445"/>
    <s v="MKS Bali"/>
    <x v="169"/>
    <x v="0"/>
    <x v="17"/>
    <s v="020020"/>
    <s v="NESTLE Milo Activ-Go NPro 960Gr/Pack"/>
    <n v="3"/>
    <s v="PACK"/>
    <n v="3"/>
    <n v="315000"/>
    <n v="0"/>
    <s v="Invoice"/>
    <s v="Sudah Jadi FJ"/>
    <s v="I Ketu Adi Setiawan-Purchasing Staff PT. SSP TAURUS GEMILANG ( sales-gek mas) ikut kiriman PT. SSP TAURUS GEMILANG produk nestle"/>
  </r>
  <r>
    <d v="2026-06-03T00:00:00"/>
    <d v="2026-06-02T00:00:00"/>
    <s v="SO-KS/2606/020446"/>
    <s v="MKS Bali"/>
    <x v="166"/>
    <x v="1"/>
    <x v="10"/>
    <s v="PLN0002"/>
    <s v="RICH CREME WHIPING CREAM 800G POUCH"/>
    <n v="2"/>
    <s v="POU"/>
    <n v="2"/>
    <n v="190920"/>
    <n v="0"/>
    <s v="Invoice"/>
    <s v="Sudah Jadi FJ"/>
    <s v=""/>
  </r>
  <r>
    <d v="2026-06-03T00:00:00"/>
    <d v="2026-06-02T00:00:00"/>
    <s v="SO-KS/2606/020447"/>
    <s v="MKS Bali"/>
    <x v="166"/>
    <x v="1"/>
    <x v="10"/>
    <s v="PSJ0063"/>
    <s v="Amron Tenderloin Whole"/>
    <n v="5"/>
    <s v="KG"/>
    <n v="4.5999999999999996"/>
    <n v="782000"/>
    <n v="-0.4"/>
    <s v="Invoice"/>
    <s v="Sudah Jadi FJ"/>
    <s v=""/>
  </r>
  <r>
    <d v="2026-06-03T00:00:00"/>
    <d v="2026-06-02T00:00:00"/>
    <s v="SO-KS/2606/020448"/>
    <s v="MKS Bali"/>
    <x v="166"/>
    <x v="1"/>
    <x v="10"/>
    <s v="PSJ0063"/>
    <s v="Amron Tenderloin Whole"/>
    <n v="2"/>
    <s v="KG"/>
    <n v="1.65"/>
    <n v="280500"/>
    <n v="-0.35"/>
    <s v="Invoice"/>
    <s v="Sudah Jadi FJ"/>
    <s v=""/>
  </r>
  <r>
    <d v="2026-06-03T00:00:00"/>
    <d v="2026-06-02T00:00:00"/>
    <s v="SO-KS/2606/020449"/>
    <s v="MKS Bali"/>
    <x v="170"/>
    <x v="0"/>
    <x v="6"/>
    <s v="PSJ0007"/>
    <s v="Friboi Brazil Tenderloin Whole"/>
    <n v="8"/>
    <s v="KG"/>
    <n v="7.7"/>
    <n v="2772000"/>
    <n v="-0.3"/>
    <s v="Invoice"/>
    <s v="Sudah Jadi FJ"/>
    <s v=""/>
  </r>
  <r>
    <d v="2026-06-03T00:00:00"/>
    <d v="2026-06-02T00:00:00"/>
    <s v="SO-KS/2606/020450"/>
    <s v="MKS Bali"/>
    <x v="171"/>
    <x v="1"/>
    <x v="6"/>
    <s v="PSJ0024"/>
    <s v="Halal Minced Beef 1Kg/Pack"/>
    <n v="5"/>
    <s v="KG"/>
    <n v="5"/>
    <n v="625000"/>
    <n v="0"/>
    <s v="Invoice"/>
    <s v="Sudah Jadi FJ"/>
    <s v="untuk pak remon"/>
  </r>
  <r>
    <d v="2026-06-03T00:00:00"/>
    <d v="2026-06-02T00:00:00"/>
    <s v="SO-KS/2606/020451"/>
    <s v="MKS Bali"/>
    <x v="172"/>
    <x v="0"/>
    <x v="4"/>
    <s v="SFM052"/>
    <s v="Inofa Heat Treated Wheat Flour SF 346 @25kg/sack"/>
    <n v="2"/>
    <s v="SACK"/>
    <n v="2"/>
    <n v="1154400"/>
    <n v="0"/>
    <s v="Invoice"/>
    <s v="Sudah Jadi FJ"/>
    <s v=""/>
  </r>
  <r>
    <d v="2026-06-03T00:00:00"/>
    <d v="2026-06-02T00:00:00"/>
    <s v="SO-KS/2606/020453"/>
    <s v="MKS Bali"/>
    <x v="173"/>
    <x v="1"/>
    <x v="10"/>
    <s v="PKA0010"/>
    <s v="EQUAL Classic 100 Pcs/Pack"/>
    <n v="10"/>
    <s v="PACK"/>
    <n v="10"/>
    <n v="319999.99"/>
    <n v="0"/>
    <s v="Invoice"/>
    <s v="Sudah Jadi FJ"/>
    <s v=""/>
  </r>
  <r>
    <d v="2026-06-03T00:00:00"/>
    <d v="2026-06-02T00:00:00"/>
    <s v="SO-KS/2606/020454"/>
    <s v="MKS Bali"/>
    <x v="174"/>
    <x v="1"/>
    <x v="2"/>
    <s v="SFM007"/>
    <s v="Tepung Double Zero @25Kg/Sack"/>
    <n v="2"/>
    <s v="SACK"/>
    <n v="2"/>
    <n v="554000"/>
    <n v="0"/>
    <s v="Invoice"/>
    <s v="Sudah Jadi FJ"/>
    <s v=""/>
  </r>
  <r>
    <d v="2026-06-03T00:00:00"/>
    <d v="2026-06-02T00:00:00"/>
    <s v="SO-KS/2606/020455"/>
    <s v="MKS Bali"/>
    <x v="175"/>
    <x v="1"/>
    <x v="10"/>
    <s v="120015"/>
    <s v="Tepung Japanese Tempura 1kg/pack"/>
    <n v="10"/>
    <s v="KG"/>
    <n v="10"/>
    <n v="362970"/>
    <n v="0"/>
    <s v="Invoice"/>
    <s v="Sudah Jadi FJ"/>
    <s v=""/>
  </r>
  <r>
    <d v="2026-06-03T00:00:00"/>
    <d v="2026-06-02T00:00:00"/>
    <s v="SO-KS/2606/020456"/>
    <s v="MKS Bali"/>
    <x v="176"/>
    <x v="1"/>
    <x v="1"/>
    <s v="SFM009"/>
    <s v="Tepung Hime @25Kg/Sack"/>
    <n v="4"/>
    <s v="SACK"/>
    <n v="4"/>
    <n v="1320000.01"/>
    <n v="0"/>
    <s v="Invoice"/>
    <s v="Sudah Jadi FJ"/>
    <s v=""/>
  </r>
  <r>
    <d v="2026-06-03T00:00:00"/>
    <d v="2026-06-02T00:00:00"/>
    <s v="SO-KS/2606/020457"/>
    <s v="MKS Bali"/>
    <x v="141"/>
    <x v="1"/>
    <x v="7"/>
    <s v="PAN0004"/>
    <s v="DP Mozzarella 2.5Kg"/>
    <n v="20"/>
    <s v="KG"/>
    <n v="20"/>
    <n v="2539999.9"/>
    <n v="0"/>
    <s v="Invoice"/>
    <s v="Sudah Jadi FJ"/>
    <s v=""/>
  </r>
  <r>
    <d v="2026-06-03T00:00:00"/>
    <d v="2026-06-02T00:00:00"/>
    <s v="SO-KS/2606/020458"/>
    <s v="MKS Bali"/>
    <x v="168"/>
    <x v="1"/>
    <x v="9"/>
    <s v="120014"/>
    <s v="Tepung Hime 1kg/pack"/>
    <n v="15"/>
    <s v="KG"/>
    <n v="15"/>
    <n v="258075"/>
    <n v="0"/>
    <s v="Invoice"/>
    <s v="Sudah Jadi FJ"/>
    <s v=""/>
  </r>
  <r>
    <d v="2026-06-03T00:00:00"/>
    <d v="2026-06-02T00:00:00"/>
    <s v="SO-KS/2606/020459"/>
    <s v="MKS Bali"/>
    <x v="177"/>
    <x v="1"/>
    <x v="9"/>
    <s v="SFM009"/>
    <s v="Tepung Hime @25Kg/Sack"/>
    <n v="15"/>
    <s v="SACK"/>
    <n v="15"/>
    <n v="4350000"/>
    <n v="0"/>
    <s v="Invoice"/>
    <s v="Sudah Jadi FJ"/>
    <s v=""/>
  </r>
  <r>
    <d v="2026-06-03T00:00:00"/>
    <d v="2026-06-02T00:00:00"/>
    <s v="SO-KS/2606/020460"/>
    <s v="MKS Bali"/>
    <x v="178"/>
    <x v="1"/>
    <x v="17"/>
    <s v="060007"/>
    <s v="Nescafe Classic Vending 120gr/Pack"/>
    <n v="240"/>
    <s v="PACK"/>
    <n v="240"/>
    <n v="12959999.83"/>
    <n v="0"/>
    <s v="Invoice"/>
    <s v="Sudah Jadi FJ"/>
    <s v=""/>
  </r>
  <r>
    <d v="2026-06-03T00:00:00"/>
    <d v="2026-06-02T00:00:00"/>
    <s v="SO-KS/2606/020460"/>
    <s v="MKS Bali"/>
    <x v="178"/>
    <x v="1"/>
    <x v="17"/>
    <s v="300099"/>
    <s v="Magic Lezat @1kg/pack"/>
    <n v="12"/>
    <s v="PACK"/>
    <n v="12"/>
    <n v="523799.94"/>
    <n v="0"/>
    <s v="Invoice"/>
    <s v="Sudah Jadi FJ"/>
    <s v=""/>
  </r>
  <r>
    <d v="2026-06-03T00:00:00"/>
    <d v="2026-06-02T00:00:00"/>
    <s v="SO-KS/2606/020461"/>
    <s v="MKS Bali"/>
    <x v="179"/>
    <x v="1"/>
    <x v="1"/>
    <s v="SFM009"/>
    <s v="Tepung Hime @25Kg/Sack"/>
    <n v="1"/>
    <s v="SACK"/>
    <n v="1"/>
    <n v="355200"/>
    <n v="0"/>
    <s v="Invoice"/>
    <s v="Sudah Jadi FJ"/>
    <s v=""/>
  </r>
  <r>
    <d v="2026-06-03T00:00:00"/>
    <d v="2026-06-02T00:00:00"/>
    <s v="SO-KS/2606/020462"/>
    <s v="MKS Bali"/>
    <x v="180"/>
    <x v="1"/>
    <x v="2"/>
    <s v="SFM007"/>
    <s v="Tepung Double Zero @25Kg/Sack"/>
    <n v="2"/>
    <s v="SACK"/>
    <n v="2"/>
    <n v="654900"/>
    <n v="0"/>
    <s v="Invoice"/>
    <s v="Sudah Jadi FJ"/>
    <s v=""/>
  </r>
  <r>
    <d v="2026-06-03T00:00:00"/>
    <d v="2026-06-02T00:00:00"/>
    <s v="SO-KS/2606/020463"/>
    <s v="MKS Bali"/>
    <x v="181"/>
    <x v="1"/>
    <x v="0"/>
    <s v="SFM007"/>
    <s v="Tepung Double Zero @25Kg/Sack"/>
    <n v="4"/>
    <s v="SACK"/>
    <n v="4"/>
    <n v="1280000"/>
    <n v="0"/>
    <s v="Invoice"/>
    <s v="Sudah Jadi FJ"/>
    <s v=""/>
  </r>
  <r>
    <d v="2026-06-03T00:00:00"/>
    <d v="2026-06-02T00:00:00"/>
    <s v="SO-KS/2606/020464"/>
    <s v="MKS Bali"/>
    <x v="182"/>
    <x v="1"/>
    <x v="0"/>
    <s v="PSJ0203"/>
    <s v="Borello Rump"/>
    <n v="20"/>
    <s v="KG"/>
    <n v="23.219899999999999"/>
    <n v="3668760"/>
    <n v="3.2199"/>
    <s v="Invoice"/>
    <s v="Sudah Jadi FJ"/>
    <s v=""/>
  </r>
  <r>
    <d v="2026-06-03T00:00:00"/>
    <d v="2026-06-02T00:00:00"/>
    <s v="SO-KS/2606/020466"/>
    <s v="MKS Bali"/>
    <x v="183"/>
    <x v="1"/>
    <x v="0"/>
    <s v="PSJ0203"/>
    <s v="Borello Rump"/>
    <n v="4"/>
    <s v="KG"/>
    <n v="4.17"/>
    <n v="658860"/>
    <n v="0.17"/>
    <s v="Invoice"/>
    <s v="Sudah Jadi FJ"/>
    <s v=""/>
  </r>
  <r>
    <d v="2026-06-03T00:00:00"/>
    <d v="2026-06-02T00:00:00"/>
    <s v="SO-KS/2606/020467"/>
    <s v="MKS Bali"/>
    <x v="184"/>
    <x v="0"/>
    <x v="8"/>
    <s v="120015"/>
    <s v="Tepung Japanese Tempura 1kg/pack"/>
    <n v="20"/>
    <s v="KG"/>
    <n v="20"/>
    <n v="725940"/>
    <n v="0"/>
    <s v="Invoice"/>
    <s v="Sudah Jadi FJ"/>
    <s v=""/>
  </r>
  <r>
    <d v="2026-06-03T00:00:00"/>
    <d v="2026-06-02T00:00:00"/>
    <s v="SO-KS/2606/020467"/>
    <s v="MKS Bali"/>
    <x v="184"/>
    <x v="0"/>
    <x v="8"/>
    <s v="120007"/>
    <s v="Tepung Double Zero 1kg/pack"/>
    <n v="100"/>
    <s v="KG"/>
    <n v="100"/>
    <n v="1549999.56"/>
    <n v="0"/>
    <s v="Invoice"/>
    <s v="Sudah Jadi FJ"/>
    <s v=""/>
  </r>
  <r>
    <d v="2026-06-03T00:00:00"/>
    <d v="2026-06-02T00:00:00"/>
    <s v="SO-KS/2606/020468"/>
    <s v="MKS Bali"/>
    <x v="185"/>
    <x v="1"/>
    <x v="10"/>
    <s v="120015"/>
    <s v="Tepung Japanese Tempura 1kg/pack"/>
    <n v="10"/>
    <s v="KG"/>
    <n v="10"/>
    <n v="330000"/>
    <n v="0"/>
    <s v="Invoice"/>
    <s v="Sudah Jadi FJ"/>
    <s v=""/>
  </r>
  <r>
    <d v="2026-06-03T00:00:00"/>
    <d v="2026-06-02T00:00:00"/>
    <s v="SO-KS/2606/020469"/>
    <s v="MKS Bali"/>
    <x v="186"/>
    <x v="1"/>
    <x v="0"/>
    <s v="SFM007"/>
    <s v="Tepung Double Zero @25Kg/Sack"/>
    <n v="3"/>
    <s v="SACK"/>
    <n v="3"/>
    <n v="960000.01"/>
    <n v="0"/>
    <s v="Invoice"/>
    <s v="Sudah Jadi FJ"/>
    <s v=""/>
  </r>
  <r>
    <d v="2026-06-03T00:00:00"/>
    <d v="2026-06-02T00:00:00"/>
    <s v="SO-KS/2606/020470"/>
    <s v="MKS Bali"/>
    <x v="187"/>
    <x v="1"/>
    <x v="0"/>
    <s v="PSF0014"/>
    <s v="Tepung 00 Fusion @25Kg"/>
    <n v="2"/>
    <s v="SACK"/>
    <n v="2"/>
    <n v="544000.01"/>
    <n v="0"/>
    <s v="Invoice"/>
    <s v="Sudah Jadi FJ"/>
    <s v=""/>
  </r>
  <r>
    <d v="2026-06-03T00:00:00"/>
    <d v="2026-06-02T00:00:00"/>
    <s v="SO-KS/2606/020471"/>
    <s v="MKS Bali"/>
    <x v="188"/>
    <x v="1"/>
    <x v="5"/>
    <s v="SFM007"/>
    <s v="Tepung Double Zero @25Kg/Sack"/>
    <n v="30"/>
    <s v="SACK"/>
    <n v="30"/>
    <n v="8339999.9900000002"/>
    <n v="0"/>
    <s v="Invoice"/>
    <s v="Sudah Jadi FJ"/>
    <s v=" Di Kirim besok ke gudang baru dalung"/>
  </r>
  <r>
    <d v="2026-06-03T00:00:00"/>
    <d v="2026-06-02T00:00:00"/>
    <s v="SO-KS/2606/020472"/>
    <s v="MKS Bali"/>
    <x v="189"/>
    <x v="1"/>
    <x v="6"/>
    <s v="PSJ0228"/>
    <s v="Premium Minced Beef (2.5kg/pack)"/>
    <n v="2.5"/>
    <s v="KG"/>
    <n v="2.5"/>
    <n v="262500"/>
    <n v="0"/>
    <s v="Invoice"/>
    <s v="Sudah Jadi FJ"/>
    <s v="1 pack"/>
  </r>
  <r>
    <d v="2026-06-03T00:00:00"/>
    <d v="2026-06-02T00:00:00"/>
    <s v="SO-KS/2606/020473"/>
    <s v="MKS Bali"/>
    <x v="190"/>
    <x v="1"/>
    <x v="6"/>
    <s v="PSJ0046"/>
    <s v="Allana Tenderloin Whole"/>
    <n v="10"/>
    <s v="KG"/>
    <n v="10.08"/>
    <n v="1864800"/>
    <n v="0.08"/>
    <s v="Invoice"/>
    <s v="Sudah Jadi FJ"/>
    <s v="po estia. 5 loaf"/>
  </r>
  <r>
    <d v="2026-06-03T00:00:00"/>
    <d v="2026-06-02T00:00:00"/>
    <s v="SO-KS/2606/020474"/>
    <s v="MKS Bali"/>
    <x v="191"/>
    <x v="1"/>
    <x v="10"/>
    <s v="SFM009"/>
    <s v="Tepung Hime @25Kg/Sack"/>
    <n v="1"/>
    <s v="SACK"/>
    <n v="1"/>
    <n v="300000"/>
    <n v="0"/>
    <s v="Invoice"/>
    <s v="Sudah Jadi FJ"/>
    <s v=""/>
  </r>
  <r>
    <d v="2026-06-03T00:00:00"/>
    <d v="2026-06-02T00:00:00"/>
    <s v="SO-KS/2606/020474"/>
    <s v="MKS Bali"/>
    <x v="191"/>
    <x v="1"/>
    <x v="10"/>
    <s v="SFM018"/>
    <s v="Tepung Ninja @25Kg/Sack"/>
    <n v="2"/>
    <s v="SACK"/>
    <n v="2"/>
    <n v="590000"/>
    <n v="0"/>
    <s v="Invoice"/>
    <s v="Sudah Jadi FJ"/>
    <s v=""/>
  </r>
  <r>
    <d v="2026-06-03T00:00:00"/>
    <d v="2026-06-02T00:00:00"/>
    <s v="SO-KS/2606/020474"/>
    <s v="MKS Bali"/>
    <x v="191"/>
    <x v="1"/>
    <x v="10"/>
    <s v="SFM007"/>
    <s v="Tepung Double Zero @25Kg/Sack"/>
    <n v="2"/>
    <s v="SACK"/>
    <n v="2"/>
    <n v="654900"/>
    <n v="0"/>
    <s v="Invoice"/>
    <s v="Sudah Jadi FJ"/>
    <s v=""/>
  </r>
  <r>
    <d v="2026-06-03T00:00:00"/>
    <d v="2026-06-02T00:00:00"/>
    <s v="SO-KS/2606/020475"/>
    <s v="MKS Bali"/>
    <x v="192"/>
    <x v="1"/>
    <x v="14"/>
    <s v="120018"/>
    <s v="Tepung Ninja 1kg/pack"/>
    <n v="20"/>
    <s v="KG"/>
    <n v="20"/>
    <n v="361860"/>
    <n v="0"/>
    <s v="Invoice"/>
    <s v="Sudah Jadi FJ"/>
    <s v=""/>
  </r>
  <r>
    <d v="2026-06-03T00:00:00"/>
    <d v="2026-06-02T00:00:00"/>
    <s v="SO-KS/2606/020475"/>
    <s v="MKS Bali"/>
    <x v="192"/>
    <x v="1"/>
    <x v="14"/>
    <s v="120007"/>
    <s v="Tepung Double Zero 1kg/pack"/>
    <n v="20"/>
    <s v="KG"/>
    <n v="20"/>
    <n v="372960"/>
    <n v="0"/>
    <s v="Invoice"/>
    <s v="Sudah Jadi FJ"/>
    <s v=""/>
  </r>
  <r>
    <d v="2026-06-03T00:00:00"/>
    <d v="2026-06-02T00:00:00"/>
    <s v="SO-KS/2606/020477"/>
    <s v="MKS Bali"/>
    <x v="178"/>
    <x v="1"/>
    <x v="12"/>
    <s v="120018"/>
    <s v="Tepung Ninja 1kg/pack"/>
    <n v="100"/>
    <s v="KG"/>
    <n v="100"/>
    <n v="1499999.61"/>
    <n v="0"/>
    <s v="Invoice"/>
    <s v="Sudah Jadi FJ"/>
    <s v=""/>
  </r>
  <r>
    <d v="2026-06-03T00:00:00"/>
    <d v="2026-06-02T00:00:00"/>
    <s v="SO-KS/2606/020477"/>
    <s v="MKS Bali"/>
    <x v="178"/>
    <x v="1"/>
    <x v="12"/>
    <s v="120014"/>
    <s v="Tepung Hime 1kg/pack"/>
    <n v="50"/>
    <s v="KG"/>
    <n v="50"/>
    <n v="749999.81"/>
    <n v="0"/>
    <s v="Invoice"/>
    <s v="Sudah Jadi FJ"/>
    <s v=""/>
  </r>
  <r>
    <d v="2026-06-03T00:00:00"/>
    <d v="2026-06-02T00:00:00"/>
    <s v="SO-KS/2606/020477"/>
    <s v="MKS Bali"/>
    <x v="178"/>
    <x v="1"/>
    <x v="12"/>
    <s v="PSF0023"/>
    <s v="Tepung Hime Fusion 5Kg"/>
    <n v="2"/>
    <s v="BAG"/>
    <n v="2"/>
    <n v="183999.99"/>
    <n v="0"/>
    <s v="Invoice"/>
    <s v="Sudah Jadi FJ"/>
    <s v=""/>
  </r>
  <r>
    <d v="2026-06-03T00:00:00"/>
    <d v="2026-06-02T00:00:00"/>
    <s v="SO-KS/2606/020479"/>
    <s v="MKS Bali"/>
    <x v="183"/>
    <x v="1"/>
    <x v="0"/>
    <s v="PSJ0203"/>
    <s v="Borello Rump"/>
    <n v="4"/>
    <s v="KG"/>
    <n v="5.46"/>
    <n v="862680"/>
    <n v="1.46"/>
    <s v="Invoice"/>
    <s v="Sudah Jadi FJ"/>
    <s v=""/>
  </r>
  <r>
    <d v="2026-06-03T00:00:00"/>
    <d v="2026-06-02T00:00:00"/>
    <s v="SO-KS/2606/020480"/>
    <s v="MKS Bali"/>
    <x v="193"/>
    <x v="1"/>
    <x v="14"/>
    <s v="120007"/>
    <s v="Tepung Double Zero 1kg/pack"/>
    <n v="20"/>
    <s v="KG"/>
    <n v="20"/>
    <n v="372960"/>
    <n v="0"/>
    <s v="Invoice"/>
    <s v="Sudah Jadi FJ"/>
    <s v=""/>
  </r>
  <r>
    <d v="2026-06-03T00:00:00"/>
    <d v="2026-06-02T00:00:00"/>
    <s v="SO-KS/2606/020481"/>
    <s v="MKS Bali"/>
    <x v="191"/>
    <x v="1"/>
    <x v="10"/>
    <s v="080239"/>
    <s v="THE ALTERNATIVE Barista Soy Milk 1 Lt"/>
    <n v="12"/>
    <s v="PCS"/>
    <n v="12"/>
    <n v="461538"/>
    <n v="0"/>
    <s v="Invoice"/>
    <s v="Sudah Jadi FJ"/>
    <s v=""/>
  </r>
  <r>
    <d v="2026-06-03T00:00:00"/>
    <d v="2026-06-02T00:00:00"/>
    <s v="SO-KS/2606/020482"/>
    <s v="MKS Bali"/>
    <x v="191"/>
    <x v="1"/>
    <x v="10"/>
    <s v="SFM009"/>
    <s v="Tepung Hime @25Kg/Sack"/>
    <n v="1"/>
    <s v="SACK"/>
    <n v="1"/>
    <n v="300000"/>
    <n v="0"/>
    <s v="Invoice"/>
    <s v="Sudah Jadi FJ"/>
    <s v=""/>
  </r>
  <r>
    <d v="2026-06-03T00:00:00"/>
    <d v="2026-06-02T00:00:00"/>
    <s v="SO-KS/2606/020483"/>
    <s v="MKS Bali"/>
    <x v="194"/>
    <x v="1"/>
    <x v="14"/>
    <s v="120014"/>
    <s v="Tepung Hime 1kg/pack"/>
    <n v="20"/>
    <s v="KG"/>
    <n v="20"/>
    <n v="384060"/>
    <n v="0"/>
    <s v="Invoice"/>
    <s v="Sudah Jadi FJ"/>
    <s v=""/>
  </r>
  <r>
    <d v="2026-06-03T00:00:00"/>
    <d v="2026-06-02T00:00:00"/>
    <s v="SO-KS/2606/020483"/>
    <s v="MKS Bali"/>
    <x v="194"/>
    <x v="1"/>
    <x v="14"/>
    <s v="120007"/>
    <s v="Tepung Double Zero 1kg/pack"/>
    <n v="20"/>
    <s v="KG"/>
    <n v="20"/>
    <n v="372960"/>
    <n v="0"/>
    <s v="Invoice"/>
    <s v="Sudah Jadi FJ"/>
    <s v=""/>
  </r>
  <r>
    <d v="2026-06-03T00:00:00"/>
    <d v="2026-06-02T00:00:00"/>
    <s v="SO-KS/2606/020484"/>
    <s v="MKS Bali"/>
    <x v="195"/>
    <x v="1"/>
    <x v="2"/>
    <s v="SFM007"/>
    <s v="Tepung Double Zero @25Kg/Sack"/>
    <n v="5"/>
    <s v="SACK"/>
    <n v="5"/>
    <n v="1637250"/>
    <n v="0"/>
    <s v="Invoice"/>
    <s v="Sudah Jadi FJ"/>
    <s v=""/>
  </r>
  <r>
    <d v="2026-06-03T00:00:00"/>
    <d v="2026-06-02T00:00:00"/>
    <s v="SO-KS/2606/020485"/>
    <s v="MKS Bali"/>
    <x v="188"/>
    <x v="1"/>
    <x v="5"/>
    <s v="120018"/>
    <s v="Tepung Ninja 1kg/pack"/>
    <n v="10"/>
    <s v="KG"/>
    <n v="10"/>
    <n v="149999.96"/>
    <n v="0"/>
    <s v="Invoice"/>
    <s v="Sudah Jadi FJ"/>
    <s v="tambahan"/>
  </r>
  <r>
    <d v="2026-06-03T00:00:00"/>
    <d v="2026-06-02T00:00:00"/>
    <s v="SO-KS/2606/020486"/>
    <s v="MKS Bali"/>
    <x v="196"/>
    <x v="1"/>
    <x v="18"/>
    <s v="060006"/>
    <s v="Nescafe Classic Sac+Bag Era 60x2gr"/>
    <n v="10"/>
    <s v="PACK"/>
    <n v="10"/>
    <n v="694169.99"/>
    <n v="0"/>
    <s v="Invoice"/>
    <s v="Sudah Jadi FJ"/>
    <s v=""/>
  </r>
  <r>
    <d v="2026-06-03T00:00:00"/>
    <d v="2026-06-02T00:00:00"/>
    <s v="SO-KS/2606/020487"/>
    <s v="MKS Bali"/>
    <x v="197"/>
    <x v="1"/>
    <x v="10"/>
    <s v="120015"/>
    <s v="Tepung Japanese Tempura 1kg/pack"/>
    <n v="1"/>
    <s v="KG"/>
    <n v="1"/>
    <n v="36000"/>
    <n v="0"/>
    <s v="Invoice"/>
    <s v="Sudah Jadi FJ"/>
    <s v=""/>
  </r>
  <r>
    <d v="2026-06-03T00:00:00"/>
    <d v="2026-06-02T00:00:00"/>
    <s v="SO-KS/2606/020488"/>
    <s v="MKS Bali"/>
    <x v="197"/>
    <x v="1"/>
    <x v="10"/>
    <s v="120015"/>
    <s v="Tepung Japanese Tempura 1kg/pack"/>
    <n v="1"/>
    <s v="KG"/>
    <n v="1"/>
    <n v="36000"/>
    <n v="0"/>
    <s v="Invoice"/>
    <s v="Sudah Jadi FJ"/>
    <s v=""/>
  </r>
  <r>
    <d v="2026-06-03T00:00:00"/>
    <d v="2026-06-02T00:00:00"/>
    <s v="SO-KS/2606/020489"/>
    <s v="MKS Bali"/>
    <x v="198"/>
    <x v="1"/>
    <x v="14"/>
    <s v="120007"/>
    <s v="Tepung Double Zero 1kg/pack"/>
    <n v="20"/>
    <s v="KG"/>
    <n v="20"/>
    <n v="372960"/>
    <n v="0"/>
    <s v="Invoice"/>
    <s v="Sudah Jadi FJ"/>
    <s v=""/>
  </r>
  <r>
    <d v="2026-06-03T00:00:00"/>
    <d v="2026-06-02T00:00:00"/>
    <s v="SO-KS/2606/020489"/>
    <s v="MKS Bali"/>
    <x v="198"/>
    <x v="1"/>
    <x v="14"/>
    <s v="120014"/>
    <s v="Tepung Hime 1kg/pack"/>
    <n v="20"/>
    <s v="KG"/>
    <n v="20"/>
    <n v="384060"/>
    <n v="0"/>
    <s v="Invoice"/>
    <s v="Sudah Jadi FJ"/>
    <s v=""/>
  </r>
  <r>
    <d v="2026-06-03T00:00:00"/>
    <d v="2026-06-02T00:00:00"/>
    <s v="SO-KS/2606/020489"/>
    <s v="MKS Bali"/>
    <x v="198"/>
    <x v="1"/>
    <x v="14"/>
    <s v="120018"/>
    <s v="Tepung Ninja 1kg/pack"/>
    <n v="20"/>
    <s v="KG"/>
    <n v="20"/>
    <n v="361860"/>
    <n v="0"/>
    <s v="Invoice"/>
    <s v="Sudah Jadi FJ"/>
    <s v=""/>
  </r>
  <r>
    <d v="2026-06-03T00:00:00"/>
    <d v="2026-06-02T00:00:00"/>
    <s v="SO-KS/2606/020490"/>
    <s v="MKS Bali"/>
    <x v="197"/>
    <x v="1"/>
    <x v="10"/>
    <s v="PSJ0203"/>
    <s v="Borello Rump"/>
    <n v="7"/>
    <s v="KG"/>
    <n v="8.9700000000000006"/>
    <n v="1453140"/>
    <n v="1.97"/>
    <s v="Invoice"/>
    <s v="Sudah Jadi FJ"/>
    <s v=""/>
  </r>
  <r>
    <d v="2026-06-03T00:00:00"/>
    <d v="2026-06-02T00:00:00"/>
    <s v="SO-KS/2606/020491"/>
    <s v="MKS Bali"/>
    <x v="197"/>
    <x v="1"/>
    <x v="10"/>
    <s v="120015"/>
    <s v="Tepung Japanese Tempura 1kg/pack"/>
    <n v="2"/>
    <s v="KG"/>
    <n v="2"/>
    <n v="71999.990000000005"/>
    <n v="0"/>
    <s v="Invoice"/>
    <s v="Sudah Jadi FJ"/>
    <s v=""/>
  </r>
  <r>
    <d v="2026-06-03T00:00:00"/>
    <d v="2026-06-02T00:00:00"/>
    <s v="SO-KS/2606/020492"/>
    <s v="MKS Bali"/>
    <x v="199"/>
    <x v="1"/>
    <x v="14"/>
    <s v="120007"/>
    <s v="Tepung Double Zero 1kg/pack"/>
    <n v="20"/>
    <s v="KG"/>
    <n v="20"/>
    <n v="372960"/>
    <n v="0"/>
    <s v="Invoice"/>
    <s v="Sudah Jadi FJ"/>
    <s v=""/>
  </r>
  <r>
    <d v="2026-06-03T00:00:00"/>
    <d v="2026-06-02T00:00:00"/>
    <s v="SO-KS/2606/020493"/>
    <s v="MKS Bali"/>
    <x v="197"/>
    <x v="1"/>
    <x v="10"/>
    <s v="SFM053"/>
    <s v="Inofa Heat Treated Wheat Flour SF 346 @1kg/pack"/>
    <n v="1"/>
    <s v="KG"/>
    <n v="1"/>
    <n v="25000"/>
    <n v="0"/>
    <s v="Invoice"/>
    <s v="Sudah Jadi FJ"/>
    <s v=""/>
  </r>
  <r>
    <d v="2026-06-03T00:00:00"/>
    <d v="2026-06-02T00:00:00"/>
    <s v="SO-KS/2606/020494"/>
    <s v="MKS Bali"/>
    <x v="197"/>
    <x v="1"/>
    <x v="10"/>
    <s v="POT0983"/>
    <s v="IKPS Sechuan Preserved Vegetable 340 Gr"/>
    <n v="2"/>
    <s v="CAN"/>
    <n v="2"/>
    <n v="26640"/>
    <n v="0"/>
    <s v="Invoice"/>
    <s v="Sudah Jadi FJ"/>
    <s v=""/>
  </r>
  <r>
    <d v="2026-06-03T00:00:00"/>
    <d v="2026-06-02T00:00:00"/>
    <s v="SO-KS/2606/020495"/>
    <s v="MKS Bali"/>
    <x v="197"/>
    <x v="1"/>
    <x v="10"/>
    <s v="SFM053"/>
    <s v="Inofa Heat Treated Wheat Flour SF 346 @1kg/pack"/>
    <n v="1"/>
    <s v="KG"/>
    <n v="1"/>
    <n v="25000"/>
    <n v="0"/>
    <s v="Invoice"/>
    <s v="Sudah Jadi FJ"/>
    <s v=""/>
  </r>
  <r>
    <d v="2026-06-03T00:00:00"/>
    <d v="2026-06-02T00:00:00"/>
    <s v="SO-KS/2606/020496"/>
    <s v="MKS Bali"/>
    <x v="200"/>
    <x v="1"/>
    <x v="2"/>
    <s v="PSJ0187"/>
    <s v="Borello Topside"/>
    <n v="10"/>
    <s v="KG"/>
    <n v="9.19"/>
    <n v="1562300"/>
    <n v="-0.81"/>
    <s v="Invoice"/>
    <s v="Sudah Jadi FJ"/>
    <s v=""/>
  </r>
  <r>
    <d v="2026-06-03T00:00:00"/>
    <d v="2026-06-02T00:00:00"/>
    <s v="SO-KS/2606/020497"/>
    <s v="MKS Bali"/>
    <x v="201"/>
    <x v="1"/>
    <x v="12"/>
    <s v="SFM052"/>
    <s v="Inofa Heat Treated Wheat Flour SF 346 @25kg/sack"/>
    <n v="5"/>
    <s v="SACK"/>
    <n v="5"/>
    <n v="2800000"/>
    <n v="0"/>
    <s v="Invoice"/>
    <s v="Sudah Jadi FJ"/>
    <s v=""/>
  </r>
  <r>
    <d v="2026-06-03T00:00:00"/>
    <d v="2026-06-02T00:00:00"/>
    <s v="SO-KS/2606/020497"/>
    <s v="MKS Bali"/>
    <x v="201"/>
    <x v="1"/>
    <x v="12"/>
    <s v="PSF0014"/>
    <s v="Tepung 00 Fusion @25Kg"/>
    <n v="10"/>
    <s v="SACK"/>
    <n v="10"/>
    <n v="2699999.96"/>
    <n v="0"/>
    <s v="Invoice"/>
    <s v="Sudah Jadi FJ"/>
    <s v=""/>
  </r>
  <r>
    <d v="2026-06-03T00:00:00"/>
    <d v="2026-06-02T00:00:00"/>
    <s v="SO-KS/2606/020498"/>
    <s v="MKS Bali"/>
    <x v="202"/>
    <x v="1"/>
    <x v="19"/>
    <s v="120006"/>
    <s v="Tepung Crispy Ala Kentucky 1kg/pack"/>
    <n v="50"/>
    <s v="KG"/>
    <n v="50"/>
    <n v="1637250"/>
    <n v="0"/>
    <s v="Invoice"/>
    <s v="Sudah Jadi FJ"/>
    <s v="JAM PENERIMAAN BARANG 09:00 S/D 13:00"/>
  </r>
  <r>
    <d v="2026-06-03T00:00:00"/>
    <d v="2026-06-02T00:00:00"/>
    <s v="SO-KS/2606/020498"/>
    <s v="MKS Bali"/>
    <x v="202"/>
    <x v="1"/>
    <x v="19"/>
    <s v="120009"/>
    <s v="Tepung Easymix Fish n Chips 1kg/pack"/>
    <n v="20"/>
    <s v="KG"/>
    <n v="20"/>
    <n v="640000.03"/>
    <n v="0"/>
    <s v="Invoice"/>
    <s v="Sudah Jadi FJ"/>
    <s v="JAM PENERIMAAN BARANG 09:00 S/D 13:00"/>
  </r>
  <r>
    <d v="2026-06-03T00:00:00"/>
    <d v="2026-06-02T00:00:00"/>
    <s v="SO-KS/2606/020499"/>
    <s v="MKS Bali"/>
    <x v="203"/>
    <x v="1"/>
    <x v="12"/>
    <s v="SFM007"/>
    <s v="Tepung Double Zero @25Kg/Sack"/>
    <n v="10"/>
    <s v="SACK"/>
    <n v="10"/>
    <n v="2800000.09"/>
    <n v="0"/>
    <s v="Invoice"/>
    <s v="Sudah Jadi FJ"/>
    <s v=""/>
  </r>
  <r>
    <d v="2026-06-03T00:00:00"/>
    <d v="2026-06-02T00:00:00"/>
    <s v="SO-KS/2606/020500"/>
    <s v="MKS Bali"/>
    <x v="204"/>
    <x v="1"/>
    <x v="9"/>
    <s v="SFM018"/>
    <s v="Tepung Ninja @25Kg/Sack"/>
    <n v="1"/>
    <s v="SACK"/>
    <n v="1"/>
    <n v="285000"/>
    <n v="0"/>
    <s v="Invoice"/>
    <s v="Sudah Jadi FJ"/>
    <s v=""/>
  </r>
  <r>
    <d v="2026-06-03T00:00:00"/>
    <d v="2026-06-02T00:00:00"/>
    <s v="SO-KS/2606/020500"/>
    <s v="MKS Bali"/>
    <x v="204"/>
    <x v="1"/>
    <x v="9"/>
    <s v="PSF0014"/>
    <s v="Tepung 00 Fusion @25Kg"/>
    <n v="15"/>
    <s v="SACK"/>
    <n v="15"/>
    <n v="4350000"/>
    <n v="0"/>
    <s v="Invoice"/>
    <s v="Sudah Jadi FJ"/>
    <s v=""/>
  </r>
  <r>
    <d v="2026-06-03T00:00:00"/>
    <d v="2026-06-02T00:00:00"/>
    <s v="SO-KS/2606/020501"/>
    <s v="MKS Bali"/>
    <x v="205"/>
    <x v="1"/>
    <x v="3"/>
    <s v="SFM007"/>
    <s v="Tepung Double Zero @25Kg/Sack"/>
    <n v="2"/>
    <s v="SACK"/>
    <n v="2"/>
    <n v="620000"/>
    <n v="0"/>
    <s v="Invoice"/>
    <s v="Sudah Jadi FJ"/>
    <s v=""/>
  </r>
  <r>
    <d v="2026-06-03T00:00:00"/>
    <d v="2026-06-02T00:00:00"/>
    <s v="SO-KS/2606/020502"/>
    <s v="MKS Bali"/>
    <x v="206"/>
    <x v="1"/>
    <x v="12"/>
    <s v="120007"/>
    <s v="Tepung Double Zero 1kg/pack"/>
    <n v="200"/>
    <s v="KG"/>
    <n v="200"/>
    <n v="2999999.22"/>
    <n v="0"/>
    <s v="Invoice"/>
    <s v="Sudah Jadi FJ"/>
    <s v=""/>
  </r>
  <r>
    <d v="2026-06-03T00:00:00"/>
    <d v="2026-06-02T00:00:00"/>
    <s v="SO-KS/2606/020503"/>
    <s v="MKS Bali"/>
    <x v="205"/>
    <x v="1"/>
    <x v="3"/>
    <s v="SFM007"/>
    <s v="Tepung Double Zero @25Kg/Sack"/>
    <n v="2"/>
    <s v="SACK"/>
    <n v="2"/>
    <n v="620000"/>
    <n v="0"/>
    <s v="Invoice"/>
    <s v="Sudah Jadi FJ"/>
    <s v=""/>
  </r>
  <r>
    <d v="2026-06-03T00:00:00"/>
    <d v="2026-06-02T00:00:00"/>
    <s v="SO-KS/2606/020504"/>
    <s v="MKS Bali"/>
    <x v="207"/>
    <x v="1"/>
    <x v="0"/>
    <s v="SFM007"/>
    <s v="Tepung Double Zero @25Kg/Sack"/>
    <n v="1"/>
    <s v="SACK"/>
    <n v="1"/>
    <n v="327450"/>
    <n v="0"/>
    <s v="Invoice"/>
    <s v="Sudah Jadi FJ"/>
    <s v=""/>
  </r>
  <r>
    <d v="2026-06-03T00:00:00"/>
    <d v="2026-06-02T00:00:00"/>
    <s v="SO-KS/2606/020505"/>
    <s v="MKS Bali"/>
    <x v="208"/>
    <x v="1"/>
    <x v="10"/>
    <s v="PSF0005"/>
    <s v="Tepung Pita Emas @25Kg/Sack"/>
    <n v="6"/>
    <s v="SACK"/>
    <n v="6"/>
    <n v="1476000"/>
    <n v="0"/>
    <s v="Invoice"/>
    <s v="Sudah Jadi FJ"/>
    <s v=""/>
  </r>
  <r>
    <d v="2026-06-03T00:00:00"/>
    <d v="2026-06-02T00:00:00"/>
    <s v="SO-KS/2606/020506"/>
    <s v="MKS Bali"/>
    <x v="208"/>
    <x v="1"/>
    <x v="10"/>
    <s v="PPA0092"/>
    <s v="Emborg Pizza Topping 2.3 Kg"/>
    <n v="4.5999999999999996"/>
    <s v="KG"/>
    <n v="4.5999999999999996"/>
    <n v="460000"/>
    <n v="0"/>
    <s v="Invoice"/>
    <s v="Sudah Jadi FJ"/>
    <s v=""/>
  </r>
  <r>
    <d v="2026-06-03T00:00:00"/>
    <d v="2026-06-02T00:00:00"/>
    <s v="SO-KS/2606/020507"/>
    <s v="MKS Bali"/>
    <x v="209"/>
    <x v="1"/>
    <x v="3"/>
    <s v="SFM007"/>
    <s v="Tepung Double Zero @25Kg/Sack"/>
    <n v="2"/>
    <s v="SACK"/>
    <n v="2"/>
    <n v="654900"/>
    <n v="0"/>
    <s v="Invoice"/>
    <s v="Sudah Jadi FJ"/>
    <s v="dikirim ke Kompleks Kuta Poleng no D6 ( Gangnya masuk dr Dijon Cafe)"/>
  </r>
  <r>
    <d v="2026-06-03T00:00:00"/>
    <d v="2026-06-02T00:00:00"/>
    <s v="SO-KS/2606/020508"/>
    <s v="MKS Bali"/>
    <x v="210"/>
    <x v="1"/>
    <x v="2"/>
    <s v="SFM007"/>
    <s v="Tepung Double Zero @25Kg/Sack"/>
    <n v="4"/>
    <s v="SACK"/>
    <n v="4"/>
    <n v="1309800"/>
    <n v="0"/>
    <s v="Invoice"/>
    <s v="Sudah Jadi FJ"/>
    <s v=""/>
  </r>
  <r>
    <d v="2026-06-03T00:00:00"/>
    <d v="2026-06-02T00:00:00"/>
    <s v="SO-KS/2606/020508"/>
    <s v="MKS Bali"/>
    <x v="210"/>
    <x v="1"/>
    <x v="2"/>
    <s v="SFM009"/>
    <s v="Tepung Hime @25Kg/Sack"/>
    <n v="8"/>
    <s v="SACK"/>
    <n v="8"/>
    <n v="2680000"/>
    <n v="0"/>
    <s v="Invoice"/>
    <s v="Sudah Jadi FJ"/>
    <s v=""/>
  </r>
  <r>
    <d v="2026-06-03T00:00:00"/>
    <d v="2026-06-02T00:00:00"/>
    <s v="SO-KS/2606/020509"/>
    <s v="MKS Bali"/>
    <x v="211"/>
    <x v="1"/>
    <x v="4"/>
    <s v="PPA0092"/>
    <s v="Emborg Pizza Topping 2.3 Kg"/>
    <n v="73.599900000000005"/>
    <s v="KG"/>
    <n v="73.599900000000005"/>
    <n v="8029082.8799999999"/>
    <n v="0"/>
    <s v="Invoice"/>
    <s v="Sudah Jadi FJ"/>
    <s v=""/>
  </r>
  <r>
    <d v="2026-06-03T00:00:00"/>
    <d v="2026-06-02T00:00:00"/>
    <s v="SO-KS/2606/020510"/>
    <s v="MKS Bali"/>
    <x v="212"/>
    <x v="1"/>
    <x v="4"/>
    <s v="PPA0092"/>
    <s v="Emborg Pizza Topping 2.3 Kg"/>
    <n v="55.2"/>
    <s v="KG"/>
    <n v="55.2"/>
    <n v="6021812.1600000001"/>
    <n v="0"/>
    <s v="Invoice"/>
    <s v="Sudah Jadi FJ"/>
    <s v=""/>
  </r>
  <r>
    <d v="2026-06-03T00:00:00"/>
    <d v="2026-06-02T00:00:00"/>
    <s v="SO-KS/2606/020511"/>
    <s v="MKS Bali"/>
    <x v="213"/>
    <x v="1"/>
    <x v="0"/>
    <s v="PSJ0275"/>
    <s v="Pickled Gherkins (2kg/pack)"/>
    <n v="1"/>
    <s v="PACK"/>
    <n v="1"/>
    <n v="115000"/>
    <n v="0"/>
    <s v="Invoice"/>
    <s v="Sudah Jadi FJ"/>
    <s v=""/>
  </r>
  <r>
    <d v="2026-06-03T00:00:00"/>
    <d v="2026-06-02T00:00:00"/>
    <s v="SO-KS/2606/020512"/>
    <s v="MKS Bali"/>
    <x v="214"/>
    <x v="1"/>
    <x v="4"/>
    <s v="PPA0092"/>
    <s v="Emborg Pizza Topping 2.3 Kg"/>
    <n v="73.599900000000005"/>
    <s v="KG"/>
    <n v="73.599900000000005"/>
    <n v="8029082.8799999999"/>
    <n v="0"/>
    <s v="Invoice"/>
    <s v="Sudah Jadi FJ"/>
    <s v=""/>
  </r>
  <r>
    <d v="2026-06-03T00:00:00"/>
    <d v="2026-06-02T00:00:00"/>
    <s v="SO-KS/2606/020513"/>
    <s v="MKS Bali"/>
    <x v="215"/>
    <x v="1"/>
    <x v="3"/>
    <s v="PPA0092"/>
    <s v="Emborg Pizza Topping 2.3 Kg"/>
    <n v="73.599900000000005"/>
    <s v="KG"/>
    <n v="73.599900000000005"/>
    <n v="8029082.8799999999"/>
    <n v="0"/>
    <s v="Invoice"/>
    <s v="Sudah Jadi FJ"/>
    <s v=""/>
  </r>
  <r>
    <d v="2026-06-03T00:00:00"/>
    <d v="2026-06-02T00:00:00"/>
    <s v="SO-KS/2606/020514"/>
    <s v="MKS Bali"/>
    <x v="213"/>
    <x v="1"/>
    <x v="0"/>
    <s v="SFM007"/>
    <s v="Tepung Double Zero @25Kg/Sack"/>
    <n v="2"/>
    <s v="SACK"/>
    <n v="2"/>
    <n v="630000"/>
    <n v="0"/>
    <s v="Invoice"/>
    <s v="Sudah Jadi FJ"/>
    <s v=""/>
  </r>
  <r>
    <d v="2026-06-03T00:00:00"/>
    <d v="2026-06-02T00:00:00"/>
    <s v="SO-KS/2606/020515"/>
    <s v="MKS Bali"/>
    <x v="216"/>
    <x v="0"/>
    <x v="16"/>
    <s v="020020"/>
    <s v="NESTLE Milo Activ-Go NPro 960Gr/Pack"/>
    <n v="3"/>
    <s v="PACK"/>
    <n v="3"/>
    <n v="315000"/>
    <n v="0"/>
    <s v="Invoice"/>
    <s v="Sudah Jadi FJ"/>
    <s v=""/>
  </r>
  <r>
    <d v="2026-06-03T00:00:00"/>
    <d v="2026-06-02T00:00:00"/>
    <s v="SO-KS/2606/020516"/>
    <s v="MKS Bali"/>
    <x v="217"/>
    <x v="1"/>
    <x v="16"/>
    <s v="020020"/>
    <s v="NESTLE Milo Activ-Go NPro 960Gr/Pack"/>
    <n v="10"/>
    <s v="PACK"/>
    <n v="10"/>
    <n v="1049999.95"/>
    <n v="0"/>
    <s v="Invoice"/>
    <s v="Sudah Jadi FJ"/>
    <s v="kirim ke office kelan"/>
  </r>
  <r>
    <d v="2026-06-03T00:00:00"/>
    <d v="2026-06-02T00:00:00"/>
    <s v="SO-KS/2606/020517"/>
    <s v="MKS Bali"/>
    <x v="218"/>
    <x v="1"/>
    <x v="12"/>
    <s v="SFM007"/>
    <s v="Tepung Double Zero @25Kg/Sack"/>
    <n v="7"/>
    <s v="SACK"/>
    <n v="7"/>
    <n v="2169999.9900000002"/>
    <n v="0"/>
    <s v="Invoice"/>
    <s v="Sudah Jadi FJ"/>
    <s v=""/>
  </r>
  <r>
    <d v="2026-06-03T00:00:00"/>
    <d v="2026-06-02T00:00:00"/>
    <s v="SO-KS/2606/020518"/>
    <s v="MKS Bali"/>
    <x v="219"/>
    <x v="1"/>
    <x v="2"/>
    <s v="080241"/>
    <s v="THE ALTERNATIVE Barista Almond Milk 1 Lt"/>
    <n v="6"/>
    <s v="PCS"/>
    <n v="6"/>
    <n v="279720"/>
    <n v="0"/>
    <s v="Invoice"/>
    <s v="Sudah Jadi FJ"/>
    <s v=""/>
  </r>
  <r>
    <d v="2026-06-03T00:00:00"/>
    <d v="2026-06-02T00:00:00"/>
    <s v="SO-KS/2606/020519"/>
    <s v="MKS Bali"/>
    <x v="220"/>
    <x v="1"/>
    <x v="16"/>
    <s v="020011"/>
    <s v="Nestle Dark Cocoa Drink Npro 1kg/Pack"/>
    <n v="3"/>
    <s v="PACK"/>
    <n v="3"/>
    <n v="267000"/>
    <n v="0"/>
    <s v="Invoice"/>
    <s v="Sudah Jadi FJ"/>
    <s v=""/>
  </r>
  <r>
    <d v="2026-06-03T00:00:00"/>
    <d v="2026-06-02T00:00:00"/>
    <s v="SO-KS/2606/020520"/>
    <s v="MKS Bali"/>
    <x v="221"/>
    <x v="1"/>
    <x v="10"/>
    <s v="SFM007"/>
    <s v="Tepung Double Zero @25Kg/Sack"/>
    <n v="1"/>
    <s v="SACK"/>
    <n v="1"/>
    <n v="280000"/>
    <n v="0"/>
    <s v="Invoice"/>
    <s v="Sudah Jadi FJ"/>
    <s v=""/>
  </r>
  <r>
    <d v="2026-06-03T00:00:00"/>
    <d v="2026-06-02T00:00:00"/>
    <s v="SO-KS/2606/020521"/>
    <s v="MKS Bali"/>
    <x v="205"/>
    <x v="1"/>
    <x v="3"/>
    <s v="PSJ0127"/>
    <s v="Amron Striploin Whole"/>
    <n v="5"/>
    <s v="KG"/>
    <n v="4.2300000000000004"/>
    <n v="507600"/>
    <n v="-0.77"/>
    <s v="Invoice"/>
    <s v="Sudah Jadi FJ"/>
    <s v=""/>
  </r>
  <r>
    <d v="2026-06-03T00:00:00"/>
    <d v="2026-06-02T00:00:00"/>
    <s v="SO-KS/2606/020522"/>
    <s v="MKS Bali"/>
    <x v="220"/>
    <x v="1"/>
    <x v="20"/>
    <s v="PSJ0275"/>
    <s v="Pickled Gherkins (2kg/pack)"/>
    <n v="2"/>
    <s v="PACK"/>
    <n v="2"/>
    <n v="220000"/>
    <n v="0"/>
    <s v="Invoice"/>
    <s v="Sudah Jadi FJ"/>
    <s v=""/>
  </r>
  <r>
    <d v="2026-06-03T00:00:00"/>
    <d v="2026-06-02T00:00:00"/>
    <s v="SO-KS/2606/020524"/>
    <s v="MKS Bali"/>
    <x v="222"/>
    <x v="1"/>
    <x v="7"/>
    <s v="SFM053"/>
    <s v="Inofa Heat Treated Wheat Flour SF 346 @1kg/pack"/>
    <n v="1"/>
    <s v="KG"/>
    <n v="1"/>
    <n v="27195"/>
    <n v="0"/>
    <s v="Invoice"/>
    <s v="Sudah Jadi FJ"/>
    <s v=""/>
  </r>
  <r>
    <d v="2026-06-03T00:00:00"/>
    <d v="2026-06-02T00:00:00"/>
    <s v="SO-KS/2606/020524"/>
    <s v="MKS Bali"/>
    <x v="222"/>
    <x v="1"/>
    <x v="7"/>
    <s v="SFM007"/>
    <s v="Tepung Double Zero @25Kg/Sack"/>
    <n v="1"/>
    <s v="SACK"/>
    <n v="1"/>
    <n v="327450"/>
    <n v="0"/>
    <s v="Invoice"/>
    <s v="Sudah Jadi FJ"/>
    <s v=""/>
  </r>
  <r>
    <d v="2026-06-03T00:00:00"/>
    <d v="2026-06-02T00:00:00"/>
    <s v="SO-KS/2606/020525"/>
    <s v="MKS Bali"/>
    <x v="223"/>
    <x v="1"/>
    <x v="7"/>
    <s v="SFM009"/>
    <s v="Tepung Hime @25Kg/Sack"/>
    <n v="6"/>
    <s v="SACK"/>
    <n v="6"/>
    <n v="1741590"/>
    <n v="0"/>
    <s v="Invoice"/>
    <s v="Sudah Jadi FJ"/>
    <s v=""/>
  </r>
  <r>
    <d v="2026-06-03T00:00:00"/>
    <d v="2026-06-02T00:00:00"/>
    <s v="SO-KS/2606/020526"/>
    <s v="MKS Bali"/>
    <x v="224"/>
    <x v="1"/>
    <x v="3"/>
    <s v="080241"/>
    <s v="THE ALTERNATIVE Barista Almond Milk 1 Lt"/>
    <n v="24"/>
    <s v="PCS"/>
    <n v="24"/>
    <n v="1079999.98"/>
    <n v="0"/>
    <s v="Invoice"/>
    <s v="Sudah Jadi FJ"/>
    <s v=""/>
  </r>
  <r>
    <d v="2026-06-03T00:00:00"/>
    <d v="2026-06-02T00:00:00"/>
    <s v="SO-KS/2606/020526"/>
    <s v="MKS Bali"/>
    <x v="224"/>
    <x v="1"/>
    <x v="3"/>
    <s v="080239"/>
    <s v="THE ALTERNATIVE Barista Soy Milk 1 Lt"/>
    <n v="24"/>
    <s v="PCS"/>
    <n v="24"/>
    <n v="887999.99"/>
    <n v="0"/>
    <s v="Invoice"/>
    <s v="Sudah Jadi FJ"/>
    <s v=""/>
  </r>
  <r>
    <d v="2026-06-03T00:00:00"/>
    <d v="2026-06-02T00:00:00"/>
    <s v="SO-KS/2606/020527"/>
    <s v="MKS Bali"/>
    <x v="225"/>
    <x v="1"/>
    <x v="5"/>
    <s v="PSJ0228"/>
    <s v="Premium Minced Beef (2.5kg/pack)"/>
    <n v="5"/>
    <s v="KG"/>
    <n v="5"/>
    <n v="575000"/>
    <n v="0"/>
    <s v="Invoice"/>
    <s v="Sudah Jadi FJ"/>
    <s v="Tambahan 2 blok"/>
  </r>
  <r>
    <d v="2026-06-03T00:00:00"/>
    <d v="2026-06-02T00:00:00"/>
    <s v="SO-KS/2606/020527"/>
    <s v="MKS Bali"/>
    <x v="225"/>
    <x v="1"/>
    <x v="5"/>
    <s v="PPK0010"/>
    <s v="Block Red Cheddar Mix Cheese 5x2kg"/>
    <n v="4"/>
    <s v="KG"/>
    <n v="4.2699999999999996"/>
    <n v="640500.03"/>
    <n v="0.27"/>
    <s v="Invoice"/>
    <s v="Sudah Jadi FJ"/>
    <s v="Tambahan 2 blok"/>
  </r>
  <r>
    <d v="2026-06-03T00:00:00"/>
    <d v="2026-06-02T00:00:00"/>
    <s v="SO-KS/2606/020528"/>
    <s v="MKS Bali"/>
    <x v="226"/>
    <x v="1"/>
    <x v="10"/>
    <s v="PSJ0063"/>
    <s v="Amron Tenderloin Whole"/>
    <n v="6"/>
    <s v="KG"/>
    <n v="6.56"/>
    <n v="1115200"/>
    <n v="0.56000000000000005"/>
    <s v="Invoice"/>
    <s v="Sudah Jadi FJ"/>
    <s v=""/>
  </r>
  <r>
    <d v="2026-06-03T00:00:00"/>
    <d v="2026-06-02T00:00:00"/>
    <s v="SO-KS/2606/020529"/>
    <s v="MKS Bali"/>
    <x v="227"/>
    <x v="0"/>
    <x v="9"/>
    <s v="SFM007"/>
    <s v="Tepung Double Zero @25Kg/Sack"/>
    <n v="2"/>
    <s v="SACK"/>
    <n v="2"/>
    <n v="560000"/>
    <n v="0"/>
    <s v="Invoice"/>
    <s v="Sudah Jadi FJ"/>
    <s v=""/>
  </r>
  <r>
    <d v="2026-06-03T00:00:00"/>
    <d v="2026-06-02T00:00:00"/>
    <s v="SO-KS/2606/020530"/>
    <s v="MKS Bali"/>
    <x v="228"/>
    <x v="1"/>
    <x v="2"/>
    <s v="SFM009"/>
    <s v="Tepung Hime @25Kg/Sack"/>
    <n v="30"/>
    <s v="SACK"/>
    <n v="30"/>
    <n v="9359999.9600000009"/>
    <n v="0"/>
    <s v="Invoice"/>
    <s v="Sudah Jadi FJ"/>
    <s v=""/>
  </r>
  <r>
    <d v="2026-06-03T00:00:00"/>
    <d v="2026-06-02T00:00:00"/>
    <s v="SO-KS/2606/020531"/>
    <s v="MKS Bali"/>
    <x v="217"/>
    <x v="1"/>
    <x v="3"/>
    <s v="PSJ0063"/>
    <s v="Amron Tenderloin Whole"/>
    <n v="5"/>
    <s v="KG"/>
    <n v="5.07"/>
    <n v="877110"/>
    <n v="7.0000000000000007E-2"/>
    <s v="Invoice"/>
    <s v="Sudah Jadi FJ"/>
    <s v="DOMESTIK"/>
  </r>
  <r>
    <d v="2026-06-03T00:00:00"/>
    <d v="2026-06-02T00:00:00"/>
    <s v="SO-KS/2606/020532"/>
    <s v="MKS Bali"/>
    <x v="229"/>
    <x v="1"/>
    <x v="9"/>
    <s v="SFM007"/>
    <s v="Tepung Double Zero @25Kg/Sack"/>
    <n v="6"/>
    <s v="SACK"/>
    <n v="6"/>
    <n v="1800000"/>
    <n v="0"/>
    <s v="Invoice"/>
    <s v="Sudah Jadi FJ"/>
    <s v=""/>
  </r>
  <r>
    <d v="2026-06-03T00:00:00"/>
    <d v="2026-06-02T00:00:00"/>
    <s v="SO-KS/2606/020533"/>
    <s v="MKS Bali"/>
    <x v="217"/>
    <x v="1"/>
    <x v="3"/>
    <s v="SFM007"/>
    <s v="Tepung Double Zero @25Kg/Sack"/>
    <n v="1"/>
    <s v="SACK"/>
    <n v="1"/>
    <n v="327450"/>
    <n v="0"/>
    <s v="Invoice"/>
    <s v="Sudah Jadi FJ"/>
    <s v=" INTERNASIONA"/>
  </r>
  <r>
    <d v="2026-06-03T00:00:00"/>
    <d v="2026-06-02T00:00:00"/>
    <s v="SO-KS/2606/020533"/>
    <s v="MKS Bali"/>
    <x v="217"/>
    <x v="1"/>
    <x v="3"/>
    <s v="120006"/>
    <s v="Tepung Crispy Ala Kentucky 1kg/pack"/>
    <n v="10"/>
    <s v="KG"/>
    <n v="10"/>
    <n v="300000.03000000003"/>
    <n v="0"/>
    <s v="Invoice"/>
    <s v="Sudah Jadi FJ"/>
    <s v=" INTERNASIONA"/>
  </r>
  <r>
    <d v="2026-06-03T00:00:00"/>
    <d v="2026-06-02T00:00:00"/>
    <s v="SO-KU/2606/020084"/>
    <s v="MKU Bali"/>
    <x v="230"/>
    <x v="0"/>
    <x v="3"/>
    <s v="PQW0010"/>
    <s v="IQF FF Shoestring 10Kg/Ctn"/>
    <n v="1"/>
    <s v="KTN"/>
    <n v="1"/>
    <n v="350000.01"/>
    <n v="0"/>
    <s v="Invoice"/>
    <s v="Sudah Jadi FJ"/>
    <s v="kirim diatas jam 11 siang, resto buka siang"/>
  </r>
  <r>
    <d v="2026-06-03T00:00:00"/>
    <d v="2026-06-02T00:00:00"/>
    <s v="SO-KU/2606/020085"/>
    <s v="MKU Bali"/>
    <x v="7"/>
    <x v="0"/>
    <x v="6"/>
    <s v="PIF0011"/>
    <s v="Pristine Classic Whip Topping 1 Lt"/>
    <n v="2"/>
    <s v="LTR"/>
    <n v="2"/>
    <n v="120000"/>
    <n v="0"/>
    <s v="Invoice"/>
    <s v="Sudah Jadi FJ"/>
    <s v=""/>
  </r>
  <r>
    <d v="2026-06-03T00:00:00"/>
    <d v="2026-06-02T00:00:00"/>
    <s v="SO-KU/2606/020085"/>
    <s v="MKU Bali"/>
    <x v="7"/>
    <x v="0"/>
    <x v="6"/>
    <s v="PIF0012"/>
    <s v="Pristine Classic Cooking Cream 1 Lt"/>
    <n v="4"/>
    <s v="LTR"/>
    <n v="4"/>
    <n v="319680"/>
    <n v="0"/>
    <s v="Invoice"/>
    <s v="Sudah Jadi FJ"/>
    <s v=""/>
  </r>
  <r>
    <d v="2026-06-03T00:00:00"/>
    <d v="2026-06-02T00:00:00"/>
    <s v="SO-KU/2606/020086"/>
    <s v="MKU Bali"/>
    <x v="7"/>
    <x v="0"/>
    <x v="6"/>
    <s v="PEA0005"/>
    <s v="Gold Box Melange Butter MP331 5 Kg"/>
    <n v="5"/>
    <s v="KG"/>
    <n v="4.75"/>
    <n v="641250"/>
    <n v="-0.25"/>
    <s v="Invoice"/>
    <s v="Sudah Jadi FJ"/>
    <s v=""/>
  </r>
  <r>
    <d v="2026-06-03T00:00:00"/>
    <d v="2026-06-02T00:00:00"/>
    <s v="SO-KU/2606/020094"/>
    <s v="MKU Bali"/>
    <x v="231"/>
    <x v="0"/>
    <x v="4"/>
    <s v="PQW0010"/>
    <s v="IQF FF Shoestring 10Kg/Ctn"/>
    <n v="1"/>
    <s v="KTN"/>
    <n v="1"/>
    <n v="350000.01"/>
    <n v="0"/>
    <s v="Invoice"/>
    <s v="Sudah Jadi FJ"/>
    <s v=""/>
  </r>
  <r>
    <d v="2026-06-03T00:00:00"/>
    <d v="2026-06-02T00:00:00"/>
    <s v="SO-KU/2606/020095"/>
    <s v="MKU Bali"/>
    <x v="232"/>
    <x v="0"/>
    <x v="7"/>
    <s v="PMS0076"/>
    <s v="Masterista Creamer Base (Creamy)"/>
    <n v="12"/>
    <s v="PACK"/>
    <n v="12"/>
    <n v="348000"/>
    <n v="0"/>
    <s v="Invoice"/>
    <s v="Sudah Jadi FJ"/>
    <s v=""/>
  </r>
  <r>
    <d v="2026-06-03T00:00:00"/>
    <d v="2026-06-02T00:00:00"/>
    <s v="SO-KU/2606/020096"/>
    <s v="MKU Bali"/>
    <x v="233"/>
    <x v="0"/>
    <x v="3"/>
    <s v="PMS0031"/>
    <s v="Masterista Aren Sugar Liquid 1000Gr"/>
    <n v="2"/>
    <s v="POU"/>
    <n v="2"/>
    <n v="124879.99"/>
    <n v="0"/>
    <s v="Invoice"/>
    <s v="Sudah Jadi FJ"/>
    <s v=""/>
  </r>
  <r>
    <d v="2026-06-03T00:00:00"/>
    <d v="2026-06-02T00:00:00"/>
    <s v="SO-KU/2606/020096"/>
    <s v="MKU Bali"/>
    <x v="233"/>
    <x v="0"/>
    <x v="3"/>
    <s v="PMS0114"/>
    <s v="Masterista Cold Foam Sea Salt 500 Gr"/>
    <n v="4"/>
    <s v="PACK"/>
    <n v="4"/>
    <n v="220000"/>
    <n v="0"/>
    <s v="Invoice"/>
    <s v="Sudah Jadi FJ"/>
    <s v=""/>
  </r>
  <r>
    <d v="2026-06-03T00:00:00"/>
    <d v="2026-06-02T00:00:00"/>
    <s v="SO-KU/2606/020096"/>
    <s v="MKU Bali"/>
    <x v="233"/>
    <x v="0"/>
    <x v="3"/>
    <s v="PMS0125"/>
    <s v="Flavourista Syrup Butterscotch 1000 Ml"/>
    <n v="2"/>
    <s v="BTL"/>
    <n v="2"/>
    <n v="179748"/>
    <n v="0"/>
    <s v="Invoice"/>
    <s v="Sudah Jadi FJ"/>
    <s v=""/>
  </r>
  <r>
    <d v="2026-06-03T00:00:00"/>
    <d v="2026-06-02T00:00:00"/>
    <s v="SO-KU/2606/020097"/>
    <s v="MKU Bali"/>
    <x v="234"/>
    <x v="0"/>
    <x v="3"/>
    <s v="PMS0024"/>
    <s v="Masterista Original Matcha 800Gr"/>
    <n v="1"/>
    <s v="POU"/>
    <n v="1"/>
    <n v="161000.01"/>
    <n v="0"/>
    <s v="Invoice"/>
    <s v="Sudah Jadi FJ"/>
    <s v=""/>
  </r>
  <r>
    <d v="2026-06-03T00:00:00"/>
    <d v="2026-06-02T00:00:00"/>
    <s v="SO-KU/2606/020097"/>
    <s v="MKU Bali"/>
    <x v="234"/>
    <x v="0"/>
    <x v="3"/>
    <s v="PMS0130"/>
    <s v="Masterista Syrup Classic Caramel 850ml"/>
    <n v="1"/>
    <s v="BTL"/>
    <n v="1"/>
    <n v="106700"/>
    <n v="0"/>
    <s v="Invoice"/>
    <s v="Sudah Jadi FJ"/>
    <s v=""/>
  </r>
  <r>
    <d v="2026-06-03T00:00:00"/>
    <d v="2026-06-02T00:00:00"/>
    <s v="SO-KU/2606/020097"/>
    <s v="MKU Bali"/>
    <x v="234"/>
    <x v="0"/>
    <x v="3"/>
    <s v="PMS0132"/>
    <s v="Masterista Syrup Vanilla Tradition 850ml"/>
    <n v="1"/>
    <s v="BTL"/>
    <n v="1"/>
    <n v="106700"/>
    <n v="0"/>
    <s v="Invoice"/>
    <s v="Sudah Jadi FJ"/>
    <s v=""/>
  </r>
  <r>
    <d v="2026-06-03T00:00:00"/>
    <d v="2026-06-02T00:00:00"/>
    <s v="SO-KU/2606/020097"/>
    <s v="MKU Bali"/>
    <x v="234"/>
    <x v="0"/>
    <x v="3"/>
    <s v="PMS0134"/>
    <s v="Masterista Syrup Salted Caramel 850 ML"/>
    <n v="1"/>
    <s v="BTL"/>
    <n v="1"/>
    <n v="106700.01"/>
    <n v="0"/>
    <s v="Invoice"/>
    <s v="Sudah Jadi FJ"/>
    <s v=""/>
  </r>
  <r>
    <d v="2026-06-03T00:00:00"/>
    <d v="2026-06-02T00:00:00"/>
    <s v="SO-KU/2606/020098"/>
    <s v="MKU Bali"/>
    <x v="235"/>
    <x v="0"/>
    <x v="5"/>
    <s v="ASS-EB-LP250"/>
    <s v="English Breakfast @250gr/Pouch"/>
    <n v="1"/>
    <s v="POU"/>
    <n v="1"/>
    <n v="205350"/>
    <n v="0"/>
    <s v="Invoice"/>
    <s v="Sudah Jadi FJ"/>
    <s v=""/>
  </r>
  <r>
    <d v="2026-06-03T00:00:00"/>
    <d v="2026-06-02T00:00:00"/>
    <s v="SO-KU/2606/020099"/>
    <s v="MKU Bali"/>
    <x v="236"/>
    <x v="0"/>
    <x v="4"/>
    <s v="PMS0024"/>
    <s v="Masterista Original Matcha 800Gr"/>
    <n v="2"/>
    <s v="POU"/>
    <n v="2"/>
    <n v="337020"/>
    <n v="0"/>
    <s v="Invoice"/>
    <s v="Sudah Jadi FJ"/>
    <s v=""/>
  </r>
  <r>
    <d v="2026-06-03T00:00:00"/>
    <d v="2026-06-02T00:00:00"/>
    <s v="SO-KU/2606/020100"/>
    <s v="MKU Bali"/>
    <x v="237"/>
    <x v="0"/>
    <x v="4"/>
    <s v="PMS0024"/>
    <s v="Masterista Original Matcha 800Gr"/>
    <n v="1"/>
    <s v="POU"/>
    <n v="1"/>
    <n v="168510"/>
    <n v="0"/>
    <s v="Invoice"/>
    <s v="Sudah Jadi FJ"/>
    <s v=""/>
  </r>
  <r>
    <d v="2026-06-03T00:00:00"/>
    <d v="2026-06-02T00:00:00"/>
    <s v="SO-KU/2606/020100"/>
    <s v="MKU Bali"/>
    <x v="237"/>
    <x v="0"/>
    <x v="4"/>
    <s v="PMS0036"/>
    <s v="Artisan Pure Matcha (500Gr/Pack)"/>
    <n v="1"/>
    <s v="PACK"/>
    <n v="1"/>
    <n v="206000"/>
    <n v="0"/>
    <s v="Invoice"/>
    <s v="Sudah Jadi FJ"/>
    <s v=""/>
  </r>
  <r>
    <d v="2026-06-03T00:00:00"/>
    <d v="2026-06-02T00:00:00"/>
    <s v="SO-KU/2606/020101"/>
    <s v="MKU Bali"/>
    <x v="238"/>
    <x v="1"/>
    <x v="4"/>
    <s v="PMS0162"/>
    <s v="Cocofreo Soft Ice Cream Vanilla 1000 Gr"/>
    <n v="1"/>
    <s v="PACK"/>
    <n v="1"/>
    <n v="76000"/>
    <n v="0"/>
    <s v="Invoice"/>
    <s v="Sudah Jadi FJ"/>
    <s v=""/>
  </r>
  <r>
    <d v="2026-06-03T00:00:00"/>
    <d v="2026-06-02T00:00:00"/>
    <s v="SO-KU/2606/020102"/>
    <s v="MKU Bali"/>
    <x v="30"/>
    <x v="1"/>
    <x v="3"/>
    <s v="PMS0093"/>
    <s v="Masterista Syrup Strawberry 850 Ml"/>
    <n v="1"/>
    <s v="BTL"/>
    <n v="1"/>
    <n v="110000"/>
    <n v="0"/>
    <s v="Invoice"/>
    <s v="Sudah Jadi FJ"/>
    <s v="kirim ke dalam Bandara Internasional, Terminal kedatangan depan Papi Mart"/>
  </r>
  <r>
    <d v="2026-06-03T00:00:00"/>
    <d v="2026-06-02T00:00:00"/>
    <s v="SO-KU/2606/020102"/>
    <s v="MKU Bali"/>
    <x v="30"/>
    <x v="1"/>
    <x v="3"/>
    <s v="PMS0132"/>
    <s v="Masterista Syrup Vanilla Tradition 850ml"/>
    <n v="2"/>
    <s v="BTL"/>
    <n v="2"/>
    <n v="220000"/>
    <n v="0"/>
    <s v="Invoice"/>
    <s v="Sudah Jadi FJ"/>
    <s v="kirim ke dalam Bandara Internasional, Terminal kedatangan depan Papi Mart"/>
  </r>
  <r>
    <d v="2026-06-03T00:00:00"/>
    <d v="2026-06-02T00:00:00"/>
    <s v="SO-KU/2606/020103"/>
    <s v="MKU Bali"/>
    <x v="239"/>
    <x v="1"/>
    <x v="2"/>
    <s v="PMS0090"/>
    <s v="Flavorista Coffee Classic 250 Gr"/>
    <n v="5"/>
    <s v="PACK"/>
    <n v="5"/>
    <n v="355200"/>
    <n v="0"/>
    <s v="Invoice"/>
    <s v="Sudah Jadi FJ"/>
    <s v=""/>
  </r>
  <r>
    <d v="2026-06-03T00:00:00"/>
    <d v="2026-06-02T00:00:00"/>
    <s v="SO-KU/2606/020104"/>
    <s v="MKU Bali"/>
    <x v="240"/>
    <x v="1"/>
    <x v="14"/>
    <s v="PJS0008"/>
    <s v="ANI Hijau 580 Ml"/>
    <n v="6"/>
    <s v="BTL"/>
    <n v="6"/>
    <n v="400000"/>
    <n v="0"/>
    <s v="Invoice"/>
    <s v="Sudah Jadi FJ"/>
    <s v=""/>
  </r>
  <r>
    <d v="2026-06-03T00:00:00"/>
    <d v="2026-06-02T00:00:00"/>
    <s v="SO-KU/2606/020104"/>
    <s v="MKU Bali"/>
    <x v="240"/>
    <x v="1"/>
    <x v="14"/>
    <s v="PJS0010"/>
    <s v="ANI Pink 580 Ml"/>
    <n v="6"/>
    <s v="BTL"/>
    <n v="6"/>
    <n v="375000"/>
    <n v="0"/>
    <s v="Invoice"/>
    <s v="Sudah Jadi FJ"/>
    <s v=""/>
  </r>
  <r>
    <d v="2026-06-03T00:00:00"/>
    <d v="2026-06-02T00:00:00"/>
    <s v="SO-KU/2606/020105"/>
    <s v="MKU Bali"/>
    <x v="241"/>
    <x v="0"/>
    <x v="9"/>
    <s v="PMS0131"/>
    <s v="Masterista Syrup Tropical Lychee 850 Ml"/>
    <n v="3"/>
    <s v="BTL"/>
    <n v="3"/>
    <n v="330000"/>
    <n v="0"/>
    <s v="Invoice"/>
    <s v="Sudah Jadi FJ"/>
    <s v=""/>
  </r>
  <r>
    <d v="2026-06-03T00:00:00"/>
    <d v="2026-06-02T00:00:00"/>
    <s v="SO-KU/2606/020105"/>
    <s v="MKU Bali"/>
    <x v="241"/>
    <x v="0"/>
    <x v="9"/>
    <s v="PMS0150"/>
    <s v="Masterista Syrup Natural Mint 850 Ml"/>
    <n v="1"/>
    <s v="BTL"/>
    <n v="1"/>
    <n v="110000"/>
    <n v="0"/>
    <s v="Invoice"/>
    <s v="Sudah Jadi FJ"/>
    <s v=""/>
  </r>
  <r>
    <d v="2026-06-03T00:00:00"/>
    <d v="2026-06-02T00:00:00"/>
    <s v="SO-KU/2606/020106"/>
    <s v="MKU Bali"/>
    <x v="242"/>
    <x v="0"/>
    <x v="4"/>
    <s v="PMS0098"/>
    <s v="Masterista Frappe Base 800 Gr"/>
    <n v="5"/>
    <s v="PACK"/>
    <n v="5"/>
    <n v="630000"/>
    <n v="0"/>
    <s v="Invoice"/>
    <s v="Sudah Jadi FJ"/>
    <s v=""/>
  </r>
  <r>
    <d v="2026-06-03T00:00:00"/>
    <d v="2026-06-02T00:00:00"/>
    <s v="SO-KU/2606/020107"/>
    <s v="MKU Bali"/>
    <x v="243"/>
    <x v="0"/>
    <x v="4"/>
    <s v="PMS0024"/>
    <s v="Masterista Original Matcha 800Gr"/>
    <n v="2"/>
    <s v="POU"/>
    <n v="2"/>
    <n v="337020"/>
    <n v="0"/>
    <s v="Invoice"/>
    <s v="Sudah Jadi FJ"/>
    <s v=""/>
  </r>
  <r>
    <d v="2026-06-03T00:00:00"/>
    <d v="2026-06-02T00:00:00"/>
    <s v="SO-KU/2606/020107"/>
    <s v="MKU Bali"/>
    <x v="243"/>
    <x v="0"/>
    <x v="4"/>
    <s v="PMS0026"/>
    <s v="Masterista Dark Chocolate 800Gr"/>
    <n v="1"/>
    <s v="POU"/>
    <n v="1"/>
    <n v="164835"/>
    <n v="0"/>
    <s v="Invoice"/>
    <s v="Sudah Jadi FJ"/>
    <s v=""/>
  </r>
  <r>
    <d v="2026-06-03T00:00:00"/>
    <d v="2026-06-02T00:00:00"/>
    <s v="SO-KU/2606/020108"/>
    <s v="MKU Bali"/>
    <x v="244"/>
    <x v="0"/>
    <x v="7"/>
    <s v="ASS-CBT"/>
    <s v="Classic Black Tea @50TB/Box"/>
    <n v="2"/>
    <s v="BOX"/>
    <n v="2"/>
    <n v="213180.01"/>
    <n v="0"/>
    <s v="Invoice"/>
    <s v="Sudah Jadi FJ"/>
    <s v=""/>
  </r>
  <r>
    <d v="2026-06-03T00:00:00"/>
    <d v="2026-06-02T00:00:00"/>
    <s v="SO-KU/2606/020108"/>
    <s v="MKU Bali"/>
    <x v="244"/>
    <x v="0"/>
    <x v="7"/>
    <s v="ASS-JVG"/>
    <s v="Java Ginger @50TB/Box"/>
    <n v="1"/>
    <s v="BOX"/>
    <n v="1"/>
    <n v="121000"/>
    <n v="0"/>
    <s v="Invoice"/>
    <s v="Sudah Jadi FJ"/>
    <s v=""/>
  </r>
  <r>
    <d v="2026-06-03T00:00:00"/>
    <d v="2026-06-02T00:00:00"/>
    <s v="SO-KU/2606/020109"/>
    <s v="MKU Bali"/>
    <x v="245"/>
    <x v="1"/>
    <x v="0"/>
    <s v="PMS0024"/>
    <s v="Masterista Original Matcha 800Gr"/>
    <n v="12"/>
    <s v="POU"/>
    <n v="12"/>
    <n v="2022119.99"/>
    <n v="0"/>
    <s v="Invoice"/>
    <s v="Sudah Jadi FJ"/>
    <s v=""/>
  </r>
  <r>
    <d v="2026-06-03T00:00:00"/>
    <d v="2026-06-02T00:00:00"/>
    <s v="SO-KU/2606/020110"/>
    <s v="MKU Bali"/>
    <x v="246"/>
    <x v="0"/>
    <x v="3"/>
    <s v="PAS0022"/>
    <s v="Crr Rock'n Simply Crrrrips Straight Cut Fries 10 Kg/Ctn"/>
    <n v="1"/>
    <s v="KTN"/>
    <n v="1"/>
    <n v="410000"/>
    <n v="0"/>
    <s v="Invoice"/>
    <s v="Sudah Jadi FJ"/>
    <s v=""/>
  </r>
  <r>
    <d v="2026-06-03T00:00:00"/>
    <d v="2026-06-02T00:00:00"/>
    <s v="SO-KU/2606/020110"/>
    <s v="MKU Bali"/>
    <x v="246"/>
    <x v="0"/>
    <x v="3"/>
    <s v="PAS0036"/>
    <s v="Crr Rock'n Hash Brown Triangular 2.5Kg"/>
    <n v="2"/>
    <s v="PACK"/>
    <n v="2"/>
    <n v="265000"/>
    <n v="0"/>
    <s v="Invoice"/>
    <s v="Sudah Jadi FJ"/>
    <s v=""/>
  </r>
  <r>
    <d v="2026-06-03T00:00:00"/>
    <d v="2026-06-02T00:00:00"/>
    <s v="SO-KU/2606/020111"/>
    <s v="MKU Bali"/>
    <x v="247"/>
    <x v="1"/>
    <x v="9"/>
    <s v="PMS0024"/>
    <s v="Masterista Original Matcha 800Gr"/>
    <n v="3"/>
    <s v="POU"/>
    <n v="3"/>
    <n v="505530"/>
    <n v="0"/>
    <s v="Invoice"/>
    <s v="Sudah Jadi FJ"/>
    <s v=""/>
  </r>
  <r>
    <d v="2026-06-03T00:00:00"/>
    <d v="2026-06-02T00:00:00"/>
    <s v="SO-KU/2606/020111"/>
    <s v="MKU Bali"/>
    <x v="247"/>
    <x v="1"/>
    <x v="9"/>
    <s v="PMS0031"/>
    <s v="Masterista Aren Sugar Liquid 1000Gr"/>
    <n v="4"/>
    <s v="POU"/>
    <n v="4"/>
    <n v="249760"/>
    <n v="0"/>
    <s v="Invoice"/>
    <s v="Sudah Jadi FJ"/>
    <s v=""/>
  </r>
  <r>
    <d v="2026-06-03T00:00:00"/>
    <d v="2026-06-02T00:00:00"/>
    <s v="SO-KU/2606/020112"/>
    <s v="MKU Bali"/>
    <x v="248"/>
    <x v="0"/>
    <x v="1"/>
    <s v="PMS0178"/>
    <s v="Masterista Ceremonial Pure Matcha Powder 500 Gr"/>
    <n v="1"/>
    <s v="PACK"/>
    <n v="1"/>
    <n v="1148850"/>
    <n v="0"/>
    <s v="Invoice"/>
    <s v="Sudah Jadi FJ"/>
    <s v="Bayar Cash"/>
  </r>
  <r>
    <d v="2026-06-03T00:00:00"/>
    <d v="2026-06-02T00:00:00"/>
    <s v="SO-KU/2606/020114"/>
    <s v="MKU Bali"/>
    <x v="249"/>
    <x v="0"/>
    <x v="4"/>
    <s v="PMS0119"/>
    <s v="Masterista Sweet Sauce Caramel 500 Gr"/>
    <n v="4"/>
    <s v="BTL"/>
    <n v="4"/>
    <n v="232000"/>
    <n v="0"/>
    <s v="Invoice"/>
    <s v="Sudah Jadi FJ"/>
    <s v="Kirim ke Jalan kaswari no 22 penatih"/>
  </r>
  <r>
    <d v="2026-06-03T00:00:00"/>
    <d v="2026-06-02T00:00:00"/>
    <s v="SO-KU/2606/020115"/>
    <s v="MKU Bali"/>
    <x v="250"/>
    <x v="0"/>
    <x v="4"/>
    <s v="PMS0024"/>
    <s v="Masterista Original Matcha 800Gr"/>
    <n v="2"/>
    <s v="POU"/>
    <n v="2"/>
    <n v="337020"/>
    <n v="0"/>
    <s v="Invoice"/>
    <s v="Sudah Jadi FJ"/>
    <s v=""/>
  </r>
  <r>
    <d v="2026-06-03T00:00:00"/>
    <d v="2026-06-02T00:00:00"/>
    <s v="SO-KU/2606/020115"/>
    <s v="MKU Bali"/>
    <x v="250"/>
    <x v="0"/>
    <x v="4"/>
    <s v="PMS0026"/>
    <s v="Masterista Dark Chocolate 800Gr"/>
    <n v="3"/>
    <s v="POU"/>
    <n v="3"/>
    <n v="494505"/>
    <n v="0"/>
    <s v="Invoice"/>
    <s v="Sudah Jadi FJ"/>
    <s v=""/>
  </r>
  <r>
    <d v="2026-06-03T00:00:00"/>
    <d v="2026-06-02T00:00:00"/>
    <s v="SO-KU/2606/020115"/>
    <s v="MKU Bali"/>
    <x v="250"/>
    <x v="0"/>
    <x v="4"/>
    <s v="PMS0094"/>
    <s v="Masterista Syrup Butterscotch 850 Ml"/>
    <n v="3"/>
    <s v="BTL"/>
    <n v="3"/>
    <n v="330000"/>
    <n v="0"/>
    <s v="Invoice"/>
    <s v="Sudah Jadi FJ"/>
    <s v=""/>
  </r>
  <r>
    <d v="2026-06-03T00:00:00"/>
    <d v="2026-06-02T00:00:00"/>
    <s v="SO-KU/2606/020115"/>
    <s v="MKU Bali"/>
    <x v="250"/>
    <x v="0"/>
    <x v="4"/>
    <s v="PMS0114"/>
    <s v="Masterista Cold Foam Sea Salt 500 Gr"/>
    <n v="2"/>
    <s v="PACK"/>
    <n v="2"/>
    <n v="110000"/>
    <n v="0"/>
    <s v="Invoice"/>
    <s v="Sudah Jadi FJ"/>
    <s v=""/>
  </r>
  <r>
    <d v="2026-06-03T00:00:00"/>
    <d v="2026-06-02T00:00:00"/>
    <s v="SO-KU/2606/020115"/>
    <s v="MKU Bali"/>
    <x v="250"/>
    <x v="0"/>
    <x v="4"/>
    <s v="PMS0132"/>
    <s v="Masterista Syrup Vanilla Tradition 850ml"/>
    <n v="3"/>
    <s v="BTL"/>
    <n v="3"/>
    <n v="330000.01"/>
    <n v="0"/>
    <s v="Invoice"/>
    <s v="Sudah Jadi FJ"/>
    <s v=""/>
  </r>
  <r>
    <d v="2026-06-03T00:00:00"/>
    <d v="2026-06-02T00:00:00"/>
    <s v="SO-KU/2606/020116"/>
    <s v="MKU Bali"/>
    <x v="251"/>
    <x v="0"/>
    <x v="4"/>
    <s v="PMS0033"/>
    <s v="Masterista Ice Shaken Lemon Tea 1000Gr"/>
    <n v="1"/>
    <s v="PACK"/>
    <n v="1"/>
    <n v="66600"/>
    <n v="0"/>
    <s v="Invoice"/>
    <s v="Sudah Jadi FJ"/>
    <s v=""/>
  </r>
  <r>
    <d v="2026-06-03T00:00:00"/>
    <d v="2026-06-02T00:00:00"/>
    <s v="SO-KU/2606/020116"/>
    <s v="MKU Bali"/>
    <x v="251"/>
    <x v="0"/>
    <x v="4"/>
    <s v="PMS0034"/>
    <s v="Masterista Ice Shaken Lychee Tea 1000Gr"/>
    <n v="2"/>
    <s v="PACK"/>
    <n v="2"/>
    <n v="147630"/>
    <n v="0"/>
    <s v="Invoice"/>
    <s v="Sudah Jadi FJ"/>
    <s v=""/>
  </r>
  <r>
    <d v="2026-06-03T00:00:00"/>
    <d v="2026-06-02T00:00:00"/>
    <s v="SO-KU/2606/020116"/>
    <s v="MKU Bali"/>
    <x v="251"/>
    <x v="0"/>
    <x v="4"/>
    <s v="PMS0036"/>
    <s v="Artisan Pure Matcha (500Gr/Pack)"/>
    <n v="1"/>
    <s v="PACK"/>
    <n v="1"/>
    <n v="206000"/>
    <n v="0"/>
    <s v="Invoice"/>
    <s v="Sudah Jadi FJ"/>
    <s v=""/>
  </r>
  <r>
    <d v="2026-06-03T00:00:00"/>
    <d v="2026-06-02T00:00:00"/>
    <s v="SO-KU/2606/020116"/>
    <s v="MKU Bali"/>
    <x v="251"/>
    <x v="0"/>
    <x v="4"/>
    <s v="PMS0072"/>
    <s v="ICE SHAKEN PEACH TEA 1000 GR"/>
    <n v="1"/>
    <s v="PACK"/>
    <n v="1"/>
    <n v="69665"/>
    <n v="0"/>
    <s v="Invoice"/>
    <s v="Sudah Jadi FJ"/>
    <s v=""/>
  </r>
  <r>
    <d v="2026-06-03T00:00:00"/>
    <d v="2026-06-02T00:00:00"/>
    <s v="SO-KU/2606/020117"/>
    <s v="MKU Bali"/>
    <x v="252"/>
    <x v="1"/>
    <x v="4"/>
    <s v="PMS0024"/>
    <s v="Masterista Original Matcha 800Gr"/>
    <n v="36"/>
    <s v="POU"/>
    <n v="36"/>
    <n v="5459723.9699999997"/>
    <n v="0"/>
    <s v="Invoice"/>
    <s v="Sudah Jadi FJ"/>
    <s v=""/>
  </r>
  <r>
    <d v="2026-06-03T00:00:00"/>
    <d v="2026-06-02T00:00:00"/>
    <s v="SO-KU/2606/020118"/>
    <s v="MKU Bali"/>
    <x v="19"/>
    <x v="0"/>
    <x v="4"/>
    <s v="PMS0026"/>
    <s v="Masterista Dark Chocolate 800Gr"/>
    <n v="2"/>
    <s v="POU"/>
    <n v="2"/>
    <n v="329670"/>
    <n v="0"/>
    <s v="Invoice"/>
    <s v="Sudah Jadi FJ"/>
    <s v=""/>
  </r>
  <r>
    <d v="2026-06-03T00:00:00"/>
    <d v="2026-06-02T00:00:00"/>
    <s v="SO-KU/2606/020118"/>
    <s v="MKU Bali"/>
    <x v="19"/>
    <x v="0"/>
    <x v="4"/>
    <s v="PMS0094"/>
    <s v="Masterista Syrup Butterscotch 850 Ml"/>
    <n v="1"/>
    <s v="BTL"/>
    <n v="1"/>
    <n v="110000"/>
    <n v="0"/>
    <s v="Invoice"/>
    <s v="Sudah Jadi FJ"/>
    <s v=""/>
  </r>
  <r>
    <d v="2026-06-03T00:00:00"/>
    <d v="2026-06-02T00:00:00"/>
    <s v="SO-KU/2606/020118"/>
    <s v="MKU Bali"/>
    <x v="19"/>
    <x v="0"/>
    <x v="4"/>
    <s v="PMS0134"/>
    <s v="Masterista Syrup Salted Caramel 850 ML"/>
    <n v="1"/>
    <s v="BTL"/>
    <n v="1"/>
    <n v="110000"/>
    <n v="0"/>
    <s v="Invoice"/>
    <s v="Sudah Jadi FJ"/>
    <s v=""/>
  </r>
  <r>
    <d v="2026-06-03T00:00:00"/>
    <d v="2026-06-02T00:00:00"/>
    <s v="SO-KU/2606/020119"/>
    <s v="MKU Bali"/>
    <x v="253"/>
    <x v="1"/>
    <x v="6"/>
    <s v="PMS0130"/>
    <s v="Masterista Syrup Classic Caramel 850ml"/>
    <n v="3"/>
    <s v="BTL"/>
    <n v="3"/>
    <n v="330000"/>
    <n v="0"/>
    <s v="Invoice"/>
    <s v="Sudah Jadi FJ"/>
    <s v=""/>
  </r>
  <r>
    <d v="2026-06-03T00:00:00"/>
    <d v="2026-06-02T00:00:00"/>
    <s v="SO-KU/2606/020119"/>
    <s v="MKU Bali"/>
    <x v="253"/>
    <x v="1"/>
    <x v="6"/>
    <s v="PMS0132"/>
    <s v="Masterista Syrup Vanilla Tradition 850ml"/>
    <n v="2"/>
    <s v="BTL"/>
    <n v="2"/>
    <n v="220000"/>
    <n v="0"/>
    <s v="Invoice"/>
    <s v="Sudah Jadi FJ"/>
    <s v=""/>
  </r>
  <r>
    <d v="2026-06-03T00:00:00"/>
    <d v="2026-06-02T00:00:00"/>
    <s v="SO-KU/2606/020119"/>
    <s v="MKU Bali"/>
    <x v="253"/>
    <x v="1"/>
    <x v="6"/>
    <s v="PMS0143"/>
    <s v="Masterista Syrup Premium Hazelnut 850 Ml"/>
    <n v="1"/>
    <s v="BTL"/>
    <n v="1"/>
    <n v="110000"/>
    <n v="0"/>
    <s v="Invoice"/>
    <s v="Sudah Jadi FJ"/>
    <s v=""/>
  </r>
  <r>
    <d v="2026-06-03T00:00:00"/>
    <d v="2026-06-02T00:00:00"/>
    <s v="SO-KU/2606/020119"/>
    <s v="MKU Bali"/>
    <x v="253"/>
    <x v="1"/>
    <x v="6"/>
    <s v="PMS0144"/>
    <s v="Masterista Syrup Peach 850ml"/>
    <n v="1"/>
    <s v="BTL"/>
    <n v="1"/>
    <n v="110000.01"/>
    <n v="0"/>
    <s v="Invoice"/>
    <s v="Sudah Jadi FJ"/>
    <s v=""/>
  </r>
  <r>
    <d v="2026-06-03T00:00:00"/>
    <d v="2026-06-02T00:00:00"/>
    <s v="SO-KU/2606/020120"/>
    <s v="MKU Bali"/>
    <x v="254"/>
    <x v="0"/>
    <x v="7"/>
    <s v="PSJ0019"/>
    <s v="Pork B Sliced (1kg/pack)"/>
    <n v="2"/>
    <s v="KG"/>
    <n v="2"/>
    <n v="220000"/>
    <n v="0"/>
    <s v="Invoice"/>
    <s v="Sudah Jadi FJ"/>
    <s v=""/>
  </r>
  <r>
    <d v="2026-06-03T00:00:00"/>
    <d v="2026-06-02T00:00:00"/>
    <s v="SO-KU/2606/020121"/>
    <s v="MKU Bali"/>
    <x v="255"/>
    <x v="1"/>
    <x v="6"/>
    <s v="PMS0142"/>
    <s v="Flavourista Syrup Caramel 1.000 Ml"/>
    <n v="4"/>
    <s v="BTL"/>
    <n v="4"/>
    <n v="359496"/>
    <n v="0"/>
    <s v="Invoice"/>
    <s v="Sudah Jadi FJ"/>
    <s v=""/>
  </r>
  <r>
    <d v="2026-06-03T00:00:00"/>
    <d v="2026-06-02T00:00:00"/>
    <s v="SO-KU/2606/020121"/>
    <s v="MKU Bali"/>
    <x v="255"/>
    <x v="1"/>
    <x v="6"/>
    <s v="PMS0156"/>
    <s v="Flavourista Syrup Hazelnut 1000 Ml"/>
    <n v="4"/>
    <s v="BTL"/>
    <n v="4"/>
    <n v="359496"/>
    <n v="0"/>
    <s v="Invoice"/>
    <s v="Sudah Jadi FJ"/>
    <s v=""/>
  </r>
  <r>
    <d v="2026-06-03T00:00:00"/>
    <d v="2026-06-02T00:00:00"/>
    <s v="SO-KU/2606/020122"/>
    <s v="MKU Bali"/>
    <x v="79"/>
    <x v="0"/>
    <x v="5"/>
    <s v="PMS0125"/>
    <s v="Flavourista Syrup Butterscotch 1000 Ml"/>
    <n v="2"/>
    <s v="BTL"/>
    <n v="2"/>
    <n v="179748"/>
    <n v="0"/>
    <s v="Invoice"/>
    <s v="Sudah Jadi FJ"/>
    <s v=""/>
  </r>
  <r>
    <d v="2026-06-03T00:00:00"/>
    <d v="2026-06-02T00:00:00"/>
    <s v="SO-KU/2606/020122"/>
    <s v="MKU Bali"/>
    <x v="79"/>
    <x v="0"/>
    <x v="5"/>
    <s v="PMS0154"/>
    <s v="Flavourista Syrup Lychee 1000 Ml"/>
    <n v="2"/>
    <s v="BTL"/>
    <n v="2"/>
    <n v="174355.57"/>
    <n v="0"/>
    <s v="Invoice"/>
    <s v="Sudah Jadi FJ"/>
    <s v=""/>
  </r>
  <r>
    <d v="2026-06-03T00:00:00"/>
    <d v="2026-06-02T00:00:00"/>
    <s v="SO-KU/2606/020122"/>
    <s v="MKU Bali"/>
    <x v="79"/>
    <x v="0"/>
    <x v="5"/>
    <s v="PMS0164"/>
    <s v="Flavourista Syrup Salted Caramel 1000 Ml"/>
    <n v="1"/>
    <s v="BTL"/>
    <n v="1"/>
    <n v="89874"/>
    <n v="0"/>
    <s v="Invoice"/>
    <s v="Sudah Jadi FJ"/>
    <s v=""/>
  </r>
  <r>
    <d v="2026-06-03T00:00:00"/>
    <d v="2026-06-02T00:00:00"/>
    <s v="SO-KU/2606/020123"/>
    <s v="MKU Bali"/>
    <x v="256"/>
    <x v="0"/>
    <x v="6"/>
    <s v="PMS0027"/>
    <s v="Masterista Red Velvet Expecta 800Gr"/>
    <n v="1"/>
    <s v="POU"/>
    <n v="1"/>
    <n v="156510"/>
    <n v="0"/>
    <s v="Invoice"/>
    <s v="Sudah Jadi FJ"/>
    <s v=""/>
  </r>
  <r>
    <d v="2026-06-03T00:00:00"/>
    <d v="2026-06-02T00:00:00"/>
    <s v="SO-KU/2606/020123"/>
    <s v="MKU Bali"/>
    <x v="256"/>
    <x v="0"/>
    <x v="6"/>
    <s v="PMS0028"/>
    <s v="Masterista Taro Expecta 800Gr"/>
    <n v="1"/>
    <s v="POU"/>
    <n v="1"/>
    <n v="156510"/>
    <n v="0"/>
    <s v="Invoice"/>
    <s v="Sudah Jadi FJ"/>
    <s v=""/>
  </r>
  <r>
    <d v="2026-06-03T00:00:00"/>
    <d v="2026-06-02T00:00:00"/>
    <s v="SO-KU/2606/020124"/>
    <s v="MKU Bali"/>
    <x v="257"/>
    <x v="0"/>
    <x v="7"/>
    <s v="PSJ0024"/>
    <s v="Coren Pork belly Skinless"/>
    <n v="50"/>
    <s v="KG"/>
    <n v="50.75"/>
    <n v="6597500"/>
    <n v="0.75"/>
    <s v="Invoice"/>
    <s v="Sudah Jadi FJ"/>
    <s v=""/>
  </r>
  <r>
    <d v="2026-06-03T00:00:00"/>
    <d v="2026-06-02T00:00:00"/>
    <s v="SO-KU/2606/020125"/>
    <s v="MKU Bali"/>
    <x v="258"/>
    <x v="0"/>
    <x v="4"/>
    <s v="PMS0027"/>
    <s v="Masterista Red Velvet Expecta 800Gr"/>
    <n v="2"/>
    <s v="POU"/>
    <n v="2"/>
    <n v="313020"/>
    <n v="0"/>
    <s v="Invoice"/>
    <s v="Sudah Jadi FJ"/>
    <s v=""/>
  </r>
  <r>
    <d v="2026-06-03T00:00:00"/>
    <d v="2026-06-02T00:00:00"/>
    <s v="SO-KU/2606/020126"/>
    <s v="MKU Bali"/>
    <x v="48"/>
    <x v="1"/>
    <x v="1"/>
    <s v="POS0024"/>
    <s v="O Sole Pomodori Pelati Peeled Tomatoes 2.5Kg"/>
    <n v="12"/>
    <s v="CAN"/>
    <n v="12"/>
    <n v="1044000"/>
    <n v="0"/>
    <s v="Invoice"/>
    <s v="Sudah Jadi FJ"/>
    <s v=""/>
  </r>
  <r>
    <d v="2026-06-03T00:00:00"/>
    <d v="2026-06-02T00:00:00"/>
    <s v="SO-KU/2606/020127"/>
    <s v="MKU Bali"/>
    <x v="259"/>
    <x v="0"/>
    <x v="1"/>
    <s v="PAS0041"/>
    <s v="Maestro FF 10x10mm Straight Cut 2.5 Kg"/>
    <n v="4"/>
    <s v="PACK"/>
    <n v="4"/>
    <n v="390000"/>
    <n v="0"/>
    <s v="Invoice"/>
    <s v="Sudah Jadi FJ"/>
    <s v=""/>
  </r>
  <r>
    <d v="2026-06-03T00:00:00"/>
    <d v="2026-06-02T00:00:00"/>
    <s v="SO-KU/2606/020128"/>
    <s v="MKU Bali"/>
    <x v="260"/>
    <x v="1"/>
    <x v="0"/>
    <s v="PAS0014"/>
    <s v="Crr Rock'n Hash Brown Triangular 10Kg/Ctn"/>
    <n v="1"/>
    <s v="KTN"/>
    <n v="1"/>
    <n v="500000"/>
    <n v="0"/>
    <s v="Invoice"/>
    <s v="Sudah Jadi FJ"/>
    <s v=""/>
  </r>
  <r>
    <d v="2026-06-03T00:00:00"/>
    <d v="2026-06-02T00:00:00"/>
    <s v="SO-KU/2606/020129"/>
    <s v="MKU Bali"/>
    <x v="32"/>
    <x v="1"/>
    <x v="0"/>
    <s v="PIF0011"/>
    <s v="Pristine Classic Whip Topping 1 Lt"/>
    <n v="12"/>
    <s v="LTR"/>
    <n v="12"/>
    <n v="772560"/>
    <n v="0"/>
    <s v="Invoice"/>
    <s v="Sudah Jadi FJ"/>
    <s v=" BAR CRETYA"/>
  </r>
  <r>
    <d v="2026-06-03T00:00:00"/>
    <d v="2026-06-02T00:00:00"/>
    <s v="SO-KU/2606/020130"/>
    <s v="MKU Bali"/>
    <x v="55"/>
    <x v="1"/>
    <x v="0"/>
    <s v="POS0024"/>
    <s v="O Sole Pomodori Pelati Peeled Tomatoes 2.5Kg"/>
    <n v="24"/>
    <s v="CAN"/>
    <n v="24"/>
    <n v="1920000"/>
    <n v="0"/>
    <s v="Invoice"/>
    <s v="Sudah Jadi FJ"/>
    <s v=""/>
  </r>
  <r>
    <d v="2026-06-03T00:00:00"/>
    <d v="2026-06-02T00:00:00"/>
    <s v="SO-KU/2606/020132"/>
    <s v="MKU Bali"/>
    <x v="59"/>
    <x v="1"/>
    <x v="0"/>
    <s v="POS0024"/>
    <s v="O Sole Pomodori Pelati Peeled Tomatoes 2.5Kg"/>
    <n v="1"/>
    <s v="CAN"/>
    <n v="1"/>
    <n v="93000.01"/>
    <n v="0"/>
    <s v="Invoice"/>
    <s v="Sudah Jadi FJ"/>
    <s v=""/>
  </r>
  <r>
    <d v="2026-06-03T00:00:00"/>
    <d v="2026-06-02T00:00:00"/>
    <s v="SO-KU/2606/020133"/>
    <s v="MKU Bali"/>
    <x v="59"/>
    <x v="1"/>
    <x v="0"/>
    <s v="PAS0037"/>
    <s v="Crr Rock'n Super Crispy Jakets Spicy Wedges 2.5Kg"/>
    <n v="4"/>
    <s v="PACK"/>
    <n v="4"/>
    <n v="570000"/>
    <n v="0"/>
    <s v="Invoice"/>
    <s v="Sudah Jadi FJ"/>
    <s v=""/>
  </r>
  <r>
    <d v="2026-06-03T00:00:00"/>
    <d v="2026-06-02T00:00:00"/>
    <s v="SO-KU/2606/020133"/>
    <s v="MKU Bali"/>
    <x v="59"/>
    <x v="1"/>
    <x v="0"/>
    <s v="PAA0001"/>
    <s v="Bergold Mozzarella Block"/>
    <n v="2.2999999999999998"/>
    <s v="KG"/>
    <n v="2.17"/>
    <n v="252913.5"/>
    <n v="-0.13"/>
    <s v="Invoice"/>
    <s v="Sudah Jadi FJ"/>
    <s v=""/>
  </r>
  <r>
    <d v="2026-06-03T00:00:00"/>
    <d v="2026-06-02T00:00:00"/>
    <s v="SO-KU/2606/020133"/>
    <s v="MKU Bali"/>
    <x v="59"/>
    <x v="1"/>
    <x v="0"/>
    <s v="PAL0003"/>
    <s v="Isabi Smoked Salmon Slice 1Kg/Pack"/>
    <n v="1"/>
    <s v="PACK"/>
    <n v="1"/>
    <n v="444000"/>
    <n v="0"/>
    <s v="Invoice"/>
    <s v="Sudah Jadi FJ"/>
    <s v=""/>
  </r>
  <r>
    <d v="2026-06-03T00:00:00"/>
    <d v="2026-06-02T00:00:00"/>
    <s v="SO-KU/2606/020135"/>
    <s v="MKU Bali"/>
    <x v="69"/>
    <x v="0"/>
    <x v="6"/>
    <s v="POS0024"/>
    <s v="O Sole Pomodori Pelati Peeled Tomatoes 2.5Kg"/>
    <n v="3"/>
    <s v="CAN"/>
    <n v="3"/>
    <n v="264000"/>
    <n v="0"/>
    <s v="Invoice"/>
    <s v="Sudah Jadi FJ"/>
    <s v=""/>
  </r>
  <r>
    <d v="2026-06-03T00:00:00"/>
    <d v="2026-06-02T00:00:00"/>
    <s v="SO-KU/2606/020136"/>
    <s v="MKU Bali"/>
    <x v="261"/>
    <x v="0"/>
    <x v="12"/>
    <s v="PQW0010"/>
    <s v="IQF FF Shoestring 10Kg/Ctn"/>
    <n v="4"/>
    <s v="KTN"/>
    <n v="4"/>
    <n v="1000000.02"/>
    <n v="0"/>
    <s v="Invoice"/>
    <s v="Sudah Jadi FJ"/>
    <s v=""/>
  </r>
  <r>
    <d v="2026-06-03T00:00:00"/>
    <d v="2026-06-02T00:00:00"/>
    <s v="SO-KU/2606/020137"/>
    <s v="MKU Bali"/>
    <x v="129"/>
    <x v="0"/>
    <x v="0"/>
    <s v="POS0024"/>
    <s v="O Sole Pomodori Pelati Peeled Tomatoes 2.5Kg"/>
    <n v="12"/>
    <s v="CAN"/>
    <n v="12"/>
    <n v="1139999.99"/>
    <n v="0"/>
    <s v="Invoice"/>
    <s v="Sudah Jadi FJ"/>
    <s v=""/>
  </r>
  <r>
    <d v="2026-06-03T00:00:00"/>
    <d v="2026-06-02T00:00:00"/>
    <s v="SO-KU/2606/020138"/>
    <s v="MKU Bali"/>
    <x v="79"/>
    <x v="0"/>
    <x v="5"/>
    <s v="PAS0041"/>
    <s v="Maestro FF 10x10mm Straight Cut 2.5 Kg"/>
    <n v="6"/>
    <s v="PACK"/>
    <n v="6"/>
    <n v="584999.99"/>
    <n v="0"/>
    <s v="Invoice"/>
    <s v="Sudah Jadi FJ"/>
    <s v=""/>
  </r>
  <r>
    <d v="2026-06-03T00:00:00"/>
    <d v="2026-06-02T00:00:00"/>
    <s v="SO-KU/2606/020139"/>
    <s v="MKU Bali"/>
    <x v="262"/>
    <x v="1"/>
    <x v="1"/>
    <s v="PAL0003"/>
    <s v="Isabi Smoked Salmon Slice 1Kg/Pack"/>
    <n v="1"/>
    <s v="PACK"/>
    <n v="1"/>
    <n v="404999.99"/>
    <n v="0"/>
    <s v="Invoice"/>
    <s v="Sudah Jadi FJ"/>
    <s v=""/>
  </r>
  <r>
    <d v="2026-06-03T00:00:00"/>
    <d v="2026-06-02T00:00:00"/>
    <s v="SO-KU/2606/020140"/>
    <s v="MKU Bali"/>
    <x v="86"/>
    <x v="0"/>
    <x v="12"/>
    <s v="PAS0014"/>
    <s v="Crr Rock'n Hash Brown Triangular 10Kg/Ctn"/>
    <n v="3"/>
    <s v="KTN"/>
    <n v="3"/>
    <n v="1500000"/>
    <n v="0"/>
    <s v="Invoice"/>
    <s v="Sudah Jadi FJ"/>
    <s v=""/>
  </r>
  <r>
    <d v="2026-06-03T00:00:00"/>
    <d v="2026-06-02T00:00:00"/>
    <s v="SO-KU/2606/020142"/>
    <s v="MKU Bali"/>
    <x v="263"/>
    <x v="1"/>
    <x v="1"/>
    <s v="CKP1S-160"/>
    <s v="Daebak Soju Mango @360ml/btl"/>
    <n v="12"/>
    <s v="BTL"/>
    <n v="12"/>
    <n v="809999.99"/>
    <n v="0"/>
    <s v="Invoice"/>
    <s v="Sudah Jadi FJ"/>
    <s v="12+1"/>
  </r>
  <r>
    <d v="2026-06-03T00:00:00"/>
    <d v="2026-06-02T00:00:00"/>
    <s v="SO-KU/2606/020143"/>
    <s v="MKU Bali"/>
    <x v="151"/>
    <x v="1"/>
    <x v="10"/>
    <s v="PAL0003"/>
    <s v="Isabi Smoked Salmon Slice 1Kg/Pack"/>
    <n v="3"/>
    <s v="PACK"/>
    <n v="3"/>
    <n v="1332000"/>
    <n v="0"/>
    <s v="Invoice"/>
    <s v="Sudah Jadi FJ"/>
    <s v=""/>
  </r>
  <r>
    <d v="2026-06-03T00:00:00"/>
    <d v="2026-06-02T00:00:00"/>
    <s v="SO-KU/2606/020144"/>
    <s v="MKU Bali"/>
    <x v="166"/>
    <x v="1"/>
    <x v="10"/>
    <s v="POS0024"/>
    <s v="O Sole Pomodori Pelati Peeled Tomatoes 2.5Kg"/>
    <n v="60"/>
    <s v="CAN"/>
    <n v="60"/>
    <n v="4800000.01"/>
    <n v="0"/>
    <s v="Invoice"/>
    <s v="Sudah Jadi FJ"/>
    <s v=""/>
  </r>
  <r>
    <d v="2026-06-03T00:00:00"/>
    <d v="2026-06-02T00:00:00"/>
    <s v="SO-KU/2606/020145"/>
    <s v="MKU Bali"/>
    <x v="264"/>
    <x v="1"/>
    <x v="2"/>
    <s v="ASS-EBT"/>
    <s v="English Breakfast@50TB/Box"/>
    <n v="5"/>
    <s v="BOX"/>
    <n v="5"/>
    <n v="532950.02"/>
    <n v="0"/>
    <s v="Invoice"/>
    <s v="Sudah Jadi FJ"/>
    <s v=""/>
  </r>
  <r>
    <d v="2026-06-03T00:00:00"/>
    <d v="2026-06-02T00:00:00"/>
    <s v="SO-KU/2606/020146"/>
    <s v="MKU Bali"/>
    <x v="265"/>
    <x v="0"/>
    <x v="4"/>
    <s v="PAS0027"/>
    <s v="Maestro FF 10x10mm Straight Cut 10Kg/Ctn"/>
    <n v="1"/>
    <s v="KTN"/>
    <n v="1"/>
    <n v="390000"/>
    <n v="0"/>
    <s v="Invoice"/>
    <s v="Sudah Jadi FJ"/>
    <s v=""/>
  </r>
  <r>
    <d v="2026-06-03T00:00:00"/>
    <d v="2026-06-02T00:00:00"/>
    <s v="SO-KU/2606/020147"/>
    <s v="MKU Bali"/>
    <x v="266"/>
    <x v="0"/>
    <x v="2"/>
    <s v="ASS-JVJ"/>
    <s v="Javanese Jasmine Tea @50TB/Box"/>
    <n v="1"/>
    <s v="BOX"/>
    <n v="1"/>
    <n v="104999.99"/>
    <n v="0"/>
    <s v="Invoice"/>
    <s v="Sudah Jadi FJ"/>
    <s v=""/>
  </r>
  <r>
    <d v="2026-06-03T00:00:00"/>
    <d v="2026-06-02T00:00:00"/>
    <s v="SO-KU/2606/020148"/>
    <s v="MKU Bali"/>
    <x v="189"/>
    <x v="1"/>
    <x v="6"/>
    <s v="PAA0001"/>
    <s v="Bergold Mozzarella Block"/>
    <n v="6.9"/>
    <s v="KG"/>
    <n v="6.48"/>
    <n v="748439.97"/>
    <n v="-0.42"/>
    <s v="Invoice"/>
    <s v="Sudah Jadi FJ"/>
    <s v=" 3 loaf (pack) / 6,9kg"/>
  </r>
  <r>
    <d v="2026-06-03T00:00:00"/>
    <d v="2026-06-02T00:00:00"/>
    <s v="SO-KU/2606/020150"/>
    <s v="MKU Bali"/>
    <x v="117"/>
    <x v="1"/>
    <x v="21"/>
    <s v="PSJ0029"/>
    <s v="Iga Babi"/>
    <n v="300"/>
    <s v="KG"/>
    <n v="296.91000000000003"/>
    <n v="29394090"/>
    <n v="-3.09"/>
    <s v="Invoice"/>
    <s v="Sudah Jadi FJ"/>
    <s v="PENERIMAAN BARANG NAUGHTY NURIS SANUR _x000a_JAM 08.00 - 13.00"/>
  </r>
  <r>
    <d v="2026-06-03T00:00:00"/>
    <d v="2026-06-02T00:00:00"/>
    <s v="SO-KU/2606/020151"/>
    <s v="MKU Bali"/>
    <x v="267"/>
    <x v="1"/>
    <x v="14"/>
    <s v="CKP1S-181"/>
    <s v="Daebak Soju Grape 360ml"/>
    <n v="20"/>
    <s v="BTL"/>
    <n v="20"/>
    <n v="1349999.98"/>
    <n v="0"/>
    <s v="Invoice"/>
    <s v="Sudah Jadi FJ"/>
    <s v=""/>
  </r>
  <r>
    <d v="2026-06-03T00:00:00"/>
    <d v="2026-06-02T00:00:00"/>
    <s v="SO-KU/2606/020152"/>
    <s v="MKU Bali"/>
    <x v="12"/>
    <x v="1"/>
    <x v="7"/>
    <s v="POS0024"/>
    <s v="O Sole Pomodori Pelati Peeled Tomatoes 2.5Kg"/>
    <n v="18"/>
    <s v="CAN"/>
    <n v="18"/>
    <n v="1439999.96"/>
    <n v="0"/>
    <s v="Invoice"/>
    <s v="Sudah Jadi FJ"/>
    <s v=""/>
  </r>
  <r>
    <d v="2026-06-03T00:00:00"/>
    <d v="2026-06-02T00:00:00"/>
    <s v="SO-KU/2606/020153"/>
    <s v="MKU Bali"/>
    <x v="97"/>
    <x v="0"/>
    <x v="7"/>
    <s v="PEA0006"/>
    <s v="Gold Box Extra Butter MP341 5 Kg"/>
    <n v="5"/>
    <s v="KG"/>
    <n v="4.8"/>
    <n v="576000.01"/>
    <n v="-0.2"/>
    <s v="Invoice"/>
    <s v="Sudah Jadi FJ"/>
    <s v=""/>
  </r>
  <r>
    <d v="2026-06-03T00:00:00"/>
    <d v="2026-06-02T00:00:00"/>
    <s v="SO-KU/2606/020154"/>
    <s v="MKU Bali"/>
    <x v="268"/>
    <x v="1"/>
    <x v="12"/>
    <s v="PJS0005"/>
    <s v="Daebak Spark Ice Lemon Tea 330 Ml"/>
    <n v="48"/>
    <s v="BTL"/>
    <n v="48"/>
    <n v="1103999.96"/>
    <n v="0"/>
    <s v="Invoice"/>
    <s v="Sudah Jadi FJ"/>
    <s v=""/>
  </r>
  <r>
    <d v="2026-06-03T00:00:00"/>
    <d v="2026-06-02T00:00:00"/>
    <s v="SO-KU/2606/020154"/>
    <s v="MKU Bali"/>
    <x v="268"/>
    <x v="1"/>
    <x v="12"/>
    <s v="PJS0007"/>
    <s v="Daebak Spark Grape 330 Ml"/>
    <n v="48"/>
    <s v="BTL"/>
    <n v="48"/>
    <n v="1103999.96"/>
    <n v="0"/>
    <s v="Invoice"/>
    <s v="Sudah Jadi FJ"/>
    <s v=""/>
  </r>
  <r>
    <d v="2026-06-03T00:00:00"/>
    <d v="2026-06-02T00:00:00"/>
    <s v="SO-KU/2606/020155"/>
    <s v="MKU Bali"/>
    <x v="106"/>
    <x v="0"/>
    <x v="3"/>
    <s v="PAL0003"/>
    <s v="Isabi Smoked Salmon Slice 1Kg/Pack"/>
    <n v="1"/>
    <s v="PACK"/>
    <n v="1"/>
    <n v="444000"/>
    <n v="0"/>
    <s v="Invoice"/>
    <s v="Sudah Jadi FJ"/>
    <s v=""/>
  </r>
  <r>
    <d v="2026-06-03T00:00:00"/>
    <d v="2026-06-02T00:00:00"/>
    <s v="SO-KU/2606/020156"/>
    <s v="MKU Bali"/>
    <x v="269"/>
    <x v="1"/>
    <x v="5"/>
    <s v="PEA0005"/>
    <s v="Gold Box Melange Butter MP331 5 Kg"/>
    <n v="5"/>
    <s v="KG"/>
    <n v="5"/>
    <n v="674999.99"/>
    <n v="0"/>
    <s v="Invoice"/>
    <s v="Sudah Jadi FJ"/>
    <s v=""/>
  </r>
  <r>
    <d v="2026-06-03T00:00:00"/>
    <d v="2026-06-02T00:00:00"/>
    <s v="SO-KU/2606/020159"/>
    <s v="MKU Bali"/>
    <x v="15"/>
    <x v="0"/>
    <x v="7"/>
    <s v="PKI0002"/>
    <s v="Premium Crincle Cut Fries 2 Kg"/>
    <n v="4"/>
    <s v="PACK"/>
    <n v="4"/>
    <n v="248000"/>
    <n v="0"/>
    <s v="Invoice"/>
    <s v="Sudah Jadi FJ"/>
    <s v=""/>
  </r>
  <r>
    <d v="2026-06-03T00:00:00"/>
    <d v="2026-06-02T00:00:00"/>
    <s v="SO-KU/2606/020160"/>
    <s v="MKU Bali"/>
    <x v="270"/>
    <x v="1"/>
    <x v="2"/>
    <s v="PAS0068"/>
    <s v="Arass Green Tea 100 Tb"/>
    <n v="1"/>
    <s v="BOX"/>
    <n v="1"/>
    <n v="48000"/>
    <n v="0"/>
    <s v="Invoice"/>
    <s v="Sudah Jadi FJ"/>
    <s v=""/>
  </r>
  <r>
    <d v="2026-06-03T00:00:00"/>
    <d v="2026-06-02T00:00:00"/>
    <s v="SO-KU/2606/020160"/>
    <s v="MKU Bali"/>
    <x v="270"/>
    <x v="1"/>
    <x v="2"/>
    <s v="PAS0069"/>
    <s v="Arass English Breakfast Tea 100 Tb"/>
    <n v="1"/>
    <s v="BOX"/>
    <n v="1"/>
    <n v="47999.99"/>
    <n v="0"/>
    <s v="Invoice"/>
    <s v="Sudah Jadi FJ"/>
    <s v=""/>
  </r>
  <r>
    <d v="2026-06-03T00:00:00"/>
    <d v="2026-06-02T00:00:00"/>
    <s v="SO-KU/2606/020161"/>
    <s v="MKU Bali"/>
    <x v="17"/>
    <x v="1"/>
    <x v="7"/>
    <s v="PAS0022"/>
    <s v="Crr Rock'n Simply Crrrrips Straight Cut Fries 10 Kg/Ctn"/>
    <n v="1"/>
    <s v="KTN"/>
    <n v="1"/>
    <n v="470000"/>
    <n v="0"/>
    <s v="Invoice"/>
    <s v="Sudah Jadi FJ"/>
    <s v=""/>
  </r>
  <r>
    <d v="2026-06-03T00:00:00"/>
    <d v="2026-06-02T00:00:00"/>
    <s v="SO-KU/2606/020162"/>
    <s v="MKU Bali"/>
    <x v="271"/>
    <x v="0"/>
    <x v="4"/>
    <s v="PMS0160"/>
    <s v="Masterista Syrup Blackcurrant 850 Ml"/>
    <n v="2"/>
    <s v="BTL"/>
    <n v="2"/>
    <n v="220000"/>
    <n v="0"/>
    <s v="Invoice"/>
    <s v="Sudah Jadi FJ"/>
    <s v=""/>
  </r>
  <r>
    <d v="2026-06-03T00:00:00"/>
    <d v="2026-06-02T00:00:00"/>
    <s v="SO-KU/2606/020164"/>
    <s v="MKU Bali"/>
    <x v="272"/>
    <x v="0"/>
    <x v="9"/>
    <s v="PMS0098"/>
    <s v="Masterista Frappe Base 800 Gr"/>
    <n v="1"/>
    <s v="PACK"/>
    <n v="1"/>
    <n v="126000"/>
    <n v="0"/>
    <s v="Invoice"/>
    <s v="Sudah Jadi FJ"/>
    <s v=""/>
  </r>
  <r>
    <d v="2026-06-03T00:00:00"/>
    <d v="2026-06-02T00:00:00"/>
    <s v="SO-KU/2606/020165"/>
    <s v="MKU Bali"/>
    <x v="273"/>
    <x v="1"/>
    <x v="6"/>
    <s v="PMS0093"/>
    <s v="Masterista Syrup Strawberry 850 Ml"/>
    <n v="4"/>
    <s v="BTL"/>
    <n v="4"/>
    <n v="440000.01"/>
    <n v="0"/>
    <s v="Invoice"/>
    <s v="Sudah Jadi FJ"/>
    <s v=""/>
  </r>
  <r>
    <d v="2026-06-03T00:00:00"/>
    <d v="2026-06-02T00:00:00"/>
    <s v="SO-KU/2606/020165"/>
    <s v="MKU Bali"/>
    <x v="273"/>
    <x v="1"/>
    <x v="6"/>
    <s v="PMS0095"/>
    <s v="Masterista Syrup Tropical Mango 850 Ml"/>
    <n v="2"/>
    <s v="BTL"/>
    <n v="2"/>
    <n v="220000"/>
    <n v="0"/>
    <s v="Invoice"/>
    <s v="Sudah Jadi FJ"/>
    <s v=""/>
  </r>
  <r>
    <d v="2026-06-03T00:00:00"/>
    <d v="2026-06-02T00:00:00"/>
    <s v="SO-KU/2606/020167"/>
    <s v="MKU Bali"/>
    <x v="274"/>
    <x v="0"/>
    <x v="4"/>
    <s v="PMS0165"/>
    <s v="Flavourista Syrup Vanilla 1000 Ml"/>
    <n v="1"/>
    <s v="BTL"/>
    <n v="1"/>
    <n v="83582.820000000007"/>
    <n v="0"/>
    <s v="Invoice"/>
    <s v="Sudah Jadi FJ"/>
    <s v=""/>
  </r>
  <r>
    <d v="2026-06-03T00:00:00"/>
    <d v="2026-06-02T00:00:00"/>
    <s v="SO-KU/2606/020168"/>
    <s v="MKU Bali"/>
    <x v="170"/>
    <x v="0"/>
    <x v="6"/>
    <s v="PAL0003"/>
    <s v="Isabi Smoked Salmon Slice 1Kg/Pack"/>
    <n v="4"/>
    <s v="PACK"/>
    <n v="4"/>
    <n v="1720000.01"/>
    <n v="0"/>
    <s v="Invoice"/>
    <s v="Sudah Jadi FJ"/>
    <s v=""/>
  </r>
  <r>
    <d v="2026-06-03T00:00:00"/>
    <d v="2026-06-02T00:00:00"/>
    <s v="SO-KU/2606/020169"/>
    <s v="MKU Bali"/>
    <x v="122"/>
    <x v="1"/>
    <x v="2"/>
    <s v="PIF0012"/>
    <s v="Pristine Classic Cooking Cream 1 Lt"/>
    <n v="8"/>
    <s v="LTR"/>
    <n v="8"/>
    <n v="439999.99"/>
    <n v="0"/>
    <s v="Invoice"/>
    <s v="Sudah Jadi FJ"/>
    <s v=""/>
  </r>
  <r>
    <d v="2026-06-03T00:00:00"/>
    <d v="2026-06-02T00:00:00"/>
    <s v="SO-KU/2606/020170"/>
    <s v="MKU Bali"/>
    <x v="275"/>
    <x v="1"/>
    <x v="9"/>
    <s v="PAA0001"/>
    <s v="Bergold Mozzarella Block"/>
    <n v="26"/>
    <s v="KG"/>
    <n v="25.899899999999999"/>
    <n v="2460500.13"/>
    <n v="-0.10009999999999999"/>
    <s v="Invoice"/>
    <s v="Sudah Jadi FJ"/>
    <s v=""/>
  </r>
  <r>
    <d v="2026-06-03T00:00:00"/>
    <d v="2026-06-02T00:00:00"/>
    <s v="SO-KU/2606/020171"/>
    <s v="MKU Bali"/>
    <x v="226"/>
    <x v="1"/>
    <x v="10"/>
    <s v="POS0025"/>
    <s v="O Sole Doppio Concentrato Paste Tomato 2.2 Kg"/>
    <n v="1"/>
    <s v="CAN"/>
    <n v="1"/>
    <n v="135000"/>
    <n v="0"/>
    <s v="Invoice"/>
    <s v="Sudah Jadi FJ"/>
    <s v=""/>
  </r>
  <r>
    <d v="2026-06-03T00:00:00"/>
    <d v="2026-06-02T00:00:00"/>
    <s v="SO-KU/2606/020172"/>
    <s v="MKU Bali"/>
    <x v="226"/>
    <x v="1"/>
    <x v="10"/>
    <s v="PAS0022"/>
    <s v="Crr Rock'n Simply Crrrrips Straight Cut Fries 10 Kg/Ctn"/>
    <n v="3"/>
    <s v="KTN"/>
    <n v="3"/>
    <n v="1259999.99"/>
    <n v="0"/>
    <s v="Invoice"/>
    <s v="Sudah Jadi FJ"/>
    <s v=""/>
  </r>
  <r>
    <d v="2026-06-03T00:00:00"/>
    <d v="2026-06-02T00:00:00"/>
    <s v="SO-KU/2606/020173"/>
    <s v="MKU Bali"/>
    <x v="226"/>
    <x v="1"/>
    <x v="10"/>
    <s v="PAS0039"/>
    <s v="Crr Rock'n Simply Crrrrips Straight Cut Fries 2.5 Kg"/>
    <n v="1"/>
    <s v="PACK"/>
    <n v="1"/>
    <n v="104999.99"/>
    <n v="0"/>
    <s v="Invoice"/>
    <s v="Sudah Jadi FJ"/>
    <s v=""/>
  </r>
  <r>
    <d v="2026-06-03T00:00:00"/>
    <d v="2026-06-02T00:00:00"/>
    <s v="SO-KU/2606/020174"/>
    <s v="MKU Bali"/>
    <x v="151"/>
    <x v="1"/>
    <x v="10"/>
    <s v="PAL0003"/>
    <s v="Isabi Smoked Salmon Slice 1Kg/Pack"/>
    <n v="5"/>
    <s v="PACK"/>
    <n v="5"/>
    <n v="2220000"/>
    <n v="0"/>
    <s v="Invoice"/>
    <s v="Sudah Jadi FJ"/>
    <s v=""/>
  </r>
  <r>
    <d v="2026-06-03T00:00:00"/>
    <d v="2026-06-02T00:00:00"/>
    <s v="SO-KU/2606/020175"/>
    <s v="MKU Bali"/>
    <x v="151"/>
    <x v="1"/>
    <x v="10"/>
    <s v="MRD1318A"/>
    <s v="MAMAS BELLY RIND ON SB OUT (SKIN ON) 3-5KG/PACK"/>
    <n v="10"/>
    <s v="KG"/>
    <n v="6.18"/>
    <n v="784860"/>
    <n v="-3.82"/>
    <s v="Invoice"/>
    <s v="Sudah Jadi FJ"/>
    <s v=""/>
  </r>
  <r>
    <d v="2026-06-03T00:00:00"/>
    <d v="2026-06-02T00:00:00"/>
    <s v="SO-KU/2606/020176"/>
    <s v="MKU Bali"/>
    <x v="69"/>
    <x v="0"/>
    <x v="6"/>
    <s v="PSJ0019"/>
    <s v="Pork B Sliced (1kg/pack)"/>
    <n v="3"/>
    <s v="KG"/>
    <n v="3"/>
    <n v="300000"/>
    <n v="0"/>
    <s v="Invoice"/>
    <s v="Sudah Jadi FJ"/>
    <s v=""/>
  </r>
  <r>
    <d v="2026-06-03T00:00:00"/>
    <d v="2026-06-02T00:00:00"/>
    <s v="SO-KU/2606/020176"/>
    <s v="MKU Bali"/>
    <x v="69"/>
    <x v="0"/>
    <x v="6"/>
    <s v="PQW0012"/>
    <s v="IQF FF Shoestring 2.5 Kg/Pack"/>
    <n v="2"/>
    <s v="PACK"/>
    <n v="2"/>
    <n v="149999.99"/>
    <n v="0"/>
    <s v="Invoice"/>
    <s v="Sudah Jadi FJ"/>
    <s v=""/>
  </r>
  <r>
    <d v="2026-06-03T00:00:00"/>
    <d v="2026-06-02T00:00:00"/>
    <s v="SO-KU/2606/020177"/>
    <s v="MKU Bali"/>
    <x v="100"/>
    <x v="1"/>
    <x v="1"/>
    <s v="MRD1318A"/>
    <s v="MAMAS BELLY RIND ON SB OUT (SKIN ON) 3-5KG/PACK"/>
    <n v="15"/>
    <s v="KG"/>
    <n v="12.9"/>
    <n v="1638300"/>
    <n v="-2.1"/>
    <s v="Invoice"/>
    <s v="Sudah Jadi FJ"/>
    <s v=" kitchen fbc"/>
  </r>
  <r>
    <d v="2026-06-03T00:00:00"/>
    <d v="2026-06-02T00:00:00"/>
    <s v="SO-KU/2606/020177"/>
    <s v="MKU Bali"/>
    <x v="100"/>
    <x v="1"/>
    <x v="1"/>
    <s v="150226"/>
    <s v="Belly Skinless Premium (2.5Kg/Pack)"/>
    <n v="10"/>
    <s v="KG"/>
    <n v="10.24"/>
    <n v="1228800"/>
    <n v="0.24"/>
    <s v="Invoice"/>
    <s v="Sudah Jadi FJ"/>
    <s v=" kitchen fbc"/>
  </r>
  <r>
    <d v="2026-06-03T00:00:00"/>
    <d v="2026-06-02T00:00:00"/>
    <s v="SO-KU/2606/020178"/>
    <s v="MKU Bali"/>
    <x v="276"/>
    <x v="1"/>
    <x v="5"/>
    <s v="PMS0140"/>
    <s v="Masterista Japanese Matcha Powder Premium 500 Ml"/>
    <n v="1"/>
    <s v="PACK"/>
    <n v="1"/>
    <n v="501600.01"/>
    <n v="0"/>
    <s v="Invoice"/>
    <s v="Sudah Jadi FJ"/>
    <s v=""/>
  </r>
  <r>
    <d v="2026-06-03T00:00:00"/>
    <d v="2026-06-02T00:00:00"/>
    <s v="SO-KU/2606/020179"/>
    <s v="MKU Bali"/>
    <x v="100"/>
    <x v="1"/>
    <x v="1"/>
    <s v="PSJ0019"/>
    <s v="Pork B Sliced (1kg/pack)"/>
    <n v="20"/>
    <s v="KG"/>
    <n v="20"/>
    <n v="2000000"/>
    <n v="0"/>
    <s v="Invoice"/>
    <s v="Sudah Jadi FJ"/>
    <s v="tambahan kitchen fbc"/>
  </r>
  <r>
    <d v="2026-06-03T00:00:00"/>
    <d v="2026-06-02T00:00:00"/>
    <s v="SO-KU/2606/020180"/>
    <s v="MKU Bali"/>
    <x v="255"/>
    <x v="1"/>
    <x v="6"/>
    <s v="PMS0140"/>
    <s v="Masterista Japanese Matcha Powder Premium 500 Ml"/>
    <n v="4"/>
    <s v="PACK"/>
    <n v="4"/>
    <n v="2112000"/>
    <n v="0"/>
    <s v="Invoice"/>
    <s v="Sudah Jadi FJ"/>
    <s v=""/>
  </r>
  <r>
    <d v="2026-06-03T00:00:00"/>
    <d v="2026-06-02T00:00:00"/>
    <s v="SO-KU/2606/020181"/>
    <s v="MKU Bali"/>
    <x v="277"/>
    <x v="0"/>
    <x v="6"/>
    <s v="PMS0093"/>
    <s v="Masterista Syrup Strawberry 850 Ml"/>
    <n v="1"/>
    <s v="BTL"/>
    <n v="1"/>
    <n v="110000"/>
    <n v="0"/>
    <s v="Invoice"/>
    <s v="Sudah Jadi FJ"/>
    <s v=""/>
  </r>
  <r>
    <d v="2026-06-03T00:00:00"/>
    <d v="2026-06-02T00:00:00"/>
    <s v="SO-KU/2606/020182"/>
    <s v="MKU Bali"/>
    <x v="278"/>
    <x v="0"/>
    <x v="7"/>
    <s v="PMS0093"/>
    <s v="Masterista Syrup Strawberry 850 Ml"/>
    <n v="2"/>
    <s v="BTL"/>
    <n v="2"/>
    <n v="220000"/>
    <n v="0"/>
    <s v="Invoice"/>
    <s v="Sudah Jadi FJ"/>
    <s v=""/>
  </r>
  <r>
    <d v="2026-06-03T00:00:00"/>
    <d v="2026-06-02T00:00:00"/>
    <s v="SO-KU/2606/020183"/>
    <s v="MKU Bali"/>
    <x v="277"/>
    <x v="0"/>
    <x v="6"/>
    <s v="PMS0131"/>
    <s v="Masterista Syrup Tropical Lychee 850 Ml"/>
    <n v="3"/>
    <s v="BTL"/>
    <n v="3"/>
    <n v="330000"/>
    <n v="0"/>
    <s v="Invoice"/>
    <s v="Sudah Jadi FJ"/>
    <s v=""/>
  </r>
  <r>
    <d v="2026-06-03T00:00:00"/>
    <d v="2026-06-02T00:00:00"/>
    <s v="SO-KU/2606/020184"/>
    <s v="MKU Bali"/>
    <x v="279"/>
    <x v="0"/>
    <x v="0"/>
    <s v="PMS0093"/>
    <s v="Masterista Syrup Strawberry 850 Ml"/>
    <n v="4"/>
    <s v="BTL"/>
    <n v="4"/>
    <n v="440000"/>
    <n v="0"/>
    <s v="Invoice"/>
    <s v="Sudah Jadi FJ"/>
    <s v=""/>
  </r>
  <r>
    <d v="2026-06-03T00:00:00"/>
    <d v="2026-06-02T00:00:00"/>
    <s v="SO-KU/2606/020184"/>
    <s v="MKU Bali"/>
    <x v="279"/>
    <x v="0"/>
    <x v="0"/>
    <s v="PMS0094"/>
    <s v="Masterista Syrup Butterscotch 850 Ml"/>
    <n v="4"/>
    <s v="BTL"/>
    <n v="4"/>
    <n v="440000"/>
    <n v="0"/>
    <s v="Invoice"/>
    <s v="Sudah Jadi FJ"/>
    <s v=""/>
  </r>
  <r>
    <d v="2026-06-03T00:00:00"/>
    <d v="2026-06-02T00:00:00"/>
    <s v="SO-KU/2606/020184"/>
    <s v="MKU Bali"/>
    <x v="279"/>
    <x v="0"/>
    <x v="0"/>
    <s v="PMS0114"/>
    <s v="Masterista Cold Foam Sea Salt 500 Gr"/>
    <n v="1"/>
    <s v="PACK"/>
    <n v="1"/>
    <n v="55000"/>
    <n v="0"/>
    <s v="Invoice"/>
    <s v="Sudah Jadi FJ"/>
    <s v=""/>
  </r>
  <r>
    <d v="2026-06-03T00:00:00"/>
    <d v="2026-06-02T00:00:00"/>
    <s v="SO-KU/2606/020184"/>
    <s v="MKU Bali"/>
    <x v="279"/>
    <x v="0"/>
    <x v="0"/>
    <s v="PMS0131"/>
    <s v="Masterista Syrup Tropical Lychee 850 Ml"/>
    <n v="5"/>
    <s v="BTL"/>
    <n v="5"/>
    <n v="550000"/>
    <n v="0"/>
    <s v="Invoice"/>
    <s v="Sudah Jadi FJ"/>
    <s v=""/>
  </r>
  <r>
    <d v="2026-06-03T00:00:00"/>
    <d v="2026-06-02T00:00:00"/>
    <s v="SO-KU/2606/020184"/>
    <s v="MKU Bali"/>
    <x v="279"/>
    <x v="0"/>
    <x v="0"/>
    <s v="PMS0132"/>
    <s v="Masterista Syrup Vanilla Tradition 850ml"/>
    <n v="3"/>
    <s v="BTL"/>
    <n v="3"/>
    <n v="330000"/>
    <n v="0"/>
    <s v="Invoice"/>
    <s v="Sudah Jadi FJ"/>
    <s v=""/>
  </r>
  <r>
    <d v="2026-06-03T00:00:00"/>
    <d v="2026-06-02T00:00:00"/>
    <s v="SO-KU/2606/020184"/>
    <s v="MKU Bali"/>
    <x v="279"/>
    <x v="0"/>
    <x v="0"/>
    <s v="PMS0152"/>
    <s v="Masterista Syrup Passion Fruit 850 Ml"/>
    <n v="4"/>
    <s v="BTL"/>
    <n v="4"/>
    <n v="440000"/>
    <n v="0"/>
    <s v="Invoice"/>
    <s v="Sudah Jadi FJ"/>
    <s v=""/>
  </r>
  <r>
    <d v="2026-06-03T00:00:00"/>
    <d v="2026-06-02T00:00:00"/>
    <s v="SO-KU/2606/020184"/>
    <s v="MKU Bali"/>
    <x v="279"/>
    <x v="0"/>
    <x v="0"/>
    <s v="PMS0179"/>
    <s v="Masterista Syrup Yuzu 850 Ml"/>
    <n v="4"/>
    <s v="BTL"/>
    <n v="4"/>
    <n v="440000.02"/>
    <n v="0"/>
    <s v="Invoice"/>
    <s v="Sudah Jadi FJ"/>
    <s v=""/>
  </r>
  <r>
    <d v="2026-06-03T00:00:00"/>
    <d v="2026-06-02T00:00:00"/>
    <s v="SO-KU/2606/020185"/>
    <s v="MKU Bali"/>
    <x v="280"/>
    <x v="0"/>
    <x v="10"/>
    <s v="PMS0036"/>
    <s v="Artisan Pure Matcha (500Gr/Pack)"/>
    <n v="1"/>
    <s v="PACK"/>
    <n v="1"/>
    <n v="206000.01"/>
    <n v="0"/>
    <s v="Invoice"/>
    <s v="Sudah Jadi FJ"/>
    <s v=""/>
  </r>
  <r>
    <d v="2026-06-03T00:00:00"/>
    <d v="2026-06-02T00:00:00"/>
    <s v="SO-KU/2606/020185"/>
    <s v="MKU Bali"/>
    <x v="280"/>
    <x v="0"/>
    <x v="10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06-03T00:00:00"/>
    <d v="2026-06-02T00:00:00"/>
    <s v="SO-KU/2606/020186"/>
    <s v="MKU Bali"/>
    <x v="52"/>
    <x v="1"/>
    <x v="1"/>
    <s v="POS0024"/>
    <s v="O Sole Pomodori Pelati Peeled Tomatoes 2.5Kg"/>
    <n v="12"/>
    <s v="CAN"/>
    <n v="12"/>
    <n v="1020000.05"/>
    <n v="0"/>
    <s v="Invoice"/>
    <s v="Sudah Jadi FJ"/>
    <s v=""/>
  </r>
  <r>
    <d v="2026-06-03T00:00:00"/>
    <d v="2026-06-02T00:00:00"/>
    <s v="SO-KU/2606/020187"/>
    <s v="MKU Bali"/>
    <x v="281"/>
    <x v="1"/>
    <x v="1"/>
    <s v="MRD1318A"/>
    <s v="MAMAS BELLY RIND ON SB OUT (SKIN ON) 3-5KG/PACK"/>
    <n v="5"/>
    <s v="KG"/>
    <n v="5.34"/>
    <n v="694200"/>
    <n v="0.34"/>
    <s v="Invoice"/>
    <s v="Sudah Jadi FJ"/>
    <s v="1 loaf"/>
  </r>
  <r>
    <d v="2026-06-03T00:00:00"/>
    <d v="2026-06-02T00:00:00"/>
    <s v="SO-KU/2606/020188"/>
    <s v="MKU Bali"/>
    <x v="282"/>
    <x v="0"/>
    <x v="12"/>
    <s v="POS0025"/>
    <s v="O Sole Doppio Concentrato Paste Tomato 2.2 Kg"/>
    <n v="12"/>
    <s v="CAN"/>
    <n v="12"/>
    <n v="1559999.99"/>
    <n v="0"/>
    <s v="Invoice"/>
    <s v="Sudah Jadi FJ"/>
    <s v=""/>
  </r>
  <r>
    <d v="2026-06-03T00:00:00"/>
    <d v="2026-06-02T00:00:00"/>
    <s v="SO-KU/2606/020189"/>
    <s v="MKU Bali"/>
    <x v="283"/>
    <x v="0"/>
    <x v="8"/>
    <s v="PAS0014"/>
    <s v="Crr Rock'n Hash Brown Triangular 10Kg/Ctn"/>
    <n v="1"/>
    <s v="KTN"/>
    <n v="1"/>
    <n v="550000.01"/>
    <n v="0"/>
    <s v="Invoice"/>
    <s v="Sudah Jadi FJ"/>
    <s v=""/>
  </r>
  <r>
    <d v="2026-06-03T00:00:00"/>
    <d v="2026-06-02T00:00:00"/>
    <s v="SO-KU/2606/020191"/>
    <s v="MKU Bali"/>
    <x v="284"/>
    <x v="1"/>
    <x v="2"/>
    <s v="PMS0098"/>
    <s v="Masterista Frappe Base 800 Gr"/>
    <n v="1"/>
    <s v="PACK"/>
    <n v="1"/>
    <n v="126000"/>
    <n v="0"/>
    <s v="Invoice"/>
    <s v="Sudah Jadi FJ"/>
    <s v=""/>
  </r>
  <r>
    <d v="2026-06-03T00:00:00"/>
    <d v="2026-06-02T00:00:00"/>
    <s v="SO-KU/2606/020192"/>
    <s v="MKU Bali"/>
    <x v="284"/>
    <x v="1"/>
    <x v="2"/>
    <s v="POT0046"/>
    <s v="Australian Butter Unsalted"/>
    <n v="25"/>
    <s v="KG"/>
    <n v="25"/>
    <n v="4124995.6"/>
    <n v="0"/>
    <s v="Invoice"/>
    <s v="Sudah Jadi FJ"/>
    <s v=""/>
  </r>
  <r>
    <d v="2026-06-03T00:00:00"/>
    <d v="2026-06-02T00:00:00"/>
    <s v="SO-KU/2606/020193"/>
    <s v="MKU Bali"/>
    <x v="176"/>
    <x v="1"/>
    <x v="1"/>
    <s v="PAA0001"/>
    <s v="Bergold Mozzarella Block"/>
    <n v="60"/>
    <s v="KG"/>
    <n v="60.31"/>
    <n v="6634100.0599999996"/>
    <n v="0.31"/>
    <s v="Invoice"/>
    <s v="Sudah Jadi FJ"/>
    <s v=""/>
  </r>
  <r>
    <d v="2026-06-03T00:00:00"/>
    <d v="2026-06-02T00:00:00"/>
    <s v="SO-KU/2606/020194"/>
    <s v="MKU Bali"/>
    <x v="285"/>
    <x v="0"/>
    <x v="4"/>
    <s v="150226"/>
    <s v="Belly Skinless Premium (2.5Kg/Pack)"/>
    <n v="5"/>
    <s v="KG"/>
    <n v="9.7798999999999996"/>
    <n v="1173600"/>
    <n v="4.7798999999999996"/>
    <s v="Invoice"/>
    <s v="Sudah Jadi FJ"/>
    <s v="2 loaf"/>
  </r>
  <r>
    <d v="2026-06-03T00:00:00"/>
    <d v="2026-06-02T00:00:00"/>
    <s v="SO-KU/2606/020195"/>
    <s v="MKU Bali"/>
    <x v="286"/>
    <x v="1"/>
    <x v="10"/>
    <s v="MRD1318A"/>
    <s v="MAMAS BELLY RIND ON SB OUT (SKIN ON) 3-5KG/PACK"/>
    <n v="6"/>
    <s v="KG"/>
    <n v="5.42"/>
    <n v="704600"/>
    <n v="-0.57999999999999996"/>
    <s v="Invoice"/>
    <s v="Sudah Jadi FJ"/>
    <s v=""/>
  </r>
  <r>
    <d v="2026-06-03T00:00:00"/>
    <d v="2026-06-02T00:00:00"/>
    <s v="SO-KU/2606/020196"/>
    <s v="MKU Bali"/>
    <x v="287"/>
    <x v="1"/>
    <x v="14"/>
    <s v="ASS-PGT"/>
    <s v="Pure Green Tea @50TB/Box"/>
    <n v="2"/>
    <s v="BOX"/>
    <n v="2"/>
    <n v="210900"/>
    <n v="0"/>
    <s v="Invoice"/>
    <s v="Sudah Jadi FJ"/>
    <s v=""/>
  </r>
  <r>
    <d v="2026-06-03T00:00:00"/>
    <d v="2026-06-02T00:00:00"/>
    <s v="SO-KU/2606/020197"/>
    <s v="MKU Bali"/>
    <x v="207"/>
    <x v="1"/>
    <x v="0"/>
    <s v="POS0024"/>
    <s v="O Sole Pomodori Pelati Peeled Tomatoes 2.5Kg"/>
    <n v="4"/>
    <s v="CAN"/>
    <n v="4"/>
    <n v="376000"/>
    <n v="0"/>
    <s v="Invoice"/>
    <s v="Sudah Jadi FJ"/>
    <s v=""/>
  </r>
  <r>
    <d v="2026-06-03T00:00:00"/>
    <d v="2026-06-02T00:00:00"/>
    <s v="SO-KU/2606/020198"/>
    <s v="MKU Bali"/>
    <x v="207"/>
    <x v="1"/>
    <x v="0"/>
    <s v="PAA0001"/>
    <s v="Bergold Mozzarella Block"/>
    <n v="5"/>
    <s v="KG"/>
    <n v="4.32"/>
    <n v="432000"/>
    <n v="-0.68"/>
    <s v="Invoice"/>
    <s v="Sudah Jadi FJ"/>
    <s v=""/>
  </r>
  <r>
    <d v="2026-06-03T00:00:00"/>
    <d v="2026-06-02T00:00:00"/>
    <s v="SO-KU/2606/020199"/>
    <s v="MKU Bali"/>
    <x v="166"/>
    <x v="1"/>
    <x v="10"/>
    <s v="PAA0001"/>
    <s v="Bergold Mozzarella Block"/>
    <n v="8"/>
    <s v="KG"/>
    <n v="8.6300000000000008"/>
    <n v="863000"/>
    <n v="0.63"/>
    <s v="Invoice"/>
    <s v="Sudah Jadi FJ"/>
    <s v=""/>
  </r>
  <r>
    <d v="2026-06-03T00:00:00"/>
    <d v="2026-06-02T00:00:00"/>
    <s v="SO-KU/2606/020200"/>
    <s v="MKU Bali"/>
    <x v="288"/>
    <x v="1"/>
    <x v="6"/>
    <s v="MRD1318A"/>
    <s v="MAMAS BELLY RIND ON SB OUT (SKIN ON) 3-5KG/PACK"/>
    <n v="2"/>
    <s v="KG"/>
    <n v="6.07"/>
    <n v="789100"/>
    <n v="4.07"/>
    <s v="Invoice"/>
    <s v="Sudah Jadi FJ"/>
    <s v=""/>
  </r>
  <r>
    <d v="2026-06-03T00:00:00"/>
    <d v="2026-06-02T00:00:00"/>
    <s v="SO-KU/2606/020201"/>
    <s v="MKU Bali"/>
    <x v="289"/>
    <x v="1"/>
    <x v="11"/>
    <s v="PMS0024"/>
    <s v="Masterista Original Matcha 800Gr"/>
    <n v="24"/>
    <s v="POU"/>
    <n v="24"/>
    <n v="4044165.1200000001"/>
    <n v="0"/>
    <s v="Invoice"/>
    <s v="Sudah Jadi FJ"/>
    <s v=""/>
  </r>
  <r>
    <d v="2026-06-03T00:00:00"/>
    <d v="2026-06-02T00:00:00"/>
    <s v="SO-KU/2606/020203"/>
    <s v="MKU Bali"/>
    <x v="288"/>
    <x v="1"/>
    <x v="6"/>
    <s v="PSJ0019"/>
    <s v="Pork B Sliced (1kg/pack)"/>
    <n v="5"/>
    <s v="KG"/>
    <n v="5"/>
    <n v="550000"/>
    <n v="0"/>
    <s v="Invoice"/>
    <s v="Sudah Jadi FJ"/>
    <s v=""/>
  </r>
  <r>
    <d v="2026-06-03T00:00:00"/>
    <d v="2026-06-02T00:00:00"/>
    <s v="SO-KU/2606/020203"/>
    <s v="MKU Bali"/>
    <x v="288"/>
    <x v="1"/>
    <x v="6"/>
    <s v="PAS0036"/>
    <s v="Crr Rock'n Hash Brown Triangular 2.5Kg"/>
    <n v="5"/>
    <s v="PACK"/>
    <n v="5"/>
    <n v="725000"/>
    <n v="0"/>
    <s v="Invoice"/>
    <s v="Sudah Jadi FJ"/>
    <s v=""/>
  </r>
  <r>
    <d v="2026-06-03T00:00:00"/>
    <d v="2026-06-02T00:00:00"/>
    <s v="SO-KU/2606/020204"/>
    <s v="MKU Bali"/>
    <x v="290"/>
    <x v="1"/>
    <x v="14"/>
    <s v="PJS0007"/>
    <s v="Daebak Spark Grape 330 Ml"/>
    <n v="24"/>
    <s v="BTL"/>
    <n v="24"/>
    <n v="551999.98"/>
    <n v="0"/>
    <s v="Invoice"/>
    <s v="Sudah Jadi FJ"/>
    <s v=""/>
  </r>
  <r>
    <d v="2026-06-03T00:00:00"/>
    <d v="2026-06-02T00:00:00"/>
    <s v="SO-KU/2606/020206"/>
    <s v="MKU Bali"/>
    <x v="166"/>
    <x v="1"/>
    <x v="10"/>
    <s v="PAA0001"/>
    <s v="Bergold Mozzarella Block"/>
    <n v="1"/>
    <s v="KG"/>
    <n v="2.1"/>
    <n v="210000"/>
    <n v="1.1000000000000001"/>
    <s v="Invoice"/>
    <s v="Sudah Jadi FJ"/>
    <s v=""/>
  </r>
  <r>
    <d v="2026-06-03T00:00:00"/>
    <d v="2026-06-02T00:00:00"/>
    <s v="SO-KU/2606/020208"/>
    <s v="MKU Bali"/>
    <x v="291"/>
    <x v="1"/>
    <x v="0"/>
    <s v="ASS-CH-TB50"/>
    <s v="Chamomile Dream @50Tb/Box"/>
    <n v="4"/>
    <s v="BOX"/>
    <n v="4"/>
    <n v="360000"/>
    <n v="0"/>
    <s v="Invoice"/>
    <s v="Sudah Jadi FJ"/>
    <s v=""/>
  </r>
  <r>
    <d v="2026-06-03T00:00:00"/>
    <d v="2026-06-02T00:00:00"/>
    <s v="SO-KU/2606/020208"/>
    <s v="MKU Bali"/>
    <x v="291"/>
    <x v="1"/>
    <x v="0"/>
    <s v="ASS-EGT"/>
    <s v="Earl Grey @50TB/Box"/>
    <n v="6"/>
    <s v="BOX"/>
    <n v="5"/>
    <n v="450000"/>
    <n v="-1"/>
    <s v="Invoice"/>
    <s v="Sudah Jadi FJ"/>
    <s v=""/>
  </r>
  <r>
    <d v="2026-06-03T00:00:00"/>
    <d v="2026-06-02T00:00:00"/>
    <s v="SO-KU/2606/020208"/>
    <s v="MKU Bali"/>
    <x v="291"/>
    <x v="1"/>
    <x v="0"/>
    <s v="ASS-EBT"/>
    <s v="English Breakfast@50TB/Box"/>
    <n v="2"/>
    <s v="BOX"/>
    <n v="2"/>
    <n v="179999.99"/>
    <n v="0"/>
    <s v="Invoice"/>
    <s v="Sudah Jadi FJ"/>
    <s v=""/>
  </r>
  <r>
    <d v="2026-06-03T00:00:00"/>
    <d v="2026-06-02T00:00:00"/>
    <s v="SO-KU/2606/020210"/>
    <s v="MKU Bali"/>
    <x v="138"/>
    <x v="1"/>
    <x v="14"/>
    <s v="CKP1S-153"/>
    <s v="Jinro Chamisul Soju Green Grape 360ml"/>
    <n v="20"/>
    <s v="BTL"/>
    <n v="20"/>
    <n v="1730590.81"/>
    <n v="0"/>
    <s v="Invoice"/>
    <s v="Sudah Jadi FJ"/>
    <s v=""/>
  </r>
  <r>
    <d v="2026-06-03T00:00:00"/>
    <d v="2026-06-02T00:00:00"/>
    <s v="SO-KU/2606/020212"/>
    <s v="MKU Bali"/>
    <x v="202"/>
    <x v="1"/>
    <x v="19"/>
    <s v="POS0024"/>
    <s v="O Sole Pomodori Pelati Peeled Tomatoes 2.5Kg"/>
    <n v="18"/>
    <s v="CAN"/>
    <n v="18"/>
    <n v="1530000.07"/>
    <n v="0"/>
    <s v="Invoice"/>
    <s v="Sudah Jadi FJ"/>
    <s v="PENERIMAAN BRANG DARI JAM 09.00-13.00"/>
  </r>
  <r>
    <d v="2026-06-03T00:00:00"/>
    <d v="2026-06-02T00:00:00"/>
    <s v="SO-KU/2606/020213"/>
    <s v="MKU Bali"/>
    <x v="225"/>
    <x v="1"/>
    <x v="5"/>
    <s v="PIF0012"/>
    <s v="Pristine Classic Cooking Cream 1 Lt"/>
    <n v="6"/>
    <s v="LTR"/>
    <n v="6"/>
    <n v="360000"/>
    <n v="0"/>
    <s v="Invoice"/>
    <s v="Sudah Jadi FJ"/>
    <s v="2 loaf"/>
  </r>
  <r>
    <d v="2026-06-03T00:00:00"/>
    <d v="2026-06-02T00:00:00"/>
    <s v="SO-KU/2606/020214"/>
    <s v="MKU Bali"/>
    <x v="225"/>
    <x v="1"/>
    <x v="5"/>
    <s v="PSJ0027"/>
    <s v="Iga Babi Super"/>
    <n v="8.5"/>
    <s v="KG"/>
    <n v="5.18"/>
    <n v="621600"/>
    <n v="-3.32"/>
    <s v="Invoice"/>
    <s v="Sudah Jadi FJ"/>
    <s v="2 loaf"/>
  </r>
  <r>
    <d v="2026-06-03T00:00:00"/>
    <d v="2026-06-02T00:00:00"/>
    <s v="SO-KU/2606/020214"/>
    <s v="MKU Bali"/>
    <x v="225"/>
    <x v="1"/>
    <x v="5"/>
    <s v="PAS0040"/>
    <s v="Crr Rock'n Batter Skin On Fries 9x9mm 2.5 Kg"/>
    <n v="6"/>
    <s v="PACK"/>
    <n v="6"/>
    <n v="765000"/>
    <n v="0"/>
    <s v="Invoice"/>
    <s v="Sudah Jadi FJ"/>
    <s v="2 loaf"/>
  </r>
  <r>
    <d v="2026-06-03T00:00:00"/>
    <d v="2026-06-02T00:00:00"/>
    <s v="SO-KU/2606/020214"/>
    <s v="MKU Bali"/>
    <x v="225"/>
    <x v="1"/>
    <x v="5"/>
    <s v="PAA0001"/>
    <s v="Bergold Mozzarella Block"/>
    <n v="4.5999999999999996"/>
    <s v="KG"/>
    <n v="4.3499999999999996"/>
    <n v="443699.99"/>
    <n v="-0.25"/>
    <s v="Invoice"/>
    <s v="Sudah Jadi FJ"/>
    <s v="2 loaf"/>
  </r>
  <r>
    <d v="2026-06-03T00:00:00"/>
    <d v="2026-06-02T00:00:00"/>
    <s v="SO-KU/2606/020215"/>
    <s v="MKU Bali"/>
    <x v="292"/>
    <x v="1"/>
    <x v="6"/>
    <s v="PAS0014"/>
    <s v="Crr Rock'n Hash Brown Triangular 10Kg/Ctn"/>
    <n v="2"/>
    <s v="KTN"/>
    <n v="2"/>
    <n v="1059999.99"/>
    <n v="0"/>
    <s v="Invoice"/>
    <s v="Sudah Jadi FJ"/>
    <s v=""/>
  </r>
  <r>
    <d v="2026-06-03T00:00:00"/>
    <d v="2026-06-02T00:00:00"/>
    <s v="SO-KU/2606/020216"/>
    <s v="MKU Bali"/>
    <x v="293"/>
    <x v="1"/>
    <x v="6"/>
    <s v="POT0046"/>
    <s v="Australian Butter Unsalted"/>
    <n v="25"/>
    <s v="KG"/>
    <n v="25"/>
    <n v="4125000.04"/>
    <n v="0"/>
    <s v="Invoice"/>
    <s v="Sudah Jadi FJ"/>
    <s v=""/>
  </r>
  <r>
    <d v="2026-06-03T00:00:00"/>
    <d v="2026-06-02T00:00:00"/>
    <s v="SO-KU/2606/020217"/>
    <s v="MKU Bali"/>
    <x v="201"/>
    <x v="1"/>
    <x v="12"/>
    <s v="POT0046"/>
    <s v="Australian Butter Unsalted"/>
    <n v="75"/>
    <s v="KG"/>
    <n v="75"/>
    <n v="11999999.66"/>
    <n v="0"/>
    <s v="Invoice"/>
    <s v="Sudah Jadi FJ"/>
    <s v=""/>
  </r>
  <r>
    <d v="2026-06-03T00:00:00"/>
    <d v="2026-06-02T00:00:00"/>
    <s v="SO-KU/2606/020218"/>
    <s v="MKU Bali"/>
    <x v="81"/>
    <x v="1"/>
    <x v="5"/>
    <s v="PDM0004"/>
    <s v="Armando Spaghetti 500 Gr/Pack"/>
    <n v="12"/>
    <s v="PACK"/>
    <n v="12"/>
    <n v="419999.98"/>
    <n v="0"/>
    <s v="Invoice"/>
    <s v="Sudah Jadi FJ"/>
    <s v=""/>
  </r>
  <r>
    <d v="2026-06-03T00:00:00"/>
    <d v="2026-06-02T00:00:00"/>
    <s v="SO-KU/2606/020219"/>
    <s v="MKU Bali"/>
    <x v="219"/>
    <x v="1"/>
    <x v="2"/>
    <s v="POT0110"/>
    <s v="Bergold Shredded Pizza Topping Mozzarella"/>
    <n v="1.5"/>
    <s v="KG"/>
    <n v="1.5"/>
    <n v="165000"/>
    <n v="0"/>
    <s v="Invoice"/>
    <s v="Sudah Jadi FJ"/>
    <s v=""/>
  </r>
  <r>
    <d v="2026-06-03T00:00:00"/>
    <d v="2026-06-02T00:00:00"/>
    <s v="SO-KU/2606/020220"/>
    <s v="MKU Bali"/>
    <x v="219"/>
    <x v="1"/>
    <x v="2"/>
    <s v="POT0110"/>
    <s v="Bergold Shredded Pizza Topping Mozzarella"/>
    <n v="3"/>
    <s v="KG"/>
    <n v="3"/>
    <n v="330000"/>
    <n v="0"/>
    <s v="Invoice"/>
    <s v="Sudah Jadi FJ"/>
    <s v=""/>
  </r>
  <r>
    <d v="2026-06-03T00:00:00"/>
    <d v="2026-06-02T00:00:00"/>
    <s v="SO-KU/2606/020221"/>
    <s v="MKU Bali"/>
    <x v="202"/>
    <x v="1"/>
    <x v="19"/>
    <s v="PSJ0026"/>
    <s v="Samcan Babi Tanpa Kulit"/>
    <n v="50"/>
    <s v="KG"/>
    <n v="48.42"/>
    <n v="5277780"/>
    <n v="-1.58"/>
    <s v="Invoice"/>
    <s v="Sudah Jadi FJ"/>
    <s v="MOHON SAMPAI NURIS JAM 10 PAGI"/>
  </r>
  <r>
    <d v="2026-06-03T00:00:00"/>
    <d v="2026-06-02T00:00:00"/>
    <s v="SO-KU/2606/020222"/>
    <s v="MKU Bali"/>
    <x v="294"/>
    <x v="1"/>
    <x v="10"/>
    <s v="PAS0043"/>
    <s v="Maestro FF Shoestring 7x7mm 10Kg/Ctn"/>
    <n v="4"/>
    <s v="KTN"/>
    <n v="4"/>
    <n v="1319999.97"/>
    <n v="0"/>
    <s v="Invoice"/>
    <s v="Sudah Jadi FJ"/>
    <s v=""/>
  </r>
  <r>
    <d v="2026-06-03T00:00:00"/>
    <d v="2026-06-02T00:00:00"/>
    <s v="SO-KU/2606/020223"/>
    <s v="MKU Bali"/>
    <x v="295"/>
    <x v="1"/>
    <x v="10"/>
    <s v="PMS0144"/>
    <s v="Masterista Syrup Peach 850ml"/>
    <n v="5"/>
    <s v="BTL"/>
    <n v="5"/>
    <n v="525000"/>
    <n v="0"/>
    <s v="Invoice"/>
    <s v="Sudah Jadi FJ"/>
    <s v=""/>
  </r>
  <r>
    <d v="2026-06-03T00:00:00"/>
    <d v="2026-06-02T00:00:00"/>
    <s v="SO-KU/2606/020224"/>
    <s v="MKU Bali"/>
    <x v="197"/>
    <x v="1"/>
    <x v="10"/>
    <s v="PAL0003"/>
    <s v="Isabi Smoked Salmon Slice 1Kg/Pack"/>
    <n v="1"/>
    <s v="PACK"/>
    <n v="1"/>
    <n v="435000"/>
    <n v="0"/>
    <s v="Invoice"/>
    <s v="Sudah Jadi FJ"/>
    <s v=""/>
  </r>
  <r>
    <d v="2026-06-03T00:00:00"/>
    <d v="2026-06-02T00:00:00"/>
    <s v="SO-KU/2606/020225"/>
    <s v="MKU Bali"/>
    <x v="197"/>
    <x v="1"/>
    <x v="10"/>
    <s v="POT0110"/>
    <s v="Bergold Shredded Pizza Topping Mozzarella"/>
    <n v="7.5"/>
    <s v="KG"/>
    <n v="7.5"/>
    <n v="847499.99"/>
    <n v="0"/>
    <s v="Invoice"/>
    <s v="Sudah Jadi FJ"/>
    <s v=""/>
  </r>
  <r>
    <d v="2026-06-03T00:00:00"/>
    <d v="2026-06-02T00:00:00"/>
    <s v="SO-KU/2606/020226"/>
    <s v="MKU Bali"/>
    <x v="197"/>
    <x v="1"/>
    <x v="10"/>
    <s v="MRD1318A"/>
    <s v="MAMAS BELLY RIND ON SB OUT (SKIN ON) 3-5KG/PACK"/>
    <n v="14"/>
    <s v="KG"/>
    <n v="14.33"/>
    <n v="1819910"/>
    <n v="0.33"/>
    <s v="Invoice"/>
    <s v="Sudah Jadi FJ"/>
    <s v=""/>
  </r>
  <r>
    <d v="2026-06-03T00:00:00"/>
    <d v="2026-06-02T00:00:00"/>
    <s v="SO-KU/2606/020226"/>
    <s v="MKU Bali"/>
    <x v="197"/>
    <x v="1"/>
    <x v="10"/>
    <s v="PAL0003"/>
    <s v="Isabi Smoked Salmon Slice 1Kg/Pack"/>
    <n v="1"/>
    <s v="PACK"/>
    <n v="1"/>
    <n v="435000"/>
    <n v="0"/>
    <s v="Invoice"/>
    <s v="Sudah Jadi FJ"/>
    <s v=""/>
  </r>
  <r>
    <d v="2026-06-03T00:00:00"/>
    <d v="2026-06-02T00:00:00"/>
    <s v="SO-KU/2606/020227"/>
    <s v="MKU Bali"/>
    <x v="296"/>
    <x v="1"/>
    <x v="0"/>
    <s v="PAA0001"/>
    <s v="Bergold Mozzarella Block"/>
    <n v="15"/>
    <s v="KG"/>
    <n v="15.1"/>
    <n v="1389199.95"/>
    <n v="0.1"/>
    <s v="Invoice"/>
    <s v="Sudah Jadi FJ"/>
    <s v="Invoice 1"/>
  </r>
  <r>
    <d v="2026-06-03T00:00:00"/>
    <d v="2026-06-02T00:00:00"/>
    <s v="SO-KU/2606/020228"/>
    <s v="MKU Bali"/>
    <x v="297"/>
    <x v="1"/>
    <x v="6"/>
    <s v="POT0046"/>
    <s v="Australian Butter Unsalted"/>
    <n v="25"/>
    <s v="KG"/>
    <n v="25"/>
    <n v="4125000.04"/>
    <n v="0"/>
    <s v="Invoice"/>
    <s v="Sudah Jadi FJ"/>
    <s v=""/>
  </r>
  <r>
    <d v="2026-06-03T00:00:00"/>
    <d v="2026-06-02T00:00:00"/>
    <s v="SO-KU/2606/020229"/>
    <s v="MKU Bali"/>
    <x v="298"/>
    <x v="1"/>
    <x v="2"/>
    <s v="ASS-CH-TB50"/>
    <s v="Chamomile Dream @50Tb/Box"/>
    <n v="5"/>
    <s v="BOX"/>
    <n v="5"/>
    <n v="550000.01"/>
    <n v="0"/>
    <s v="Invoice"/>
    <s v="Sudah Jadi FJ"/>
    <s v=""/>
  </r>
  <r>
    <d v="2026-06-03T00:00:00"/>
    <d v="2026-06-02T00:00:00"/>
    <s v="SO-KU/2606/020229"/>
    <s v="MKU Bali"/>
    <x v="298"/>
    <x v="1"/>
    <x v="2"/>
    <s v="ASS-EBT"/>
    <s v="English Breakfast@50TB/Box"/>
    <n v="40"/>
    <s v="BOX"/>
    <n v="40"/>
    <n v="4180000"/>
    <n v="0"/>
    <s v="Invoice"/>
    <s v="Sudah Jadi FJ"/>
    <s v=""/>
  </r>
  <r>
    <d v="2026-06-03T00:00:00"/>
    <d v="2026-06-02T00:00:00"/>
    <s v="SO-KU/2606/020229"/>
    <s v="MKU Bali"/>
    <x v="298"/>
    <x v="1"/>
    <x v="2"/>
    <s v="ASS-JVG"/>
    <s v="Java Ginger @50TB/Box"/>
    <n v="5"/>
    <s v="BOX"/>
    <n v="5"/>
    <n v="605000.01"/>
    <n v="0"/>
    <s v="Invoice"/>
    <s v="Sudah Jadi FJ"/>
    <s v=""/>
  </r>
  <r>
    <d v="2026-06-03T00:00:00"/>
    <d v="2026-06-02T00:00:00"/>
    <s v="SO-KU/2606/020229"/>
    <s v="MKU Bali"/>
    <x v="298"/>
    <x v="1"/>
    <x v="2"/>
    <s v="ASS-MO-B"/>
    <s v="Manggo Tea @50TB/Box"/>
    <n v="5"/>
    <s v="BOX"/>
    <n v="5"/>
    <n v="577500"/>
    <n v="0"/>
    <s v="Invoice"/>
    <s v="Sudah Jadi FJ"/>
    <s v=""/>
  </r>
  <r>
    <d v="2026-06-03T00:00:00"/>
    <d v="2026-06-02T00:00:00"/>
    <s v="SO-KU/2606/020229"/>
    <s v="MKU Bali"/>
    <x v="298"/>
    <x v="1"/>
    <x v="2"/>
    <s v="ASS-PD-G"/>
    <s v="Pandanus Green Tea @50TB/Box"/>
    <n v="15"/>
    <s v="BOX"/>
    <n v="15"/>
    <n v="1815000.02"/>
    <n v="0"/>
    <s v="Invoice"/>
    <s v="Sudah Jadi FJ"/>
    <s v=""/>
  </r>
  <r>
    <d v="2026-06-03T00:00:00"/>
    <d v="2026-06-02T00:00:00"/>
    <s v="SO-KU/2606/020229"/>
    <s v="MKU Bali"/>
    <x v="298"/>
    <x v="1"/>
    <x v="2"/>
    <s v="ASS-PGT"/>
    <s v="Pure Green Tea @50TB/Box"/>
    <n v="30"/>
    <s v="BOX"/>
    <n v="30"/>
    <n v="3134999.98"/>
    <n v="0"/>
    <s v="Invoice"/>
    <s v="Sudah Jadi FJ"/>
    <s v=""/>
  </r>
  <r>
    <d v="2026-06-03T00:00:00"/>
    <d v="2026-06-02T00:00:00"/>
    <s v="SO-KU/2606/020230"/>
    <s v="MKU Bali"/>
    <x v="299"/>
    <x v="1"/>
    <x v="10"/>
    <s v="POT0110"/>
    <s v="Bergold Shredded Pizza Topping Mozzarella"/>
    <n v="2"/>
    <s v="KG"/>
    <n v="1.5"/>
    <n v="165000"/>
    <n v="-0.5"/>
    <s v="Invoice"/>
    <s v="Sudah Jadi FJ"/>
    <s v=""/>
  </r>
  <r>
    <d v="2026-06-03T00:00:00"/>
    <d v="2026-06-02T00:00:00"/>
    <s v="SO-KU/2606/020231"/>
    <s v="MKU Bali"/>
    <x v="213"/>
    <x v="1"/>
    <x v="0"/>
    <s v="POS0024"/>
    <s v="O Sole Pomodori Pelati Peeled Tomatoes 2.5Kg"/>
    <n v="12"/>
    <s v="CAN"/>
    <n v="12"/>
    <n v="1020000.05"/>
    <n v="0"/>
    <s v="Invoice"/>
    <s v="Sudah Jadi FJ"/>
    <s v=""/>
  </r>
  <r>
    <d v="2026-06-03T00:00:00"/>
    <d v="2026-06-02T00:00:00"/>
    <s v="SO-KU/2606/020232"/>
    <s v="MKU Bali"/>
    <x v="204"/>
    <x v="1"/>
    <x v="9"/>
    <s v="PMS0026"/>
    <s v="Masterista Dark Chocolate 800Gr"/>
    <n v="1"/>
    <s v="POU"/>
    <n v="1"/>
    <n v="164835"/>
    <n v="0"/>
    <s v="Invoice"/>
    <s v="Sudah Jadi FJ"/>
    <s v=""/>
  </r>
  <r>
    <d v="2026-06-03T00:00:00"/>
    <d v="2026-06-02T00:00:00"/>
    <s v="SO-KU/2606/020232"/>
    <s v="MKU Bali"/>
    <x v="204"/>
    <x v="1"/>
    <x v="9"/>
    <s v="PMS0028"/>
    <s v="Masterista Taro Expecta 800Gr"/>
    <n v="1"/>
    <s v="POU"/>
    <n v="1"/>
    <n v="156510"/>
    <n v="0"/>
    <s v="Invoice"/>
    <s v="Sudah Jadi FJ"/>
    <s v=""/>
  </r>
  <r>
    <d v="2026-06-03T00:00:00"/>
    <d v="2026-06-02T00:00:00"/>
    <s v="SO-KU/2606/020232"/>
    <s v="MKU Bali"/>
    <x v="204"/>
    <x v="1"/>
    <x v="9"/>
    <s v="PMS0140"/>
    <s v="Masterista Japanese Matcha Powder Premium 500 Ml"/>
    <n v="1"/>
    <s v="PACK"/>
    <n v="1"/>
    <n v="528000"/>
    <n v="0"/>
    <s v="Invoice"/>
    <s v="Sudah Jadi FJ"/>
    <s v=""/>
  </r>
  <r>
    <d v="2026-06-03T00:00:00"/>
    <d v="2026-06-02T00:00:00"/>
    <s v="SO-KU/2606/020233"/>
    <s v="MKU Bali"/>
    <x v="204"/>
    <x v="1"/>
    <x v="9"/>
    <s v="PEA0004"/>
    <s v="Gold Box Extra Butter MP341"/>
    <n v="50"/>
    <s v="KG"/>
    <n v="50"/>
    <n v="4200000.24"/>
    <n v="0"/>
    <s v="Invoice"/>
    <s v="Sudah Jadi FJ"/>
    <s v=""/>
  </r>
  <r>
    <d v="2026-06-03T00:00:00"/>
    <d v="2026-06-02T00:00:00"/>
    <s v="SO-KU/2606/020234"/>
    <s v="MKU Bali"/>
    <x v="197"/>
    <x v="1"/>
    <x v="10"/>
    <s v="POT0110"/>
    <s v="Bergold Shredded Pizza Topping Mozzarella"/>
    <n v="6"/>
    <s v="KG"/>
    <n v="6"/>
    <n v="677999.99"/>
    <n v="0"/>
    <s v="Invoice"/>
    <s v="Sudah Jadi FJ"/>
    <s v=""/>
  </r>
  <r>
    <d v="2026-06-03T00:00:00"/>
    <d v="2026-06-02T00:00:00"/>
    <s v="SO-KU/2606/020235"/>
    <s v="MKU Bali"/>
    <x v="197"/>
    <x v="1"/>
    <x v="10"/>
    <s v="MRD1318A"/>
    <s v="MAMAS BELLY RIND ON SB OUT (SKIN ON) 3-5KG/PACK"/>
    <n v="10"/>
    <s v="KG"/>
    <n v="5.84"/>
    <n v="741680"/>
    <n v="-4.16"/>
    <s v="Invoice"/>
    <s v="Sudah Jadi FJ"/>
    <s v=""/>
  </r>
  <r>
    <d v="2026-06-03T00:00:00"/>
    <d v="2026-06-02T00:00:00"/>
    <s v="SO-KU/2606/020236"/>
    <s v="MKU Bali"/>
    <x v="197"/>
    <x v="1"/>
    <x v="10"/>
    <s v="PAL0003"/>
    <s v="Isabi Smoked Salmon Slice 1Kg/Pack"/>
    <n v="5"/>
    <s v="PACK"/>
    <n v="5"/>
    <n v="2175000"/>
    <n v="0"/>
    <s v="Invoice"/>
    <s v="Sudah Jadi FJ"/>
    <s v=""/>
  </r>
  <r>
    <d v="2026-06-03T00:00:00"/>
    <d v="2026-06-02T00:00:00"/>
    <s v="SO-KU/2606/020237"/>
    <s v="MKU Bali"/>
    <x v="197"/>
    <x v="1"/>
    <x v="10"/>
    <s v="PAL0003"/>
    <s v="Isabi Smoked Salmon Slice 1Kg/Pack"/>
    <n v="2"/>
    <s v="PACK"/>
    <n v="2"/>
    <n v="870000"/>
    <n v="0"/>
    <s v="Invoice"/>
    <s v="Sudah Jadi FJ"/>
    <s v=""/>
  </r>
  <r>
    <d v="2026-06-03T00:00:00"/>
    <d v="2026-06-02T00:00:00"/>
    <s v="SO-KU/2606/020238"/>
    <s v="MKU Bali"/>
    <x v="197"/>
    <x v="1"/>
    <x v="10"/>
    <s v="POT0110"/>
    <s v="Bergold Shredded Pizza Topping Mozzarella"/>
    <n v="7.5"/>
    <s v="KG"/>
    <n v="7.5"/>
    <n v="847499.99"/>
    <n v="0"/>
    <s v="Invoice"/>
    <s v="Sudah Jadi FJ"/>
    <s v=""/>
  </r>
  <r>
    <d v="2026-06-03T00:00:00"/>
    <d v="2026-06-02T00:00:00"/>
    <s v="SO-KU/2606/020239"/>
    <s v="MKU Bali"/>
    <x v="151"/>
    <x v="1"/>
    <x v="10"/>
    <s v="PMS0140"/>
    <s v="Masterista Japanese Matcha Powder Premium 500 Ml"/>
    <n v="2"/>
    <s v="PACK"/>
    <n v="2"/>
    <n v="1056000"/>
    <n v="0"/>
    <s v="Invoice"/>
    <s v="Sudah Jadi FJ"/>
    <s v=""/>
  </r>
  <r>
    <d v="2026-06-03T00:00:00"/>
    <d v="2026-06-02T00:00:00"/>
    <s v="SO-KU/2606/020240"/>
    <s v="MKU Bali"/>
    <x v="151"/>
    <x v="1"/>
    <x v="10"/>
    <s v="PMS0028"/>
    <s v="Masterista Taro Expecta 800Gr"/>
    <n v="1"/>
    <s v="POU"/>
    <n v="1"/>
    <n v="156510"/>
    <n v="0"/>
    <s v="Invoice"/>
    <s v="Sudah Jadi FJ"/>
    <s v=""/>
  </r>
  <r>
    <d v="2026-06-03T00:00:00"/>
    <d v="2026-06-02T00:00:00"/>
    <s v="SO-KU/2606/020240"/>
    <s v="MKU Bali"/>
    <x v="151"/>
    <x v="1"/>
    <x v="10"/>
    <s v="PMS0140"/>
    <s v="Masterista Japanese Matcha Powder Premium 500 Ml"/>
    <n v="1"/>
    <s v="PACK"/>
    <n v="1"/>
    <n v="528000"/>
    <n v="0"/>
    <s v="Invoice"/>
    <s v="Sudah Jadi FJ"/>
    <s v=""/>
  </r>
  <r>
    <d v="2026-06-03T00:00:00"/>
    <d v="2026-06-02T00:00:00"/>
    <s v="SO-KU/2606/020241"/>
    <s v="MKU Bali"/>
    <x v="300"/>
    <x v="1"/>
    <x v="20"/>
    <s v="MRD1318A"/>
    <s v="MAMAS BELLY RIND ON SB OUT (SKIN ON) 3-5KG/PACK"/>
    <n v="7"/>
    <s v="KG"/>
    <n v="6.05"/>
    <n v="738100"/>
    <n v="-0.95"/>
    <s v="Invoice"/>
    <s v="Sudah Jadi FJ"/>
    <s v=""/>
  </r>
  <r>
    <d v="2026-06-03T00:00:00"/>
    <d v="2026-06-02T00:00:00"/>
    <s v="SO-KU/2606/020241"/>
    <s v="MKU Bali"/>
    <x v="300"/>
    <x v="1"/>
    <x v="20"/>
    <s v="PSJ0019"/>
    <s v="Pork B Sliced (1kg/pack)"/>
    <n v="2"/>
    <s v="KG"/>
    <n v="2"/>
    <n v="200000"/>
    <n v="0"/>
    <s v="Invoice"/>
    <s v="Sudah Jadi FJ"/>
    <s v=""/>
  </r>
  <r>
    <d v="2026-06-03T00:00:00"/>
    <d v="2026-06-02T00:00:00"/>
    <s v="SO-KU/2606/020241"/>
    <s v="MKU Bali"/>
    <x v="300"/>
    <x v="1"/>
    <x v="20"/>
    <s v="PAS0026"/>
    <s v="Crr Rock'n Batter Skin On Fries 9x9mm 10Kg/Ctn"/>
    <n v="3"/>
    <s v="KTN"/>
    <n v="3"/>
    <n v="1275000"/>
    <n v="0"/>
    <s v="Invoice"/>
    <s v="Sudah Jadi FJ"/>
    <s v=""/>
  </r>
  <r>
    <d v="2026-06-03T00:00:00"/>
    <d v="2026-06-02T00:00:00"/>
    <s v="SO-KU/2606/020241"/>
    <s v="MKU Bali"/>
    <x v="300"/>
    <x v="1"/>
    <x v="20"/>
    <s v="PAA0001"/>
    <s v="Bergold Mozzarella Block"/>
    <n v="5"/>
    <s v="KG"/>
    <n v="4.32"/>
    <n v="402796.79999999999"/>
    <n v="-0.68"/>
    <s v="Invoice"/>
    <s v="Sudah Jadi FJ"/>
    <s v=""/>
  </r>
  <r>
    <d v="2026-06-03T00:00:00"/>
    <d v="2026-06-02T00:00:00"/>
    <s v="SO-KU/2606/020242"/>
    <s v="MKU Bali"/>
    <x v="225"/>
    <x v="1"/>
    <x v="5"/>
    <s v="PAS0040"/>
    <s v="Crr Rock'n Batter Skin On Fries 9x9mm 2.5 Kg"/>
    <n v="1"/>
    <s v="PACK"/>
    <n v="1"/>
    <n v="127499.99"/>
    <n v="0"/>
    <s v="Invoice"/>
    <s v="Sudah Jadi FJ"/>
    <s v="3 loaf"/>
  </r>
  <r>
    <d v="2026-06-03T00:00:00"/>
    <d v="2026-06-02T00:00:00"/>
    <s v="SO-KU/2606/020242"/>
    <s v="MKU Bali"/>
    <x v="225"/>
    <x v="1"/>
    <x v="5"/>
    <s v="PAS0064"/>
    <s v="Crr Rock'n Waffle Fries 2.5 Kg"/>
    <n v="1"/>
    <s v="PACK"/>
    <n v="1"/>
    <n v="147500"/>
    <n v="0"/>
    <s v="Invoice"/>
    <s v="Sudah Jadi FJ"/>
    <s v="3 loaf"/>
  </r>
  <r>
    <d v="2026-06-03T00:00:00"/>
    <d v="2026-06-02T00:00:00"/>
    <s v="SO-KU/2606/020242"/>
    <s v="MKU Bali"/>
    <x v="225"/>
    <x v="1"/>
    <x v="5"/>
    <s v="PAA0001"/>
    <s v="Bergold Mozzarella Block"/>
    <n v="6.9"/>
    <s v="KG"/>
    <n v="6.48"/>
    <n v="660959.99"/>
    <n v="-0.42"/>
    <s v="Invoice"/>
    <s v="Sudah Jadi FJ"/>
    <s v="3 loaf"/>
  </r>
  <r>
    <d v="2026-06-03T00:00:00"/>
    <d v="2026-06-02T00:00:00"/>
    <s v="SO-KU/2606/020243"/>
    <s v="MKU Bali"/>
    <x v="220"/>
    <x v="1"/>
    <x v="20"/>
    <s v="POS0024"/>
    <s v="O Sole Pomodori Pelati Peeled Tomatoes 2.5Kg"/>
    <n v="4"/>
    <s v="CAN"/>
    <n v="4"/>
    <n v="268620"/>
    <n v="0"/>
    <s v="Invoice"/>
    <s v="Sudah Jadi FJ"/>
    <s v=""/>
  </r>
  <r>
    <d v="2026-06-03T00:00:00"/>
    <d v="2026-06-02T00:00:00"/>
    <s v="SO-KU/2606/020244"/>
    <s v="MKU Bali"/>
    <x v="220"/>
    <x v="1"/>
    <x v="20"/>
    <s v="MRD1318A"/>
    <s v="MAMAS BELLY RIND ON SB OUT (SKIN ON) 3-5KG/PACK"/>
    <n v="6"/>
    <s v="KG"/>
    <n v="5.67"/>
    <n v="691740"/>
    <n v="-0.33"/>
    <s v="Invoice"/>
    <s v="Sudah Jadi FJ"/>
    <s v=""/>
  </r>
  <r>
    <d v="2026-06-03T00:00:00"/>
    <d v="2026-06-02T00:00:00"/>
    <s v="SO-KU/2606/020244"/>
    <s v="MKU Bali"/>
    <x v="220"/>
    <x v="1"/>
    <x v="20"/>
    <s v="PAS0026"/>
    <s v="Crr Rock'n Batter Skin On Fries 9x9mm 10Kg/Ctn"/>
    <n v="2"/>
    <s v="KTN"/>
    <n v="2"/>
    <n v="849999.99"/>
    <n v="0"/>
    <s v="Invoice"/>
    <s v="Sudah Jadi FJ"/>
    <s v=""/>
  </r>
  <r>
    <d v="2026-06-03T00:00:00"/>
    <d v="2026-06-02T00:00:00"/>
    <s v="SO-KU/2606/020245"/>
    <s v="MKU Bali"/>
    <x v="301"/>
    <x v="1"/>
    <x v="2"/>
    <s v="PQW0012"/>
    <s v="IQF FF Shoestring 2.5 Kg/Pack"/>
    <n v="2"/>
    <s v="PACK"/>
    <n v="2"/>
    <n v="129999.98"/>
    <n v="0"/>
    <s v="Invoice"/>
    <s v="Sudah Jadi FJ"/>
    <s v=""/>
  </r>
  <r>
    <d v="2026-06-03T00:00:00"/>
    <d v="2026-06-02T00:00:00"/>
    <s v="SO-KU/2606/020245"/>
    <s v="MKU Bali"/>
    <x v="301"/>
    <x v="1"/>
    <x v="2"/>
    <s v="PAA0001"/>
    <s v="Bergold Mozzarella Block"/>
    <n v="2.5"/>
    <s v="KG"/>
    <n v="2.12"/>
    <n v="199279.99"/>
    <n v="-0.38"/>
    <s v="Invoice"/>
    <s v="Sudah Jadi FJ"/>
    <s v=""/>
  </r>
  <r>
    <d v="2026-06-03T00:00:00"/>
    <d v="2026-06-02T00:00:00"/>
    <s v="SO-KU/2606/020246"/>
    <s v="MKU Bali"/>
    <x v="302"/>
    <x v="1"/>
    <x v="2"/>
    <s v="PAS0014"/>
    <s v="Crr Rock'n Hash Brown Triangular 10Kg/Ctn"/>
    <n v="1"/>
    <s v="KTN"/>
    <n v="1"/>
    <n v="480000"/>
    <n v="0"/>
    <s v="Invoice"/>
    <s v="Sudah Jadi FJ"/>
    <s v=""/>
  </r>
  <r>
    <d v="2026-06-03T00:00:00"/>
    <d v="2026-06-02T00:00:00"/>
    <s v="SO-KU/2606/020246"/>
    <s v="MKU Bali"/>
    <x v="302"/>
    <x v="1"/>
    <x v="2"/>
    <s v="PAS0036"/>
    <s v="Crr Rock'n Hash Brown Triangular 2.5Kg"/>
    <n v="1"/>
    <s v="PACK"/>
    <n v="1"/>
    <n v="120000"/>
    <n v="0"/>
    <s v="Invoice"/>
    <s v="Sudah Jadi FJ"/>
    <s v=""/>
  </r>
  <r>
    <d v="2026-06-03T00:00:00"/>
    <d v="2026-06-02T00:00:00"/>
    <s v="SO-KU/2606/020247"/>
    <s v="MKU Bali"/>
    <x v="303"/>
    <x v="1"/>
    <x v="7"/>
    <s v="PMS0024"/>
    <s v="Masterista Original Matcha 800Gr"/>
    <n v="2"/>
    <s v="POU"/>
    <n v="2"/>
    <n v="310058.40000000002"/>
    <n v="0"/>
    <s v="Invoice"/>
    <s v="Sudah Jadi FJ"/>
    <s v=""/>
  </r>
  <r>
    <d v="2026-06-03T00:00:00"/>
    <d v="2026-06-02T00:00:00"/>
    <s v="SO-KU/2606/020247"/>
    <s v="MKU Bali"/>
    <x v="303"/>
    <x v="1"/>
    <x v="7"/>
    <s v="PMS0026"/>
    <s v="Masterista Dark Chocolate 800Gr"/>
    <n v="2"/>
    <s v="POU"/>
    <n v="2"/>
    <n v="303296.40000000002"/>
    <n v="0"/>
    <s v="Invoice"/>
    <s v="Sudah Jadi FJ"/>
    <s v=""/>
  </r>
  <r>
    <d v="2026-06-03T00:00:00"/>
    <d v="2026-06-02T00:00:00"/>
    <s v="SO-KU/2606/020247"/>
    <s v="MKU Bali"/>
    <x v="303"/>
    <x v="1"/>
    <x v="7"/>
    <s v="PMS0093"/>
    <s v="Masterista Syrup Strawberry 850 Ml"/>
    <n v="3"/>
    <s v="BTL"/>
    <n v="3"/>
    <n v="330000"/>
    <n v="0"/>
    <s v="Invoice"/>
    <s v="Sudah Jadi FJ"/>
    <s v=""/>
  </r>
  <r>
    <d v="2026-06-03T00:00:00"/>
    <d v="2026-06-02T00:00:00"/>
    <s v="SO-KU/2606/020247"/>
    <s v="MKU Bali"/>
    <x v="303"/>
    <x v="1"/>
    <x v="7"/>
    <s v="PMS0094"/>
    <s v="Masterista Syrup Butterscotch 850 Ml"/>
    <n v="2"/>
    <s v="BTL"/>
    <n v="2"/>
    <n v="202400"/>
    <n v="0"/>
    <s v="Invoice"/>
    <s v="Sudah Jadi FJ"/>
    <s v=""/>
  </r>
  <r>
    <d v="2026-06-03T00:00:00"/>
    <d v="2026-06-02T00:00:00"/>
    <s v="SO-KU/2606/020247"/>
    <s v="MKU Bali"/>
    <x v="303"/>
    <x v="1"/>
    <x v="7"/>
    <s v="PMS0143"/>
    <s v="Masterista Syrup Premium Hazelnut 850 Ml"/>
    <n v="3"/>
    <s v="BTL"/>
    <n v="3"/>
    <n v="303600.01"/>
    <n v="0"/>
    <s v="Invoice"/>
    <s v="Sudah Jadi FJ"/>
    <s v=""/>
  </r>
  <r>
    <d v="2026-06-03T00:00:00"/>
    <d v="2026-06-02T00:00:00"/>
    <s v="SO-KU/2606/020247"/>
    <s v="MKU Bali"/>
    <x v="303"/>
    <x v="1"/>
    <x v="7"/>
    <s v="PMS0144"/>
    <s v="Masterista Syrup Peach 850ml"/>
    <n v="2"/>
    <s v="BTL"/>
    <n v="2"/>
    <n v="220000"/>
    <n v="0"/>
    <s v="Invoice"/>
    <s v="Sudah Jadi FJ"/>
    <s v=""/>
  </r>
  <r>
    <d v="2026-06-03T00:00:00"/>
    <d v="2026-06-02T00:00:00"/>
    <s v="SO-KU/2606/020248"/>
    <s v="MKU Bali"/>
    <x v="304"/>
    <x v="0"/>
    <x v="3"/>
    <s v="PSJ0019"/>
    <s v="Pork B Sliced (1kg/pack)"/>
    <n v="5"/>
    <s v="KG"/>
    <n v="5"/>
    <n v="500000"/>
    <n v="0"/>
    <s v="Invoice"/>
    <s v="Sudah Jadi FJ"/>
    <s v=""/>
  </r>
  <r>
    <d v="2026-06-03T00:00:00"/>
    <d v="2026-06-02T00:00:00"/>
    <s v="SO-KU/2606/020249"/>
    <s v="MKU Bali"/>
    <x v="277"/>
    <x v="0"/>
    <x v="6"/>
    <s v="PMS0130"/>
    <s v="Masterista Syrup Classic Caramel 850ml"/>
    <n v="2"/>
    <s v="BTL"/>
    <n v="2"/>
    <n v="220000"/>
    <n v="0"/>
    <s v="Invoice"/>
    <s v="Sudah Jadi FJ"/>
    <s v=""/>
  </r>
  <r>
    <d v="2026-06-03T00:00:00"/>
    <d v="2026-06-02T00:00:00"/>
    <s v="SO-KU/2606/020249"/>
    <s v="MKU Bali"/>
    <x v="277"/>
    <x v="0"/>
    <x v="6"/>
    <s v="PMS0133"/>
    <s v="Masterista Syrup Blue Lagoon 850ml"/>
    <n v="1"/>
    <s v="BTL"/>
    <n v="1"/>
    <n v="110000"/>
    <n v="0"/>
    <s v="Invoice"/>
    <s v="Sudah Jadi FJ"/>
    <s v=""/>
  </r>
  <r>
    <d v="2026-06-03T00:00:00"/>
    <d v="2026-06-02T00:00:00"/>
    <s v="SO-KU/2606/020249"/>
    <s v="MKU Bali"/>
    <x v="277"/>
    <x v="0"/>
    <x v="6"/>
    <s v="PMS0143"/>
    <s v="Masterista Syrup Premium Hazelnut 850 Ml"/>
    <n v="2"/>
    <s v="BTL"/>
    <n v="2"/>
    <n v="220000.01"/>
    <n v="0"/>
    <s v="Invoice"/>
    <s v="Sudah Jadi FJ"/>
    <s v=""/>
  </r>
  <r>
    <d v="2026-06-03T00:00:00"/>
    <d v="2026-06-02T00:00:00"/>
    <s v="SO-KU/2606/020250"/>
    <s v="MKU Bali"/>
    <x v="217"/>
    <x v="1"/>
    <x v="3"/>
    <s v="ASS-EBT"/>
    <s v="English Breakfast@50TB/Box"/>
    <n v="2"/>
    <s v="BOX"/>
    <n v="2"/>
    <n v="175000"/>
    <n v="0"/>
    <s v="Invoice"/>
    <s v="Sudah Jadi FJ"/>
    <s v="INTER"/>
  </r>
  <r>
    <d v="2026-06-03T00:00:00"/>
    <d v="2026-06-02T00:00:00"/>
    <s v="SO-KU/2606/020251"/>
    <s v="MKU Bali"/>
    <x v="217"/>
    <x v="1"/>
    <x v="3"/>
    <s v="ASS-EBT"/>
    <s v="English Breakfast@50TB/Box"/>
    <n v="12"/>
    <s v="BOX"/>
    <n v="12"/>
    <n v="1049999.99"/>
    <n v="0"/>
    <s v="Invoice"/>
    <s v="Sudah Jadi FJ"/>
    <s v="DOMES"/>
  </r>
  <r>
    <d v="2026-06-03T00:00:00"/>
    <d v="2026-06-02T00:00:00"/>
    <s v="SO-KU/2606/020252"/>
    <s v="MKU Bali"/>
    <x v="217"/>
    <x v="1"/>
    <x v="3"/>
    <s v="ASS-JT-LP250"/>
    <s v="Jasmine Tea @250gr/Pouch"/>
    <n v="2"/>
    <s v="POU"/>
    <n v="2"/>
    <n v="404040"/>
    <n v="0"/>
    <s v="Invoice"/>
    <s v="Sudah Jadi FJ"/>
    <s v="DOMESTIK"/>
  </r>
  <r>
    <d v="2026-06-03T00:00:00"/>
    <d v="2026-06-02T00:00:00"/>
    <s v="SO-KU/2606/020253"/>
    <s v="MKU Bali"/>
    <x v="178"/>
    <x v="1"/>
    <x v="12"/>
    <s v="POS0024"/>
    <s v="O Sole Pomodori Pelati Peeled Tomatoes 2.5Kg"/>
    <n v="12"/>
    <s v="CAN"/>
    <n v="12"/>
    <n v="1019999.99"/>
    <n v="0"/>
    <s v="Invoice"/>
    <s v="Sudah Jadi FJ"/>
    <s v=""/>
  </r>
  <r>
    <d v="2026-06-03T00:00:00"/>
    <d v="2026-06-02T00:00:00"/>
    <s v="SO-KU/2606/020254"/>
    <s v="MKU Bali"/>
    <x v="217"/>
    <x v="1"/>
    <x v="3"/>
    <s v="ASS-EGT"/>
    <s v="Earl Grey @50TB/Box"/>
    <n v="1"/>
    <s v="BOX"/>
    <n v="1"/>
    <n v="95000.01"/>
    <n v="0"/>
    <s v="Invoice"/>
    <s v="Sudah Jadi FJ"/>
    <s v="DOMESTIK"/>
  </r>
  <r>
    <d v="2026-06-03T00:00:00"/>
    <d v="2026-06-02T00:00:00"/>
    <s v="SO-KU/2606/020255"/>
    <s v="MKU Bali"/>
    <x v="305"/>
    <x v="1"/>
    <x v="20"/>
    <s v="POT0110"/>
    <s v="Bergold Shredded Pizza Topping Mozzarella"/>
    <n v="298.5"/>
    <s v="KG"/>
    <n v="300"/>
    <n v="27972000"/>
    <n v="1.5"/>
    <s v="Invoice"/>
    <s v="Sudah Jadi FJ"/>
    <s v="spc sby 15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18374-9797-421B-8B2D-93C930C76E4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9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307">
        <item x="261"/>
        <item x="147"/>
        <item x="32"/>
        <item x="182"/>
        <item x="102"/>
        <item x="122"/>
        <item x="161"/>
        <item x="240"/>
        <item x="254"/>
        <item x="52"/>
        <item x="213"/>
        <item x="303"/>
        <item x="280"/>
        <item x="205"/>
        <item x="157"/>
        <item x="289"/>
        <item x="275"/>
        <item x="121"/>
        <item x="238"/>
        <item x="256"/>
        <item x="288"/>
        <item x="64"/>
        <item x="65"/>
        <item x="39"/>
        <item x="14"/>
        <item x="93"/>
        <item x="28"/>
        <item x="50"/>
        <item x="227"/>
        <item x="304"/>
        <item x="60"/>
        <item x="22"/>
        <item x="249"/>
        <item x="96"/>
        <item x="255"/>
        <item x="18"/>
        <item x="40"/>
        <item x="148"/>
        <item x="159"/>
        <item x="77"/>
        <item x="69"/>
        <item x="232"/>
        <item x="245"/>
        <item x="149"/>
        <item x="187"/>
        <item x="266"/>
        <item x="74"/>
        <item x="172"/>
        <item x="156"/>
        <item x="222"/>
        <item x="120"/>
        <item x="292"/>
        <item x="36"/>
        <item x="269"/>
        <item x="221"/>
        <item x="298"/>
        <item x="56"/>
        <item x="126"/>
        <item x="184"/>
        <item x="178"/>
        <item x="27"/>
        <item x="283"/>
        <item x="153"/>
        <item x="218"/>
        <item x="70"/>
        <item x="220"/>
        <item x="21"/>
        <item x="264"/>
        <item x="90"/>
        <item x="5"/>
        <item x="276"/>
        <item x="250"/>
        <item x="42"/>
        <item x="85"/>
        <item x="195"/>
        <item x="76"/>
        <item x="135"/>
        <item x="203"/>
        <item x="100"/>
        <item x="234"/>
        <item x="296"/>
        <item x="224"/>
        <item x="273"/>
        <item x="7"/>
        <item x="75"/>
        <item x="201"/>
        <item x="78"/>
        <item x="108"/>
        <item x="287"/>
        <item x="200"/>
        <item x="263"/>
        <item x="165"/>
        <item x="158"/>
        <item x="197"/>
        <item x="175"/>
        <item x="154"/>
        <item x="168"/>
        <item x="272"/>
        <item x="279"/>
        <item x="204"/>
        <item x="23"/>
        <item x="25"/>
        <item x="111"/>
        <item x="116"/>
        <item x="16"/>
        <item x="151"/>
        <item x="259"/>
        <item x="72"/>
        <item x="185"/>
        <item x="68"/>
        <item x="92"/>
        <item x="30"/>
        <item x="143"/>
        <item x="216"/>
        <item x="155"/>
        <item x="129"/>
        <item x="26"/>
        <item x="71"/>
        <item x="285"/>
        <item x="231"/>
        <item x="160"/>
        <item x="146"/>
        <item x="274"/>
        <item x="163"/>
        <item x="179"/>
        <item x="87"/>
        <item x="6"/>
        <item x="140"/>
        <item x="19"/>
        <item x="173"/>
        <item x="210"/>
        <item x="257"/>
        <item x="44"/>
        <item x="1"/>
        <item x="12"/>
        <item x="235"/>
        <item x="86"/>
        <item x="58"/>
        <item x="268"/>
        <item x="66"/>
        <item x="17"/>
        <item x="230"/>
        <item x="237"/>
        <item x="219"/>
        <item x="300"/>
        <item x="243"/>
        <item x="144"/>
        <item x="33"/>
        <item x="293"/>
        <item x="183"/>
        <item x="206"/>
        <item x="302"/>
        <item x="166"/>
        <item x="260"/>
        <item x="80"/>
        <item x="136"/>
        <item x="226"/>
        <item x="137"/>
        <item x="228"/>
        <item x="117"/>
        <item x="202"/>
        <item x="225"/>
        <item x="209"/>
        <item x="115"/>
        <item x="223"/>
        <item x="141"/>
        <item x="59"/>
        <item x="294"/>
        <item x="51"/>
        <item x="241"/>
        <item x="152"/>
        <item x="99"/>
        <item x="181"/>
        <item x="20"/>
        <item x="286"/>
        <item x="169"/>
        <item x="110"/>
        <item x="290"/>
        <item x="98"/>
        <item x="95"/>
        <item x="244"/>
        <item x="37"/>
        <item x="177"/>
        <item x="54"/>
        <item x="55"/>
        <item x="113"/>
        <item x="258"/>
        <item x="196"/>
        <item x="194"/>
        <item x="199"/>
        <item x="193"/>
        <item x="104"/>
        <item x="267"/>
        <item x="192"/>
        <item x="198"/>
        <item x="112"/>
        <item x="109"/>
        <item x="107"/>
        <item x="105"/>
        <item x="174"/>
        <item x="94"/>
        <item x="62"/>
        <item x="119"/>
        <item x="138"/>
        <item x="48"/>
        <item x="130"/>
        <item x="49"/>
        <item x="89"/>
        <item x="57"/>
        <item x="176"/>
        <item x="10"/>
        <item x="123"/>
        <item x="305"/>
        <item x="217"/>
        <item x="82"/>
        <item x="53"/>
        <item x="4"/>
        <item x="29"/>
        <item x="131"/>
        <item x="134"/>
        <item x="124"/>
        <item x="132"/>
        <item x="246"/>
        <item x="281"/>
        <item x="212"/>
        <item x="211"/>
        <item x="214"/>
        <item x="215"/>
        <item x="242"/>
        <item x="8"/>
        <item x="11"/>
        <item x="3"/>
        <item x="31"/>
        <item x="0"/>
        <item x="2"/>
        <item x="265"/>
        <item x="46"/>
        <item x="45"/>
        <item x="91"/>
        <item x="35"/>
        <item x="251"/>
        <item x="262"/>
        <item x="233"/>
        <item x="188"/>
        <item x="239"/>
        <item x="15"/>
        <item x="252"/>
        <item x="145"/>
        <item x="270"/>
        <item x="142"/>
        <item x="190"/>
        <item x="299"/>
        <item x="271"/>
        <item x="207"/>
        <item x="128"/>
        <item x="229"/>
        <item x="84"/>
        <item x="41"/>
        <item x="61"/>
        <item x="38"/>
        <item x="9"/>
        <item x="43"/>
        <item x="83"/>
        <item x="106"/>
        <item x="67"/>
        <item x="170"/>
        <item x="291"/>
        <item x="208"/>
        <item x="63"/>
        <item x="133"/>
        <item x="139"/>
        <item x="34"/>
        <item x="88"/>
        <item x="191"/>
        <item x="253"/>
        <item x="186"/>
        <item x="167"/>
        <item x="97"/>
        <item x="164"/>
        <item x="162"/>
        <item x="150"/>
        <item x="301"/>
        <item x="118"/>
        <item x="248"/>
        <item x="81"/>
        <item x="79"/>
        <item x="103"/>
        <item x="127"/>
        <item x="125"/>
        <item x="24"/>
        <item x="282"/>
        <item x="47"/>
        <item x="295"/>
        <item x="284"/>
        <item x="114"/>
        <item x="278"/>
        <item x="247"/>
        <item x="101"/>
        <item x="171"/>
        <item x="236"/>
        <item x="13"/>
        <item x="277"/>
        <item x="73"/>
        <item x="180"/>
        <item x="189"/>
        <item x="297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>
      <items count="23">
        <item x="18"/>
        <item x="5"/>
        <item x="3"/>
        <item x="4"/>
        <item x="9"/>
        <item x="7"/>
        <item x="2"/>
        <item x="11"/>
        <item x="20"/>
        <item x="10"/>
        <item x="8"/>
        <item x="14"/>
        <item x="21"/>
        <item x="19"/>
        <item x="15"/>
        <item x="17"/>
        <item x="16"/>
        <item x="13"/>
        <item x="0"/>
        <item x="6"/>
        <item x="1"/>
        <item x="12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226">
    <i>
      <x/>
    </i>
    <i r="1">
      <x v="187"/>
    </i>
    <i>
      <x v="1"/>
    </i>
    <i r="1">
      <x v="33"/>
    </i>
    <i r="1">
      <x v="53"/>
    </i>
    <i r="1">
      <x v="70"/>
    </i>
    <i r="1">
      <x v="84"/>
    </i>
    <i r="1">
      <x v="161"/>
    </i>
    <i r="1">
      <x v="243"/>
    </i>
    <i r="1">
      <x v="284"/>
    </i>
    <i>
      <x v="2"/>
    </i>
    <i r="1">
      <x v="13"/>
    </i>
    <i r="1">
      <x v="81"/>
    </i>
    <i r="1">
      <x v="100"/>
    </i>
    <i r="1">
      <x v="111"/>
    </i>
    <i r="1">
      <x v="139"/>
    </i>
    <i r="1">
      <x v="162"/>
    </i>
    <i r="1">
      <x v="206"/>
    </i>
    <i r="1">
      <x v="207"/>
    </i>
    <i r="1">
      <x v="213"/>
    </i>
    <i r="1">
      <x v="227"/>
    </i>
    <i r="1">
      <x v="247"/>
    </i>
    <i>
      <x v="3"/>
    </i>
    <i r="1">
      <x v="6"/>
    </i>
    <i r="1">
      <x v="18"/>
    </i>
    <i r="1">
      <x v="86"/>
    </i>
    <i r="1">
      <x v="101"/>
    </i>
    <i r="1">
      <x v="173"/>
    </i>
    <i r="1">
      <x v="216"/>
    </i>
    <i r="1">
      <x v="224"/>
    </i>
    <i r="1">
      <x v="225"/>
    </i>
    <i r="1">
      <x v="226"/>
    </i>
    <i r="1">
      <x v="246"/>
    </i>
    <i r="1">
      <x v="268"/>
    </i>
    <i r="1">
      <x v="297"/>
    </i>
    <i>
      <x v="4"/>
    </i>
    <i r="1">
      <x v="16"/>
    </i>
    <i r="1">
      <x v="50"/>
    </i>
    <i r="1">
      <x v="96"/>
    </i>
    <i r="1">
      <x v="99"/>
    </i>
    <i r="1">
      <x v="182"/>
    </i>
    <i r="1">
      <x v="217"/>
    </i>
    <i r="1">
      <x v="255"/>
    </i>
    <i r="1">
      <x v="269"/>
    </i>
    <i r="1">
      <x v="272"/>
    </i>
    <i r="1">
      <x v="296"/>
    </i>
    <i>
      <x v="5"/>
    </i>
    <i r="1">
      <x v="11"/>
    </i>
    <i r="1">
      <x v="25"/>
    </i>
    <i r="1">
      <x v="49"/>
    </i>
    <i r="1">
      <x v="104"/>
    </i>
    <i r="1">
      <x v="125"/>
    </i>
    <i r="1">
      <x v="134"/>
    </i>
    <i r="1">
      <x v="140"/>
    </i>
    <i r="1">
      <x v="164"/>
    </i>
    <i r="1">
      <x v="165"/>
    </i>
    <i r="1">
      <x v="171"/>
    </i>
    <i r="1">
      <x v="208"/>
    </i>
    <i r="1">
      <x v="259"/>
    </i>
    <i r="1">
      <x v="282"/>
    </i>
    <i>
      <x v="6"/>
    </i>
    <i r="1">
      <x v="5"/>
    </i>
    <i r="1">
      <x v="21"/>
    </i>
    <i r="1">
      <x v="22"/>
    </i>
    <i r="1">
      <x v="55"/>
    </i>
    <i r="1">
      <x v="67"/>
    </i>
    <i r="1">
      <x v="74"/>
    </i>
    <i r="1">
      <x v="89"/>
    </i>
    <i r="1">
      <x v="92"/>
    </i>
    <i r="1">
      <x v="130"/>
    </i>
    <i r="1">
      <x v="143"/>
    </i>
    <i r="1">
      <x v="151"/>
    </i>
    <i r="1">
      <x v="158"/>
    </i>
    <i r="1">
      <x v="199"/>
    </i>
    <i r="1">
      <x v="214"/>
    </i>
    <i r="1">
      <x v="234"/>
    </i>
    <i r="1">
      <x v="244"/>
    </i>
    <i r="1">
      <x v="248"/>
    </i>
    <i r="1">
      <x v="271"/>
    </i>
    <i r="1">
      <x v="281"/>
    </i>
    <i r="1">
      <x v="293"/>
    </i>
    <i r="1">
      <x v="303"/>
    </i>
    <i>
      <x v="7"/>
    </i>
    <i r="1">
      <x v="15"/>
    </i>
    <i r="1">
      <x v="181"/>
    </i>
    <i>
      <x v="8"/>
    </i>
    <i r="1">
      <x v="65"/>
    </i>
    <i r="1">
      <x v="144"/>
    </i>
    <i r="1">
      <x v="212"/>
    </i>
    <i>
      <x v="9"/>
    </i>
    <i r="1">
      <x v="38"/>
    </i>
    <i r="1">
      <x v="54"/>
    </i>
    <i r="1">
      <x v="93"/>
    </i>
    <i r="1">
      <x v="94"/>
    </i>
    <i r="1">
      <x v="105"/>
    </i>
    <i r="1">
      <x v="108"/>
    </i>
    <i r="1">
      <x v="129"/>
    </i>
    <i r="1">
      <x v="152"/>
    </i>
    <i r="1">
      <x v="156"/>
    </i>
    <i r="1">
      <x v="167"/>
    </i>
    <i r="1">
      <x v="174"/>
    </i>
    <i r="1">
      <x v="239"/>
    </i>
    <i r="1">
      <x v="251"/>
    </i>
    <i r="1">
      <x v="267"/>
    </i>
    <i r="1">
      <x v="273"/>
    </i>
    <i r="1">
      <x v="292"/>
    </i>
    <i>
      <x v="10"/>
    </i>
    <i r="1">
      <x v="60"/>
    </i>
    <i>
      <x v="11"/>
    </i>
    <i r="1">
      <x v="7"/>
    </i>
    <i r="1">
      <x v="88"/>
    </i>
    <i r="1">
      <x v="176"/>
    </i>
    <i r="1">
      <x v="177"/>
    </i>
    <i r="1">
      <x v="185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203"/>
    </i>
    <i r="1">
      <x v="294"/>
    </i>
    <i>
      <x v="12"/>
    </i>
    <i r="1">
      <x v="159"/>
    </i>
    <i>
      <x v="13"/>
    </i>
    <i r="1">
      <x v="160"/>
    </i>
    <i>
      <x v="14"/>
    </i>
    <i r="1">
      <x v="100"/>
    </i>
    <i r="1">
      <x v="103"/>
    </i>
    <i r="1">
      <x v="104"/>
    </i>
    <i r="1">
      <x v="202"/>
    </i>
    <i r="1">
      <x v="211"/>
    </i>
    <i>
      <x v="15"/>
    </i>
    <i r="1">
      <x v="59"/>
    </i>
    <i r="1">
      <x v="287"/>
    </i>
    <i>
      <x v="16"/>
    </i>
    <i r="1">
      <x v="1"/>
    </i>
    <i r="1">
      <x v="43"/>
    </i>
    <i r="1">
      <x v="65"/>
    </i>
    <i r="1">
      <x v="112"/>
    </i>
    <i r="1">
      <x v="159"/>
    </i>
    <i r="1">
      <x v="213"/>
    </i>
    <i r="1">
      <x v="249"/>
    </i>
    <i>
      <x v="17"/>
    </i>
    <i r="1">
      <x v="178"/>
    </i>
    <i r="1">
      <x v="179"/>
    </i>
    <i r="1">
      <x v="205"/>
    </i>
    <i r="1">
      <x v="218"/>
    </i>
    <i r="1">
      <x v="219"/>
    </i>
    <i r="1">
      <x v="220"/>
    </i>
    <i r="1">
      <x v="221"/>
    </i>
    <i r="1">
      <x v="247"/>
    </i>
    <i r="1">
      <x v="254"/>
    </i>
    <i>
      <x v="18"/>
    </i>
    <i r="1">
      <x v="2"/>
    </i>
    <i r="1">
      <x v="3"/>
    </i>
    <i r="1">
      <x v="10"/>
    </i>
    <i r="1">
      <x v="42"/>
    </i>
    <i r="1">
      <x v="43"/>
    </i>
    <i r="1">
      <x v="44"/>
    </i>
    <i r="1">
      <x v="80"/>
    </i>
    <i r="1">
      <x v="120"/>
    </i>
    <i r="1">
      <x v="149"/>
    </i>
    <i r="1">
      <x v="153"/>
    </i>
    <i r="1">
      <x v="166"/>
    </i>
    <i r="1">
      <x v="172"/>
    </i>
    <i r="1">
      <x v="183"/>
    </i>
    <i r="1">
      <x v="184"/>
    </i>
    <i r="1">
      <x v="253"/>
    </i>
    <i r="1">
      <x v="261"/>
    </i>
    <i r="1">
      <x v="266"/>
    </i>
    <i r="1">
      <x v="275"/>
    </i>
    <i>
      <x v="19"/>
    </i>
    <i r="1">
      <x v="14"/>
    </i>
    <i r="1">
      <x v="20"/>
    </i>
    <i r="1">
      <x v="31"/>
    </i>
    <i r="1">
      <x v="34"/>
    </i>
    <i r="1">
      <x v="51"/>
    </i>
    <i r="1">
      <x v="64"/>
    </i>
    <i r="1">
      <x v="72"/>
    </i>
    <i r="1">
      <x v="82"/>
    </i>
    <i r="1">
      <x v="102"/>
    </i>
    <i r="1">
      <x v="117"/>
    </i>
    <i r="1">
      <x v="148"/>
    </i>
    <i r="1">
      <x v="200"/>
    </i>
    <i r="1">
      <x v="201"/>
    </i>
    <i r="1">
      <x v="210"/>
    </i>
    <i r="1">
      <x v="230"/>
    </i>
    <i r="1">
      <x v="250"/>
    </i>
    <i r="1">
      <x v="258"/>
    </i>
    <i r="1">
      <x v="264"/>
    </i>
    <i r="1">
      <x v="274"/>
    </i>
    <i r="1">
      <x v="298"/>
    </i>
    <i r="1">
      <x v="302"/>
    </i>
    <i r="1">
      <x v="304"/>
    </i>
    <i r="1">
      <x v="305"/>
    </i>
    <i>
      <x v="20"/>
    </i>
    <i r="1">
      <x v="9"/>
    </i>
    <i r="1">
      <x v="26"/>
    </i>
    <i r="1">
      <x v="27"/>
    </i>
    <i r="1">
      <x v="73"/>
    </i>
    <i r="1">
      <x v="78"/>
    </i>
    <i r="1">
      <x v="90"/>
    </i>
    <i r="1">
      <x v="91"/>
    </i>
    <i r="1">
      <x v="123"/>
    </i>
    <i r="1">
      <x v="124"/>
    </i>
    <i r="1">
      <x v="133"/>
    </i>
    <i r="1">
      <x v="146"/>
    </i>
    <i r="1">
      <x v="204"/>
    </i>
    <i r="1">
      <x v="209"/>
    </i>
    <i r="1">
      <x v="223"/>
    </i>
    <i r="1">
      <x v="241"/>
    </i>
    <i>
      <x v="21"/>
    </i>
    <i r="1">
      <x v="59"/>
    </i>
    <i r="1">
      <x v="63"/>
    </i>
    <i r="1">
      <x v="77"/>
    </i>
    <i r="1">
      <x v="85"/>
    </i>
    <i r="1">
      <x v="138"/>
    </i>
    <i r="1">
      <x v="150"/>
    </i>
    <i r="1">
      <x v="287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25">
    <format dxfId="49">
      <pivotArea outline="0" collapsedLevelsAreSubtotals="1" fieldPosition="0"/>
    </format>
    <format dxfId="48">
      <pivotArea dataOnly="0" labelOnly="1" outline="0" fieldPosition="0">
        <references count="1">
          <reference field="5" count="0"/>
        </references>
      </pivotArea>
    </format>
    <format dxfId="47">
      <pivotArea dataOnly="0" labelOnly="1" outline="0" axis="axisValues" fieldPosition="0"/>
    </format>
    <format dxfId="46">
      <pivotArea collapsedLevelsAreSubtotals="1" fieldPosition="0">
        <references count="2">
          <reference field="4" count="1">
            <x v="110"/>
          </reference>
          <reference field="6" count="1" selected="0">
            <x v="1"/>
          </reference>
        </references>
      </pivotArea>
    </format>
    <format dxfId="45">
      <pivotArea collapsedLevelsAreSubtotals="1" fieldPosition="0">
        <references count="2">
          <reference field="4" count="1">
            <x v="39"/>
          </reference>
          <reference field="6" count="1" selected="0">
            <x v="1"/>
          </reference>
        </references>
      </pivotArea>
    </format>
    <format dxfId="44">
      <pivotArea collapsedLevelsAreSubtotals="1" fieldPosition="0">
        <references count="2">
          <reference field="4" count="1">
            <x v="135"/>
          </reference>
          <reference field="6" count="1" selected="0">
            <x v="1"/>
          </reference>
        </references>
      </pivotArea>
    </format>
    <format dxfId="43">
      <pivotArea collapsedLevelsAreSubtotals="1" fieldPosition="0">
        <references count="2">
          <reference field="4" count="1">
            <x v="215"/>
          </reference>
          <reference field="6" count="1" selected="0">
            <x v="1"/>
          </reference>
        </references>
      </pivotArea>
    </format>
    <format dxfId="42">
      <pivotArea collapsedLevelsAreSubtotals="1" fieldPosition="0">
        <references count="2">
          <reference field="4" count="2">
            <x v="18"/>
            <x v="32"/>
          </reference>
          <reference field="6" count="1" selected="0">
            <x v="3"/>
          </reference>
        </references>
      </pivotArea>
    </format>
    <format dxfId="41">
      <pivotArea collapsedLevelsAreSubtotals="1" fieldPosition="0">
        <references count="2">
          <reference field="4" count="1">
            <x v="122"/>
          </reference>
          <reference field="6" count="1" selected="0">
            <x v="3"/>
          </reference>
        </references>
      </pivotArea>
    </format>
    <format dxfId="40">
      <pivotArea collapsedLevelsAreSubtotals="1" fieldPosition="0">
        <references count="2">
          <reference field="4" count="1">
            <x v="48"/>
          </reference>
          <reference field="6" count="1" selected="0">
            <x v="4"/>
          </reference>
        </references>
      </pivotArea>
    </format>
    <format dxfId="39">
      <pivotArea collapsedLevelsAreSubtotals="1" fieldPosition="0">
        <references count="2">
          <reference field="4" count="1">
            <x v="8"/>
          </reference>
          <reference field="6" count="1" selected="0">
            <x v="5"/>
          </reference>
        </references>
      </pivotArea>
    </format>
    <format dxfId="38">
      <pivotArea collapsedLevelsAreSubtotals="1" fieldPosition="0">
        <references count="2">
          <reference field="4" count="1">
            <x v="269"/>
          </reference>
          <reference field="6" count="1" selected="0">
            <x v="4"/>
          </reference>
        </references>
      </pivotArea>
    </format>
    <format dxfId="37">
      <pivotArea collapsedLevelsAreSubtotals="1" fieldPosition="0">
        <references count="2">
          <reference field="4" count="1">
            <x v="295"/>
          </reference>
          <reference field="6" count="1" selected="0">
            <x v="5"/>
          </reference>
        </references>
      </pivotArea>
    </format>
    <format dxfId="36">
      <pivotArea collapsedLevelsAreSubtotals="1" fieldPosition="0">
        <references count="2">
          <reference field="4" count="2">
            <x v="22"/>
            <x v="45"/>
          </reference>
          <reference field="6" count="1" selected="0">
            <x v="6"/>
          </reference>
        </references>
      </pivotArea>
    </format>
    <format dxfId="35">
      <pivotArea collapsedLevelsAreSubtotals="1" fieldPosition="0">
        <references count="2">
          <reference field="4" count="1">
            <x v="248"/>
          </reference>
          <reference field="6" count="1" selected="0">
            <x v="6"/>
          </reference>
        </references>
      </pivotArea>
    </format>
    <format dxfId="34">
      <pivotArea collapsedLevelsAreSubtotals="1" fieldPosition="0">
        <references count="2">
          <reference field="4" count="1">
            <x v="54"/>
          </reference>
          <reference field="6" count="1" selected="0">
            <x v="9"/>
          </reference>
        </references>
      </pivotArea>
    </format>
    <format dxfId="33">
      <pivotArea collapsedLevelsAreSubtotals="1" fieldPosition="0">
        <references count="2">
          <reference field="4" count="1">
            <x v="251"/>
          </reference>
          <reference field="6" count="1" selected="0">
            <x v="9"/>
          </reference>
        </references>
      </pivotArea>
    </format>
    <format dxfId="32">
      <pivotArea collapsedLevelsAreSubtotals="1" fieldPosition="0">
        <references count="2">
          <reference field="4" count="1">
            <x v="88"/>
          </reference>
          <reference field="6" count="1" selected="0">
            <x v="11"/>
          </reference>
        </references>
      </pivotArea>
    </format>
    <format dxfId="31">
      <pivotArea collapsedLevelsAreSubtotals="1" fieldPosition="0">
        <references count="2">
          <reference field="4" count="1">
            <x v="115"/>
          </reference>
          <reference field="6" count="1" selected="0">
            <x v="14"/>
          </reference>
        </references>
      </pivotArea>
    </format>
    <format dxfId="30">
      <pivotArea collapsedLevelsAreSubtotals="1" fieldPosition="0">
        <references count="2">
          <reference field="4" count="1">
            <x v="170"/>
          </reference>
          <reference field="6" count="1" selected="0">
            <x v="14"/>
          </reference>
        </references>
      </pivotArea>
    </format>
    <format dxfId="29">
      <pivotArea collapsedLevelsAreSubtotals="1" fieldPosition="0">
        <references count="2">
          <reference field="4" count="1">
            <x v="65"/>
          </reference>
          <reference field="6" count="1" selected="0">
            <x v="16"/>
          </reference>
        </references>
      </pivotArea>
    </format>
    <format dxfId="28">
      <pivotArea collapsedLevelsAreSubtotals="1" fieldPosition="0">
        <references count="2">
          <reference field="4" count="1">
            <x v="37"/>
          </reference>
          <reference field="6" count="1" selected="0">
            <x v="16"/>
          </reference>
        </references>
      </pivotArea>
    </format>
    <format dxfId="27">
      <pivotArea collapsedLevelsAreSubtotals="1" fieldPosition="0">
        <references count="2">
          <reference field="4" count="1">
            <x v="52"/>
          </reference>
          <reference field="6" count="1" selected="0">
            <x v="19"/>
          </reference>
        </references>
      </pivotArea>
    </format>
    <format dxfId="26">
      <pivotArea collapsedLevelsAreSubtotals="1" fieldPosition="0">
        <references count="2">
          <reference field="4" count="1">
            <x v="200"/>
          </reference>
          <reference field="6" count="1" selected="0">
            <x v="19"/>
          </reference>
        </references>
      </pivotArea>
    </format>
    <format dxfId="25">
      <pivotArea collapsedLevelsAreSubtotals="1" fieldPosition="0">
        <references count="2">
          <reference field="4" count="1">
            <x v="123"/>
          </reference>
          <reference field="6" count="1" selected="0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606F-8AC3-4B71-BD42-04A7728B3C34}">
  <dimension ref="A1:B342"/>
  <sheetViews>
    <sheetView workbookViewId="0">
      <selection sqref="A1:B229"/>
    </sheetView>
  </sheetViews>
  <sheetFormatPr defaultRowHeight="15" x14ac:dyDescent="0.25"/>
  <cols>
    <col min="1" max="1" width="44.5703125" customWidth="1"/>
    <col min="2" max="2" width="21.140625" style="8" bestFit="1" customWidth="1"/>
  </cols>
  <sheetData>
    <row r="1" spans="1:2" x14ac:dyDescent="0.25">
      <c r="A1" s="5" t="s">
        <v>5</v>
      </c>
      <c r="B1" s="9" t="s">
        <v>32</v>
      </c>
    </row>
    <row r="3" spans="1:2" x14ac:dyDescent="0.25">
      <c r="A3" s="5" t="s">
        <v>1166</v>
      </c>
      <c r="B3" s="9" t="s">
        <v>1168</v>
      </c>
    </row>
    <row r="4" spans="1:2" x14ac:dyDescent="0.25">
      <c r="A4" s="6" t="s">
        <v>22</v>
      </c>
      <c r="B4" s="9">
        <v>694169.99</v>
      </c>
    </row>
    <row r="5" spans="1:2" x14ac:dyDescent="0.25">
      <c r="A5" s="7" t="s">
        <v>650</v>
      </c>
      <c r="B5" s="9">
        <v>694169.99</v>
      </c>
    </row>
    <row r="6" spans="1:2" x14ac:dyDescent="0.25">
      <c r="A6" s="6" t="s">
        <v>56</v>
      </c>
      <c r="B6" s="9">
        <v>17563359.950000003</v>
      </c>
    </row>
    <row r="7" spans="1:2" x14ac:dyDescent="0.25">
      <c r="A7" s="7" t="s">
        <v>343</v>
      </c>
      <c r="B7" s="9">
        <v>600000</v>
      </c>
    </row>
    <row r="8" spans="1:2" x14ac:dyDescent="0.25">
      <c r="A8" s="7" t="s">
        <v>970</v>
      </c>
      <c r="B8" s="9">
        <v>674999.99</v>
      </c>
    </row>
    <row r="9" spans="1:2" x14ac:dyDescent="0.25">
      <c r="A9" s="7" t="s">
        <v>1017</v>
      </c>
      <c r="B9" s="9">
        <v>501600.01</v>
      </c>
    </row>
    <row r="10" spans="1:2" x14ac:dyDescent="0.25">
      <c r="A10" s="7" t="s">
        <v>274</v>
      </c>
      <c r="B10" s="9">
        <v>825000</v>
      </c>
    </row>
    <row r="11" spans="1:2" x14ac:dyDescent="0.25">
      <c r="A11" s="7" t="s">
        <v>731</v>
      </c>
      <c r="B11" s="9">
        <v>4341760</v>
      </c>
    </row>
    <row r="12" spans="1:2" x14ac:dyDescent="0.25">
      <c r="A12" s="7" t="s">
        <v>625</v>
      </c>
      <c r="B12" s="9">
        <v>8489999.9500000011</v>
      </c>
    </row>
    <row r="13" spans="1:2" x14ac:dyDescent="0.25">
      <c r="A13" s="7" t="s">
        <v>296</v>
      </c>
      <c r="B13" s="9">
        <v>2130000</v>
      </c>
    </row>
    <row r="14" spans="1:2" x14ac:dyDescent="0.25">
      <c r="A14" s="6" t="s">
        <v>43</v>
      </c>
      <c r="B14" s="9">
        <v>32309880.849999998</v>
      </c>
    </row>
    <row r="15" spans="1:2" x14ac:dyDescent="0.25">
      <c r="A15" s="7" t="s">
        <v>679</v>
      </c>
      <c r="B15" s="9">
        <v>1747600</v>
      </c>
    </row>
    <row r="16" spans="1:2" x14ac:dyDescent="0.25">
      <c r="A16" s="7" t="s">
        <v>729</v>
      </c>
      <c r="B16" s="9">
        <v>1967999.97</v>
      </c>
    </row>
    <row r="17" spans="1:2" x14ac:dyDescent="0.25">
      <c r="A17" s="7" t="s">
        <v>132</v>
      </c>
      <c r="B17" s="9">
        <v>3371999.96</v>
      </c>
    </row>
    <row r="18" spans="1:2" x14ac:dyDescent="0.25">
      <c r="A18" s="7" t="s">
        <v>159</v>
      </c>
      <c r="B18" s="9">
        <v>1448880</v>
      </c>
    </row>
    <row r="19" spans="1:2" x14ac:dyDescent="0.25">
      <c r="A19" s="7" t="s">
        <v>251</v>
      </c>
      <c r="B19" s="9">
        <v>1672350.01</v>
      </c>
    </row>
    <row r="20" spans="1:2" x14ac:dyDescent="0.25">
      <c r="A20" s="7" t="s">
        <v>689</v>
      </c>
      <c r="B20" s="9">
        <v>654900</v>
      </c>
    </row>
    <row r="21" spans="1:2" x14ac:dyDescent="0.25">
      <c r="A21" s="7" t="s">
        <v>214</v>
      </c>
      <c r="B21" s="9">
        <v>1678320</v>
      </c>
    </row>
    <row r="22" spans="1:2" x14ac:dyDescent="0.25">
      <c r="A22" s="7" t="s">
        <v>316</v>
      </c>
      <c r="B22" s="9">
        <v>7421238</v>
      </c>
    </row>
    <row r="23" spans="1:2" x14ac:dyDescent="0.25">
      <c r="A23" s="7" t="s">
        <v>709</v>
      </c>
      <c r="B23" s="9">
        <v>3228600.0300000003</v>
      </c>
    </row>
    <row r="24" spans="1:2" x14ac:dyDescent="0.25">
      <c r="A24" s="7" t="s">
        <v>704</v>
      </c>
      <c r="B24" s="9">
        <v>8029082.8799999999</v>
      </c>
    </row>
    <row r="25" spans="1:2" x14ac:dyDescent="0.25">
      <c r="A25" s="7" t="s">
        <v>503</v>
      </c>
      <c r="B25" s="9">
        <v>1088910</v>
      </c>
    </row>
    <row r="26" spans="1:2" x14ac:dyDescent="0.25">
      <c r="A26" s="6" t="s">
        <v>49</v>
      </c>
      <c r="B26" s="9">
        <v>52561151.730000004</v>
      </c>
    </row>
    <row r="27" spans="1:2" x14ac:dyDescent="0.25">
      <c r="A27" s="7" t="s">
        <v>554</v>
      </c>
      <c r="B27" s="9">
        <v>918000</v>
      </c>
    </row>
    <row r="28" spans="1:2" x14ac:dyDescent="0.25">
      <c r="A28" s="7" t="s">
        <v>795</v>
      </c>
      <c r="B28" s="10">
        <v>76000</v>
      </c>
    </row>
    <row r="29" spans="1:2" x14ac:dyDescent="0.25">
      <c r="A29" s="7" t="s">
        <v>288</v>
      </c>
      <c r="B29" s="9">
        <v>2879999.99</v>
      </c>
    </row>
    <row r="30" spans="1:2" x14ac:dyDescent="0.25">
      <c r="A30" s="7" t="s">
        <v>136</v>
      </c>
      <c r="B30" s="9">
        <v>10790399.859999999</v>
      </c>
    </row>
    <row r="31" spans="1:2" x14ac:dyDescent="0.25">
      <c r="A31" s="7" t="s">
        <v>118</v>
      </c>
      <c r="B31" s="9">
        <v>3779550</v>
      </c>
    </row>
    <row r="32" spans="1:2" x14ac:dyDescent="0.25">
      <c r="A32" s="7" t="s">
        <v>48</v>
      </c>
      <c r="B32" s="9">
        <v>1210000</v>
      </c>
    </row>
    <row r="33" spans="1:2" x14ac:dyDescent="0.25">
      <c r="A33" s="7" t="s">
        <v>696</v>
      </c>
      <c r="B33" s="9">
        <v>6021812.1600000001</v>
      </c>
    </row>
    <row r="34" spans="1:2" x14ac:dyDescent="0.25">
      <c r="A34" s="7" t="s">
        <v>694</v>
      </c>
      <c r="B34" s="9">
        <v>8029082.8799999999</v>
      </c>
    </row>
    <row r="35" spans="1:2" x14ac:dyDescent="0.25">
      <c r="A35" s="7" t="s">
        <v>702</v>
      </c>
      <c r="B35" s="9">
        <v>8029082.8799999999</v>
      </c>
    </row>
    <row r="36" spans="1:2" x14ac:dyDescent="0.25">
      <c r="A36" s="7" t="s">
        <v>865</v>
      </c>
      <c r="B36" s="9">
        <v>5459723.9699999997</v>
      </c>
    </row>
    <row r="37" spans="1:2" x14ac:dyDescent="0.25">
      <c r="A37" s="7" t="s">
        <v>245</v>
      </c>
      <c r="B37" s="9">
        <v>4717500</v>
      </c>
    </row>
    <row r="38" spans="1:2" x14ac:dyDescent="0.25">
      <c r="A38" s="7" t="s">
        <v>356</v>
      </c>
      <c r="B38" s="9">
        <v>649999.99</v>
      </c>
    </row>
    <row r="39" spans="1:2" x14ac:dyDescent="0.25">
      <c r="A39" s="6" t="s">
        <v>156</v>
      </c>
      <c r="B39" s="9">
        <v>22662330.380000003</v>
      </c>
    </row>
    <row r="40" spans="1:2" x14ac:dyDescent="0.25">
      <c r="A40" s="7" t="s">
        <v>998</v>
      </c>
      <c r="B40" s="9">
        <v>2460500.13</v>
      </c>
    </row>
    <row r="41" spans="1:2" x14ac:dyDescent="0.25">
      <c r="A41" s="7" t="s">
        <v>420</v>
      </c>
      <c r="B41" s="9">
        <v>490620</v>
      </c>
    </row>
    <row r="42" spans="1:2" x14ac:dyDescent="0.25">
      <c r="A42" s="7" t="s">
        <v>571</v>
      </c>
      <c r="B42" s="9">
        <v>1392075</v>
      </c>
    </row>
    <row r="43" spans="1:2" x14ac:dyDescent="0.25">
      <c r="A43" s="7" t="s">
        <v>677</v>
      </c>
      <c r="B43" s="9">
        <v>9684345.2400000002</v>
      </c>
    </row>
    <row r="44" spans="1:2" x14ac:dyDescent="0.25">
      <c r="A44" s="7" t="s">
        <v>601</v>
      </c>
      <c r="B44" s="9">
        <v>4350000</v>
      </c>
    </row>
    <row r="45" spans="1:2" x14ac:dyDescent="0.25">
      <c r="A45" s="7" t="s">
        <v>155</v>
      </c>
      <c r="B45" s="9">
        <v>300000.01</v>
      </c>
    </row>
    <row r="46" spans="1:2" x14ac:dyDescent="0.25">
      <c r="A46" s="7" t="s">
        <v>742</v>
      </c>
      <c r="B46" s="9">
        <v>1800000</v>
      </c>
    </row>
    <row r="47" spans="1:2" x14ac:dyDescent="0.25">
      <c r="A47" s="7" t="s">
        <v>469</v>
      </c>
      <c r="B47" s="10">
        <v>244200</v>
      </c>
    </row>
    <row r="48" spans="1:2" x14ac:dyDescent="0.25">
      <c r="A48" s="7" t="s">
        <v>312</v>
      </c>
      <c r="B48" s="9">
        <v>1185300</v>
      </c>
    </row>
    <row r="49" spans="1:2" x14ac:dyDescent="0.25">
      <c r="A49" s="7" t="s">
        <v>841</v>
      </c>
      <c r="B49" s="9">
        <v>755290</v>
      </c>
    </row>
    <row r="50" spans="1:2" x14ac:dyDescent="0.25">
      <c r="A50" s="6" t="s">
        <v>89</v>
      </c>
      <c r="B50" s="9">
        <v>52227051.519999996</v>
      </c>
    </row>
    <row r="51" spans="1:2" x14ac:dyDescent="0.25">
      <c r="A51" s="7" t="s">
        <v>1148</v>
      </c>
      <c r="B51" s="9">
        <v>1669354.81</v>
      </c>
    </row>
    <row r="52" spans="1:2" x14ac:dyDescent="0.25">
      <c r="A52" s="7" t="s">
        <v>327</v>
      </c>
      <c r="B52" s="9">
        <v>16353000</v>
      </c>
    </row>
    <row r="53" spans="1:2" x14ac:dyDescent="0.25">
      <c r="A53" s="7" t="s">
        <v>725</v>
      </c>
      <c r="B53" s="9">
        <v>354645</v>
      </c>
    </row>
    <row r="54" spans="1:2" x14ac:dyDescent="0.25">
      <c r="A54" s="7" t="s">
        <v>103</v>
      </c>
      <c r="B54" s="9">
        <v>2697599.97</v>
      </c>
    </row>
    <row r="55" spans="1:2" x14ac:dyDescent="0.25">
      <c r="A55" s="7" t="s">
        <v>310</v>
      </c>
      <c r="B55" s="9">
        <v>2131200</v>
      </c>
    </row>
    <row r="56" spans="1:2" x14ac:dyDescent="0.25">
      <c r="A56" s="7" t="s">
        <v>88</v>
      </c>
      <c r="B56" s="9">
        <v>2384999.96</v>
      </c>
    </row>
    <row r="57" spans="1:2" x14ac:dyDescent="0.25">
      <c r="A57" s="7" t="s">
        <v>108</v>
      </c>
      <c r="B57" s="9">
        <v>1592432</v>
      </c>
    </row>
    <row r="58" spans="1:2" x14ac:dyDescent="0.25">
      <c r="A58" s="7" t="s">
        <v>727</v>
      </c>
      <c r="B58" s="9">
        <v>1741590</v>
      </c>
    </row>
    <row r="59" spans="1:2" x14ac:dyDescent="0.25">
      <c r="A59" s="7" t="s">
        <v>489</v>
      </c>
      <c r="B59" s="9">
        <v>5714999.7799999993</v>
      </c>
    </row>
    <row r="60" spans="1:2" x14ac:dyDescent="0.25">
      <c r="A60" s="7" t="s">
        <v>350</v>
      </c>
      <c r="B60" s="9">
        <v>654900</v>
      </c>
    </row>
    <row r="61" spans="1:2" x14ac:dyDescent="0.25">
      <c r="A61" s="7" t="s">
        <v>231</v>
      </c>
      <c r="B61" s="9">
        <v>1500000</v>
      </c>
    </row>
    <row r="62" spans="1:2" x14ac:dyDescent="0.25">
      <c r="A62" s="7" t="s">
        <v>188</v>
      </c>
      <c r="B62" s="9">
        <v>14996100</v>
      </c>
    </row>
    <row r="63" spans="1:2" x14ac:dyDescent="0.25">
      <c r="A63" s="7" t="s">
        <v>410</v>
      </c>
      <c r="B63" s="9">
        <v>436230</v>
      </c>
    </row>
    <row r="64" spans="1:2" x14ac:dyDescent="0.25">
      <c r="A64" s="6" t="s">
        <v>40</v>
      </c>
      <c r="B64" s="9">
        <v>50085480.549999997</v>
      </c>
    </row>
    <row r="65" spans="1:2" x14ac:dyDescent="0.25">
      <c r="A65" s="7" t="s">
        <v>424</v>
      </c>
      <c r="B65" s="9">
        <v>8179009.9900000002</v>
      </c>
    </row>
    <row r="66" spans="1:2" x14ac:dyDescent="0.25">
      <c r="A66" s="7" t="s">
        <v>247</v>
      </c>
      <c r="B66" s="9">
        <v>560000</v>
      </c>
    </row>
    <row r="67" spans="1:2" x14ac:dyDescent="0.25">
      <c r="A67" s="7" t="s">
        <v>249</v>
      </c>
      <c r="B67" s="10">
        <v>280000</v>
      </c>
    </row>
    <row r="68" spans="1:2" x14ac:dyDescent="0.25">
      <c r="A68" s="7" t="s">
        <v>1115</v>
      </c>
      <c r="B68" s="9">
        <v>10862500.02</v>
      </c>
    </row>
    <row r="69" spans="1:2" x14ac:dyDescent="0.25">
      <c r="A69" s="7" t="s">
        <v>937</v>
      </c>
      <c r="B69" s="9">
        <v>532950.02</v>
      </c>
    </row>
    <row r="70" spans="1:2" x14ac:dyDescent="0.25">
      <c r="A70" s="7" t="s">
        <v>635</v>
      </c>
      <c r="B70" s="9">
        <v>1637250</v>
      </c>
    </row>
    <row r="71" spans="1:2" x14ac:dyDescent="0.25">
      <c r="A71" s="7" t="s">
        <v>667</v>
      </c>
      <c r="B71" s="9">
        <v>1562300</v>
      </c>
    </row>
    <row r="72" spans="1:2" x14ac:dyDescent="0.25">
      <c r="A72" s="7" t="s">
        <v>546</v>
      </c>
      <c r="B72" s="9">
        <v>407925</v>
      </c>
    </row>
    <row r="73" spans="1:2" x14ac:dyDescent="0.25">
      <c r="A73" s="7" t="s">
        <v>692</v>
      </c>
      <c r="B73" s="9">
        <v>3989800</v>
      </c>
    </row>
    <row r="74" spans="1:2" x14ac:dyDescent="0.25">
      <c r="A74" s="7" t="s">
        <v>714</v>
      </c>
      <c r="B74" s="9">
        <v>774720</v>
      </c>
    </row>
    <row r="75" spans="1:2" x14ac:dyDescent="0.25">
      <c r="A75" s="7" t="s">
        <v>1146</v>
      </c>
      <c r="B75" s="9">
        <v>600000</v>
      </c>
    </row>
    <row r="76" spans="1:2" x14ac:dyDescent="0.25">
      <c r="A76" s="7" t="s">
        <v>738</v>
      </c>
      <c r="B76" s="9">
        <v>9359999.9600000009</v>
      </c>
    </row>
    <row r="77" spans="1:2" x14ac:dyDescent="0.25">
      <c r="A77" s="7" t="s">
        <v>593</v>
      </c>
      <c r="B77" s="9">
        <v>554000</v>
      </c>
    </row>
    <row r="78" spans="1:2" x14ac:dyDescent="0.25">
      <c r="A78" s="7" t="s">
        <v>298</v>
      </c>
      <c r="B78" s="9">
        <v>2486400</v>
      </c>
    </row>
    <row r="79" spans="1:2" x14ac:dyDescent="0.25">
      <c r="A79" s="7" t="s">
        <v>39</v>
      </c>
      <c r="B79" s="9">
        <v>1637250</v>
      </c>
    </row>
    <row r="80" spans="1:2" x14ac:dyDescent="0.25">
      <c r="A80" s="7" t="s">
        <v>802</v>
      </c>
      <c r="B80" s="9">
        <v>355200</v>
      </c>
    </row>
    <row r="81" spans="1:2" x14ac:dyDescent="0.25">
      <c r="A81" s="7" t="s">
        <v>975</v>
      </c>
      <c r="B81" s="10">
        <v>95999.989999999991</v>
      </c>
    </row>
    <row r="82" spans="1:2" x14ac:dyDescent="0.25">
      <c r="A82" s="7" t="s">
        <v>177</v>
      </c>
      <c r="B82" s="9">
        <v>975000</v>
      </c>
    </row>
    <row r="83" spans="1:2" x14ac:dyDescent="0.25">
      <c r="A83" s="7" t="s">
        <v>1144</v>
      </c>
      <c r="B83" s="9">
        <v>329279.96999999997</v>
      </c>
    </row>
    <row r="84" spans="1:2" x14ac:dyDescent="0.25">
      <c r="A84" s="7" t="s">
        <v>1046</v>
      </c>
      <c r="B84" s="9">
        <v>4250995.5999999996</v>
      </c>
    </row>
    <row r="85" spans="1:2" x14ac:dyDescent="0.25">
      <c r="A85" s="7" t="s">
        <v>607</v>
      </c>
      <c r="B85" s="9">
        <v>654900</v>
      </c>
    </row>
    <row r="86" spans="1:2" x14ac:dyDescent="0.25">
      <c r="A86" s="6" t="s">
        <v>185</v>
      </c>
      <c r="B86" s="9">
        <v>43044164.419999994</v>
      </c>
    </row>
    <row r="87" spans="1:2" x14ac:dyDescent="0.25">
      <c r="A87" s="7" t="s">
        <v>1065</v>
      </c>
      <c r="B87" s="9">
        <v>4044165.1200000001</v>
      </c>
    </row>
    <row r="88" spans="1:2" x14ac:dyDescent="0.25">
      <c r="A88" s="7" t="s">
        <v>184</v>
      </c>
      <c r="B88" s="9">
        <v>38999999.299999997</v>
      </c>
    </row>
    <row r="89" spans="1:2" x14ac:dyDescent="0.25">
      <c r="A89" s="6" t="s">
        <v>723</v>
      </c>
      <c r="B89" s="9">
        <v>32618256.789999999</v>
      </c>
    </row>
    <row r="90" spans="1:2" x14ac:dyDescent="0.25">
      <c r="A90" s="7" t="s">
        <v>716</v>
      </c>
      <c r="B90" s="9">
        <v>2030359.99</v>
      </c>
    </row>
    <row r="91" spans="1:2" x14ac:dyDescent="0.25">
      <c r="A91" s="7" t="s">
        <v>1135</v>
      </c>
      <c r="B91" s="9">
        <v>2615896.7999999998</v>
      </c>
    </row>
    <row r="92" spans="1:2" x14ac:dyDescent="0.25">
      <c r="A92" s="7" t="s">
        <v>1164</v>
      </c>
      <c r="B92" s="9">
        <v>27972000</v>
      </c>
    </row>
    <row r="93" spans="1:2" x14ac:dyDescent="0.25">
      <c r="A93" s="6" t="s">
        <v>171</v>
      </c>
      <c r="B93" s="9">
        <v>39543317.899999999</v>
      </c>
    </row>
    <row r="94" spans="1:2" x14ac:dyDescent="0.25">
      <c r="A94" s="7" t="s">
        <v>547</v>
      </c>
      <c r="B94" s="9">
        <v>568000</v>
      </c>
    </row>
    <row r="95" spans="1:2" x14ac:dyDescent="0.25">
      <c r="A95" s="7" t="s">
        <v>718</v>
      </c>
      <c r="B95" s="10">
        <v>280000</v>
      </c>
    </row>
    <row r="96" spans="1:2" x14ac:dyDescent="0.25">
      <c r="A96" s="7" t="s">
        <v>652</v>
      </c>
      <c r="B96" s="9">
        <v>10523369.960000001</v>
      </c>
    </row>
    <row r="97" spans="1:2" x14ac:dyDescent="0.25">
      <c r="A97" s="7" t="s">
        <v>595</v>
      </c>
      <c r="B97" s="9">
        <v>362970</v>
      </c>
    </row>
    <row r="98" spans="1:2" x14ac:dyDescent="0.25">
      <c r="A98" s="7" t="s">
        <v>518</v>
      </c>
      <c r="B98" s="9">
        <v>8113620</v>
      </c>
    </row>
    <row r="99" spans="1:2" x14ac:dyDescent="0.25">
      <c r="A99" s="7" t="s">
        <v>619</v>
      </c>
      <c r="B99" s="9">
        <v>330000</v>
      </c>
    </row>
    <row r="100" spans="1:2" x14ac:dyDescent="0.25">
      <c r="A100" s="7" t="s">
        <v>589</v>
      </c>
      <c r="B100" s="9">
        <v>319999.99</v>
      </c>
    </row>
    <row r="101" spans="1:2" x14ac:dyDescent="0.25">
      <c r="A101" s="7" t="s">
        <v>567</v>
      </c>
      <c r="B101" s="9">
        <v>8573120.0099999998</v>
      </c>
    </row>
    <row r="102" spans="1:2" x14ac:dyDescent="0.25">
      <c r="A102" s="7" t="s">
        <v>734</v>
      </c>
      <c r="B102" s="9">
        <v>2615199.98</v>
      </c>
    </row>
    <row r="103" spans="1:2" x14ac:dyDescent="0.25">
      <c r="A103" s="7" t="s">
        <v>1103</v>
      </c>
      <c r="B103" s="9">
        <v>1319999.97</v>
      </c>
    </row>
    <row r="104" spans="1:2" x14ac:dyDescent="0.25">
      <c r="A104" s="7" t="s">
        <v>1054</v>
      </c>
      <c r="B104" s="9">
        <v>704600</v>
      </c>
    </row>
    <row r="105" spans="1:2" x14ac:dyDescent="0.25">
      <c r="A105" s="7" t="s">
        <v>180</v>
      </c>
      <c r="B105" s="9">
        <v>899999.99</v>
      </c>
    </row>
    <row r="106" spans="1:2" x14ac:dyDescent="0.25">
      <c r="A106" s="7" t="s">
        <v>1121</v>
      </c>
      <c r="B106" s="10">
        <v>165000</v>
      </c>
    </row>
    <row r="107" spans="1:2" x14ac:dyDescent="0.25">
      <c r="A107" s="7" t="s">
        <v>686</v>
      </c>
      <c r="B107" s="9">
        <v>1936000</v>
      </c>
    </row>
    <row r="108" spans="1:2" x14ac:dyDescent="0.25">
      <c r="A108" s="7" t="s">
        <v>632</v>
      </c>
      <c r="B108" s="9">
        <v>2306438</v>
      </c>
    </row>
    <row r="109" spans="1:2" x14ac:dyDescent="0.25">
      <c r="A109" s="7" t="s">
        <v>1107</v>
      </c>
      <c r="B109" s="9">
        <v>525000</v>
      </c>
    </row>
    <row r="110" spans="1:2" x14ac:dyDescent="0.25">
      <c r="A110" s="6" t="s">
        <v>19</v>
      </c>
      <c r="B110" s="9">
        <v>964999.77</v>
      </c>
    </row>
    <row r="111" spans="1:2" x14ac:dyDescent="0.25">
      <c r="A111" s="7" t="s">
        <v>142</v>
      </c>
      <c r="B111" s="9">
        <v>964999.77</v>
      </c>
    </row>
    <row r="112" spans="1:2" x14ac:dyDescent="0.25">
      <c r="A112" s="6" t="s">
        <v>364</v>
      </c>
      <c r="B112" s="9">
        <v>14285613.970000001</v>
      </c>
    </row>
    <row r="113" spans="1:2" x14ac:dyDescent="0.25">
      <c r="A113" s="7" t="s">
        <v>806</v>
      </c>
      <c r="B113" s="9">
        <v>775000</v>
      </c>
    </row>
    <row r="114" spans="1:2" x14ac:dyDescent="0.25">
      <c r="A114" s="7" t="s">
        <v>1056</v>
      </c>
      <c r="B114" s="10">
        <v>210900</v>
      </c>
    </row>
    <row r="115" spans="1:2" x14ac:dyDescent="0.25">
      <c r="A115" s="7" t="s">
        <v>381</v>
      </c>
      <c r="B115" s="9">
        <v>384060</v>
      </c>
    </row>
    <row r="116" spans="1:2" x14ac:dyDescent="0.25">
      <c r="A116" s="7" t="s">
        <v>1068</v>
      </c>
      <c r="B116" s="9">
        <v>551999.98</v>
      </c>
    </row>
    <row r="117" spans="1:2" x14ac:dyDescent="0.25">
      <c r="A117" s="7" t="s">
        <v>391</v>
      </c>
      <c r="B117" s="9">
        <v>384060</v>
      </c>
    </row>
    <row r="118" spans="1:2" x14ac:dyDescent="0.25">
      <c r="A118" s="7" t="s">
        <v>645</v>
      </c>
      <c r="B118" s="9">
        <v>757020</v>
      </c>
    </row>
    <row r="119" spans="1:2" x14ac:dyDescent="0.25">
      <c r="A119" s="7" t="s">
        <v>659</v>
      </c>
      <c r="B119" s="9">
        <v>372960</v>
      </c>
    </row>
    <row r="120" spans="1:2" x14ac:dyDescent="0.25">
      <c r="A120" s="7" t="s">
        <v>641</v>
      </c>
      <c r="B120" s="9">
        <v>372960</v>
      </c>
    </row>
    <row r="121" spans="1:2" x14ac:dyDescent="0.25">
      <c r="A121" s="7" t="s">
        <v>363</v>
      </c>
      <c r="B121" s="9">
        <v>1118880</v>
      </c>
    </row>
    <row r="122" spans="1:2" x14ac:dyDescent="0.25">
      <c r="A122" s="7" t="s">
        <v>955</v>
      </c>
      <c r="B122" s="9">
        <v>1349999.98</v>
      </c>
    </row>
    <row r="123" spans="1:2" x14ac:dyDescent="0.25">
      <c r="A123" s="7" t="s">
        <v>634</v>
      </c>
      <c r="B123" s="9">
        <v>734820</v>
      </c>
    </row>
    <row r="124" spans="1:2" x14ac:dyDescent="0.25">
      <c r="A124" s="7" t="s">
        <v>655</v>
      </c>
      <c r="B124" s="9">
        <v>1118880</v>
      </c>
    </row>
    <row r="125" spans="1:2" x14ac:dyDescent="0.25">
      <c r="A125" s="7" t="s">
        <v>385</v>
      </c>
      <c r="B125" s="9">
        <v>384060</v>
      </c>
    </row>
    <row r="126" spans="1:2" x14ac:dyDescent="0.25">
      <c r="A126" s="7" t="s">
        <v>377</v>
      </c>
      <c r="B126" s="9">
        <v>745920</v>
      </c>
    </row>
    <row r="127" spans="1:2" x14ac:dyDescent="0.25">
      <c r="A127" s="7" t="s">
        <v>373</v>
      </c>
      <c r="B127" s="9">
        <v>734820</v>
      </c>
    </row>
    <row r="128" spans="1:2" x14ac:dyDescent="0.25">
      <c r="A128" s="7" t="s">
        <v>369</v>
      </c>
      <c r="B128" s="9">
        <v>361860</v>
      </c>
    </row>
    <row r="129" spans="1:2" x14ac:dyDescent="0.25">
      <c r="A129" s="7" t="s">
        <v>482</v>
      </c>
      <c r="B129" s="9">
        <v>3192594.01</v>
      </c>
    </row>
    <row r="130" spans="1:2" x14ac:dyDescent="0.25">
      <c r="A130" s="7" t="s">
        <v>393</v>
      </c>
      <c r="B130" s="9">
        <v>734820</v>
      </c>
    </row>
    <row r="131" spans="1:2" x14ac:dyDescent="0.25">
      <c r="A131" s="6" t="s">
        <v>951</v>
      </c>
      <c r="B131" s="9">
        <v>29394090</v>
      </c>
    </row>
    <row r="132" spans="1:2" x14ac:dyDescent="0.25">
      <c r="A132" s="7" t="s">
        <v>403</v>
      </c>
      <c r="B132" s="9">
        <v>29394090</v>
      </c>
    </row>
    <row r="133" spans="1:2" x14ac:dyDescent="0.25">
      <c r="A133" s="6" t="s">
        <v>672</v>
      </c>
      <c r="B133" s="9">
        <v>9085030.0999999996</v>
      </c>
    </row>
    <row r="134" spans="1:2" x14ac:dyDescent="0.25">
      <c r="A134" s="7" t="s">
        <v>671</v>
      </c>
      <c r="B134" s="9">
        <v>9085030.0999999996</v>
      </c>
    </row>
    <row r="135" spans="1:2" x14ac:dyDescent="0.25">
      <c r="A135" s="6" t="s">
        <v>387</v>
      </c>
      <c r="B135" s="9">
        <v>11697735</v>
      </c>
    </row>
    <row r="136" spans="1:2" x14ac:dyDescent="0.25">
      <c r="A136" s="7" t="s">
        <v>132</v>
      </c>
      <c r="B136" s="9">
        <v>666000</v>
      </c>
    </row>
    <row r="137" spans="1:2" x14ac:dyDescent="0.25">
      <c r="A137" s="7" t="s">
        <v>401</v>
      </c>
      <c r="B137" s="9">
        <v>1065600</v>
      </c>
    </row>
    <row r="138" spans="1:2" x14ac:dyDescent="0.25">
      <c r="A138" s="7" t="s">
        <v>103</v>
      </c>
      <c r="B138" s="9">
        <v>1065600</v>
      </c>
    </row>
    <row r="139" spans="1:2" x14ac:dyDescent="0.25">
      <c r="A139" s="7" t="s">
        <v>414</v>
      </c>
      <c r="B139" s="9">
        <v>6400260</v>
      </c>
    </row>
    <row r="140" spans="1:2" x14ac:dyDescent="0.25">
      <c r="A140" s="7" t="s">
        <v>429</v>
      </c>
      <c r="B140" s="9">
        <v>2500275</v>
      </c>
    </row>
    <row r="141" spans="1:2" x14ac:dyDescent="0.25">
      <c r="A141" s="6" t="s">
        <v>441</v>
      </c>
      <c r="B141" s="9">
        <v>18667799.699999999</v>
      </c>
    </row>
    <row r="142" spans="1:2" x14ac:dyDescent="0.25">
      <c r="A142" s="7" t="s">
        <v>603</v>
      </c>
      <c r="B142" s="9">
        <v>13483799.77</v>
      </c>
    </row>
    <row r="143" spans="1:2" x14ac:dyDescent="0.25">
      <c r="A143" s="7" t="s">
        <v>450</v>
      </c>
      <c r="B143" s="9">
        <v>5183999.93</v>
      </c>
    </row>
    <row r="144" spans="1:2" x14ac:dyDescent="0.25">
      <c r="A144" s="6" t="s">
        <v>404</v>
      </c>
      <c r="B144" s="9">
        <v>14625999.869999999</v>
      </c>
    </row>
    <row r="145" spans="1:2" x14ac:dyDescent="0.25">
      <c r="A145" s="7" t="s">
        <v>508</v>
      </c>
      <c r="B145" s="9">
        <v>6784320</v>
      </c>
    </row>
    <row r="146" spans="1:2" x14ac:dyDescent="0.25">
      <c r="A146" s="7" t="s">
        <v>514</v>
      </c>
      <c r="B146" s="9">
        <v>2850480</v>
      </c>
    </row>
    <row r="147" spans="1:2" x14ac:dyDescent="0.25">
      <c r="A147" s="7" t="s">
        <v>716</v>
      </c>
      <c r="B147" s="10">
        <v>267000</v>
      </c>
    </row>
    <row r="148" spans="1:2" x14ac:dyDescent="0.25">
      <c r="A148" s="7" t="s">
        <v>497</v>
      </c>
      <c r="B148" s="9">
        <v>1238799.97</v>
      </c>
    </row>
    <row r="149" spans="1:2" x14ac:dyDescent="0.25">
      <c r="A149" s="7" t="s">
        <v>403</v>
      </c>
      <c r="B149" s="9">
        <v>1050599.95</v>
      </c>
    </row>
    <row r="150" spans="1:2" x14ac:dyDescent="0.25">
      <c r="A150" s="7" t="s">
        <v>709</v>
      </c>
      <c r="B150" s="9">
        <v>1049999.95</v>
      </c>
    </row>
    <row r="151" spans="1:2" x14ac:dyDescent="0.25">
      <c r="A151" s="7" t="s">
        <v>493</v>
      </c>
      <c r="B151" s="9">
        <v>1384800</v>
      </c>
    </row>
    <row r="152" spans="1:2" x14ac:dyDescent="0.25">
      <c r="A152" s="6" t="s">
        <v>325</v>
      </c>
      <c r="B152" s="9">
        <v>34010660.140000001</v>
      </c>
    </row>
    <row r="153" spans="1:2" x14ac:dyDescent="0.25">
      <c r="A153" s="7" t="s">
        <v>348</v>
      </c>
      <c r="B153" s="9">
        <v>6145200.1800000006</v>
      </c>
    </row>
    <row r="154" spans="1:2" x14ac:dyDescent="0.25">
      <c r="A154" s="7" t="s">
        <v>335</v>
      </c>
      <c r="B154" s="9">
        <v>3834000.0999999996</v>
      </c>
    </row>
    <row r="155" spans="1:2" x14ac:dyDescent="0.25">
      <c r="A155" s="7" t="s">
        <v>462</v>
      </c>
      <c r="B155" s="9">
        <v>3228259.99</v>
      </c>
    </row>
    <row r="156" spans="1:2" x14ac:dyDescent="0.25">
      <c r="A156" s="7" t="s">
        <v>464</v>
      </c>
      <c r="B156" s="9">
        <v>4604400.0599999996</v>
      </c>
    </row>
    <row r="157" spans="1:2" x14ac:dyDescent="0.25">
      <c r="A157" s="7" t="s">
        <v>471</v>
      </c>
      <c r="B157" s="9">
        <v>4900799.9000000004</v>
      </c>
    </row>
    <row r="158" spans="1:2" x14ac:dyDescent="0.25">
      <c r="A158" s="7" t="s">
        <v>435</v>
      </c>
      <c r="B158" s="9">
        <v>770400.03</v>
      </c>
    </row>
    <row r="159" spans="1:2" x14ac:dyDescent="0.25">
      <c r="A159" s="7" t="s">
        <v>467</v>
      </c>
      <c r="B159" s="9">
        <v>3359999.84</v>
      </c>
    </row>
    <row r="160" spans="1:2" x14ac:dyDescent="0.25">
      <c r="A160" s="7" t="s">
        <v>503</v>
      </c>
      <c r="B160" s="9">
        <v>3158400.04</v>
      </c>
    </row>
    <row r="161" spans="1:2" x14ac:dyDescent="0.25">
      <c r="A161" s="7" t="s">
        <v>452</v>
      </c>
      <c r="B161" s="9">
        <v>4009200</v>
      </c>
    </row>
    <row r="162" spans="1:2" x14ac:dyDescent="0.25">
      <c r="A162" s="6" t="s">
        <v>25</v>
      </c>
      <c r="B162" s="9">
        <v>28700543.5</v>
      </c>
    </row>
    <row r="163" spans="1:2" x14ac:dyDescent="0.25">
      <c r="A163" s="7" t="s">
        <v>168</v>
      </c>
      <c r="B163" s="9">
        <v>2124540</v>
      </c>
    </row>
    <row r="164" spans="1:2" x14ac:dyDescent="0.25">
      <c r="A164" s="7" t="s">
        <v>611</v>
      </c>
      <c r="B164" s="9">
        <v>3668760</v>
      </c>
    </row>
    <row r="165" spans="1:2" x14ac:dyDescent="0.25">
      <c r="A165" s="7" t="s">
        <v>698</v>
      </c>
      <c r="B165" s="9">
        <v>1765000.05</v>
      </c>
    </row>
    <row r="166" spans="1:2" x14ac:dyDescent="0.25">
      <c r="A166" s="7" t="s">
        <v>833</v>
      </c>
      <c r="B166" s="9">
        <v>2022119.99</v>
      </c>
    </row>
    <row r="167" spans="1:2" x14ac:dyDescent="0.25">
      <c r="A167" s="7" t="s">
        <v>514</v>
      </c>
      <c r="B167" s="9">
        <v>1259999.99</v>
      </c>
    </row>
    <row r="168" spans="1:2" x14ac:dyDescent="0.25">
      <c r="A168" s="7" t="s">
        <v>623</v>
      </c>
      <c r="B168" s="9">
        <v>544000.01</v>
      </c>
    </row>
    <row r="169" spans="1:2" x14ac:dyDescent="0.25">
      <c r="A169" s="7" t="s">
        <v>1112</v>
      </c>
      <c r="B169" s="9">
        <v>1389199.95</v>
      </c>
    </row>
    <row r="170" spans="1:2" x14ac:dyDescent="0.25">
      <c r="A170" s="7" t="s">
        <v>550</v>
      </c>
      <c r="B170" s="9">
        <v>362970</v>
      </c>
    </row>
    <row r="171" spans="1:2" x14ac:dyDescent="0.25">
      <c r="A171" s="7" t="s">
        <v>615</v>
      </c>
      <c r="B171" s="9">
        <v>1521540</v>
      </c>
    </row>
    <row r="172" spans="1:2" x14ac:dyDescent="0.25">
      <c r="A172" s="7" t="s">
        <v>907</v>
      </c>
      <c r="B172" s="9">
        <v>500000</v>
      </c>
    </row>
    <row r="173" spans="1:2" x14ac:dyDescent="0.25">
      <c r="A173" s="7" t="s">
        <v>235</v>
      </c>
      <c r="B173" s="9">
        <v>1687363.51</v>
      </c>
    </row>
    <row r="174" spans="1:2" x14ac:dyDescent="0.25">
      <c r="A174" s="7" t="s">
        <v>609</v>
      </c>
      <c r="B174" s="9">
        <v>1280000</v>
      </c>
    </row>
    <row r="175" spans="1:2" x14ac:dyDescent="0.25">
      <c r="A175" s="7" t="s">
        <v>225</v>
      </c>
      <c r="B175" s="9">
        <v>1375000</v>
      </c>
    </row>
    <row r="176" spans="1:2" x14ac:dyDescent="0.25">
      <c r="A176" s="7" t="s">
        <v>227</v>
      </c>
      <c r="B176" s="9">
        <v>3495000</v>
      </c>
    </row>
    <row r="177" spans="1:2" x14ac:dyDescent="0.25">
      <c r="A177" s="7" t="s">
        <v>684</v>
      </c>
      <c r="B177" s="9">
        <v>1135450</v>
      </c>
    </row>
    <row r="178" spans="1:2" x14ac:dyDescent="0.25">
      <c r="A178" s="7" t="s">
        <v>203</v>
      </c>
      <c r="B178" s="9">
        <v>2619600</v>
      </c>
    </row>
    <row r="179" spans="1:2" x14ac:dyDescent="0.25">
      <c r="A179" s="7" t="s">
        <v>561</v>
      </c>
      <c r="B179" s="9">
        <v>989999.99</v>
      </c>
    </row>
    <row r="180" spans="1:2" x14ac:dyDescent="0.25">
      <c r="A180" s="7" t="s">
        <v>621</v>
      </c>
      <c r="B180" s="9">
        <v>960000.01</v>
      </c>
    </row>
    <row r="181" spans="1:2" x14ac:dyDescent="0.25">
      <c r="A181" s="6" t="s">
        <v>61</v>
      </c>
      <c r="B181" s="9">
        <v>39233867.979999997</v>
      </c>
    </row>
    <row r="182" spans="1:2" x14ac:dyDescent="0.25">
      <c r="A182" s="7" t="s">
        <v>541</v>
      </c>
      <c r="B182" s="9">
        <v>301500.01</v>
      </c>
    </row>
    <row r="183" spans="1:2" x14ac:dyDescent="0.25">
      <c r="A183" s="7" t="s">
        <v>1063</v>
      </c>
      <c r="B183" s="9">
        <v>2064100</v>
      </c>
    </row>
    <row r="184" spans="1:2" x14ac:dyDescent="0.25">
      <c r="A184" s="7" t="s">
        <v>127</v>
      </c>
      <c r="B184" s="9">
        <v>2259249.9900000002</v>
      </c>
    </row>
    <row r="185" spans="1:2" x14ac:dyDescent="0.25">
      <c r="A185" s="7" t="s">
        <v>878</v>
      </c>
      <c r="B185" s="9">
        <v>2830992</v>
      </c>
    </row>
    <row r="186" spans="1:2" x14ac:dyDescent="0.25">
      <c r="A186" s="7" t="s">
        <v>1087</v>
      </c>
      <c r="B186" s="9">
        <v>1059999.99</v>
      </c>
    </row>
    <row r="187" spans="1:2" x14ac:dyDescent="0.25">
      <c r="A187" s="7" t="s">
        <v>262</v>
      </c>
      <c r="B187" s="9">
        <v>300000</v>
      </c>
    </row>
    <row r="188" spans="1:2" x14ac:dyDescent="0.25">
      <c r="A188" s="7" t="s">
        <v>198</v>
      </c>
      <c r="B188" s="9">
        <v>1589000</v>
      </c>
    </row>
    <row r="189" spans="1:2" x14ac:dyDescent="0.25">
      <c r="A189" s="7" t="s">
        <v>988</v>
      </c>
      <c r="B189" s="9">
        <v>660000.01</v>
      </c>
    </row>
    <row r="190" spans="1:2" x14ac:dyDescent="0.25">
      <c r="A190" s="7" t="s">
        <v>383</v>
      </c>
      <c r="B190" s="9">
        <v>4720799.9400000004</v>
      </c>
    </row>
    <row r="191" spans="1:2" x14ac:dyDescent="0.25">
      <c r="A191" s="7" t="s">
        <v>264</v>
      </c>
      <c r="B191" s="9">
        <v>649999.99</v>
      </c>
    </row>
    <row r="192" spans="1:2" x14ac:dyDescent="0.25">
      <c r="A192" s="7" t="s">
        <v>1089</v>
      </c>
      <c r="B192" s="9">
        <v>4125000.04</v>
      </c>
    </row>
    <row r="193" spans="1:2" x14ac:dyDescent="0.25">
      <c r="A193" s="7" t="s">
        <v>332</v>
      </c>
      <c r="B193" s="10">
        <v>16650</v>
      </c>
    </row>
    <row r="194" spans="1:2" x14ac:dyDescent="0.25">
      <c r="A194" s="7" t="s">
        <v>242</v>
      </c>
      <c r="B194" s="9">
        <v>1680000</v>
      </c>
    </row>
    <row r="195" spans="1:2" x14ac:dyDescent="0.25">
      <c r="A195" s="7" t="s">
        <v>76</v>
      </c>
      <c r="B195" s="9">
        <v>2080000</v>
      </c>
    </row>
    <row r="196" spans="1:2" x14ac:dyDescent="0.25">
      <c r="A196" s="7" t="s">
        <v>81</v>
      </c>
      <c r="B196" s="9">
        <v>3160836</v>
      </c>
    </row>
    <row r="197" spans="1:2" x14ac:dyDescent="0.25">
      <c r="A197" s="7" t="s">
        <v>525</v>
      </c>
      <c r="B197" s="9">
        <v>1864800</v>
      </c>
    </row>
    <row r="198" spans="1:2" x14ac:dyDescent="0.25">
      <c r="A198" s="7" t="s">
        <v>240</v>
      </c>
      <c r="B198" s="9">
        <v>1769999.99</v>
      </c>
    </row>
    <row r="199" spans="1:2" x14ac:dyDescent="0.25">
      <c r="A199" s="7" t="s">
        <v>255</v>
      </c>
      <c r="B199" s="9">
        <v>570000</v>
      </c>
    </row>
    <row r="200" spans="1:2" x14ac:dyDescent="0.25">
      <c r="A200" s="7" t="s">
        <v>868</v>
      </c>
      <c r="B200" s="9">
        <v>770000.01</v>
      </c>
    </row>
    <row r="201" spans="1:2" x14ac:dyDescent="0.25">
      <c r="A201" s="7" t="s">
        <v>582</v>
      </c>
      <c r="B201" s="9">
        <v>625000</v>
      </c>
    </row>
    <row r="202" spans="1:2" x14ac:dyDescent="0.25">
      <c r="A202" s="7" t="s">
        <v>269</v>
      </c>
      <c r="B202" s="9">
        <v>1000000</v>
      </c>
    </row>
    <row r="203" spans="1:2" x14ac:dyDescent="0.25">
      <c r="A203" s="7" t="s">
        <v>628</v>
      </c>
      <c r="B203" s="9">
        <v>1010939.97</v>
      </c>
    </row>
    <row r="204" spans="1:2" x14ac:dyDescent="0.25">
      <c r="A204" s="7" t="s">
        <v>524</v>
      </c>
      <c r="B204" s="9">
        <v>4125000.04</v>
      </c>
    </row>
    <row r="205" spans="1:2" x14ac:dyDescent="0.25">
      <c r="A205" s="6" t="s">
        <v>33</v>
      </c>
      <c r="B205" s="9">
        <v>36164100.100000001</v>
      </c>
    </row>
    <row r="206" spans="1:2" x14ac:dyDescent="0.25">
      <c r="A206" s="7" t="s">
        <v>221</v>
      </c>
      <c r="B206" s="9">
        <v>1650000.05</v>
      </c>
    </row>
    <row r="207" spans="1:2" x14ac:dyDescent="0.25">
      <c r="A207" s="7" t="s">
        <v>151</v>
      </c>
      <c r="B207" s="9">
        <v>3897000.01</v>
      </c>
    </row>
    <row r="208" spans="1:2" x14ac:dyDescent="0.25">
      <c r="A208" s="7" t="s">
        <v>217</v>
      </c>
      <c r="B208" s="9">
        <v>319999.90000000002</v>
      </c>
    </row>
    <row r="209" spans="1:2" x14ac:dyDescent="0.25">
      <c r="A209" s="7" t="s">
        <v>304</v>
      </c>
      <c r="B209" s="9">
        <v>2350000.06</v>
      </c>
    </row>
    <row r="210" spans="1:2" x14ac:dyDescent="0.25">
      <c r="A210" s="7" t="s">
        <v>353</v>
      </c>
      <c r="B210" s="9">
        <v>13758399.99</v>
      </c>
    </row>
    <row r="211" spans="1:2" x14ac:dyDescent="0.25">
      <c r="A211" s="7" t="s">
        <v>930</v>
      </c>
      <c r="B211" s="9">
        <v>809999.99</v>
      </c>
    </row>
    <row r="212" spans="1:2" x14ac:dyDescent="0.25">
      <c r="A212" s="7" t="s">
        <v>564</v>
      </c>
      <c r="B212" s="9">
        <v>759000.01</v>
      </c>
    </row>
    <row r="213" spans="1:2" x14ac:dyDescent="0.25">
      <c r="A213" s="7" t="s">
        <v>558</v>
      </c>
      <c r="B213" s="10">
        <v>133200</v>
      </c>
    </row>
    <row r="214" spans="1:2" x14ac:dyDescent="0.25">
      <c r="A214" s="7" t="s">
        <v>605</v>
      </c>
      <c r="B214" s="9">
        <v>355200</v>
      </c>
    </row>
    <row r="215" spans="1:2" x14ac:dyDescent="0.25">
      <c r="A215" s="7" t="s">
        <v>31</v>
      </c>
      <c r="B215" s="9">
        <v>854000.03</v>
      </c>
    </row>
    <row r="216" spans="1:2" x14ac:dyDescent="0.25">
      <c r="A216" s="7" t="s">
        <v>501</v>
      </c>
      <c r="B216" s="9">
        <v>580000</v>
      </c>
    </row>
    <row r="217" spans="1:2" x14ac:dyDescent="0.25">
      <c r="A217" s="7" t="s">
        <v>170</v>
      </c>
      <c r="B217" s="9">
        <v>1644000</v>
      </c>
    </row>
    <row r="218" spans="1:2" x14ac:dyDescent="0.25">
      <c r="A218" s="7" t="s">
        <v>597</v>
      </c>
      <c r="B218" s="9">
        <v>7954100.0699999994</v>
      </c>
    </row>
    <row r="219" spans="1:2" x14ac:dyDescent="0.25">
      <c r="A219" s="7" t="s">
        <v>460</v>
      </c>
      <c r="B219" s="9">
        <v>694200</v>
      </c>
    </row>
    <row r="220" spans="1:2" x14ac:dyDescent="0.25">
      <c r="A220" s="7" t="s">
        <v>927</v>
      </c>
      <c r="B220" s="9">
        <v>404999.99</v>
      </c>
    </row>
    <row r="221" spans="1:2" x14ac:dyDescent="0.25">
      <c r="A221" s="6" t="s">
        <v>238</v>
      </c>
      <c r="B221" s="9">
        <v>33381997.660000004</v>
      </c>
    </row>
    <row r="222" spans="1:2" x14ac:dyDescent="0.25">
      <c r="A222" s="7" t="s">
        <v>603</v>
      </c>
      <c r="B222" s="9">
        <v>3453999.4000000004</v>
      </c>
    </row>
    <row r="223" spans="1:2" x14ac:dyDescent="0.25">
      <c r="A223" s="7" t="s">
        <v>712</v>
      </c>
      <c r="B223" s="9">
        <v>2169999.9900000002</v>
      </c>
    </row>
    <row r="224" spans="1:2" x14ac:dyDescent="0.25">
      <c r="A224" s="7" t="s">
        <v>675</v>
      </c>
      <c r="B224" s="9">
        <v>2800000.09</v>
      </c>
    </row>
    <row r="225" spans="1:2" x14ac:dyDescent="0.25">
      <c r="A225" s="7" t="s">
        <v>669</v>
      </c>
      <c r="B225" s="9">
        <v>17499999.620000001</v>
      </c>
    </row>
    <row r="226" spans="1:2" x14ac:dyDescent="0.25">
      <c r="A226" s="7" t="s">
        <v>963</v>
      </c>
      <c r="B226" s="9">
        <v>2207999.92</v>
      </c>
    </row>
    <row r="227" spans="1:2" x14ac:dyDescent="0.25">
      <c r="A227" s="7" t="s">
        <v>681</v>
      </c>
      <c r="B227" s="9">
        <v>2999999.22</v>
      </c>
    </row>
    <row r="228" spans="1:2" x14ac:dyDescent="0.25">
      <c r="A228" s="7" t="s">
        <v>450</v>
      </c>
      <c r="B228" s="9">
        <v>2249999.42</v>
      </c>
    </row>
    <row r="229" spans="1:2" x14ac:dyDescent="0.25">
      <c r="A229" s="6" t="s">
        <v>1167</v>
      </c>
      <c r="B229" s="9">
        <v>613521601.87</v>
      </c>
    </row>
    <row r="230" spans="1:2" x14ac:dyDescent="0.25">
      <c r="B230"/>
    </row>
    <row r="231" spans="1:2" x14ac:dyDescent="0.25">
      <c r="B231"/>
    </row>
    <row r="232" spans="1:2" x14ac:dyDescent="0.25">
      <c r="B232"/>
    </row>
    <row r="233" spans="1:2" x14ac:dyDescent="0.25">
      <c r="B233"/>
    </row>
    <row r="234" spans="1:2" x14ac:dyDescent="0.25">
      <c r="B234"/>
    </row>
    <row r="235" spans="1:2" x14ac:dyDescent="0.25">
      <c r="B235"/>
    </row>
    <row r="236" spans="1:2" x14ac:dyDescent="0.25">
      <c r="B236"/>
    </row>
    <row r="237" spans="1:2" x14ac:dyDescent="0.25">
      <c r="B237"/>
    </row>
    <row r="238" spans="1:2" x14ac:dyDescent="0.25">
      <c r="B238"/>
    </row>
    <row r="239" spans="1:2" x14ac:dyDescent="0.25">
      <c r="B239"/>
    </row>
    <row r="240" spans="1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95"/>
  <sheetViews>
    <sheetView tabSelected="1" workbookViewId="0">
      <pane ySplit="1" topLeftCell="A2" activePane="bottomLeft" state="frozen"/>
      <selection pane="bottomLeft" activeCell="A409" sqref="A409:XFD413"/>
    </sheetView>
  </sheetViews>
  <sheetFormatPr defaultRowHeight="15" x14ac:dyDescent="0.25"/>
  <cols>
    <col min="1" max="1" width="10.5703125" style="1" customWidth="1"/>
    <col min="2" max="2" width="12" style="1" customWidth="1"/>
    <col min="3" max="3" width="18.85546875" style="2" customWidth="1"/>
    <col min="4" max="4" width="10.5703125" style="2" customWidth="1"/>
    <col min="5" max="5" width="35.71093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9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46176</v>
      </c>
      <c r="B2" s="1">
        <v>46175</v>
      </c>
      <c r="C2" s="2" t="s">
        <v>23</v>
      </c>
      <c r="D2" s="2" t="s">
        <v>17</v>
      </c>
      <c r="E2" s="2" t="s">
        <v>24</v>
      </c>
      <c r="F2" s="2" t="s">
        <v>18</v>
      </c>
      <c r="G2" s="2" t="s">
        <v>25</v>
      </c>
      <c r="H2" s="2" t="s">
        <v>26</v>
      </c>
      <c r="I2" s="2" t="s">
        <v>27</v>
      </c>
      <c r="J2" s="3">
        <v>2</v>
      </c>
      <c r="K2" s="2" t="s">
        <v>28</v>
      </c>
      <c r="L2" s="3">
        <v>2</v>
      </c>
      <c r="M2" s="11">
        <v>654900</v>
      </c>
      <c r="N2" s="3">
        <v>0</v>
      </c>
      <c r="O2" s="2" t="s">
        <v>21</v>
      </c>
      <c r="P2" s="2" t="s">
        <v>29</v>
      </c>
      <c r="Q2" s="2" t="s">
        <v>22</v>
      </c>
    </row>
    <row r="3" spans="1:17" x14ac:dyDescent="0.25">
      <c r="A3" s="1">
        <v>46176</v>
      </c>
      <c r="B3" s="1">
        <v>46175</v>
      </c>
      <c r="C3" s="2" t="s">
        <v>30</v>
      </c>
      <c r="D3" s="2" t="s">
        <v>17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3">
        <v>2</v>
      </c>
      <c r="K3" s="2" t="s">
        <v>36</v>
      </c>
      <c r="L3" s="3">
        <v>2.02</v>
      </c>
      <c r="M3" s="11">
        <v>282800.01</v>
      </c>
      <c r="N3" s="3">
        <v>0.02</v>
      </c>
      <c r="O3" s="2" t="s">
        <v>21</v>
      </c>
      <c r="P3" s="2" t="s">
        <v>29</v>
      </c>
      <c r="Q3" s="2" t="s">
        <v>37</v>
      </c>
    </row>
    <row r="4" spans="1:17" x14ac:dyDescent="0.25">
      <c r="A4" s="1">
        <v>46176</v>
      </c>
      <c r="B4" s="1">
        <v>46175</v>
      </c>
      <c r="C4" s="2" t="s">
        <v>38</v>
      </c>
      <c r="D4" s="2" t="s">
        <v>17</v>
      </c>
      <c r="E4" s="2" t="s">
        <v>39</v>
      </c>
      <c r="F4" s="2" t="s">
        <v>32</v>
      </c>
      <c r="G4" s="2" t="s">
        <v>40</v>
      </c>
      <c r="H4" s="2" t="s">
        <v>26</v>
      </c>
      <c r="I4" s="2" t="s">
        <v>27</v>
      </c>
      <c r="J4" s="3">
        <v>5</v>
      </c>
      <c r="K4" s="2" t="s">
        <v>28</v>
      </c>
      <c r="L4" s="3">
        <v>5</v>
      </c>
      <c r="M4" s="11">
        <v>1637250</v>
      </c>
      <c r="N4" s="3">
        <v>0</v>
      </c>
      <c r="O4" s="2" t="s">
        <v>21</v>
      </c>
      <c r="P4" s="2" t="s">
        <v>29</v>
      </c>
      <c r="Q4" s="2" t="s">
        <v>22</v>
      </c>
    </row>
    <row r="5" spans="1:17" x14ac:dyDescent="0.25">
      <c r="A5" s="1">
        <v>46176</v>
      </c>
      <c r="B5" s="1">
        <v>46175</v>
      </c>
      <c r="C5" s="2" t="s">
        <v>41</v>
      </c>
      <c r="D5" s="2" t="s">
        <v>17</v>
      </c>
      <c r="E5" s="2" t="s">
        <v>42</v>
      </c>
      <c r="F5" s="2" t="s">
        <v>18</v>
      </c>
      <c r="G5" s="2" t="s">
        <v>43</v>
      </c>
      <c r="H5" s="2" t="s">
        <v>44</v>
      </c>
      <c r="I5" s="2" t="s">
        <v>45</v>
      </c>
      <c r="J5" s="3">
        <v>4</v>
      </c>
      <c r="K5" s="2" t="s">
        <v>36</v>
      </c>
      <c r="L5" s="3">
        <v>5</v>
      </c>
      <c r="M5" s="11">
        <v>624999.99</v>
      </c>
      <c r="N5" s="3">
        <v>1</v>
      </c>
      <c r="O5" s="2" t="s">
        <v>21</v>
      </c>
      <c r="P5" s="2" t="s">
        <v>29</v>
      </c>
      <c r="Q5" s="2" t="s">
        <v>46</v>
      </c>
    </row>
    <row r="6" spans="1:17" x14ac:dyDescent="0.25">
      <c r="A6" s="1">
        <v>46176</v>
      </c>
      <c r="B6" s="1">
        <v>46175</v>
      </c>
      <c r="C6" s="2" t="s">
        <v>47</v>
      </c>
      <c r="D6" s="2" t="s">
        <v>17</v>
      </c>
      <c r="E6" s="2" t="s">
        <v>48</v>
      </c>
      <c r="F6" s="2" t="s">
        <v>32</v>
      </c>
      <c r="G6" s="2" t="s">
        <v>49</v>
      </c>
      <c r="H6" s="2" t="s">
        <v>26</v>
      </c>
      <c r="I6" s="2" t="s">
        <v>27</v>
      </c>
      <c r="J6" s="3">
        <v>2</v>
      </c>
      <c r="K6" s="2" t="s">
        <v>28</v>
      </c>
      <c r="L6" s="3">
        <v>2</v>
      </c>
      <c r="M6" s="11">
        <v>590000</v>
      </c>
      <c r="N6" s="3">
        <v>0</v>
      </c>
      <c r="O6" s="2" t="s">
        <v>21</v>
      </c>
      <c r="P6" s="2" t="s">
        <v>29</v>
      </c>
      <c r="Q6" s="2" t="s">
        <v>22</v>
      </c>
    </row>
    <row r="7" spans="1:17" x14ac:dyDescent="0.25">
      <c r="A7" s="1">
        <v>46176</v>
      </c>
      <c r="B7" s="1">
        <v>46175</v>
      </c>
      <c r="C7" s="2" t="s">
        <v>47</v>
      </c>
      <c r="D7" s="2" t="s">
        <v>17</v>
      </c>
      <c r="E7" s="2" t="s">
        <v>48</v>
      </c>
      <c r="F7" s="2" t="s">
        <v>32</v>
      </c>
      <c r="G7" s="2" t="s">
        <v>49</v>
      </c>
      <c r="H7" s="2" t="s">
        <v>50</v>
      </c>
      <c r="I7" s="2" t="s">
        <v>51</v>
      </c>
      <c r="J7" s="3">
        <v>2</v>
      </c>
      <c r="K7" s="2" t="s">
        <v>28</v>
      </c>
      <c r="L7" s="3">
        <v>2</v>
      </c>
      <c r="M7" s="11">
        <v>620000</v>
      </c>
      <c r="N7" s="3">
        <v>0</v>
      </c>
      <c r="O7" s="2" t="s">
        <v>21</v>
      </c>
      <c r="P7" s="2" t="s">
        <v>29</v>
      </c>
      <c r="Q7" s="2" t="s">
        <v>22</v>
      </c>
    </row>
    <row r="8" spans="1:17" x14ac:dyDescent="0.25">
      <c r="A8" s="1">
        <v>46176</v>
      </c>
      <c r="B8" s="1">
        <v>46175</v>
      </c>
      <c r="C8" s="2" t="s">
        <v>52</v>
      </c>
      <c r="D8" s="2" t="s">
        <v>17</v>
      </c>
      <c r="E8" s="2" t="s">
        <v>53</v>
      </c>
      <c r="F8" s="2" t="s">
        <v>18</v>
      </c>
      <c r="G8" s="2" t="s">
        <v>33</v>
      </c>
      <c r="H8" s="2" t="s">
        <v>26</v>
      </c>
      <c r="I8" s="2" t="s">
        <v>27</v>
      </c>
      <c r="J8" s="3">
        <v>1</v>
      </c>
      <c r="K8" s="2" t="s">
        <v>28</v>
      </c>
      <c r="L8" s="3">
        <v>1</v>
      </c>
      <c r="M8" s="11">
        <v>327450</v>
      </c>
      <c r="N8" s="3">
        <v>0</v>
      </c>
      <c r="O8" s="2" t="s">
        <v>21</v>
      </c>
      <c r="P8" s="2" t="s">
        <v>29</v>
      </c>
      <c r="Q8" s="2" t="s">
        <v>22</v>
      </c>
    </row>
    <row r="9" spans="1:17" x14ac:dyDescent="0.25">
      <c r="A9" s="1">
        <v>46176</v>
      </c>
      <c r="B9" s="1">
        <v>46175</v>
      </c>
      <c r="C9" s="2" t="s">
        <v>54</v>
      </c>
      <c r="D9" s="2" t="s">
        <v>17</v>
      </c>
      <c r="E9" s="2" t="s">
        <v>55</v>
      </c>
      <c r="F9" s="2" t="s">
        <v>18</v>
      </c>
      <c r="G9" s="2" t="s">
        <v>56</v>
      </c>
      <c r="H9" s="2" t="s">
        <v>57</v>
      </c>
      <c r="I9" s="2" t="s">
        <v>58</v>
      </c>
      <c r="J9" s="3">
        <v>3</v>
      </c>
      <c r="K9" s="2" t="s">
        <v>28</v>
      </c>
      <c r="L9" s="3">
        <v>3</v>
      </c>
      <c r="M9" s="11">
        <v>825000</v>
      </c>
      <c r="N9" s="3">
        <v>0</v>
      </c>
      <c r="O9" s="2" t="s">
        <v>21</v>
      </c>
      <c r="P9" s="2" t="s">
        <v>29</v>
      </c>
      <c r="Q9" s="2" t="s">
        <v>22</v>
      </c>
    </row>
    <row r="10" spans="1:17" x14ac:dyDescent="0.25">
      <c r="A10" s="1">
        <v>46176</v>
      </c>
      <c r="B10" s="1">
        <v>46175</v>
      </c>
      <c r="C10" s="2" t="s">
        <v>59</v>
      </c>
      <c r="D10" s="2" t="s">
        <v>17</v>
      </c>
      <c r="E10" s="2" t="s">
        <v>60</v>
      </c>
      <c r="F10" s="2" t="s">
        <v>18</v>
      </c>
      <c r="G10" s="2" t="s">
        <v>61</v>
      </c>
      <c r="H10" s="2" t="s">
        <v>26</v>
      </c>
      <c r="I10" s="2" t="s">
        <v>27</v>
      </c>
      <c r="J10" s="3">
        <v>1</v>
      </c>
      <c r="K10" s="2" t="s">
        <v>28</v>
      </c>
      <c r="L10" s="3">
        <v>1</v>
      </c>
      <c r="M10" s="11">
        <v>327450</v>
      </c>
      <c r="N10" s="3">
        <v>0</v>
      </c>
      <c r="O10" s="2" t="s">
        <v>21</v>
      </c>
      <c r="P10" s="2" t="s">
        <v>29</v>
      </c>
      <c r="Q10" s="2" t="s">
        <v>62</v>
      </c>
    </row>
    <row r="11" spans="1:17" x14ac:dyDescent="0.25">
      <c r="A11" s="1">
        <v>46176</v>
      </c>
      <c r="B11" s="1">
        <v>46175</v>
      </c>
      <c r="C11" s="2" t="s">
        <v>63</v>
      </c>
      <c r="D11" s="2" t="s">
        <v>17</v>
      </c>
      <c r="E11" s="2" t="s">
        <v>60</v>
      </c>
      <c r="F11" s="2" t="s">
        <v>18</v>
      </c>
      <c r="G11" s="2" t="s">
        <v>61</v>
      </c>
      <c r="H11" s="2" t="s">
        <v>64</v>
      </c>
      <c r="I11" s="2" t="s">
        <v>65</v>
      </c>
      <c r="J11" s="3">
        <v>4.5999999999999996</v>
      </c>
      <c r="K11" s="2" t="s">
        <v>36</v>
      </c>
      <c r="L11" s="3">
        <v>4.5999999999999996</v>
      </c>
      <c r="M11" s="11">
        <v>506000</v>
      </c>
      <c r="N11" s="3">
        <v>0</v>
      </c>
      <c r="O11" s="2" t="s">
        <v>21</v>
      </c>
      <c r="P11" s="2" t="s">
        <v>29</v>
      </c>
      <c r="Q11" s="2" t="s">
        <v>62</v>
      </c>
    </row>
    <row r="12" spans="1:17" x14ac:dyDescent="0.25">
      <c r="A12" s="1">
        <v>46176</v>
      </c>
      <c r="B12" s="1">
        <v>46175</v>
      </c>
      <c r="C12" s="2" t="s">
        <v>66</v>
      </c>
      <c r="D12" s="2" t="s">
        <v>17</v>
      </c>
      <c r="E12" s="2" t="s">
        <v>67</v>
      </c>
      <c r="F12" s="2" t="s">
        <v>18</v>
      </c>
      <c r="G12" s="2" t="s">
        <v>43</v>
      </c>
      <c r="H12" s="2" t="s">
        <v>68</v>
      </c>
      <c r="I12" s="2" t="s">
        <v>69</v>
      </c>
      <c r="J12" s="3">
        <v>10</v>
      </c>
      <c r="K12" s="2" t="s">
        <v>36</v>
      </c>
      <c r="L12" s="3">
        <v>10</v>
      </c>
      <c r="M12" s="11">
        <v>427350</v>
      </c>
      <c r="N12" s="3">
        <v>0</v>
      </c>
      <c r="O12" s="2" t="s">
        <v>21</v>
      </c>
      <c r="P12" s="2" t="s">
        <v>29</v>
      </c>
      <c r="Q12" s="2" t="s">
        <v>22</v>
      </c>
    </row>
    <row r="13" spans="1:17" x14ac:dyDescent="0.25">
      <c r="A13" s="1">
        <v>46176</v>
      </c>
      <c r="B13" s="1">
        <v>46175</v>
      </c>
      <c r="C13" s="2" t="s">
        <v>70</v>
      </c>
      <c r="D13" s="2" t="s">
        <v>17</v>
      </c>
      <c r="E13" s="2" t="s">
        <v>71</v>
      </c>
      <c r="F13" s="2" t="s">
        <v>18</v>
      </c>
      <c r="G13" s="2" t="s">
        <v>43</v>
      </c>
      <c r="H13" s="2" t="s">
        <v>72</v>
      </c>
      <c r="I13" s="2" t="s">
        <v>73</v>
      </c>
      <c r="J13" s="3">
        <v>10</v>
      </c>
      <c r="K13" s="2" t="s">
        <v>36</v>
      </c>
      <c r="L13" s="3">
        <v>10</v>
      </c>
      <c r="M13" s="11">
        <v>362970</v>
      </c>
      <c r="N13" s="3">
        <v>0</v>
      </c>
      <c r="O13" s="2" t="s">
        <v>21</v>
      </c>
      <c r="P13" s="2" t="s">
        <v>29</v>
      </c>
      <c r="Q13" s="2" t="s">
        <v>74</v>
      </c>
    </row>
    <row r="14" spans="1:17" x14ac:dyDescent="0.25">
      <c r="A14" s="1">
        <v>46176</v>
      </c>
      <c r="B14" s="1">
        <v>46175</v>
      </c>
      <c r="C14" s="2" t="s">
        <v>75</v>
      </c>
      <c r="D14" s="2" t="s">
        <v>17</v>
      </c>
      <c r="E14" s="2" t="s">
        <v>76</v>
      </c>
      <c r="F14" s="2" t="s">
        <v>32</v>
      </c>
      <c r="G14" s="2" t="s">
        <v>61</v>
      </c>
      <c r="H14" s="2" t="s">
        <v>77</v>
      </c>
      <c r="I14" s="2" t="s">
        <v>78</v>
      </c>
      <c r="J14" s="3">
        <v>1</v>
      </c>
      <c r="K14" s="2" t="s">
        <v>28</v>
      </c>
      <c r="L14" s="3">
        <v>1</v>
      </c>
      <c r="M14" s="11">
        <v>565000</v>
      </c>
      <c r="N14" s="3">
        <v>0</v>
      </c>
      <c r="O14" s="2" t="s">
        <v>21</v>
      </c>
      <c r="P14" s="2" t="s">
        <v>29</v>
      </c>
      <c r="Q14" s="2" t="s">
        <v>79</v>
      </c>
    </row>
    <row r="15" spans="1:17" x14ac:dyDescent="0.25">
      <c r="A15" s="1">
        <v>46176</v>
      </c>
      <c r="B15" s="1">
        <v>46175</v>
      </c>
      <c r="C15" s="2" t="s">
        <v>75</v>
      </c>
      <c r="D15" s="2" t="s">
        <v>17</v>
      </c>
      <c r="E15" s="2" t="s">
        <v>76</v>
      </c>
      <c r="F15" s="2" t="s">
        <v>32</v>
      </c>
      <c r="G15" s="2" t="s">
        <v>61</v>
      </c>
      <c r="H15" s="2" t="s">
        <v>26</v>
      </c>
      <c r="I15" s="2" t="s">
        <v>27</v>
      </c>
      <c r="J15" s="3">
        <v>2</v>
      </c>
      <c r="K15" s="2" t="s">
        <v>28</v>
      </c>
      <c r="L15" s="3">
        <v>2</v>
      </c>
      <c r="M15" s="11">
        <v>600000</v>
      </c>
      <c r="N15" s="3">
        <v>0</v>
      </c>
      <c r="O15" s="2" t="s">
        <v>21</v>
      </c>
      <c r="P15" s="2" t="s">
        <v>29</v>
      </c>
      <c r="Q15" s="2" t="s">
        <v>79</v>
      </c>
    </row>
    <row r="16" spans="1:17" x14ac:dyDescent="0.25">
      <c r="A16" s="1">
        <v>46176</v>
      </c>
      <c r="B16" s="1">
        <v>46175</v>
      </c>
      <c r="C16" s="2" t="s">
        <v>75</v>
      </c>
      <c r="D16" s="2" t="s">
        <v>17</v>
      </c>
      <c r="E16" s="2" t="s">
        <v>76</v>
      </c>
      <c r="F16" s="2" t="s">
        <v>32</v>
      </c>
      <c r="G16" s="2" t="s">
        <v>61</v>
      </c>
      <c r="H16" s="2" t="s">
        <v>50</v>
      </c>
      <c r="I16" s="2" t="s">
        <v>51</v>
      </c>
      <c r="J16" s="3">
        <v>3</v>
      </c>
      <c r="K16" s="2" t="s">
        <v>28</v>
      </c>
      <c r="L16" s="3">
        <v>3</v>
      </c>
      <c r="M16" s="11">
        <v>915000</v>
      </c>
      <c r="N16" s="3">
        <v>0</v>
      </c>
      <c r="O16" s="2" t="s">
        <v>21</v>
      </c>
      <c r="P16" s="2" t="s">
        <v>29</v>
      </c>
      <c r="Q16" s="2" t="s">
        <v>79</v>
      </c>
    </row>
    <row r="17" spans="1:17" x14ac:dyDescent="0.25">
      <c r="A17" s="1">
        <v>46176</v>
      </c>
      <c r="B17" s="1">
        <v>46175</v>
      </c>
      <c r="C17" s="2" t="s">
        <v>80</v>
      </c>
      <c r="D17" s="2" t="s">
        <v>17</v>
      </c>
      <c r="E17" s="2" t="s">
        <v>81</v>
      </c>
      <c r="F17" s="2" t="s">
        <v>32</v>
      </c>
      <c r="G17" s="2" t="s">
        <v>61</v>
      </c>
      <c r="H17" s="2" t="s">
        <v>82</v>
      </c>
      <c r="I17" s="2" t="s">
        <v>83</v>
      </c>
      <c r="J17" s="3">
        <v>48</v>
      </c>
      <c r="K17" s="2" t="s">
        <v>84</v>
      </c>
      <c r="L17" s="3">
        <v>48</v>
      </c>
      <c r="M17" s="11">
        <v>2237760</v>
      </c>
      <c r="N17" s="3">
        <v>0</v>
      </c>
      <c r="O17" s="2" t="s">
        <v>21</v>
      </c>
      <c r="P17" s="2" t="s">
        <v>29</v>
      </c>
      <c r="Q17" s="2" t="s">
        <v>22</v>
      </c>
    </row>
    <row r="18" spans="1:17" x14ac:dyDescent="0.25">
      <c r="A18" s="1">
        <v>46176</v>
      </c>
      <c r="B18" s="1">
        <v>46175</v>
      </c>
      <c r="C18" s="2" t="s">
        <v>80</v>
      </c>
      <c r="D18" s="2" t="s">
        <v>17</v>
      </c>
      <c r="E18" s="2" t="s">
        <v>81</v>
      </c>
      <c r="F18" s="2" t="s">
        <v>32</v>
      </c>
      <c r="G18" s="2" t="s">
        <v>61</v>
      </c>
      <c r="H18" s="2" t="s">
        <v>85</v>
      </c>
      <c r="I18" s="2" t="s">
        <v>86</v>
      </c>
      <c r="J18" s="3">
        <v>24</v>
      </c>
      <c r="K18" s="2" t="s">
        <v>84</v>
      </c>
      <c r="L18" s="3">
        <v>24</v>
      </c>
      <c r="M18" s="11">
        <v>923076</v>
      </c>
      <c r="N18" s="3">
        <v>0</v>
      </c>
      <c r="O18" s="2" t="s">
        <v>21</v>
      </c>
      <c r="P18" s="2" t="s">
        <v>29</v>
      </c>
      <c r="Q18" s="2" t="s">
        <v>22</v>
      </c>
    </row>
    <row r="19" spans="1:17" x14ac:dyDescent="0.25">
      <c r="A19" s="1">
        <v>46176</v>
      </c>
      <c r="B19" s="1">
        <v>46175</v>
      </c>
      <c r="C19" s="2" t="s">
        <v>87</v>
      </c>
      <c r="D19" s="2" t="s">
        <v>17</v>
      </c>
      <c r="E19" s="2" t="s">
        <v>88</v>
      </c>
      <c r="F19" s="2" t="s">
        <v>32</v>
      </c>
      <c r="G19" s="2" t="s">
        <v>89</v>
      </c>
      <c r="H19" s="2" t="s">
        <v>26</v>
      </c>
      <c r="I19" s="2" t="s">
        <v>27</v>
      </c>
      <c r="J19" s="3">
        <v>3</v>
      </c>
      <c r="K19" s="2" t="s">
        <v>28</v>
      </c>
      <c r="L19" s="3">
        <v>3</v>
      </c>
      <c r="M19" s="11">
        <v>945000</v>
      </c>
      <c r="N19" s="3">
        <v>0</v>
      </c>
      <c r="O19" s="2" t="s">
        <v>21</v>
      </c>
      <c r="P19" s="2" t="s">
        <v>29</v>
      </c>
      <c r="Q19" s="2" t="s">
        <v>22</v>
      </c>
    </row>
    <row r="20" spans="1:17" x14ac:dyDescent="0.25">
      <c r="A20" s="1">
        <v>46176</v>
      </c>
      <c r="B20" s="1">
        <v>46175</v>
      </c>
      <c r="C20" s="2" t="s">
        <v>90</v>
      </c>
      <c r="D20" s="2" t="s">
        <v>17</v>
      </c>
      <c r="E20" s="2" t="s">
        <v>91</v>
      </c>
      <c r="F20" s="2" t="s">
        <v>18</v>
      </c>
      <c r="G20" s="2" t="s">
        <v>89</v>
      </c>
      <c r="H20" s="2" t="s">
        <v>92</v>
      </c>
      <c r="I20" s="2" t="s">
        <v>93</v>
      </c>
      <c r="J20" s="3">
        <v>8.8000000000000007</v>
      </c>
      <c r="K20" s="2" t="s">
        <v>36</v>
      </c>
      <c r="L20" s="3">
        <v>8.65</v>
      </c>
      <c r="M20" s="11">
        <v>648750</v>
      </c>
      <c r="N20" s="3">
        <v>-0.15</v>
      </c>
      <c r="O20" s="2" t="s">
        <v>21</v>
      </c>
      <c r="P20" s="2" t="s">
        <v>29</v>
      </c>
      <c r="Q20" s="2" t="s">
        <v>94</v>
      </c>
    </row>
    <row r="21" spans="1:17" x14ac:dyDescent="0.25">
      <c r="A21" s="1">
        <v>46176</v>
      </c>
      <c r="B21" s="1">
        <v>46175</v>
      </c>
      <c r="C21" s="2" t="s">
        <v>95</v>
      </c>
      <c r="D21" s="2" t="s">
        <v>17</v>
      </c>
      <c r="E21" s="2" t="s">
        <v>96</v>
      </c>
      <c r="F21" s="2" t="s">
        <v>18</v>
      </c>
      <c r="G21" s="2" t="s">
        <v>89</v>
      </c>
      <c r="H21" s="2" t="s">
        <v>26</v>
      </c>
      <c r="I21" s="2" t="s">
        <v>27</v>
      </c>
      <c r="J21" s="3">
        <v>1</v>
      </c>
      <c r="K21" s="2" t="s">
        <v>28</v>
      </c>
      <c r="L21" s="3">
        <v>1</v>
      </c>
      <c r="M21" s="11">
        <v>300000</v>
      </c>
      <c r="N21" s="3">
        <v>0</v>
      </c>
      <c r="O21" s="2" t="s">
        <v>21</v>
      </c>
      <c r="P21" s="2" t="s">
        <v>29</v>
      </c>
      <c r="Q21" s="2" t="s">
        <v>22</v>
      </c>
    </row>
    <row r="22" spans="1:17" x14ac:dyDescent="0.25">
      <c r="A22" s="1">
        <v>46176</v>
      </c>
      <c r="B22" s="1">
        <v>46175</v>
      </c>
      <c r="C22" s="2" t="s">
        <v>97</v>
      </c>
      <c r="D22" s="2" t="s">
        <v>17</v>
      </c>
      <c r="E22" s="2" t="s">
        <v>98</v>
      </c>
      <c r="F22" s="2" t="s">
        <v>18</v>
      </c>
      <c r="G22" s="2" t="s">
        <v>89</v>
      </c>
      <c r="H22" s="2" t="s">
        <v>99</v>
      </c>
      <c r="I22" s="2" t="s">
        <v>100</v>
      </c>
      <c r="J22" s="3">
        <v>2.5</v>
      </c>
      <c r="K22" s="2" t="s">
        <v>36</v>
      </c>
      <c r="L22" s="3">
        <v>2.5</v>
      </c>
      <c r="M22" s="11">
        <v>262500</v>
      </c>
      <c r="N22" s="3">
        <v>0</v>
      </c>
      <c r="O22" s="2" t="s">
        <v>21</v>
      </c>
      <c r="P22" s="2" t="s">
        <v>29</v>
      </c>
      <c r="Q22" s="2" t="s">
        <v>101</v>
      </c>
    </row>
    <row r="23" spans="1:17" x14ac:dyDescent="0.25">
      <c r="A23" s="1">
        <v>46176</v>
      </c>
      <c r="B23" s="1">
        <v>46175</v>
      </c>
      <c r="C23" s="2" t="s">
        <v>102</v>
      </c>
      <c r="D23" s="2" t="s">
        <v>17</v>
      </c>
      <c r="E23" s="2" t="s">
        <v>103</v>
      </c>
      <c r="F23" s="2" t="s">
        <v>32</v>
      </c>
      <c r="G23" s="2" t="s">
        <v>89</v>
      </c>
      <c r="H23" s="2" t="s">
        <v>104</v>
      </c>
      <c r="I23" s="2" t="s">
        <v>105</v>
      </c>
      <c r="J23" s="3">
        <v>48</v>
      </c>
      <c r="K23" s="2" t="s">
        <v>106</v>
      </c>
      <c r="L23" s="3">
        <v>48</v>
      </c>
      <c r="M23" s="11">
        <v>2697599.97</v>
      </c>
      <c r="N23" s="3">
        <v>0</v>
      </c>
      <c r="O23" s="2" t="s">
        <v>21</v>
      </c>
      <c r="P23" s="2" t="s">
        <v>29</v>
      </c>
      <c r="Q23" s="2" t="s">
        <v>22</v>
      </c>
    </row>
    <row r="24" spans="1:17" x14ac:dyDescent="0.25">
      <c r="A24" s="1">
        <v>46176</v>
      </c>
      <c r="B24" s="1">
        <v>46175</v>
      </c>
      <c r="C24" s="2" t="s">
        <v>107</v>
      </c>
      <c r="D24" s="2" t="s">
        <v>17</v>
      </c>
      <c r="E24" s="2" t="s">
        <v>108</v>
      </c>
      <c r="F24" s="2" t="s">
        <v>32</v>
      </c>
      <c r="G24" s="2" t="s">
        <v>89</v>
      </c>
      <c r="H24" s="2" t="s">
        <v>109</v>
      </c>
      <c r="I24" s="2" t="s">
        <v>110</v>
      </c>
      <c r="J24" s="3">
        <v>2</v>
      </c>
      <c r="K24" s="2" t="s">
        <v>36</v>
      </c>
      <c r="L24" s="3">
        <v>2</v>
      </c>
      <c r="M24" s="11">
        <v>65490</v>
      </c>
      <c r="N24" s="3">
        <v>0</v>
      </c>
      <c r="O24" s="2" t="s">
        <v>21</v>
      </c>
      <c r="P24" s="2" t="s">
        <v>29</v>
      </c>
      <c r="Q24" s="2" t="s">
        <v>22</v>
      </c>
    </row>
    <row r="25" spans="1:17" x14ac:dyDescent="0.25">
      <c r="A25" s="1">
        <v>46176</v>
      </c>
      <c r="B25" s="1">
        <v>46175</v>
      </c>
      <c r="C25" s="2" t="s">
        <v>107</v>
      </c>
      <c r="D25" s="2" t="s">
        <v>17</v>
      </c>
      <c r="E25" s="2" t="s">
        <v>108</v>
      </c>
      <c r="F25" s="2" t="s">
        <v>32</v>
      </c>
      <c r="G25" s="2" t="s">
        <v>89</v>
      </c>
      <c r="H25" s="2" t="s">
        <v>111</v>
      </c>
      <c r="I25" s="2" t="s">
        <v>112</v>
      </c>
      <c r="J25" s="3">
        <v>2</v>
      </c>
      <c r="K25" s="2" t="s">
        <v>36</v>
      </c>
      <c r="L25" s="3">
        <v>2</v>
      </c>
      <c r="M25" s="11">
        <v>74592</v>
      </c>
      <c r="N25" s="3">
        <v>0</v>
      </c>
      <c r="O25" s="2" t="s">
        <v>21</v>
      </c>
      <c r="P25" s="2" t="s">
        <v>29</v>
      </c>
      <c r="Q25" s="2" t="s">
        <v>22</v>
      </c>
    </row>
    <row r="26" spans="1:17" x14ac:dyDescent="0.25">
      <c r="A26" s="1">
        <v>46176</v>
      </c>
      <c r="B26" s="1">
        <v>46175</v>
      </c>
      <c r="C26" s="2" t="s">
        <v>107</v>
      </c>
      <c r="D26" s="2" t="s">
        <v>17</v>
      </c>
      <c r="E26" s="2" t="s">
        <v>108</v>
      </c>
      <c r="F26" s="2" t="s">
        <v>32</v>
      </c>
      <c r="G26" s="2" t="s">
        <v>89</v>
      </c>
      <c r="H26" s="2" t="s">
        <v>26</v>
      </c>
      <c r="I26" s="2" t="s">
        <v>27</v>
      </c>
      <c r="J26" s="3">
        <v>3</v>
      </c>
      <c r="K26" s="2" t="s">
        <v>28</v>
      </c>
      <c r="L26" s="3">
        <v>3</v>
      </c>
      <c r="M26" s="11">
        <v>982350</v>
      </c>
      <c r="N26" s="3">
        <v>0</v>
      </c>
      <c r="O26" s="2" t="s">
        <v>21</v>
      </c>
      <c r="P26" s="2" t="s">
        <v>29</v>
      </c>
      <c r="Q26" s="2" t="s">
        <v>22</v>
      </c>
    </row>
    <row r="27" spans="1:17" x14ac:dyDescent="0.25">
      <c r="A27" s="1">
        <v>46176</v>
      </c>
      <c r="B27" s="1">
        <v>46175</v>
      </c>
      <c r="C27" s="2" t="s">
        <v>113</v>
      </c>
      <c r="D27" s="2" t="s">
        <v>17</v>
      </c>
      <c r="E27" s="2" t="s">
        <v>114</v>
      </c>
      <c r="F27" s="2" t="s">
        <v>18</v>
      </c>
      <c r="G27" s="2" t="s">
        <v>56</v>
      </c>
      <c r="H27" s="2" t="s">
        <v>50</v>
      </c>
      <c r="I27" s="2" t="s">
        <v>51</v>
      </c>
      <c r="J27" s="3">
        <v>4</v>
      </c>
      <c r="K27" s="2" t="s">
        <v>28</v>
      </c>
      <c r="L27" s="3">
        <v>4</v>
      </c>
      <c r="M27" s="11">
        <v>1159999.99</v>
      </c>
      <c r="N27" s="3">
        <v>0</v>
      </c>
      <c r="O27" s="2" t="s">
        <v>21</v>
      </c>
      <c r="P27" s="2" t="s">
        <v>29</v>
      </c>
      <c r="Q27" s="2" t="s">
        <v>22</v>
      </c>
    </row>
    <row r="28" spans="1:17" x14ac:dyDescent="0.25">
      <c r="A28" s="1">
        <v>46176</v>
      </c>
      <c r="B28" s="1">
        <v>46175</v>
      </c>
      <c r="C28" s="2" t="s">
        <v>115</v>
      </c>
      <c r="D28" s="2" t="s">
        <v>17</v>
      </c>
      <c r="E28" s="2" t="s">
        <v>116</v>
      </c>
      <c r="F28" s="2" t="s">
        <v>18</v>
      </c>
      <c r="G28" s="2" t="s">
        <v>49</v>
      </c>
      <c r="H28" s="2" t="s">
        <v>26</v>
      </c>
      <c r="I28" s="2" t="s">
        <v>27</v>
      </c>
      <c r="J28" s="3">
        <v>1</v>
      </c>
      <c r="K28" s="2" t="s">
        <v>28</v>
      </c>
      <c r="L28" s="3">
        <v>1</v>
      </c>
      <c r="M28" s="11">
        <v>285000</v>
      </c>
      <c r="N28" s="3">
        <v>0</v>
      </c>
      <c r="O28" s="2" t="s">
        <v>21</v>
      </c>
      <c r="P28" s="2" t="s">
        <v>29</v>
      </c>
      <c r="Q28" s="2" t="s">
        <v>22</v>
      </c>
    </row>
    <row r="29" spans="1:17" x14ac:dyDescent="0.25">
      <c r="A29" s="1">
        <v>46176</v>
      </c>
      <c r="B29" s="1">
        <v>46175</v>
      </c>
      <c r="C29" s="2" t="s">
        <v>117</v>
      </c>
      <c r="D29" s="2" t="s">
        <v>17</v>
      </c>
      <c r="E29" s="2" t="s">
        <v>118</v>
      </c>
      <c r="F29" s="2" t="s">
        <v>32</v>
      </c>
      <c r="G29" s="2" t="s">
        <v>49</v>
      </c>
      <c r="H29" s="2" t="s">
        <v>119</v>
      </c>
      <c r="I29" s="2" t="s">
        <v>120</v>
      </c>
      <c r="J29" s="3">
        <v>150</v>
      </c>
      <c r="K29" s="2" t="s">
        <v>36</v>
      </c>
      <c r="L29" s="3">
        <v>150</v>
      </c>
      <c r="M29" s="11">
        <v>2497500</v>
      </c>
      <c r="N29" s="3">
        <v>0</v>
      </c>
      <c r="O29" s="2" t="s">
        <v>21</v>
      </c>
      <c r="P29" s="2" t="s">
        <v>29</v>
      </c>
      <c r="Q29" s="2" t="s">
        <v>22</v>
      </c>
    </row>
    <row r="30" spans="1:17" x14ac:dyDescent="0.25">
      <c r="A30" s="1">
        <v>46176</v>
      </c>
      <c r="B30" s="1">
        <v>46175</v>
      </c>
      <c r="C30" s="2" t="s">
        <v>117</v>
      </c>
      <c r="D30" s="2" t="s">
        <v>17</v>
      </c>
      <c r="E30" s="2" t="s">
        <v>118</v>
      </c>
      <c r="F30" s="2" t="s">
        <v>32</v>
      </c>
      <c r="G30" s="2" t="s">
        <v>49</v>
      </c>
      <c r="H30" s="2" t="s">
        <v>68</v>
      </c>
      <c r="I30" s="2" t="s">
        <v>69</v>
      </c>
      <c r="J30" s="3">
        <v>30</v>
      </c>
      <c r="K30" s="2" t="s">
        <v>36</v>
      </c>
      <c r="L30" s="3">
        <v>30</v>
      </c>
      <c r="M30" s="11">
        <v>1282050</v>
      </c>
      <c r="N30" s="3">
        <v>0</v>
      </c>
      <c r="O30" s="2" t="s">
        <v>21</v>
      </c>
      <c r="P30" s="2" t="s">
        <v>29</v>
      </c>
      <c r="Q30" s="2" t="s">
        <v>22</v>
      </c>
    </row>
    <row r="31" spans="1:17" x14ac:dyDescent="0.25">
      <c r="A31" s="1">
        <v>46176</v>
      </c>
      <c r="B31" s="1">
        <v>46175</v>
      </c>
      <c r="C31" s="2" t="s">
        <v>121</v>
      </c>
      <c r="D31" s="2" t="s">
        <v>17</v>
      </c>
      <c r="E31" s="2" t="s">
        <v>122</v>
      </c>
      <c r="F31" s="2" t="s">
        <v>18</v>
      </c>
      <c r="G31" s="2" t="s">
        <v>43</v>
      </c>
      <c r="H31" s="2" t="s">
        <v>111</v>
      </c>
      <c r="I31" s="2" t="s">
        <v>112</v>
      </c>
      <c r="J31" s="3">
        <v>10</v>
      </c>
      <c r="K31" s="2" t="s">
        <v>36</v>
      </c>
      <c r="L31" s="3">
        <v>10</v>
      </c>
      <c r="M31" s="11">
        <v>361771.2</v>
      </c>
      <c r="N31" s="3">
        <v>0</v>
      </c>
      <c r="O31" s="2" t="s">
        <v>21</v>
      </c>
      <c r="P31" s="2" t="s">
        <v>29</v>
      </c>
      <c r="Q31" s="2" t="s">
        <v>123</v>
      </c>
    </row>
    <row r="32" spans="1:17" x14ac:dyDescent="0.25">
      <c r="A32" s="1">
        <v>46176</v>
      </c>
      <c r="B32" s="1">
        <v>46175</v>
      </c>
      <c r="C32" s="2" t="s">
        <v>121</v>
      </c>
      <c r="D32" s="2" t="s">
        <v>17</v>
      </c>
      <c r="E32" s="2" t="s">
        <v>122</v>
      </c>
      <c r="F32" s="2" t="s">
        <v>18</v>
      </c>
      <c r="G32" s="2" t="s">
        <v>43</v>
      </c>
      <c r="H32" s="2" t="s">
        <v>124</v>
      </c>
      <c r="I32" s="2" t="s">
        <v>125</v>
      </c>
      <c r="J32" s="3">
        <v>10</v>
      </c>
      <c r="K32" s="2" t="s">
        <v>36</v>
      </c>
      <c r="L32" s="3">
        <v>10</v>
      </c>
      <c r="M32" s="11">
        <v>317626.5</v>
      </c>
      <c r="N32" s="3">
        <v>0</v>
      </c>
      <c r="O32" s="2" t="s">
        <v>21</v>
      </c>
      <c r="P32" s="2" t="s">
        <v>29</v>
      </c>
      <c r="Q32" s="2" t="s">
        <v>123</v>
      </c>
    </row>
    <row r="33" spans="1:17" x14ac:dyDescent="0.25">
      <c r="A33" s="1">
        <v>46176</v>
      </c>
      <c r="B33" s="1">
        <v>46175</v>
      </c>
      <c r="C33" s="2" t="s">
        <v>126</v>
      </c>
      <c r="D33" s="2" t="s">
        <v>17</v>
      </c>
      <c r="E33" s="2" t="s">
        <v>127</v>
      </c>
      <c r="F33" s="2" t="s">
        <v>32</v>
      </c>
      <c r="G33" s="2" t="s">
        <v>61</v>
      </c>
      <c r="H33" s="2" t="s">
        <v>128</v>
      </c>
      <c r="I33" s="2" t="s">
        <v>129</v>
      </c>
      <c r="J33" s="3">
        <v>6</v>
      </c>
      <c r="K33" s="2" t="s">
        <v>36</v>
      </c>
      <c r="L33" s="3">
        <v>6.05</v>
      </c>
      <c r="M33" s="11">
        <v>1119250</v>
      </c>
      <c r="N33" s="3">
        <v>0.05</v>
      </c>
      <c r="O33" s="2" t="s">
        <v>21</v>
      </c>
      <c r="P33" s="2" t="s">
        <v>29</v>
      </c>
      <c r="Q33" s="2" t="s">
        <v>130</v>
      </c>
    </row>
    <row r="34" spans="1:17" x14ac:dyDescent="0.25">
      <c r="A34" s="1">
        <v>46176</v>
      </c>
      <c r="B34" s="1">
        <v>46175</v>
      </c>
      <c r="C34" s="2" t="s">
        <v>131</v>
      </c>
      <c r="D34" s="2" t="s">
        <v>17</v>
      </c>
      <c r="E34" s="2" t="s">
        <v>132</v>
      </c>
      <c r="F34" s="2" t="s">
        <v>32</v>
      </c>
      <c r="G34" s="2" t="s">
        <v>43</v>
      </c>
      <c r="H34" s="2" t="s">
        <v>104</v>
      </c>
      <c r="I34" s="2" t="s">
        <v>105</v>
      </c>
      <c r="J34" s="3">
        <v>60</v>
      </c>
      <c r="K34" s="2" t="s">
        <v>106</v>
      </c>
      <c r="L34" s="3">
        <v>60</v>
      </c>
      <c r="M34" s="11">
        <v>3371999.96</v>
      </c>
      <c r="N34" s="3">
        <v>0</v>
      </c>
      <c r="O34" s="2" t="s">
        <v>21</v>
      </c>
      <c r="P34" s="2" t="s">
        <v>29</v>
      </c>
      <c r="Q34" s="2" t="s">
        <v>22</v>
      </c>
    </row>
    <row r="35" spans="1:17" x14ac:dyDescent="0.25">
      <c r="A35" s="1">
        <v>46176</v>
      </c>
      <c r="B35" s="1">
        <v>46175</v>
      </c>
      <c r="C35" s="2" t="s">
        <v>133</v>
      </c>
      <c r="D35" s="2" t="s">
        <v>17</v>
      </c>
      <c r="E35" s="2" t="s">
        <v>134</v>
      </c>
      <c r="F35" s="2" t="s">
        <v>18</v>
      </c>
      <c r="G35" s="2" t="s">
        <v>19</v>
      </c>
      <c r="H35" s="2" t="s">
        <v>72</v>
      </c>
      <c r="I35" s="2" t="s">
        <v>73</v>
      </c>
      <c r="J35" s="3">
        <v>30</v>
      </c>
      <c r="K35" s="2" t="s">
        <v>36</v>
      </c>
      <c r="L35" s="3">
        <v>30</v>
      </c>
      <c r="M35" s="11">
        <v>1088910</v>
      </c>
      <c r="N35" s="3">
        <v>0</v>
      </c>
      <c r="O35" s="2" t="s">
        <v>21</v>
      </c>
      <c r="P35" s="2" t="s">
        <v>29</v>
      </c>
      <c r="Q35" s="2" t="s">
        <v>22</v>
      </c>
    </row>
    <row r="36" spans="1:17" x14ac:dyDescent="0.25">
      <c r="A36" s="1">
        <v>46176</v>
      </c>
      <c r="B36" s="1">
        <v>46175</v>
      </c>
      <c r="C36" s="2" t="s">
        <v>135</v>
      </c>
      <c r="D36" s="2" t="s">
        <v>17</v>
      </c>
      <c r="E36" s="2" t="s">
        <v>136</v>
      </c>
      <c r="F36" s="2" t="s">
        <v>32</v>
      </c>
      <c r="G36" s="2" t="s">
        <v>49</v>
      </c>
      <c r="H36" s="2" t="s">
        <v>104</v>
      </c>
      <c r="I36" s="2" t="s">
        <v>105</v>
      </c>
      <c r="J36" s="3">
        <v>96</v>
      </c>
      <c r="K36" s="2" t="s">
        <v>106</v>
      </c>
      <c r="L36" s="3">
        <v>96</v>
      </c>
      <c r="M36" s="11">
        <v>5395199.9299999997</v>
      </c>
      <c r="N36" s="3">
        <v>0</v>
      </c>
      <c r="O36" s="2" t="s">
        <v>21</v>
      </c>
      <c r="P36" s="2" t="s">
        <v>29</v>
      </c>
      <c r="Q36" s="2" t="s">
        <v>22</v>
      </c>
    </row>
    <row r="37" spans="1:17" x14ac:dyDescent="0.25">
      <c r="A37" s="1">
        <v>46176</v>
      </c>
      <c r="B37" s="1">
        <v>46175</v>
      </c>
      <c r="C37" s="2" t="s">
        <v>137</v>
      </c>
      <c r="D37" s="2" t="s">
        <v>17</v>
      </c>
      <c r="E37" s="2" t="s">
        <v>138</v>
      </c>
      <c r="F37" s="2" t="s">
        <v>18</v>
      </c>
      <c r="G37" s="2" t="s">
        <v>43</v>
      </c>
      <c r="H37" s="2" t="s">
        <v>82</v>
      </c>
      <c r="I37" s="2" t="s">
        <v>83</v>
      </c>
      <c r="J37" s="3">
        <v>12</v>
      </c>
      <c r="K37" s="2" t="s">
        <v>84</v>
      </c>
      <c r="L37" s="3">
        <v>12</v>
      </c>
      <c r="M37" s="11">
        <v>559440</v>
      </c>
      <c r="N37" s="3">
        <v>0</v>
      </c>
      <c r="O37" s="2" t="s">
        <v>21</v>
      </c>
      <c r="P37" s="2" t="s">
        <v>29</v>
      </c>
      <c r="Q37" s="2" t="s">
        <v>139</v>
      </c>
    </row>
    <row r="38" spans="1:17" x14ac:dyDescent="0.25">
      <c r="A38" s="1">
        <v>46176</v>
      </c>
      <c r="B38" s="1">
        <v>46175</v>
      </c>
      <c r="C38" s="2" t="s">
        <v>140</v>
      </c>
      <c r="D38" s="2" t="s">
        <v>17</v>
      </c>
      <c r="E38" s="2" t="s">
        <v>127</v>
      </c>
      <c r="F38" s="2" t="s">
        <v>32</v>
      </c>
      <c r="G38" s="2" t="s">
        <v>61</v>
      </c>
      <c r="H38" s="2" t="s">
        <v>26</v>
      </c>
      <c r="I38" s="2" t="s">
        <v>27</v>
      </c>
      <c r="J38" s="3">
        <v>4</v>
      </c>
      <c r="K38" s="2" t="s">
        <v>28</v>
      </c>
      <c r="L38" s="3">
        <v>4</v>
      </c>
      <c r="M38" s="11">
        <v>1139999.99</v>
      </c>
      <c r="N38" s="3">
        <v>0</v>
      </c>
      <c r="O38" s="2" t="s">
        <v>21</v>
      </c>
      <c r="P38" s="2" t="s">
        <v>29</v>
      </c>
      <c r="Q38" s="2" t="s">
        <v>22</v>
      </c>
    </row>
    <row r="39" spans="1:17" x14ac:dyDescent="0.25">
      <c r="A39" s="1">
        <v>46176</v>
      </c>
      <c r="B39" s="1">
        <v>46175</v>
      </c>
      <c r="C39" s="2" t="s">
        <v>141</v>
      </c>
      <c r="D39" s="2" t="s">
        <v>17</v>
      </c>
      <c r="E39" s="2" t="s">
        <v>142</v>
      </c>
      <c r="F39" s="2" t="s">
        <v>32</v>
      </c>
      <c r="G39" s="2" t="s">
        <v>19</v>
      </c>
      <c r="H39" s="2" t="s">
        <v>143</v>
      </c>
      <c r="I39" s="2" t="s">
        <v>144</v>
      </c>
      <c r="J39" s="3">
        <v>2</v>
      </c>
      <c r="K39" s="2" t="s">
        <v>145</v>
      </c>
      <c r="L39" s="3">
        <v>2</v>
      </c>
      <c r="M39" s="11">
        <v>180000</v>
      </c>
      <c r="N39" s="3">
        <v>0</v>
      </c>
      <c r="O39" s="2" t="s">
        <v>21</v>
      </c>
      <c r="P39" s="2" t="s">
        <v>29</v>
      </c>
      <c r="Q39" s="2" t="s">
        <v>22</v>
      </c>
    </row>
    <row r="40" spans="1:17" x14ac:dyDescent="0.25">
      <c r="A40" s="1">
        <v>46176</v>
      </c>
      <c r="B40" s="1">
        <v>46175</v>
      </c>
      <c r="C40" s="2" t="s">
        <v>141</v>
      </c>
      <c r="D40" s="2" t="s">
        <v>17</v>
      </c>
      <c r="E40" s="2" t="s">
        <v>142</v>
      </c>
      <c r="F40" s="2" t="s">
        <v>32</v>
      </c>
      <c r="G40" s="2" t="s">
        <v>19</v>
      </c>
      <c r="H40" s="2" t="s">
        <v>119</v>
      </c>
      <c r="I40" s="2" t="s">
        <v>120</v>
      </c>
      <c r="J40" s="3">
        <v>20</v>
      </c>
      <c r="K40" s="2" t="s">
        <v>36</v>
      </c>
      <c r="L40" s="3">
        <v>20</v>
      </c>
      <c r="M40" s="11">
        <v>299999.92</v>
      </c>
      <c r="N40" s="3">
        <v>0</v>
      </c>
      <c r="O40" s="2" t="s">
        <v>21</v>
      </c>
      <c r="P40" s="2" t="s">
        <v>29</v>
      </c>
      <c r="Q40" s="2" t="s">
        <v>22</v>
      </c>
    </row>
    <row r="41" spans="1:17" x14ac:dyDescent="0.25">
      <c r="A41" s="1">
        <v>46176</v>
      </c>
      <c r="B41" s="1">
        <v>46175</v>
      </c>
      <c r="C41" s="2" t="s">
        <v>141</v>
      </c>
      <c r="D41" s="2" t="s">
        <v>17</v>
      </c>
      <c r="E41" s="2" t="s">
        <v>142</v>
      </c>
      <c r="F41" s="2" t="s">
        <v>32</v>
      </c>
      <c r="G41" s="2" t="s">
        <v>19</v>
      </c>
      <c r="H41" s="2" t="s">
        <v>146</v>
      </c>
      <c r="I41" s="2" t="s">
        <v>147</v>
      </c>
      <c r="J41" s="3">
        <v>20</v>
      </c>
      <c r="K41" s="2" t="s">
        <v>36</v>
      </c>
      <c r="L41" s="3">
        <v>20</v>
      </c>
      <c r="M41" s="11">
        <v>329999.89</v>
      </c>
      <c r="N41" s="3">
        <v>0</v>
      </c>
      <c r="O41" s="2" t="s">
        <v>21</v>
      </c>
      <c r="P41" s="2" t="s">
        <v>29</v>
      </c>
      <c r="Q41" s="2" t="s">
        <v>22</v>
      </c>
    </row>
    <row r="42" spans="1:17" x14ac:dyDescent="0.25">
      <c r="A42" s="1">
        <v>46176</v>
      </c>
      <c r="B42" s="1">
        <v>46175</v>
      </c>
      <c r="C42" s="2" t="s">
        <v>141</v>
      </c>
      <c r="D42" s="2" t="s">
        <v>17</v>
      </c>
      <c r="E42" s="2" t="s">
        <v>142</v>
      </c>
      <c r="F42" s="2" t="s">
        <v>32</v>
      </c>
      <c r="G42" s="2" t="s">
        <v>19</v>
      </c>
      <c r="H42" s="2" t="s">
        <v>148</v>
      </c>
      <c r="I42" s="2" t="s">
        <v>149</v>
      </c>
      <c r="J42" s="3">
        <v>10</v>
      </c>
      <c r="K42" s="2" t="s">
        <v>36</v>
      </c>
      <c r="L42" s="3">
        <v>10</v>
      </c>
      <c r="M42" s="11">
        <v>154999.96</v>
      </c>
      <c r="N42" s="3">
        <v>0</v>
      </c>
      <c r="O42" s="2" t="s">
        <v>21</v>
      </c>
      <c r="P42" s="2" t="s">
        <v>29</v>
      </c>
      <c r="Q42" s="2" t="s">
        <v>22</v>
      </c>
    </row>
    <row r="43" spans="1:17" x14ac:dyDescent="0.25">
      <c r="A43" s="1">
        <v>46176</v>
      </c>
      <c r="B43" s="1">
        <v>46175</v>
      </c>
      <c r="C43" s="2" t="s">
        <v>150</v>
      </c>
      <c r="D43" s="2" t="s">
        <v>17</v>
      </c>
      <c r="E43" s="2" t="s">
        <v>151</v>
      </c>
      <c r="F43" s="2" t="s">
        <v>32</v>
      </c>
      <c r="G43" s="2" t="s">
        <v>33</v>
      </c>
      <c r="H43" s="2" t="s">
        <v>26</v>
      </c>
      <c r="I43" s="2" t="s">
        <v>27</v>
      </c>
      <c r="J43" s="3">
        <v>12</v>
      </c>
      <c r="K43" s="2" t="s">
        <v>28</v>
      </c>
      <c r="L43" s="3">
        <v>12</v>
      </c>
      <c r="M43" s="11">
        <v>3600000</v>
      </c>
      <c r="N43" s="3">
        <v>0</v>
      </c>
      <c r="O43" s="2" t="s">
        <v>21</v>
      </c>
      <c r="P43" s="2" t="s">
        <v>29</v>
      </c>
      <c r="Q43" s="2" t="s">
        <v>152</v>
      </c>
    </row>
    <row r="44" spans="1:17" x14ac:dyDescent="0.25">
      <c r="A44" s="1">
        <v>46176</v>
      </c>
      <c r="B44" s="1">
        <v>46175</v>
      </c>
      <c r="C44" s="2" t="s">
        <v>153</v>
      </c>
      <c r="D44" s="2" t="s">
        <v>17</v>
      </c>
      <c r="E44" s="2" t="s">
        <v>151</v>
      </c>
      <c r="F44" s="2" t="s">
        <v>32</v>
      </c>
      <c r="G44" s="2" t="s">
        <v>33</v>
      </c>
      <c r="H44" s="2" t="s">
        <v>34</v>
      </c>
      <c r="I44" s="2" t="s">
        <v>35</v>
      </c>
      <c r="J44" s="3">
        <v>2</v>
      </c>
      <c r="K44" s="2" t="s">
        <v>36</v>
      </c>
      <c r="L44" s="3">
        <v>1.98</v>
      </c>
      <c r="M44" s="11">
        <v>297000.01</v>
      </c>
      <c r="N44" s="3">
        <v>-0.02</v>
      </c>
      <c r="O44" s="2" t="s">
        <v>21</v>
      </c>
      <c r="P44" s="2" t="s">
        <v>29</v>
      </c>
      <c r="Q44" s="2" t="s">
        <v>152</v>
      </c>
    </row>
    <row r="45" spans="1:17" x14ac:dyDescent="0.25">
      <c r="A45" s="1">
        <v>46176</v>
      </c>
      <c r="B45" s="1">
        <v>46175</v>
      </c>
      <c r="C45" s="2" t="s">
        <v>154</v>
      </c>
      <c r="D45" s="2" t="s">
        <v>17</v>
      </c>
      <c r="E45" s="2" t="s">
        <v>155</v>
      </c>
      <c r="F45" s="2" t="s">
        <v>32</v>
      </c>
      <c r="G45" s="2" t="s">
        <v>156</v>
      </c>
      <c r="H45" s="2" t="s">
        <v>26</v>
      </c>
      <c r="I45" s="2" t="s">
        <v>27</v>
      </c>
      <c r="J45" s="3">
        <v>1</v>
      </c>
      <c r="K45" s="2" t="s">
        <v>28</v>
      </c>
      <c r="L45" s="3">
        <v>1</v>
      </c>
      <c r="M45" s="11">
        <v>300000.01</v>
      </c>
      <c r="N45" s="3">
        <v>0</v>
      </c>
      <c r="O45" s="2" t="s">
        <v>21</v>
      </c>
      <c r="P45" s="2" t="s">
        <v>29</v>
      </c>
      <c r="Q45" s="2" t="s">
        <v>157</v>
      </c>
    </row>
    <row r="46" spans="1:17" x14ac:dyDescent="0.25">
      <c r="A46" s="1">
        <v>46176</v>
      </c>
      <c r="B46" s="1">
        <v>46175</v>
      </c>
      <c r="C46" s="2" t="s">
        <v>158</v>
      </c>
      <c r="D46" s="2" t="s">
        <v>17</v>
      </c>
      <c r="E46" s="2" t="s">
        <v>159</v>
      </c>
      <c r="F46" s="2" t="s">
        <v>32</v>
      </c>
      <c r="G46" s="2" t="s">
        <v>43</v>
      </c>
      <c r="H46" s="2" t="s">
        <v>160</v>
      </c>
      <c r="I46" s="2" t="s">
        <v>161</v>
      </c>
      <c r="J46" s="3">
        <v>12</v>
      </c>
      <c r="K46" s="2" t="s">
        <v>84</v>
      </c>
      <c r="L46" s="3">
        <v>12</v>
      </c>
      <c r="M46" s="11">
        <v>559440</v>
      </c>
      <c r="N46" s="3">
        <v>0</v>
      </c>
      <c r="O46" s="2" t="s">
        <v>21</v>
      </c>
      <c r="P46" s="2" t="s">
        <v>29</v>
      </c>
      <c r="Q46" s="2" t="s">
        <v>162</v>
      </c>
    </row>
    <row r="47" spans="1:17" x14ac:dyDescent="0.25">
      <c r="A47" s="1">
        <v>46176</v>
      </c>
      <c r="B47" s="1">
        <v>46175</v>
      </c>
      <c r="C47" s="2" t="s">
        <v>158</v>
      </c>
      <c r="D47" s="2" t="s">
        <v>17</v>
      </c>
      <c r="E47" s="2" t="s">
        <v>159</v>
      </c>
      <c r="F47" s="2" t="s">
        <v>32</v>
      </c>
      <c r="G47" s="2" t="s">
        <v>43</v>
      </c>
      <c r="H47" s="2" t="s">
        <v>82</v>
      </c>
      <c r="I47" s="2" t="s">
        <v>83</v>
      </c>
      <c r="J47" s="3">
        <v>12</v>
      </c>
      <c r="K47" s="2" t="s">
        <v>84</v>
      </c>
      <c r="L47" s="3">
        <v>12</v>
      </c>
      <c r="M47" s="11">
        <v>559440</v>
      </c>
      <c r="N47" s="3">
        <v>0</v>
      </c>
      <c r="O47" s="2" t="s">
        <v>21</v>
      </c>
      <c r="P47" s="2" t="s">
        <v>29</v>
      </c>
      <c r="Q47" s="2" t="s">
        <v>162</v>
      </c>
    </row>
    <row r="48" spans="1:17" x14ac:dyDescent="0.25">
      <c r="A48" s="1">
        <v>46176</v>
      </c>
      <c r="B48" s="1">
        <v>46175</v>
      </c>
      <c r="C48" s="2" t="s">
        <v>163</v>
      </c>
      <c r="D48" s="2" t="s">
        <v>17</v>
      </c>
      <c r="E48" s="2" t="s">
        <v>164</v>
      </c>
      <c r="F48" s="2" t="s">
        <v>18</v>
      </c>
      <c r="G48" s="2" t="s">
        <v>33</v>
      </c>
      <c r="H48" s="2" t="s">
        <v>165</v>
      </c>
      <c r="I48" s="2" t="s">
        <v>166</v>
      </c>
      <c r="J48" s="3">
        <v>4</v>
      </c>
      <c r="K48" s="2" t="s">
        <v>106</v>
      </c>
      <c r="L48" s="3">
        <v>4</v>
      </c>
      <c r="M48" s="11">
        <v>360000</v>
      </c>
      <c r="N48" s="3">
        <v>0</v>
      </c>
      <c r="O48" s="2" t="s">
        <v>21</v>
      </c>
      <c r="P48" s="2" t="s">
        <v>29</v>
      </c>
      <c r="Q48" s="2" t="s">
        <v>22</v>
      </c>
    </row>
    <row r="49" spans="1:17" x14ac:dyDescent="0.25">
      <c r="A49" s="1">
        <v>46176</v>
      </c>
      <c r="B49" s="1">
        <v>46175</v>
      </c>
      <c r="C49" s="2" t="s">
        <v>167</v>
      </c>
      <c r="D49" s="2" t="s">
        <v>17</v>
      </c>
      <c r="E49" s="2" t="s">
        <v>168</v>
      </c>
      <c r="F49" s="2" t="s">
        <v>32</v>
      </c>
      <c r="G49" s="2" t="s">
        <v>25</v>
      </c>
      <c r="H49" s="2" t="s">
        <v>82</v>
      </c>
      <c r="I49" s="2" t="s">
        <v>83</v>
      </c>
      <c r="J49" s="3">
        <v>5</v>
      </c>
      <c r="K49" s="2" t="s">
        <v>84</v>
      </c>
      <c r="L49" s="3">
        <v>5</v>
      </c>
      <c r="M49" s="11">
        <v>233100</v>
      </c>
      <c r="N49" s="3">
        <v>0</v>
      </c>
      <c r="O49" s="2" t="s">
        <v>21</v>
      </c>
      <c r="P49" s="2" t="s">
        <v>29</v>
      </c>
      <c r="Q49" s="2" t="s">
        <v>169</v>
      </c>
    </row>
    <row r="50" spans="1:17" x14ac:dyDescent="0.25">
      <c r="A50" s="1">
        <v>46176</v>
      </c>
      <c r="B50" s="1">
        <v>46175</v>
      </c>
      <c r="C50" s="2" t="s">
        <v>172</v>
      </c>
      <c r="D50" s="2" t="s">
        <v>17</v>
      </c>
      <c r="E50" s="2" t="s">
        <v>173</v>
      </c>
      <c r="F50" s="2" t="s">
        <v>18</v>
      </c>
      <c r="G50" s="2" t="s">
        <v>61</v>
      </c>
      <c r="H50" s="2" t="s">
        <v>174</v>
      </c>
      <c r="I50" s="2" t="s">
        <v>175</v>
      </c>
      <c r="J50" s="3">
        <v>2</v>
      </c>
      <c r="K50" s="2" t="s">
        <v>28</v>
      </c>
      <c r="L50" s="3">
        <v>2</v>
      </c>
      <c r="M50" s="11">
        <v>632700</v>
      </c>
      <c r="N50" s="3">
        <v>0</v>
      </c>
      <c r="O50" s="2" t="s">
        <v>21</v>
      </c>
      <c r="P50" s="2" t="s">
        <v>29</v>
      </c>
      <c r="Q50" s="2" t="s">
        <v>22</v>
      </c>
    </row>
    <row r="51" spans="1:17" x14ac:dyDescent="0.25">
      <c r="A51" s="1">
        <v>46176</v>
      </c>
      <c r="B51" s="1">
        <v>46175</v>
      </c>
      <c r="C51" s="2" t="s">
        <v>176</v>
      </c>
      <c r="D51" s="2" t="s">
        <v>17</v>
      </c>
      <c r="E51" s="2" t="s">
        <v>177</v>
      </c>
      <c r="F51" s="2" t="s">
        <v>32</v>
      </c>
      <c r="G51" s="2" t="s">
        <v>40</v>
      </c>
      <c r="H51" s="2" t="s">
        <v>26</v>
      </c>
      <c r="I51" s="2" t="s">
        <v>27</v>
      </c>
      <c r="J51" s="3">
        <v>3</v>
      </c>
      <c r="K51" s="2" t="s">
        <v>28</v>
      </c>
      <c r="L51" s="3">
        <v>3</v>
      </c>
      <c r="M51" s="11">
        <v>975000</v>
      </c>
      <c r="N51" s="3">
        <v>0</v>
      </c>
      <c r="O51" s="2" t="s">
        <v>21</v>
      </c>
      <c r="P51" s="2" t="s">
        <v>29</v>
      </c>
      <c r="Q51" s="2" t="s">
        <v>178</v>
      </c>
    </row>
    <row r="52" spans="1:17" x14ac:dyDescent="0.25">
      <c r="A52" s="1">
        <v>46176</v>
      </c>
      <c r="B52" s="1">
        <v>46175</v>
      </c>
      <c r="C52" s="2" t="s">
        <v>179</v>
      </c>
      <c r="D52" s="2" t="s">
        <v>17</v>
      </c>
      <c r="E52" s="2" t="s">
        <v>180</v>
      </c>
      <c r="F52" s="2" t="s">
        <v>32</v>
      </c>
      <c r="G52" s="2" t="s">
        <v>171</v>
      </c>
      <c r="H52" s="2" t="s">
        <v>165</v>
      </c>
      <c r="I52" s="2" t="s">
        <v>166</v>
      </c>
      <c r="J52" s="3">
        <v>10</v>
      </c>
      <c r="K52" s="2" t="s">
        <v>106</v>
      </c>
      <c r="L52" s="3">
        <v>10</v>
      </c>
      <c r="M52" s="11">
        <v>899999.99</v>
      </c>
      <c r="N52" s="3">
        <v>0</v>
      </c>
      <c r="O52" s="2" t="s">
        <v>21</v>
      </c>
      <c r="P52" s="2" t="s">
        <v>29</v>
      </c>
      <c r="Q52" s="2" t="s">
        <v>22</v>
      </c>
    </row>
    <row r="53" spans="1:17" x14ac:dyDescent="0.25">
      <c r="A53" s="1">
        <v>46176</v>
      </c>
      <c r="B53" s="1">
        <v>46175</v>
      </c>
      <c r="C53" s="2" t="s">
        <v>181</v>
      </c>
      <c r="D53" s="2" t="s">
        <v>17</v>
      </c>
      <c r="E53" s="2" t="s">
        <v>182</v>
      </c>
      <c r="F53" s="2" t="s">
        <v>18</v>
      </c>
      <c r="G53" s="2" t="s">
        <v>61</v>
      </c>
      <c r="H53" s="2" t="s">
        <v>85</v>
      </c>
      <c r="I53" s="2" t="s">
        <v>86</v>
      </c>
      <c r="J53" s="3">
        <v>4</v>
      </c>
      <c r="K53" s="2" t="s">
        <v>84</v>
      </c>
      <c r="L53" s="3">
        <v>4</v>
      </c>
      <c r="M53" s="11">
        <v>153846</v>
      </c>
      <c r="N53" s="3">
        <v>0</v>
      </c>
      <c r="O53" s="2" t="s">
        <v>21</v>
      </c>
      <c r="P53" s="2" t="s">
        <v>29</v>
      </c>
      <c r="Q53" s="2" t="s">
        <v>22</v>
      </c>
    </row>
    <row r="54" spans="1:17" x14ac:dyDescent="0.25">
      <c r="A54" s="1">
        <v>46176</v>
      </c>
      <c r="B54" s="1">
        <v>46175</v>
      </c>
      <c r="C54" s="2" t="s">
        <v>183</v>
      </c>
      <c r="D54" s="2" t="s">
        <v>17</v>
      </c>
      <c r="E54" s="2" t="s">
        <v>184</v>
      </c>
      <c r="F54" s="2" t="s">
        <v>32</v>
      </c>
      <c r="G54" s="2" t="s">
        <v>185</v>
      </c>
      <c r="H54" s="2" t="s">
        <v>174</v>
      </c>
      <c r="I54" s="2" t="s">
        <v>175</v>
      </c>
      <c r="J54" s="3">
        <v>150</v>
      </c>
      <c r="K54" s="2" t="s">
        <v>28</v>
      </c>
      <c r="L54" s="3">
        <v>150</v>
      </c>
      <c r="M54" s="11">
        <v>38999999.299999997</v>
      </c>
      <c r="N54" s="3">
        <v>0</v>
      </c>
      <c r="O54" s="2" t="s">
        <v>21</v>
      </c>
      <c r="P54" s="2" t="s">
        <v>29</v>
      </c>
      <c r="Q54" s="2" t="s">
        <v>186</v>
      </c>
    </row>
    <row r="55" spans="1:17" x14ac:dyDescent="0.25">
      <c r="A55" s="1">
        <v>46176</v>
      </c>
      <c r="B55" s="1">
        <v>46175</v>
      </c>
      <c r="C55" s="2" t="s">
        <v>187</v>
      </c>
      <c r="D55" s="2" t="s">
        <v>17</v>
      </c>
      <c r="E55" s="2" t="s">
        <v>188</v>
      </c>
      <c r="F55" s="2" t="s">
        <v>32</v>
      </c>
      <c r="G55" s="2" t="s">
        <v>89</v>
      </c>
      <c r="H55" s="2" t="s">
        <v>189</v>
      </c>
      <c r="I55" s="2" t="s">
        <v>190</v>
      </c>
      <c r="J55" s="3">
        <v>80</v>
      </c>
      <c r="K55" s="2" t="s">
        <v>36</v>
      </c>
      <c r="L55" s="3">
        <v>81.06</v>
      </c>
      <c r="M55" s="11">
        <v>14996100</v>
      </c>
      <c r="N55" s="3">
        <v>1.06</v>
      </c>
      <c r="O55" s="2" t="s">
        <v>21</v>
      </c>
      <c r="P55" s="2" t="s">
        <v>29</v>
      </c>
      <c r="Q55" s="2" t="s">
        <v>22</v>
      </c>
    </row>
    <row r="56" spans="1:17" x14ac:dyDescent="0.25">
      <c r="A56" s="1">
        <v>46176</v>
      </c>
      <c r="B56" s="1">
        <v>46175</v>
      </c>
      <c r="C56" s="2" t="s">
        <v>191</v>
      </c>
      <c r="D56" s="2" t="s">
        <v>17</v>
      </c>
      <c r="E56" s="2" t="s">
        <v>192</v>
      </c>
      <c r="F56" s="2" t="s">
        <v>18</v>
      </c>
      <c r="G56" s="2" t="s">
        <v>33</v>
      </c>
      <c r="H56" s="2" t="s">
        <v>26</v>
      </c>
      <c r="I56" s="2" t="s">
        <v>27</v>
      </c>
      <c r="J56" s="3">
        <v>2</v>
      </c>
      <c r="K56" s="2" t="s">
        <v>28</v>
      </c>
      <c r="L56" s="3">
        <v>2</v>
      </c>
      <c r="M56" s="11">
        <v>654900</v>
      </c>
      <c r="N56" s="3">
        <v>0</v>
      </c>
      <c r="O56" s="2" t="s">
        <v>21</v>
      </c>
      <c r="P56" s="2" t="s">
        <v>29</v>
      </c>
      <c r="Q56" s="2" t="s">
        <v>22</v>
      </c>
    </row>
    <row r="57" spans="1:17" x14ac:dyDescent="0.25">
      <c r="A57" s="1">
        <v>46176</v>
      </c>
      <c r="B57" s="1">
        <v>46175</v>
      </c>
      <c r="C57" s="2" t="s">
        <v>193</v>
      </c>
      <c r="D57" s="2" t="s">
        <v>17</v>
      </c>
      <c r="E57" s="2" t="s">
        <v>194</v>
      </c>
      <c r="F57" s="2" t="s">
        <v>18</v>
      </c>
      <c r="G57" s="2" t="s">
        <v>49</v>
      </c>
      <c r="H57" s="2" t="s">
        <v>124</v>
      </c>
      <c r="I57" s="2" t="s">
        <v>125</v>
      </c>
      <c r="J57" s="3">
        <v>10</v>
      </c>
      <c r="K57" s="2" t="s">
        <v>36</v>
      </c>
      <c r="L57" s="3">
        <v>10</v>
      </c>
      <c r="M57" s="11">
        <v>327450</v>
      </c>
      <c r="N57" s="3">
        <v>0</v>
      </c>
      <c r="O57" s="2" t="s">
        <v>21</v>
      </c>
      <c r="P57" s="2" t="s">
        <v>29</v>
      </c>
      <c r="Q57" s="2" t="s">
        <v>22</v>
      </c>
    </row>
    <row r="58" spans="1:17" x14ac:dyDescent="0.25">
      <c r="A58" s="1">
        <v>46176</v>
      </c>
      <c r="B58" s="1">
        <v>46175</v>
      </c>
      <c r="C58" s="2" t="s">
        <v>195</v>
      </c>
      <c r="D58" s="2" t="s">
        <v>17</v>
      </c>
      <c r="E58" s="2" t="s">
        <v>196</v>
      </c>
      <c r="F58" s="2" t="s">
        <v>18</v>
      </c>
      <c r="G58" s="2" t="s">
        <v>156</v>
      </c>
      <c r="H58" s="2" t="s">
        <v>26</v>
      </c>
      <c r="I58" s="2" t="s">
        <v>27</v>
      </c>
      <c r="J58" s="3">
        <v>4</v>
      </c>
      <c r="K58" s="2" t="s">
        <v>28</v>
      </c>
      <c r="L58" s="3">
        <v>4</v>
      </c>
      <c r="M58" s="11">
        <v>1180000</v>
      </c>
      <c r="N58" s="3">
        <v>0</v>
      </c>
      <c r="O58" s="2" t="s">
        <v>21</v>
      </c>
      <c r="P58" s="2" t="s">
        <v>29</v>
      </c>
      <c r="Q58" s="2" t="s">
        <v>22</v>
      </c>
    </row>
    <row r="59" spans="1:17" x14ac:dyDescent="0.25">
      <c r="A59" s="1">
        <v>46176</v>
      </c>
      <c r="B59" s="1">
        <v>46175</v>
      </c>
      <c r="C59" s="2" t="s">
        <v>197</v>
      </c>
      <c r="D59" s="2" t="s">
        <v>17</v>
      </c>
      <c r="E59" s="2" t="s">
        <v>198</v>
      </c>
      <c r="F59" s="2" t="s">
        <v>32</v>
      </c>
      <c r="G59" s="2" t="s">
        <v>61</v>
      </c>
      <c r="H59" s="2" t="s">
        <v>199</v>
      </c>
      <c r="I59" s="2" t="s">
        <v>200</v>
      </c>
      <c r="J59" s="3">
        <v>4</v>
      </c>
      <c r="K59" s="2" t="s">
        <v>36</v>
      </c>
      <c r="L59" s="3">
        <v>4.54</v>
      </c>
      <c r="M59" s="11">
        <v>1589000</v>
      </c>
      <c r="N59" s="3">
        <v>0.54</v>
      </c>
      <c r="O59" s="2" t="s">
        <v>21</v>
      </c>
      <c r="P59" s="2" t="s">
        <v>29</v>
      </c>
      <c r="Q59" s="2" t="s">
        <v>201</v>
      </c>
    </row>
    <row r="60" spans="1:17" x14ac:dyDescent="0.25">
      <c r="A60" s="1">
        <v>46176</v>
      </c>
      <c r="B60" s="1">
        <v>46175</v>
      </c>
      <c r="C60" s="2" t="s">
        <v>202</v>
      </c>
      <c r="D60" s="2" t="s">
        <v>17</v>
      </c>
      <c r="E60" s="2" t="s">
        <v>203</v>
      </c>
      <c r="F60" s="2" t="s">
        <v>32</v>
      </c>
      <c r="G60" s="2" t="s">
        <v>25</v>
      </c>
      <c r="H60" s="2" t="s">
        <v>26</v>
      </c>
      <c r="I60" s="2" t="s">
        <v>27</v>
      </c>
      <c r="J60" s="3">
        <v>8</v>
      </c>
      <c r="K60" s="2" t="s">
        <v>28</v>
      </c>
      <c r="L60" s="3">
        <v>8</v>
      </c>
      <c r="M60" s="11">
        <v>2619600</v>
      </c>
      <c r="N60" s="3">
        <v>0</v>
      </c>
      <c r="O60" s="2" t="s">
        <v>21</v>
      </c>
      <c r="P60" s="2" t="s">
        <v>29</v>
      </c>
      <c r="Q60" s="2" t="s">
        <v>22</v>
      </c>
    </row>
    <row r="61" spans="1:17" x14ac:dyDescent="0.25">
      <c r="A61" s="1">
        <v>46176</v>
      </c>
      <c r="B61" s="1">
        <v>46175</v>
      </c>
      <c r="C61" s="2" t="s">
        <v>204</v>
      </c>
      <c r="D61" s="2" t="s">
        <v>17</v>
      </c>
      <c r="E61" s="2" t="s">
        <v>205</v>
      </c>
      <c r="F61" s="2" t="s">
        <v>18</v>
      </c>
      <c r="G61" s="2" t="s">
        <v>56</v>
      </c>
      <c r="H61" s="2" t="s">
        <v>160</v>
      </c>
      <c r="I61" s="2" t="s">
        <v>161</v>
      </c>
      <c r="J61" s="3">
        <v>120</v>
      </c>
      <c r="K61" s="2" t="s">
        <v>84</v>
      </c>
      <c r="L61" s="3">
        <v>120</v>
      </c>
      <c r="M61" s="11">
        <v>5594400</v>
      </c>
      <c r="N61" s="3">
        <v>0</v>
      </c>
      <c r="O61" s="2" t="s">
        <v>21</v>
      </c>
      <c r="P61" s="2" t="s">
        <v>29</v>
      </c>
      <c r="Q61" s="2" t="s">
        <v>22</v>
      </c>
    </row>
    <row r="62" spans="1:17" x14ac:dyDescent="0.25">
      <c r="A62" s="1">
        <v>46176</v>
      </c>
      <c r="B62" s="1">
        <v>46175</v>
      </c>
      <c r="C62" s="2" t="s">
        <v>206</v>
      </c>
      <c r="D62" s="2" t="s">
        <v>17</v>
      </c>
      <c r="E62" s="2" t="s">
        <v>207</v>
      </c>
      <c r="F62" s="2" t="s">
        <v>18</v>
      </c>
      <c r="G62" s="2" t="s">
        <v>49</v>
      </c>
      <c r="H62" s="2" t="s">
        <v>104</v>
      </c>
      <c r="I62" s="2" t="s">
        <v>105</v>
      </c>
      <c r="J62" s="3">
        <v>12</v>
      </c>
      <c r="K62" s="2" t="s">
        <v>106</v>
      </c>
      <c r="L62" s="3">
        <v>12</v>
      </c>
      <c r="M62" s="11">
        <v>674400.12</v>
      </c>
      <c r="N62" s="3">
        <v>0</v>
      </c>
      <c r="O62" s="2" t="s">
        <v>21</v>
      </c>
      <c r="P62" s="2" t="s">
        <v>29</v>
      </c>
      <c r="Q62" s="2" t="s">
        <v>22</v>
      </c>
    </row>
    <row r="63" spans="1:17" x14ac:dyDescent="0.25">
      <c r="A63" s="1">
        <v>46176</v>
      </c>
      <c r="B63" s="1">
        <v>46175</v>
      </c>
      <c r="C63" s="2" t="s">
        <v>208</v>
      </c>
      <c r="D63" s="2" t="s">
        <v>17</v>
      </c>
      <c r="E63" s="2" t="s">
        <v>209</v>
      </c>
      <c r="F63" s="2" t="s">
        <v>18</v>
      </c>
      <c r="G63" s="2" t="s">
        <v>49</v>
      </c>
      <c r="H63" s="2" t="s">
        <v>104</v>
      </c>
      <c r="I63" s="2" t="s">
        <v>105</v>
      </c>
      <c r="J63" s="3">
        <v>12</v>
      </c>
      <c r="K63" s="2" t="s">
        <v>106</v>
      </c>
      <c r="L63" s="3">
        <v>12</v>
      </c>
      <c r="M63" s="11">
        <v>674400.12</v>
      </c>
      <c r="N63" s="3">
        <v>0</v>
      </c>
      <c r="O63" s="2" t="s">
        <v>21</v>
      </c>
      <c r="P63" s="2" t="s">
        <v>29</v>
      </c>
      <c r="Q63" s="2" t="s">
        <v>22</v>
      </c>
    </row>
    <row r="64" spans="1:17" x14ac:dyDescent="0.25">
      <c r="A64" s="1">
        <v>46176</v>
      </c>
      <c r="B64" s="1">
        <v>46175</v>
      </c>
      <c r="C64" s="2" t="s">
        <v>210</v>
      </c>
      <c r="D64" s="2" t="s">
        <v>17</v>
      </c>
      <c r="E64" s="2" t="s">
        <v>211</v>
      </c>
      <c r="F64" s="2" t="s">
        <v>18</v>
      </c>
      <c r="G64" s="2" t="s">
        <v>89</v>
      </c>
      <c r="H64" s="2" t="s">
        <v>26</v>
      </c>
      <c r="I64" s="2" t="s">
        <v>27</v>
      </c>
      <c r="J64" s="3">
        <v>2</v>
      </c>
      <c r="K64" s="2" t="s">
        <v>28</v>
      </c>
      <c r="L64" s="3">
        <v>2</v>
      </c>
      <c r="M64" s="11">
        <v>570000</v>
      </c>
      <c r="N64" s="3">
        <v>0</v>
      </c>
      <c r="O64" s="2" t="s">
        <v>21</v>
      </c>
      <c r="P64" s="2" t="s">
        <v>29</v>
      </c>
      <c r="Q64" s="2" t="s">
        <v>22</v>
      </c>
    </row>
    <row r="65" spans="1:17" x14ac:dyDescent="0.25">
      <c r="A65" s="1">
        <v>46176</v>
      </c>
      <c r="B65" s="1">
        <v>46175</v>
      </c>
      <c r="C65" s="2" t="s">
        <v>212</v>
      </c>
      <c r="D65" s="2" t="s">
        <v>17</v>
      </c>
      <c r="E65" s="2" t="s">
        <v>170</v>
      </c>
      <c r="F65" s="2" t="s">
        <v>32</v>
      </c>
      <c r="G65" s="2" t="s">
        <v>33</v>
      </c>
      <c r="H65" s="2" t="s">
        <v>26</v>
      </c>
      <c r="I65" s="2" t="s">
        <v>27</v>
      </c>
      <c r="J65" s="3">
        <v>2</v>
      </c>
      <c r="K65" s="2" t="s">
        <v>28</v>
      </c>
      <c r="L65" s="3">
        <v>2</v>
      </c>
      <c r="M65" s="11">
        <v>600000</v>
      </c>
      <c r="N65" s="3">
        <v>0</v>
      </c>
      <c r="O65" s="2" t="s">
        <v>21</v>
      </c>
      <c r="P65" s="2" t="s">
        <v>29</v>
      </c>
      <c r="Q65" s="2" t="s">
        <v>22</v>
      </c>
    </row>
    <row r="66" spans="1:17" x14ac:dyDescent="0.25">
      <c r="A66" s="1">
        <v>46176</v>
      </c>
      <c r="B66" s="1">
        <v>46175</v>
      </c>
      <c r="C66" s="2" t="s">
        <v>213</v>
      </c>
      <c r="D66" s="2" t="s">
        <v>17</v>
      </c>
      <c r="E66" s="2" t="s">
        <v>214</v>
      </c>
      <c r="F66" s="2" t="s">
        <v>32</v>
      </c>
      <c r="G66" s="2" t="s">
        <v>43</v>
      </c>
      <c r="H66" s="2" t="s">
        <v>82</v>
      </c>
      <c r="I66" s="2" t="s">
        <v>83</v>
      </c>
      <c r="J66" s="3">
        <v>12</v>
      </c>
      <c r="K66" s="2" t="s">
        <v>84</v>
      </c>
      <c r="L66" s="3">
        <v>12</v>
      </c>
      <c r="M66" s="11">
        <v>559440</v>
      </c>
      <c r="N66" s="3">
        <v>0</v>
      </c>
      <c r="O66" s="2" t="s">
        <v>21</v>
      </c>
      <c r="P66" s="2" t="s">
        <v>29</v>
      </c>
      <c r="Q66" s="2" t="s">
        <v>215</v>
      </c>
    </row>
    <row r="67" spans="1:17" x14ac:dyDescent="0.25">
      <c r="A67" s="1">
        <v>46176</v>
      </c>
      <c r="B67" s="1">
        <v>46175</v>
      </c>
      <c r="C67" s="2" t="s">
        <v>213</v>
      </c>
      <c r="D67" s="2" t="s">
        <v>17</v>
      </c>
      <c r="E67" s="2" t="s">
        <v>214</v>
      </c>
      <c r="F67" s="2" t="s">
        <v>32</v>
      </c>
      <c r="G67" s="2" t="s">
        <v>43</v>
      </c>
      <c r="H67" s="2" t="s">
        <v>160</v>
      </c>
      <c r="I67" s="2" t="s">
        <v>161</v>
      </c>
      <c r="J67" s="3">
        <v>24</v>
      </c>
      <c r="K67" s="2" t="s">
        <v>84</v>
      </c>
      <c r="L67" s="3">
        <v>24</v>
      </c>
      <c r="M67" s="11">
        <v>1118880</v>
      </c>
      <c r="N67" s="3">
        <v>0</v>
      </c>
      <c r="O67" s="2" t="s">
        <v>21</v>
      </c>
      <c r="P67" s="2" t="s">
        <v>29</v>
      </c>
      <c r="Q67" s="2" t="s">
        <v>215</v>
      </c>
    </row>
    <row r="68" spans="1:17" x14ac:dyDescent="0.25">
      <c r="A68" s="1">
        <v>46176</v>
      </c>
      <c r="B68" s="1">
        <v>46175</v>
      </c>
      <c r="C68" s="2" t="s">
        <v>216</v>
      </c>
      <c r="D68" s="2" t="s">
        <v>17</v>
      </c>
      <c r="E68" s="2" t="s">
        <v>217</v>
      </c>
      <c r="F68" s="2" t="s">
        <v>32</v>
      </c>
      <c r="G68" s="2" t="s">
        <v>33</v>
      </c>
      <c r="H68" s="2" t="s">
        <v>146</v>
      </c>
      <c r="I68" s="2" t="s">
        <v>147</v>
      </c>
      <c r="J68" s="3">
        <v>20</v>
      </c>
      <c r="K68" s="2" t="s">
        <v>36</v>
      </c>
      <c r="L68" s="3">
        <v>20</v>
      </c>
      <c r="M68" s="11">
        <v>319999.90000000002</v>
      </c>
      <c r="N68" s="3">
        <v>0</v>
      </c>
      <c r="O68" s="2" t="s">
        <v>21</v>
      </c>
      <c r="P68" s="2" t="s">
        <v>29</v>
      </c>
      <c r="Q68" s="2" t="s">
        <v>22</v>
      </c>
    </row>
    <row r="69" spans="1:17" x14ac:dyDescent="0.25">
      <c r="A69" s="1">
        <v>46176</v>
      </c>
      <c r="B69" s="1">
        <v>46175</v>
      </c>
      <c r="C69" s="2" t="s">
        <v>218</v>
      </c>
      <c r="D69" s="2" t="s">
        <v>17</v>
      </c>
      <c r="E69" s="2" t="s">
        <v>219</v>
      </c>
      <c r="F69" s="2" t="s">
        <v>18</v>
      </c>
      <c r="G69" s="2" t="s">
        <v>33</v>
      </c>
      <c r="H69" s="2" t="s">
        <v>26</v>
      </c>
      <c r="I69" s="2" t="s">
        <v>27</v>
      </c>
      <c r="J69" s="3">
        <v>1</v>
      </c>
      <c r="K69" s="2" t="s">
        <v>28</v>
      </c>
      <c r="L69" s="3">
        <v>1</v>
      </c>
      <c r="M69" s="11">
        <v>327450</v>
      </c>
      <c r="N69" s="3">
        <v>0</v>
      </c>
      <c r="O69" s="2" t="s">
        <v>21</v>
      </c>
      <c r="P69" s="2" t="s">
        <v>29</v>
      </c>
      <c r="Q69" s="2" t="s">
        <v>22</v>
      </c>
    </row>
    <row r="70" spans="1:17" x14ac:dyDescent="0.25">
      <c r="A70" s="1">
        <v>46176</v>
      </c>
      <c r="B70" s="1">
        <v>46175</v>
      </c>
      <c r="C70" s="2" t="s">
        <v>220</v>
      </c>
      <c r="D70" s="2" t="s">
        <v>17</v>
      </c>
      <c r="E70" s="2" t="s">
        <v>221</v>
      </c>
      <c r="F70" s="2" t="s">
        <v>32</v>
      </c>
      <c r="G70" s="2" t="s">
        <v>33</v>
      </c>
      <c r="H70" s="2" t="s">
        <v>174</v>
      </c>
      <c r="I70" s="2" t="s">
        <v>175</v>
      </c>
      <c r="J70" s="3">
        <v>1</v>
      </c>
      <c r="K70" s="2" t="s">
        <v>28</v>
      </c>
      <c r="L70" s="3">
        <v>1</v>
      </c>
      <c r="M70" s="11">
        <v>315000</v>
      </c>
      <c r="N70" s="3">
        <v>0</v>
      </c>
      <c r="O70" s="2" t="s">
        <v>21</v>
      </c>
      <c r="P70" s="2" t="s">
        <v>29</v>
      </c>
      <c r="Q70" s="2" t="s">
        <v>22</v>
      </c>
    </row>
    <row r="71" spans="1:17" x14ac:dyDescent="0.25">
      <c r="A71" s="1">
        <v>46176</v>
      </c>
      <c r="B71" s="1">
        <v>46175</v>
      </c>
      <c r="C71" s="2" t="s">
        <v>222</v>
      </c>
      <c r="D71" s="2" t="s">
        <v>17</v>
      </c>
      <c r="E71" s="2" t="s">
        <v>223</v>
      </c>
      <c r="F71" s="2" t="s">
        <v>18</v>
      </c>
      <c r="G71" s="2" t="s">
        <v>56</v>
      </c>
      <c r="H71" s="2" t="s">
        <v>68</v>
      </c>
      <c r="I71" s="2" t="s">
        <v>69</v>
      </c>
      <c r="J71" s="3">
        <v>5</v>
      </c>
      <c r="K71" s="2" t="s">
        <v>36</v>
      </c>
      <c r="L71" s="3">
        <v>5</v>
      </c>
      <c r="M71" s="11">
        <v>213675</v>
      </c>
      <c r="N71" s="3">
        <v>0</v>
      </c>
      <c r="O71" s="2" t="s">
        <v>21</v>
      </c>
      <c r="P71" s="2" t="s">
        <v>29</v>
      </c>
      <c r="Q71" s="2" t="s">
        <v>22</v>
      </c>
    </row>
    <row r="72" spans="1:17" x14ac:dyDescent="0.25">
      <c r="A72" s="1">
        <v>46176</v>
      </c>
      <c r="B72" s="1">
        <v>46175</v>
      </c>
      <c r="C72" s="2" t="s">
        <v>224</v>
      </c>
      <c r="D72" s="2" t="s">
        <v>17</v>
      </c>
      <c r="E72" s="2" t="s">
        <v>225</v>
      </c>
      <c r="F72" s="2" t="s">
        <v>32</v>
      </c>
      <c r="G72" s="2" t="s">
        <v>25</v>
      </c>
      <c r="H72" s="2" t="s">
        <v>26</v>
      </c>
      <c r="I72" s="2" t="s">
        <v>27</v>
      </c>
      <c r="J72" s="3">
        <v>5</v>
      </c>
      <c r="K72" s="2" t="s">
        <v>28</v>
      </c>
      <c r="L72" s="3">
        <v>5</v>
      </c>
      <c r="M72" s="11">
        <v>1375000</v>
      </c>
      <c r="N72" s="3">
        <v>0</v>
      </c>
      <c r="O72" s="2" t="s">
        <v>21</v>
      </c>
      <c r="P72" s="2" t="s">
        <v>29</v>
      </c>
      <c r="Q72" s="2" t="s">
        <v>22</v>
      </c>
    </row>
    <row r="73" spans="1:17" x14ac:dyDescent="0.25">
      <c r="A73" s="1">
        <v>46176</v>
      </c>
      <c r="B73" s="1">
        <v>46175</v>
      </c>
      <c r="C73" s="2" t="s">
        <v>226</v>
      </c>
      <c r="D73" s="2" t="s">
        <v>17</v>
      </c>
      <c r="E73" s="2" t="s">
        <v>227</v>
      </c>
      <c r="F73" s="2" t="s">
        <v>32</v>
      </c>
      <c r="G73" s="2" t="s">
        <v>25</v>
      </c>
      <c r="H73" s="2" t="s">
        <v>26</v>
      </c>
      <c r="I73" s="2" t="s">
        <v>27</v>
      </c>
      <c r="J73" s="3">
        <v>5</v>
      </c>
      <c r="K73" s="2" t="s">
        <v>28</v>
      </c>
      <c r="L73" s="3">
        <v>5</v>
      </c>
      <c r="M73" s="11">
        <v>1575000</v>
      </c>
      <c r="N73" s="3">
        <v>0</v>
      </c>
      <c r="O73" s="2" t="s">
        <v>21</v>
      </c>
      <c r="P73" s="2" t="s">
        <v>29</v>
      </c>
      <c r="Q73" s="2" t="s">
        <v>22</v>
      </c>
    </row>
    <row r="74" spans="1:17" x14ac:dyDescent="0.25">
      <c r="A74" s="1">
        <v>46176</v>
      </c>
      <c r="B74" s="1">
        <v>46175</v>
      </c>
      <c r="C74" s="2" t="s">
        <v>228</v>
      </c>
      <c r="D74" s="2" t="s">
        <v>17</v>
      </c>
      <c r="E74" s="2" t="s">
        <v>229</v>
      </c>
      <c r="F74" s="2" t="s">
        <v>18</v>
      </c>
      <c r="G74" s="2" t="s">
        <v>25</v>
      </c>
      <c r="H74" s="2" t="s">
        <v>111</v>
      </c>
      <c r="I74" s="2" t="s">
        <v>112</v>
      </c>
      <c r="J74" s="3">
        <v>10</v>
      </c>
      <c r="K74" s="2" t="s">
        <v>36</v>
      </c>
      <c r="L74" s="3">
        <v>10</v>
      </c>
      <c r="M74" s="11">
        <v>372960</v>
      </c>
      <c r="N74" s="3">
        <v>0</v>
      </c>
      <c r="O74" s="2" t="s">
        <v>21</v>
      </c>
      <c r="P74" s="2" t="s">
        <v>29</v>
      </c>
      <c r="Q74" s="2" t="s">
        <v>22</v>
      </c>
    </row>
    <row r="75" spans="1:17" x14ac:dyDescent="0.25">
      <c r="A75" s="1">
        <v>46176</v>
      </c>
      <c r="B75" s="1">
        <v>46175</v>
      </c>
      <c r="C75" s="2" t="s">
        <v>230</v>
      </c>
      <c r="D75" s="2" t="s">
        <v>17</v>
      </c>
      <c r="E75" s="2" t="s">
        <v>231</v>
      </c>
      <c r="F75" s="2" t="s">
        <v>32</v>
      </c>
      <c r="G75" s="2" t="s">
        <v>89</v>
      </c>
      <c r="H75" s="2" t="s">
        <v>26</v>
      </c>
      <c r="I75" s="2" t="s">
        <v>27</v>
      </c>
      <c r="J75" s="3">
        <v>3</v>
      </c>
      <c r="K75" s="2" t="s">
        <v>28</v>
      </c>
      <c r="L75" s="3">
        <v>3</v>
      </c>
      <c r="M75" s="11">
        <v>839999.99</v>
      </c>
      <c r="N75" s="3">
        <v>0</v>
      </c>
      <c r="O75" s="2" t="s">
        <v>21</v>
      </c>
      <c r="P75" s="2" t="s">
        <v>29</v>
      </c>
      <c r="Q75" s="2" t="s">
        <v>22</v>
      </c>
    </row>
    <row r="76" spans="1:17" x14ac:dyDescent="0.25">
      <c r="A76" s="1">
        <v>46176</v>
      </c>
      <c r="B76" s="1">
        <v>46175</v>
      </c>
      <c r="C76" s="2" t="s">
        <v>230</v>
      </c>
      <c r="D76" s="2" t="s">
        <v>17</v>
      </c>
      <c r="E76" s="2" t="s">
        <v>231</v>
      </c>
      <c r="F76" s="2" t="s">
        <v>32</v>
      </c>
      <c r="G76" s="2" t="s">
        <v>89</v>
      </c>
      <c r="H76" s="2" t="s">
        <v>72</v>
      </c>
      <c r="I76" s="2" t="s">
        <v>73</v>
      </c>
      <c r="J76" s="3">
        <v>20</v>
      </c>
      <c r="K76" s="2" t="s">
        <v>36</v>
      </c>
      <c r="L76" s="3">
        <v>20</v>
      </c>
      <c r="M76" s="11">
        <v>660000.01</v>
      </c>
      <c r="N76" s="3">
        <v>0</v>
      </c>
      <c r="O76" s="2" t="s">
        <v>21</v>
      </c>
      <c r="P76" s="2" t="s">
        <v>29</v>
      </c>
      <c r="Q76" s="2" t="s">
        <v>22</v>
      </c>
    </row>
    <row r="77" spans="1:17" x14ac:dyDescent="0.25">
      <c r="A77" s="1">
        <v>46176</v>
      </c>
      <c r="B77" s="1">
        <v>46175</v>
      </c>
      <c r="C77" s="2" t="s">
        <v>232</v>
      </c>
      <c r="D77" s="2" t="s">
        <v>17</v>
      </c>
      <c r="E77" s="2" t="s">
        <v>233</v>
      </c>
      <c r="F77" s="2" t="s">
        <v>18</v>
      </c>
      <c r="G77" s="2" t="s">
        <v>33</v>
      </c>
      <c r="H77" s="2" t="s">
        <v>77</v>
      </c>
      <c r="I77" s="2" t="s">
        <v>78</v>
      </c>
      <c r="J77" s="3">
        <v>1</v>
      </c>
      <c r="K77" s="2" t="s">
        <v>28</v>
      </c>
      <c r="L77" s="3">
        <v>1</v>
      </c>
      <c r="M77" s="11">
        <v>577200</v>
      </c>
      <c r="N77" s="3">
        <v>0</v>
      </c>
      <c r="O77" s="2" t="s">
        <v>21</v>
      </c>
      <c r="P77" s="2" t="s">
        <v>29</v>
      </c>
      <c r="Q77" s="2" t="s">
        <v>22</v>
      </c>
    </row>
    <row r="78" spans="1:17" x14ac:dyDescent="0.25">
      <c r="A78" s="1">
        <v>46176</v>
      </c>
      <c r="B78" s="1">
        <v>46175</v>
      </c>
      <c r="C78" s="2" t="s">
        <v>234</v>
      </c>
      <c r="D78" s="2" t="s">
        <v>17</v>
      </c>
      <c r="E78" s="2" t="s">
        <v>235</v>
      </c>
      <c r="F78" s="2" t="s">
        <v>32</v>
      </c>
      <c r="G78" s="2" t="s">
        <v>25</v>
      </c>
      <c r="H78" s="2" t="s">
        <v>26</v>
      </c>
      <c r="I78" s="2" t="s">
        <v>27</v>
      </c>
      <c r="J78" s="3">
        <v>1</v>
      </c>
      <c r="K78" s="2" t="s">
        <v>28</v>
      </c>
      <c r="L78" s="3">
        <v>1</v>
      </c>
      <c r="M78" s="11">
        <v>327450</v>
      </c>
      <c r="N78" s="3">
        <v>0</v>
      </c>
      <c r="O78" s="2" t="s">
        <v>21</v>
      </c>
      <c r="P78" s="2" t="s">
        <v>29</v>
      </c>
      <c r="Q78" s="2" t="s">
        <v>22</v>
      </c>
    </row>
    <row r="79" spans="1:17" x14ac:dyDescent="0.25">
      <c r="A79" s="1">
        <v>46176</v>
      </c>
      <c r="B79" s="1">
        <v>46175</v>
      </c>
      <c r="C79" s="2" t="s">
        <v>236</v>
      </c>
      <c r="D79" s="2" t="s">
        <v>17</v>
      </c>
      <c r="E79" s="2" t="s">
        <v>237</v>
      </c>
      <c r="F79" s="2" t="s">
        <v>18</v>
      </c>
      <c r="G79" s="2" t="s">
        <v>238</v>
      </c>
      <c r="H79" s="2" t="s">
        <v>26</v>
      </c>
      <c r="I79" s="2" t="s">
        <v>27</v>
      </c>
      <c r="J79" s="3">
        <v>6</v>
      </c>
      <c r="K79" s="2" t="s">
        <v>28</v>
      </c>
      <c r="L79" s="3">
        <v>6</v>
      </c>
      <c r="M79" s="11">
        <v>1680000</v>
      </c>
      <c r="N79" s="3">
        <v>0</v>
      </c>
      <c r="O79" s="2" t="s">
        <v>21</v>
      </c>
      <c r="P79" s="2" t="s">
        <v>29</v>
      </c>
      <c r="Q79" s="2" t="s">
        <v>22</v>
      </c>
    </row>
    <row r="80" spans="1:17" x14ac:dyDescent="0.25">
      <c r="A80" s="1">
        <v>46176</v>
      </c>
      <c r="B80" s="1">
        <v>46175</v>
      </c>
      <c r="C80" s="2" t="s">
        <v>239</v>
      </c>
      <c r="D80" s="2" t="s">
        <v>17</v>
      </c>
      <c r="E80" s="2" t="s">
        <v>240</v>
      </c>
      <c r="F80" s="2" t="s">
        <v>32</v>
      </c>
      <c r="G80" s="2" t="s">
        <v>61</v>
      </c>
      <c r="H80" s="2" t="s">
        <v>26</v>
      </c>
      <c r="I80" s="2" t="s">
        <v>27</v>
      </c>
      <c r="J80" s="3">
        <v>6</v>
      </c>
      <c r="K80" s="2" t="s">
        <v>28</v>
      </c>
      <c r="L80" s="3">
        <v>6</v>
      </c>
      <c r="M80" s="11">
        <v>1769999.99</v>
      </c>
      <c r="N80" s="3">
        <v>0</v>
      </c>
      <c r="O80" s="2" t="s">
        <v>21</v>
      </c>
      <c r="P80" s="2" t="s">
        <v>29</v>
      </c>
      <c r="Q80" s="2" t="s">
        <v>22</v>
      </c>
    </row>
    <row r="81" spans="1:17" x14ac:dyDescent="0.25">
      <c r="A81" s="1">
        <v>46176</v>
      </c>
      <c r="B81" s="1">
        <v>46175</v>
      </c>
      <c r="C81" s="2" t="s">
        <v>241</v>
      </c>
      <c r="D81" s="2" t="s">
        <v>17</v>
      </c>
      <c r="E81" s="2" t="s">
        <v>242</v>
      </c>
      <c r="F81" s="2" t="s">
        <v>32</v>
      </c>
      <c r="G81" s="2" t="s">
        <v>61</v>
      </c>
      <c r="H81" s="2" t="s">
        <v>26</v>
      </c>
      <c r="I81" s="2" t="s">
        <v>27</v>
      </c>
      <c r="J81" s="3">
        <v>6</v>
      </c>
      <c r="K81" s="2" t="s">
        <v>28</v>
      </c>
      <c r="L81" s="3">
        <v>6</v>
      </c>
      <c r="M81" s="11">
        <v>1680000</v>
      </c>
      <c r="N81" s="3">
        <v>0</v>
      </c>
      <c r="O81" s="2" t="s">
        <v>21</v>
      </c>
      <c r="P81" s="2" t="s">
        <v>29</v>
      </c>
      <c r="Q81" s="2" t="s">
        <v>243</v>
      </c>
    </row>
    <row r="82" spans="1:17" x14ac:dyDescent="0.25">
      <c r="A82" s="1">
        <v>46176</v>
      </c>
      <c r="B82" s="1">
        <v>46175</v>
      </c>
      <c r="C82" s="2" t="s">
        <v>244</v>
      </c>
      <c r="D82" s="2" t="s">
        <v>17</v>
      </c>
      <c r="E82" s="2" t="s">
        <v>245</v>
      </c>
      <c r="F82" s="2" t="s">
        <v>32</v>
      </c>
      <c r="G82" s="2" t="s">
        <v>49</v>
      </c>
      <c r="H82" s="2" t="s">
        <v>26</v>
      </c>
      <c r="I82" s="2" t="s">
        <v>27</v>
      </c>
      <c r="J82" s="3">
        <v>5</v>
      </c>
      <c r="K82" s="2" t="s">
        <v>28</v>
      </c>
      <c r="L82" s="3">
        <v>5</v>
      </c>
      <c r="M82" s="11">
        <v>1637250</v>
      </c>
      <c r="N82" s="3">
        <v>0</v>
      </c>
      <c r="O82" s="2" t="s">
        <v>21</v>
      </c>
      <c r="P82" s="2" t="s">
        <v>29</v>
      </c>
      <c r="Q82" s="2" t="s">
        <v>22</v>
      </c>
    </row>
    <row r="83" spans="1:17" x14ac:dyDescent="0.25">
      <c r="A83" s="1">
        <v>46176</v>
      </c>
      <c r="B83" s="1">
        <v>46175</v>
      </c>
      <c r="C83" s="2" t="s">
        <v>244</v>
      </c>
      <c r="D83" s="2" t="s">
        <v>17</v>
      </c>
      <c r="E83" s="2" t="s">
        <v>245</v>
      </c>
      <c r="F83" s="2" t="s">
        <v>32</v>
      </c>
      <c r="G83" s="2" t="s">
        <v>49</v>
      </c>
      <c r="H83" s="2" t="s">
        <v>50</v>
      </c>
      <c r="I83" s="2" t="s">
        <v>51</v>
      </c>
      <c r="J83" s="3">
        <v>6</v>
      </c>
      <c r="K83" s="2" t="s">
        <v>28</v>
      </c>
      <c r="L83" s="3">
        <v>6</v>
      </c>
      <c r="M83" s="11">
        <v>2131200</v>
      </c>
      <c r="N83" s="3">
        <v>0</v>
      </c>
      <c r="O83" s="2" t="s">
        <v>21</v>
      </c>
      <c r="P83" s="2" t="s">
        <v>29</v>
      </c>
      <c r="Q83" s="2" t="s">
        <v>22</v>
      </c>
    </row>
    <row r="84" spans="1:17" x14ac:dyDescent="0.25">
      <c r="A84" s="1">
        <v>46176</v>
      </c>
      <c r="B84" s="1">
        <v>46175</v>
      </c>
      <c r="C84" s="2" t="s">
        <v>244</v>
      </c>
      <c r="D84" s="2" t="s">
        <v>17</v>
      </c>
      <c r="E84" s="2" t="s">
        <v>245</v>
      </c>
      <c r="F84" s="2" t="s">
        <v>32</v>
      </c>
      <c r="G84" s="2" t="s">
        <v>49</v>
      </c>
      <c r="H84" s="2" t="s">
        <v>174</v>
      </c>
      <c r="I84" s="2" t="s">
        <v>175</v>
      </c>
      <c r="J84" s="3">
        <v>3</v>
      </c>
      <c r="K84" s="2" t="s">
        <v>28</v>
      </c>
      <c r="L84" s="3">
        <v>3</v>
      </c>
      <c r="M84" s="11">
        <v>949050</v>
      </c>
      <c r="N84" s="3">
        <v>0</v>
      </c>
      <c r="O84" s="2" t="s">
        <v>21</v>
      </c>
      <c r="P84" s="2" t="s">
        <v>29</v>
      </c>
      <c r="Q84" s="2" t="s">
        <v>22</v>
      </c>
    </row>
    <row r="85" spans="1:17" x14ac:dyDescent="0.25">
      <c r="A85" s="1">
        <v>46176</v>
      </c>
      <c r="B85" s="1">
        <v>46175</v>
      </c>
      <c r="C85" s="2" t="s">
        <v>246</v>
      </c>
      <c r="D85" s="2" t="s">
        <v>17</v>
      </c>
      <c r="E85" s="2" t="s">
        <v>247</v>
      </c>
      <c r="F85" s="2" t="s">
        <v>32</v>
      </c>
      <c r="G85" s="2" t="s">
        <v>40</v>
      </c>
      <c r="H85" s="2" t="s">
        <v>77</v>
      </c>
      <c r="I85" s="2" t="s">
        <v>78</v>
      </c>
      <c r="J85" s="3">
        <v>1</v>
      </c>
      <c r="K85" s="2" t="s">
        <v>28</v>
      </c>
      <c r="L85" s="3">
        <v>1</v>
      </c>
      <c r="M85" s="11">
        <v>560000</v>
      </c>
      <c r="N85" s="3">
        <v>0</v>
      </c>
      <c r="O85" s="2" t="s">
        <v>21</v>
      </c>
      <c r="P85" s="2" t="s">
        <v>29</v>
      </c>
      <c r="Q85" s="2" t="s">
        <v>22</v>
      </c>
    </row>
    <row r="86" spans="1:17" x14ac:dyDescent="0.25">
      <c r="A86" s="1">
        <v>46176</v>
      </c>
      <c r="B86" s="1">
        <v>46175</v>
      </c>
      <c r="C86" s="2" t="s">
        <v>248</v>
      </c>
      <c r="D86" s="2" t="s">
        <v>17</v>
      </c>
      <c r="E86" s="2" t="s">
        <v>249</v>
      </c>
      <c r="F86" s="2" t="s">
        <v>32</v>
      </c>
      <c r="G86" s="2" t="s">
        <v>40</v>
      </c>
      <c r="H86" s="2" t="s">
        <v>26</v>
      </c>
      <c r="I86" s="2" t="s">
        <v>27</v>
      </c>
      <c r="J86" s="3">
        <v>1</v>
      </c>
      <c r="K86" s="2" t="s">
        <v>28</v>
      </c>
      <c r="L86" s="3">
        <v>1</v>
      </c>
      <c r="M86" s="11">
        <v>280000</v>
      </c>
      <c r="N86" s="3">
        <v>0</v>
      </c>
      <c r="O86" s="2" t="s">
        <v>21</v>
      </c>
      <c r="P86" s="2" t="s">
        <v>29</v>
      </c>
      <c r="Q86" s="2" t="s">
        <v>22</v>
      </c>
    </row>
    <row r="87" spans="1:17" x14ac:dyDescent="0.25">
      <c r="A87" s="1">
        <v>46176</v>
      </c>
      <c r="B87" s="1">
        <v>46175</v>
      </c>
      <c r="C87" s="2" t="s">
        <v>250</v>
      </c>
      <c r="D87" s="2" t="s">
        <v>17</v>
      </c>
      <c r="E87" s="2" t="s">
        <v>251</v>
      </c>
      <c r="F87" s="2" t="s">
        <v>32</v>
      </c>
      <c r="G87" s="2" t="s">
        <v>43</v>
      </c>
      <c r="H87" s="2" t="s">
        <v>252</v>
      </c>
      <c r="I87" s="2" t="s">
        <v>253</v>
      </c>
      <c r="J87" s="3">
        <v>3</v>
      </c>
      <c r="K87" s="2" t="s">
        <v>28</v>
      </c>
      <c r="L87" s="3">
        <v>3</v>
      </c>
      <c r="M87" s="11">
        <v>690000.01</v>
      </c>
      <c r="N87" s="3">
        <v>0</v>
      </c>
      <c r="O87" s="2" t="s">
        <v>21</v>
      </c>
      <c r="P87" s="2" t="s">
        <v>29</v>
      </c>
      <c r="Q87" s="2" t="s">
        <v>22</v>
      </c>
    </row>
    <row r="88" spans="1:17" x14ac:dyDescent="0.25">
      <c r="A88" s="1">
        <v>46176</v>
      </c>
      <c r="B88" s="1">
        <v>46175</v>
      </c>
      <c r="C88" s="2" t="s">
        <v>250</v>
      </c>
      <c r="D88" s="2" t="s">
        <v>17</v>
      </c>
      <c r="E88" s="2" t="s">
        <v>251</v>
      </c>
      <c r="F88" s="2" t="s">
        <v>32</v>
      </c>
      <c r="G88" s="2" t="s">
        <v>43</v>
      </c>
      <c r="H88" s="2" t="s">
        <v>26</v>
      </c>
      <c r="I88" s="2" t="s">
        <v>27</v>
      </c>
      <c r="J88" s="3">
        <v>3</v>
      </c>
      <c r="K88" s="2" t="s">
        <v>28</v>
      </c>
      <c r="L88" s="3">
        <v>3</v>
      </c>
      <c r="M88" s="11">
        <v>982350</v>
      </c>
      <c r="N88" s="3">
        <v>0</v>
      </c>
      <c r="O88" s="2" t="s">
        <v>21</v>
      </c>
      <c r="P88" s="2" t="s">
        <v>29</v>
      </c>
      <c r="Q88" s="2" t="s">
        <v>22</v>
      </c>
    </row>
    <row r="89" spans="1:17" x14ac:dyDescent="0.25">
      <c r="A89" s="1">
        <v>46176</v>
      </c>
      <c r="B89" s="1">
        <v>46175</v>
      </c>
      <c r="C89" s="2" t="s">
        <v>254</v>
      </c>
      <c r="D89" s="2" t="s">
        <v>17</v>
      </c>
      <c r="E89" s="2" t="s">
        <v>255</v>
      </c>
      <c r="F89" s="2" t="s">
        <v>32</v>
      </c>
      <c r="G89" s="2" t="s">
        <v>61</v>
      </c>
      <c r="H89" s="2" t="s">
        <v>50</v>
      </c>
      <c r="I89" s="2" t="s">
        <v>51</v>
      </c>
      <c r="J89" s="3">
        <v>2</v>
      </c>
      <c r="K89" s="2" t="s">
        <v>28</v>
      </c>
      <c r="L89" s="3">
        <v>2</v>
      </c>
      <c r="M89" s="11">
        <v>570000</v>
      </c>
      <c r="N89" s="3">
        <v>0</v>
      </c>
      <c r="O89" s="2" t="s">
        <v>21</v>
      </c>
      <c r="P89" s="2" t="s">
        <v>29</v>
      </c>
      <c r="Q89" s="2" t="s">
        <v>22</v>
      </c>
    </row>
    <row r="90" spans="1:17" x14ac:dyDescent="0.25">
      <c r="A90" s="1">
        <v>46176</v>
      </c>
      <c r="B90" s="1">
        <v>46175</v>
      </c>
      <c r="C90" s="2" t="s">
        <v>256</v>
      </c>
      <c r="D90" s="2" t="s">
        <v>17</v>
      </c>
      <c r="E90" s="2" t="s">
        <v>257</v>
      </c>
      <c r="F90" s="2" t="s">
        <v>18</v>
      </c>
      <c r="G90" s="2" t="s">
        <v>156</v>
      </c>
      <c r="H90" s="2" t="s">
        <v>119</v>
      </c>
      <c r="I90" s="2" t="s">
        <v>120</v>
      </c>
      <c r="J90" s="3">
        <v>100</v>
      </c>
      <c r="K90" s="2" t="s">
        <v>36</v>
      </c>
      <c r="L90" s="3">
        <v>100</v>
      </c>
      <c r="M90" s="11">
        <v>1599999.51</v>
      </c>
      <c r="N90" s="3">
        <v>0</v>
      </c>
      <c r="O90" s="2" t="s">
        <v>21</v>
      </c>
      <c r="P90" s="2" t="s">
        <v>29</v>
      </c>
      <c r="Q90" s="2" t="s">
        <v>258</v>
      </c>
    </row>
    <row r="91" spans="1:17" x14ac:dyDescent="0.25">
      <c r="A91" s="1">
        <v>46176</v>
      </c>
      <c r="B91" s="1">
        <v>46175</v>
      </c>
      <c r="C91" s="2" t="s">
        <v>259</v>
      </c>
      <c r="D91" s="2" t="s">
        <v>17</v>
      </c>
      <c r="E91" s="2" t="s">
        <v>260</v>
      </c>
      <c r="F91" s="2" t="s">
        <v>18</v>
      </c>
      <c r="G91" s="2" t="s">
        <v>61</v>
      </c>
      <c r="H91" s="2" t="s">
        <v>26</v>
      </c>
      <c r="I91" s="2" t="s">
        <v>27</v>
      </c>
      <c r="J91" s="3">
        <v>1</v>
      </c>
      <c r="K91" s="2" t="s">
        <v>28</v>
      </c>
      <c r="L91" s="3">
        <v>1</v>
      </c>
      <c r="M91" s="11">
        <v>320000</v>
      </c>
      <c r="N91" s="3">
        <v>0</v>
      </c>
      <c r="O91" s="2" t="s">
        <v>21</v>
      </c>
      <c r="P91" s="2" t="s">
        <v>29</v>
      </c>
      <c r="Q91" s="2" t="s">
        <v>22</v>
      </c>
    </row>
    <row r="92" spans="1:17" x14ac:dyDescent="0.25">
      <c r="A92" s="1">
        <v>46176</v>
      </c>
      <c r="B92" s="1">
        <v>46175</v>
      </c>
      <c r="C92" s="2" t="s">
        <v>261</v>
      </c>
      <c r="D92" s="2" t="s">
        <v>17</v>
      </c>
      <c r="E92" s="2" t="s">
        <v>262</v>
      </c>
      <c r="F92" s="2" t="s">
        <v>32</v>
      </c>
      <c r="G92" s="2" t="s">
        <v>61</v>
      </c>
      <c r="H92" s="2" t="s">
        <v>26</v>
      </c>
      <c r="I92" s="2" t="s">
        <v>27</v>
      </c>
      <c r="J92" s="3">
        <v>1</v>
      </c>
      <c r="K92" s="2" t="s">
        <v>28</v>
      </c>
      <c r="L92" s="3">
        <v>1</v>
      </c>
      <c r="M92" s="11">
        <v>300000</v>
      </c>
      <c r="N92" s="3">
        <v>0</v>
      </c>
      <c r="O92" s="2" t="s">
        <v>21</v>
      </c>
      <c r="P92" s="2" t="s">
        <v>29</v>
      </c>
      <c r="Q92" s="2" t="s">
        <v>22</v>
      </c>
    </row>
    <row r="93" spans="1:17" x14ac:dyDescent="0.25">
      <c r="A93" s="1">
        <v>46176</v>
      </c>
      <c r="B93" s="1">
        <v>46175</v>
      </c>
      <c r="C93" s="2" t="s">
        <v>263</v>
      </c>
      <c r="D93" s="2" t="s">
        <v>17</v>
      </c>
      <c r="E93" s="2" t="s">
        <v>264</v>
      </c>
      <c r="F93" s="2" t="s">
        <v>32</v>
      </c>
      <c r="G93" s="2" t="s">
        <v>61</v>
      </c>
      <c r="H93" s="2" t="s">
        <v>26</v>
      </c>
      <c r="I93" s="2" t="s">
        <v>27</v>
      </c>
      <c r="J93" s="3">
        <v>2</v>
      </c>
      <c r="K93" s="2" t="s">
        <v>28</v>
      </c>
      <c r="L93" s="3">
        <v>2</v>
      </c>
      <c r="M93" s="11">
        <v>649999.99</v>
      </c>
      <c r="N93" s="3">
        <v>0</v>
      </c>
      <c r="O93" s="2" t="s">
        <v>21</v>
      </c>
      <c r="P93" s="2" t="s">
        <v>29</v>
      </c>
      <c r="Q93" s="2" t="s">
        <v>22</v>
      </c>
    </row>
    <row r="94" spans="1:17" x14ac:dyDescent="0.25">
      <c r="A94" s="1">
        <v>46176</v>
      </c>
      <c r="B94" s="1">
        <v>46175</v>
      </c>
      <c r="C94" s="2" t="s">
        <v>265</v>
      </c>
      <c r="D94" s="2" t="s">
        <v>17</v>
      </c>
      <c r="E94" s="2" t="s">
        <v>266</v>
      </c>
      <c r="F94" s="2" t="s">
        <v>18</v>
      </c>
      <c r="G94" s="2" t="s">
        <v>156</v>
      </c>
      <c r="H94" s="2" t="s">
        <v>34</v>
      </c>
      <c r="I94" s="2" t="s">
        <v>35</v>
      </c>
      <c r="J94" s="3">
        <v>4</v>
      </c>
      <c r="K94" s="2" t="s">
        <v>36</v>
      </c>
      <c r="L94" s="3">
        <v>3.98</v>
      </c>
      <c r="M94" s="11">
        <v>597000.02</v>
      </c>
      <c r="N94" s="3">
        <v>-0.02</v>
      </c>
      <c r="O94" s="2" t="s">
        <v>21</v>
      </c>
      <c r="P94" s="2" t="s">
        <v>29</v>
      </c>
      <c r="Q94" s="2" t="s">
        <v>267</v>
      </c>
    </row>
    <row r="95" spans="1:17" x14ac:dyDescent="0.25">
      <c r="A95" s="1">
        <v>46176</v>
      </c>
      <c r="B95" s="1">
        <v>46175</v>
      </c>
      <c r="C95" s="2" t="s">
        <v>268</v>
      </c>
      <c r="D95" s="2" t="s">
        <v>17</v>
      </c>
      <c r="E95" s="2" t="s">
        <v>269</v>
      </c>
      <c r="F95" s="2" t="s">
        <v>32</v>
      </c>
      <c r="G95" s="2" t="s">
        <v>61</v>
      </c>
      <c r="H95" s="2" t="s">
        <v>99</v>
      </c>
      <c r="I95" s="2" t="s">
        <v>100</v>
      </c>
      <c r="J95" s="3">
        <v>10</v>
      </c>
      <c r="K95" s="2" t="s">
        <v>36</v>
      </c>
      <c r="L95" s="3">
        <v>10</v>
      </c>
      <c r="M95" s="11">
        <v>1000000</v>
      </c>
      <c r="N95" s="3">
        <v>0</v>
      </c>
      <c r="O95" s="2" t="s">
        <v>21</v>
      </c>
      <c r="P95" s="2" t="s">
        <v>29</v>
      </c>
      <c r="Q95" s="2" t="s">
        <v>270</v>
      </c>
    </row>
    <row r="96" spans="1:17" x14ac:dyDescent="0.25">
      <c r="A96" s="1">
        <v>46176</v>
      </c>
      <c r="B96" s="1">
        <v>46175</v>
      </c>
      <c r="C96" s="2" t="s">
        <v>271</v>
      </c>
      <c r="D96" s="2" t="s">
        <v>17</v>
      </c>
      <c r="E96" s="2" t="s">
        <v>272</v>
      </c>
      <c r="F96" s="2" t="s">
        <v>18</v>
      </c>
      <c r="G96" s="2" t="s">
        <v>238</v>
      </c>
      <c r="H96" s="2" t="s">
        <v>148</v>
      </c>
      <c r="I96" s="2" t="s">
        <v>149</v>
      </c>
      <c r="J96" s="3">
        <v>10</v>
      </c>
      <c r="K96" s="2" t="s">
        <v>36</v>
      </c>
      <c r="L96" s="3">
        <v>10</v>
      </c>
      <c r="M96" s="11">
        <v>154999.96</v>
      </c>
      <c r="N96" s="3">
        <v>0</v>
      </c>
      <c r="O96" s="2" t="s">
        <v>21</v>
      </c>
      <c r="P96" s="2" t="s">
        <v>29</v>
      </c>
      <c r="Q96" s="2" t="s">
        <v>22</v>
      </c>
    </row>
    <row r="97" spans="1:17" x14ac:dyDescent="0.25">
      <c r="A97" s="1">
        <v>46176</v>
      </c>
      <c r="B97" s="1">
        <v>46175</v>
      </c>
      <c r="C97" s="2" t="s">
        <v>271</v>
      </c>
      <c r="D97" s="2" t="s">
        <v>17</v>
      </c>
      <c r="E97" s="2" t="s">
        <v>272</v>
      </c>
      <c r="F97" s="2" t="s">
        <v>18</v>
      </c>
      <c r="G97" s="2" t="s">
        <v>238</v>
      </c>
      <c r="H97" s="2" t="s">
        <v>119</v>
      </c>
      <c r="I97" s="2" t="s">
        <v>120</v>
      </c>
      <c r="J97" s="3">
        <v>10</v>
      </c>
      <c r="K97" s="2" t="s">
        <v>36</v>
      </c>
      <c r="L97" s="3">
        <v>10</v>
      </c>
      <c r="M97" s="11">
        <v>159999.95000000001</v>
      </c>
      <c r="N97" s="3">
        <v>0</v>
      </c>
      <c r="O97" s="2" t="s">
        <v>21</v>
      </c>
      <c r="P97" s="2" t="s">
        <v>29</v>
      </c>
      <c r="Q97" s="2" t="s">
        <v>22</v>
      </c>
    </row>
    <row r="98" spans="1:17" x14ac:dyDescent="0.25">
      <c r="A98" s="1">
        <v>46176</v>
      </c>
      <c r="B98" s="1">
        <v>46175</v>
      </c>
      <c r="C98" s="2" t="s">
        <v>271</v>
      </c>
      <c r="D98" s="2" t="s">
        <v>17</v>
      </c>
      <c r="E98" s="2" t="s">
        <v>272</v>
      </c>
      <c r="F98" s="2" t="s">
        <v>18</v>
      </c>
      <c r="G98" s="2" t="s">
        <v>238</v>
      </c>
      <c r="H98" s="2" t="s">
        <v>146</v>
      </c>
      <c r="I98" s="2" t="s">
        <v>147</v>
      </c>
      <c r="J98" s="3">
        <v>10</v>
      </c>
      <c r="K98" s="2" t="s">
        <v>36</v>
      </c>
      <c r="L98" s="3">
        <v>10</v>
      </c>
      <c r="M98" s="11">
        <v>172050</v>
      </c>
      <c r="N98" s="3">
        <v>0</v>
      </c>
      <c r="O98" s="2" t="s">
        <v>21</v>
      </c>
      <c r="P98" s="2" t="s">
        <v>29</v>
      </c>
      <c r="Q98" s="2" t="s">
        <v>22</v>
      </c>
    </row>
    <row r="99" spans="1:17" x14ac:dyDescent="0.25">
      <c r="A99" s="1">
        <v>46176</v>
      </c>
      <c r="B99" s="1">
        <v>46175</v>
      </c>
      <c r="C99" s="2" t="s">
        <v>273</v>
      </c>
      <c r="D99" s="2" t="s">
        <v>17</v>
      </c>
      <c r="E99" s="2" t="s">
        <v>274</v>
      </c>
      <c r="F99" s="2" t="s">
        <v>32</v>
      </c>
      <c r="G99" s="2" t="s">
        <v>56</v>
      </c>
      <c r="H99" s="2" t="s">
        <v>26</v>
      </c>
      <c r="I99" s="2" t="s">
        <v>27</v>
      </c>
      <c r="J99" s="3">
        <v>3</v>
      </c>
      <c r="K99" s="2" t="s">
        <v>28</v>
      </c>
      <c r="L99" s="3">
        <v>3</v>
      </c>
      <c r="M99" s="11">
        <v>825000</v>
      </c>
      <c r="N99" s="3">
        <v>0</v>
      </c>
      <c r="O99" s="2" t="s">
        <v>21</v>
      </c>
      <c r="P99" s="2" t="s">
        <v>29</v>
      </c>
      <c r="Q99" s="2" t="s">
        <v>22</v>
      </c>
    </row>
    <row r="100" spans="1:17" x14ac:dyDescent="0.25">
      <c r="A100" s="1">
        <v>46176</v>
      </c>
      <c r="B100" s="1">
        <v>46175</v>
      </c>
      <c r="C100" s="2" t="s">
        <v>275</v>
      </c>
      <c r="D100" s="2" t="s">
        <v>17</v>
      </c>
      <c r="E100" s="2" t="s">
        <v>276</v>
      </c>
      <c r="F100" s="2" t="s">
        <v>18</v>
      </c>
      <c r="G100" s="2" t="s">
        <v>56</v>
      </c>
      <c r="H100" s="2" t="s">
        <v>57</v>
      </c>
      <c r="I100" s="2" t="s">
        <v>58</v>
      </c>
      <c r="J100" s="3">
        <v>8</v>
      </c>
      <c r="K100" s="2" t="s">
        <v>28</v>
      </c>
      <c r="L100" s="3">
        <v>8</v>
      </c>
      <c r="M100" s="11">
        <v>2681760</v>
      </c>
      <c r="N100" s="3">
        <v>0</v>
      </c>
      <c r="O100" s="2" t="s">
        <v>21</v>
      </c>
      <c r="P100" s="2" t="s">
        <v>29</v>
      </c>
      <c r="Q100" s="2" t="s">
        <v>277</v>
      </c>
    </row>
    <row r="101" spans="1:17" x14ac:dyDescent="0.25">
      <c r="A101" s="1">
        <v>46176</v>
      </c>
      <c r="B101" s="1">
        <v>46175</v>
      </c>
      <c r="C101" s="2" t="s">
        <v>278</v>
      </c>
      <c r="D101" s="2" t="s">
        <v>17</v>
      </c>
      <c r="E101" s="2" t="s">
        <v>205</v>
      </c>
      <c r="F101" s="2" t="s">
        <v>18</v>
      </c>
      <c r="G101" s="2" t="s">
        <v>56</v>
      </c>
      <c r="H101" s="2" t="s">
        <v>279</v>
      </c>
      <c r="I101" s="2" t="s">
        <v>280</v>
      </c>
      <c r="J101" s="3">
        <v>72</v>
      </c>
      <c r="K101" s="2" t="s">
        <v>20</v>
      </c>
      <c r="L101" s="3">
        <v>12</v>
      </c>
      <c r="M101" s="11">
        <v>559440</v>
      </c>
      <c r="N101" s="3">
        <v>-60</v>
      </c>
      <c r="O101" s="2" t="s">
        <v>21</v>
      </c>
      <c r="P101" s="2" t="s">
        <v>29</v>
      </c>
      <c r="Q101" s="2" t="s">
        <v>281</v>
      </c>
    </row>
    <row r="102" spans="1:17" x14ac:dyDescent="0.25">
      <c r="A102" s="1">
        <v>46176</v>
      </c>
      <c r="B102" s="1">
        <v>46175</v>
      </c>
      <c r="C102" s="2" t="s">
        <v>282</v>
      </c>
      <c r="D102" s="2" t="s">
        <v>17</v>
      </c>
      <c r="E102" s="2" t="s">
        <v>283</v>
      </c>
      <c r="F102" s="2" t="s">
        <v>18</v>
      </c>
      <c r="G102" s="2" t="s">
        <v>56</v>
      </c>
      <c r="H102" s="2" t="s">
        <v>284</v>
      </c>
      <c r="I102" s="2" t="s">
        <v>285</v>
      </c>
      <c r="J102" s="3">
        <v>10</v>
      </c>
      <c r="K102" s="2" t="s">
        <v>36</v>
      </c>
      <c r="L102" s="3">
        <v>10</v>
      </c>
      <c r="M102" s="11">
        <v>144999.97</v>
      </c>
      <c r="N102" s="3">
        <v>0</v>
      </c>
      <c r="O102" s="2" t="s">
        <v>21</v>
      </c>
      <c r="P102" s="2" t="s">
        <v>29</v>
      </c>
      <c r="Q102" s="2" t="s">
        <v>286</v>
      </c>
    </row>
    <row r="103" spans="1:17" x14ac:dyDescent="0.25">
      <c r="A103" s="1">
        <v>46176</v>
      </c>
      <c r="B103" s="1">
        <v>46175</v>
      </c>
      <c r="C103" s="2" t="s">
        <v>287</v>
      </c>
      <c r="D103" s="2" t="s">
        <v>17</v>
      </c>
      <c r="E103" s="2" t="s">
        <v>288</v>
      </c>
      <c r="F103" s="2" t="s">
        <v>32</v>
      </c>
      <c r="G103" s="2" t="s">
        <v>49</v>
      </c>
      <c r="H103" s="2" t="s">
        <v>57</v>
      </c>
      <c r="I103" s="2" t="s">
        <v>58</v>
      </c>
      <c r="J103" s="3">
        <v>10</v>
      </c>
      <c r="K103" s="2" t="s">
        <v>28</v>
      </c>
      <c r="L103" s="3">
        <v>10</v>
      </c>
      <c r="M103" s="11">
        <v>2879999.99</v>
      </c>
      <c r="N103" s="3">
        <v>0</v>
      </c>
      <c r="O103" s="2" t="s">
        <v>21</v>
      </c>
      <c r="P103" s="2" t="s">
        <v>29</v>
      </c>
      <c r="Q103" s="2" t="s">
        <v>22</v>
      </c>
    </row>
    <row r="104" spans="1:17" x14ac:dyDescent="0.25">
      <c r="A104" s="1">
        <v>46176</v>
      </c>
      <c r="B104" s="1">
        <v>46175</v>
      </c>
      <c r="C104" s="2" t="s">
        <v>289</v>
      </c>
      <c r="D104" s="2" t="s">
        <v>17</v>
      </c>
      <c r="E104" s="2" t="s">
        <v>290</v>
      </c>
      <c r="F104" s="2" t="s">
        <v>18</v>
      </c>
      <c r="G104" s="2" t="s">
        <v>56</v>
      </c>
      <c r="H104" s="2" t="s">
        <v>109</v>
      </c>
      <c r="I104" s="2" t="s">
        <v>110</v>
      </c>
      <c r="J104" s="3">
        <v>2</v>
      </c>
      <c r="K104" s="2" t="s">
        <v>36</v>
      </c>
      <c r="L104" s="3">
        <v>2</v>
      </c>
      <c r="M104" s="11">
        <v>65490</v>
      </c>
      <c r="N104" s="3">
        <v>0</v>
      </c>
      <c r="O104" s="2" t="s">
        <v>21</v>
      </c>
      <c r="P104" s="2" t="s">
        <v>29</v>
      </c>
      <c r="Q104" s="2" t="s">
        <v>22</v>
      </c>
    </row>
    <row r="105" spans="1:17" x14ac:dyDescent="0.25">
      <c r="A105" s="1">
        <v>46176</v>
      </c>
      <c r="B105" s="1">
        <v>46175</v>
      </c>
      <c r="C105" s="2" t="s">
        <v>291</v>
      </c>
      <c r="D105" s="2" t="s">
        <v>17</v>
      </c>
      <c r="E105" s="2" t="s">
        <v>292</v>
      </c>
      <c r="F105" s="2" t="s">
        <v>18</v>
      </c>
      <c r="G105" s="2" t="s">
        <v>89</v>
      </c>
      <c r="H105" s="2" t="s">
        <v>293</v>
      </c>
      <c r="I105" s="2" t="s">
        <v>294</v>
      </c>
      <c r="J105" s="3">
        <v>2</v>
      </c>
      <c r="K105" s="2" t="s">
        <v>28</v>
      </c>
      <c r="L105" s="3">
        <v>2</v>
      </c>
      <c r="M105" s="11">
        <v>470000.02</v>
      </c>
      <c r="N105" s="3">
        <v>0</v>
      </c>
      <c r="O105" s="2" t="s">
        <v>21</v>
      </c>
      <c r="P105" s="2" t="s">
        <v>29</v>
      </c>
      <c r="Q105" s="2" t="s">
        <v>22</v>
      </c>
    </row>
    <row r="106" spans="1:17" x14ac:dyDescent="0.25">
      <c r="A106" s="1">
        <v>46176</v>
      </c>
      <c r="B106" s="1">
        <v>46175</v>
      </c>
      <c r="C106" s="2" t="s">
        <v>295</v>
      </c>
      <c r="D106" s="2" t="s">
        <v>17</v>
      </c>
      <c r="E106" s="2" t="s">
        <v>296</v>
      </c>
      <c r="F106" s="2" t="s">
        <v>32</v>
      </c>
      <c r="G106" s="2" t="s">
        <v>56</v>
      </c>
      <c r="H106" s="2" t="s">
        <v>57</v>
      </c>
      <c r="I106" s="2" t="s">
        <v>58</v>
      </c>
      <c r="J106" s="3">
        <v>6</v>
      </c>
      <c r="K106" s="2" t="s">
        <v>28</v>
      </c>
      <c r="L106" s="3">
        <v>6</v>
      </c>
      <c r="M106" s="11">
        <v>1710000.02</v>
      </c>
      <c r="N106" s="3">
        <v>0</v>
      </c>
      <c r="O106" s="2" t="s">
        <v>21</v>
      </c>
      <c r="P106" s="2" t="s">
        <v>29</v>
      </c>
      <c r="Q106" s="2" t="s">
        <v>22</v>
      </c>
    </row>
    <row r="107" spans="1:17" x14ac:dyDescent="0.25">
      <c r="A107" s="1">
        <v>46176</v>
      </c>
      <c r="B107" s="1">
        <v>46175</v>
      </c>
      <c r="C107" s="2" t="s">
        <v>297</v>
      </c>
      <c r="D107" s="2" t="s">
        <v>17</v>
      </c>
      <c r="E107" s="2" t="s">
        <v>298</v>
      </c>
      <c r="F107" s="2" t="s">
        <v>32</v>
      </c>
      <c r="G107" s="2" t="s">
        <v>40</v>
      </c>
      <c r="H107" s="2" t="s">
        <v>50</v>
      </c>
      <c r="I107" s="2" t="s">
        <v>51</v>
      </c>
      <c r="J107" s="3">
        <v>7</v>
      </c>
      <c r="K107" s="2" t="s">
        <v>28</v>
      </c>
      <c r="L107" s="3">
        <v>7</v>
      </c>
      <c r="M107" s="11">
        <v>2486400</v>
      </c>
      <c r="N107" s="3">
        <v>0</v>
      </c>
      <c r="O107" s="2" t="s">
        <v>21</v>
      </c>
      <c r="P107" s="2" t="s">
        <v>29</v>
      </c>
      <c r="Q107" s="2" t="s">
        <v>22</v>
      </c>
    </row>
    <row r="108" spans="1:17" x14ac:dyDescent="0.25">
      <c r="A108" s="1">
        <v>46176</v>
      </c>
      <c r="B108" s="1">
        <v>46175</v>
      </c>
      <c r="C108" s="2" t="s">
        <v>299</v>
      </c>
      <c r="D108" s="2" t="s">
        <v>17</v>
      </c>
      <c r="E108" s="2" t="s">
        <v>300</v>
      </c>
      <c r="F108" s="2" t="s">
        <v>18</v>
      </c>
      <c r="G108" s="2" t="s">
        <v>56</v>
      </c>
      <c r="H108" s="2" t="s">
        <v>26</v>
      </c>
      <c r="I108" s="2" t="s">
        <v>27</v>
      </c>
      <c r="J108" s="3">
        <v>6</v>
      </c>
      <c r="K108" s="2" t="s">
        <v>28</v>
      </c>
      <c r="L108" s="3">
        <v>6</v>
      </c>
      <c r="M108" s="11">
        <v>1964700</v>
      </c>
      <c r="N108" s="3">
        <v>0</v>
      </c>
      <c r="O108" s="2" t="s">
        <v>21</v>
      </c>
      <c r="P108" s="2" t="s">
        <v>29</v>
      </c>
      <c r="Q108" s="2" t="s">
        <v>22</v>
      </c>
    </row>
    <row r="109" spans="1:17" x14ac:dyDescent="0.25">
      <c r="A109" s="1">
        <v>46176</v>
      </c>
      <c r="B109" s="1">
        <v>46175</v>
      </c>
      <c r="C109" s="2" t="s">
        <v>301</v>
      </c>
      <c r="D109" s="2" t="s">
        <v>17</v>
      </c>
      <c r="E109" s="2" t="s">
        <v>302</v>
      </c>
      <c r="F109" s="2" t="s">
        <v>18</v>
      </c>
      <c r="G109" s="2" t="s">
        <v>89</v>
      </c>
      <c r="H109" s="2" t="s">
        <v>26</v>
      </c>
      <c r="I109" s="2" t="s">
        <v>27</v>
      </c>
      <c r="J109" s="3">
        <v>1</v>
      </c>
      <c r="K109" s="2" t="s">
        <v>28</v>
      </c>
      <c r="L109" s="3">
        <v>1</v>
      </c>
      <c r="M109" s="11">
        <v>320000</v>
      </c>
      <c r="N109" s="3">
        <v>0</v>
      </c>
      <c r="O109" s="2" t="s">
        <v>21</v>
      </c>
      <c r="P109" s="2" t="s">
        <v>29</v>
      </c>
      <c r="Q109" s="2" t="s">
        <v>22</v>
      </c>
    </row>
    <row r="110" spans="1:17" x14ac:dyDescent="0.25">
      <c r="A110" s="1">
        <v>46176</v>
      </c>
      <c r="B110" s="1">
        <v>46175</v>
      </c>
      <c r="C110" s="2" t="s">
        <v>303</v>
      </c>
      <c r="D110" s="2" t="s">
        <v>17</v>
      </c>
      <c r="E110" s="2" t="s">
        <v>304</v>
      </c>
      <c r="F110" s="2" t="s">
        <v>32</v>
      </c>
      <c r="G110" s="2" t="s">
        <v>33</v>
      </c>
      <c r="H110" s="2" t="s">
        <v>305</v>
      </c>
      <c r="I110" s="2" t="s">
        <v>306</v>
      </c>
      <c r="J110" s="3">
        <v>10</v>
      </c>
      <c r="K110" s="2" t="s">
        <v>84</v>
      </c>
      <c r="L110" s="3">
        <v>10</v>
      </c>
      <c r="M110" s="11">
        <v>610000.06000000006</v>
      </c>
      <c r="N110" s="3">
        <v>0</v>
      </c>
      <c r="O110" s="2" t="s">
        <v>21</v>
      </c>
      <c r="P110" s="2" t="s">
        <v>29</v>
      </c>
      <c r="Q110" s="2" t="s">
        <v>22</v>
      </c>
    </row>
    <row r="111" spans="1:17" x14ac:dyDescent="0.25">
      <c r="A111" s="1">
        <v>46176</v>
      </c>
      <c r="B111" s="1">
        <v>46175</v>
      </c>
      <c r="C111" s="2" t="s">
        <v>303</v>
      </c>
      <c r="D111" s="2" t="s">
        <v>17</v>
      </c>
      <c r="E111" s="2" t="s">
        <v>304</v>
      </c>
      <c r="F111" s="2" t="s">
        <v>32</v>
      </c>
      <c r="G111" s="2" t="s">
        <v>33</v>
      </c>
      <c r="H111" s="2" t="s">
        <v>57</v>
      </c>
      <c r="I111" s="2" t="s">
        <v>58</v>
      </c>
      <c r="J111" s="3">
        <v>6</v>
      </c>
      <c r="K111" s="2" t="s">
        <v>28</v>
      </c>
      <c r="L111" s="3">
        <v>6</v>
      </c>
      <c r="M111" s="11">
        <v>1740000</v>
      </c>
      <c r="N111" s="3">
        <v>0</v>
      </c>
      <c r="O111" s="2" t="s">
        <v>21</v>
      </c>
      <c r="P111" s="2" t="s">
        <v>29</v>
      </c>
      <c r="Q111" s="2" t="s">
        <v>22</v>
      </c>
    </row>
    <row r="112" spans="1:17" x14ac:dyDescent="0.25">
      <c r="A112" s="1">
        <v>46176</v>
      </c>
      <c r="B112" s="1">
        <v>46175</v>
      </c>
      <c r="C112" s="2" t="s">
        <v>308</v>
      </c>
      <c r="D112" s="2" t="s">
        <v>17</v>
      </c>
      <c r="E112" s="2" t="s">
        <v>307</v>
      </c>
      <c r="F112" s="2" t="s">
        <v>18</v>
      </c>
      <c r="G112" s="2" t="s">
        <v>238</v>
      </c>
      <c r="H112" s="2" t="s">
        <v>68</v>
      </c>
      <c r="I112" s="2" t="s">
        <v>69</v>
      </c>
      <c r="J112" s="3">
        <v>20</v>
      </c>
      <c r="K112" s="2" t="s">
        <v>36</v>
      </c>
      <c r="L112" s="3">
        <v>20</v>
      </c>
      <c r="M112" s="11">
        <v>800000.09</v>
      </c>
      <c r="N112" s="3">
        <v>0</v>
      </c>
      <c r="O112" s="2" t="s">
        <v>21</v>
      </c>
      <c r="P112" s="2" t="s">
        <v>29</v>
      </c>
      <c r="Q112" s="2" t="s">
        <v>22</v>
      </c>
    </row>
    <row r="113" spans="1:17" x14ac:dyDescent="0.25">
      <c r="A113" s="1">
        <v>46176</v>
      </c>
      <c r="B113" s="1">
        <v>46175</v>
      </c>
      <c r="C113" s="2" t="s">
        <v>309</v>
      </c>
      <c r="D113" s="2" t="s">
        <v>17</v>
      </c>
      <c r="E113" s="2" t="s">
        <v>310</v>
      </c>
      <c r="F113" s="2" t="s">
        <v>32</v>
      </c>
      <c r="G113" s="2" t="s">
        <v>89</v>
      </c>
      <c r="H113" s="2" t="s">
        <v>50</v>
      </c>
      <c r="I113" s="2" t="s">
        <v>51</v>
      </c>
      <c r="J113" s="3">
        <v>6</v>
      </c>
      <c r="K113" s="2" t="s">
        <v>28</v>
      </c>
      <c r="L113" s="3">
        <v>6</v>
      </c>
      <c r="M113" s="11">
        <v>2131200</v>
      </c>
      <c r="N113" s="3">
        <v>0</v>
      </c>
      <c r="O113" s="2" t="s">
        <v>21</v>
      </c>
      <c r="P113" s="2" t="s">
        <v>29</v>
      </c>
      <c r="Q113" s="2" t="s">
        <v>22</v>
      </c>
    </row>
    <row r="114" spans="1:17" x14ac:dyDescent="0.25">
      <c r="A114" s="1">
        <v>46176</v>
      </c>
      <c r="B114" s="1">
        <v>46175</v>
      </c>
      <c r="C114" s="2" t="s">
        <v>311</v>
      </c>
      <c r="D114" s="2" t="s">
        <v>17</v>
      </c>
      <c r="E114" s="2" t="s">
        <v>312</v>
      </c>
      <c r="F114" s="2" t="s">
        <v>32</v>
      </c>
      <c r="G114" s="2" t="s">
        <v>156</v>
      </c>
      <c r="H114" s="2" t="s">
        <v>26</v>
      </c>
      <c r="I114" s="2" t="s">
        <v>27</v>
      </c>
      <c r="J114" s="3">
        <v>3</v>
      </c>
      <c r="K114" s="2" t="s">
        <v>28</v>
      </c>
      <c r="L114" s="3">
        <v>3</v>
      </c>
      <c r="M114" s="11">
        <v>930000</v>
      </c>
      <c r="N114" s="3">
        <v>0</v>
      </c>
      <c r="O114" s="2" t="s">
        <v>21</v>
      </c>
      <c r="P114" s="2" t="s">
        <v>29</v>
      </c>
      <c r="Q114" s="2" t="s">
        <v>22</v>
      </c>
    </row>
    <row r="115" spans="1:17" x14ac:dyDescent="0.25">
      <c r="A115" s="1">
        <v>46176</v>
      </c>
      <c r="B115" s="1">
        <v>46175</v>
      </c>
      <c r="C115" s="2" t="s">
        <v>311</v>
      </c>
      <c r="D115" s="2" t="s">
        <v>17</v>
      </c>
      <c r="E115" s="2" t="s">
        <v>312</v>
      </c>
      <c r="F115" s="2" t="s">
        <v>32</v>
      </c>
      <c r="G115" s="2" t="s">
        <v>156</v>
      </c>
      <c r="H115" s="2" t="s">
        <v>313</v>
      </c>
      <c r="I115" s="2" t="s">
        <v>314</v>
      </c>
      <c r="J115" s="3">
        <v>1</v>
      </c>
      <c r="K115" s="2" t="s">
        <v>28</v>
      </c>
      <c r="L115" s="3">
        <v>1</v>
      </c>
      <c r="M115" s="11">
        <v>255300</v>
      </c>
      <c r="N115" s="3">
        <v>0</v>
      </c>
      <c r="O115" s="2" t="s">
        <v>21</v>
      </c>
      <c r="P115" s="2" t="s">
        <v>29</v>
      </c>
      <c r="Q115" s="2" t="s">
        <v>22</v>
      </c>
    </row>
    <row r="116" spans="1:17" x14ac:dyDescent="0.25">
      <c r="A116" s="1">
        <v>46176</v>
      </c>
      <c r="B116" s="1">
        <v>46175</v>
      </c>
      <c r="C116" s="2" t="s">
        <v>315</v>
      </c>
      <c r="D116" s="2" t="s">
        <v>17</v>
      </c>
      <c r="E116" s="2" t="s">
        <v>316</v>
      </c>
      <c r="F116" s="2" t="s">
        <v>32</v>
      </c>
      <c r="G116" s="2" t="s">
        <v>43</v>
      </c>
      <c r="H116" s="2" t="s">
        <v>104</v>
      </c>
      <c r="I116" s="2" t="s">
        <v>105</v>
      </c>
      <c r="J116" s="3">
        <v>132</v>
      </c>
      <c r="K116" s="2" t="s">
        <v>106</v>
      </c>
      <c r="L116" s="3">
        <v>132</v>
      </c>
      <c r="M116" s="11">
        <v>7421238</v>
      </c>
      <c r="N116" s="3">
        <v>0</v>
      </c>
      <c r="O116" s="2" t="s">
        <v>21</v>
      </c>
      <c r="P116" s="2" t="s">
        <v>29</v>
      </c>
      <c r="Q116" s="2" t="s">
        <v>317</v>
      </c>
    </row>
    <row r="117" spans="1:17" x14ac:dyDescent="0.25">
      <c r="A117" s="1">
        <v>46176</v>
      </c>
      <c r="B117" s="1">
        <v>46175</v>
      </c>
      <c r="C117" s="2" t="s">
        <v>318</v>
      </c>
      <c r="D117" s="2" t="s">
        <v>17</v>
      </c>
      <c r="E117" s="2" t="s">
        <v>319</v>
      </c>
      <c r="F117" s="2" t="s">
        <v>18</v>
      </c>
      <c r="G117" s="2" t="s">
        <v>19</v>
      </c>
      <c r="H117" s="2" t="s">
        <v>119</v>
      </c>
      <c r="I117" s="2" t="s">
        <v>120</v>
      </c>
      <c r="J117" s="3">
        <v>100</v>
      </c>
      <c r="K117" s="2" t="s">
        <v>36</v>
      </c>
      <c r="L117" s="3">
        <v>100</v>
      </c>
      <c r="M117" s="11">
        <v>1599999.51</v>
      </c>
      <c r="N117" s="3">
        <v>0</v>
      </c>
      <c r="O117" s="2" t="s">
        <v>21</v>
      </c>
      <c r="P117" s="2" t="s">
        <v>29</v>
      </c>
      <c r="Q117" s="2" t="s">
        <v>22</v>
      </c>
    </row>
    <row r="118" spans="1:17" x14ac:dyDescent="0.25">
      <c r="A118" s="1">
        <v>46176</v>
      </c>
      <c r="B118" s="1">
        <v>46175</v>
      </c>
      <c r="C118" s="2" t="s">
        <v>320</v>
      </c>
      <c r="D118" s="2" t="s">
        <v>17</v>
      </c>
      <c r="E118" s="2" t="s">
        <v>321</v>
      </c>
      <c r="F118" s="2" t="s">
        <v>18</v>
      </c>
      <c r="G118" s="2" t="s">
        <v>25</v>
      </c>
      <c r="H118" s="2" t="s">
        <v>119</v>
      </c>
      <c r="I118" s="2" t="s">
        <v>120</v>
      </c>
      <c r="J118" s="3">
        <v>30</v>
      </c>
      <c r="K118" s="2" t="s">
        <v>36</v>
      </c>
      <c r="L118" s="3">
        <v>30</v>
      </c>
      <c r="M118" s="11">
        <v>499500</v>
      </c>
      <c r="N118" s="3">
        <v>0</v>
      </c>
      <c r="O118" s="2" t="s">
        <v>21</v>
      </c>
      <c r="P118" s="2" t="s">
        <v>29</v>
      </c>
      <c r="Q118" s="2" t="s">
        <v>22</v>
      </c>
    </row>
    <row r="119" spans="1:17" x14ac:dyDescent="0.25">
      <c r="A119" s="1">
        <v>46176</v>
      </c>
      <c r="B119" s="1">
        <v>46175</v>
      </c>
      <c r="C119" s="2" t="s">
        <v>322</v>
      </c>
      <c r="D119" s="2" t="s">
        <v>17</v>
      </c>
      <c r="E119" s="2" t="s">
        <v>323</v>
      </c>
      <c r="F119" s="2" t="s">
        <v>18</v>
      </c>
      <c r="G119" s="2" t="s">
        <v>56</v>
      </c>
      <c r="H119" s="2" t="s">
        <v>313</v>
      </c>
      <c r="I119" s="2" t="s">
        <v>314</v>
      </c>
      <c r="J119" s="3">
        <v>1</v>
      </c>
      <c r="K119" s="2" t="s">
        <v>28</v>
      </c>
      <c r="L119" s="3">
        <v>1</v>
      </c>
      <c r="M119" s="11">
        <v>255300</v>
      </c>
      <c r="N119" s="3">
        <v>0</v>
      </c>
      <c r="O119" s="2" t="s">
        <v>21</v>
      </c>
      <c r="P119" s="2" t="s">
        <v>29</v>
      </c>
      <c r="Q119" s="2" t="s">
        <v>324</v>
      </c>
    </row>
    <row r="120" spans="1:17" x14ac:dyDescent="0.25">
      <c r="A120" s="1">
        <v>46176</v>
      </c>
      <c r="B120" s="1">
        <v>46175</v>
      </c>
      <c r="C120" s="2" t="s">
        <v>326</v>
      </c>
      <c r="D120" s="2" t="s">
        <v>17</v>
      </c>
      <c r="E120" s="2" t="s">
        <v>327</v>
      </c>
      <c r="F120" s="2" t="s">
        <v>32</v>
      </c>
      <c r="G120" s="2" t="s">
        <v>89</v>
      </c>
      <c r="H120" s="2" t="s">
        <v>99</v>
      </c>
      <c r="I120" s="2" t="s">
        <v>100</v>
      </c>
      <c r="J120" s="3">
        <v>7.5</v>
      </c>
      <c r="K120" s="2" t="s">
        <v>36</v>
      </c>
      <c r="L120" s="3">
        <v>7.5</v>
      </c>
      <c r="M120" s="11">
        <v>750000</v>
      </c>
      <c r="N120" s="3">
        <v>0</v>
      </c>
      <c r="O120" s="2" t="s">
        <v>21</v>
      </c>
      <c r="P120" s="2" t="s">
        <v>29</v>
      </c>
      <c r="Q120" s="2" t="s">
        <v>328</v>
      </c>
    </row>
    <row r="121" spans="1:17" x14ac:dyDescent="0.25">
      <c r="A121" s="1">
        <v>46176</v>
      </c>
      <c r="B121" s="1">
        <v>46175</v>
      </c>
      <c r="C121" s="2" t="s">
        <v>326</v>
      </c>
      <c r="D121" s="2" t="s">
        <v>17</v>
      </c>
      <c r="E121" s="2" t="s">
        <v>327</v>
      </c>
      <c r="F121" s="2" t="s">
        <v>32</v>
      </c>
      <c r="G121" s="2" t="s">
        <v>89</v>
      </c>
      <c r="H121" s="2" t="s">
        <v>199</v>
      </c>
      <c r="I121" s="2" t="s">
        <v>200</v>
      </c>
      <c r="J121" s="3">
        <v>16</v>
      </c>
      <c r="K121" s="2" t="s">
        <v>36</v>
      </c>
      <c r="L121" s="3">
        <v>20.28</v>
      </c>
      <c r="M121" s="11">
        <v>7098000</v>
      </c>
      <c r="N121" s="3">
        <v>4.28</v>
      </c>
      <c r="O121" s="2" t="s">
        <v>21</v>
      </c>
      <c r="P121" s="2" t="s">
        <v>29</v>
      </c>
      <c r="Q121" s="2" t="s">
        <v>328</v>
      </c>
    </row>
    <row r="122" spans="1:17" x14ac:dyDescent="0.25">
      <c r="A122" s="1">
        <v>46176</v>
      </c>
      <c r="B122" s="1">
        <v>46175</v>
      </c>
      <c r="C122" s="2" t="s">
        <v>329</v>
      </c>
      <c r="D122" s="2" t="s">
        <v>17</v>
      </c>
      <c r="E122" s="2" t="s">
        <v>327</v>
      </c>
      <c r="F122" s="2" t="s">
        <v>32</v>
      </c>
      <c r="G122" s="2" t="s">
        <v>89</v>
      </c>
      <c r="H122" s="2" t="s">
        <v>99</v>
      </c>
      <c r="I122" s="2" t="s">
        <v>100</v>
      </c>
      <c r="J122" s="3">
        <v>7.5</v>
      </c>
      <c r="K122" s="2" t="s">
        <v>36</v>
      </c>
      <c r="L122" s="3">
        <v>7.5</v>
      </c>
      <c r="M122" s="11">
        <v>750000</v>
      </c>
      <c r="N122" s="3">
        <v>0</v>
      </c>
      <c r="O122" s="2" t="s">
        <v>21</v>
      </c>
      <c r="P122" s="2" t="s">
        <v>29</v>
      </c>
      <c r="Q122" s="2" t="s">
        <v>330</v>
      </c>
    </row>
    <row r="123" spans="1:17" x14ac:dyDescent="0.25">
      <c r="A123" s="1">
        <v>46176</v>
      </c>
      <c r="B123" s="1">
        <v>46175</v>
      </c>
      <c r="C123" s="2" t="s">
        <v>329</v>
      </c>
      <c r="D123" s="2" t="s">
        <v>17</v>
      </c>
      <c r="E123" s="2" t="s">
        <v>327</v>
      </c>
      <c r="F123" s="2" t="s">
        <v>32</v>
      </c>
      <c r="G123" s="2" t="s">
        <v>89</v>
      </c>
      <c r="H123" s="2" t="s">
        <v>199</v>
      </c>
      <c r="I123" s="2" t="s">
        <v>200</v>
      </c>
      <c r="J123" s="3">
        <v>16</v>
      </c>
      <c r="K123" s="2" t="s">
        <v>36</v>
      </c>
      <c r="L123" s="3">
        <v>19.3</v>
      </c>
      <c r="M123" s="11">
        <v>6755000</v>
      </c>
      <c r="N123" s="3">
        <v>3.3</v>
      </c>
      <c r="O123" s="2" t="s">
        <v>21</v>
      </c>
      <c r="P123" s="2" t="s">
        <v>29</v>
      </c>
      <c r="Q123" s="2" t="s">
        <v>330</v>
      </c>
    </row>
    <row r="124" spans="1:17" x14ac:dyDescent="0.25">
      <c r="A124" s="1">
        <v>46176</v>
      </c>
      <c r="B124" s="1">
        <v>46175</v>
      </c>
      <c r="C124" s="2" t="s">
        <v>331</v>
      </c>
      <c r="D124" s="2" t="s">
        <v>17</v>
      </c>
      <c r="E124" s="2" t="s">
        <v>332</v>
      </c>
      <c r="F124" s="2" t="s">
        <v>32</v>
      </c>
      <c r="G124" s="2" t="s">
        <v>61</v>
      </c>
      <c r="H124" s="2" t="s">
        <v>119</v>
      </c>
      <c r="I124" s="2" t="s">
        <v>120</v>
      </c>
      <c r="J124" s="3">
        <v>1</v>
      </c>
      <c r="K124" s="2" t="s">
        <v>36</v>
      </c>
      <c r="L124" s="3">
        <v>1</v>
      </c>
      <c r="M124" s="11">
        <v>16650</v>
      </c>
      <c r="N124" s="3">
        <v>0</v>
      </c>
      <c r="O124" s="2" t="s">
        <v>21</v>
      </c>
      <c r="P124" s="2" t="s">
        <v>29</v>
      </c>
      <c r="Q124" s="2" t="s">
        <v>22</v>
      </c>
    </row>
    <row r="125" spans="1:17" x14ac:dyDescent="0.25">
      <c r="A125" s="1">
        <v>46176</v>
      </c>
      <c r="B125" s="1">
        <v>46175</v>
      </c>
      <c r="C125" s="2" t="s">
        <v>333</v>
      </c>
      <c r="D125" s="2" t="s">
        <v>17</v>
      </c>
      <c r="E125" s="2" t="s">
        <v>31</v>
      </c>
      <c r="F125" s="2" t="s">
        <v>32</v>
      </c>
      <c r="G125" s="2" t="s">
        <v>33</v>
      </c>
      <c r="H125" s="2" t="s">
        <v>34</v>
      </c>
      <c r="I125" s="2" t="s">
        <v>35</v>
      </c>
      <c r="J125" s="3">
        <v>4</v>
      </c>
      <c r="K125" s="2" t="s">
        <v>36</v>
      </c>
      <c r="L125" s="3">
        <v>4.08</v>
      </c>
      <c r="M125" s="11">
        <v>571200.02</v>
      </c>
      <c r="N125" s="3">
        <v>0.08</v>
      </c>
      <c r="O125" s="2" t="s">
        <v>21</v>
      </c>
      <c r="P125" s="2" t="s">
        <v>29</v>
      </c>
      <c r="Q125" s="2" t="s">
        <v>62</v>
      </c>
    </row>
    <row r="126" spans="1:17" x14ac:dyDescent="0.25">
      <c r="A126" s="1">
        <v>46176</v>
      </c>
      <c r="B126" s="1">
        <v>46175</v>
      </c>
      <c r="C126" s="2" t="s">
        <v>334</v>
      </c>
      <c r="D126" s="2" t="s">
        <v>17</v>
      </c>
      <c r="E126" s="2" t="s">
        <v>335</v>
      </c>
      <c r="F126" s="2" t="s">
        <v>32</v>
      </c>
      <c r="G126" s="2" t="s">
        <v>325</v>
      </c>
      <c r="H126" s="2" t="s">
        <v>336</v>
      </c>
      <c r="I126" s="2" t="s">
        <v>337</v>
      </c>
      <c r="J126" s="3">
        <v>16</v>
      </c>
      <c r="K126" s="2" t="s">
        <v>20</v>
      </c>
      <c r="L126" s="3">
        <v>16</v>
      </c>
      <c r="M126" s="11">
        <v>1679999.99</v>
      </c>
      <c r="N126" s="3">
        <v>0</v>
      </c>
      <c r="O126" s="2" t="s">
        <v>21</v>
      </c>
      <c r="P126" s="2" t="s">
        <v>29</v>
      </c>
      <c r="Q126" s="2" t="s">
        <v>22</v>
      </c>
    </row>
    <row r="127" spans="1:17" x14ac:dyDescent="0.25">
      <c r="A127" s="1">
        <v>46176</v>
      </c>
      <c r="B127" s="1">
        <v>46175</v>
      </c>
      <c r="C127" s="2" t="s">
        <v>334</v>
      </c>
      <c r="D127" s="2" t="s">
        <v>17</v>
      </c>
      <c r="E127" s="2" t="s">
        <v>335</v>
      </c>
      <c r="F127" s="2" t="s">
        <v>32</v>
      </c>
      <c r="G127" s="2" t="s">
        <v>325</v>
      </c>
      <c r="H127" s="2" t="s">
        <v>338</v>
      </c>
      <c r="I127" s="2" t="s">
        <v>339</v>
      </c>
      <c r="J127" s="3">
        <v>24</v>
      </c>
      <c r="K127" s="2" t="s">
        <v>20</v>
      </c>
      <c r="L127" s="3">
        <v>24</v>
      </c>
      <c r="M127" s="11">
        <v>1540800.06</v>
      </c>
      <c r="N127" s="3">
        <v>0</v>
      </c>
      <c r="O127" s="2" t="s">
        <v>21</v>
      </c>
      <c r="P127" s="2" t="s">
        <v>29</v>
      </c>
      <c r="Q127" s="2" t="s">
        <v>22</v>
      </c>
    </row>
    <row r="128" spans="1:17" x14ac:dyDescent="0.25">
      <c r="A128" s="1">
        <v>46176</v>
      </c>
      <c r="B128" s="1">
        <v>46175</v>
      </c>
      <c r="C128" s="2" t="s">
        <v>334</v>
      </c>
      <c r="D128" s="2" t="s">
        <v>17</v>
      </c>
      <c r="E128" s="2" t="s">
        <v>335</v>
      </c>
      <c r="F128" s="2" t="s">
        <v>32</v>
      </c>
      <c r="G128" s="2" t="s">
        <v>325</v>
      </c>
      <c r="H128" s="2" t="s">
        <v>340</v>
      </c>
      <c r="I128" s="2" t="s">
        <v>341</v>
      </c>
      <c r="J128" s="3">
        <v>12</v>
      </c>
      <c r="K128" s="2" t="s">
        <v>20</v>
      </c>
      <c r="L128" s="3">
        <v>12</v>
      </c>
      <c r="M128" s="11">
        <v>613200.05000000005</v>
      </c>
      <c r="N128" s="3">
        <v>0</v>
      </c>
      <c r="O128" s="2" t="s">
        <v>21</v>
      </c>
      <c r="P128" s="2" t="s">
        <v>29</v>
      </c>
      <c r="Q128" s="2" t="s">
        <v>22</v>
      </c>
    </row>
    <row r="129" spans="1:17" x14ac:dyDescent="0.25">
      <c r="A129" s="1">
        <v>46176</v>
      </c>
      <c r="B129" s="1">
        <v>46175</v>
      </c>
      <c r="C129" s="2" t="s">
        <v>342</v>
      </c>
      <c r="D129" s="2" t="s">
        <v>17</v>
      </c>
      <c r="E129" s="2" t="s">
        <v>343</v>
      </c>
      <c r="F129" s="2" t="s">
        <v>32</v>
      </c>
      <c r="G129" s="2" t="s">
        <v>56</v>
      </c>
      <c r="H129" s="2" t="s">
        <v>26</v>
      </c>
      <c r="I129" s="2" t="s">
        <v>27</v>
      </c>
      <c r="J129" s="3">
        <v>1</v>
      </c>
      <c r="K129" s="2" t="s">
        <v>28</v>
      </c>
      <c r="L129" s="3">
        <v>1</v>
      </c>
      <c r="M129" s="11">
        <v>290000</v>
      </c>
      <c r="N129" s="3">
        <v>0</v>
      </c>
      <c r="O129" s="2" t="s">
        <v>21</v>
      </c>
      <c r="P129" s="2" t="s">
        <v>29</v>
      </c>
      <c r="Q129" s="2" t="s">
        <v>344</v>
      </c>
    </row>
    <row r="130" spans="1:17" x14ac:dyDescent="0.25">
      <c r="A130" s="1">
        <v>46176</v>
      </c>
      <c r="B130" s="1">
        <v>46175</v>
      </c>
      <c r="C130" s="2" t="s">
        <v>342</v>
      </c>
      <c r="D130" s="2" t="s">
        <v>17</v>
      </c>
      <c r="E130" s="2" t="s">
        <v>343</v>
      </c>
      <c r="F130" s="2" t="s">
        <v>32</v>
      </c>
      <c r="G130" s="2" t="s">
        <v>56</v>
      </c>
      <c r="H130" s="2" t="s">
        <v>50</v>
      </c>
      <c r="I130" s="2" t="s">
        <v>51</v>
      </c>
      <c r="J130" s="3">
        <v>1</v>
      </c>
      <c r="K130" s="2" t="s">
        <v>28</v>
      </c>
      <c r="L130" s="3">
        <v>1</v>
      </c>
      <c r="M130" s="11">
        <v>310000</v>
      </c>
      <c r="N130" s="3">
        <v>0</v>
      </c>
      <c r="O130" s="2" t="s">
        <v>21</v>
      </c>
      <c r="P130" s="2" t="s">
        <v>29</v>
      </c>
      <c r="Q130" s="2" t="s">
        <v>344</v>
      </c>
    </row>
    <row r="131" spans="1:17" x14ac:dyDescent="0.25">
      <c r="A131" s="1">
        <v>46176</v>
      </c>
      <c r="B131" s="1">
        <v>46175</v>
      </c>
      <c r="C131" s="2" t="s">
        <v>345</v>
      </c>
      <c r="D131" s="2" t="s">
        <v>17</v>
      </c>
      <c r="E131" s="2" t="s">
        <v>346</v>
      </c>
      <c r="F131" s="2" t="s">
        <v>18</v>
      </c>
      <c r="G131" s="2" t="s">
        <v>89</v>
      </c>
      <c r="H131" s="2" t="s">
        <v>128</v>
      </c>
      <c r="I131" s="2" t="s">
        <v>129</v>
      </c>
      <c r="J131" s="3">
        <v>4</v>
      </c>
      <c r="K131" s="2" t="s">
        <v>36</v>
      </c>
      <c r="L131" s="3">
        <v>3.55</v>
      </c>
      <c r="M131" s="11">
        <v>674500</v>
      </c>
      <c r="N131" s="3">
        <v>-0.45</v>
      </c>
      <c r="O131" s="2" t="s">
        <v>21</v>
      </c>
      <c r="P131" s="2" t="s">
        <v>29</v>
      </c>
      <c r="Q131" s="2" t="s">
        <v>62</v>
      </c>
    </row>
    <row r="132" spans="1:17" x14ac:dyDescent="0.25">
      <c r="A132" s="1">
        <v>46176</v>
      </c>
      <c r="B132" s="1">
        <v>46175</v>
      </c>
      <c r="C132" s="2" t="s">
        <v>347</v>
      </c>
      <c r="D132" s="2" t="s">
        <v>17</v>
      </c>
      <c r="E132" s="2" t="s">
        <v>348</v>
      </c>
      <c r="F132" s="2" t="s">
        <v>32</v>
      </c>
      <c r="G132" s="2" t="s">
        <v>325</v>
      </c>
      <c r="H132" s="2" t="s">
        <v>340</v>
      </c>
      <c r="I132" s="2" t="s">
        <v>341</v>
      </c>
      <c r="J132" s="3">
        <v>12</v>
      </c>
      <c r="K132" s="2" t="s">
        <v>20</v>
      </c>
      <c r="L132" s="3">
        <v>12</v>
      </c>
      <c r="M132" s="11">
        <v>613200.05000000005</v>
      </c>
      <c r="N132" s="3">
        <v>0</v>
      </c>
      <c r="O132" s="2" t="s">
        <v>21</v>
      </c>
      <c r="P132" s="2" t="s">
        <v>29</v>
      </c>
      <c r="Q132" s="2" t="s">
        <v>22</v>
      </c>
    </row>
    <row r="133" spans="1:17" x14ac:dyDescent="0.25">
      <c r="A133" s="1">
        <v>46176</v>
      </c>
      <c r="B133" s="1">
        <v>46175</v>
      </c>
      <c r="C133" s="2" t="s">
        <v>347</v>
      </c>
      <c r="D133" s="2" t="s">
        <v>17</v>
      </c>
      <c r="E133" s="2" t="s">
        <v>348</v>
      </c>
      <c r="F133" s="2" t="s">
        <v>32</v>
      </c>
      <c r="G133" s="2" t="s">
        <v>325</v>
      </c>
      <c r="H133" s="2" t="s">
        <v>338</v>
      </c>
      <c r="I133" s="2" t="s">
        <v>339</v>
      </c>
      <c r="J133" s="3">
        <v>60</v>
      </c>
      <c r="K133" s="2" t="s">
        <v>20</v>
      </c>
      <c r="L133" s="3">
        <v>60</v>
      </c>
      <c r="M133" s="11">
        <v>3852000.14</v>
      </c>
      <c r="N133" s="3">
        <v>0</v>
      </c>
      <c r="O133" s="2" t="s">
        <v>21</v>
      </c>
      <c r="P133" s="2" t="s">
        <v>29</v>
      </c>
      <c r="Q133" s="2" t="s">
        <v>22</v>
      </c>
    </row>
    <row r="134" spans="1:17" x14ac:dyDescent="0.25">
      <c r="A134" s="1">
        <v>46176</v>
      </c>
      <c r="B134" s="1">
        <v>46175</v>
      </c>
      <c r="C134" s="2" t="s">
        <v>347</v>
      </c>
      <c r="D134" s="2" t="s">
        <v>17</v>
      </c>
      <c r="E134" s="2" t="s">
        <v>348</v>
      </c>
      <c r="F134" s="2" t="s">
        <v>32</v>
      </c>
      <c r="G134" s="2" t="s">
        <v>325</v>
      </c>
      <c r="H134" s="2" t="s">
        <v>336</v>
      </c>
      <c r="I134" s="2" t="s">
        <v>337</v>
      </c>
      <c r="J134" s="3">
        <v>16</v>
      </c>
      <c r="K134" s="2" t="s">
        <v>20</v>
      </c>
      <c r="L134" s="3">
        <v>16</v>
      </c>
      <c r="M134" s="11">
        <v>1679999.99</v>
      </c>
      <c r="N134" s="3">
        <v>0</v>
      </c>
      <c r="O134" s="2" t="s">
        <v>21</v>
      </c>
      <c r="P134" s="2" t="s">
        <v>29</v>
      </c>
      <c r="Q134" s="2" t="s">
        <v>22</v>
      </c>
    </row>
    <row r="135" spans="1:17" x14ac:dyDescent="0.25">
      <c r="A135" s="1">
        <v>46176</v>
      </c>
      <c r="B135" s="1">
        <v>46175</v>
      </c>
      <c r="C135" s="2" t="s">
        <v>349</v>
      </c>
      <c r="D135" s="2" t="s">
        <v>17</v>
      </c>
      <c r="E135" s="2" t="s">
        <v>350</v>
      </c>
      <c r="F135" s="2" t="s">
        <v>32</v>
      </c>
      <c r="G135" s="2" t="s">
        <v>89</v>
      </c>
      <c r="H135" s="2" t="s">
        <v>26</v>
      </c>
      <c r="I135" s="2" t="s">
        <v>27</v>
      </c>
      <c r="J135" s="3">
        <v>2</v>
      </c>
      <c r="K135" s="2" t="s">
        <v>28</v>
      </c>
      <c r="L135" s="3">
        <v>2</v>
      </c>
      <c r="M135" s="11">
        <v>654900</v>
      </c>
      <c r="N135" s="3">
        <v>0</v>
      </c>
      <c r="O135" s="2" t="s">
        <v>21</v>
      </c>
      <c r="P135" s="2" t="s">
        <v>29</v>
      </c>
      <c r="Q135" s="2" t="s">
        <v>351</v>
      </c>
    </row>
    <row r="136" spans="1:17" x14ac:dyDescent="0.25">
      <c r="A136" s="1">
        <v>46176</v>
      </c>
      <c r="B136" s="1">
        <v>46175</v>
      </c>
      <c r="C136" s="2" t="s">
        <v>352</v>
      </c>
      <c r="D136" s="2" t="s">
        <v>17</v>
      </c>
      <c r="E136" s="2" t="s">
        <v>353</v>
      </c>
      <c r="F136" s="2" t="s">
        <v>32</v>
      </c>
      <c r="G136" s="2" t="s">
        <v>33</v>
      </c>
      <c r="H136" s="2" t="s">
        <v>64</v>
      </c>
      <c r="I136" s="2" t="s">
        <v>65</v>
      </c>
      <c r="J136" s="3">
        <v>50</v>
      </c>
      <c r="K136" s="2" t="s">
        <v>36</v>
      </c>
      <c r="L136" s="3">
        <v>50.6</v>
      </c>
      <c r="M136" s="11">
        <v>5059999.99</v>
      </c>
      <c r="N136" s="3">
        <v>0.6</v>
      </c>
      <c r="O136" s="2" t="s">
        <v>21</v>
      </c>
      <c r="P136" s="2" t="s">
        <v>29</v>
      </c>
      <c r="Q136" s="2" t="s">
        <v>354</v>
      </c>
    </row>
    <row r="137" spans="1:17" x14ac:dyDescent="0.25">
      <c r="A137" s="1">
        <v>46176</v>
      </c>
      <c r="B137" s="1">
        <v>46175</v>
      </c>
      <c r="C137" s="2" t="s">
        <v>355</v>
      </c>
      <c r="D137" s="2" t="s">
        <v>17</v>
      </c>
      <c r="E137" s="2" t="s">
        <v>356</v>
      </c>
      <c r="F137" s="2" t="s">
        <v>32</v>
      </c>
      <c r="G137" s="2" t="s">
        <v>49</v>
      </c>
      <c r="H137" s="2" t="s">
        <v>26</v>
      </c>
      <c r="I137" s="2" t="s">
        <v>27</v>
      </c>
      <c r="J137" s="3">
        <v>2</v>
      </c>
      <c r="K137" s="2" t="s">
        <v>28</v>
      </c>
      <c r="L137" s="3">
        <v>2</v>
      </c>
      <c r="M137" s="11">
        <v>649999.99</v>
      </c>
      <c r="N137" s="3">
        <v>0</v>
      </c>
      <c r="O137" s="2" t="s">
        <v>21</v>
      </c>
      <c r="P137" s="2" t="s">
        <v>29</v>
      </c>
      <c r="Q137" s="2" t="s">
        <v>22</v>
      </c>
    </row>
    <row r="138" spans="1:17" x14ac:dyDescent="0.25">
      <c r="A138" s="1">
        <v>46176</v>
      </c>
      <c r="B138" s="1">
        <v>46175</v>
      </c>
      <c r="C138" s="2" t="s">
        <v>357</v>
      </c>
      <c r="D138" s="2" t="s">
        <v>17</v>
      </c>
      <c r="E138" s="2" t="s">
        <v>358</v>
      </c>
      <c r="F138" s="2" t="s">
        <v>18</v>
      </c>
      <c r="G138" s="2" t="s">
        <v>56</v>
      </c>
      <c r="H138" s="2" t="s">
        <v>119</v>
      </c>
      <c r="I138" s="2" t="s">
        <v>120</v>
      </c>
      <c r="J138" s="3">
        <v>20</v>
      </c>
      <c r="K138" s="2" t="s">
        <v>36</v>
      </c>
      <c r="L138" s="3">
        <v>20</v>
      </c>
      <c r="M138" s="11">
        <v>333000</v>
      </c>
      <c r="N138" s="3">
        <v>0</v>
      </c>
      <c r="O138" s="2" t="s">
        <v>21</v>
      </c>
      <c r="P138" s="2" t="s">
        <v>29</v>
      </c>
      <c r="Q138" s="2" t="s">
        <v>22</v>
      </c>
    </row>
    <row r="139" spans="1:17" x14ac:dyDescent="0.25">
      <c r="A139" s="1">
        <v>46176</v>
      </c>
      <c r="B139" s="1">
        <v>46175</v>
      </c>
      <c r="C139" s="2" t="s">
        <v>359</v>
      </c>
      <c r="D139" s="2" t="s">
        <v>17</v>
      </c>
      <c r="E139" s="2" t="s">
        <v>360</v>
      </c>
      <c r="F139" s="2" t="s">
        <v>18</v>
      </c>
      <c r="G139" s="2" t="s">
        <v>19</v>
      </c>
      <c r="H139" s="2" t="s">
        <v>146</v>
      </c>
      <c r="I139" s="2" t="s">
        <v>147</v>
      </c>
      <c r="J139" s="3">
        <v>20</v>
      </c>
      <c r="K139" s="2" t="s">
        <v>36</v>
      </c>
      <c r="L139" s="3">
        <v>20</v>
      </c>
      <c r="M139" s="11">
        <v>344100</v>
      </c>
      <c r="N139" s="3">
        <v>0</v>
      </c>
      <c r="O139" s="2" t="s">
        <v>21</v>
      </c>
      <c r="P139" s="2" t="s">
        <v>29</v>
      </c>
      <c r="Q139" s="2" t="s">
        <v>22</v>
      </c>
    </row>
    <row r="140" spans="1:17" x14ac:dyDescent="0.25">
      <c r="A140" s="1">
        <v>46176</v>
      </c>
      <c r="B140" s="1">
        <v>46175</v>
      </c>
      <c r="C140" s="2" t="s">
        <v>359</v>
      </c>
      <c r="D140" s="2" t="s">
        <v>17</v>
      </c>
      <c r="E140" s="2" t="s">
        <v>360</v>
      </c>
      <c r="F140" s="2" t="s">
        <v>18</v>
      </c>
      <c r="G140" s="2" t="s">
        <v>19</v>
      </c>
      <c r="H140" s="2" t="s">
        <v>72</v>
      </c>
      <c r="I140" s="2" t="s">
        <v>73</v>
      </c>
      <c r="J140" s="3">
        <v>10</v>
      </c>
      <c r="K140" s="2" t="s">
        <v>36</v>
      </c>
      <c r="L140" s="3">
        <v>10</v>
      </c>
      <c r="M140" s="11">
        <v>362970</v>
      </c>
      <c r="N140" s="3">
        <v>0</v>
      </c>
      <c r="O140" s="2" t="s">
        <v>21</v>
      </c>
      <c r="P140" s="2" t="s">
        <v>29</v>
      </c>
      <c r="Q140" s="2" t="s">
        <v>22</v>
      </c>
    </row>
    <row r="141" spans="1:17" x14ac:dyDescent="0.25">
      <c r="A141" s="1">
        <v>46176</v>
      </c>
      <c r="B141" s="1">
        <v>46175</v>
      </c>
      <c r="C141" s="2" t="s">
        <v>359</v>
      </c>
      <c r="D141" s="2" t="s">
        <v>17</v>
      </c>
      <c r="E141" s="2" t="s">
        <v>360</v>
      </c>
      <c r="F141" s="2" t="s">
        <v>18</v>
      </c>
      <c r="G141" s="2" t="s">
        <v>19</v>
      </c>
      <c r="H141" s="2" t="s">
        <v>119</v>
      </c>
      <c r="I141" s="2" t="s">
        <v>120</v>
      </c>
      <c r="J141" s="3">
        <v>500</v>
      </c>
      <c r="K141" s="2" t="s">
        <v>36</v>
      </c>
      <c r="L141" s="3">
        <v>500</v>
      </c>
      <c r="M141" s="11">
        <v>7349998.2000000002</v>
      </c>
      <c r="N141" s="3">
        <v>0</v>
      </c>
      <c r="O141" s="2" t="s">
        <v>21</v>
      </c>
      <c r="P141" s="2" t="s">
        <v>29</v>
      </c>
      <c r="Q141" s="2" t="s">
        <v>22</v>
      </c>
    </row>
    <row r="142" spans="1:17" x14ac:dyDescent="0.25">
      <c r="A142" s="1">
        <v>46176</v>
      </c>
      <c r="B142" s="1">
        <v>46175</v>
      </c>
      <c r="C142" s="2" t="s">
        <v>361</v>
      </c>
      <c r="D142" s="2" t="s">
        <v>17</v>
      </c>
      <c r="E142" s="2" t="s">
        <v>136</v>
      </c>
      <c r="F142" s="2" t="s">
        <v>32</v>
      </c>
      <c r="G142" s="2" t="s">
        <v>49</v>
      </c>
      <c r="H142" s="2" t="s">
        <v>104</v>
      </c>
      <c r="I142" s="2" t="s">
        <v>105</v>
      </c>
      <c r="J142" s="3">
        <v>96</v>
      </c>
      <c r="K142" s="2" t="s">
        <v>106</v>
      </c>
      <c r="L142" s="3">
        <v>96</v>
      </c>
      <c r="M142" s="11">
        <v>5395199.9299999997</v>
      </c>
      <c r="N142" s="3">
        <v>0</v>
      </c>
      <c r="O142" s="2" t="s">
        <v>21</v>
      </c>
      <c r="P142" s="2" t="s">
        <v>29</v>
      </c>
      <c r="Q142" s="2" t="s">
        <v>22</v>
      </c>
    </row>
    <row r="143" spans="1:17" x14ac:dyDescent="0.25">
      <c r="A143" s="1">
        <v>46176</v>
      </c>
      <c r="B143" s="1">
        <v>46175</v>
      </c>
      <c r="C143" s="2" t="s">
        <v>362</v>
      </c>
      <c r="D143" s="2" t="s">
        <v>17</v>
      </c>
      <c r="E143" s="2" t="s">
        <v>363</v>
      </c>
      <c r="F143" s="2" t="s">
        <v>32</v>
      </c>
      <c r="G143" s="2" t="s">
        <v>364</v>
      </c>
      <c r="H143" s="2" t="s">
        <v>146</v>
      </c>
      <c r="I143" s="2" t="s">
        <v>147</v>
      </c>
      <c r="J143" s="3">
        <v>20</v>
      </c>
      <c r="K143" s="2" t="s">
        <v>36</v>
      </c>
      <c r="L143" s="3">
        <v>20</v>
      </c>
      <c r="M143" s="11">
        <v>384060</v>
      </c>
      <c r="N143" s="3">
        <v>0</v>
      </c>
      <c r="O143" s="2" t="s">
        <v>21</v>
      </c>
      <c r="P143" s="2" t="s">
        <v>29</v>
      </c>
      <c r="Q143" s="2" t="s">
        <v>22</v>
      </c>
    </row>
    <row r="144" spans="1:17" x14ac:dyDescent="0.25">
      <c r="A144" s="1">
        <v>46176</v>
      </c>
      <c r="B144" s="1">
        <v>46175</v>
      </c>
      <c r="C144" s="2" t="s">
        <v>362</v>
      </c>
      <c r="D144" s="2" t="s">
        <v>17</v>
      </c>
      <c r="E144" s="2" t="s">
        <v>363</v>
      </c>
      <c r="F144" s="2" t="s">
        <v>32</v>
      </c>
      <c r="G144" s="2" t="s">
        <v>364</v>
      </c>
      <c r="H144" s="2" t="s">
        <v>119</v>
      </c>
      <c r="I144" s="2" t="s">
        <v>120</v>
      </c>
      <c r="J144" s="3">
        <v>20</v>
      </c>
      <c r="K144" s="2" t="s">
        <v>36</v>
      </c>
      <c r="L144" s="3">
        <v>20</v>
      </c>
      <c r="M144" s="11">
        <v>372960</v>
      </c>
      <c r="N144" s="3">
        <v>0</v>
      </c>
      <c r="O144" s="2" t="s">
        <v>21</v>
      </c>
      <c r="P144" s="2" t="s">
        <v>29</v>
      </c>
      <c r="Q144" s="2" t="s">
        <v>22</v>
      </c>
    </row>
    <row r="145" spans="1:17" x14ac:dyDescent="0.25">
      <c r="A145" s="1">
        <v>46176</v>
      </c>
      <c r="B145" s="1">
        <v>46175</v>
      </c>
      <c r="C145" s="2" t="s">
        <v>362</v>
      </c>
      <c r="D145" s="2" t="s">
        <v>17</v>
      </c>
      <c r="E145" s="2" t="s">
        <v>363</v>
      </c>
      <c r="F145" s="2" t="s">
        <v>32</v>
      </c>
      <c r="G145" s="2" t="s">
        <v>364</v>
      </c>
      <c r="H145" s="2" t="s">
        <v>148</v>
      </c>
      <c r="I145" s="2" t="s">
        <v>149</v>
      </c>
      <c r="J145" s="3">
        <v>20</v>
      </c>
      <c r="K145" s="2" t="s">
        <v>36</v>
      </c>
      <c r="L145" s="3">
        <v>20</v>
      </c>
      <c r="M145" s="11">
        <v>361860</v>
      </c>
      <c r="N145" s="3">
        <v>0</v>
      </c>
      <c r="O145" s="2" t="s">
        <v>21</v>
      </c>
      <c r="P145" s="2" t="s">
        <v>29</v>
      </c>
      <c r="Q145" s="2" t="s">
        <v>22</v>
      </c>
    </row>
    <row r="146" spans="1:17" x14ac:dyDescent="0.25">
      <c r="A146" s="1">
        <v>46176</v>
      </c>
      <c r="B146" s="1">
        <v>46175</v>
      </c>
      <c r="C146" s="2" t="s">
        <v>365</v>
      </c>
      <c r="D146" s="2" t="s">
        <v>17</v>
      </c>
      <c r="E146" s="2" t="s">
        <v>358</v>
      </c>
      <c r="F146" s="2" t="s">
        <v>18</v>
      </c>
      <c r="G146" s="2" t="s">
        <v>56</v>
      </c>
      <c r="H146" s="2" t="s">
        <v>366</v>
      </c>
      <c r="I146" s="2" t="s">
        <v>367</v>
      </c>
      <c r="J146" s="3">
        <v>24</v>
      </c>
      <c r="K146" s="2" t="s">
        <v>20</v>
      </c>
      <c r="L146" s="3">
        <v>24</v>
      </c>
      <c r="M146" s="11">
        <v>1012320</v>
      </c>
      <c r="N146" s="3">
        <v>0</v>
      </c>
      <c r="O146" s="2" t="s">
        <v>21</v>
      </c>
      <c r="P146" s="2" t="s">
        <v>29</v>
      </c>
      <c r="Q146" s="2" t="s">
        <v>22</v>
      </c>
    </row>
    <row r="147" spans="1:17" x14ac:dyDescent="0.25">
      <c r="A147" s="1">
        <v>46176</v>
      </c>
      <c r="B147" s="1">
        <v>46175</v>
      </c>
      <c r="C147" s="2" t="s">
        <v>368</v>
      </c>
      <c r="D147" s="2" t="s">
        <v>17</v>
      </c>
      <c r="E147" s="2" t="s">
        <v>369</v>
      </c>
      <c r="F147" s="2" t="s">
        <v>32</v>
      </c>
      <c r="G147" s="2" t="s">
        <v>364</v>
      </c>
      <c r="H147" s="2" t="s">
        <v>148</v>
      </c>
      <c r="I147" s="2" t="s">
        <v>149</v>
      </c>
      <c r="J147" s="3">
        <v>20</v>
      </c>
      <c r="K147" s="2" t="s">
        <v>36</v>
      </c>
      <c r="L147" s="3">
        <v>20</v>
      </c>
      <c r="M147" s="11">
        <v>361860</v>
      </c>
      <c r="N147" s="3">
        <v>0</v>
      </c>
      <c r="O147" s="2" t="s">
        <v>21</v>
      </c>
      <c r="P147" s="2" t="s">
        <v>29</v>
      </c>
      <c r="Q147" s="2" t="s">
        <v>22</v>
      </c>
    </row>
    <row r="148" spans="1:17" x14ac:dyDescent="0.25">
      <c r="A148" s="1">
        <v>46176</v>
      </c>
      <c r="B148" s="1">
        <v>46175</v>
      </c>
      <c r="C148" s="2" t="s">
        <v>370</v>
      </c>
      <c r="D148" s="2" t="s">
        <v>17</v>
      </c>
      <c r="E148" s="2" t="s">
        <v>371</v>
      </c>
      <c r="F148" s="2" t="s">
        <v>18</v>
      </c>
      <c r="G148" s="2" t="s">
        <v>43</v>
      </c>
      <c r="H148" s="2" t="s">
        <v>160</v>
      </c>
      <c r="I148" s="2" t="s">
        <v>161</v>
      </c>
      <c r="J148" s="3">
        <v>4</v>
      </c>
      <c r="K148" s="2" t="s">
        <v>84</v>
      </c>
      <c r="L148" s="3">
        <v>4</v>
      </c>
      <c r="M148" s="11">
        <v>186480</v>
      </c>
      <c r="N148" s="3">
        <v>0</v>
      </c>
      <c r="O148" s="2" t="s">
        <v>21</v>
      </c>
      <c r="P148" s="2" t="s">
        <v>29</v>
      </c>
      <c r="Q148" s="2" t="s">
        <v>22</v>
      </c>
    </row>
    <row r="149" spans="1:17" x14ac:dyDescent="0.25">
      <c r="A149" s="1">
        <v>46176</v>
      </c>
      <c r="B149" s="1">
        <v>46175</v>
      </c>
      <c r="C149" s="2" t="s">
        <v>370</v>
      </c>
      <c r="D149" s="2" t="s">
        <v>17</v>
      </c>
      <c r="E149" s="2" t="s">
        <v>371</v>
      </c>
      <c r="F149" s="2" t="s">
        <v>18</v>
      </c>
      <c r="G149" s="2" t="s">
        <v>43</v>
      </c>
      <c r="H149" s="2" t="s">
        <v>82</v>
      </c>
      <c r="I149" s="2" t="s">
        <v>83</v>
      </c>
      <c r="J149" s="3">
        <v>4</v>
      </c>
      <c r="K149" s="2" t="s">
        <v>84</v>
      </c>
      <c r="L149" s="3">
        <v>4</v>
      </c>
      <c r="M149" s="11">
        <v>186480</v>
      </c>
      <c r="N149" s="3">
        <v>0</v>
      </c>
      <c r="O149" s="2" t="s">
        <v>21</v>
      </c>
      <c r="P149" s="2" t="s">
        <v>29</v>
      </c>
      <c r="Q149" s="2" t="s">
        <v>22</v>
      </c>
    </row>
    <row r="150" spans="1:17" x14ac:dyDescent="0.25">
      <c r="A150" s="1">
        <v>46176</v>
      </c>
      <c r="B150" s="1">
        <v>46175</v>
      </c>
      <c r="C150" s="2" t="s">
        <v>372</v>
      </c>
      <c r="D150" s="2" t="s">
        <v>17</v>
      </c>
      <c r="E150" s="2" t="s">
        <v>373</v>
      </c>
      <c r="F150" s="2" t="s">
        <v>32</v>
      </c>
      <c r="G150" s="2" t="s">
        <v>364</v>
      </c>
      <c r="H150" s="2" t="s">
        <v>119</v>
      </c>
      <c r="I150" s="2" t="s">
        <v>120</v>
      </c>
      <c r="J150" s="3">
        <v>20</v>
      </c>
      <c r="K150" s="2" t="s">
        <v>36</v>
      </c>
      <c r="L150" s="3">
        <v>20</v>
      </c>
      <c r="M150" s="11">
        <v>372960</v>
      </c>
      <c r="N150" s="3">
        <v>0</v>
      </c>
      <c r="O150" s="2" t="s">
        <v>21</v>
      </c>
      <c r="P150" s="2" t="s">
        <v>29</v>
      </c>
      <c r="Q150" s="2" t="s">
        <v>22</v>
      </c>
    </row>
    <row r="151" spans="1:17" x14ac:dyDescent="0.25">
      <c r="A151" s="1">
        <v>46176</v>
      </c>
      <c r="B151" s="1">
        <v>46175</v>
      </c>
      <c r="C151" s="2" t="s">
        <v>372</v>
      </c>
      <c r="D151" s="2" t="s">
        <v>17</v>
      </c>
      <c r="E151" s="2" t="s">
        <v>373</v>
      </c>
      <c r="F151" s="2" t="s">
        <v>32</v>
      </c>
      <c r="G151" s="2" t="s">
        <v>364</v>
      </c>
      <c r="H151" s="2" t="s">
        <v>148</v>
      </c>
      <c r="I151" s="2" t="s">
        <v>149</v>
      </c>
      <c r="J151" s="3">
        <v>20</v>
      </c>
      <c r="K151" s="2" t="s">
        <v>36</v>
      </c>
      <c r="L151" s="3">
        <v>20</v>
      </c>
      <c r="M151" s="11">
        <v>361860</v>
      </c>
      <c r="N151" s="3">
        <v>0</v>
      </c>
      <c r="O151" s="2" t="s">
        <v>21</v>
      </c>
      <c r="P151" s="2" t="s">
        <v>29</v>
      </c>
      <c r="Q151" s="2" t="s">
        <v>22</v>
      </c>
    </row>
    <row r="152" spans="1:17" x14ac:dyDescent="0.25">
      <c r="A152" s="1">
        <v>46176</v>
      </c>
      <c r="B152" s="1">
        <v>46175</v>
      </c>
      <c r="C152" s="2" t="s">
        <v>374</v>
      </c>
      <c r="D152" s="2" t="s">
        <v>17</v>
      </c>
      <c r="E152" s="2" t="s">
        <v>375</v>
      </c>
      <c r="F152" s="2" t="s">
        <v>18</v>
      </c>
      <c r="G152" s="2" t="s">
        <v>33</v>
      </c>
      <c r="H152" s="2" t="s">
        <v>160</v>
      </c>
      <c r="I152" s="2" t="s">
        <v>161</v>
      </c>
      <c r="J152" s="3">
        <v>12</v>
      </c>
      <c r="K152" s="2" t="s">
        <v>84</v>
      </c>
      <c r="L152" s="3">
        <v>12</v>
      </c>
      <c r="M152" s="11">
        <v>559440</v>
      </c>
      <c r="N152" s="3">
        <v>0</v>
      </c>
      <c r="O152" s="2" t="s">
        <v>21</v>
      </c>
      <c r="P152" s="2" t="s">
        <v>29</v>
      </c>
      <c r="Q152" s="2" t="s">
        <v>22</v>
      </c>
    </row>
    <row r="153" spans="1:17" x14ac:dyDescent="0.25">
      <c r="A153" s="1">
        <v>46176</v>
      </c>
      <c r="B153" s="1">
        <v>46175</v>
      </c>
      <c r="C153" s="2" t="s">
        <v>376</v>
      </c>
      <c r="D153" s="2" t="s">
        <v>17</v>
      </c>
      <c r="E153" s="2" t="s">
        <v>377</v>
      </c>
      <c r="F153" s="2" t="s">
        <v>32</v>
      </c>
      <c r="G153" s="2" t="s">
        <v>364</v>
      </c>
      <c r="H153" s="2" t="s">
        <v>148</v>
      </c>
      <c r="I153" s="2" t="s">
        <v>149</v>
      </c>
      <c r="J153" s="3">
        <v>20</v>
      </c>
      <c r="K153" s="2" t="s">
        <v>36</v>
      </c>
      <c r="L153" s="3">
        <v>20</v>
      </c>
      <c r="M153" s="11">
        <v>361860</v>
      </c>
      <c r="N153" s="3">
        <v>0</v>
      </c>
      <c r="O153" s="2" t="s">
        <v>21</v>
      </c>
      <c r="P153" s="2" t="s">
        <v>29</v>
      </c>
      <c r="Q153" s="2" t="s">
        <v>22</v>
      </c>
    </row>
    <row r="154" spans="1:17" x14ac:dyDescent="0.25">
      <c r="A154" s="1">
        <v>46176</v>
      </c>
      <c r="B154" s="1">
        <v>46175</v>
      </c>
      <c r="C154" s="2" t="s">
        <v>376</v>
      </c>
      <c r="D154" s="2" t="s">
        <v>17</v>
      </c>
      <c r="E154" s="2" t="s">
        <v>377</v>
      </c>
      <c r="F154" s="2" t="s">
        <v>32</v>
      </c>
      <c r="G154" s="2" t="s">
        <v>364</v>
      </c>
      <c r="H154" s="2" t="s">
        <v>146</v>
      </c>
      <c r="I154" s="2" t="s">
        <v>147</v>
      </c>
      <c r="J154" s="3">
        <v>20</v>
      </c>
      <c r="K154" s="2" t="s">
        <v>36</v>
      </c>
      <c r="L154" s="3">
        <v>20</v>
      </c>
      <c r="M154" s="11">
        <v>384060</v>
      </c>
      <c r="N154" s="3">
        <v>0</v>
      </c>
      <c r="O154" s="2" t="s">
        <v>21</v>
      </c>
      <c r="P154" s="2" t="s">
        <v>29</v>
      </c>
      <c r="Q154" s="2" t="s">
        <v>22</v>
      </c>
    </row>
    <row r="155" spans="1:17" x14ac:dyDescent="0.25">
      <c r="A155" s="1">
        <v>46176</v>
      </c>
      <c r="B155" s="1">
        <v>46175</v>
      </c>
      <c r="C155" s="2" t="s">
        <v>378</v>
      </c>
      <c r="D155" s="2" t="s">
        <v>17</v>
      </c>
      <c r="E155" s="2" t="s">
        <v>168</v>
      </c>
      <c r="F155" s="2" t="s">
        <v>32</v>
      </c>
      <c r="G155" s="2" t="s">
        <v>25</v>
      </c>
      <c r="H155" s="2" t="s">
        <v>82</v>
      </c>
      <c r="I155" s="2" t="s">
        <v>83</v>
      </c>
      <c r="J155" s="3">
        <v>12</v>
      </c>
      <c r="K155" s="2" t="s">
        <v>84</v>
      </c>
      <c r="L155" s="3">
        <v>12</v>
      </c>
      <c r="M155" s="11">
        <v>559440</v>
      </c>
      <c r="N155" s="3">
        <v>0</v>
      </c>
      <c r="O155" s="2" t="s">
        <v>21</v>
      </c>
      <c r="P155" s="2" t="s">
        <v>29</v>
      </c>
      <c r="Q155" s="2" t="s">
        <v>379</v>
      </c>
    </row>
    <row r="156" spans="1:17" x14ac:dyDescent="0.25">
      <c r="A156" s="1">
        <v>46176</v>
      </c>
      <c r="B156" s="1">
        <v>46175</v>
      </c>
      <c r="C156" s="2" t="s">
        <v>378</v>
      </c>
      <c r="D156" s="2" t="s">
        <v>17</v>
      </c>
      <c r="E156" s="2" t="s">
        <v>168</v>
      </c>
      <c r="F156" s="2" t="s">
        <v>32</v>
      </c>
      <c r="G156" s="2" t="s">
        <v>25</v>
      </c>
      <c r="H156" s="2" t="s">
        <v>160</v>
      </c>
      <c r="I156" s="2" t="s">
        <v>161</v>
      </c>
      <c r="J156" s="3">
        <v>12</v>
      </c>
      <c r="K156" s="2" t="s">
        <v>84</v>
      </c>
      <c r="L156" s="3">
        <v>12</v>
      </c>
      <c r="M156" s="11">
        <v>559440</v>
      </c>
      <c r="N156" s="3">
        <v>0</v>
      </c>
      <c r="O156" s="2" t="s">
        <v>21</v>
      </c>
      <c r="P156" s="2" t="s">
        <v>29</v>
      </c>
      <c r="Q156" s="2" t="s">
        <v>379</v>
      </c>
    </row>
    <row r="157" spans="1:17" x14ac:dyDescent="0.25">
      <c r="A157" s="1">
        <v>46176</v>
      </c>
      <c r="B157" s="1">
        <v>46175</v>
      </c>
      <c r="C157" s="2" t="s">
        <v>380</v>
      </c>
      <c r="D157" s="2" t="s">
        <v>17</v>
      </c>
      <c r="E157" s="2" t="s">
        <v>381</v>
      </c>
      <c r="F157" s="2" t="s">
        <v>32</v>
      </c>
      <c r="G157" s="2" t="s">
        <v>364</v>
      </c>
      <c r="H157" s="2" t="s">
        <v>146</v>
      </c>
      <c r="I157" s="2" t="s">
        <v>147</v>
      </c>
      <c r="J157" s="3">
        <v>20</v>
      </c>
      <c r="K157" s="2" t="s">
        <v>36</v>
      </c>
      <c r="L157" s="3">
        <v>20</v>
      </c>
      <c r="M157" s="11">
        <v>384060</v>
      </c>
      <c r="N157" s="3">
        <v>0</v>
      </c>
      <c r="O157" s="2" t="s">
        <v>21</v>
      </c>
      <c r="P157" s="2" t="s">
        <v>29</v>
      </c>
      <c r="Q157" s="2" t="s">
        <v>22</v>
      </c>
    </row>
    <row r="158" spans="1:17" x14ac:dyDescent="0.25">
      <c r="A158" s="1">
        <v>46176</v>
      </c>
      <c r="B158" s="1">
        <v>46175</v>
      </c>
      <c r="C158" s="2" t="s">
        <v>382</v>
      </c>
      <c r="D158" s="2" t="s">
        <v>17</v>
      </c>
      <c r="E158" s="2" t="s">
        <v>383</v>
      </c>
      <c r="F158" s="2" t="s">
        <v>32</v>
      </c>
      <c r="G158" s="2" t="s">
        <v>61</v>
      </c>
      <c r="H158" s="2" t="s">
        <v>104</v>
      </c>
      <c r="I158" s="2" t="s">
        <v>105</v>
      </c>
      <c r="J158" s="3">
        <v>84</v>
      </c>
      <c r="K158" s="2" t="s">
        <v>106</v>
      </c>
      <c r="L158" s="3">
        <v>84</v>
      </c>
      <c r="M158" s="11">
        <v>4720799.9400000004</v>
      </c>
      <c r="N158" s="3">
        <v>0</v>
      </c>
      <c r="O158" s="2" t="s">
        <v>21</v>
      </c>
      <c r="P158" s="2" t="s">
        <v>29</v>
      </c>
      <c r="Q158" s="2" t="s">
        <v>22</v>
      </c>
    </row>
    <row r="159" spans="1:17" x14ac:dyDescent="0.25">
      <c r="A159" s="1">
        <v>46176</v>
      </c>
      <c r="B159" s="1">
        <v>46175</v>
      </c>
      <c r="C159" s="2" t="s">
        <v>384</v>
      </c>
      <c r="D159" s="2" t="s">
        <v>17</v>
      </c>
      <c r="E159" s="2" t="s">
        <v>385</v>
      </c>
      <c r="F159" s="2" t="s">
        <v>32</v>
      </c>
      <c r="G159" s="2" t="s">
        <v>364</v>
      </c>
      <c r="H159" s="2" t="s">
        <v>146</v>
      </c>
      <c r="I159" s="2" t="s">
        <v>147</v>
      </c>
      <c r="J159" s="3">
        <v>20</v>
      </c>
      <c r="K159" s="2" t="s">
        <v>36</v>
      </c>
      <c r="L159" s="3">
        <v>20</v>
      </c>
      <c r="M159" s="11">
        <v>384060</v>
      </c>
      <c r="N159" s="3">
        <v>0</v>
      </c>
      <c r="O159" s="2" t="s">
        <v>21</v>
      </c>
      <c r="P159" s="2" t="s">
        <v>29</v>
      </c>
      <c r="Q159" s="2" t="s">
        <v>22</v>
      </c>
    </row>
    <row r="160" spans="1:17" x14ac:dyDescent="0.25">
      <c r="A160" s="1">
        <v>46176</v>
      </c>
      <c r="B160" s="1">
        <v>46175</v>
      </c>
      <c r="C160" s="2" t="s">
        <v>390</v>
      </c>
      <c r="D160" s="2" t="s">
        <v>17</v>
      </c>
      <c r="E160" s="2" t="s">
        <v>391</v>
      </c>
      <c r="F160" s="2" t="s">
        <v>32</v>
      </c>
      <c r="G160" s="2" t="s">
        <v>364</v>
      </c>
      <c r="H160" s="2" t="s">
        <v>146</v>
      </c>
      <c r="I160" s="2" t="s">
        <v>147</v>
      </c>
      <c r="J160" s="3">
        <v>20</v>
      </c>
      <c r="K160" s="2" t="s">
        <v>36</v>
      </c>
      <c r="L160" s="3">
        <v>20</v>
      </c>
      <c r="M160" s="11">
        <v>384060</v>
      </c>
      <c r="N160" s="3">
        <v>0</v>
      </c>
      <c r="O160" s="2" t="s">
        <v>21</v>
      </c>
      <c r="P160" s="2" t="s">
        <v>29</v>
      </c>
      <c r="Q160" s="2" t="s">
        <v>22</v>
      </c>
    </row>
    <row r="161" spans="1:17" x14ac:dyDescent="0.25">
      <c r="A161" s="1">
        <v>46176</v>
      </c>
      <c r="B161" s="1">
        <v>46175</v>
      </c>
      <c r="C161" s="2" t="s">
        <v>392</v>
      </c>
      <c r="D161" s="2" t="s">
        <v>17</v>
      </c>
      <c r="E161" s="2" t="s">
        <v>393</v>
      </c>
      <c r="F161" s="2" t="s">
        <v>32</v>
      </c>
      <c r="G161" s="2" t="s">
        <v>364</v>
      </c>
      <c r="H161" s="2" t="s">
        <v>148</v>
      </c>
      <c r="I161" s="2" t="s">
        <v>149</v>
      </c>
      <c r="J161" s="3">
        <v>20</v>
      </c>
      <c r="K161" s="2" t="s">
        <v>36</v>
      </c>
      <c r="L161" s="3">
        <v>20</v>
      </c>
      <c r="M161" s="11">
        <v>361860</v>
      </c>
      <c r="N161" s="3">
        <v>0</v>
      </c>
      <c r="O161" s="2" t="s">
        <v>21</v>
      </c>
      <c r="P161" s="2" t="s">
        <v>29</v>
      </c>
      <c r="Q161" s="2" t="s">
        <v>22</v>
      </c>
    </row>
    <row r="162" spans="1:17" x14ac:dyDescent="0.25">
      <c r="A162" s="1">
        <v>46176</v>
      </c>
      <c r="B162" s="1">
        <v>46175</v>
      </c>
      <c r="C162" s="2" t="s">
        <v>392</v>
      </c>
      <c r="D162" s="2" t="s">
        <v>17</v>
      </c>
      <c r="E162" s="2" t="s">
        <v>393</v>
      </c>
      <c r="F162" s="2" t="s">
        <v>32</v>
      </c>
      <c r="G162" s="2" t="s">
        <v>364</v>
      </c>
      <c r="H162" s="2" t="s">
        <v>119</v>
      </c>
      <c r="I162" s="2" t="s">
        <v>120</v>
      </c>
      <c r="J162" s="3">
        <v>20</v>
      </c>
      <c r="K162" s="2" t="s">
        <v>36</v>
      </c>
      <c r="L162" s="3">
        <v>20</v>
      </c>
      <c r="M162" s="11">
        <v>372960</v>
      </c>
      <c r="N162" s="3">
        <v>0</v>
      </c>
      <c r="O162" s="2" t="s">
        <v>21</v>
      </c>
      <c r="P162" s="2" t="s">
        <v>29</v>
      </c>
      <c r="Q162" s="2" t="s">
        <v>22</v>
      </c>
    </row>
    <row r="163" spans="1:17" x14ac:dyDescent="0.25">
      <c r="A163" s="1">
        <v>46176</v>
      </c>
      <c r="B163" s="1">
        <v>46175</v>
      </c>
      <c r="C163" s="2" t="s">
        <v>394</v>
      </c>
      <c r="D163" s="2" t="s">
        <v>17</v>
      </c>
      <c r="E163" s="2" t="s">
        <v>386</v>
      </c>
      <c r="F163" s="2" t="s">
        <v>18</v>
      </c>
      <c r="G163" s="2" t="s">
        <v>387</v>
      </c>
      <c r="H163" s="2" t="s">
        <v>388</v>
      </c>
      <c r="I163" s="2" t="s">
        <v>389</v>
      </c>
      <c r="J163" s="3">
        <v>10</v>
      </c>
      <c r="K163" s="2" t="s">
        <v>20</v>
      </c>
      <c r="L163" s="3">
        <v>10</v>
      </c>
      <c r="M163" s="11">
        <v>688200</v>
      </c>
      <c r="N163" s="3">
        <v>0</v>
      </c>
      <c r="O163" s="2" t="s">
        <v>21</v>
      </c>
      <c r="P163" s="2" t="s">
        <v>29</v>
      </c>
      <c r="Q163" s="2" t="s">
        <v>395</v>
      </c>
    </row>
    <row r="164" spans="1:17" x14ac:dyDescent="0.25">
      <c r="A164" s="1">
        <v>46176</v>
      </c>
      <c r="B164" s="1">
        <v>46175</v>
      </c>
      <c r="C164" s="2" t="s">
        <v>394</v>
      </c>
      <c r="D164" s="2" t="s">
        <v>17</v>
      </c>
      <c r="E164" s="2" t="s">
        <v>386</v>
      </c>
      <c r="F164" s="2" t="s">
        <v>18</v>
      </c>
      <c r="G164" s="2" t="s">
        <v>387</v>
      </c>
      <c r="H164" s="2" t="s">
        <v>336</v>
      </c>
      <c r="I164" s="2" t="s">
        <v>337</v>
      </c>
      <c r="J164" s="3">
        <v>2</v>
      </c>
      <c r="K164" s="2" t="s">
        <v>20</v>
      </c>
      <c r="L164" s="3">
        <v>2</v>
      </c>
      <c r="M164" s="11">
        <v>230880</v>
      </c>
      <c r="N164" s="3">
        <v>0</v>
      </c>
      <c r="O164" s="2" t="s">
        <v>21</v>
      </c>
      <c r="P164" s="2" t="s">
        <v>29</v>
      </c>
      <c r="Q164" s="2" t="s">
        <v>395</v>
      </c>
    </row>
    <row r="165" spans="1:17" x14ac:dyDescent="0.25">
      <c r="A165" s="1">
        <v>46176</v>
      </c>
      <c r="B165" s="1">
        <v>46175</v>
      </c>
      <c r="C165" s="2" t="s">
        <v>396</v>
      </c>
      <c r="D165" s="2" t="s">
        <v>17</v>
      </c>
      <c r="E165" s="2" t="s">
        <v>132</v>
      </c>
      <c r="F165" s="2" t="s">
        <v>32</v>
      </c>
      <c r="G165" s="2" t="s">
        <v>387</v>
      </c>
      <c r="H165" s="2" t="s">
        <v>397</v>
      </c>
      <c r="I165" s="2" t="s">
        <v>398</v>
      </c>
      <c r="J165" s="3">
        <v>5</v>
      </c>
      <c r="K165" s="2" t="s">
        <v>20</v>
      </c>
      <c r="L165" s="3">
        <v>5</v>
      </c>
      <c r="M165" s="11">
        <v>666000</v>
      </c>
      <c r="N165" s="3">
        <v>0</v>
      </c>
      <c r="O165" s="2" t="s">
        <v>21</v>
      </c>
      <c r="P165" s="2" t="s">
        <v>29</v>
      </c>
      <c r="Q165" s="2" t="s">
        <v>22</v>
      </c>
    </row>
    <row r="166" spans="1:17" x14ac:dyDescent="0.25">
      <c r="A166" s="1">
        <v>46176</v>
      </c>
      <c r="B166" s="1">
        <v>46175</v>
      </c>
      <c r="C166" s="2" t="s">
        <v>399</v>
      </c>
      <c r="D166" s="2" t="s">
        <v>17</v>
      </c>
      <c r="E166" s="2" t="s">
        <v>103</v>
      </c>
      <c r="F166" s="2" t="s">
        <v>32</v>
      </c>
      <c r="G166" s="2" t="s">
        <v>387</v>
      </c>
      <c r="H166" s="2" t="s">
        <v>397</v>
      </c>
      <c r="I166" s="2" t="s">
        <v>398</v>
      </c>
      <c r="J166" s="3">
        <v>8</v>
      </c>
      <c r="K166" s="2" t="s">
        <v>20</v>
      </c>
      <c r="L166" s="3">
        <v>8</v>
      </c>
      <c r="M166" s="11">
        <v>1065600</v>
      </c>
      <c r="N166" s="3">
        <v>0</v>
      </c>
      <c r="O166" s="2" t="s">
        <v>21</v>
      </c>
      <c r="P166" s="2" t="s">
        <v>29</v>
      </c>
      <c r="Q166" s="2" t="s">
        <v>22</v>
      </c>
    </row>
    <row r="167" spans="1:17" x14ac:dyDescent="0.25">
      <c r="A167" s="1">
        <v>46176</v>
      </c>
      <c r="B167" s="1">
        <v>46175</v>
      </c>
      <c r="C167" s="2" t="s">
        <v>400</v>
      </c>
      <c r="D167" s="2" t="s">
        <v>17</v>
      </c>
      <c r="E167" s="2" t="s">
        <v>401</v>
      </c>
      <c r="F167" s="2" t="s">
        <v>32</v>
      </c>
      <c r="G167" s="2" t="s">
        <v>387</v>
      </c>
      <c r="H167" s="2" t="s">
        <v>397</v>
      </c>
      <c r="I167" s="2" t="s">
        <v>398</v>
      </c>
      <c r="J167" s="3">
        <v>8</v>
      </c>
      <c r="K167" s="2" t="s">
        <v>20</v>
      </c>
      <c r="L167" s="3">
        <v>8</v>
      </c>
      <c r="M167" s="11">
        <v>1065600</v>
      </c>
      <c r="N167" s="3">
        <v>0</v>
      </c>
      <c r="O167" s="2" t="s">
        <v>21</v>
      </c>
      <c r="P167" s="2" t="s">
        <v>29</v>
      </c>
      <c r="Q167" s="2" t="s">
        <v>22</v>
      </c>
    </row>
    <row r="168" spans="1:17" x14ac:dyDescent="0.25">
      <c r="A168" s="1">
        <v>46176</v>
      </c>
      <c r="B168" s="1">
        <v>46175</v>
      </c>
      <c r="C168" s="2" t="s">
        <v>402</v>
      </c>
      <c r="D168" s="2" t="s">
        <v>17</v>
      </c>
      <c r="E168" s="2" t="s">
        <v>403</v>
      </c>
      <c r="F168" s="2" t="s">
        <v>32</v>
      </c>
      <c r="G168" s="2" t="s">
        <v>404</v>
      </c>
      <c r="H168" s="2" t="s">
        <v>405</v>
      </c>
      <c r="I168" s="2" t="s">
        <v>406</v>
      </c>
      <c r="J168" s="3">
        <v>12</v>
      </c>
      <c r="K168" s="2" t="s">
        <v>20</v>
      </c>
      <c r="L168" s="3">
        <v>12</v>
      </c>
      <c r="M168" s="11">
        <v>1050599.95</v>
      </c>
      <c r="N168" s="3">
        <v>0</v>
      </c>
      <c r="O168" s="2" t="s">
        <v>21</v>
      </c>
      <c r="P168" s="2" t="s">
        <v>29</v>
      </c>
      <c r="Q168" s="2" t="s">
        <v>407</v>
      </c>
    </row>
    <row r="169" spans="1:17" x14ac:dyDescent="0.25">
      <c r="A169" s="1">
        <v>46176</v>
      </c>
      <c r="B169" s="1">
        <v>46175</v>
      </c>
      <c r="C169" s="2" t="s">
        <v>409</v>
      </c>
      <c r="D169" s="2" t="s">
        <v>17</v>
      </c>
      <c r="E169" s="2" t="s">
        <v>410</v>
      </c>
      <c r="F169" s="2" t="s">
        <v>32</v>
      </c>
      <c r="G169" s="2" t="s">
        <v>89</v>
      </c>
      <c r="H169" s="2" t="s">
        <v>411</v>
      </c>
      <c r="I169" s="2" t="s">
        <v>412</v>
      </c>
      <c r="J169" s="3">
        <v>4</v>
      </c>
      <c r="K169" s="2" t="s">
        <v>36</v>
      </c>
      <c r="L169" s="3">
        <v>4</v>
      </c>
      <c r="M169" s="11">
        <v>108780</v>
      </c>
      <c r="N169" s="3">
        <v>0</v>
      </c>
      <c r="O169" s="2" t="s">
        <v>21</v>
      </c>
      <c r="P169" s="2" t="s">
        <v>29</v>
      </c>
      <c r="Q169" s="2" t="s">
        <v>22</v>
      </c>
    </row>
    <row r="170" spans="1:17" x14ac:dyDescent="0.25">
      <c r="A170" s="1">
        <v>46176</v>
      </c>
      <c r="B170" s="1">
        <v>46175</v>
      </c>
      <c r="C170" s="2" t="s">
        <v>409</v>
      </c>
      <c r="D170" s="2" t="s">
        <v>17</v>
      </c>
      <c r="E170" s="2" t="s">
        <v>410</v>
      </c>
      <c r="F170" s="2" t="s">
        <v>32</v>
      </c>
      <c r="G170" s="2" t="s">
        <v>89</v>
      </c>
      <c r="H170" s="2" t="s">
        <v>26</v>
      </c>
      <c r="I170" s="2" t="s">
        <v>27</v>
      </c>
      <c r="J170" s="3">
        <v>1</v>
      </c>
      <c r="K170" s="2" t="s">
        <v>28</v>
      </c>
      <c r="L170" s="3">
        <v>1</v>
      </c>
      <c r="M170" s="11">
        <v>327450</v>
      </c>
      <c r="N170" s="3">
        <v>0</v>
      </c>
      <c r="O170" s="2" t="s">
        <v>21</v>
      </c>
      <c r="P170" s="2" t="s">
        <v>29</v>
      </c>
      <c r="Q170" s="2" t="s">
        <v>22</v>
      </c>
    </row>
    <row r="171" spans="1:17" x14ac:dyDescent="0.25">
      <c r="A171" s="1">
        <v>46176</v>
      </c>
      <c r="B171" s="1">
        <v>46175</v>
      </c>
      <c r="C171" s="2" t="s">
        <v>413</v>
      </c>
      <c r="D171" s="2" t="s">
        <v>17</v>
      </c>
      <c r="E171" s="2" t="s">
        <v>414</v>
      </c>
      <c r="F171" s="2" t="s">
        <v>32</v>
      </c>
      <c r="G171" s="2" t="s">
        <v>387</v>
      </c>
      <c r="H171" s="2" t="s">
        <v>415</v>
      </c>
      <c r="I171" s="2" t="s">
        <v>416</v>
      </c>
      <c r="J171" s="3">
        <v>48</v>
      </c>
      <c r="K171" s="2" t="s">
        <v>20</v>
      </c>
      <c r="L171" s="3">
        <v>48</v>
      </c>
      <c r="M171" s="11">
        <v>3569760</v>
      </c>
      <c r="N171" s="3">
        <v>0</v>
      </c>
      <c r="O171" s="2" t="s">
        <v>21</v>
      </c>
      <c r="P171" s="2" t="s">
        <v>29</v>
      </c>
      <c r="Q171" s="2" t="s">
        <v>22</v>
      </c>
    </row>
    <row r="172" spans="1:17" x14ac:dyDescent="0.25">
      <c r="A172" s="1">
        <v>46176</v>
      </c>
      <c r="B172" s="1">
        <v>46175</v>
      </c>
      <c r="C172" s="2" t="s">
        <v>413</v>
      </c>
      <c r="D172" s="2" t="s">
        <v>17</v>
      </c>
      <c r="E172" s="2" t="s">
        <v>414</v>
      </c>
      <c r="F172" s="2" t="s">
        <v>32</v>
      </c>
      <c r="G172" s="2" t="s">
        <v>387</v>
      </c>
      <c r="H172" s="2" t="s">
        <v>417</v>
      </c>
      <c r="I172" s="2" t="s">
        <v>418</v>
      </c>
      <c r="J172" s="3">
        <v>36</v>
      </c>
      <c r="K172" s="2" t="s">
        <v>20</v>
      </c>
      <c r="L172" s="3">
        <v>36</v>
      </c>
      <c r="M172" s="11">
        <v>2137860</v>
      </c>
      <c r="N172" s="3">
        <v>0</v>
      </c>
      <c r="O172" s="2" t="s">
        <v>21</v>
      </c>
      <c r="P172" s="2" t="s">
        <v>29</v>
      </c>
      <c r="Q172" s="2" t="s">
        <v>22</v>
      </c>
    </row>
    <row r="173" spans="1:17" x14ac:dyDescent="0.25">
      <c r="A173" s="1">
        <v>46176</v>
      </c>
      <c r="B173" s="1">
        <v>46175</v>
      </c>
      <c r="C173" s="2" t="s">
        <v>413</v>
      </c>
      <c r="D173" s="2" t="s">
        <v>17</v>
      </c>
      <c r="E173" s="2" t="s">
        <v>414</v>
      </c>
      <c r="F173" s="2" t="s">
        <v>32</v>
      </c>
      <c r="G173" s="2" t="s">
        <v>387</v>
      </c>
      <c r="H173" s="2" t="s">
        <v>336</v>
      </c>
      <c r="I173" s="2" t="s">
        <v>337</v>
      </c>
      <c r="J173" s="3">
        <v>6</v>
      </c>
      <c r="K173" s="2" t="s">
        <v>20</v>
      </c>
      <c r="L173" s="3">
        <v>6</v>
      </c>
      <c r="M173" s="11">
        <v>692640</v>
      </c>
      <c r="N173" s="3">
        <v>0</v>
      </c>
      <c r="O173" s="2" t="s">
        <v>21</v>
      </c>
      <c r="P173" s="2" t="s">
        <v>29</v>
      </c>
      <c r="Q173" s="2" t="s">
        <v>22</v>
      </c>
    </row>
    <row r="174" spans="1:17" x14ac:dyDescent="0.25">
      <c r="A174" s="1">
        <v>46176</v>
      </c>
      <c r="B174" s="1">
        <v>46175</v>
      </c>
      <c r="C174" s="2" t="s">
        <v>419</v>
      </c>
      <c r="D174" s="2" t="s">
        <v>17</v>
      </c>
      <c r="E174" s="2" t="s">
        <v>420</v>
      </c>
      <c r="F174" s="2" t="s">
        <v>32</v>
      </c>
      <c r="G174" s="2" t="s">
        <v>156</v>
      </c>
      <c r="H174" s="2" t="s">
        <v>26</v>
      </c>
      <c r="I174" s="2" t="s">
        <v>27</v>
      </c>
      <c r="J174" s="3">
        <v>1</v>
      </c>
      <c r="K174" s="2" t="s">
        <v>28</v>
      </c>
      <c r="L174" s="3">
        <v>1</v>
      </c>
      <c r="M174" s="11">
        <v>327450</v>
      </c>
      <c r="N174" s="3">
        <v>0</v>
      </c>
      <c r="O174" s="2" t="s">
        <v>21</v>
      </c>
      <c r="P174" s="2" t="s">
        <v>29</v>
      </c>
      <c r="Q174" s="2" t="s">
        <v>22</v>
      </c>
    </row>
    <row r="175" spans="1:17" x14ac:dyDescent="0.25">
      <c r="A175" s="1">
        <v>46176</v>
      </c>
      <c r="B175" s="1">
        <v>46175</v>
      </c>
      <c r="C175" s="2" t="s">
        <v>419</v>
      </c>
      <c r="D175" s="2" t="s">
        <v>17</v>
      </c>
      <c r="E175" s="2" t="s">
        <v>420</v>
      </c>
      <c r="F175" s="2" t="s">
        <v>32</v>
      </c>
      <c r="G175" s="2" t="s">
        <v>156</v>
      </c>
      <c r="H175" s="2" t="s">
        <v>411</v>
      </c>
      <c r="I175" s="2" t="s">
        <v>412</v>
      </c>
      <c r="J175" s="3">
        <v>6</v>
      </c>
      <c r="K175" s="2" t="s">
        <v>36</v>
      </c>
      <c r="L175" s="3">
        <v>6</v>
      </c>
      <c r="M175" s="11">
        <v>163170</v>
      </c>
      <c r="N175" s="3">
        <v>0</v>
      </c>
      <c r="O175" s="2" t="s">
        <v>21</v>
      </c>
      <c r="P175" s="2" t="s">
        <v>29</v>
      </c>
      <c r="Q175" s="2" t="s">
        <v>22</v>
      </c>
    </row>
    <row r="176" spans="1:17" x14ac:dyDescent="0.25">
      <c r="A176" s="1">
        <v>46176</v>
      </c>
      <c r="B176" s="1">
        <v>46175</v>
      </c>
      <c r="C176" s="2" t="s">
        <v>421</v>
      </c>
      <c r="D176" s="2" t="s">
        <v>17</v>
      </c>
      <c r="E176" s="2" t="s">
        <v>422</v>
      </c>
      <c r="F176" s="2" t="s">
        <v>18</v>
      </c>
      <c r="G176" s="2" t="s">
        <v>404</v>
      </c>
      <c r="H176" s="2" t="s">
        <v>397</v>
      </c>
      <c r="I176" s="2" t="s">
        <v>398</v>
      </c>
      <c r="J176" s="3">
        <v>8</v>
      </c>
      <c r="K176" s="2" t="s">
        <v>20</v>
      </c>
      <c r="L176" s="3">
        <v>8</v>
      </c>
      <c r="M176" s="11">
        <v>1065600</v>
      </c>
      <c r="N176" s="3">
        <v>0</v>
      </c>
      <c r="O176" s="2" t="s">
        <v>21</v>
      </c>
      <c r="P176" s="2" t="s">
        <v>29</v>
      </c>
      <c r="Q176" s="2" t="s">
        <v>22</v>
      </c>
    </row>
    <row r="177" spans="1:17" x14ac:dyDescent="0.25">
      <c r="A177" s="1">
        <v>46176</v>
      </c>
      <c r="B177" s="1">
        <v>46175</v>
      </c>
      <c r="C177" s="2" t="s">
        <v>423</v>
      </c>
      <c r="D177" s="2" t="s">
        <v>17</v>
      </c>
      <c r="E177" s="2" t="s">
        <v>424</v>
      </c>
      <c r="F177" s="2" t="s">
        <v>32</v>
      </c>
      <c r="G177" s="2" t="s">
        <v>40</v>
      </c>
      <c r="H177" s="2" t="s">
        <v>128</v>
      </c>
      <c r="I177" s="2" t="s">
        <v>129</v>
      </c>
      <c r="J177" s="3">
        <v>5</v>
      </c>
      <c r="K177" s="2" t="s">
        <v>36</v>
      </c>
      <c r="L177" s="3">
        <v>4.7300000000000004</v>
      </c>
      <c r="M177" s="11">
        <v>804100</v>
      </c>
      <c r="N177" s="3">
        <v>-0.27</v>
      </c>
      <c r="O177" s="2" t="s">
        <v>21</v>
      </c>
      <c r="P177" s="2" t="s">
        <v>29</v>
      </c>
      <c r="Q177" s="2" t="s">
        <v>22</v>
      </c>
    </row>
    <row r="178" spans="1:17" x14ac:dyDescent="0.25">
      <c r="A178" s="1">
        <v>46176</v>
      </c>
      <c r="B178" s="1">
        <v>46175</v>
      </c>
      <c r="C178" s="2" t="s">
        <v>423</v>
      </c>
      <c r="D178" s="2" t="s">
        <v>17</v>
      </c>
      <c r="E178" s="2" t="s">
        <v>424</v>
      </c>
      <c r="F178" s="2" t="s">
        <v>32</v>
      </c>
      <c r="G178" s="2" t="s">
        <v>40</v>
      </c>
      <c r="H178" s="2" t="s">
        <v>425</v>
      </c>
      <c r="I178" s="2" t="s">
        <v>426</v>
      </c>
      <c r="J178" s="3">
        <v>13</v>
      </c>
      <c r="K178" s="2" t="s">
        <v>36</v>
      </c>
      <c r="L178" s="3">
        <v>14.72</v>
      </c>
      <c r="M178" s="11">
        <v>2428800</v>
      </c>
      <c r="N178" s="3">
        <v>1.72</v>
      </c>
      <c r="O178" s="2" t="s">
        <v>21</v>
      </c>
      <c r="P178" s="2" t="s">
        <v>29</v>
      </c>
      <c r="Q178" s="2" t="s">
        <v>22</v>
      </c>
    </row>
    <row r="179" spans="1:17" x14ac:dyDescent="0.25">
      <c r="A179" s="1">
        <v>46176</v>
      </c>
      <c r="B179" s="1">
        <v>46175</v>
      </c>
      <c r="C179" s="2" t="s">
        <v>427</v>
      </c>
      <c r="D179" s="2" t="s">
        <v>17</v>
      </c>
      <c r="E179" s="2" t="s">
        <v>424</v>
      </c>
      <c r="F179" s="2" t="s">
        <v>32</v>
      </c>
      <c r="G179" s="2" t="s">
        <v>40</v>
      </c>
      <c r="H179" s="2" t="s">
        <v>128</v>
      </c>
      <c r="I179" s="2" t="s">
        <v>129</v>
      </c>
      <c r="J179" s="3">
        <v>18</v>
      </c>
      <c r="K179" s="2" t="s">
        <v>36</v>
      </c>
      <c r="L179" s="3">
        <v>17.559899999999999</v>
      </c>
      <c r="M179" s="11">
        <v>2985200</v>
      </c>
      <c r="N179" s="3">
        <v>-0.44009999999999999</v>
      </c>
      <c r="O179" s="2" t="s">
        <v>21</v>
      </c>
      <c r="P179" s="2" t="s">
        <v>29</v>
      </c>
      <c r="Q179" s="2" t="s">
        <v>22</v>
      </c>
    </row>
    <row r="180" spans="1:17" x14ac:dyDescent="0.25">
      <c r="A180" s="1">
        <v>46176</v>
      </c>
      <c r="B180" s="1">
        <v>46175</v>
      </c>
      <c r="C180" s="2" t="s">
        <v>428</v>
      </c>
      <c r="D180" s="2" t="s">
        <v>17</v>
      </c>
      <c r="E180" s="2" t="s">
        <v>429</v>
      </c>
      <c r="F180" s="2" t="s">
        <v>32</v>
      </c>
      <c r="G180" s="2" t="s">
        <v>387</v>
      </c>
      <c r="H180" s="2" t="s">
        <v>336</v>
      </c>
      <c r="I180" s="2" t="s">
        <v>337</v>
      </c>
      <c r="J180" s="3">
        <v>5</v>
      </c>
      <c r="K180" s="2" t="s">
        <v>20</v>
      </c>
      <c r="L180" s="3">
        <v>5</v>
      </c>
      <c r="M180" s="11">
        <v>577200</v>
      </c>
      <c r="N180" s="3">
        <v>0</v>
      </c>
      <c r="O180" s="2" t="s">
        <v>21</v>
      </c>
      <c r="P180" s="2" t="s">
        <v>29</v>
      </c>
      <c r="Q180" s="2" t="s">
        <v>430</v>
      </c>
    </row>
    <row r="181" spans="1:17" x14ac:dyDescent="0.25">
      <c r="A181" s="1">
        <v>46176</v>
      </c>
      <c r="B181" s="1">
        <v>46175</v>
      </c>
      <c r="C181" s="2" t="s">
        <v>428</v>
      </c>
      <c r="D181" s="2" t="s">
        <v>17</v>
      </c>
      <c r="E181" s="2" t="s">
        <v>429</v>
      </c>
      <c r="F181" s="2" t="s">
        <v>32</v>
      </c>
      <c r="G181" s="2" t="s">
        <v>387</v>
      </c>
      <c r="H181" s="2" t="s">
        <v>388</v>
      </c>
      <c r="I181" s="2" t="s">
        <v>389</v>
      </c>
      <c r="J181" s="3">
        <v>15</v>
      </c>
      <c r="K181" s="2" t="s">
        <v>20</v>
      </c>
      <c r="L181" s="3">
        <v>15</v>
      </c>
      <c r="M181" s="11">
        <v>1032300</v>
      </c>
      <c r="N181" s="3">
        <v>0</v>
      </c>
      <c r="O181" s="2" t="s">
        <v>21</v>
      </c>
      <c r="P181" s="2" t="s">
        <v>29</v>
      </c>
      <c r="Q181" s="2" t="s">
        <v>430</v>
      </c>
    </row>
    <row r="182" spans="1:17" x14ac:dyDescent="0.25">
      <c r="A182" s="1">
        <v>46176</v>
      </c>
      <c r="B182" s="1">
        <v>46175</v>
      </c>
      <c r="C182" s="2" t="s">
        <v>428</v>
      </c>
      <c r="D182" s="2" t="s">
        <v>17</v>
      </c>
      <c r="E182" s="2" t="s">
        <v>429</v>
      </c>
      <c r="F182" s="2" t="s">
        <v>32</v>
      </c>
      <c r="G182" s="2" t="s">
        <v>387</v>
      </c>
      <c r="H182" s="2" t="s">
        <v>431</v>
      </c>
      <c r="I182" s="2" t="s">
        <v>432</v>
      </c>
      <c r="J182" s="3">
        <v>15</v>
      </c>
      <c r="K182" s="2" t="s">
        <v>20</v>
      </c>
      <c r="L182" s="3">
        <v>15</v>
      </c>
      <c r="M182" s="11">
        <v>890775</v>
      </c>
      <c r="N182" s="3">
        <v>0</v>
      </c>
      <c r="O182" s="2" t="s">
        <v>21</v>
      </c>
      <c r="P182" s="2" t="s">
        <v>29</v>
      </c>
      <c r="Q182" s="2" t="s">
        <v>430</v>
      </c>
    </row>
    <row r="183" spans="1:17" x14ac:dyDescent="0.25">
      <c r="A183" s="1">
        <v>46176</v>
      </c>
      <c r="B183" s="1">
        <v>46175</v>
      </c>
      <c r="C183" s="2" t="s">
        <v>433</v>
      </c>
      <c r="D183" s="2" t="s">
        <v>17</v>
      </c>
      <c r="E183" s="2" t="s">
        <v>424</v>
      </c>
      <c r="F183" s="2" t="s">
        <v>32</v>
      </c>
      <c r="G183" s="2" t="s">
        <v>40</v>
      </c>
      <c r="H183" s="2" t="s">
        <v>425</v>
      </c>
      <c r="I183" s="2" t="s">
        <v>426</v>
      </c>
      <c r="J183" s="3">
        <v>12</v>
      </c>
      <c r="K183" s="2" t="s">
        <v>36</v>
      </c>
      <c r="L183" s="3">
        <v>8.3698999999999995</v>
      </c>
      <c r="M183" s="11">
        <v>1381050</v>
      </c>
      <c r="N183" s="3">
        <v>-3.6301000000000001</v>
      </c>
      <c r="O183" s="2" t="s">
        <v>21</v>
      </c>
      <c r="P183" s="2" t="s">
        <v>29</v>
      </c>
      <c r="Q183" s="2" t="s">
        <v>22</v>
      </c>
    </row>
    <row r="184" spans="1:17" x14ac:dyDescent="0.25">
      <c r="A184" s="1">
        <v>46176</v>
      </c>
      <c r="B184" s="1">
        <v>46175</v>
      </c>
      <c r="C184" s="2" t="s">
        <v>434</v>
      </c>
      <c r="D184" s="2" t="s">
        <v>17</v>
      </c>
      <c r="E184" s="2" t="s">
        <v>435</v>
      </c>
      <c r="F184" s="2" t="s">
        <v>32</v>
      </c>
      <c r="G184" s="2" t="s">
        <v>325</v>
      </c>
      <c r="H184" s="2" t="s">
        <v>338</v>
      </c>
      <c r="I184" s="2" t="s">
        <v>339</v>
      </c>
      <c r="J184" s="3">
        <v>12</v>
      </c>
      <c r="K184" s="2" t="s">
        <v>20</v>
      </c>
      <c r="L184" s="3">
        <v>12</v>
      </c>
      <c r="M184" s="11">
        <v>770400.03</v>
      </c>
      <c r="N184" s="3">
        <v>0</v>
      </c>
      <c r="O184" s="2" t="s">
        <v>21</v>
      </c>
      <c r="P184" s="2" t="s">
        <v>29</v>
      </c>
      <c r="Q184" s="2" t="s">
        <v>436</v>
      </c>
    </row>
    <row r="185" spans="1:17" x14ac:dyDescent="0.25">
      <c r="A185" s="1">
        <v>46176</v>
      </c>
      <c r="B185" s="1">
        <v>46175</v>
      </c>
      <c r="C185" s="2" t="s">
        <v>438</v>
      </c>
      <c r="D185" s="2" t="s">
        <v>17</v>
      </c>
      <c r="E185" s="2" t="s">
        <v>424</v>
      </c>
      <c r="F185" s="2" t="s">
        <v>32</v>
      </c>
      <c r="G185" s="2" t="s">
        <v>40</v>
      </c>
      <c r="H185" s="2" t="s">
        <v>82</v>
      </c>
      <c r="I185" s="2" t="s">
        <v>83</v>
      </c>
      <c r="J185" s="3">
        <v>3</v>
      </c>
      <c r="K185" s="2" t="s">
        <v>84</v>
      </c>
      <c r="L185" s="3">
        <v>3</v>
      </c>
      <c r="M185" s="11">
        <v>139860</v>
      </c>
      <c r="N185" s="3">
        <v>0</v>
      </c>
      <c r="O185" s="2" t="s">
        <v>21</v>
      </c>
      <c r="P185" s="2" t="s">
        <v>29</v>
      </c>
      <c r="Q185" s="2" t="s">
        <v>22</v>
      </c>
    </row>
    <row r="186" spans="1:17" x14ac:dyDescent="0.25">
      <c r="A186" s="1">
        <v>46176</v>
      </c>
      <c r="B186" s="1">
        <v>46175</v>
      </c>
      <c r="C186" s="2" t="s">
        <v>439</v>
      </c>
      <c r="D186" s="2" t="s">
        <v>17</v>
      </c>
      <c r="E186" s="2" t="s">
        <v>440</v>
      </c>
      <c r="F186" s="2" t="s">
        <v>18</v>
      </c>
      <c r="G186" s="2" t="s">
        <v>441</v>
      </c>
      <c r="H186" s="2" t="s">
        <v>442</v>
      </c>
      <c r="I186" s="2" t="s">
        <v>443</v>
      </c>
      <c r="J186" s="3">
        <v>20</v>
      </c>
      <c r="K186" s="2" t="s">
        <v>20</v>
      </c>
      <c r="L186" s="3">
        <v>20</v>
      </c>
      <c r="M186" s="11">
        <v>1388339.98</v>
      </c>
      <c r="N186" s="3">
        <v>0</v>
      </c>
      <c r="O186" s="2" t="s">
        <v>21</v>
      </c>
      <c r="P186" s="2" t="s">
        <v>29</v>
      </c>
      <c r="Q186" s="2" t="s">
        <v>22</v>
      </c>
    </row>
    <row r="187" spans="1:17" x14ac:dyDescent="0.25">
      <c r="A187" s="1">
        <v>46176</v>
      </c>
      <c r="B187" s="1">
        <v>46175</v>
      </c>
      <c r="C187" s="2" t="s">
        <v>444</v>
      </c>
      <c r="D187" s="2" t="s">
        <v>17</v>
      </c>
      <c r="E187" s="2" t="s">
        <v>445</v>
      </c>
      <c r="F187" s="2" t="s">
        <v>18</v>
      </c>
      <c r="G187" s="2" t="s">
        <v>387</v>
      </c>
      <c r="H187" s="2" t="s">
        <v>446</v>
      </c>
      <c r="I187" s="2" t="s">
        <v>447</v>
      </c>
      <c r="J187" s="3">
        <v>30</v>
      </c>
      <c r="K187" s="2" t="s">
        <v>448</v>
      </c>
      <c r="L187" s="3">
        <v>30</v>
      </c>
      <c r="M187" s="11">
        <v>2083500.08</v>
      </c>
      <c r="N187" s="3">
        <v>0</v>
      </c>
      <c r="O187" s="2" t="s">
        <v>21</v>
      </c>
      <c r="P187" s="2" t="s">
        <v>29</v>
      </c>
      <c r="Q187" s="2" t="s">
        <v>22</v>
      </c>
    </row>
    <row r="188" spans="1:17" x14ac:dyDescent="0.25">
      <c r="A188" s="1">
        <v>46176</v>
      </c>
      <c r="B188" s="1">
        <v>46175</v>
      </c>
      <c r="C188" s="2" t="s">
        <v>449</v>
      </c>
      <c r="D188" s="2" t="s">
        <v>17</v>
      </c>
      <c r="E188" s="2" t="s">
        <v>450</v>
      </c>
      <c r="F188" s="2" t="s">
        <v>32</v>
      </c>
      <c r="G188" s="2" t="s">
        <v>441</v>
      </c>
      <c r="H188" s="2" t="s">
        <v>431</v>
      </c>
      <c r="I188" s="2" t="s">
        <v>432</v>
      </c>
      <c r="J188" s="3">
        <v>96</v>
      </c>
      <c r="K188" s="2" t="s">
        <v>20</v>
      </c>
      <c r="L188" s="3">
        <v>96</v>
      </c>
      <c r="M188" s="11">
        <v>5183999.93</v>
      </c>
      <c r="N188" s="3">
        <v>0</v>
      </c>
      <c r="O188" s="2" t="s">
        <v>21</v>
      </c>
      <c r="P188" s="2" t="s">
        <v>29</v>
      </c>
      <c r="Q188" s="2" t="s">
        <v>22</v>
      </c>
    </row>
    <row r="189" spans="1:17" x14ac:dyDescent="0.25">
      <c r="A189" s="1">
        <v>46176</v>
      </c>
      <c r="B189" s="1">
        <v>46175</v>
      </c>
      <c r="C189" s="2" t="s">
        <v>451</v>
      </c>
      <c r="D189" s="2" t="s">
        <v>17</v>
      </c>
      <c r="E189" s="2" t="s">
        <v>452</v>
      </c>
      <c r="F189" s="2" t="s">
        <v>32</v>
      </c>
      <c r="G189" s="2" t="s">
        <v>325</v>
      </c>
      <c r="H189" s="2" t="s">
        <v>453</v>
      </c>
      <c r="I189" s="2" t="s">
        <v>454</v>
      </c>
      <c r="J189" s="3">
        <v>12</v>
      </c>
      <c r="K189" s="2" t="s">
        <v>20</v>
      </c>
      <c r="L189" s="3">
        <v>12</v>
      </c>
      <c r="M189" s="11">
        <v>649200.02</v>
      </c>
      <c r="N189" s="3">
        <v>0</v>
      </c>
      <c r="O189" s="2" t="s">
        <v>21</v>
      </c>
      <c r="P189" s="2" t="s">
        <v>29</v>
      </c>
      <c r="Q189" s="2" t="s">
        <v>22</v>
      </c>
    </row>
    <row r="190" spans="1:17" x14ac:dyDescent="0.25">
      <c r="A190" s="1">
        <v>46176</v>
      </c>
      <c r="B190" s="1">
        <v>46175</v>
      </c>
      <c r="C190" s="2" t="s">
        <v>451</v>
      </c>
      <c r="D190" s="2" t="s">
        <v>17</v>
      </c>
      <c r="E190" s="2" t="s">
        <v>452</v>
      </c>
      <c r="F190" s="2" t="s">
        <v>32</v>
      </c>
      <c r="G190" s="2" t="s">
        <v>325</v>
      </c>
      <c r="H190" s="2" t="s">
        <v>336</v>
      </c>
      <c r="I190" s="2" t="s">
        <v>337</v>
      </c>
      <c r="J190" s="3">
        <v>32</v>
      </c>
      <c r="K190" s="2" t="s">
        <v>20</v>
      </c>
      <c r="L190" s="3">
        <v>32</v>
      </c>
      <c r="M190" s="11">
        <v>3359999.98</v>
      </c>
      <c r="N190" s="3">
        <v>0</v>
      </c>
      <c r="O190" s="2" t="s">
        <v>21</v>
      </c>
      <c r="P190" s="2" t="s">
        <v>29</v>
      </c>
      <c r="Q190" s="2" t="s">
        <v>22</v>
      </c>
    </row>
    <row r="191" spans="1:17" x14ac:dyDescent="0.25">
      <c r="A191" s="1">
        <v>46176</v>
      </c>
      <c r="B191" s="1">
        <v>46175</v>
      </c>
      <c r="C191" s="2" t="s">
        <v>455</v>
      </c>
      <c r="D191" s="2" t="s">
        <v>17</v>
      </c>
      <c r="E191" s="2" t="s">
        <v>456</v>
      </c>
      <c r="F191" s="2" t="s">
        <v>18</v>
      </c>
      <c r="G191" s="2" t="s">
        <v>387</v>
      </c>
      <c r="H191" s="2" t="s">
        <v>457</v>
      </c>
      <c r="I191" s="2" t="s">
        <v>458</v>
      </c>
      <c r="J191" s="3">
        <v>2</v>
      </c>
      <c r="K191" s="2" t="s">
        <v>20</v>
      </c>
      <c r="L191" s="3">
        <v>2</v>
      </c>
      <c r="M191" s="11">
        <v>95460</v>
      </c>
      <c r="N191" s="3">
        <v>0</v>
      </c>
      <c r="O191" s="2" t="s">
        <v>21</v>
      </c>
      <c r="P191" s="2" t="s">
        <v>29</v>
      </c>
      <c r="Q191" s="2" t="s">
        <v>459</v>
      </c>
    </row>
    <row r="192" spans="1:17" x14ac:dyDescent="0.25">
      <c r="A192" s="1">
        <v>46176</v>
      </c>
      <c r="B192" s="1">
        <v>46175</v>
      </c>
      <c r="C192" s="2" t="s">
        <v>461</v>
      </c>
      <c r="D192" s="2" t="s">
        <v>17</v>
      </c>
      <c r="E192" s="2" t="s">
        <v>462</v>
      </c>
      <c r="F192" s="2" t="s">
        <v>32</v>
      </c>
      <c r="G192" s="2" t="s">
        <v>325</v>
      </c>
      <c r="H192" s="2" t="s">
        <v>388</v>
      </c>
      <c r="I192" s="2" t="s">
        <v>389</v>
      </c>
      <c r="J192" s="3">
        <v>30</v>
      </c>
      <c r="K192" s="2" t="s">
        <v>20</v>
      </c>
      <c r="L192" s="3">
        <v>30</v>
      </c>
      <c r="M192" s="11">
        <v>1644260</v>
      </c>
      <c r="N192" s="3">
        <v>0</v>
      </c>
      <c r="O192" s="2" t="s">
        <v>21</v>
      </c>
      <c r="P192" s="2" t="s">
        <v>29</v>
      </c>
      <c r="Q192" s="2" t="s">
        <v>22</v>
      </c>
    </row>
    <row r="193" spans="1:17" x14ac:dyDescent="0.25">
      <c r="A193" s="1">
        <v>46176</v>
      </c>
      <c r="B193" s="1">
        <v>46175</v>
      </c>
      <c r="C193" s="2" t="s">
        <v>461</v>
      </c>
      <c r="D193" s="2" t="s">
        <v>17</v>
      </c>
      <c r="E193" s="2" t="s">
        <v>462</v>
      </c>
      <c r="F193" s="2" t="s">
        <v>32</v>
      </c>
      <c r="G193" s="2" t="s">
        <v>325</v>
      </c>
      <c r="H193" s="2" t="s">
        <v>336</v>
      </c>
      <c r="I193" s="2" t="s">
        <v>337</v>
      </c>
      <c r="J193" s="3">
        <v>16</v>
      </c>
      <c r="K193" s="2" t="s">
        <v>20</v>
      </c>
      <c r="L193" s="3">
        <v>16</v>
      </c>
      <c r="M193" s="11">
        <v>1583999.99</v>
      </c>
      <c r="N193" s="3">
        <v>0</v>
      </c>
      <c r="O193" s="2" t="s">
        <v>21</v>
      </c>
      <c r="P193" s="2" t="s">
        <v>29</v>
      </c>
      <c r="Q193" s="2" t="s">
        <v>22</v>
      </c>
    </row>
    <row r="194" spans="1:17" x14ac:dyDescent="0.25">
      <c r="A194" s="1">
        <v>46176</v>
      </c>
      <c r="B194" s="1">
        <v>46175</v>
      </c>
      <c r="C194" s="2" t="s">
        <v>463</v>
      </c>
      <c r="D194" s="2" t="s">
        <v>17</v>
      </c>
      <c r="E194" s="2" t="s">
        <v>464</v>
      </c>
      <c r="F194" s="2" t="s">
        <v>32</v>
      </c>
      <c r="G194" s="2" t="s">
        <v>325</v>
      </c>
      <c r="H194" s="2" t="s">
        <v>338</v>
      </c>
      <c r="I194" s="2" t="s">
        <v>339</v>
      </c>
      <c r="J194" s="3">
        <v>36</v>
      </c>
      <c r="K194" s="2" t="s">
        <v>20</v>
      </c>
      <c r="L194" s="3">
        <v>36</v>
      </c>
      <c r="M194" s="11">
        <v>2311200.09</v>
      </c>
      <c r="N194" s="3">
        <v>0</v>
      </c>
      <c r="O194" s="2" t="s">
        <v>21</v>
      </c>
      <c r="P194" s="2" t="s">
        <v>29</v>
      </c>
      <c r="Q194" s="2" t="s">
        <v>436</v>
      </c>
    </row>
    <row r="195" spans="1:17" x14ac:dyDescent="0.25">
      <c r="A195" s="1">
        <v>46176</v>
      </c>
      <c r="B195" s="1">
        <v>46175</v>
      </c>
      <c r="C195" s="2" t="s">
        <v>465</v>
      </c>
      <c r="D195" s="2" t="s">
        <v>17</v>
      </c>
      <c r="E195" s="2" t="s">
        <v>464</v>
      </c>
      <c r="F195" s="2" t="s">
        <v>32</v>
      </c>
      <c r="G195" s="2" t="s">
        <v>325</v>
      </c>
      <c r="H195" s="2" t="s">
        <v>336</v>
      </c>
      <c r="I195" s="2" t="s">
        <v>337</v>
      </c>
      <c r="J195" s="3">
        <v>16</v>
      </c>
      <c r="K195" s="2" t="s">
        <v>20</v>
      </c>
      <c r="L195" s="3">
        <v>16</v>
      </c>
      <c r="M195" s="11">
        <v>1679999.92</v>
      </c>
      <c r="N195" s="3">
        <v>0</v>
      </c>
      <c r="O195" s="2" t="s">
        <v>21</v>
      </c>
      <c r="P195" s="2" t="s">
        <v>29</v>
      </c>
      <c r="Q195" s="2" t="s">
        <v>437</v>
      </c>
    </row>
    <row r="196" spans="1:17" x14ac:dyDescent="0.25">
      <c r="A196" s="1">
        <v>46176</v>
      </c>
      <c r="B196" s="1">
        <v>46175</v>
      </c>
      <c r="C196" s="2" t="s">
        <v>465</v>
      </c>
      <c r="D196" s="2" t="s">
        <v>17</v>
      </c>
      <c r="E196" s="2" t="s">
        <v>464</v>
      </c>
      <c r="F196" s="2" t="s">
        <v>32</v>
      </c>
      <c r="G196" s="2" t="s">
        <v>325</v>
      </c>
      <c r="H196" s="2" t="s">
        <v>340</v>
      </c>
      <c r="I196" s="2" t="s">
        <v>341</v>
      </c>
      <c r="J196" s="3">
        <v>36</v>
      </c>
      <c r="K196" s="2" t="s">
        <v>20</v>
      </c>
      <c r="L196" s="3">
        <v>12</v>
      </c>
      <c r="M196" s="11">
        <v>613200.05000000005</v>
      </c>
      <c r="N196" s="3">
        <v>-24</v>
      </c>
      <c r="O196" s="2" t="s">
        <v>21</v>
      </c>
      <c r="P196" s="2" t="s">
        <v>29</v>
      </c>
      <c r="Q196" s="2" t="s">
        <v>437</v>
      </c>
    </row>
    <row r="197" spans="1:17" x14ac:dyDescent="0.25">
      <c r="A197" s="1">
        <v>46176</v>
      </c>
      <c r="B197" s="1">
        <v>46175</v>
      </c>
      <c r="C197" s="2" t="s">
        <v>466</v>
      </c>
      <c r="D197" s="2" t="s">
        <v>17</v>
      </c>
      <c r="E197" s="2" t="s">
        <v>467</v>
      </c>
      <c r="F197" s="2" t="s">
        <v>32</v>
      </c>
      <c r="G197" s="2" t="s">
        <v>325</v>
      </c>
      <c r="H197" s="2" t="s">
        <v>336</v>
      </c>
      <c r="I197" s="2" t="s">
        <v>337</v>
      </c>
      <c r="J197" s="3">
        <v>32</v>
      </c>
      <c r="K197" s="2" t="s">
        <v>20</v>
      </c>
      <c r="L197" s="3">
        <v>32</v>
      </c>
      <c r="M197" s="11">
        <v>3359999.84</v>
      </c>
      <c r="N197" s="3">
        <v>0</v>
      </c>
      <c r="O197" s="2" t="s">
        <v>21</v>
      </c>
      <c r="P197" s="2" t="s">
        <v>29</v>
      </c>
      <c r="Q197" s="2" t="s">
        <v>436</v>
      </c>
    </row>
    <row r="198" spans="1:17" x14ac:dyDescent="0.25">
      <c r="A198" s="1">
        <v>46176</v>
      </c>
      <c r="B198" s="1">
        <v>46175</v>
      </c>
      <c r="C198" s="2" t="s">
        <v>468</v>
      </c>
      <c r="D198" s="2" t="s">
        <v>17</v>
      </c>
      <c r="E198" s="2" t="s">
        <v>469</v>
      </c>
      <c r="F198" s="2" t="s">
        <v>32</v>
      </c>
      <c r="G198" s="2" t="s">
        <v>156</v>
      </c>
      <c r="H198" s="2" t="s">
        <v>119</v>
      </c>
      <c r="I198" s="2" t="s">
        <v>120</v>
      </c>
      <c r="J198" s="3">
        <v>5</v>
      </c>
      <c r="K198" s="2" t="s">
        <v>36</v>
      </c>
      <c r="L198" s="3">
        <v>5</v>
      </c>
      <c r="M198" s="11">
        <v>83250</v>
      </c>
      <c r="N198" s="3">
        <v>0</v>
      </c>
      <c r="O198" s="2" t="s">
        <v>21</v>
      </c>
      <c r="P198" s="2" t="s">
        <v>29</v>
      </c>
      <c r="Q198" s="2" t="s">
        <v>22</v>
      </c>
    </row>
    <row r="199" spans="1:17" x14ac:dyDescent="0.25">
      <c r="A199" s="1">
        <v>46176</v>
      </c>
      <c r="B199" s="1">
        <v>46175</v>
      </c>
      <c r="C199" s="2" t="s">
        <v>468</v>
      </c>
      <c r="D199" s="2" t="s">
        <v>17</v>
      </c>
      <c r="E199" s="2" t="s">
        <v>469</v>
      </c>
      <c r="F199" s="2" t="s">
        <v>32</v>
      </c>
      <c r="G199" s="2" t="s">
        <v>156</v>
      </c>
      <c r="H199" s="2" t="s">
        <v>148</v>
      </c>
      <c r="I199" s="2" t="s">
        <v>149</v>
      </c>
      <c r="J199" s="3">
        <v>10</v>
      </c>
      <c r="K199" s="2" t="s">
        <v>36</v>
      </c>
      <c r="L199" s="3">
        <v>10</v>
      </c>
      <c r="M199" s="11">
        <v>160950</v>
      </c>
      <c r="N199" s="3">
        <v>0</v>
      </c>
      <c r="O199" s="2" t="s">
        <v>21</v>
      </c>
      <c r="P199" s="2" t="s">
        <v>29</v>
      </c>
      <c r="Q199" s="2" t="s">
        <v>22</v>
      </c>
    </row>
    <row r="200" spans="1:17" x14ac:dyDescent="0.25">
      <c r="A200" s="1">
        <v>46176</v>
      </c>
      <c r="B200" s="1">
        <v>46175</v>
      </c>
      <c r="C200" s="2" t="s">
        <v>470</v>
      </c>
      <c r="D200" s="2" t="s">
        <v>17</v>
      </c>
      <c r="E200" s="2" t="s">
        <v>471</v>
      </c>
      <c r="F200" s="2" t="s">
        <v>32</v>
      </c>
      <c r="G200" s="2" t="s">
        <v>325</v>
      </c>
      <c r="H200" s="2" t="s">
        <v>336</v>
      </c>
      <c r="I200" s="2" t="s">
        <v>337</v>
      </c>
      <c r="J200" s="3">
        <v>32</v>
      </c>
      <c r="K200" s="2" t="s">
        <v>20</v>
      </c>
      <c r="L200" s="3">
        <v>32</v>
      </c>
      <c r="M200" s="11">
        <v>3359999.84</v>
      </c>
      <c r="N200" s="3">
        <v>0</v>
      </c>
      <c r="O200" s="2" t="s">
        <v>21</v>
      </c>
      <c r="P200" s="2" t="s">
        <v>29</v>
      </c>
      <c r="Q200" s="2" t="s">
        <v>436</v>
      </c>
    </row>
    <row r="201" spans="1:17" x14ac:dyDescent="0.25">
      <c r="A201" s="1">
        <v>46176</v>
      </c>
      <c r="B201" s="1">
        <v>46175</v>
      </c>
      <c r="C201" s="2" t="s">
        <v>472</v>
      </c>
      <c r="D201" s="2" t="s">
        <v>17</v>
      </c>
      <c r="E201" s="2" t="s">
        <v>471</v>
      </c>
      <c r="F201" s="2" t="s">
        <v>32</v>
      </c>
      <c r="G201" s="2" t="s">
        <v>325</v>
      </c>
      <c r="H201" s="2" t="s">
        <v>338</v>
      </c>
      <c r="I201" s="2" t="s">
        <v>339</v>
      </c>
      <c r="J201" s="3">
        <v>24</v>
      </c>
      <c r="K201" s="2" t="s">
        <v>20</v>
      </c>
      <c r="L201" s="3">
        <v>24</v>
      </c>
      <c r="M201" s="11">
        <v>1540800.06</v>
      </c>
      <c r="N201" s="3">
        <v>0</v>
      </c>
      <c r="O201" s="2" t="s">
        <v>21</v>
      </c>
      <c r="P201" s="2" t="s">
        <v>29</v>
      </c>
      <c r="Q201" s="2" t="s">
        <v>437</v>
      </c>
    </row>
    <row r="202" spans="1:17" x14ac:dyDescent="0.25">
      <c r="A202" s="1">
        <v>46176</v>
      </c>
      <c r="B202" s="1">
        <v>46175</v>
      </c>
      <c r="C202" s="2" t="s">
        <v>473</v>
      </c>
      <c r="D202" s="2" t="s">
        <v>17</v>
      </c>
      <c r="E202" s="2" t="s">
        <v>474</v>
      </c>
      <c r="F202" s="2" t="s">
        <v>18</v>
      </c>
      <c r="G202" s="2" t="s">
        <v>387</v>
      </c>
      <c r="H202" s="2" t="s">
        <v>475</v>
      </c>
      <c r="I202" s="2" t="s">
        <v>476</v>
      </c>
      <c r="J202" s="3">
        <v>4</v>
      </c>
      <c r="K202" s="2" t="s">
        <v>20</v>
      </c>
      <c r="L202" s="3">
        <v>4</v>
      </c>
      <c r="M202" s="11">
        <v>356000</v>
      </c>
      <c r="N202" s="3">
        <v>0</v>
      </c>
      <c r="O202" s="2" t="s">
        <v>21</v>
      </c>
      <c r="P202" s="2" t="s">
        <v>29</v>
      </c>
      <c r="Q202" s="2" t="s">
        <v>22</v>
      </c>
    </row>
    <row r="203" spans="1:17" x14ac:dyDescent="0.25">
      <c r="A203" s="1">
        <v>46176</v>
      </c>
      <c r="B203" s="1">
        <v>46175</v>
      </c>
      <c r="C203" s="2" t="s">
        <v>477</v>
      </c>
      <c r="D203" s="2" t="s">
        <v>17</v>
      </c>
      <c r="E203" s="2" t="s">
        <v>478</v>
      </c>
      <c r="F203" s="2" t="s">
        <v>18</v>
      </c>
      <c r="G203" s="2" t="s">
        <v>387</v>
      </c>
      <c r="H203" s="2" t="s">
        <v>397</v>
      </c>
      <c r="I203" s="2" t="s">
        <v>398</v>
      </c>
      <c r="J203" s="3">
        <v>8</v>
      </c>
      <c r="K203" s="2" t="s">
        <v>20</v>
      </c>
      <c r="L203" s="3">
        <v>8</v>
      </c>
      <c r="M203" s="11">
        <v>1065600</v>
      </c>
      <c r="N203" s="3">
        <v>0</v>
      </c>
      <c r="O203" s="2" t="s">
        <v>21</v>
      </c>
      <c r="P203" s="2" t="s">
        <v>29</v>
      </c>
      <c r="Q203" s="2" t="s">
        <v>22</v>
      </c>
    </row>
    <row r="204" spans="1:17" x14ac:dyDescent="0.25">
      <c r="A204" s="1">
        <v>46176</v>
      </c>
      <c r="B204" s="1">
        <v>46175</v>
      </c>
      <c r="C204" s="2" t="s">
        <v>479</v>
      </c>
      <c r="D204" s="2" t="s">
        <v>17</v>
      </c>
      <c r="E204" s="2" t="s">
        <v>480</v>
      </c>
      <c r="F204" s="2" t="s">
        <v>18</v>
      </c>
      <c r="G204" s="2" t="s">
        <v>387</v>
      </c>
      <c r="H204" s="2" t="s">
        <v>336</v>
      </c>
      <c r="I204" s="2" t="s">
        <v>337</v>
      </c>
      <c r="J204" s="3">
        <v>3</v>
      </c>
      <c r="K204" s="2" t="s">
        <v>20</v>
      </c>
      <c r="L204" s="3">
        <v>3</v>
      </c>
      <c r="M204" s="11">
        <v>315000</v>
      </c>
      <c r="N204" s="3">
        <v>0</v>
      </c>
      <c r="O204" s="2" t="s">
        <v>21</v>
      </c>
      <c r="P204" s="2" t="s">
        <v>29</v>
      </c>
      <c r="Q204" s="2" t="s">
        <v>22</v>
      </c>
    </row>
    <row r="205" spans="1:17" x14ac:dyDescent="0.25">
      <c r="A205" s="1">
        <v>46176</v>
      </c>
      <c r="B205" s="1">
        <v>46175</v>
      </c>
      <c r="C205" s="2" t="s">
        <v>481</v>
      </c>
      <c r="D205" s="2" t="s">
        <v>17</v>
      </c>
      <c r="E205" s="2" t="s">
        <v>482</v>
      </c>
      <c r="F205" s="2" t="s">
        <v>32</v>
      </c>
      <c r="G205" s="2" t="s">
        <v>364</v>
      </c>
      <c r="H205" s="2" t="s">
        <v>119</v>
      </c>
      <c r="I205" s="2" t="s">
        <v>120</v>
      </c>
      <c r="J205" s="3">
        <v>40</v>
      </c>
      <c r="K205" s="2" t="s">
        <v>36</v>
      </c>
      <c r="L205" s="3">
        <v>40</v>
      </c>
      <c r="M205" s="11">
        <v>731001.6</v>
      </c>
      <c r="N205" s="3">
        <v>0</v>
      </c>
      <c r="O205" s="2" t="s">
        <v>21</v>
      </c>
      <c r="P205" s="2" t="s">
        <v>29</v>
      </c>
      <c r="Q205" s="2" t="s">
        <v>22</v>
      </c>
    </row>
    <row r="206" spans="1:17" x14ac:dyDescent="0.25">
      <c r="A206" s="1">
        <v>46176</v>
      </c>
      <c r="B206" s="1">
        <v>46175</v>
      </c>
      <c r="C206" s="2" t="s">
        <v>483</v>
      </c>
      <c r="D206" s="2" t="s">
        <v>17</v>
      </c>
      <c r="E206" s="2" t="s">
        <v>484</v>
      </c>
      <c r="F206" s="2" t="s">
        <v>18</v>
      </c>
      <c r="G206" s="2" t="s">
        <v>387</v>
      </c>
      <c r="H206" s="2" t="s">
        <v>336</v>
      </c>
      <c r="I206" s="2" t="s">
        <v>337</v>
      </c>
      <c r="J206" s="3">
        <v>3</v>
      </c>
      <c r="K206" s="2" t="s">
        <v>20</v>
      </c>
      <c r="L206" s="3">
        <v>3</v>
      </c>
      <c r="M206" s="11">
        <v>315000</v>
      </c>
      <c r="N206" s="3">
        <v>0</v>
      </c>
      <c r="O206" s="2" t="s">
        <v>21</v>
      </c>
      <c r="P206" s="2" t="s">
        <v>29</v>
      </c>
      <c r="Q206" s="2" t="s">
        <v>22</v>
      </c>
    </row>
    <row r="207" spans="1:17" x14ac:dyDescent="0.25">
      <c r="A207" s="1">
        <v>46176</v>
      </c>
      <c r="B207" s="1">
        <v>46175</v>
      </c>
      <c r="C207" s="2" t="s">
        <v>483</v>
      </c>
      <c r="D207" s="2" t="s">
        <v>17</v>
      </c>
      <c r="E207" s="2" t="s">
        <v>484</v>
      </c>
      <c r="F207" s="2" t="s">
        <v>18</v>
      </c>
      <c r="G207" s="2" t="s">
        <v>387</v>
      </c>
      <c r="H207" s="2" t="s">
        <v>338</v>
      </c>
      <c r="I207" s="2" t="s">
        <v>339</v>
      </c>
      <c r="J207" s="3">
        <v>1</v>
      </c>
      <c r="K207" s="2" t="s">
        <v>20</v>
      </c>
      <c r="L207" s="3">
        <v>1</v>
      </c>
      <c r="M207" s="11">
        <v>64200</v>
      </c>
      <c r="N207" s="3">
        <v>0</v>
      </c>
      <c r="O207" s="2" t="s">
        <v>21</v>
      </c>
      <c r="P207" s="2" t="s">
        <v>29</v>
      </c>
      <c r="Q207" s="2" t="s">
        <v>22</v>
      </c>
    </row>
    <row r="208" spans="1:17" x14ac:dyDescent="0.25">
      <c r="A208" s="1">
        <v>46176</v>
      </c>
      <c r="B208" s="1">
        <v>46175</v>
      </c>
      <c r="C208" s="2" t="s">
        <v>483</v>
      </c>
      <c r="D208" s="2" t="s">
        <v>17</v>
      </c>
      <c r="E208" s="2" t="s">
        <v>484</v>
      </c>
      <c r="F208" s="2" t="s">
        <v>18</v>
      </c>
      <c r="G208" s="2" t="s">
        <v>387</v>
      </c>
      <c r="H208" s="2" t="s">
        <v>475</v>
      </c>
      <c r="I208" s="2" t="s">
        <v>476</v>
      </c>
      <c r="J208" s="3">
        <v>3</v>
      </c>
      <c r="K208" s="2" t="s">
        <v>20</v>
      </c>
      <c r="L208" s="3">
        <v>3</v>
      </c>
      <c r="M208" s="11">
        <v>267000</v>
      </c>
      <c r="N208" s="3">
        <v>0</v>
      </c>
      <c r="O208" s="2" t="s">
        <v>21</v>
      </c>
      <c r="P208" s="2" t="s">
        <v>29</v>
      </c>
      <c r="Q208" s="2" t="s">
        <v>22</v>
      </c>
    </row>
    <row r="209" spans="1:17" x14ac:dyDescent="0.25">
      <c r="A209" s="1">
        <v>46176</v>
      </c>
      <c r="B209" s="1">
        <v>46175</v>
      </c>
      <c r="C209" s="2" t="s">
        <v>483</v>
      </c>
      <c r="D209" s="2" t="s">
        <v>17</v>
      </c>
      <c r="E209" s="2" t="s">
        <v>484</v>
      </c>
      <c r="F209" s="2" t="s">
        <v>18</v>
      </c>
      <c r="G209" s="2" t="s">
        <v>387</v>
      </c>
      <c r="H209" s="2" t="s">
        <v>431</v>
      </c>
      <c r="I209" s="2" t="s">
        <v>432</v>
      </c>
      <c r="J209" s="3">
        <v>1</v>
      </c>
      <c r="K209" s="2" t="s">
        <v>20</v>
      </c>
      <c r="L209" s="3">
        <v>1</v>
      </c>
      <c r="M209" s="11">
        <v>54000</v>
      </c>
      <c r="N209" s="3">
        <v>0</v>
      </c>
      <c r="O209" s="2" t="s">
        <v>21</v>
      </c>
      <c r="P209" s="2" t="s">
        <v>29</v>
      </c>
      <c r="Q209" s="2" t="s">
        <v>22</v>
      </c>
    </row>
    <row r="210" spans="1:17" x14ac:dyDescent="0.25">
      <c r="A210" s="1">
        <v>46176</v>
      </c>
      <c r="B210" s="1">
        <v>46175</v>
      </c>
      <c r="C210" s="2" t="s">
        <v>485</v>
      </c>
      <c r="D210" s="2" t="s">
        <v>17</v>
      </c>
      <c r="E210" s="2" t="s">
        <v>482</v>
      </c>
      <c r="F210" s="2" t="s">
        <v>32</v>
      </c>
      <c r="G210" s="2" t="s">
        <v>364</v>
      </c>
      <c r="H210" s="2" t="s">
        <v>119</v>
      </c>
      <c r="I210" s="2" t="s">
        <v>120</v>
      </c>
      <c r="J210" s="3">
        <v>20</v>
      </c>
      <c r="K210" s="2" t="s">
        <v>36</v>
      </c>
      <c r="L210" s="3">
        <v>20</v>
      </c>
      <c r="M210" s="11">
        <v>365500.8</v>
      </c>
      <c r="N210" s="3">
        <v>0</v>
      </c>
      <c r="O210" s="2" t="s">
        <v>21</v>
      </c>
      <c r="P210" s="2" t="s">
        <v>29</v>
      </c>
      <c r="Q210" s="2" t="s">
        <v>22</v>
      </c>
    </row>
    <row r="211" spans="1:17" x14ac:dyDescent="0.25">
      <c r="A211" s="1">
        <v>46176</v>
      </c>
      <c r="B211" s="1">
        <v>46175</v>
      </c>
      <c r="C211" s="2" t="s">
        <v>485</v>
      </c>
      <c r="D211" s="2" t="s">
        <v>17</v>
      </c>
      <c r="E211" s="2" t="s">
        <v>482</v>
      </c>
      <c r="F211" s="2" t="s">
        <v>32</v>
      </c>
      <c r="G211" s="2" t="s">
        <v>364</v>
      </c>
      <c r="H211" s="2" t="s">
        <v>146</v>
      </c>
      <c r="I211" s="2" t="s">
        <v>147</v>
      </c>
      <c r="J211" s="3">
        <v>10</v>
      </c>
      <c r="K211" s="2" t="s">
        <v>36</v>
      </c>
      <c r="L211" s="3">
        <v>10</v>
      </c>
      <c r="M211" s="11">
        <v>188189.4</v>
      </c>
      <c r="N211" s="3">
        <v>0</v>
      </c>
      <c r="O211" s="2" t="s">
        <v>21</v>
      </c>
      <c r="P211" s="2" t="s">
        <v>29</v>
      </c>
      <c r="Q211" s="2" t="s">
        <v>22</v>
      </c>
    </row>
    <row r="212" spans="1:17" x14ac:dyDescent="0.25">
      <c r="A212" s="1">
        <v>46176</v>
      </c>
      <c r="B212" s="1">
        <v>46175</v>
      </c>
      <c r="C212" s="2" t="s">
        <v>485</v>
      </c>
      <c r="D212" s="2" t="s">
        <v>17</v>
      </c>
      <c r="E212" s="2" t="s">
        <v>482</v>
      </c>
      <c r="F212" s="2" t="s">
        <v>32</v>
      </c>
      <c r="G212" s="2" t="s">
        <v>364</v>
      </c>
      <c r="H212" s="2" t="s">
        <v>148</v>
      </c>
      <c r="I212" s="2" t="s">
        <v>149</v>
      </c>
      <c r="J212" s="3">
        <v>10</v>
      </c>
      <c r="K212" s="2" t="s">
        <v>36</v>
      </c>
      <c r="L212" s="3">
        <v>10</v>
      </c>
      <c r="M212" s="11">
        <v>177311.4</v>
      </c>
      <c r="N212" s="3">
        <v>0</v>
      </c>
      <c r="O212" s="2" t="s">
        <v>21</v>
      </c>
      <c r="P212" s="2" t="s">
        <v>29</v>
      </c>
      <c r="Q212" s="2" t="s">
        <v>22</v>
      </c>
    </row>
    <row r="213" spans="1:17" x14ac:dyDescent="0.25">
      <c r="A213" s="1">
        <v>46176</v>
      </c>
      <c r="B213" s="1">
        <v>46175</v>
      </c>
      <c r="C213" s="2" t="s">
        <v>486</v>
      </c>
      <c r="D213" s="2" t="s">
        <v>17</v>
      </c>
      <c r="E213" s="2" t="s">
        <v>487</v>
      </c>
      <c r="F213" s="2" t="s">
        <v>18</v>
      </c>
      <c r="G213" s="2" t="s">
        <v>404</v>
      </c>
      <c r="H213" s="2" t="s">
        <v>457</v>
      </c>
      <c r="I213" s="2" t="s">
        <v>458</v>
      </c>
      <c r="J213" s="3">
        <v>12</v>
      </c>
      <c r="K213" s="2" t="s">
        <v>20</v>
      </c>
      <c r="L213" s="3">
        <v>12</v>
      </c>
      <c r="M213" s="11">
        <v>572760</v>
      </c>
      <c r="N213" s="3">
        <v>0</v>
      </c>
      <c r="O213" s="2" t="s">
        <v>21</v>
      </c>
      <c r="P213" s="2" t="s">
        <v>29</v>
      </c>
      <c r="Q213" s="2" t="s">
        <v>22</v>
      </c>
    </row>
    <row r="214" spans="1:17" x14ac:dyDescent="0.25">
      <c r="A214" s="1">
        <v>46176</v>
      </c>
      <c r="B214" s="1">
        <v>46175</v>
      </c>
      <c r="C214" s="2" t="s">
        <v>488</v>
      </c>
      <c r="D214" s="2" t="s">
        <v>17</v>
      </c>
      <c r="E214" s="2" t="s">
        <v>489</v>
      </c>
      <c r="F214" s="2" t="s">
        <v>32</v>
      </c>
      <c r="G214" s="2" t="s">
        <v>89</v>
      </c>
      <c r="H214" s="2" t="s">
        <v>490</v>
      </c>
      <c r="I214" s="2" t="s">
        <v>491</v>
      </c>
      <c r="J214" s="3">
        <v>25</v>
      </c>
      <c r="K214" s="2" t="s">
        <v>36</v>
      </c>
      <c r="L214" s="3">
        <v>25</v>
      </c>
      <c r="M214" s="11">
        <v>3174999.88</v>
      </c>
      <c r="N214" s="3">
        <v>0</v>
      </c>
      <c r="O214" s="2" t="s">
        <v>21</v>
      </c>
      <c r="P214" s="2" t="s">
        <v>29</v>
      </c>
      <c r="Q214" s="2" t="s">
        <v>22</v>
      </c>
    </row>
    <row r="215" spans="1:17" x14ac:dyDescent="0.25">
      <c r="A215" s="1">
        <v>46176</v>
      </c>
      <c r="B215" s="1">
        <v>46175</v>
      </c>
      <c r="C215" s="2" t="s">
        <v>492</v>
      </c>
      <c r="D215" s="2" t="s">
        <v>17</v>
      </c>
      <c r="E215" s="2" t="s">
        <v>493</v>
      </c>
      <c r="F215" s="2" t="s">
        <v>32</v>
      </c>
      <c r="G215" s="2" t="s">
        <v>404</v>
      </c>
      <c r="H215" s="2" t="s">
        <v>415</v>
      </c>
      <c r="I215" s="2" t="s">
        <v>416</v>
      </c>
      <c r="J215" s="3">
        <v>4</v>
      </c>
      <c r="K215" s="2" t="s">
        <v>20</v>
      </c>
      <c r="L215" s="3">
        <v>4</v>
      </c>
      <c r="M215" s="11">
        <v>272399.99</v>
      </c>
      <c r="N215" s="3">
        <v>0</v>
      </c>
      <c r="O215" s="2" t="s">
        <v>21</v>
      </c>
      <c r="P215" s="2" t="s">
        <v>29</v>
      </c>
      <c r="Q215" s="2" t="s">
        <v>22</v>
      </c>
    </row>
    <row r="216" spans="1:17" x14ac:dyDescent="0.25">
      <c r="A216" s="1">
        <v>46176</v>
      </c>
      <c r="B216" s="1">
        <v>46175</v>
      </c>
      <c r="C216" s="2" t="s">
        <v>492</v>
      </c>
      <c r="D216" s="2" t="s">
        <v>17</v>
      </c>
      <c r="E216" s="2" t="s">
        <v>493</v>
      </c>
      <c r="F216" s="2" t="s">
        <v>32</v>
      </c>
      <c r="G216" s="2" t="s">
        <v>404</v>
      </c>
      <c r="H216" s="2" t="s">
        <v>453</v>
      </c>
      <c r="I216" s="2" t="s">
        <v>454</v>
      </c>
      <c r="J216" s="3">
        <v>6</v>
      </c>
      <c r="K216" s="2" t="s">
        <v>20</v>
      </c>
      <c r="L216" s="3">
        <v>6</v>
      </c>
      <c r="M216" s="11">
        <v>324600.01</v>
      </c>
      <c r="N216" s="3">
        <v>0</v>
      </c>
      <c r="O216" s="2" t="s">
        <v>21</v>
      </c>
      <c r="P216" s="2" t="s">
        <v>29</v>
      </c>
      <c r="Q216" s="2" t="s">
        <v>22</v>
      </c>
    </row>
    <row r="217" spans="1:17" x14ac:dyDescent="0.25">
      <c r="A217" s="1">
        <v>46176</v>
      </c>
      <c r="B217" s="1">
        <v>46175</v>
      </c>
      <c r="C217" s="2" t="s">
        <v>492</v>
      </c>
      <c r="D217" s="2" t="s">
        <v>17</v>
      </c>
      <c r="E217" s="2" t="s">
        <v>493</v>
      </c>
      <c r="F217" s="2" t="s">
        <v>32</v>
      </c>
      <c r="G217" s="2" t="s">
        <v>404</v>
      </c>
      <c r="H217" s="2" t="s">
        <v>338</v>
      </c>
      <c r="I217" s="2" t="s">
        <v>339</v>
      </c>
      <c r="J217" s="3">
        <v>4</v>
      </c>
      <c r="K217" s="2" t="s">
        <v>20</v>
      </c>
      <c r="L217" s="3">
        <v>4</v>
      </c>
      <c r="M217" s="11">
        <v>256800.01</v>
      </c>
      <c r="N217" s="3">
        <v>0</v>
      </c>
      <c r="O217" s="2" t="s">
        <v>21</v>
      </c>
      <c r="P217" s="2" t="s">
        <v>29</v>
      </c>
      <c r="Q217" s="2" t="s">
        <v>22</v>
      </c>
    </row>
    <row r="218" spans="1:17" x14ac:dyDescent="0.25">
      <c r="A218" s="1">
        <v>46176</v>
      </c>
      <c r="B218" s="1">
        <v>46175</v>
      </c>
      <c r="C218" s="2" t="s">
        <v>492</v>
      </c>
      <c r="D218" s="2" t="s">
        <v>17</v>
      </c>
      <c r="E218" s="2" t="s">
        <v>493</v>
      </c>
      <c r="F218" s="2" t="s">
        <v>32</v>
      </c>
      <c r="G218" s="2" t="s">
        <v>404</v>
      </c>
      <c r="H218" s="2" t="s">
        <v>475</v>
      </c>
      <c r="I218" s="2" t="s">
        <v>476</v>
      </c>
      <c r="J218" s="3">
        <v>4</v>
      </c>
      <c r="K218" s="2" t="s">
        <v>20</v>
      </c>
      <c r="L218" s="3">
        <v>4</v>
      </c>
      <c r="M218" s="11">
        <v>356000</v>
      </c>
      <c r="N218" s="3">
        <v>0</v>
      </c>
      <c r="O218" s="2" t="s">
        <v>21</v>
      </c>
      <c r="P218" s="2" t="s">
        <v>29</v>
      </c>
      <c r="Q218" s="2" t="s">
        <v>22</v>
      </c>
    </row>
    <row r="219" spans="1:17" x14ac:dyDescent="0.25">
      <c r="A219" s="1">
        <v>46176</v>
      </c>
      <c r="B219" s="1">
        <v>46175</v>
      </c>
      <c r="C219" s="2" t="s">
        <v>492</v>
      </c>
      <c r="D219" s="2" t="s">
        <v>17</v>
      </c>
      <c r="E219" s="2" t="s">
        <v>493</v>
      </c>
      <c r="F219" s="2" t="s">
        <v>32</v>
      </c>
      <c r="G219" s="2" t="s">
        <v>404</v>
      </c>
      <c r="H219" s="2" t="s">
        <v>494</v>
      </c>
      <c r="I219" s="2" t="s">
        <v>495</v>
      </c>
      <c r="J219" s="3">
        <v>5</v>
      </c>
      <c r="K219" s="2" t="s">
        <v>20</v>
      </c>
      <c r="L219" s="3">
        <v>5</v>
      </c>
      <c r="M219" s="11">
        <v>174999.99</v>
      </c>
      <c r="N219" s="3">
        <v>0</v>
      </c>
      <c r="O219" s="2" t="s">
        <v>21</v>
      </c>
      <c r="P219" s="2" t="s">
        <v>29</v>
      </c>
      <c r="Q219" s="2" t="s">
        <v>22</v>
      </c>
    </row>
    <row r="220" spans="1:17" x14ac:dyDescent="0.25">
      <c r="A220" s="1">
        <v>46176</v>
      </c>
      <c r="B220" s="1">
        <v>46175</v>
      </c>
      <c r="C220" s="2" t="s">
        <v>496</v>
      </c>
      <c r="D220" s="2" t="s">
        <v>17</v>
      </c>
      <c r="E220" s="2" t="s">
        <v>497</v>
      </c>
      <c r="F220" s="2" t="s">
        <v>32</v>
      </c>
      <c r="G220" s="2" t="s">
        <v>404</v>
      </c>
      <c r="H220" s="2" t="s">
        <v>388</v>
      </c>
      <c r="I220" s="2" t="s">
        <v>389</v>
      </c>
      <c r="J220" s="3">
        <v>5</v>
      </c>
      <c r="K220" s="2" t="s">
        <v>20</v>
      </c>
      <c r="L220" s="3">
        <v>5</v>
      </c>
      <c r="M220" s="11">
        <v>299725.02</v>
      </c>
      <c r="N220" s="3">
        <v>0</v>
      </c>
      <c r="O220" s="2" t="s">
        <v>21</v>
      </c>
      <c r="P220" s="2" t="s">
        <v>29</v>
      </c>
      <c r="Q220" s="2" t="s">
        <v>22</v>
      </c>
    </row>
    <row r="221" spans="1:17" x14ac:dyDescent="0.25">
      <c r="A221" s="1">
        <v>46176</v>
      </c>
      <c r="B221" s="1">
        <v>46175</v>
      </c>
      <c r="C221" s="2" t="s">
        <v>496</v>
      </c>
      <c r="D221" s="2" t="s">
        <v>17</v>
      </c>
      <c r="E221" s="2" t="s">
        <v>497</v>
      </c>
      <c r="F221" s="2" t="s">
        <v>32</v>
      </c>
      <c r="G221" s="2" t="s">
        <v>404</v>
      </c>
      <c r="H221" s="2" t="s">
        <v>431</v>
      </c>
      <c r="I221" s="2" t="s">
        <v>432</v>
      </c>
      <c r="J221" s="3">
        <v>3</v>
      </c>
      <c r="K221" s="2" t="s">
        <v>20</v>
      </c>
      <c r="L221" s="3">
        <v>3</v>
      </c>
      <c r="M221" s="11">
        <v>153900</v>
      </c>
      <c r="N221" s="3">
        <v>0</v>
      </c>
      <c r="O221" s="2" t="s">
        <v>21</v>
      </c>
      <c r="P221" s="2" t="s">
        <v>29</v>
      </c>
      <c r="Q221" s="2" t="s">
        <v>22</v>
      </c>
    </row>
    <row r="222" spans="1:17" x14ac:dyDescent="0.25">
      <c r="A222" s="1">
        <v>46176</v>
      </c>
      <c r="B222" s="1">
        <v>46175</v>
      </c>
      <c r="C222" s="2" t="s">
        <v>496</v>
      </c>
      <c r="D222" s="2" t="s">
        <v>17</v>
      </c>
      <c r="E222" s="2" t="s">
        <v>497</v>
      </c>
      <c r="F222" s="2" t="s">
        <v>32</v>
      </c>
      <c r="G222" s="2" t="s">
        <v>404</v>
      </c>
      <c r="H222" s="2" t="s">
        <v>498</v>
      </c>
      <c r="I222" s="2" t="s">
        <v>499</v>
      </c>
      <c r="J222" s="3">
        <v>5</v>
      </c>
      <c r="K222" s="2" t="s">
        <v>20</v>
      </c>
      <c r="L222" s="3">
        <v>5</v>
      </c>
      <c r="M222" s="11">
        <v>286424.98</v>
      </c>
      <c r="N222" s="3">
        <v>0</v>
      </c>
      <c r="O222" s="2" t="s">
        <v>21</v>
      </c>
      <c r="P222" s="2" t="s">
        <v>29</v>
      </c>
      <c r="Q222" s="2" t="s">
        <v>22</v>
      </c>
    </row>
    <row r="223" spans="1:17" x14ac:dyDescent="0.25">
      <c r="A223" s="1">
        <v>46176</v>
      </c>
      <c r="B223" s="1">
        <v>46175</v>
      </c>
      <c r="C223" s="2" t="s">
        <v>496</v>
      </c>
      <c r="D223" s="2" t="s">
        <v>17</v>
      </c>
      <c r="E223" s="2" t="s">
        <v>497</v>
      </c>
      <c r="F223" s="2" t="s">
        <v>32</v>
      </c>
      <c r="G223" s="2" t="s">
        <v>404</v>
      </c>
      <c r="H223" s="2" t="s">
        <v>336</v>
      </c>
      <c r="I223" s="2" t="s">
        <v>337</v>
      </c>
      <c r="J223" s="3">
        <v>5</v>
      </c>
      <c r="K223" s="2" t="s">
        <v>20</v>
      </c>
      <c r="L223" s="3">
        <v>5</v>
      </c>
      <c r="M223" s="11">
        <v>498749.97</v>
      </c>
      <c r="N223" s="3">
        <v>0</v>
      </c>
      <c r="O223" s="2" t="s">
        <v>21</v>
      </c>
      <c r="P223" s="2" t="s">
        <v>29</v>
      </c>
      <c r="Q223" s="2" t="s">
        <v>22</v>
      </c>
    </row>
    <row r="224" spans="1:17" x14ac:dyDescent="0.25">
      <c r="A224" s="1">
        <v>46176</v>
      </c>
      <c r="B224" s="1">
        <v>46175</v>
      </c>
      <c r="C224" s="2" t="s">
        <v>500</v>
      </c>
      <c r="D224" s="2" t="s">
        <v>17</v>
      </c>
      <c r="E224" s="2" t="s">
        <v>501</v>
      </c>
      <c r="F224" s="2" t="s">
        <v>32</v>
      </c>
      <c r="G224" s="2" t="s">
        <v>33</v>
      </c>
      <c r="H224" s="2" t="s">
        <v>50</v>
      </c>
      <c r="I224" s="2" t="s">
        <v>51</v>
      </c>
      <c r="J224" s="3">
        <v>2</v>
      </c>
      <c r="K224" s="2" t="s">
        <v>28</v>
      </c>
      <c r="L224" s="3">
        <v>2</v>
      </c>
      <c r="M224" s="11">
        <v>580000</v>
      </c>
      <c r="N224" s="3">
        <v>0</v>
      </c>
      <c r="O224" s="2" t="s">
        <v>21</v>
      </c>
      <c r="P224" s="2" t="s">
        <v>29</v>
      </c>
      <c r="Q224" s="2" t="s">
        <v>22</v>
      </c>
    </row>
    <row r="225" spans="1:17" x14ac:dyDescent="0.25">
      <c r="A225" s="1">
        <v>46176</v>
      </c>
      <c r="B225" s="1">
        <v>46175</v>
      </c>
      <c r="C225" s="2" t="s">
        <v>502</v>
      </c>
      <c r="D225" s="2" t="s">
        <v>17</v>
      </c>
      <c r="E225" s="2" t="s">
        <v>503</v>
      </c>
      <c r="F225" s="2" t="s">
        <v>32</v>
      </c>
      <c r="G225" s="2" t="s">
        <v>43</v>
      </c>
      <c r="H225" s="2" t="s">
        <v>72</v>
      </c>
      <c r="I225" s="2" t="s">
        <v>73</v>
      </c>
      <c r="J225" s="3">
        <v>30</v>
      </c>
      <c r="K225" s="2" t="s">
        <v>36</v>
      </c>
      <c r="L225" s="3">
        <v>30</v>
      </c>
      <c r="M225" s="11">
        <v>1088910</v>
      </c>
      <c r="N225" s="3">
        <v>0</v>
      </c>
      <c r="O225" s="2" t="s">
        <v>21</v>
      </c>
      <c r="P225" s="2" t="s">
        <v>29</v>
      </c>
      <c r="Q225" s="2" t="s">
        <v>22</v>
      </c>
    </row>
    <row r="226" spans="1:17" x14ac:dyDescent="0.25">
      <c r="A226" s="1">
        <v>46176</v>
      </c>
      <c r="B226" s="1">
        <v>46175</v>
      </c>
      <c r="C226" s="2" t="s">
        <v>504</v>
      </c>
      <c r="D226" s="2" t="s">
        <v>17</v>
      </c>
      <c r="E226" s="2" t="s">
        <v>505</v>
      </c>
      <c r="F226" s="2" t="s">
        <v>18</v>
      </c>
      <c r="G226" s="2" t="s">
        <v>387</v>
      </c>
      <c r="H226" s="2" t="s">
        <v>431</v>
      </c>
      <c r="I226" s="2" t="s">
        <v>432</v>
      </c>
      <c r="J226" s="3">
        <v>12</v>
      </c>
      <c r="K226" s="2" t="s">
        <v>20</v>
      </c>
      <c r="L226" s="3">
        <v>12</v>
      </c>
      <c r="M226" s="11">
        <v>648000</v>
      </c>
      <c r="N226" s="3">
        <v>0</v>
      </c>
      <c r="O226" s="2" t="s">
        <v>21</v>
      </c>
      <c r="P226" s="2" t="s">
        <v>29</v>
      </c>
      <c r="Q226" s="2" t="s">
        <v>22</v>
      </c>
    </row>
    <row r="227" spans="1:17" x14ac:dyDescent="0.25">
      <c r="A227" s="1">
        <v>46176</v>
      </c>
      <c r="B227" s="1">
        <v>46175</v>
      </c>
      <c r="C227" s="2" t="s">
        <v>506</v>
      </c>
      <c r="D227" s="2" t="s">
        <v>17</v>
      </c>
      <c r="E227" s="2" t="s">
        <v>503</v>
      </c>
      <c r="F227" s="2" t="s">
        <v>32</v>
      </c>
      <c r="G227" s="2" t="s">
        <v>325</v>
      </c>
      <c r="H227" s="2" t="s">
        <v>415</v>
      </c>
      <c r="I227" s="2" t="s">
        <v>416</v>
      </c>
      <c r="J227" s="3">
        <v>16</v>
      </c>
      <c r="K227" s="2" t="s">
        <v>20</v>
      </c>
      <c r="L227" s="3">
        <v>16</v>
      </c>
      <c r="M227" s="11">
        <v>1089599.98</v>
      </c>
      <c r="N227" s="3">
        <v>0</v>
      </c>
      <c r="O227" s="2" t="s">
        <v>21</v>
      </c>
      <c r="P227" s="2" t="s">
        <v>29</v>
      </c>
      <c r="Q227" s="2" t="s">
        <v>22</v>
      </c>
    </row>
    <row r="228" spans="1:17" x14ac:dyDescent="0.25">
      <c r="A228" s="1">
        <v>46176</v>
      </c>
      <c r="B228" s="1">
        <v>46175</v>
      </c>
      <c r="C228" s="2" t="s">
        <v>506</v>
      </c>
      <c r="D228" s="2" t="s">
        <v>17</v>
      </c>
      <c r="E228" s="2" t="s">
        <v>503</v>
      </c>
      <c r="F228" s="2" t="s">
        <v>32</v>
      </c>
      <c r="G228" s="2" t="s">
        <v>325</v>
      </c>
      <c r="H228" s="2" t="s">
        <v>453</v>
      </c>
      <c r="I228" s="2" t="s">
        <v>454</v>
      </c>
      <c r="J228" s="3">
        <v>12</v>
      </c>
      <c r="K228" s="2" t="s">
        <v>20</v>
      </c>
      <c r="L228" s="3">
        <v>12</v>
      </c>
      <c r="M228" s="11">
        <v>649200.02</v>
      </c>
      <c r="N228" s="3">
        <v>0</v>
      </c>
      <c r="O228" s="2" t="s">
        <v>21</v>
      </c>
      <c r="P228" s="2" t="s">
        <v>29</v>
      </c>
      <c r="Q228" s="2" t="s">
        <v>22</v>
      </c>
    </row>
    <row r="229" spans="1:17" x14ac:dyDescent="0.25">
      <c r="A229" s="1">
        <v>46176</v>
      </c>
      <c r="B229" s="1">
        <v>46175</v>
      </c>
      <c r="C229" s="2" t="s">
        <v>506</v>
      </c>
      <c r="D229" s="2" t="s">
        <v>17</v>
      </c>
      <c r="E229" s="2" t="s">
        <v>503</v>
      </c>
      <c r="F229" s="2" t="s">
        <v>32</v>
      </c>
      <c r="G229" s="2" t="s">
        <v>325</v>
      </c>
      <c r="H229" s="2" t="s">
        <v>417</v>
      </c>
      <c r="I229" s="2" t="s">
        <v>418</v>
      </c>
      <c r="J229" s="3">
        <v>12</v>
      </c>
      <c r="K229" s="2" t="s">
        <v>20</v>
      </c>
      <c r="L229" s="3">
        <v>12</v>
      </c>
      <c r="M229" s="11">
        <v>649200.01</v>
      </c>
      <c r="N229" s="3">
        <v>0</v>
      </c>
      <c r="O229" s="2" t="s">
        <v>21</v>
      </c>
      <c r="P229" s="2" t="s">
        <v>29</v>
      </c>
      <c r="Q229" s="2" t="s">
        <v>22</v>
      </c>
    </row>
    <row r="230" spans="1:17" x14ac:dyDescent="0.25">
      <c r="A230" s="1">
        <v>46176</v>
      </c>
      <c r="B230" s="1">
        <v>46175</v>
      </c>
      <c r="C230" s="2" t="s">
        <v>506</v>
      </c>
      <c r="D230" s="2" t="s">
        <v>17</v>
      </c>
      <c r="E230" s="2" t="s">
        <v>503</v>
      </c>
      <c r="F230" s="2" t="s">
        <v>32</v>
      </c>
      <c r="G230" s="2" t="s">
        <v>325</v>
      </c>
      <c r="H230" s="2" t="s">
        <v>338</v>
      </c>
      <c r="I230" s="2" t="s">
        <v>339</v>
      </c>
      <c r="J230" s="3">
        <v>12</v>
      </c>
      <c r="K230" s="2" t="s">
        <v>20</v>
      </c>
      <c r="L230" s="3">
        <v>12</v>
      </c>
      <c r="M230" s="11">
        <v>770400.03</v>
      </c>
      <c r="N230" s="3">
        <v>0</v>
      </c>
      <c r="O230" s="2" t="s">
        <v>21</v>
      </c>
      <c r="P230" s="2" t="s">
        <v>29</v>
      </c>
      <c r="Q230" s="2" t="s">
        <v>22</v>
      </c>
    </row>
    <row r="231" spans="1:17" x14ac:dyDescent="0.25">
      <c r="A231" s="1">
        <v>46176</v>
      </c>
      <c r="B231" s="1">
        <v>46175</v>
      </c>
      <c r="C231" s="2" t="s">
        <v>507</v>
      </c>
      <c r="D231" s="2" t="s">
        <v>17</v>
      </c>
      <c r="E231" s="2" t="s">
        <v>508</v>
      </c>
      <c r="F231" s="2" t="s">
        <v>32</v>
      </c>
      <c r="G231" s="2" t="s">
        <v>404</v>
      </c>
      <c r="H231" s="2" t="s">
        <v>336</v>
      </c>
      <c r="I231" s="2" t="s">
        <v>337</v>
      </c>
      <c r="J231" s="3">
        <v>16</v>
      </c>
      <c r="K231" s="2" t="s">
        <v>20</v>
      </c>
      <c r="L231" s="3">
        <v>16</v>
      </c>
      <c r="M231" s="11">
        <v>1847040</v>
      </c>
      <c r="N231" s="3">
        <v>0</v>
      </c>
      <c r="O231" s="2" t="s">
        <v>21</v>
      </c>
      <c r="P231" s="2" t="s">
        <v>29</v>
      </c>
      <c r="Q231" s="2" t="s">
        <v>22</v>
      </c>
    </row>
    <row r="232" spans="1:17" x14ac:dyDescent="0.25">
      <c r="A232" s="1">
        <v>46176</v>
      </c>
      <c r="B232" s="1">
        <v>46175</v>
      </c>
      <c r="C232" s="2" t="s">
        <v>507</v>
      </c>
      <c r="D232" s="2" t="s">
        <v>17</v>
      </c>
      <c r="E232" s="2" t="s">
        <v>508</v>
      </c>
      <c r="F232" s="2" t="s">
        <v>32</v>
      </c>
      <c r="G232" s="2" t="s">
        <v>404</v>
      </c>
      <c r="H232" s="2" t="s">
        <v>340</v>
      </c>
      <c r="I232" s="2" t="s">
        <v>341</v>
      </c>
      <c r="J232" s="3">
        <v>24</v>
      </c>
      <c r="K232" s="2" t="s">
        <v>20</v>
      </c>
      <c r="L232" s="3">
        <v>24</v>
      </c>
      <c r="M232" s="11">
        <v>1345320</v>
      </c>
      <c r="N232" s="3">
        <v>0</v>
      </c>
      <c r="O232" s="2" t="s">
        <v>21</v>
      </c>
      <c r="P232" s="2" t="s">
        <v>29</v>
      </c>
      <c r="Q232" s="2" t="s">
        <v>22</v>
      </c>
    </row>
    <row r="233" spans="1:17" x14ac:dyDescent="0.25">
      <c r="A233" s="1">
        <v>46176</v>
      </c>
      <c r="B233" s="1">
        <v>46175</v>
      </c>
      <c r="C233" s="2" t="s">
        <v>507</v>
      </c>
      <c r="D233" s="2" t="s">
        <v>17</v>
      </c>
      <c r="E233" s="2" t="s">
        <v>508</v>
      </c>
      <c r="F233" s="2" t="s">
        <v>32</v>
      </c>
      <c r="G233" s="2" t="s">
        <v>404</v>
      </c>
      <c r="H233" s="2" t="s">
        <v>509</v>
      </c>
      <c r="I233" s="2" t="s">
        <v>510</v>
      </c>
      <c r="J233" s="3">
        <v>16</v>
      </c>
      <c r="K233" s="2" t="s">
        <v>20</v>
      </c>
      <c r="L233" s="3">
        <v>16</v>
      </c>
      <c r="M233" s="11">
        <v>1900320</v>
      </c>
      <c r="N233" s="3">
        <v>0</v>
      </c>
      <c r="O233" s="2" t="s">
        <v>21</v>
      </c>
      <c r="P233" s="2" t="s">
        <v>29</v>
      </c>
      <c r="Q233" s="2" t="s">
        <v>22</v>
      </c>
    </row>
    <row r="234" spans="1:17" x14ac:dyDescent="0.25">
      <c r="A234" s="1">
        <v>46176</v>
      </c>
      <c r="B234" s="1">
        <v>46175</v>
      </c>
      <c r="C234" s="2" t="s">
        <v>507</v>
      </c>
      <c r="D234" s="2" t="s">
        <v>17</v>
      </c>
      <c r="E234" s="2" t="s">
        <v>508</v>
      </c>
      <c r="F234" s="2" t="s">
        <v>32</v>
      </c>
      <c r="G234" s="2" t="s">
        <v>404</v>
      </c>
      <c r="H234" s="2" t="s">
        <v>338</v>
      </c>
      <c r="I234" s="2" t="s">
        <v>339</v>
      </c>
      <c r="J234" s="3">
        <v>24</v>
      </c>
      <c r="K234" s="2" t="s">
        <v>20</v>
      </c>
      <c r="L234" s="3">
        <v>24</v>
      </c>
      <c r="M234" s="11">
        <v>1691640</v>
      </c>
      <c r="N234" s="3">
        <v>0</v>
      </c>
      <c r="O234" s="2" t="s">
        <v>21</v>
      </c>
      <c r="P234" s="2" t="s">
        <v>29</v>
      </c>
      <c r="Q234" s="2" t="s">
        <v>22</v>
      </c>
    </row>
    <row r="235" spans="1:17" x14ac:dyDescent="0.25">
      <c r="A235" s="1">
        <v>46176</v>
      </c>
      <c r="B235" s="1">
        <v>46175</v>
      </c>
      <c r="C235" s="2" t="s">
        <v>511</v>
      </c>
      <c r="D235" s="2" t="s">
        <v>17</v>
      </c>
      <c r="E235" s="2" t="s">
        <v>512</v>
      </c>
      <c r="F235" s="2" t="s">
        <v>18</v>
      </c>
      <c r="G235" s="2" t="s">
        <v>404</v>
      </c>
      <c r="H235" s="2" t="s">
        <v>457</v>
      </c>
      <c r="I235" s="2" t="s">
        <v>458</v>
      </c>
      <c r="J235" s="3">
        <v>6</v>
      </c>
      <c r="K235" s="2" t="s">
        <v>20</v>
      </c>
      <c r="L235" s="3">
        <v>6</v>
      </c>
      <c r="M235" s="11">
        <v>261899.97</v>
      </c>
      <c r="N235" s="3">
        <v>0</v>
      </c>
      <c r="O235" s="2" t="s">
        <v>21</v>
      </c>
      <c r="P235" s="2" t="s">
        <v>29</v>
      </c>
      <c r="Q235" s="2" t="s">
        <v>22</v>
      </c>
    </row>
    <row r="236" spans="1:17" x14ac:dyDescent="0.25">
      <c r="A236" s="1">
        <v>46176</v>
      </c>
      <c r="B236" s="1">
        <v>46175</v>
      </c>
      <c r="C236" s="2" t="s">
        <v>513</v>
      </c>
      <c r="D236" s="2" t="s">
        <v>17</v>
      </c>
      <c r="E236" s="2" t="s">
        <v>514</v>
      </c>
      <c r="F236" s="2" t="s">
        <v>32</v>
      </c>
      <c r="G236" s="2" t="s">
        <v>404</v>
      </c>
      <c r="H236" s="2" t="s">
        <v>431</v>
      </c>
      <c r="I236" s="2" t="s">
        <v>432</v>
      </c>
      <c r="J236" s="3">
        <v>48</v>
      </c>
      <c r="K236" s="2" t="s">
        <v>20</v>
      </c>
      <c r="L236" s="3">
        <v>48</v>
      </c>
      <c r="M236" s="11">
        <v>2850480</v>
      </c>
      <c r="N236" s="3">
        <v>0</v>
      </c>
      <c r="O236" s="2" t="s">
        <v>21</v>
      </c>
      <c r="P236" s="2" t="s">
        <v>29</v>
      </c>
      <c r="Q236" s="2" t="s">
        <v>22</v>
      </c>
    </row>
    <row r="237" spans="1:17" x14ac:dyDescent="0.25">
      <c r="A237" s="1">
        <v>46176</v>
      </c>
      <c r="B237" s="1">
        <v>46175</v>
      </c>
      <c r="C237" s="2" t="s">
        <v>515</v>
      </c>
      <c r="D237" s="2" t="s">
        <v>17</v>
      </c>
      <c r="E237" s="2" t="s">
        <v>516</v>
      </c>
      <c r="F237" s="2" t="s">
        <v>18</v>
      </c>
      <c r="G237" s="2" t="s">
        <v>441</v>
      </c>
      <c r="H237" s="2" t="s">
        <v>457</v>
      </c>
      <c r="I237" s="2" t="s">
        <v>458</v>
      </c>
      <c r="J237" s="3">
        <v>30</v>
      </c>
      <c r="K237" s="2" t="s">
        <v>20</v>
      </c>
      <c r="L237" s="3">
        <v>30</v>
      </c>
      <c r="M237" s="11">
        <v>1309499.8600000001</v>
      </c>
      <c r="N237" s="3">
        <v>0</v>
      </c>
      <c r="O237" s="2" t="s">
        <v>21</v>
      </c>
      <c r="P237" s="2" t="s">
        <v>29</v>
      </c>
      <c r="Q237" s="2" t="s">
        <v>22</v>
      </c>
    </row>
    <row r="238" spans="1:17" x14ac:dyDescent="0.25">
      <c r="A238" s="1">
        <v>46176</v>
      </c>
      <c r="B238" s="1">
        <v>46175</v>
      </c>
      <c r="C238" s="2" t="s">
        <v>517</v>
      </c>
      <c r="D238" s="2" t="s">
        <v>17</v>
      </c>
      <c r="E238" s="2" t="s">
        <v>518</v>
      </c>
      <c r="F238" s="2" t="s">
        <v>32</v>
      </c>
      <c r="G238" s="2" t="s">
        <v>171</v>
      </c>
      <c r="H238" s="2" t="s">
        <v>128</v>
      </c>
      <c r="I238" s="2" t="s">
        <v>129</v>
      </c>
      <c r="J238" s="3">
        <v>10</v>
      </c>
      <c r="K238" s="2" t="s">
        <v>36</v>
      </c>
      <c r="L238" s="3">
        <v>9.9498999999999995</v>
      </c>
      <c r="M238" s="11">
        <v>1741250</v>
      </c>
      <c r="N238" s="3">
        <v>-5.0099999999999999E-2</v>
      </c>
      <c r="O238" s="2" t="s">
        <v>21</v>
      </c>
      <c r="P238" s="2" t="s">
        <v>29</v>
      </c>
      <c r="Q238" s="2" t="s">
        <v>22</v>
      </c>
    </row>
    <row r="239" spans="1:17" x14ac:dyDescent="0.25">
      <c r="A239" s="1">
        <v>46176</v>
      </c>
      <c r="B239" s="1">
        <v>46175</v>
      </c>
      <c r="C239" s="2" t="s">
        <v>519</v>
      </c>
      <c r="D239" s="2" t="s">
        <v>17</v>
      </c>
      <c r="E239" s="2" t="s">
        <v>518</v>
      </c>
      <c r="F239" s="2" t="s">
        <v>32</v>
      </c>
      <c r="G239" s="2" t="s">
        <v>171</v>
      </c>
      <c r="H239" s="2" t="s">
        <v>174</v>
      </c>
      <c r="I239" s="2" t="s">
        <v>175</v>
      </c>
      <c r="J239" s="3">
        <v>1</v>
      </c>
      <c r="K239" s="2" t="s">
        <v>28</v>
      </c>
      <c r="L239" s="3">
        <v>1</v>
      </c>
      <c r="M239" s="11">
        <v>295000</v>
      </c>
      <c r="N239" s="3">
        <v>0</v>
      </c>
      <c r="O239" s="2" t="s">
        <v>21</v>
      </c>
      <c r="P239" s="2" t="s">
        <v>29</v>
      </c>
      <c r="Q239" s="2" t="s">
        <v>22</v>
      </c>
    </row>
    <row r="240" spans="1:17" x14ac:dyDescent="0.25">
      <c r="A240" s="1">
        <v>46176</v>
      </c>
      <c r="B240" s="1">
        <v>46175</v>
      </c>
      <c r="C240" s="2" t="s">
        <v>520</v>
      </c>
      <c r="D240" s="2" t="s">
        <v>17</v>
      </c>
      <c r="E240" s="2" t="s">
        <v>521</v>
      </c>
      <c r="F240" s="2" t="s">
        <v>18</v>
      </c>
      <c r="G240" s="2" t="s">
        <v>387</v>
      </c>
      <c r="H240" s="2" t="s">
        <v>475</v>
      </c>
      <c r="I240" s="2" t="s">
        <v>476</v>
      </c>
      <c r="J240" s="3">
        <v>2</v>
      </c>
      <c r="K240" s="2" t="s">
        <v>20</v>
      </c>
      <c r="L240" s="3">
        <v>2</v>
      </c>
      <c r="M240" s="11">
        <v>178000</v>
      </c>
      <c r="N240" s="3">
        <v>0</v>
      </c>
      <c r="O240" s="2" t="s">
        <v>21</v>
      </c>
      <c r="P240" s="2" t="s">
        <v>29</v>
      </c>
      <c r="Q240" s="2" t="s">
        <v>22</v>
      </c>
    </row>
    <row r="241" spans="1:17" x14ac:dyDescent="0.25">
      <c r="A241" s="1">
        <v>46176</v>
      </c>
      <c r="B241" s="1">
        <v>46175</v>
      </c>
      <c r="C241" s="2" t="s">
        <v>522</v>
      </c>
      <c r="D241" s="2" t="s">
        <v>17</v>
      </c>
      <c r="E241" s="2" t="s">
        <v>523</v>
      </c>
      <c r="F241" s="2" t="s">
        <v>18</v>
      </c>
      <c r="G241" s="2" t="s">
        <v>441</v>
      </c>
      <c r="H241" s="2" t="s">
        <v>446</v>
      </c>
      <c r="I241" s="2" t="s">
        <v>447</v>
      </c>
      <c r="J241" s="3">
        <v>4</v>
      </c>
      <c r="K241" s="2" t="s">
        <v>448</v>
      </c>
      <c r="L241" s="3">
        <v>4</v>
      </c>
      <c r="M241" s="11">
        <v>277800.01</v>
      </c>
      <c r="N241" s="3">
        <v>0</v>
      </c>
      <c r="O241" s="2" t="s">
        <v>21</v>
      </c>
      <c r="P241" s="2" t="s">
        <v>29</v>
      </c>
      <c r="Q241" s="2" t="s">
        <v>22</v>
      </c>
    </row>
    <row r="242" spans="1:17" x14ac:dyDescent="0.25">
      <c r="A242" s="1">
        <v>46176</v>
      </c>
      <c r="B242" s="1">
        <v>46175</v>
      </c>
      <c r="C242" s="2" t="s">
        <v>522</v>
      </c>
      <c r="D242" s="2" t="s">
        <v>17</v>
      </c>
      <c r="E242" s="2" t="s">
        <v>523</v>
      </c>
      <c r="F242" s="2" t="s">
        <v>18</v>
      </c>
      <c r="G242" s="2" t="s">
        <v>441</v>
      </c>
      <c r="H242" s="2" t="s">
        <v>431</v>
      </c>
      <c r="I242" s="2" t="s">
        <v>432</v>
      </c>
      <c r="J242" s="3">
        <v>48</v>
      </c>
      <c r="K242" s="2" t="s">
        <v>20</v>
      </c>
      <c r="L242" s="3">
        <v>48</v>
      </c>
      <c r="M242" s="11">
        <v>2591999.96</v>
      </c>
      <c r="N242" s="3">
        <v>0</v>
      </c>
      <c r="O242" s="2" t="s">
        <v>21</v>
      </c>
      <c r="P242" s="2" t="s">
        <v>29</v>
      </c>
      <c r="Q242" s="2" t="s">
        <v>22</v>
      </c>
    </row>
    <row r="243" spans="1:17" x14ac:dyDescent="0.25">
      <c r="A243" s="1">
        <v>46176</v>
      </c>
      <c r="B243" s="1">
        <v>46175</v>
      </c>
      <c r="C243" s="2" t="s">
        <v>527</v>
      </c>
      <c r="D243" s="2" t="s">
        <v>17</v>
      </c>
      <c r="E243" s="2" t="s">
        <v>353</v>
      </c>
      <c r="F243" s="2" t="s">
        <v>32</v>
      </c>
      <c r="G243" s="2" t="s">
        <v>33</v>
      </c>
      <c r="H243" s="2" t="s">
        <v>425</v>
      </c>
      <c r="I243" s="2" t="s">
        <v>426</v>
      </c>
      <c r="J243" s="3">
        <v>27</v>
      </c>
      <c r="K243" s="2" t="s">
        <v>36</v>
      </c>
      <c r="L243" s="3">
        <v>23.219899999999999</v>
      </c>
      <c r="M243" s="11">
        <v>3831300</v>
      </c>
      <c r="N243" s="3">
        <v>-3.7801</v>
      </c>
      <c r="O243" s="2" t="s">
        <v>21</v>
      </c>
      <c r="P243" s="2" t="s">
        <v>29</v>
      </c>
      <c r="Q243" s="2" t="s">
        <v>528</v>
      </c>
    </row>
    <row r="244" spans="1:17" x14ac:dyDescent="0.25">
      <c r="A244" s="1">
        <v>46176</v>
      </c>
      <c r="B244" s="1">
        <v>46175</v>
      </c>
      <c r="C244" s="2" t="s">
        <v>529</v>
      </c>
      <c r="D244" s="2" t="s">
        <v>17</v>
      </c>
      <c r="E244" s="2" t="s">
        <v>375</v>
      </c>
      <c r="F244" s="2" t="s">
        <v>18</v>
      </c>
      <c r="G244" s="2" t="s">
        <v>33</v>
      </c>
      <c r="H244" s="2" t="s">
        <v>160</v>
      </c>
      <c r="I244" s="2" t="s">
        <v>161</v>
      </c>
      <c r="J244" s="3">
        <v>12</v>
      </c>
      <c r="K244" s="2" t="s">
        <v>84</v>
      </c>
      <c r="L244" s="3">
        <v>12</v>
      </c>
      <c r="M244" s="11">
        <v>559440</v>
      </c>
      <c r="N244" s="3">
        <v>0</v>
      </c>
      <c r="O244" s="2" t="s">
        <v>21</v>
      </c>
      <c r="P244" s="2" t="s">
        <v>29</v>
      </c>
      <c r="Q244" s="2" t="s">
        <v>530</v>
      </c>
    </row>
    <row r="245" spans="1:17" x14ac:dyDescent="0.25">
      <c r="A245" s="1">
        <v>46176</v>
      </c>
      <c r="B245" s="1">
        <v>46175</v>
      </c>
      <c r="C245" s="2" t="s">
        <v>531</v>
      </c>
      <c r="D245" s="2" t="s">
        <v>17</v>
      </c>
      <c r="E245" s="2" t="s">
        <v>450</v>
      </c>
      <c r="F245" s="2" t="s">
        <v>32</v>
      </c>
      <c r="G245" s="2" t="s">
        <v>238</v>
      </c>
      <c r="H245" s="2" t="s">
        <v>119</v>
      </c>
      <c r="I245" s="2" t="s">
        <v>120</v>
      </c>
      <c r="J245" s="3">
        <v>150</v>
      </c>
      <c r="K245" s="2" t="s">
        <v>36</v>
      </c>
      <c r="L245" s="3">
        <v>150</v>
      </c>
      <c r="M245" s="11">
        <v>2249999.42</v>
      </c>
      <c r="N245" s="3">
        <v>0</v>
      </c>
      <c r="O245" s="2" t="s">
        <v>21</v>
      </c>
      <c r="P245" s="2" t="s">
        <v>29</v>
      </c>
      <c r="Q245" s="2" t="s">
        <v>22</v>
      </c>
    </row>
    <row r="246" spans="1:17" x14ac:dyDescent="0.25">
      <c r="A246" s="1">
        <v>46176</v>
      </c>
      <c r="B246" s="1">
        <v>46175</v>
      </c>
      <c r="C246" s="2" t="s">
        <v>532</v>
      </c>
      <c r="D246" s="2" t="s">
        <v>17</v>
      </c>
      <c r="E246" s="2" t="s">
        <v>533</v>
      </c>
      <c r="F246" s="2" t="s">
        <v>18</v>
      </c>
      <c r="G246" s="2" t="s">
        <v>33</v>
      </c>
      <c r="H246" s="2" t="s">
        <v>82</v>
      </c>
      <c r="I246" s="2" t="s">
        <v>83</v>
      </c>
      <c r="J246" s="3">
        <v>8</v>
      </c>
      <c r="K246" s="2" t="s">
        <v>84</v>
      </c>
      <c r="L246" s="3">
        <v>8</v>
      </c>
      <c r="M246" s="11">
        <v>372960</v>
      </c>
      <c r="N246" s="3">
        <v>0</v>
      </c>
      <c r="O246" s="2" t="s">
        <v>21</v>
      </c>
      <c r="P246" s="2" t="s">
        <v>29</v>
      </c>
      <c r="Q246" s="2" t="s">
        <v>22</v>
      </c>
    </row>
    <row r="247" spans="1:17" x14ac:dyDescent="0.25">
      <c r="A247" s="1">
        <v>46176</v>
      </c>
      <c r="B247" s="1">
        <v>46175</v>
      </c>
      <c r="C247" s="2" t="s">
        <v>532</v>
      </c>
      <c r="D247" s="2" t="s">
        <v>17</v>
      </c>
      <c r="E247" s="2" t="s">
        <v>533</v>
      </c>
      <c r="F247" s="2" t="s">
        <v>18</v>
      </c>
      <c r="G247" s="2" t="s">
        <v>33</v>
      </c>
      <c r="H247" s="2" t="s">
        <v>366</v>
      </c>
      <c r="I247" s="2" t="s">
        <v>367</v>
      </c>
      <c r="J247" s="3">
        <v>2</v>
      </c>
      <c r="K247" s="2" t="s">
        <v>20</v>
      </c>
      <c r="L247" s="3">
        <v>2</v>
      </c>
      <c r="M247" s="11">
        <v>84360</v>
      </c>
      <c r="N247" s="3">
        <v>0</v>
      </c>
      <c r="O247" s="2" t="s">
        <v>21</v>
      </c>
      <c r="P247" s="2" t="s">
        <v>29</v>
      </c>
      <c r="Q247" s="2" t="s">
        <v>22</v>
      </c>
    </row>
    <row r="248" spans="1:17" x14ac:dyDescent="0.25">
      <c r="A248" s="1">
        <v>46176</v>
      </c>
      <c r="B248" s="1">
        <v>46175</v>
      </c>
      <c r="C248" s="2" t="s">
        <v>534</v>
      </c>
      <c r="D248" s="2" t="s">
        <v>17</v>
      </c>
      <c r="E248" s="2" t="s">
        <v>221</v>
      </c>
      <c r="F248" s="2" t="s">
        <v>32</v>
      </c>
      <c r="G248" s="2" t="s">
        <v>33</v>
      </c>
      <c r="H248" s="2" t="s">
        <v>174</v>
      </c>
      <c r="I248" s="2" t="s">
        <v>175</v>
      </c>
      <c r="J248" s="3">
        <v>1</v>
      </c>
      <c r="K248" s="2" t="s">
        <v>28</v>
      </c>
      <c r="L248" s="3">
        <v>1</v>
      </c>
      <c r="M248" s="11">
        <v>315000</v>
      </c>
      <c r="N248" s="3">
        <v>0</v>
      </c>
      <c r="O248" s="2" t="s">
        <v>21</v>
      </c>
      <c r="P248" s="2" t="s">
        <v>29</v>
      </c>
      <c r="Q248" s="2" t="s">
        <v>526</v>
      </c>
    </row>
    <row r="249" spans="1:17" x14ac:dyDescent="0.25">
      <c r="A249" s="1">
        <v>46176</v>
      </c>
      <c r="B249" s="1">
        <v>46175</v>
      </c>
      <c r="C249" s="2" t="s">
        <v>535</v>
      </c>
      <c r="D249" s="2" t="s">
        <v>17</v>
      </c>
      <c r="E249" s="2" t="s">
        <v>536</v>
      </c>
      <c r="F249" s="2" t="s">
        <v>18</v>
      </c>
      <c r="G249" s="2" t="s">
        <v>33</v>
      </c>
      <c r="H249" s="2" t="s">
        <v>124</v>
      </c>
      <c r="I249" s="2" t="s">
        <v>125</v>
      </c>
      <c r="J249" s="3">
        <v>10</v>
      </c>
      <c r="K249" s="2" t="s">
        <v>36</v>
      </c>
      <c r="L249" s="3">
        <v>10</v>
      </c>
      <c r="M249" s="11">
        <v>327450</v>
      </c>
      <c r="N249" s="3">
        <v>0</v>
      </c>
      <c r="O249" s="2" t="s">
        <v>21</v>
      </c>
      <c r="P249" s="2" t="s">
        <v>29</v>
      </c>
      <c r="Q249" s="2" t="s">
        <v>22</v>
      </c>
    </row>
    <row r="250" spans="1:17" x14ac:dyDescent="0.25">
      <c r="A250" s="1">
        <v>46176</v>
      </c>
      <c r="B250" s="1">
        <v>46175</v>
      </c>
      <c r="C250" s="2" t="s">
        <v>537</v>
      </c>
      <c r="D250" s="2" t="s">
        <v>17</v>
      </c>
      <c r="E250" s="2" t="s">
        <v>538</v>
      </c>
      <c r="F250" s="2" t="s">
        <v>18</v>
      </c>
      <c r="G250" s="2" t="s">
        <v>156</v>
      </c>
      <c r="H250" s="2" t="s">
        <v>109</v>
      </c>
      <c r="I250" s="2" t="s">
        <v>110</v>
      </c>
      <c r="J250" s="3">
        <v>3</v>
      </c>
      <c r="K250" s="2" t="s">
        <v>36</v>
      </c>
      <c r="L250" s="3">
        <v>3</v>
      </c>
      <c r="M250" s="11">
        <v>98235</v>
      </c>
      <c r="N250" s="3">
        <v>0</v>
      </c>
      <c r="O250" s="2" t="s">
        <v>21</v>
      </c>
      <c r="P250" s="2" t="s">
        <v>29</v>
      </c>
      <c r="Q250" s="2" t="s">
        <v>22</v>
      </c>
    </row>
    <row r="251" spans="1:17" x14ac:dyDescent="0.25">
      <c r="A251" s="1">
        <v>46176</v>
      </c>
      <c r="B251" s="1">
        <v>46175</v>
      </c>
      <c r="C251" s="2" t="s">
        <v>539</v>
      </c>
      <c r="D251" s="2" t="s">
        <v>17</v>
      </c>
      <c r="E251" s="2" t="s">
        <v>67</v>
      </c>
      <c r="F251" s="2" t="s">
        <v>18</v>
      </c>
      <c r="G251" s="2" t="s">
        <v>43</v>
      </c>
      <c r="H251" s="2" t="s">
        <v>109</v>
      </c>
      <c r="I251" s="2" t="s">
        <v>110</v>
      </c>
      <c r="J251" s="3">
        <v>10</v>
      </c>
      <c r="K251" s="2" t="s">
        <v>36</v>
      </c>
      <c r="L251" s="3">
        <v>10</v>
      </c>
      <c r="M251" s="11">
        <v>327450</v>
      </c>
      <c r="N251" s="3">
        <v>0</v>
      </c>
      <c r="O251" s="2" t="s">
        <v>21</v>
      </c>
      <c r="P251" s="2" t="s">
        <v>29</v>
      </c>
      <c r="Q251" s="2" t="s">
        <v>22</v>
      </c>
    </row>
    <row r="252" spans="1:17" x14ac:dyDescent="0.25">
      <c r="A252" s="1">
        <v>46176</v>
      </c>
      <c r="B252" s="1">
        <v>46175</v>
      </c>
      <c r="C252" s="2" t="s">
        <v>540</v>
      </c>
      <c r="D252" s="2" t="s">
        <v>17</v>
      </c>
      <c r="E252" s="2" t="s">
        <v>541</v>
      </c>
      <c r="F252" s="2" t="s">
        <v>32</v>
      </c>
      <c r="G252" s="2" t="s">
        <v>61</v>
      </c>
      <c r="H252" s="2" t="s">
        <v>34</v>
      </c>
      <c r="I252" s="2" t="s">
        <v>35</v>
      </c>
      <c r="J252" s="3">
        <v>2</v>
      </c>
      <c r="K252" s="2" t="s">
        <v>36</v>
      </c>
      <c r="L252" s="3">
        <v>2.0099999999999998</v>
      </c>
      <c r="M252" s="11">
        <v>301500.01</v>
      </c>
      <c r="N252" s="3">
        <v>0.01</v>
      </c>
      <c r="O252" s="2" t="s">
        <v>21</v>
      </c>
      <c r="P252" s="2" t="s">
        <v>29</v>
      </c>
      <c r="Q252" s="2" t="s">
        <v>542</v>
      </c>
    </row>
    <row r="253" spans="1:17" x14ac:dyDescent="0.25">
      <c r="A253" s="1">
        <v>46176</v>
      </c>
      <c r="B253" s="1">
        <v>46175</v>
      </c>
      <c r="C253" s="2" t="s">
        <v>543</v>
      </c>
      <c r="D253" s="2" t="s">
        <v>17</v>
      </c>
      <c r="E253" s="2" t="s">
        <v>96</v>
      </c>
      <c r="F253" s="2" t="s">
        <v>18</v>
      </c>
      <c r="G253" s="2" t="s">
        <v>89</v>
      </c>
      <c r="H253" s="2" t="s">
        <v>26</v>
      </c>
      <c r="I253" s="2" t="s">
        <v>27</v>
      </c>
      <c r="J253" s="3">
        <v>1</v>
      </c>
      <c r="K253" s="2" t="s">
        <v>28</v>
      </c>
      <c r="L253" s="3">
        <v>1</v>
      </c>
      <c r="M253" s="11">
        <v>300000</v>
      </c>
      <c r="N253" s="3">
        <v>0</v>
      </c>
      <c r="O253" s="2" t="s">
        <v>21</v>
      </c>
      <c r="P253" s="2" t="s">
        <v>29</v>
      </c>
      <c r="Q253" s="2" t="s">
        <v>544</v>
      </c>
    </row>
    <row r="254" spans="1:17" x14ac:dyDescent="0.25">
      <c r="A254" s="1">
        <v>46176</v>
      </c>
      <c r="B254" s="1">
        <v>46175</v>
      </c>
      <c r="C254" s="2" t="s">
        <v>545</v>
      </c>
      <c r="D254" s="2" t="s">
        <v>17</v>
      </c>
      <c r="E254" s="2" t="s">
        <v>546</v>
      </c>
      <c r="F254" s="2" t="s">
        <v>32</v>
      </c>
      <c r="G254" s="2" t="s">
        <v>40</v>
      </c>
      <c r="H254" s="2" t="s">
        <v>411</v>
      </c>
      <c r="I254" s="2" t="s">
        <v>412</v>
      </c>
      <c r="J254" s="3">
        <v>15</v>
      </c>
      <c r="K254" s="2" t="s">
        <v>36</v>
      </c>
      <c r="L254" s="3">
        <v>15</v>
      </c>
      <c r="M254" s="11">
        <v>407925</v>
      </c>
      <c r="N254" s="3">
        <v>0</v>
      </c>
      <c r="O254" s="2" t="s">
        <v>21</v>
      </c>
      <c r="P254" s="2" t="s">
        <v>29</v>
      </c>
      <c r="Q254" s="2" t="s">
        <v>22</v>
      </c>
    </row>
    <row r="255" spans="1:17" x14ac:dyDescent="0.25">
      <c r="A255" s="1">
        <v>46176</v>
      </c>
      <c r="B255" s="1">
        <v>46175</v>
      </c>
      <c r="C255" s="2" t="s">
        <v>548</v>
      </c>
      <c r="D255" s="2" t="s">
        <v>17</v>
      </c>
      <c r="E255" s="2" t="s">
        <v>547</v>
      </c>
      <c r="F255" s="2" t="s">
        <v>32</v>
      </c>
      <c r="G255" s="2" t="s">
        <v>171</v>
      </c>
      <c r="H255" s="2" t="s">
        <v>174</v>
      </c>
      <c r="I255" s="2" t="s">
        <v>175</v>
      </c>
      <c r="J255" s="3">
        <v>2</v>
      </c>
      <c r="K255" s="2" t="s">
        <v>28</v>
      </c>
      <c r="L255" s="3">
        <v>2</v>
      </c>
      <c r="M255" s="11">
        <v>568000</v>
      </c>
      <c r="N255" s="3">
        <v>0</v>
      </c>
      <c r="O255" s="2" t="s">
        <v>21</v>
      </c>
      <c r="P255" s="2" t="s">
        <v>29</v>
      </c>
      <c r="Q255" s="2" t="s">
        <v>22</v>
      </c>
    </row>
    <row r="256" spans="1:17" x14ac:dyDescent="0.25">
      <c r="A256" s="1">
        <v>46176</v>
      </c>
      <c r="B256" s="1">
        <v>46175</v>
      </c>
      <c r="C256" s="2" t="s">
        <v>549</v>
      </c>
      <c r="D256" s="2" t="s">
        <v>17</v>
      </c>
      <c r="E256" s="2" t="s">
        <v>550</v>
      </c>
      <c r="F256" s="2" t="s">
        <v>32</v>
      </c>
      <c r="G256" s="2" t="s">
        <v>25</v>
      </c>
      <c r="H256" s="2" t="s">
        <v>72</v>
      </c>
      <c r="I256" s="2" t="s">
        <v>73</v>
      </c>
      <c r="J256" s="3">
        <v>10</v>
      </c>
      <c r="K256" s="2" t="s">
        <v>36</v>
      </c>
      <c r="L256" s="3">
        <v>10</v>
      </c>
      <c r="M256" s="11">
        <v>362970</v>
      </c>
      <c r="N256" s="3">
        <v>0</v>
      </c>
      <c r="O256" s="2" t="s">
        <v>21</v>
      </c>
      <c r="P256" s="2" t="s">
        <v>29</v>
      </c>
      <c r="Q256" s="2" t="s">
        <v>22</v>
      </c>
    </row>
    <row r="257" spans="1:17" x14ac:dyDescent="0.25">
      <c r="A257" s="1">
        <v>46176</v>
      </c>
      <c r="B257" s="1">
        <v>46175</v>
      </c>
      <c r="C257" s="2" t="s">
        <v>551</v>
      </c>
      <c r="D257" s="2" t="s">
        <v>17</v>
      </c>
      <c r="E257" s="2" t="s">
        <v>327</v>
      </c>
      <c r="F257" s="2" t="s">
        <v>32</v>
      </c>
      <c r="G257" s="2" t="s">
        <v>89</v>
      </c>
      <c r="H257" s="2" t="s">
        <v>99</v>
      </c>
      <c r="I257" s="2" t="s">
        <v>100</v>
      </c>
      <c r="J257" s="3">
        <v>10</v>
      </c>
      <c r="K257" s="2" t="s">
        <v>36</v>
      </c>
      <c r="L257" s="3">
        <v>10</v>
      </c>
      <c r="M257" s="11">
        <v>1000000</v>
      </c>
      <c r="N257" s="3">
        <v>0</v>
      </c>
      <c r="O257" s="2" t="s">
        <v>21</v>
      </c>
      <c r="P257" s="2" t="s">
        <v>29</v>
      </c>
      <c r="Q257" s="2" t="s">
        <v>552</v>
      </c>
    </row>
    <row r="258" spans="1:17" x14ac:dyDescent="0.25">
      <c r="A258" s="1">
        <v>46176</v>
      </c>
      <c r="B258" s="1">
        <v>46175</v>
      </c>
      <c r="C258" s="2" t="s">
        <v>553</v>
      </c>
      <c r="D258" s="2" t="s">
        <v>17</v>
      </c>
      <c r="E258" s="2" t="s">
        <v>554</v>
      </c>
      <c r="F258" s="2" t="s">
        <v>32</v>
      </c>
      <c r="G258" s="2" t="s">
        <v>49</v>
      </c>
      <c r="H258" s="2" t="s">
        <v>26</v>
      </c>
      <c r="I258" s="2" t="s">
        <v>27</v>
      </c>
      <c r="J258" s="3">
        <v>3</v>
      </c>
      <c r="K258" s="2" t="s">
        <v>28</v>
      </c>
      <c r="L258" s="3">
        <v>3</v>
      </c>
      <c r="M258" s="11">
        <v>918000</v>
      </c>
      <c r="N258" s="3">
        <v>0</v>
      </c>
      <c r="O258" s="2" t="s">
        <v>21</v>
      </c>
      <c r="P258" s="2" t="s">
        <v>29</v>
      </c>
      <c r="Q258" s="2" t="s">
        <v>22</v>
      </c>
    </row>
    <row r="259" spans="1:17" x14ac:dyDescent="0.25">
      <c r="A259" s="1">
        <v>46176</v>
      </c>
      <c r="B259" s="1">
        <v>46175</v>
      </c>
      <c r="C259" s="2" t="s">
        <v>555</v>
      </c>
      <c r="D259" s="2" t="s">
        <v>17</v>
      </c>
      <c r="E259" s="2" t="s">
        <v>556</v>
      </c>
      <c r="F259" s="2" t="s">
        <v>18</v>
      </c>
      <c r="G259" s="2" t="s">
        <v>19</v>
      </c>
      <c r="H259" s="2" t="s">
        <v>109</v>
      </c>
      <c r="I259" s="2" t="s">
        <v>110</v>
      </c>
      <c r="J259" s="3">
        <v>10</v>
      </c>
      <c r="K259" s="2" t="s">
        <v>36</v>
      </c>
      <c r="L259" s="3">
        <v>10</v>
      </c>
      <c r="M259" s="11">
        <v>327450</v>
      </c>
      <c r="N259" s="3">
        <v>0</v>
      </c>
      <c r="O259" s="2" t="s">
        <v>21</v>
      </c>
      <c r="P259" s="2" t="s">
        <v>29</v>
      </c>
      <c r="Q259" s="2" t="s">
        <v>22</v>
      </c>
    </row>
    <row r="260" spans="1:17" x14ac:dyDescent="0.25">
      <c r="A260" s="1">
        <v>46176</v>
      </c>
      <c r="B260" s="1">
        <v>46175</v>
      </c>
      <c r="C260" s="2" t="s">
        <v>555</v>
      </c>
      <c r="D260" s="2" t="s">
        <v>17</v>
      </c>
      <c r="E260" s="2" t="s">
        <v>556</v>
      </c>
      <c r="F260" s="2" t="s">
        <v>18</v>
      </c>
      <c r="G260" s="2" t="s">
        <v>19</v>
      </c>
      <c r="H260" s="2" t="s">
        <v>72</v>
      </c>
      <c r="I260" s="2" t="s">
        <v>73</v>
      </c>
      <c r="J260" s="3">
        <v>20</v>
      </c>
      <c r="K260" s="2" t="s">
        <v>36</v>
      </c>
      <c r="L260" s="3">
        <v>20</v>
      </c>
      <c r="M260" s="11">
        <v>725940</v>
      </c>
      <c r="N260" s="3">
        <v>0</v>
      </c>
      <c r="O260" s="2" t="s">
        <v>21</v>
      </c>
      <c r="P260" s="2" t="s">
        <v>29</v>
      </c>
      <c r="Q260" s="2" t="s">
        <v>22</v>
      </c>
    </row>
    <row r="261" spans="1:17" x14ac:dyDescent="0.25">
      <c r="A261" s="1">
        <v>46176</v>
      </c>
      <c r="B261" s="1">
        <v>46175</v>
      </c>
      <c r="C261" s="2" t="s">
        <v>555</v>
      </c>
      <c r="D261" s="2" t="s">
        <v>17</v>
      </c>
      <c r="E261" s="2" t="s">
        <v>556</v>
      </c>
      <c r="F261" s="2" t="s">
        <v>18</v>
      </c>
      <c r="G261" s="2" t="s">
        <v>19</v>
      </c>
      <c r="H261" s="2" t="s">
        <v>119</v>
      </c>
      <c r="I261" s="2" t="s">
        <v>120</v>
      </c>
      <c r="J261" s="3">
        <v>50</v>
      </c>
      <c r="K261" s="2" t="s">
        <v>36</v>
      </c>
      <c r="L261" s="3">
        <v>50</v>
      </c>
      <c r="M261" s="11">
        <v>799999.76</v>
      </c>
      <c r="N261" s="3">
        <v>0</v>
      </c>
      <c r="O261" s="2" t="s">
        <v>21</v>
      </c>
      <c r="P261" s="2" t="s">
        <v>29</v>
      </c>
      <c r="Q261" s="2" t="s">
        <v>22</v>
      </c>
    </row>
    <row r="262" spans="1:17" x14ac:dyDescent="0.25">
      <c r="A262" s="1">
        <v>46176</v>
      </c>
      <c r="B262" s="1">
        <v>46175</v>
      </c>
      <c r="C262" s="2" t="s">
        <v>557</v>
      </c>
      <c r="D262" s="2" t="s">
        <v>17</v>
      </c>
      <c r="E262" s="2" t="s">
        <v>558</v>
      </c>
      <c r="F262" s="2" t="s">
        <v>32</v>
      </c>
      <c r="G262" s="2" t="s">
        <v>33</v>
      </c>
      <c r="H262" s="2" t="s">
        <v>119</v>
      </c>
      <c r="I262" s="2" t="s">
        <v>120</v>
      </c>
      <c r="J262" s="3">
        <v>8</v>
      </c>
      <c r="K262" s="2" t="s">
        <v>36</v>
      </c>
      <c r="L262" s="3">
        <v>8</v>
      </c>
      <c r="M262" s="11">
        <v>133200</v>
      </c>
      <c r="N262" s="3">
        <v>0</v>
      </c>
      <c r="O262" s="2" t="s">
        <v>21</v>
      </c>
      <c r="P262" s="2" t="s">
        <v>29</v>
      </c>
      <c r="Q262" s="2" t="s">
        <v>22</v>
      </c>
    </row>
    <row r="263" spans="1:17" x14ac:dyDescent="0.25">
      <c r="A263" s="1">
        <v>46176</v>
      </c>
      <c r="B263" s="1">
        <v>46175</v>
      </c>
      <c r="C263" s="2" t="s">
        <v>559</v>
      </c>
      <c r="D263" s="2" t="s">
        <v>17</v>
      </c>
      <c r="E263" s="2" t="s">
        <v>560</v>
      </c>
      <c r="F263" s="2" t="s">
        <v>18</v>
      </c>
      <c r="G263" s="2" t="s">
        <v>19</v>
      </c>
      <c r="H263" s="2" t="s">
        <v>72</v>
      </c>
      <c r="I263" s="2" t="s">
        <v>73</v>
      </c>
      <c r="J263" s="3">
        <v>10</v>
      </c>
      <c r="K263" s="2" t="s">
        <v>36</v>
      </c>
      <c r="L263" s="3">
        <v>10</v>
      </c>
      <c r="M263" s="11">
        <v>362970</v>
      </c>
      <c r="N263" s="3">
        <v>0</v>
      </c>
      <c r="O263" s="2" t="s">
        <v>21</v>
      </c>
      <c r="P263" s="2" t="s">
        <v>29</v>
      </c>
      <c r="Q263" s="2" t="s">
        <v>22</v>
      </c>
    </row>
    <row r="264" spans="1:17" x14ac:dyDescent="0.25">
      <c r="A264" s="1">
        <v>46176</v>
      </c>
      <c r="B264" s="1">
        <v>46175</v>
      </c>
      <c r="C264" s="2" t="s">
        <v>562</v>
      </c>
      <c r="D264" s="2" t="s">
        <v>17</v>
      </c>
      <c r="E264" s="2" t="s">
        <v>514</v>
      </c>
      <c r="F264" s="2" t="s">
        <v>32</v>
      </c>
      <c r="G264" s="2" t="s">
        <v>25</v>
      </c>
      <c r="H264" s="2" t="s">
        <v>26</v>
      </c>
      <c r="I264" s="2" t="s">
        <v>27</v>
      </c>
      <c r="J264" s="3">
        <v>4</v>
      </c>
      <c r="K264" s="2" t="s">
        <v>28</v>
      </c>
      <c r="L264" s="3">
        <v>4</v>
      </c>
      <c r="M264" s="11">
        <v>1259999.99</v>
      </c>
      <c r="N264" s="3">
        <v>0</v>
      </c>
      <c r="O264" s="2" t="s">
        <v>21</v>
      </c>
      <c r="P264" s="2" t="s">
        <v>29</v>
      </c>
      <c r="Q264" s="2" t="s">
        <v>22</v>
      </c>
    </row>
    <row r="265" spans="1:17" x14ac:dyDescent="0.25">
      <c r="A265" s="1">
        <v>46176</v>
      </c>
      <c r="B265" s="1">
        <v>46175</v>
      </c>
      <c r="C265" s="2" t="s">
        <v>563</v>
      </c>
      <c r="D265" s="2" t="s">
        <v>17</v>
      </c>
      <c r="E265" s="2" t="s">
        <v>564</v>
      </c>
      <c r="F265" s="2" t="s">
        <v>32</v>
      </c>
      <c r="G265" s="2" t="s">
        <v>33</v>
      </c>
      <c r="H265" s="2" t="s">
        <v>64</v>
      </c>
      <c r="I265" s="2" t="s">
        <v>65</v>
      </c>
      <c r="J265" s="3">
        <v>6.9</v>
      </c>
      <c r="K265" s="2" t="s">
        <v>36</v>
      </c>
      <c r="L265" s="3">
        <v>6.9</v>
      </c>
      <c r="M265" s="11">
        <v>759000.01</v>
      </c>
      <c r="N265" s="3">
        <v>0</v>
      </c>
      <c r="O265" s="2" t="s">
        <v>21</v>
      </c>
      <c r="P265" s="2" t="s">
        <v>29</v>
      </c>
      <c r="Q265" s="2" t="s">
        <v>565</v>
      </c>
    </row>
    <row r="266" spans="1:17" x14ac:dyDescent="0.25">
      <c r="A266" s="1">
        <v>46176</v>
      </c>
      <c r="B266" s="1">
        <v>46175</v>
      </c>
      <c r="C266" s="2" t="s">
        <v>566</v>
      </c>
      <c r="D266" s="2" t="s">
        <v>17</v>
      </c>
      <c r="E266" s="2" t="s">
        <v>567</v>
      </c>
      <c r="F266" s="2" t="s">
        <v>32</v>
      </c>
      <c r="G266" s="2" t="s">
        <v>171</v>
      </c>
      <c r="H266" s="2" t="s">
        <v>128</v>
      </c>
      <c r="I266" s="2" t="s">
        <v>129</v>
      </c>
      <c r="J266" s="3">
        <v>4</v>
      </c>
      <c r="K266" s="2" t="s">
        <v>36</v>
      </c>
      <c r="L266" s="3">
        <v>3.76</v>
      </c>
      <c r="M266" s="11">
        <v>639200</v>
      </c>
      <c r="N266" s="3">
        <v>-0.24</v>
      </c>
      <c r="O266" s="2" t="s">
        <v>21</v>
      </c>
      <c r="P266" s="2" t="s">
        <v>29</v>
      </c>
      <c r="Q266" s="2" t="s">
        <v>22</v>
      </c>
    </row>
    <row r="267" spans="1:17" x14ac:dyDescent="0.25">
      <c r="A267" s="1">
        <v>46176</v>
      </c>
      <c r="B267" s="1">
        <v>46175</v>
      </c>
      <c r="C267" s="2" t="s">
        <v>568</v>
      </c>
      <c r="D267" s="2" t="s">
        <v>17</v>
      </c>
      <c r="E267" s="2" t="s">
        <v>569</v>
      </c>
      <c r="F267" s="2" t="s">
        <v>18</v>
      </c>
      <c r="G267" s="2" t="s">
        <v>25</v>
      </c>
      <c r="H267" s="2" t="s">
        <v>92</v>
      </c>
      <c r="I267" s="2" t="s">
        <v>93</v>
      </c>
      <c r="J267" s="3">
        <v>25</v>
      </c>
      <c r="K267" s="2" t="s">
        <v>36</v>
      </c>
      <c r="L267" s="3">
        <v>25.399899999999999</v>
      </c>
      <c r="M267" s="11">
        <v>1905000</v>
      </c>
      <c r="N267" s="3">
        <v>0.39989999999999998</v>
      </c>
      <c r="O267" s="2" t="s">
        <v>21</v>
      </c>
      <c r="P267" s="2" t="s">
        <v>29</v>
      </c>
      <c r="Q267" s="2" t="s">
        <v>22</v>
      </c>
    </row>
    <row r="268" spans="1:17" x14ac:dyDescent="0.25">
      <c r="A268" s="1">
        <v>46176</v>
      </c>
      <c r="B268" s="1">
        <v>46175</v>
      </c>
      <c r="C268" s="2" t="s">
        <v>570</v>
      </c>
      <c r="D268" s="2" t="s">
        <v>17</v>
      </c>
      <c r="E268" s="2" t="s">
        <v>571</v>
      </c>
      <c r="F268" s="2" t="s">
        <v>32</v>
      </c>
      <c r="G268" s="2" t="s">
        <v>156</v>
      </c>
      <c r="H268" s="2" t="s">
        <v>77</v>
      </c>
      <c r="I268" s="2" t="s">
        <v>78</v>
      </c>
      <c r="J268" s="3">
        <v>2</v>
      </c>
      <c r="K268" s="2" t="s">
        <v>28</v>
      </c>
      <c r="L268" s="3">
        <v>2</v>
      </c>
      <c r="M268" s="11">
        <v>1134000</v>
      </c>
      <c r="N268" s="3">
        <v>0</v>
      </c>
      <c r="O268" s="2" t="s">
        <v>21</v>
      </c>
      <c r="P268" s="2" t="s">
        <v>29</v>
      </c>
      <c r="Q268" s="2" t="s">
        <v>22</v>
      </c>
    </row>
    <row r="269" spans="1:17" x14ac:dyDescent="0.25">
      <c r="A269" s="1">
        <v>46176</v>
      </c>
      <c r="B269" s="1">
        <v>46175</v>
      </c>
      <c r="C269" s="2" t="s">
        <v>572</v>
      </c>
      <c r="D269" s="2" t="s">
        <v>17</v>
      </c>
      <c r="E269" s="2" t="s">
        <v>567</v>
      </c>
      <c r="F269" s="2" t="s">
        <v>32</v>
      </c>
      <c r="G269" s="2" t="s">
        <v>171</v>
      </c>
      <c r="H269" s="2" t="s">
        <v>128</v>
      </c>
      <c r="I269" s="2" t="s">
        <v>129</v>
      </c>
      <c r="J269" s="3">
        <v>5</v>
      </c>
      <c r="K269" s="2" t="s">
        <v>36</v>
      </c>
      <c r="L269" s="3">
        <v>4.75</v>
      </c>
      <c r="M269" s="11">
        <v>807500</v>
      </c>
      <c r="N269" s="3">
        <v>-0.25</v>
      </c>
      <c r="O269" s="2" t="s">
        <v>21</v>
      </c>
      <c r="P269" s="2" t="s">
        <v>29</v>
      </c>
      <c r="Q269" s="2" t="s">
        <v>22</v>
      </c>
    </row>
    <row r="270" spans="1:17" x14ac:dyDescent="0.25">
      <c r="A270" s="1">
        <v>46176</v>
      </c>
      <c r="B270" s="1">
        <v>46175</v>
      </c>
      <c r="C270" s="2" t="s">
        <v>573</v>
      </c>
      <c r="D270" s="2" t="s">
        <v>17</v>
      </c>
      <c r="E270" s="2" t="s">
        <v>574</v>
      </c>
      <c r="F270" s="2" t="s">
        <v>18</v>
      </c>
      <c r="G270" s="2" t="s">
        <v>441</v>
      </c>
      <c r="H270" s="2" t="s">
        <v>336</v>
      </c>
      <c r="I270" s="2" t="s">
        <v>337</v>
      </c>
      <c r="J270" s="3">
        <v>3</v>
      </c>
      <c r="K270" s="2" t="s">
        <v>20</v>
      </c>
      <c r="L270" s="3">
        <v>3</v>
      </c>
      <c r="M270" s="11">
        <v>315000</v>
      </c>
      <c r="N270" s="3">
        <v>0</v>
      </c>
      <c r="O270" s="2" t="s">
        <v>21</v>
      </c>
      <c r="P270" s="2" t="s">
        <v>29</v>
      </c>
      <c r="Q270" s="2" t="s">
        <v>575</v>
      </c>
    </row>
    <row r="271" spans="1:17" x14ac:dyDescent="0.25">
      <c r="A271" s="1">
        <v>46176</v>
      </c>
      <c r="B271" s="1">
        <v>46175</v>
      </c>
      <c r="C271" s="2" t="s">
        <v>576</v>
      </c>
      <c r="D271" s="2" t="s">
        <v>17</v>
      </c>
      <c r="E271" s="2" t="s">
        <v>567</v>
      </c>
      <c r="F271" s="2" t="s">
        <v>32</v>
      </c>
      <c r="G271" s="2" t="s">
        <v>171</v>
      </c>
      <c r="H271" s="2" t="s">
        <v>165</v>
      </c>
      <c r="I271" s="2" t="s">
        <v>166</v>
      </c>
      <c r="J271" s="3">
        <v>2</v>
      </c>
      <c r="K271" s="2" t="s">
        <v>106</v>
      </c>
      <c r="L271" s="3">
        <v>2</v>
      </c>
      <c r="M271" s="11">
        <v>190920</v>
      </c>
      <c r="N271" s="3">
        <v>0</v>
      </c>
      <c r="O271" s="2" t="s">
        <v>21</v>
      </c>
      <c r="P271" s="2" t="s">
        <v>29</v>
      </c>
      <c r="Q271" s="2" t="s">
        <v>22</v>
      </c>
    </row>
    <row r="272" spans="1:17" x14ac:dyDescent="0.25">
      <c r="A272" s="1">
        <v>46176</v>
      </c>
      <c r="B272" s="1">
        <v>46175</v>
      </c>
      <c r="C272" s="2" t="s">
        <v>577</v>
      </c>
      <c r="D272" s="2" t="s">
        <v>17</v>
      </c>
      <c r="E272" s="2" t="s">
        <v>567</v>
      </c>
      <c r="F272" s="2" t="s">
        <v>32</v>
      </c>
      <c r="G272" s="2" t="s">
        <v>171</v>
      </c>
      <c r="H272" s="2" t="s">
        <v>128</v>
      </c>
      <c r="I272" s="2" t="s">
        <v>129</v>
      </c>
      <c r="J272" s="3">
        <v>5</v>
      </c>
      <c r="K272" s="2" t="s">
        <v>36</v>
      </c>
      <c r="L272" s="3">
        <v>4.5999999999999996</v>
      </c>
      <c r="M272" s="11">
        <v>782000</v>
      </c>
      <c r="N272" s="3">
        <v>-0.4</v>
      </c>
      <c r="O272" s="2" t="s">
        <v>21</v>
      </c>
      <c r="P272" s="2" t="s">
        <v>29</v>
      </c>
      <c r="Q272" s="2" t="s">
        <v>22</v>
      </c>
    </row>
    <row r="273" spans="1:17" x14ac:dyDescent="0.25">
      <c r="A273" s="1">
        <v>46176</v>
      </c>
      <c r="B273" s="1">
        <v>46175</v>
      </c>
      <c r="C273" s="2" t="s">
        <v>578</v>
      </c>
      <c r="D273" s="2" t="s">
        <v>17</v>
      </c>
      <c r="E273" s="2" t="s">
        <v>567</v>
      </c>
      <c r="F273" s="2" t="s">
        <v>32</v>
      </c>
      <c r="G273" s="2" t="s">
        <v>171</v>
      </c>
      <c r="H273" s="2" t="s">
        <v>128</v>
      </c>
      <c r="I273" s="2" t="s">
        <v>129</v>
      </c>
      <c r="J273" s="3">
        <v>2</v>
      </c>
      <c r="K273" s="2" t="s">
        <v>36</v>
      </c>
      <c r="L273" s="3">
        <v>1.65</v>
      </c>
      <c r="M273" s="11">
        <v>280500</v>
      </c>
      <c r="N273" s="3">
        <v>-0.35</v>
      </c>
      <c r="O273" s="2" t="s">
        <v>21</v>
      </c>
      <c r="P273" s="2" t="s">
        <v>29</v>
      </c>
      <c r="Q273" s="2" t="s">
        <v>22</v>
      </c>
    </row>
    <row r="274" spans="1:17" x14ac:dyDescent="0.25">
      <c r="A274" s="1">
        <v>46176</v>
      </c>
      <c r="B274" s="1">
        <v>46175</v>
      </c>
      <c r="C274" s="2" t="s">
        <v>579</v>
      </c>
      <c r="D274" s="2" t="s">
        <v>17</v>
      </c>
      <c r="E274" s="2" t="s">
        <v>580</v>
      </c>
      <c r="F274" s="2" t="s">
        <v>18</v>
      </c>
      <c r="G274" s="2" t="s">
        <v>61</v>
      </c>
      <c r="H274" s="2" t="s">
        <v>199</v>
      </c>
      <c r="I274" s="2" t="s">
        <v>200</v>
      </c>
      <c r="J274" s="3">
        <v>8</v>
      </c>
      <c r="K274" s="2" t="s">
        <v>36</v>
      </c>
      <c r="L274" s="3">
        <v>7.7</v>
      </c>
      <c r="M274" s="11">
        <v>2772000</v>
      </c>
      <c r="N274" s="3">
        <v>-0.3</v>
      </c>
      <c r="O274" s="2" t="s">
        <v>21</v>
      </c>
      <c r="P274" s="2" t="s">
        <v>29</v>
      </c>
      <c r="Q274" s="2" t="s">
        <v>22</v>
      </c>
    </row>
    <row r="275" spans="1:17" x14ac:dyDescent="0.25">
      <c r="A275" s="1">
        <v>46176</v>
      </c>
      <c r="B275" s="1">
        <v>46175</v>
      </c>
      <c r="C275" s="2" t="s">
        <v>581</v>
      </c>
      <c r="D275" s="2" t="s">
        <v>17</v>
      </c>
      <c r="E275" s="2" t="s">
        <v>582</v>
      </c>
      <c r="F275" s="2" t="s">
        <v>32</v>
      </c>
      <c r="G275" s="2" t="s">
        <v>61</v>
      </c>
      <c r="H275" s="2" t="s">
        <v>583</v>
      </c>
      <c r="I275" s="2" t="s">
        <v>584</v>
      </c>
      <c r="J275" s="3">
        <v>5</v>
      </c>
      <c r="K275" s="2" t="s">
        <v>36</v>
      </c>
      <c r="L275" s="3">
        <v>5</v>
      </c>
      <c r="M275" s="11">
        <v>625000</v>
      </c>
      <c r="N275" s="3">
        <v>0</v>
      </c>
      <c r="O275" s="2" t="s">
        <v>21</v>
      </c>
      <c r="P275" s="2" t="s">
        <v>29</v>
      </c>
      <c r="Q275" s="2" t="s">
        <v>585</v>
      </c>
    </row>
    <row r="276" spans="1:17" x14ac:dyDescent="0.25">
      <c r="A276" s="1">
        <v>46176</v>
      </c>
      <c r="B276" s="1">
        <v>46175</v>
      </c>
      <c r="C276" s="2" t="s">
        <v>586</v>
      </c>
      <c r="D276" s="2" t="s">
        <v>17</v>
      </c>
      <c r="E276" s="2" t="s">
        <v>587</v>
      </c>
      <c r="F276" s="2" t="s">
        <v>18</v>
      </c>
      <c r="G276" s="2" t="s">
        <v>49</v>
      </c>
      <c r="H276" s="2" t="s">
        <v>77</v>
      </c>
      <c r="I276" s="2" t="s">
        <v>78</v>
      </c>
      <c r="J276" s="3">
        <v>2</v>
      </c>
      <c r="K276" s="2" t="s">
        <v>28</v>
      </c>
      <c r="L276" s="3">
        <v>2</v>
      </c>
      <c r="M276" s="11">
        <v>1154400</v>
      </c>
      <c r="N276" s="3">
        <v>0</v>
      </c>
      <c r="O276" s="2" t="s">
        <v>21</v>
      </c>
      <c r="P276" s="2" t="s">
        <v>29</v>
      </c>
      <c r="Q276" s="2" t="s">
        <v>22</v>
      </c>
    </row>
    <row r="277" spans="1:17" x14ac:dyDescent="0.25">
      <c r="A277" s="1">
        <v>46176</v>
      </c>
      <c r="B277" s="1">
        <v>46175</v>
      </c>
      <c r="C277" s="2" t="s">
        <v>588</v>
      </c>
      <c r="D277" s="2" t="s">
        <v>17</v>
      </c>
      <c r="E277" s="2" t="s">
        <v>589</v>
      </c>
      <c r="F277" s="2" t="s">
        <v>32</v>
      </c>
      <c r="G277" s="2" t="s">
        <v>171</v>
      </c>
      <c r="H277" s="2" t="s">
        <v>590</v>
      </c>
      <c r="I277" s="2" t="s">
        <v>591</v>
      </c>
      <c r="J277" s="3">
        <v>10</v>
      </c>
      <c r="K277" s="2" t="s">
        <v>20</v>
      </c>
      <c r="L277" s="3">
        <v>10</v>
      </c>
      <c r="M277" s="11">
        <v>319999.99</v>
      </c>
      <c r="N277" s="3">
        <v>0</v>
      </c>
      <c r="O277" s="2" t="s">
        <v>21</v>
      </c>
      <c r="P277" s="2" t="s">
        <v>29</v>
      </c>
      <c r="Q277" s="2" t="s">
        <v>22</v>
      </c>
    </row>
    <row r="278" spans="1:17" x14ac:dyDescent="0.25">
      <c r="A278" s="1">
        <v>46176</v>
      </c>
      <c r="B278" s="1">
        <v>46175</v>
      </c>
      <c r="C278" s="2" t="s">
        <v>592</v>
      </c>
      <c r="D278" s="2" t="s">
        <v>17</v>
      </c>
      <c r="E278" s="2" t="s">
        <v>593</v>
      </c>
      <c r="F278" s="2" t="s">
        <v>32</v>
      </c>
      <c r="G278" s="2" t="s">
        <v>40</v>
      </c>
      <c r="H278" s="2" t="s">
        <v>26</v>
      </c>
      <c r="I278" s="2" t="s">
        <v>27</v>
      </c>
      <c r="J278" s="3">
        <v>2</v>
      </c>
      <c r="K278" s="2" t="s">
        <v>28</v>
      </c>
      <c r="L278" s="3">
        <v>2</v>
      </c>
      <c r="M278" s="11">
        <v>554000</v>
      </c>
      <c r="N278" s="3">
        <v>0</v>
      </c>
      <c r="O278" s="2" t="s">
        <v>21</v>
      </c>
      <c r="P278" s="2" t="s">
        <v>29</v>
      </c>
      <c r="Q278" s="2" t="s">
        <v>22</v>
      </c>
    </row>
    <row r="279" spans="1:17" x14ac:dyDescent="0.25">
      <c r="A279" s="1">
        <v>46176</v>
      </c>
      <c r="B279" s="1">
        <v>46175</v>
      </c>
      <c r="C279" s="2" t="s">
        <v>594</v>
      </c>
      <c r="D279" s="2" t="s">
        <v>17</v>
      </c>
      <c r="E279" s="2" t="s">
        <v>595</v>
      </c>
      <c r="F279" s="2" t="s">
        <v>32</v>
      </c>
      <c r="G279" s="2" t="s">
        <v>171</v>
      </c>
      <c r="H279" s="2" t="s">
        <v>72</v>
      </c>
      <c r="I279" s="2" t="s">
        <v>73</v>
      </c>
      <c r="J279" s="3">
        <v>10</v>
      </c>
      <c r="K279" s="2" t="s">
        <v>36</v>
      </c>
      <c r="L279" s="3">
        <v>10</v>
      </c>
      <c r="M279" s="11">
        <v>362970</v>
      </c>
      <c r="N279" s="3">
        <v>0</v>
      </c>
      <c r="O279" s="2" t="s">
        <v>21</v>
      </c>
      <c r="P279" s="2" t="s">
        <v>29</v>
      </c>
      <c r="Q279" s="2" t="s">
        <v>22</v>
      </c>
    </row>
    <row r="280" spans="1:17" x14ac:dyDescent="0.25">
      <c r="A280" s="1">
        <v>46176</v>
      </c>
      <c r="B280" s="1">
        <v>46175</v>
      </c>
      <c r="C280" s="2" t="s">
        <v>596</v>
      </c>
      <c r="D280" s="2" t="s">
        <v>17</v>
      </c>
      <c r="E280" s="2" t="s">
        <v>597</v>
      </c>
      <c r="F280" s="2" t="s">
        <v>32</v>
      </c>
      <c r="G280" s="2" t="s">
        <v>33</v>
      </c>
      <c r="H280" s="2" t="s">
        <v>50</v>
      </c>
      <c r="I280" s="2" t="s">
        <v>51</v>
      </c>
      <c r="J280" s="3">
        <v>4</v>
      </c>
      <c r="K280" s="2" t="s">
        <v>28</v>
      </c>
      <c r="L280" s="3">
        <v>4</v>
      </c>
      <c r="M280" s="11">
        <v>1320000.01</v>
      </c>
      <c r="N280" s="3">
        <v>0</v>
      </c>
      <c r="O280" s="2" t="s">
        <v>21</v>
      </c>
      <c r="P280" s="2" t="s">
        <v>29</v>
      </c>
      <c r="Q280" s="2" t="s">
        <v>22</v>
      </c>
    </row>
    <row r="281" spans="1:17" x14ac:dyDescent="0.25">
      <c r="A281" s="1">
        <v>46176</v>
      </c>
      <c r="B281" s="1">
        <v>46175</v>
      </c>
      <c r="C281" s="2" t="s">
        <v>598</v>
      </c>
      <c r="D281" s="2" t="s">
        <v>17</v>
      </c>
      <c r="E281" s="2" t="s">
        <v>489</v>
      </c>
      <c r="F281" s="2" t="s">
        <v>32</v>
      </c>
      <c r="G281" s="2" t="s">
        <v>89</v>
      </c>
      <c r="H281" s="2" t="s">
        <v>490</v>
      </c>
      <c r="I281" s="2" t="s">
        <v>491</v>
      </c>
      <c r="J281" s="3">
        <v>20</v>
      </c>
      <c r="K281" s="2" t="s">
        <v>36</v>
      </c>
      <c r="L281" s="3">
        <v>20</v>
      </c>
      <c r="M281" s="11">
        <v>2539999.9</v>
      </c>
      <c r="N281" s="3">
        <v>0</v>
      </c>
      <c r="O281" s="2" t="s">
        <v>21</v>
      </c>
      <c r="P281" s="2" t="s">
        <v>29</v>
      </c>
      <c r="Q281" s="2" t="s">
        <v>22</v>
      </c>
    </row>
    <row r="282" spans="1:17" x14ac:dyDescent="0.25">
      <c r="A282" s="1">
        <v>46176</v>
      </c>
      <c r="B282" s="1">
        <v>46175</v>
      </c>
      <c r="C282" s="2" t="s">
        <v>599</v>
      </c>
      <c r="D282" s="2" t="s">
        <v>17</v>
      </c>
      <c r="E282" s="2" t="s">
        <v>571</v>
      </c>
      <c r="F282" s="2" t="s">
        <v>32</v>
      </c>
      <c r="G282" s="2" t="s">
        <v>156</v>
      </c>
      <c r="H282" s="2" t="s">
        <v>146</v>
      </c>
      <c r="I282" s="2" t="s">
        <v>147</v>
      </c>
      <c r="J282" s="3">
        <v>15</v>
      </c>
      <c r="K282" s="2" t="s">
        <v>36</v>
      </c>
      <c r="L282" s="3">
        <v>15</v>
      </c>
      <c r="M282" s="11">
        <v>258075</v>
      </c>
      <c r="N282" s="3">
        <v>0</v>
      </c>
      <c r="O282" s="2" t="s">
        <v>21</v>
      </c>
      <c r="P282" s="2" t="s">
        <v>29</v>
      </c>
      <c r="Q282" s="2" t="s">
        <v>22</v>
      </c>
    </row>
    <row r="283" spans="1:17" x14ac:dyDescent="0.25">
      <c r="A283" s="1">
        <v>46176</v>
      </c>
      <c r="B283" s="1">
        <v>46175</v>
      </c>
      <c r="C283" s="2" t="s">
        <v>600</v>
      </c>
      <c r="D283" s="2" t="s">
        <v>17</v>
      </c>
      <c r="E283" s="2" t="s">
        <v>601</v>
      </c>
      <c r="F283" s="2" t="s">
        <v>32</v>
      </c>
      <c r="G283" s="2" t="s">
        <v>156</v>
      </c>
      <c r="H283" s="2" t="s">
        <v>50</v>
      </c>
      <c r="I283" s="2" t="s">
        <v>51</v>
      </c>
      <c r="J283" s="3">
        <v>15</v>
      </c>
      <c r="K283" s="2" t="s">
        <v>28</v>
      </c>
      <c r="L283" s="3">
        <v>15</v>
      </c>
      <c r="M283" s="11">
        <v>4350000</v>
      </c>
      <c r="N283" s="3">
        <v>0</v>
      </c>
      <c r="O283" s="2" t="s">
        <v>21</v>
      </c>
      <c r="P283" s="2" t="s">
        <v>29</v>
      </c>
      <c r="Q283" s="2" t="s">
        <v>22</v>
      </c>
    </row>
    <row r="284" spans="1:17" x14ac:dyDescent="0.25">
      <c r="A284" s="1">
        <v>46176</v>
      </c>
      <c r="B284" s="1">
        <v>46175</v>
      </c>
      <c r="C284" s="2" t="s">
        <v>602</v>
      </c>
      <c r="D284" s="2" t="s">
        <v>17</v>
      </c>
      <c r="E284" s="2" t="s">
        <v>603</v>
      </c>
      <c r="F284" s="2" t="s">
        <v>32</v>
      </c>
      <c r="G284" s="2" t="s">
        <v>441</v>
      </c>
      <c r="H284" s="2" t="s">
        <v>431</v>
      </c>
      <c r="I284" s="2" t="s">
        <v>432</v>
      </c>
      <c r="J284" s="3">
        <v>240</v>
      </c>
      <c r="K284" s="2" t="s">
        <v>20</v>
      </c>
      <c r="L284" s="3">
        <v>240</v>
      </c>
      <c r="M284" s="11">
        <v>12959999.83</v>
      </c>
      <c r="N284" s="3">
        <v>0</v>
      </c>
      <c r="O284" s="2" t="s">
        <v>21</v>
      </c>
      <c r="P284" s="2" t="s">
        <v>29</v>
      </c>
      <c r="Q284" s="2" t="s">
        <v>22</v>
      </c>
    </row>
    <row r="285" spans="1:17" x14ac:dyDescent="0.25">
      <c r="A285" s="1">
        <v>46176</v>
      </c>
      <c r="B285" s="1">
        <v>46175</v>
      </c>
      <c r="C285" s="2" t="s">
        <v>602</v>
      </c>
      <c r="D285" s="2" t="s">
        <v>17</v>
      </c>
      <c r="E285" s="2" t="s">
        <v>603</v>
      </c>
      <c r="F285" s="2" t="s">
        <v>32</v>
      </c>
      <c r="G285" s="2" t="s">
        <v>441</v>
      </c>
      <c r="H285" s="2" t="s">
        <v>457</v>
      </c>
      <c r="I285" s="2" t="s">
        <v>458</v>
      </c>
      <c r="J285" s="3">
        <v>12</v>
      </c>
      <c r="K285" s="2" t="s">
        <v>20</v>
      </c>
      <c r="L285" s="3">
        <v>12</v>
      </c>
      <c r="M285" s="11">
        <v>523799.94</v>
      </c>
      <c r="N285" s="3">
        <v>0</v>
      </c>
      <c r="O285" s="2" t="s">
        <v>21</v>
      </c>
      <c r="P285" s="2" t="s">
        <v>29</v>
      </c>
      <c r="Q285" s="2" t="s">
        <v>22</v>
      </c>
    </row>
    <row r="286" spans="1:17" x14ac:dyDescent="0.25">
      <c r="A286" s="1">
        <v>46176</v>
      </c>
      <c r="B286" s="1">
        <v>46175</v>
      </c>
      <c r="C286" s="2" t="s">
        <v>604</v>
      </c>
      <c r="D286" s="2" t="s">
        <v>17</v>
      </c>
      <c r="E286" s="2" t="s">
        <v>605</v>
      </c>
      <c r="F286" s="2" t="s">
        <v>32</v>
      </c>
      <c r="G286" s="2" t="s">
        <v>33</v>
      </c>
      <c r="H286" s="2" t="s">
        <v>50</v>
      </c>
      <c r="I286" s="2" t="s">
        <v>51</v>
      </c>
      <c r="J286" s="3">
        <v>1</v>
      </c>
      <c r="K286" s="2" t="s">
        <v>28</v>
      </c>
      <c r="L286" s="3">
        <v>1</v>
      </c>
      <c r="M286" s="11">
        <v>355200</v>
      </c>
      <c r="N286" s="3">
        <v>0</v>
      </c>
      <c r="O286" s="2" t="s">
        <v>21</v>
      </c>
      <c r="P286" s="2" t="s">
        <v>29</v>
      </c>
      <c r="Q286" s="2" t="s">
        <v>22</v>
      </c>
    </row>
    <row r="287" spans="1:17" x14ac:dyDescent="0.25">
      <c r="A287" s="1">
        <v>46176</v>
      </c>
      <c r="B287" s="1">
        <v>46175</v>
      </c>
      <c r="C287" s="2" t="s">
        <v>606</v>
      </c>
      <c r="D287" s="2" t="s">
        <v>17</v>
      </c>
      <c r="E287" s="2" t="s">
        <v>607</v>
      </c>
      <c r="F287" s="2" t="s">
        <v>32</v>
      </c>
      <c r="G287" s="2" t="s">
        <v>40</v>
      </c>
      <c r="H287" s="2" t="s">
        <v>26</v>
      </c>
      <c r="I287" s="2" t="s">
        <v>27</v>
      </c>
      <c r="J287" s="3">
        <v>2</v>
      </c>
      <c r="K287" s="2" t="s">
        <v>28</v>
      </c>
      <c r="L287" s="3">
        <v>2</v>
      </c>
      <c r="M287" s="11">
        <v>654900</v>
      </c>
      <c r="N287" s="3">
        <v>0</v>
      </c>
      <c r="O287" s="2" t="s">
        <v>21</v>
      </c>
      <c r="P287" s="2" t="s">
        <v>29</v>
      </c>
      <c r="Q287" s="2" t="s">
        <v>22</v>
      </c>
    </row>
    <row r="288" spans="1:17" x14ac:dyDescent="0.25">
      <c r="A288" s="1">
        <v>46176</v>
      </c>
      <c r="B288" s="1">
        <v>46175</v>
      </c>
      <c r="C288" s="2" t="s">
        <v>608</v>
      </c>
      <c r="D288" s="2" t="s">
        <v>17</v>
      </c>
      <c r="E288" s="2" t="s">
        <v>609</v>
      </c>
      <c r="F288" s="2" t="s">
        <v>32</v>
      </c>
      <c r="G288" s="2" t="s">
        <v>25</v>
      </c>
      <c r="H288" s="2" t="s">
        <v>26</v>
      </c>
      <c r="I288" s="2" t="s">
        <v>27</v>
      </c>
      <c r="J288" s="3">
        <v>4</v>
      </c>
      <c r="K288" s="2" t="s">
        <v>28</v>
      </c>
      <c r="L288" s="3">
        <v>4</v>
      </c>
      <c r="M288" s="11">
        <v>1280000</v>
      </c>
      <c r="N288" s="3">
        <v>0</v>
      </c>
      <c r="O288" s="2" t="s">
        <v>21</v>
      </c>
      <c r="P288" s="2" t="s">
        <v>29</v>
      </c>
      <c r="Q288" s="2" t="s">
        <v>22</v>
      </c>
    </row>
    <row r="289" spans="1:17" x14ac:dyDescent="0.25">
      <c r="A289" s="1">
        <v>46176</v>
      </c>
      <c r="B289" s="1">
        <v>46175</v>
      </c>
      <c r="C289" s="2" t="s">
        <v>610</v>
      </c>
      <c r="D289" s="2" t="s">
        <v>17</v>
      </c>
      <c r="E289" s="2" t="s">
        <v>611</v>
      </c>
      <c r="F289" s="2" t="s">
        <v>32</v>
      </c>
      <c r="G289" s="2" t="s">
        <v>25</v>
      </c>
      <c r="H289" s="2" t="s">
        <v>612</v>
      </c>
      <c r="I289" s="2" t="s">
        <v>613</v>
      </c>
      <c r="J289" s="3">
        <v>20</v>
      </c>
      <c r="K289" s="2" t="s">
        <v>36</v>
      </c>
      <c r="L289" s="3">
        <v>23.219899999999999</v>
      </c>
      <c r="M289" s="11">
        <v>3668760</v>
      </c>
      <c r="N289" s="3">
        <v>3.2199</v>
      </c>
      <c r="O289" s="2" t="s">
        <v>21</v>
      </c>
      <c r="P289" s="2" t="s">
        <v>29</v>
      </c>
      <c r="Q289" s="2" t="s">
        <v>22</v>
      </c>
    </row>
    <row r="290" spans="1:17" x14ac:dyDescent="0.25">
      <c r="A290" s="1">
        <v>46176</v>
      </c>
      <c r="B290" s="1">
        <v>46175</v>
      </c>
      <c r="C290" s="2" t="s">
        <v>614</v>
      </c>
      <c r="D290" s="2" t="s">
        <v>17</v>
      </c>
      <c r="E290" s="2" t="s">
        <v>615</v>
      </c>
      <c r="F290" s="2" t="s">
        <v>32</v>
      </c>
      <c r="G290" s="2" t="s">
        <v>25</v>
      </c>
      <c r="H290" s="2" t="s">
        <v>612</v>
      </c>
      <c r="I290" s="2" t="s">
        <v>613</v>
      </c>
      <c r="J290" s="3">
        <v>4</v>
      </c>
      <c r="K290" s="2" t="s">
        <v>36</v>
      </c>
      <c r="L290" s="3">
        <v>4.17</v>
      </c>
      <c r="M290" s="11">
        <v>658860</v>
      </c>
      <c r="N290" s="3">
        <v>0.17</v>
      </c>
      <c r="O290" s="2" t="s">
        <v>21</v>
      </c>
      <c r="P290" s="2" t="s">
        <v>29</v>
      </c>
      <c r="Q290" s="2" t="s">
        <v>22</v>
      </c>
    </row>
    <row r="291" spans="1:17" x14ac:dyDescent="0.25">
      <c r="A291" s="1">
        <v>46176</v>
      </c>
      <c r="B291" s="1">
        <v>46175</v>
      </c>
      <c r="C291" s="2" t="s">
        <v>616</v>
      </c>
      <c r="D291" s="2" t="s">
        <v>17</v>
      </c>
      <c r="E291" s="2" t="s">
        <v>617</v>
      </c>
      <c r="F291" s="2" t="s">
        <v>18</v>
      </c>
      <c r="G291" s="2" t="s">
        <v>19</v>
      </c>
      <c r="H291" s="2" t="s">
        <v>72</v>
      </c>
      <c r="I291" s="2" t="s">
        <v>73</v>
      </c>
      <c r="J291" s="3">
        <v>20</v>
      </c>
      <c r="K291" s="2" t="s">
        <v>36</v>
      </c>
      <c r="L291" s="3">
        <v>20</v>
      </c>
      <c r="M291" s="11">
        <v>725940</v>
      </c>
      <c r="N291" s="3">
        <v>0</v>
      </c>
      <c r="O291" s="2" t="s">
        <v>21</v>
      </c>
      <c r="P291" s="2" t="s">
        <v>29</v>
      </c>
      <c r="Q291" s="2" t="s">
        <v>22</v>
      </c>
    </row>
    <row r="292" spans="1:17" x14ac:dyDescent="0.25">
      <c r="A292" s="1">
        <v>46176</v>
      </c>
      <c r="B292" s="1">
        <v>46175</v>
      </c>
      <c r="C292" s="2" t="s">
        <v>616</v>
      </c>
      <c r="D292" s="2" t="s">
        <v>17</v>
      </c>
      <c r="E292" s="2" t="s">
        <v>617</v>
      </c>
      <c r="F292" s="2" t="s">
        <v>18</v>
      </c>
      <c r="G292" s="2" t="s">
        <v>19</v>
      </c>
      <c r="H292" s="2" t="s">
        <v>119</v>
      </c>
      <c r="I292" s="2" t="s">
        <v>120</v>
      </c>
      <c r="J292" s="3">
        <v>100</v>
      </c>
      <c r="K292" s="2" t="s">
        <v>36</v>
      </c>
      <c r="L292" s="3">
        <v>100</v>
      </c>
      <c r="M292" s="11">
        <v>1549999.56</v>
      </c>
      <c r="N292" s="3">
        <v>0</v>
      </c>
      <c r="O292" s="2" t="s">
        <v>21</v>
      </c>
      <c r="P292" s="2" t="s">
        <v>29</v>
      </c>
      <c r="Q292" s="2" t="s">
        <v>22</v>
      </c>
    </row>
    <row r="293" spans="1:17" x14ac:dyDescent="0.25">
      <c r="A293" s="1">
        <v>46176</v>
      </c>
      <c r="B293" s="1">
        <v>46175</v>
      </c>
      <c r="C293" s="2" t="s">
        <v>618</v>
      </c>
      <c r="D293" s="2" t="s">
        <v>17</v>
      </c>
      <c r="E293" s="2" t="s">
        <v>619</v>
      </c>
      <c r="F293" s="2" t="s">
        <v>32</v>
      </c>
      <c r="G293" s="2" t="s">
        <v>171</v>
      </c>
      <c r="H293" s="2" t="s">
        <v>72</v>
      </c>
      <c r="I293" s="2" t="s">
        <v>73</v>
      </c>
      <c r="J293" s="3">
        <v>10</v>
      </c>
      <c r="K293" s="2" t="s">
        <v>36</v>
      </c>
      <c r="L293" s="3">
        <v>10</v>
      </c>
      <c r="M293" s="11">
        <v>330000</v>
      </c>
      <c r="N293" s="3">
        <v>0</v>
      </c>
      <c r="O293" s="2" t="s">
        <v>21</v>
      </c>
      <c r="P293" s="2" t="s">
        <v>29</v>
      </c>
      <c r="Q293" s="2" t="s">
        <v>22</v>
      </c>
    </row>
    <row r="294" spans="1:17" x14ac:dyDescent="0.25">
      <c r="A294" s="1">
        <v>46176</v>
      </c>
      <c r="B294" s="1">
        <v>46175</v>
      </c>
      <c r="C294" s="2" t="s">
        <v>620</v>
      </c>
      <c r="D294" s="2" t="s">
        <v>17</v>
      </c>
      <c r="E294" s="2" t="s">
        <v>621</v>
      </c>
      <c r="F294" s="2" t="s">
        <v>32</v>
      </c>
      <c r="G294" s="2" t="s">
        <v>25</v>
      </c>
      <c r="H294" s="2" t="s">
        <v>26</v>
      </c>
      <c r="I294" s="2" t="s">
        <v>27</v>
      </c>
      <c r="J294" s="3">
        <v>3</v>
      </c>
      <c r="K294" s="2" t="s">
        <v>28</v>
      </c>
      <c r="L294" s="3">
        <v>3</v>
      </c>
      <c r="M294" s="11">
        <v>960000.01</v>
      </c>
      <c r="N294" s="3">
        <v>0</v>
      </c>
      <c r="O294" s="2" t="s">
        <v>21</v>
      </c>
      <c r="P294" s="2" t="s">
        <v>29</v>
      </c>
      <c r="Q294" s="2" t="s">
        <v>22</v>
      </c>
    </row>
    <row r="295" spans="1:17" x14ac:dyDescent="0.25">
      <c r="A295" s="1">
        <v>46176</v>
      </c>
      <c r="B295" s="1">
        <v>46175</v>
      </c>
      <c r="C295" s="2" t="s">
        <v>622</v>
      </c>
      <c r="D295" s="2" t="s">
        <v>17</v>
      </c>
      <c r="E295" s="2" t="s">
        <v>623</v>
      </c>
      <c r="F295" s="2" t="s">
        <v>32</v>
      </c>
      <c r="G295" s="2" t="s">
        <v>25</v>
      </c>
      <c r="H295" s="2" t="s">
        <v>57</v>
      </c>
      <c r="I295" s="2" t="s">
        <v>58</v>
      </c>
      <c r="J295" s="3">
        <v>2</v>
      </c>
      <c r="K295" s="2" t="s">
        <v>28</v>
      </c>
      <c r="L295" s="3">
        <v>2</v>
      </c>
      <c r="M295" s="11">
        <v>544000.01</v>
      </c>
      <c r="N295" s="3">
        <v>0</v>
      </c>
      <c r="O295" s="2" t="s">
        <v>21</v>
      </c>
      <c r="P295" s="2" t="s">
        <v>29</v>
      </c>
      <c r="Q295" s="2" t="s">
        <v>22</v>
      </c>
    </row>
    <row r="296" spans="1:17" x14ac:dyDescent="0.25">
      <c r="A296" s="1">
        <v>46176</v>
      </c>
      <c r="B296" s="1">
        <v>46175</v>
      </c>
      <c r="C296" s="2" t="s">
        <v>624</v>
      </c>
      <c r="D296" s="2" t="s">
        <v>17</v>
      </c>
      <c r="E296" s="2" t="s">
        <v>625</v>
      </c>
      <c r="F296" s="2" t="s">
        <v>32</v>
      </c>
      <c r="G296" s="2" t="s">
        <v>56</v>
      </c>
      <c r="H296" s="2" t="s">
        <v>26</v>
      </c>
      <c r="I296" s="2" t="s">
        <v>27</v>
      </c>
      <c r="J296" s="3">
        <v>30</v>
      </c>
      <c r="K296" s="2" t="s">
        <v>28</v>
      </c>
      <c r="L296" s="3">
        <v>30</v>
      </c>
      <c r="M296" s="11">
        <v>8339999.9900000002</v>
      </c>
      <c r="N296" s="3">
        <v>0</v>
      </c>
      <c r="O296" s="2" t="s">
        <v>21</v>
      </c>
      <c r="P296" s="2" t="s">
        <v>29</v>
      </c>
      <c r="Q296" s="2" t="s">
        <v>626</v>
      </c>
    </row>
    <row r="297" spans="1:17" x14ac:dyDescent="0.25">
      <c r="A297" s="1">
        <v>46176</v>
      </c>
      <c r="B297" s="1">
        <v>46175</v>
      </c>
      <c r="C297" s="2" t="s">
        <v>627</v>
      </c>
      <c r="D297" s="2" t="s">
        <v>17</v>
      </c>
      <c r="E297" s="2" t="s">
        <v>628</v>
      </c>
      <c r="F297" s="2" t="s">
        <v>32</v>
      </c>
      <c r="G297" s="2" t="s">
        <v>61</v>
      </c>
      <c r="H297" s="2" t="s">
        <v>99</v>
      </c>
      <c r="I297" s="2" t="s">
        <v>100</v>
      </c>
      <c r="J297" s="3">
        <v>2.5</v>
      </c>
      <c r="K297" s="2" t="s">
        <v>36</v>
      </c>
      <c r="L297" s="3">
        <v>2.5</v>
      </c>
      <c r="M297" s="11">
        <v>262500</v>
      </c>
      <c r="N297" s="3">
        <v>0</v>
      </c>
      <c r="O297" s="2" t="s">
        <v>21</v>
      </c>
      <c r="P297" s="2" t="s">
        <v>29</v>
      </c>
      <c r="Q297" s="2" t="s">
        <v>101</v>
      </c>
    </row>
    <row r="298" spans="1:17" x14ac:dyDescent="0.25">
      <c r="A298" s="1">
        <v>46176</v>
      </c>
      <c r="B298" s="1">
        <v>46175</v>
      </c>
      <c r="C298" s="2" t="s">
        <v>629</v>
      </c>
      <c r="D298" s="2" t="s">
        <v>17</v>
      </c>
      <c r="E298" s="2" t="s">
        <v>525</v>
      </c>
      <c r="F298" s="2" t="s">
        <v>32</v>
      </c>
      <c r="G298" s="2" t="s">
        <v>61</v>
      </c>
      <c r="H298" s="2" t="s">
        <v>189</v>
      </c>
      <c r="I298" s="2" t="s">
        <v>190</v>
      </c>
      <c r="J298" s="3">
        <v>10</v>
      </c>
      <c r="K298" s="2" t="s">
        <v>36</v>
      </c>
      <c r="L298" s="3">
        <v>10.08</v>
      </c>
      <c r="M298" s="11">
        <v>1864800</v>
      </c>
      <c r="N298" s="3">
        <v>0.08</v>
      </c>
      <c r="O298" s="2" t="s">
        <v>21</v>
      </c>
      <c r="P298" s="2" t="s">
        <v>29</v>
      </c>
      <c r="Q298" s="2" t="s">
        <v>630</v>
      </c>
    </row>
    <row r="299" spans="1:17" x14ac:dyDescent="0.25">
      <c r="A299" s="1">
        <v>46176</v>
      </c>
      <c r="B299" s="1">
        <v>46175</v>
      </c>
      <c r="C299" s="2" t="s">
        <v>631</v>
      </c>
      <c r="D299" s="2" t="s">
        <v>17</v>
      </c>
      <c r="E299" s="2" t="s">
        <v>632</v>
      </c>
      <c r="F299" s="2" t="s">
        <v>32</v>
      </c>
      <c r="G299" s="2" t="s">
        <v>171</v>
      </c>
      <c r="H299" s="2" t="s">
        <v>50</v>
      </c>
      <c r="I299" s="2" t="s">
        <v>51</v>
      </c>
      <c r="J299" s="3">
        <v>1</v>
      </c>
      <c r="K299" s="2" t="s">
        <v>28</v>
      </c>
      <c r="L299" s="3">
        <v>1</v>
      </c>
      <c r="M299" s="11">
        <v>300000</v>
      </c>
      <c r="N299" s="3">
        <v>0</v>
      </c>
      <c r="O299" s="2" t="s">
        <v>21</v>
      </c>
      <c r="P299" s="2" t="s">
        <v>29</v>
      </c>
      <c r="Q299" s="2" t="s">
        <v>22</v>
      </c>
    </row>
    <row r="300" spans="1:17" x14ac:dyDescent="0.25">
      <c r="A300" s="1">
        <v>46176</v>
      </c>
      <c r="B300" s="1">
        <v>46175</v>
      </c>
      <c r="C300" s="2" t="s">
        <v>631</v>
      </c>
      <c r="D300" s="2" t="s">
        <v>17</v>
      </c>
      <c r="E300" s="2" t="s">
        <v>632</v>
      </c>
      <c r="F300" s="2" t="s">
        <v>32</v>
      </c>
      <c r="G300" s="2" t="s">
        <v>171</v>
      </c>
      <c r="H300" s="2" t="s">
        <v>174</v>
      </c>
      <c r="I300" s="2" t="s">
        <v>175</v>
      </c>
      <c r="J300" s="3">
        <v>2</v>
      </c>
      <c r="K300" s="2" t="s">
        <v>28</v>
      </c>
      <c r="L300" s="3">
        <v>2</v>
      </c>
      <c r="M300" s="11">
        <v>590000</v>
      </c>
      <c r="N300" s="3">
        <v>0</v>
      </c>
      <c r="O300" s="2" t="s">
        <v>21</v>
      </c>
      <c r="P300" s="2" t="s">
        <v>29</v>
      </c>
      <c r="Q300" s="2" t="s">
        <v>22</v>
      </c>
    </row>
    <row r="301" spans="1:17" x14ac:dyDescent="0.25">
      <c r="A301" s="1">
        <v>46176</v>
      </c>
      <c r="B301" s="1">
        <v>46175</v>
      </c>
      <c r="C301" s="2" t="s">
        <v>631</v>
      </c>
      <c r="D301" s="2" t="s">
        <v>17</v>
      </c>
      <c r="E301" s="2" t="s">
        <v>632</v>
      </c>
      <c r="F301" s="2" t="s">
        <v>32</v>
      </c>
      <c r="G301" s="2" t="s">
        <v>171</v>
      </c>
      <c r="H301" s="2" t="s">
        <v>26</v>
      </c>
      <c r="I301" s="2" t="s">
        <v>27</v>
      </c>
      <c r="J301" s="3">
        <v>2</v>
      </c>
      <c r="K301" s="2" t="s">
        <v>28</v>
      </c>
      <c r="L301" s="3">
        <v>2</v>
      </c>
      <c r="M301" s="11">
        <v>654900</v>
      </c>
      <c r="N301" s="3">
        <v>0</v>
      </c>
      <c r="O301" s="2" t="s">
        <v>21</v>
      </c>
      <c r="P301" s="2" t="s">
        <v>29</v>
      </c>
      <c r="Q301" s="2" t="s">
        <v>22</v>
      </c>
    </row>
    <row r="302" spans="1:17" x14ac:dyDescent="0.25">
      <c r="A302" s="1">
        <v>46176</v>
      </c>
      <c r="B302" s="1">
        <v>46175</v>
      </c>
      <c r="C302" s="2" t="s">
        <v>633</v>
      </c>
      <c r="D302" s="2" t="s">
        <v>17</v>
      </c>
      <c r="E302" s="2" t="s">
        <v>634</v>
      </c>
      <c r="F302" s="2" t="s">
        <v>32</v>
      </c>
      <c r="G302" s="2" t="s">
        <v>364</v>
      </c>
      <c r="H302" s="2" t="s">
        <v>148</v>
      </c>
      <c r="I302" s="2" t="s">
        <v>149</v>
      </c>
      <c r="J302" s="3">
        <v>20</v>
      </c>
      <c r="K302" s="2" t="s">
        <v>36</v>
      </c>
      <c r="L302" s="3">
        <v>20</v>
      </c>
      <c r="M302" s="11">
        <v>361860</v>
      </c>
      <c r="N302" s="3">
        <v>0</v>
      </c>
      <c r="O302" s="2" t="s">
        <v>21</v>
      </c>
      <c r="P302" s="2" t="s">
        <v>29</v>
      </c>
      <c r="Q302" s="2" t="s">
        <v>22</v>
      </c>
    </row>
    <row r="303" spans="1:17" x14ac:dyDescent="0.25">
      <c r="A303" s="1">
        <v>46176</v>
      </c>
      <c r="B303" s="1">
        <v>46175</v>
      </c>
      <c r="C303" s="2" t="s">
        <v>633</v>
      </c>
      <c r="D303" s="2" t="s">
        <v>17</v>
      </c>
      <c r="E303" s="2" t="s">
        <v>634</v>
      </c>
      <c r="F303" s="2" t="s">
        <v>32</v>
      </c>
      <c r="G303" s="2" t="s">
        <v>364</v>
      </c>
      <c r="H303" s="2" t="s">
        <v>119</v>
      </c>
      <c r="I303" s="2" t="s">
        <v>120</v>
      </c>
      <c r="J303" s="3">
        <v>20</v>
      </c>
      <c r="K303" s="2" t="s">
        <v>36</v>
      </c>
      <c r="L303" s="3">
        <v>20</v>
      </c>
      <c r="M303" s="11">
        <v>372960</v>
      </c>
      <c r="N303" s="3">
        <v>0</v>
      </c>
      <c r="O303" s="2" t="s">
        <v>21</v>
      </c>
      <c r="P303" s="2" t="s">
        <v>29</v>
      </c>
      <c r="Q303" s="2" t="s">
        <v>22</v>
      </c>
    </row>
    <row r="304" spans="1:17" x14ac:dyDescent="0.25">
      <c r="A304" s="1">
        <v>46176</v>
      </c>
      <c r="B304" s="1">
        <v>46175</v>
      </c>
      <c r="C304" s="2" t="s">
        <v>636</v>
      </c>
      <c r="D304" s="2" t="s">
        <v>17</v>
      </c>
      <c r="E304" s="2" t="s">
        <v>603</v>
      </c>
      <c r="F304" s="2" t="s">
        <v>32</v>
      </c>
      <c r="G304" s="2" t="s">
        <v>238</v>
      </c>
      <c r="H304" s="2" t="s">
        <v>148</v>
      </c>
      <c r="I304" s="2" t="s">
        <v>149</v>
      </c>
      <c r="J304" s="3">
        <v>100</v>
      </c>
      <c r="K304" s="2" t="s">
        <v>36</v>
      </c>
      <c r="L304" s="3">
        <v>100</v>
      </c>
      <c r="M304" s="11">
        <v>1499999.61</v>
      </c>
      <c r="N304" s="3">
        <v>0</v>
      </c>
      <c r="O304" s="2" t="s">
        <v>21</v>
      </c>
      <c r="P304" s="2" t="s">
        <v>29</v>
      </c>
      <c r="Q304" s="2" t="s">
        <v>22</v>
      </c>
    </row>
    <row r="305" spans="1:17" x14ac:dyDescent="0.25">
      <c r="A305" s="1">
        <v>46176</v>
      </c>
      <c r="B305" s="1">
        <v>46175</v>
      </c>
      <c r="C305" s="2" t="s">
        <v>636</v>
      </c>
      <c r="D305" s="2" t="s">
        <v>17</v>
      </c>
      <c r="E305" s="2" t="s">
        <v>603</v>
      </c>
      <c r="F305" s="2" t="s">
        <v>32</v>
      </c>
      <c r="G305" s="2" t="s">
        <v>238</v>
      </c>
      <c r="H305" s="2" t="s">
        <v>146</v>
      </c>
      <c r="I305" s="2" t="s">
        <v>147</v>
      </c>
      <c r="J305" s="3">
        <v>50</v>
      </c>
      <c r="K305" s="2" t="s">
        <v>36</v>
      </c>
      <c r="L305" s="3">
        <v>50</v>
      </c>
      <c r="M305" s="11">
        <v>749999.81</v>
      </c>
      <c r="N305" s="3">
        <v>0</v>
      </c>
      <c r="O305" s="2" t="s">
        <v>21</v>
      </c>
      <c r="P305" s="2" t="s">
        <v>29</v>
      </c>
      <c r="Q305" s="2" t="s">
        <v>22</v>
      </c>
    </row>
    <row r="306" spans="1:17" x14ac:dyDescent="0.25">
      <c r="A306" s="1">
        <v>46176</v>
      </c>
      <c r="B306" s="1">
        <v>46175</v>
      </c>
      <c r="C306" s="2" t="s">
        <v>636</v>
      </c>
      <c r="D306" s="2" t="s">
        <v>17</v>
      </c>
      <c r="E306" s="2" t="s">
        <v>603</v>
      </c>
      <c r="F306" s="2" t="s">
        <v>32</v>
      </c>
      <c r="G306" s="2" t="s">
        <v>238</v>
      </c>
      <c r="H306" s="2" t="s">
        <v>637</v>
      </c>
      <c r="I306" s="2" t="s">
        <v>638</v>
      </c>
      <c r="J306" s="3">
        <v>2</v>
      </c>
      <c r="K306" s="2" t="s">
        <v>145</v>
      </c>
      <c r="L306" s="3">
        <v>2</v>
      </c>
      <c r="M306" s="11">
        <v>183999.99</v>
      </c>
      <c r="N306" s="3">
        <v>0</v>
      </c>
      <c r="O306" s="2" t="s">
        <v>21</v>
      </c>
      <c r="P306" s="2" t="s">
        <v>29</v>
      </c>
      <c r="Q306" s="2" t="s">
        <v>22</v>
      </c>
    </row>
    <row r="307" spans="1:17" x14ac:dyDescent="0.25">
      <c r="A307" s="1">
        <v>46176</v>
      </c>
      <c r="B307" s="1">
        <v>46175</v>
      </c>
      <c r="C307" s="2" t="s">
        <v>639</v>
      </c>
      <c r="D307" s="2" t="s">
        <v>17</v>
      </c>
      <c r="E307" s="2" t="s">
        <v>615</v>
      </c>
      <c r="F307" s="2" t="s">
        <v>32</v>
      </c>
      <c r="G307" s="2" t="s">
        <v>25</v>
      </c>
      <c r="H307" s="2" t="s">
        <v>612</v>
      </c>
      <c r="I307" s="2" t="s">
        <v>613</v>
      </c>
      <c r="J307" s="3">
        <v>4</v>
      </c>
      <c r="K307" s="2" t="s">
        <v>36</v>
      </c>
      <c r="L307" s="3">
        <v>5.46</v>
      </c>
      <c r="M307" s="11">
        <v>862680</v>
      </c>
      <c r="N307" s="3">
        <v>1.46</v>
      </c>
      <c r="O307" s="2" t="s">
        <v>21</v>
      </c>
      <c r="P307" s="2" t="s">
        <v>29</v>
      </c>
      <c r="Q307" s="2" t="s">
        <v>22</v>
      </c>
    </row>
    <row r="308" spans="1:17" x14ac:dyDescent="0.25">
      <c r="A308" s="1">
        <v>46176</v>
      </c>
      <c r="B308" s="1">
        <v>46175</v>
      </c>
      <c r="C308" s="2" t="s">
        <v>640</v>
      </c>
      <c r="D308" s="2" t="s">
        <v>17</v>
      </c>
      <c r="E308" s="2" t="s">
        <v>641</v>
      </c>
      <c r="F308" s="2" t="s">
        <v>32</v>
      </c>
      <c r="G308" s="2" t="s">
        <v>364</v>
      </c>
      <c r="H308" s="2" t="s">
        <v>119</v>
      </c>
      <c r="I308" s="2" t="s">
        <v>120</v>
      </c>
      <c r="J308" s="3">
        <v>20</v>
      </c>
      <c r="K308" s="2" t="s">
        <v>36</v>
      </c>
      <c r="L308" s="3">
        <v>20</v>
      </c>
      <c r="M308" s="11">
        <v>372960</v>
      </c>
      <c r="N308" s="3">
        <v>0</v>
      </c>
      <c r="O308" s="2" t="s">
        <v>21</v>
      </c>
      <c r="P308" s="2" t="s">
        <v>29</v>
      </c>
      <c r="Q308" s="2" t="s">
        <v>22</v>
      </c>
    </row>
    <row r="309" spans="1:17" x14ac:dyDescent="0.25">
      <c r="A309" s="1">
        <v>46176</v>
      </c>
      <c r="B309" s="1">
        <v>46175</v>
      </c>
      <c r="C309" s="2" t="s">
        <v>642</v>
      </c>
      <c r="D309" s="2" t="s">
        <v>17</v>
      </c>
      <c r="E309" s="2" t="s">
        <v>632</v>
      </c>
      <c r="F309" s="2" t="s">
        <v>32</v>
      </c>
      <c r="G309" s="2" t="s">
        <v>171</v>
      </c>
      <c r="H309" s="2" t="s">
        <v>85</v>
      </c>
      <c r="I309" s="2" t="s">
        <v>86</v>
      </c>
      <c r="J309" s="3">
        <v>12</v>
      </c>
      <c r="K309" s="2" t="s">
        <v>84</v>
      </c>
      <c r="L309" s="3">
        <v>12</v>
      </c>
      <c r="M309" s="11">
        <v>461538</v>
      </c>
      <c r="N309" s="3">
        <v>0</v>
      </c>
      <c r="O309" s="2" t="s">
        <v>21</v>
      </c>
      <c r="P309" s="2" t="s">
        <v>29</v>
      </c>
      <c r="Q309" s="2" t="s">
        <v>22</v>
      </c>
    </row>
    <row r="310" spans="1:17" x14ac:dyDescent="0.25">
      <c r="A310" s="1">
        <v>46176</v>
      </c>
      <c r="B310" s="1">
        <v>46175</v>
      </c>
      <c r="C310" s="2" t="s">
        <v>643</v>
      </c>
      <c r="D310" s="2" t="s">
        <v>17</v>
      </c>
      <c r="E310" s="2" t="s">
        <v>632</v>
      </c>
      <c r="F310" s="2" t="s">
        <v>32</v>
      </c>
      <c r="G310" s="2" t="s">
        <v>171</v>
      </c>
      <c r="H310" s="2" t="s">
        <v>50</v>
      </c>
      <c r="I310" s="2" t="s">
        <v>51</v>
      </c>
      <c r="J310" s="3">
        <v>1</v>
      </c>
      <c r="K310" s="2" t="s">
        <v>28</v>
      </c>
      <c r="L310" s="3">
        <v>1</v>
      </c>
      <c r="M310" s="11">
        <v>300000</v>
      </c>
      <c r="N310" s="3">
        <v>0</v>
      </c>
      <c r="O310" s="2" t="s">
        <v>21</v>
      </c>
      <c r="P310" s="2" t="s">
        <v>29</v>
      </c>
      <c r="Q310" s="2" t="s">
        <v>22</v>
      </c>
    </row>
    <row r="311" spans="1:17" x14ac:dyDescent="0.25">
      <c r="A311" s="1">
        <v>46176</v>
      </c>
      <c r="B311" s="1">
        <v>46175</v>
      </c>
      <c r="C311" s="2" t="s">
        <v>644</v>
      </c>
      <c r="D311" s="2" t="s">
        <v>17</v>
      </c>
      <c r="E311" s="2" t="s">
        <v>645</v>
      </c>
      <c r="F311" s="2" t="s">
        <v>32</v>
      </c>
      <c r="G311" s="2" t="s">
        <v>364</v>
      </c>
      <c r="H311" s="2" t="s">
        <v>146</v>
      </c>
      <c r="I311" s="2" t="s">
        <v>147</v>
      </c>
      <c r="J311" s="3">
        <v>20</v>
      </c>
      <c r="K311" s="2" t="s">
        <v>36</v>
      </c>
      <c r="L311" s="3">
        <v>20</v>
      </c>
      <c r="M311" s="11">
        <v>384060</v>
      </c>
      <c r="N311" s="3">
        <v>0</v>
      </c>
      <c r="O311" s="2" t="s">
        <v>21</v>
      </c>
      <c r="P311" s="2" t="s">
        <v>29</v>
      </c>
      <c r="Q311" s="2" t="s">
        <v>22</v>
      </c>
    </row>
    <row r="312" spans="1:17" x14ac:dyDescent="0.25">
      <c r="A312" s="1">
        <v>46176</v>
      </c>
      <c r="B312" s="1">
        <v>46175</v>
      </c>
      <c r="C312" s="2" t="s">
        <v>644</v>
      </c>
      <c r="D312" s="2" t="s">
        <v>17</v>
      </c>
      <c r="E312" s="2" t="s">
        <v>645</v>
      </c>
      <c r="F312" s="2" t="s">
        <v>32</v>
      </c>
      <c r="G312" s="2" t="s">
        <v>364</v>
      </c>
      <c r="H312" s="2" t="s">
        <v>119</v>
      </c>
      <c r="I312" s="2" t="s">
        <v>120</v>
      </c>
      <c r="J312" s="3">
        <v>20</v>
      </c>
      <c r="K312" s="2" t="s">
        <v>36</v>
      </c>
      <c r="L312" s="3">
        <v>20</v>
      </c>
      <c r="M312" s="11">
        <v>372960</v>
      </c>
      <c r="N312" s="3">
        <v>0</v>
      </c>
      <c r="O312" s="2" t="s">
        <v>21</v>
      </c>
      <c r="P312" s="2" t="s">
        <v>29</v>
      </c>
      <c r="Q312" s="2" t="s">
        <v>22</v>
      </c>
    </row>
    <row r="313" spans="1:17" x14ac:dyDescent="0.25">
      <c r="A313" s="1">
        <v>46176</v>
      </c>
      <c r="B313" s="1">
        <v>46175</v>
      </c>
      <c r="C313" s="2" t="s">
        <v>646</v>
      </c>
      <c r="D313" s="2" t="s">
        <v>17</v>
      </c>
      <c r="E313" s="2" t="s">
        <v>635</v>
      </c>
      <c r="F313" s="2" t="s">
        <v>32</v>
      </c>
      <c r="G313" s="2" t="s">
        <v>40</v>
      </c>
      <c r="H313" s="2" t="s">
        <v>26</v>
      </c>
      <c r="I313" s="2" t="s">
        <v>27</v>
      </c>
      <c r="J313" s="3">
        <v>5</v>
      </c>
      <c r="K313" s="2" t="s">
        <v>28</v>
      </c>
      <c r="L313" s="3">
        <v>5</v>
      </c>
      <c r="M313" s="11">
        <v>1637250</v>
      </c>
      <c r="N313" s="3">
        <v>0</v>
      </c>
      <c r="O313" s="2" t="s">
        <v>21</v>
      </c>
      <c r="P313" s="2" t="s">
        <v>29</v>
      </c>
      <c r="Q313" s="2" t="s">
        <v>22</v>
      </c>
    </row>
    <row r="314" spans="1:17" x14ac:dyDescent="0.25">
      <c r="A314" s="1">
        <v>46176</v>
      </c>
      <c r="B314" s="1">
        <v>46175</v>
      </c>
      <c r="C314" s="2" t="s">
        <v>647</v>
      </c>
      <c r="D314" s="2" t="s">
        <v>17</v>
      </c>
      <c r="E314" s="2" t="s">
        <v>625</v>
      </c>
      <c r="F314" s="2" t="s">
        <v>32</v>
      </c>
      <c r="G314" s="2" t="s">
        <v>56</v>
      </c>
      <c r="H314" s="2" t="s">
        <v>148</v>
      </c>
      <c r="I314" s="2" t="s">
        <v>149</v>
      </c>
      <c r="J314" s="3">
        <v>10</v>
      </c>
      <c r="K314" s="2" t="s">
        <v>36</v>
      </c>
      <c r="L314" s="3">
        <v>10</v>
      </c>
      <c r="M314" s="11">
        <v>149999.96</v>
      </c>
      <c r="N314" s="3">
        <v>0</v>
      </c>
      <c r="O314" s="2" t="s">
        <v>21</v>
      </c>
      <c r="P314" s="2" t="s">
        <v>29</v>
      </c>
      <c r="Q314" s="2" t="s">
        <v>648</v>
      </c>
    </row>
    <row r="315" spans="1:17" x14ac:dyDescent="0.25">
      <c r="A315" s="1">
        <v>46176</v>
      </c>
      <c r="B315" s="1">
        <v>46175</v>
      </c>
      <c r="C315" s="2" t="s">
        <v>649</v>
      </c>
      <c r="D315" s="2" t="s">
        <v>17</v>
      </c>
      <c r="E315" s="2" t="s">
        <v>650</v>
      </c>
      <c r="F315" s="2" t="s">
        <v>32</v>
      </c>
      <c r="G315" s="2" t="s">
        <v>22</v>
      </c>
      <c r="H315" s="2" t="s">
        <v>442</v>
      </c>
      <c r="I315" s="2" t="s">
        <v>443</v>
      </c>
      <c r="J315" s="3">
        <v>10</v>
      </c>
      <c r="K315" s="2" t="s">
        <v>20</v>
      </c>
      <c r="L315" s="3">
        <v>10</v>
      </c>
      <c r="M315" s="11">
        <v>694169.99</v>
      </c>
      <c r="N315" s="3">
        <v>0</v>
      </c>
      <c r="O315" s="2" t="s">
        <v>21</v>
      </c>
      <c r="P315" s="2" t="s">
        <v>29</v>
      </c>
      <c r="Q315" s="2" t="s">
        <v>22</v>
      </c>
    </row>
    <row r="316" spans="1:17" x14ac:dyDescent="0.25">
      <c r="A316" s="1">
        <v>46176</v>
      </c>
      <c r="B316" s="1">
        <v>46175</v>
      </c>
      <c r="C316" s="2" t="s">
        <v>651</v>
      </c>
      <c r="D316" s="2" t="s">
        <v>17</v>
      </c>
      <c r="E316" s="2" t="s">
        <v>652</v>
      </c>
      <c r="F316" s="2" t="s">
        <v>32</v>
      </c>
      <c r="G316" s="2" t="s">
        <v>171</v>
      </c>
      <c r="H316" s="2" t="s">
        <v>72</v>
      </c>
      <c r="I316" s="2" t="s">
        <v>73</v>
      </c>
      <c r="J316" s="3">
        <v>1</v>
      </c>
      <c r="K316" s="2" t="s">
        <v>36</v>
      </c>
      <c r="L316" s="3">
        <v>1</v>
      </c>
      <c r="M316" s="11">
        <v>36000</v>
      </c>
      <c r="N316" s="3">
        <v>0</v>
      </c>
      <c r="O316" s="2" t="s">
        <v>21</v>
      </c>
      <c r="P316" s="2" t="s">
        <v>29</v>
      </c>
      <c r="Q316" s="2" t="s">
        <v>22</v>
      </c>
    </row>
    <row r="317" spans="1:17" x14ac:dyDescent="0.25">
      <c r="A317" s="1">
        <v>46176</v>
      </c>
      <c r="B317" s="1">
        <v>46175</v>
      </c>
      <c r="C317" s="2" t="s">
        <v>653</v>
      </c>
      <c r="D317" s="2" t="s">
        <v>17</v>
      </c>
      <c r="E317" s="2" t="s">
        <v>652</v>
      </c>
      <c r="F317" s="2" t="s">
        <v>32</v>
      </c>
      <c r="G317" s="2" t="s">
        <v>171</v>
      </c>
      <c r="H317" s="2" t="s">
        <v>72</v>
      </c>
      <c r="I317" s="2" t="s">
        <v>73</v>
      </c>
      <c r="J317" s="3">
        <v>1</v>
      </c>
      <c r="K317" s="2" t="s">
        <v>36</v>
      </c>
      <c r="L317" s="3">
        <v>1</v>
      </c>
      <c r="M317" s="11">
        <v>36000</v>
      </c>
      <c r="N317" s="3">
        <v>0</v>
      </c>
      <c r="O317" s="2" t="s">
        <v>21</v>
      </c>
      <c r="P317" s="2" t="s">
        <v>29</v>
      </c>
      <c r="Q317" s="2" t="s">
        <v>22</v>
      </c>
    </row>
    <row r="318" spans="1:17" x14ac:dyDescent="0.25">
      <c r="A318" s="1">
        <v>46176</v>
      </c>
      <c r="B318" s="1">
        <v>46175</v>
      </c>
      <c r="C318" s="2" t="s">
        <v>654</v>
      </c>
      <c r="D318" s="2" t="s">
        <v>17</v>
      </c>
      <c r="E318" s="2" t="s">
        <v>655</v>
      </c>
      <c r="F318" s="2" t="s">
        <v>32</v>
      </c>
      <c r="G318" s="2" t="s">
        <v>364</v>
      </c>
      <c r="H318" s="2" t="s">
        <v>119</v>
      </c>
      <c r="I318" s="2" t="s">
        <v>120</v>
      </c>
      <c r="J318" s="3">
        <v>20</v>
      </c>
      <c r="K318" s="2" t="s">
        <v>36</v>
      </c>
      <c r="L318" s="3">
        <v>20</v>
      </c>
      <c r="M318" s="11">
        <v>372960</v>
      </c>
      <c r="N318" s="3">
        <v>0</v>
      </c>
      <c r="O318" s="2" t="s">
        <v>21</v>
      </c>
      <c r="P318" s="2" t="s">
        <v>29</v>
      </c>
      <c r="Q318" s="2" t="s">
        <v>22</v>
      </c>
    </row>
    <row r="319" spans="1:17" x14ac:dyDescent="0.25">
      <c r="A319" s="1">
        <v>46176</v>
      </c>
      <c r="B319" s="1">
        <v>46175</v>
      </c>
      <c r="C319" s="2" t="s">
        <v>654</v>
      </c>
      <c r="D319" s="2" t="s">
        <v>17</v>
      </c>
      <c r="E319" s="2" t="s">
        <v>655</v>
      </c>
      <c r="F319" s="2" t="s">
        <v>32</v>
      </c>
      <c r="G319" s="2" t="s">
        <v>364</v>
      </c>
      <c r="H319" s="2" t="s">
        <v>146</v>
      </c>
      <c r="I319" s="2" t="s">
        <v>147</v>
      </c>
      <c r="J319" s="3">
        <v>20</v>
      </c>
      <c r="K319" s="2" t="s">
        <v>36</v>
      </c>
      <c r="L319" s="3">
        <v>20</v>
      </c>
      <c r="M319" s="11">
        <v>384060</v>
      </c>
      <c r="N319" s="3">
        <v>0</v>
      </c>
      <c r="O319" s="2" t="s">
        <v>21</v>
      </c>
      <c r="P319" s="2" t="s">
        <v>29</v>
      </c>
      <c r="Q319" s="2" t="s">
        <v>22</v>
      </c>
    </row>
    <row r="320" spans="1:17" x14ac:dyDescent="0.25">
      <c r="A320" s="1">
        <v>46176</v>
      </c>
      <c r="B320" s="1">
        <v>46175</v>
      </c>
      <c r="C320" s="2" t="s">
        <v>654</v>
      </c>
      <c r="D320" s="2" t="s">
        <v>17</v>
      </c>
      <c r="E320" s="2" t="s">
        <v>655</v>
      </c>
      <c r="F320" s="2" t="s">
        <v>32</v>
      </c>
      <c r="G320" s="2" t="s">
        <v>364</v>
      </c>
      <c r="H320" s="2" t="s">
        <v>148</v>
      </c>
      <c r="I320" s="2" t="s">
        <v>149</v>
      </c>
      <c r="J320" s="3">
        <v>20</v>
      </c>
      <c r="K320" s="2" t="s">
        <v>36</v>
      </c>
      <c r="L320" s="3">
        <v>20</v>
      </c>
      <c r="M320" s="11">
        <v>361860</v>
      </c>
      <c r="N320" s="3">
        <v>0</v>
      </c>
      <c r="O320" s="2" t="s">
        <v>21</v>
      </c>
      <c r="P320" s="2" t="s">
        <v>29</v>
      </c>
      <c r="Q320" s="2" t="s">
        <v>22</v>
      </c>
    </row>
    <row r="321" spans="1:17" x14ac:dyDescent="0.25">
      <c r="A321" s="1">
        <v>46176</v>
      </c>
      <c r="B321" s="1">
        <v>46175</v>
      </c>
      <c r="C321" s="2" t="s">
        <v>656</v>
      </c>
      <c r="D321" s="2" t="s">
        <v>17</v>
      </c>
      <c r="E321" s="2" t="s">
        <v>652</v>
      </c>
      <c r="F321" s="2" t="s">
        <v>32</v>
      </c>
      <c r="G321" s="2" t="s">
        <v>171</v>
      </c>
      <c r="H321" s="2" t="s">
        <v>612</v>
      </c>
      <c r="I321" s="2" t="s">
        <v>613</v>
      </c>
      <c r="J321" s="3">
        <v>7</v>
      </c>
      <c r="K321" s="2" t="s">
        <v>36</v>
      </c>
      <c r="L321" s="3">
        <v>8.9700000000000006</v>
      </c>
      <c r="M321" s="11">
        <v>1453140</v>
      </c>
      <c r="N321" s="3">
        <v>1.97</v>
      </c>
      <c r="O321" s="2" t="s">
        <v>21</v>
      </c>
      <c r="P321" s="2" t="s">
        <v>29</v>
      </c>
      <c r="Q321" s="2" t="s">
        <v>22</v>
      </c>
    </row>
    <row r="322" spans="1:17" x14ac:dyDescent="0.25">
      <c r="A322" s="1">
        <v>46176</v>
      </c>
      <c r="B322" s="1">
        <v>46175</v>
      </c>
      <c r="C322" s="2" t="s">
        <v>657</v>
      </c>
      <c r="D322" s="2" t="s">
        <v>17</v>
      </c>
      <c r="E322" s="2" t="s">
        <v>652</v>
      </c>
      <c r="F322" s="2" t="s">
        <v>32</v>
      </c>
      <c r="G322" s="2" t="s">
        <v>171</v>
      </c>
      <c r="H322" s="2" t="s">
        <v>72</v>
      </c>
      <c r="I322" s="2" t="s">
        <v>73</v>
      </c>
      <c r="J322" s="3">
        <v>2</v>
      </c>
      <c r="K322" s="2" t="s">
        <v>36</v>
      </c>
      <c r="L322" s="3">
        <v>2</v>
      </c>
      <c r="M322" s="11">
        <v>71999.990000000005</v>
      </c>
      <c r="N322" s="3">
        <v>0</v>
      </c>
      <c r="O322" s="2" t="s">
        <v>21</v>
      </c>
      <c r="P322" s="2" t="s">
        <v>29</v>
      </c>
      <c r="Q322" s="2" t="s">
        <v>22</v>
      </c>
    </row>
    <row r="323" spans="1:17" x14ac:dyDescent="0.25">
      <c r="A323" s="1">
        <v>46176</v>
      </c>
      <c r="B323" s="1">
        <v>46175</v>
      </c>
      <c r="C323" s="2" t="s">
        <v>658</v>
      </c>
      <c r="D323" s="2" t="s">
        <v>17</v>
      </c>
      <c r="E323" s="2" t="s">
        <v>659</v>
      </c>
      <c r="F323" s="2" t="s">
        <v>32</v>
      </c>
      <c r="G323" s="2" t="s">
        <v>364</v>
      </c>
      <c r="H323" s="2" t="s">
        <v>119</v>
      </c>
      <c r="I323" s="2" t="s">
        <v>120</v>
      </c>
      <c r="J323" s="3">
        <v>20</v>
      </c>
      <c r="K323" s="2" t="s">
        <v>36</v>
      </c>
      <c r="L323" s="3">
        <v>20</v>
      </c>
      <c r="M323" s="11">
        <v>372960</v>
      </c>
      <c r="N323" s="3">
        <v>0</v>
      </c>
      <c r="O323" s="2" t="s">
        <v>21</v>
      </c>
      <c r="P323" s="2" t="s">
        <v>29</v>
      </c>
      <c r="Q323" s="2" t="s">
        <v>22</v>
      </c>
    </row>
    <row r="324" spans="1:17" x14ac:dyDescent="0.25">
      <c r="A324" s="1">
        <v>46176</v>
      </c>
      <c r="B324" s="1">
        <v>46175</v>
      </c>
      <c r="C324" s="2" t="s">
        <v>660</v>
      </c>
      <c r="D324" s="2" t="s">
        <v>17</v>
      </c>
      <c r="E324" s="2" t="s">
        <v>652</v>
      </c>
      <c r="F324" s="2" t="s">
        <v>32</v>
      </c>
      <c r="G324" s="2" t="s">
        <v>171</v>
      </c>
      <c r="H324" s="2" t="s">
        <v>411</v>
      </c>
      <c r="I324" s="2" t="s">
        <v>412</v>
      </c>
      <c r="J324" s="3">
        <v>1</v>
      </c>
      <c r="K324" s="2" t="s">
        <v>36</v>
      </c>
      <c r="L324" s="3">
        <v>1</v>
      </c>
      <c r="M324" s="11">
        <v>25000</v>
      </c>
      <c r="N324" s="3">
        <v>0</v>
      </c>
      <c r="O324" s="2" t="s">
        <v>21</v>
      </c>
      <c r="P324" s="2" t="s">
        <v>29</v>
      </c>
      <c r="Q324" s="2" t="s">
        <v>22</v>
      </c>
    </row>
    <row r="325" spans="1:17" x14ac:dyDescent="0.25">
      <c r="A325" s="1">
        <v>46176</v>
      </c>
      <c r="B325" s="1">
        <v>46175</v>
      </c>
      <c r="C325" s="2" t="s">
        <v>661</v>
      </c>
      <c r="D325" s="2" t="s">
        <v>17</v>
      </c>
      <c r="E325" s="2" t="s">
        <v>652</v>
      </c>
      <c r="F325" s="2" t="s">
        <v>32</v>
      </c>
      <c r="G325" s="2" t="s">
        <v>171</v>
      </c>
      <c r="H325" s="2" t="s">
        <v>662</v>
      </c>
      <c r="I325" s="2" t="s">
        <v>663</v>
      </c>
      <c r="J325" s="3">
        <v>2</v>
      </c>
      <c r="K325" s="2" t="s">
        <v>664</v>
      </c>
      <c r="L325" s="3">
        <v>2</v>
      </c>
      <c r="M325" s="11">
        <v>26640</v>
      </c>
      <c r="N325" s="3">
        <v>0</v>
      </c>
      <c r="O325" s="2" t="s">
        <v>21</v>
      </c>
      <c r="P325" s="2" t="s">
        <v>29</v>
      </c>
      <c r="Q325" s="2" t="s">
        <v>22</v>
      </c>
    </row>
    <row r="326" spans="1:17" x14ac:dyDescent="0.25">
      <c r="A326" s="1">
        <v>46176</v>
      </c>
      <c r="B326" s="1">
        <v>46175</v>
      </c>
      <c r="C326" s="2" t="s">
        <v>665</v>
      </c>
      <c r="D326" s="2" t="s">
        <v>17</v>
      </c>
      <c r="E326" s="2" t="s">
        <v>652</v>
      </c>
      <c r="F326" s="2" t="s">
        <v>32</v>
      </c>
      <c r="G326" s="2" t="s">
        <v>171</v>
      </c>
      <c r="H326" s="2" t="s">
        <v>411</v>
      </c>
      <c r="I326" s="2" t="s">
        <v>412</v>
      </c>
      <c r="J326" s="3">
        <v>1</v>
      </c>
      <c r="K326" s="2" t="s">
        <v>36</v>
      </c>
      <c r="L326" s="3">
        <v>1</v>
      </c>
      <c r="M326" s="11">
        <v>25000</v>
      </c>
      <c r="N326" s="3">
        <v>0</v>
      </c>
      <c r="O326" s="2" t="s">
        <v>21</v>
      </c>
      <c r="P326" s="2" t="s">
        <v>29</v>
      </c>
      <c r="Q326" s="2" t="s">
        <v>22</v>
      </c>
    </row>
    <row r="327" spans="1:17" x14ac:dyDescent="0.25">
      <c r="A327" s="1">
        <v>46176</v>
      </c>
      <c r="B327" s="1">
        <v>46175</v>
      </c>
      <c r="C327" s="2" t="s">
        <v>666</v>
      </c>
      <c r="D327" s="2" t="s">
        <v>17</v>
      </c>
      <c r="E327" s="2" t="s">
        <v>667</v>
      </c>
      <c r="F327" s="2" t="s">
        <v>32</v>
      </c>
      <c r="G327" s="2" t="s">
        <v>40</v>
      </c>
      <c r="H327" s="2" t="s">
        <v>425</v>
      </c>
      <c r="I327" s="2" t="s">
        <v>426</v>
      </c>
      <c r="J327" s="3">
        <v>10</v>
      </c>
      <c r="K327" s="2" t="s">
        <v>36</v>
      </c>
      <c r="L327" s="3">
        <v>9.19</v>
      </c>
      <c r="M327" s="11">
        <v>1562300</v>
      </c>
      <c r="N327" s="3">
        <v>-0.81</v>
      </c>
      <c r="O327" s="2" t="s">
        <v>21</v>
      </c>
      <c r="P327" s="2" t="s">
        <v>29</v>
      </c>
      <c r="Q327" s="2" t="s">
        <v>22</v>
      </c>
    </row>
    <row r="328" spans="1:17" x14ac:dyDescent="0.25">
      <c r="A328" s="1">
        <v>46176</v>
      </c>
      <c r="B328" s="1">
        <v>46175</v>
      </c>
      <c r="C328" s="2" t="s">
        <v>668</v>
      </c>
      <c r="D328" s="2" t="s">
        <v>17</v>
      </c>
      <c r="E328" s="2" t="s">
        <v>669</v>
      </c>
      <c r="F328" s="2" t="s">
        <v>32</v>
      </c>
      <c r="G328" s="2" t="s">
        <v>238</v>
      </c>
      <c r="H328" s="2" t="s">
        <v>77</v>
      </c>
      <c r="I328" s="2" t="s">
        <v>78</v>
      </c>
      <c r="J328" s="3">
        <v>5</v>
      </c>
      <c r="K328" s="2" t="s">
        <v>28</v>
      </c>
      <c r="L328" s="3">
        <v>5</v>
      </c>
      <c r="M328" s="11">
        <v>2800000</v>
      </c>
      <c r="N328" s="3">
        <v>0</v>
      </c>
      <c r="O328" s="2" t="s">
        <v>21</v>
      </c>
      <c r="P328" s="2" t="s">
        <v>29</v>
      </c>
      <c r="Q328" s="2" t="s">
        <v>22</v>
      </c>
    </row>
    <row r="329" spans="1:17" x14ac:dyDescent="0.25">
      <c r="A329" s="1">
        <v>46176</v>
      </c>
      <c r="B329" s="1">
        <v>46175</v>
      </c>
      <c r="C329" s="2" t="s">
        <v>668</v>
      </c>
      <c r="D329" s="2" t="s">
        <v>17</v>
      </c>
      <c r="E329" s="2" t="s">
        <v>669</v>
      </c>
      <c r="F329" s="2" t="s">
        <v>32</v>
      </c>
      <c r="G329" s="2" t="s">
        <v>238</v>
      </c>
      <c r="H329" s="2" t="s">
        <v>57</v>
      </c>
      <c r="I329" s="2" t="s">
        <v>58</v>
      </c>
      <c r="J329" s="3">
        <v>10</v>
      </c>
      <c r="K329" s="2" t="s">
        <v>28</v>
      </c>
      <c r="L329" s="3">
        <v>10</v>
      </c>
      <c r="M329" s="11">
        <v>2699999.96</v>
      </c>
      <c r="N329" s="3">
        <v>0</v>
      </c>
      <c r="O329" s="2" t="s">
        <v>21</v>
      </c>
      <c r="P329" s="2" t="s">
        <v>29</v>
      </c>
      <c r="Q329" s="2" t="s">
        <v>22</v>
      </c>
    </row>
    <row r="330" spans="1:17" x14ac:dyDescent="0.25">
      <c r="A330" s="1">
        <v>46176</v>
      </c>
      <c r="B330" s="1">
        <v>46175</v>
      </c>
      <c r="C330" s="2" t="s">
        <v>670</v>
      </c>
      <c r="D330" s="2" t="s">
        <v>17</v>
      </c>
      <c r="E330" s="2" t="s">
        <v>671</v>
      </c>
      <c r="F330" s="2" t="s">
        <v>32</v>
      </c>
      <c r="G330" s="2" t="s">
        <v>672</v>
      </c>
      <c r="H330" s="2" t="s">
        <v>109</v>
      </c>
      <c r="I330" s="2" t="s">
        <v>110</v>
      </c>
      <c r="J330" s="3">
        <v>50</v>
      </c>
      <c r="K330" s="2" t="s">
        <v>36</v>
      </c>
      <c r="L330" s="3">
        <v>50</v>
      </c>
      <c r="M330" s="11">
        <v>1637250</v>
      </c>
      <c r="N330" s="3">
        <v>0</v>
      </c>
      <c r="O330" s="2" t="s">
        <v>21</v>
      </c>
      <c r="P330" s="2" t="s">
        <v>29</v>
      </c>
      <c r="Q330" s="2" t="s">
        <v>673</v>
      </c>
    </row>
    <row r="331" spans="1:17" x14ac:dyDescent="0.25">
      <c r="A331" s="1">
        <v>46176</v>
      </c>
      <c r="B331" s="1">
        <v>46175</v>
      </c>
      <c r="C331" s="2" t="s">
        <v>670</v>
      </c>
      <c r="D331" s="2" t="s">
        <v>17</v>
      </c>
      <c r="E331" s="2" t="s">
        <v>671</v>
      </c>
      <c r="F331" s="2" t="s">
        <v>32</v>
      </c>
      <c r="G331" s="2" t="s">
        <v>672</v>
      </c>
      <c r="H331" s="2" t="s">
        <v>111</v>
      </c>
      <c r="I331" s="2" t="s">
        <v>112</v>
      </c>
      <c r="J331" s="3">
        <v>20</v>
      </c>
      <c r="K331" s="2" t="s">
        <v>36</v>
      </c>
      <c r="L331" s="3">
        <v>20</v>
      </c>
      <c r="M331" s="11">
        <v>640000.03</v>
      </c>
      <c r="N331" s="3">
        <v>0</v>
      </c>
      <c r="O331" s="2" t="s">
        <v>21</v>
      </c>
      <c r="P331" s="2" t="s">
        <v>29</v>
      </c>
      <c r="Q331" s="2" t="s">
        <v>673</v>
      </c>
    </row>
    <row r="332" spans="1:17" x14ac:dyDescent="0.25">
      <c r="A332" s="1">
        <v>46176</v>
      </c>
      <c r="B332" s="1">
        <v>46175</v>
      </c>
      <c r="C332" s="2" t="s">
        <v>674</v>
      </c>
      <c r="D332" s="2" t="s">
        <v>17</v>
      </c>
      <c r="E332" s="2" t="s">
        <v>675</v>
      </c>
      <c r="F332" s="2" t="s">
        <v>32</v>
      </c>
      <c r="G332" s="2" t="s">
        <v>238</v>
      </c>
      <c r="H332" s="2" t="s">
        <v>26</v>
      </c>
      <c r="I332" s="2" t="s">
        <v>27</v>
      </c>
      <c r="J332" s="3">
        <v>10</v>
      </c>
      <c r="K332" s="2" t="s">
        <v>28</v>
      </c>
      <c r="L332" s="3">
        <v>10</v>
      </c>
      <c r="M332" s="11">
        <v>2800000.09</v>
      </c>
      <c r="N332" s="3">
        <v>0</v>
      </c>
      <c r="O332" s="2" t="s">
        <v>21</v>
      </c>
      <c r="P332" s="2" t="s">
        <v>29</v>
      </c>
      <c r="Q332" s="2" t="s">
        <v>22</v>
      </c>
    </row>
    <row r="333" spans="1:17" x14ac:dyDescent="0.25">
      <c r="A333" s="1">
        <v>46176</v>
      </c>
      <c r="B333" s="1">
        <v>46175</v>
      </c>
      <c r="C333" s="2" t="s">
        <v>676</v>
      </c>
      <c r="D333" s="2" t="s">
        <v>17</v>
      </c>
      <c r="E333" s="2" t="s">
        <v>677</v>
      </c>
      <c r="F333" s="2" t="s">
        <v>32</v>
      </c>
      <c r="G333" s="2" t="s">
        <v>156</v>
      </c>
      <c r="H333" s="2" t="s">
        <v>174</v>
      </c>
      <c r="I333" s="2" t="s">
        <v>175</v>
      </c>
      <c r="J333" s="3">
        <v>1</v>
      </c>
      <c r="K333" s="2" t="s">
        <v>28</v>
      </c>
      <c r="L333" s="3">
        <v>1</v>
      </c>
      <c r="M333" s="11">
        <v>285000</v>
      </c>
      <c r="N333" s="3">
        <v>0</v>
      </c>
      <c r="O333" s="2" t="s">
        <v>21</v>
      </c>
      <c r="P333" s="2" t="s">
        <v>29</v>
      </c>
      <c r="Q333" s="2" t="s">
        <v>22</v>
      </c>
    </row>
    <row r="334" spans="1:17" x14ac:dyDescent="0.25">
      <c r="A334" s="1">
        <v>46176</v>
      </c>
      <c r="B334" s="1">
        <v>46175</v>
      </c>
      <c r="C334" s="2" t="s">
        <v>676</v>
      </c>
      <c r="D334" s="2" t="s">
        <v>17</v>
      </c>
      <c r="E334" s="2" t="s">
        <v>677</v>
      </c>
      <c r="F334" s="2" t="s">
        <v>32</v>
      </c>
      <c r="G334" s="2" t="s">
        <v>156</v>
      </c>
      <c r="H334" s="2" t="s">
        <v>57</v>
      </c>
      <c r="I334" s="2" t="s">
        <v>58</v>
      </c>
      <c r="J334" s="3">
        <v>15</v>
      </c>
      <c r="K334" s="2" t="s">
        <v>28</v>
      </c>
      <c r="L334" s="3">
        <v>15</v>
      </c>
      <c r="M334" s="11">
        <v>4350000</v>
      </c>
      <c r="N334" s="3">
        <v>0</v>
      </c>
      <c r="O334" s="2" t="s">
        <v>21</v>
      </c>
      <c r="P334" s="2" t="s">
        <v>29</v>
      </c>
      <c r="Q334" s="2" t="s">
        <v>22</v>
      </c>
    </row>
    <row r="335" spans="1:17" x14ac:dyDescent="0.25">
      <c r="A335" s="1">
        <v>46176</v>
      </c>
      <c r="B335" s="1">
        <v>46175</v>
      </c>
      <c r="C335" s="2" t="s">
        <v>678</v>
      </c>
      <c r="D335" s="2" t="s">
        <v>17</v>
      </c>
      <c r="E335" s="2" t="s">
        <v>679</v>
      </c>
      <c r="F335" s="2" t="s">
        <v>32</v>
      </c>
      <c r="G335" s="2" t="s">
        <v>43</v>
      </c>
      <c r="H335" s="2" t="s">
        <v>26</v>
      </c>
      <c r="I335" s="2" t="s">
        <v>27</v>
      </c>
      <c r="J335" s="3">
        <v>2</v>
      </c>
      <c r="K335" s="2" t="s">
        <v>28</v>
      </c>
      <c r="L335" s="3">
        <v>2</v>
      </c>
      <c r="M335" s="11">
        <v>620000</v>
      </c>
      <c r="N335" s="3">
        <v>0</v>
      </c>
      <c r="O335" s="2" t="s">
        <v>21</v>
      </c>
      <c r="P335" s="2" t="s">
        <v>29</v>
      </c>
      <c r="Q335" s="2" t="s">
        <v>22</v>
      </c>
    </row>
    <row r="336" spans="1:17" x14ac:dyDescent="0.25">
      <c r="A336" s="1">
        <v>46176</v>
      </c>
      <c r="B336" s="1">
        <v>46175</v>
      </c>
      <c r="C336" s="2" t="s">
        <v>680</v>
      </c>
      <c r="D336" s="2" t="s">
        <v>17</v>
      </c>
      <c r="E336" s="2" t="s">
        <v>681</v>
      </c>
      <c r="F336" s="2" t="s">
        <v>32</v>
      </c>
      <c r="G336" s="2" t="s">
        <v>238</v>
      </c>
      <c r="H336" s="2" t="s">
        <v>119</v>
      </c>
      <c r="I336" s="2" t="s">
        <v>120</v>
      </c>
      <c r="J336" s="3">
        <v>200</v>
      </c>
      <c r="K336" s="2" t="s">
        <v>36</v>
      </c>
      <c r="L336" s="3">
        <v>200</v>
      </c>
      <c r="M336" s="11">
        <v>2999999.22</v>
      </c>
      <c r="N336" s="3">
        <v>0</v>
      </c>
      <c r="O336" s="2" t="s">
        <v>21</v>
      </c>
      <c r="P336" s="2" t="s">
        <v>29</v>
      </c>
      <c r="Q336" s="2" t="s">
        <v>22</v>
      </c>
    </row>
    <row r="337" spans="1:17" x14ac:dyDescent="0.25">
      <c r="A337" s="1">
        <v>46176</v>
      </c>
      <c r="B337" s="1">
        <v>46175</v>
      </c>
      <c r="C337" s="2" t="s">
        <v>682</v>
      </c>
      <c r="D337" s="2" t="s">
        <v>17</v>
      </c>
      <c r="E337" s="2" t="s">
        <v>679</v>
      </c>
      <c r="F337" s="2" t="s">
        <v>32</v>
      </c>
      <c r="G337" s="2" t="s">
        <v>43</v>
      </c>
      <c r="H337" s="2" t="s">
        <v>26</v>
      </c>
      <c r="I337" s="2" t="s">
        <v>27</v>
      </c>
      <c r="J337" s="3">
        <v>2</v>
      </c>
      <c r="K337" s="2" t="s">
        <v>28</v>
      </c>
      <c r="L337" s="3">
        <v>2</v>
      </c>
      <c r="M337" s="11">
        <v>620000</v>
      </c>
      <c r="N337" s="3">
        <v>0</v>
      </c>
      <c r="O337" s="2" t="s">
        <v>21</v>
      </c>
      <c r="P337" s="2" t="s">
        <v>29</v>
      </c>
      <c r="Q337" s="2" t="s">
        <v>22</v>
      </c>
    </row>
    <row r="338" spans="1:17" x14ac:dyDescent="0.25">
      <c r="A338" s="1">
        <v>46176</v>
      </c>
      <c r="B338" s="1">
        <v>46175</v>
      </c>
      <c r="C338" s="2" t="s">
        <v>683</v>
      </c>
      <c r="D338" s="2" t="s">
        <v>17</v>
      </c>
      <c r="E338" s="2" t="s">
        <v>684</v>
      </c>
      <c r="F338" s="2" t="s">
        <v>32</v>
      </c>
      <c r="G338" s="2" t="s">
        <v>25</v>
      </c>
      <c r="H338" s="2" t="s">
        <v>26</v>
      </c>
      <c r="I338" s="2" t="s">
        <v>27</v>
      </c>
      <c r="J338" s="3">
        <v>1</v>
      </c>
      <c r="K338" s="2" t="s">
        <v>28</v>
      </c>
      <c r="L338" s="3">
        <v>1</v>
      </c>
      <c r="M338" s="11">
        <v>327450</v>
      </c>
      <c r="N338" s="3">
        <v>0</v>
      </c>
      <c r="O338" s="2" t="s">
        <v>21</v>
      </c>
      <c r="P338" s="2" t="s">
        <v>29</v>
      </c>
      <c r="Q338" s="2" t="s">
        <v>22</v>
      </c>
    </row>
    <row r="339" spans="1:17" x14ac:dyDescent="0.25">
      <c r="A339" s="1">
        <v>46176</v>
      </c>
      <c r="B339" s="1">
        <v>46175</v>
      </c>
      <c r="C339" s="2" t="s">
        <v>685</v>
      </c>
      <c r="D339" s="2" t="s">
        <v>17</v>
      </c>
      <c r="E339" s="2" t="s">
        <v>686</v>
      </c>
      <c r="F339" s="2" t="s">
        <v>32</v>
      </c>
      <c r="G339" s="2" t="s">
        <v>171</v>
      </c>
      <c r="H339" s="2" t="s">
        <v>313</v>
      </c>
      <c r="I339" s="2" t="s">
        <v>314</v>
      </c>
      <c r="J339" s="3">
        <v>6</v>
      </c>
      <c r="K339" s="2" t="s">
        <v>28</v>
      </c>
      <c r="L339" s="3">
        <v>6</v>
      </c>
      <c r="M339" s="11">
        <v>1476000</v>
      </c>
      <c r="N339" s="3">
        <v>0</v>
      </c>
      <c r="O339" s="2" t="s">
        <v>21</v>
      </c>
      <c r="P339" s="2" t="s">
        <v>29</v>
      </c>
      <c r="Q339" s="2" t="s">
        <v>22</v>
      </c>
    </row>
    <row r="340" spans="1:17" x14ac:dyDescent="0.25">
      <c r="A340" s="1">
        <v>46176</v>
      </c>
      <c r="B340" s="1">
        <v>46175</v>
      </c>
      <c r="C340" s="2" t="s">
        <v>687</v>
      </c>
      <c r="D340" s="2" t="s">
        <v>17</v>
      </c>
      <c r="E340" s="2" t="s">
        <v>686</v>
      </c>
      <c r="F340" s="2" t="s">
        <v>32</v>
      </c>
      <c r="G340" s="2" t="s">
        <v>171</v>
      </c>
      <c r="H340" s="2" t="s">
        <v>64</v>
      </c>
      <c r="I340" s="2" t="s">
        <v>65</v>
      </c>
      <c r="J340" s="3">
        <v>4.5999999999999996</v>
      </c>
      <c r="K340" s="2" t="s">
        <v>36</v>
      </c>
      <c r="L340" s="3">
        <v>4.5999999999999996</v>
      </c>
      <c r="M340" s="11">
        <v>460000</v>
      </c>
      <c r="N340" s="3">
        <v>0</v>
      </c>
      <c r="O340" s="2" t="s">
        <v>21</v>
      </c>
      <c r="P340" s="2" t="s">
        <v>29</v>
      </c>
      <c r="Q340" s="2" t="s">
        <v>22</v>
      </c>
    </row>
    <row r="341" spans="1:17" x14ac:dyDescent="0.25">
      <c r="A341" s="1">
        <v>46176</v>
      </c>
      <c r="B341" s="1">
        <v>46175</v>
      </c>
      <c r="C341" s="2" t="s">
        <v>688</v>
      </c>
      <c r="D341" s="2" t="s">
        <v>17</v>
      </c>
      <c r="E341" s="2" t="s">
        <v>689</v>
      </c>
      <c r="F341" s="2" t="s">
        <v>32</v>
      </c>
      <c r="G341" s="2" t="s">
        <v>43</v>
      </c>
      <c r="H341" s="2" t="s">
        <v>26</v>
      </c>
      <c r="I341" s="2" t="s">
        <v>27</v>
      </c>
      <c r="J341" s="3">
        <v>2</v>
      </c>
      <c r="K341" s="2" t="s">
        <v>28</v>
      </c>
      <c r="L341" s="3">
        <v>2</v>
      </c>
      <c r="M341" s="11">
        <v>654900</v>
      </c>
      <c r="N341" s="3">
        <v>0</v>
      </c>
      <c r="O341" s="2" t="s">
        <v>21</v>
      </c>
      <c r="P341" s="2" t="s">
        <v>29</v>
      </c>
      <c r="Q341" s="2" t="s">
        <v>690</v>
      </c>
    </row>
    <row r="342" spans="1:17" x14ac:dyDescent="0.25">
      <c r="A342" s="1">
        <v>46176</v>
      </c>
      <c r="B342" s="1">
        <v>46175</v>
      </c>
      <c r="C342" s="2" t="s">
        <v>691</v>
      </c>
      <c r="D342" s="2" t="s">
        <v>17</v>
      </c>
      <c r="E342" s="2" t="s">
        <v>692</v>
      </c>
      <c r="F342" s="2" t="s">
        <v>32</v>
      </c>
      <c r="G342" s="2" t="s">
        <v>40</v>
      </c>
      <c r="H342" s="2" t="s">
        <v>26</v>
      </c>
      <c r="I342" s="2" t="s">
        <v>27</v>
      </c>
      <c r="J342" s="3">
        <v>4</v>
      </c>
      <c r="K342" s="2" t="s">
        <v>28</v>
      </c>
      <c r="L342" s="3">
        <v>4</v>
      </c>
      <c r="M342" s="11">
        <v>1309800</v>
      </c>
      <c r="N342" s="3">
        <v>0</v>
      </c>
      <c r="O342" s="2" t="s">
        <v>21</v>
      </c>
      <c r="P342" s="2" t="s">
        <v>29</v>
      </c>
      <c r="Q342" s="2" t="s">
        <v>22</v>
      </c>
    </row>
    <row r="343" spans="1:17" x14ac:dyDescent="0.25">
      <c r="A343" s="1">
        <v>46176</v>
      </c>
      <c r="B343" s="1">
        <v>46175</v>
      </c>
      <c r="C343" s="2" t="s">
        <v>691</v>
      </c>
      <c r="D343" s="2" t="s">
        <v>17</v>
      </c>
      <c r="E343" s="2" t="s">
        <v>692</v>
      </c>
      <c r="F343" s="2" t="s">
        <v>32</v>
      </c>
      <c r="G343" s="2" t="s">
        <v>40</v>
      </c>
      <c r="H343" s="2" t="s">
        <v>50</v>
      </c>
      <c r="I343" s="2" t="s">
        <v>51</v>
      </c>
      <c r="J343" s="3">
        <v>8</v>
      </c>
      <c r="K343" s="2" t="s">
        <v>28</v>
      </c>
      <c r="L343" s="3">
        <v>8</v>
      </c>
      <c r="M343" s="11">
        <v>2680000</v>
      </c>
      <c r="N343" s="3">
        <v>0</v>
      </c>
      <c r="O343" s="2" t="s">
        <v>21</v>
      </c>
      <c r="P343" s="2" t="s">
        <v>29</v>
      </c>
      <c r="Q343" s="2" t="s">
        <v>22</v>
      </c>
    </row>
    <row r="344" spans="1:17" x14ac:dyDescent="0.25">
      <c r="A344" s="1">
        <v>46176</v>
      </c>
      <c r="B344" s="1">
        <v>46175</v>
      </c>
      <c r="C344" s="2" t="s">
        <v>693</v>
      </c>
      <c r="D344" s="2" t="s">
        <v>17</v>
      </c>
      <c r="E344" s="2" t="s">
        <v>694</v>
      </c>
      <c r="F344" s="2" t="s">
        <v>32</v>
      </c>
      <c r="G344" s="2" t="s">
        <v>49</v>
      </c>
      <c r="H344" s="2" t="s">
        <v>64</v>
      </c>
      <c r="I344" s="2" t="s">
        <v>65</v>
      </c>
      <c r="J344" s="3">
        <v>73.599900000000005</v>
      </c>
      <c r="K344" s="2" t="s">
        <v>36</v>
      </c>
      <c r="L344" s="3">
        <v>73.599900000000005</v>
      </c>
      <c r="M344" s="11">
        <v>8029082.8799999999</v>
      </c>
      <c r="N344" s="3">
        <v>0</v>
      </c>
      <c r="O344" s="2" t="s">
        <v>21</v>
      </c>
      <c r="P344" s="2" t="s">
        <v>29</v>
      </c>
      <c r="Q344" s="2" t="s">
        <v>22</v>
      </c>
    </row>
    <row r="345" spans="1:17" x14ac:dyDescent="0.25">
      <c r="A345" s="1">
        <v>46176</v>
      </c>
      <c r="B345" s="1">
        <v>46175</v>
      </c>
      <c r="C345" s="2" t="s">
        <v>695</v>
      </c>
      <c r="D345" s="2" t="s">
        <v>17</v>
      </c>
      <c r="E345" s="2" t="s">
        <v>696</v>
      </c>
      <c r="F345" s="2" t="s">
        <v>32</v>
      </c>
      <c r="G345" s="2" t="s">
        <v>49</v>
      </c>
      <c r="H345" s="2" t="s">
        <v>64</v>
      </c>
      <c r="I345" s="2" t="s">
        <v>65</v>
      </c>
      <c r="J345" s="3">
        <v>55.2</v>
      </c>
      <c r="K345" s="2" t="s">
        <v>36</v>
      </c>
      <c r="L345" s="3">
        <v>55.2</v>
      </c>
      <c r="M345" s="11">
        <v>6021812.1600000001</v>
      </c>
      <c r="N345" s="3">
        <v>0</v>
      </c>
      <c r="O345" s="2" t="s">
        <v>21</v>
      </c>
      <c r="P345" s="2" t="s">
        <v>29</v>
      </c>
      <c r="Q345" s="2" t="s">
        <v>22</v>
      </c>
    </row>
    <row r="346" spans="1:17" x14ac:dyDescent="0.25">
      <c r="A346" s="1">
        <v>46176</v>
      </c>
      <c r="B346" s="1">
        <v>46175</v>
      </c>
      <c r="C346" s="2" t="s">
        <v>697</v>
      </c>
      <c r="D346" s="2" t="s">
        <v>17</v>
      </c>
      <c r="E346" s="2" t="s">
        <v>698</v>
      </c>
      <c r="F346" s="2" t="s">
        <v>32</v>
      </c>
      <c r="G346" s="2" t="s">
        <v>25</v>
      </c>
      <c r="H346" s="2" t="s">
        <v>699</v>
      </c>
      <c r="I346" s="2" t="s">
        <v>700</v>
      </c>
      <c r="J346" s="3">
        <v>1</v>
      </c>
      <c r="K346" s="2" t="s">
        <v>20</v>
      </c>
      <c r="L346" s="3">
        <v>1</v>
      </c>
      <c r="M346" s="11">
        <v>115000</v>
      </c>
      <c r="N346" s="3">
        <v>0</v>
      </c>
      <c r="O346" s="2" t="s">
        <v>21</v>
      </c>
      <c r="P346" s="2" t="s">
        <v>29</v>
      </c>
      <c r="Q346" s="2" t="s">
        <v>22</v>
      </c>
    </row>
    <row r="347" spans="1:17" x14ac:dyDescent="0.25">
      <c r="A347" s="1">
        <v>46176</v>
      </c>
      <c r="B347" s="1">
        <v>46175</v>
      </c>
      <c r="C347" s="2" t="s">
        <v>701</v>
      </c>
      <c r="D347" s="2" t="s">
        <v>17</v>
      </c>
      <c r="E347" s="2" t="s">
        <v>702</v>
      </c>
      <c r="F347" s="2" t="s">
        <v>32</v>
      </c>
      <c r="G347" s="2" t="s">
        <v>49</v>
      </c>
      <c r="H347" s="2" t="s">
        <v>64</v>
      </c>
      <c r="I347" s="2" t="s">
        <v>65</v>
      </c>
      <c r="J347" s="3">
        <v>73.599900000000005</v>
      </c>
      <c r="K347" s="2" t="s">
        <v>36</v>
      </c>
      <c r="L347" s="3">
        <v>73.599900000000005</v>
      </c>
      <c r="M347" s="11">
        <v>8029082.8799999999</v>
      </c>
      <c r="N347" s="3">
        <v>0</v>
      </c>
      <c r="O347" s="2" t="s">
        <v>21</v>
      </c>
      <c r="P347" s="2" t="s">
        <v>29</v>
      </c>
      <c r="Q347" s="2" t="s">
        <v>22</v>
      </c>
    </row>
    <row r="348" spans="1:17" x14ac:dyDescent="0.25">
      <c r="A348" s="1">
        <v>46176</v>
      </c>
      <c r="B348" s="1">
        <v>46175</v>
      </c>
      <c r="C348" s="2" t="s">
        <v>703</v>
      </c>
      <c r="D348" s="2" t="s">
        <v>17</v>
      </c>
      <c r="E348" s="2" t="s">
        <v>704</v>
      </c>
      <c r="F348" s="2" t="s">
        <v>32</v>
      </c>
      <c r="G348" s="2" t="s">
        <v>43</v>
      </c>
      <c r="H348" s="2" t="s">
        <v>64</v>
      </c>
      <c r="I348" s="2" t="s">
        <v>65</v>
      </c>
      <c r="J348" s="3">
        <v>73.599900000000005</v>
      </c>
      <c r="K348" s="2" t="s">
        <v>36</v>
      </c>
      <c r="L348" s="3">
        <v>73.599900000000005</v>
      </c>
      <c r="M348" s="11">
        <v>8029082.8799999999</v>
      </c>
      <c r="N348" s="3">
        <v>0</v>
      </c>
      <c r="O348" s="2" t="s">
        <v>21</v>
      </c>
      <c r="P348" s="2" t="s">
        <v>29</v>
      </c>
      <c r="Q348" s="2" t="s">
        <v>22</v>
      </c>
    </row>
    <row r="349" spans="1:17" x14ac:dyDescent="0.25">
      <c r="A349" s="1">
        <v>46176</v>
      </c>
      <c r="B349" s="1">
        <v>46175</v>
      </c>
      <c r="C349" s="2" t="s">
        <v>705</v>
      </c>
      <c r="D349" s="2" t="s">
        <v>17</v>
      </c>
      <c r="E349" s="2" t="s">
        <v>698</v>
      </c>
      <c r="F349" s="2" t="s">
        <v>32</v>
      </c>
      <c r="G349" s="2" t="s">
        <v>25</v>
      </c>
      <c r="H349" s="2" t="s">
        <v>26</v>
      </c>
      <c r="I349" s="2" t="s">
        <v>27</v>
      </c>
      <c r="J349" s="3">
        <v>2</v>
      </c>
      <c r="K349" s="2" t="s">
        <v>28</v>
      </c>
      <c r="L349" s="3">
        <v>2</v>
      </c>
      <c r="M349" s="11">
        <v>630000</v>
      </c>
      <c r="N349" s="3">
        <v>0</v>
      </c>
      <c r="O349" s="2" t="s">
        <v>21</v>
      </c>
      <c r="P349" s="2" t="s">
        <v>29</v>
      </c>
      <c r="Q349" s="2" t="s">
        <v>22</v>
      </c>
    </row>
    <row r="350" spans="1:17" x14ac:dyDescent="0.25">
      <c r="A350" s="1">
        <v>46176</v>
      </c>
      <c r="B350" s="1">
        <v>46175</v>
      </c>
      <c r="C350" s="2" t="s">
        <v>706</v>
      </c>
      <c r="D350" s="2" t="s">
        <v>17</v>
      </c>
      <c r="E350" s="2" t="s">
        <v>707</v>
      </c>
      <c r="F350" s="2" t="s">
        <v>18</v>
      </c>
      <c r="G350" s="2" t="s">
        <v>404</v>
      </c>
      <c r="H350" s="2" t="s">
        <v>336</v>
      </c>
      <c r="I350" s="2" t="s">
        <v>337</v>
      </c>
      <c r="J350" s="3">
        <v>3</v>
      </c>
      <c r="K350" s="2" t="s">
        <v>20</v>
      </c>
      <c r="L350" s="3">
        <v>3</v>
      </c>
      <c r="M350" s="11">
        <v>315000</v>
      </c>
      <c r="N350" s="3">
        <v>0</v>
      </c>
      <c r="O350" s="2" t="s">
        <v>21</v>
      </c>
      <c r="P350" s="2" t="s">
        <v>29</v>
      </c>
      <c r="Q350" s="2" t="s">
        <v>22</v>
      </c>
    </row>
    <row r="351" spans="1:17" x14ac:dyDescent="0.25">
      <c r="A351" s="1">
        <v>46176</v>
      </c>
      <c r="B351" s="1">
        <v>46175</v>
      </c>
      <c r="C351" s="2" t="s">
        <v>708</v>
      </c>
      <c r="D351" s="2" t="s">
        <v>17</v>
      </c>
      <c r="E351" s="2" t="s">
        <v>709</v>
      </c>
      <c r="F351" s="2" t="s">
        <v>32</v>
      </c>
      <c r="G351" s="2" t="s">
        <v>404</v>
      </c>
      <c r="H351" s="2" t="s">
        <v>336</v>
      </c>
      <c r="I351" s="2" t="s">
        <v>337</v>
      </c>
      <c r="J351" s="3">
        <v>10</v>
      </c>
      <c r="K351" s="2" t="s">
        <v>20</v>
      </c>
      <c r="L351" s="3">
        <v>10</v>
      </c>
      <c r="M351" s="11">
        <v>1049999.95</v>
      </c>
      <c r="N351" s="3">
        <v>0</v>
      </c>
      <c r="O351" s="2" t="s">
        <v>21</v>
      </c>
      <c r="P351" s="2" t="s">
        <v>29</v>
      </c>
      <c r="Q351" s="2" t="s">
        <v>710</v>
      </c>
    </row>
    <row r="352" spans="1:17" x14ac:dyDescent="0.25">
      <c r="A352" s="1">
        <v>46176</v>
      </c>
      <c r="B352" s="1">
        <v>46175</v>
      </c>
      <c r="C352" s="2" t="s">
        <v>711</v>
      </c>
      <c r="D352" s="2" t="s">
        <v>17</v>
      </c>
      <c r="E352" s="2" t="s">
        <v>712</v>
      </c>
      <c r="F352" s="2" t="s">
        <v>32</v>
      </c>
      <c r="G352" s="2" t="s">
        <v>238</v>
      </c>
      <c r="H352" s="2" t="s">
        <v>26</v>
      </c>
      <c r="I352" s="2" t="s">
        <v>27</v>
      </c>
      <c r="J352" s="3">
        <v>7</v>
      </c>
      <c r="K352" s="2" t="s">
        <v>28</v>
      </c>
      <c r="L352" s="3">
        <v>7</v>
      </c>
      <c r="M352" s="11">
        <v>2169999.9900000002</v>
      </c>
      <c r="N352" s="3">
        <v>0</v>
      </c>
      <c r="O352" s="2" t="s">
        <v>21</v>
      </c>
      <c r="P352" s="2" t="s">
        <v>29</v>
      </c>
      <c r="Q352" s="2" t="s">
        <v>22</v>
      </c>
    </row>
    <row r="353" spans="1:17" x14ac:dyDescent="0.25">
      <c r="A353" s="1">
        <v>46176</v>
      </c>
      <c r="B353" s="1">
        <v>46175</v>
      </c>
      <c r="C353" s="2" t="s">
        <v>713</v>
      </c>
      <c r="D353" s="2" t="s">
        <v>17</v>
      </c>
      <c r="E353" s="2" t="s">
        <v>714</v>
      </c>
      <c r="F353" s="2" t="s">
        <v>32</v>
      </c>
      <c r="G353" s="2" t="s">
        <v>40</v>
      </c>
      <c r="H353" s="2" t="s">
        <v>82</v>
      </c>
      <c r="I353" s="2" t="s">
        <v>83</v>
      </c>
      <c r="J353" s="3">
        <v>6</v>
      </c>
      <c r="K353" s="2" t="s">
        <v>84</v>
      </c>
      <c r="L353" s="3">
        <v>6</v>
      </c>
      <c r="M353" s="11">
        <v>279720</v>
      </c>
      <c r="N353" s="3">
        <v>0</v>
      </c>
      <c r="O353" s="2" t="s">
        <v>21</v>
      </c>
      <c r="P353" s="2" t="s">
        <v>29</v>
      </c>
      <c r="Q353" s="2" t="s">
        <v>22</v>
      </c>
    </row>
    <row r="354" spans="1:17" x14ac:dyDescent="0.25">
      <c r="A354" s="1">
        <v>46176</v>
      </c>
      <c r="B354" s="1">
        <v>46175</v>
      </c>
      <c r="C354" s="2" t="s">
        <v>715</v>
      </c>
      <c r="D354" s="2" t="s">
        <v>17</v>
      </c>
      <c r="E354" s="2" t="s">
        <v>716</v>
      </c>
      <c r="F354" s="2" t="s">
        <v>32</v>
      </c>
      <c r="G354" s="2" t="s">
        <v>404</v>
      </c>
      <c r="H354" s="2" t="s">
        <v>475</v>
      </c>
      <c r="I354" s="2" t="s">
        <v>476</v>
      </c>
      <c r="J354" s="3">
        <v>3</v>
      </c>
      <c r="K354" s="2" t="s">
        <v>20</v>
      </c>
      <c r="L354" s="3">
        <v>3</v>
      </c>
      <c r="M354" s="11">
        <v>267000</v>
      </c>
      <c r="N354" s="3">
        <v>0</v>
      </c>
      <c r="O354" s="2" t="s">
        <v>21</v>
      </c>
      <c r="P354" s="2" t="s">
        <v>29</v>
      </c>
      <c r="Q354" s="2" t="s">
        <v>22</v>
      </c>
    </row>
    <row r="355" spans="1:17" x14ac:dyDescent="0.25">
      <c r="A355" s="1">
        <v>46176</v>
      </c>
      <c r="B355" s="1">
        <v>46175</v>
      </c>
      <c r="C355" s="2" t="s">
        <v>717</v>
      </c>
      <c r="D355" s="2" t="s">
        <v>17</v>
      </c>
      <c r="E355" s="2" t="s">
        <v>718</v>
      </c>
      <c r="F355" s="2" t="s">
        <v>32</v>
      </c>
      <c r="G355" s="2" t="s">
        <v>171</v>
      </c>
      <c r="H355" s="2" t="s">
        <v>26</v>
      </c>
      <c r="I355" s="2" t="s">
        <v>27</v>
      </c>
      <c r="J355" s="3">
        <v>1</v>
      </c>
      <c r="K355" s="2" t="s">
        <v>28</v>
      </c>
      <c r="L355" s="3">
        <v>1</v>
      </c>
      <c r="M355" s="11">
        <v>280000</v>
      </c>
      <c r="N355" s="3">
        <v>0</v>
      </c>
      <c r="O355" s="2" t="s">
        <v>21</v>
      </c>
      <c r="P355" s="2" t="s">
        <v>29</v>
      </c>
      <c r="Q355" s="2" t="s">
        <v>22</v>
      </c>
    </row>
    <row r="356" spans="1:17" x14ac:dyDescent="0.25">
      <c r="A356" s="1">
        <v>46176</v>
      </c>
      <c r="B356" s="1">
        <v>46175</v>
      </c>
      <c r="C356" s="2" t="s">
        <v>719</v>
      </c>
      <c r="D356" s="2" t="s">
        <v>17</v>
      </c>
      <c r="E356" s="2" t="s">
        <v>679</v>
      </c>
      <c r="F356" s="2" t="s">
        <v>32</v>
      </c>
      <c r="G356" s="2" t="s">
        <v>43</v>
      </c>
      <c r="H356" s="2" t="s">
        <v>720</v>
      </c>
      <c r="I356" s="2" t="s">
        <v>721</v>
      </c>
      <c r="J356" s="3">
        <v>5</v>
      </c>
      <c r="K356" s="2" t="s">
        <v>36</v>
      </c>
      <c r="L356" s="3">
        <v>4.2300000000000004</v>
      </c>
      <c r="M356" s="11">
        <v>507600</v>
      </c>
      <c r="N356" s="3">
        <v>-0.77</v>
      </c>
      <c r="O356" s="2" t="s">
        <v>21</v>
      </c>
      <c r="P356" s="2" t="s">
        <v>29</v>
      </c>
      <c r="Q356" s="2" t="s">
        <v>22</v>
      </c>
    </row>
    <row r="357" spans="1:17" x14ac:dyDescent="0.25">
      <c r="A357" s="1">
        <v>46176</v>
      </c>
      <c r="B357" s="1">
        <v>46175</v>
      </c>
      <c r="C357" s="2" t="s">
        <v>722</v>
      </c>
      <c r="D357" s="2" t="s">
        <v>17</v>
      </c>
      <c r="E357" s="2" t="s">
        <v>716</v>
      </c>
      <c r="F357" s="2" t="s">
        <v>32</v>
      </c>
      <c r="G357" s="2" t="s">
        <v>723</v>
      </c>
      <c r="H357" s="2" t="s">
        <v>699</v>
      </c>
      <c r="I357" s="2" t="s">
        <v>700</v>
      </c>
      <c r="J357" s="3">
        <v>2</v>
      </c>
      <c r="K357" s="2" t="s">
        <v>20</v>
      </c>
      <c r="L357" s="3">
        <v>2</v>
      </c>
      <c r="M357" s="11">
        <v>220000</v>
      </c>
      <c r="N357" s="3">
        <v>0</v>
      </c>
      <c r="O357" s="2" t="s">
        <v>21</v>
      </c>
      <c r="P357" s="2" t="s">
        <v>29</v>
      </c>
      <c r="Q357" s="2" t="s">
        <v>22</v>
      </c>
    </row>
    <row r="358" spans="1:17" x14ac:dyDescent="0.25">
      <c r="A358" s="1">
        <v>46176</v>
      </c>
      <c r="B358" s="1">
        <v>46175</v>
      </c>
      <c r="C358" s="2" t="s">
        <v>724</v>
      </c>
      <c r="D358" s="2" t="s">
        <v>17</v>
      </c>
      <c r="E358" s="2" t="s">
        <v>725</v>
      </c>
      <c r="F358" s="2" t="s">
        <v>32</v>
      </c>
      <c r="G358" s="2" t="s">
        <v>89</v>
      </c>
      <c r="H358" s="2" t="s">
        <v>411</v>
      </c>
      <c r="I358" s="2" t="s">
        <v>412</v>
      </c>
      <c r="J358" s="3">
        <v>1</v>
      </c>
      <c r="K358" s="2" t="s">
        <v>36</v>
      </c>
      <c r="L358" s="3">
        <v>1</v>
      </c>
      <c r="M358" s="11">
        <v>27195</v>
      </c>
      <c r="N358" s="3">
        <v>0</v>
      </c>
      <c r="O358" s="2" t="s">
        <v>21</v>
      </c>
      <c r="P358" s="2" t="s">
        <v>29</v>
      </c>
      <c r="Q358" s="2" t="s">
        <v>22</v>
      </c>
    </row>
    <row r="359" spans="1:17" x14ac:dyDescent="0.25">
      <c r="A359" s="1">
        <v>46176</v>
      </c>
      <c r="B359" s="1">
        <v>46175</v>
      </c>
      <c r="C359" s="2" t="s">
        <v>724</v>
      </c>
      <c r="D359" s="2" t="s">
        <v>17</v>
      </c>
      <c r="E359" s="2" t="s">
        <v>725</v>
      </c>
      <c r="F359" s="2" t="s">
        <v>32</v>
      </c>
      <c r="G359" s="2" t="s">
        <v>89</v>
      </c>
      <c r="H359" s="2" t="s">
        <v>26</v>
      </c>
      <c r="I359" s="2" t="s">
        <v>27</v>
      </c>
      <c r="J359" s="3">
        <v>1</v>
      </c>
      <c r="K359" s="2" t="s">
        <v>28</v>
      </c>
      <c r="L359" s="3">
        <v>1</v>
      </c>
      <c r="M359" s="11">
        <v>327450</v>
      </c>
      <c r="N359" s="3">
        <v>0</v>
      </c>
      <c r="O359" s="2" t="s">
        <v>21</v>
      </c>
      <c r="P359" s="2" t="s">
        <v>29</v>
      </c>
      <c r="Q359" s="2" t="s">
        <v>22</v>
      </c>
    </row>
    <row r="360" spans="1:17" x14ac:dyDescent="0.25">
      <c r="A360" s="1">
        <v>46176</v>
      </c>
      <c r="B360" s="1">
        <v>46175</v>
      </c>
      <c r="C360" s="2" t="s">
        <v>726</v>
      </c>
      <c r="D360" s="2" t="s">
        <v>17</v>
      </c>
      <c r="E360" s="2" t="s">
        <v>727</v>
      </c>
      <c r="F360" s="2" t="s">
        <v>32</v>
      </c>
      <c r="G360" s="2" t="s">
        <v>89</v>
      </c>
      <c r="H360" s="2" t="s">
        <v>50</v>
      </c>
      <c r="I360" s="2" t="s">
        <v>51</v>
      </c>
      <c r="J360" s="3">
        <v>6</v>
      </c>
      <c r="K360" s="2" t="s">
        <v>28</v>
      </c>
      <c r="L360" s="3">
        <v>6</v>
      </c>
      <c r="M360" s="11">
        <v>1741590</v>
      </c>
      <c r="N360" s="3">
        <v>0</v>
      </c>
      <c r="O360" s="2" t="s">
        <v>21</v>
      </c>
      <c r="P360" s="2" t="s">
        <v>29</v>
      </c>
      <c r="Q360" s="2" t="s">
        <v>22</v>
      </c>
    </row>
    <row r="361" spans="1:17" x14ac:dyDescent="0.25">
      <c r="A361" s="1">
        <v>46176</v>
      </c>
      <c r="B361" s="1">
        <v>46175</v>
      </c>
      <c r="C361" s="2" t="s">
        <v>728</v>
      </c>
      <c r="D361" s="2" t="s">
        <v>17</v>
      </c>
      <c r="E361" s="2" t="s">
        <v>729</v>
      </c>
      <c r="F361" s="2" t="s">
        <v>32</v>
      </c>
      <c r="G361" s="2" t="s">
        <v>43</v>
      </c>
      <c r="H361" s="2" t="s">
        <v>82</v>
      </c>
      <c r="I361" s="2" t="s">
        <v>83</v>
      </c>
      <c r="J361" s="3">
        <v>24</v>
      </c>
      <c r="K361" s="2" t="s">
        <v>84</v>
      </c>
      <c r="L361" s="3">
        <v>24</v>
      </c>
      <c r="M361" s="11">
        <v>1079999.98</v>
      </c>
      <c r="N361" s="3">
        <v>0</v>
      </c>
      <c r="O361" s="2" t="s">
        <v>21</v>
      </c>
      <c r="P361" s="2" t="s">
        <v>29</v>
      </c>
      <c r="Q361" s="2" t="s">
        <v>22</v>
      </c>
    </row>
    <row r="362" spans="1:17" x14ac:dyDescent="0.25">
      <c r="A362" s="1">
        <v>46176</v>
      </c>
      <c r="B362" s="1">
        <v>46175</v>
      </c>
      <c r="C362" s="2" t="s">
        <v>728</v>
      </c>
      <c r="D362" s="2" t="s">
        <v>17</v>
      </c>
      <c r="E362" s="2" t="s">
        <v>729</v>
      </c>
      <c r="F362" s="2" t="s">
        <v>32</v>
      </c>
      <c r="G362" s="2" t="s">
        <v>43</v>
      </c>
      <c r="H362" s="2" t="s">
        <v>85</v>
      </c>
      <c r="I362" s="2" t="s">
        <v>86</v>
      </c>
      <c r="J362" s="3">
        <v>24</v>
      </c>
      <c r="K362" s="2" t="s">
        <v>84</v>
      </c>
      <c r="L362" s="3">
        <v>24</v>
      </c>
      <c r="M362" s="11">
        <v>887999.99</v>
      </c>
      <c r="N362" s="3">
        <v>0</v>
      </c>
      <c r="O362" s="2" t="s">
        <v>21</v>
      </c>
      <c r="P362" s="2" t="s">
        <v>29</v>
      </c>
      <c r="Q362" s="2" t="s">
        <v>22</v>
      </c>
    </row>
    <row r="363" spans="1:17" x14ac:dyDescent="0.25">
      <c r="A363" s="1">
        <v>46176</v>
      </c>
      <c r="B363" s="1">
        <v>46175</v>
      </c>
      <c r="C363" s="2" t="s">
        <v>730</v>
      </c>
      <c r="D363" s="2" t="s">
        <v>17</v>
      </c>
      <c r="E363" s="2" t="s">
        <v>731</v>
      </c>
      <c r="F363" s="2" t="s">
        <v>32</v>
      </c>
      <c r="G363" s="2" t="s">
        <v>56</v>
      </c>
      <c r="H363" s="2" t="s">
        <v>99</v>
      </c>
      <c r="I363" s="2" t="s">
        <v>100</v>
      </c>
      <c r="J363" s="3">
        <v>5</v>
      </c>
      <c r="K363" s="2" t="s">
        <v>36</v>
      </c>
      <c r="L363" s="3">
        <v>5</v>
      </c>
      <c r="M363" s="11">
        <v>575000</v>
      </c>
      <c r="N363" s="3">
        <v>0</v>
      </c>
      <c r="O363" s="2" t="s">
        <v>21</v>
      </c>
      <c r="P363" s="2" t="s">
        <v>29</v>
      </c>
      <c r="Q363" s="2" t="s">
        <v>732</v>
      </c>
    </row>
    <row r="364" spans="1:17" x14ac:dyDescent="0.25">
      <c r="A364" s="1">
        <v>46176</v>
      </c>
      <c r="B364" s="1">
        <v>46175</v>
      </c>
      <c r="C364" s="2" t="s">
        <v>730</v>
      </c>
      <c r="D364" s="2" t="s">
        <v>17</v>
      </c>
      <c r="E364" s="2" t="s">
        <v>731</v>
      </c>
      <c r="F364" s="2" t="s">
        <v>32</v>
      </c>
      <c r="G364" s="2" t="s">
        <v>56</v>
      </c>
      <c r="H364" s="2" t="s">
        <v>34</v>
      </c>
      <c r="I364" s="2" t="s">
        <v>35</v>
      </c>
      <c r="J364" s="3">
        <v>4</v>
      </c>
      <c r="K364" s="2" t="s">
        <v>36</v>
      </c>
      <c r="L364" s="3">
        <v>4.2699999999999996</v>
      </c>
      <c r="M364" s="11">
        <v>640500.03</v>
      </c>
      <c r="N364" s="3">
        <v>0.27</v>
      </c>
      <c r="O364" s="2" t="s">
        <v>21</v>
      </c>
      <c r="P364" s="2" t="s">
        <v>29</v>
      </c>
      <c r="Q364" s="2" t="s">
        <v>732</v>
      </c>
    </row>
    <row r="365" spans="1:17" x14ac:dyDescent="0.25">
      <c r="A365" s="1">
        <v>46176</v>
      </c>
      <c r="B365" s="1">
        <v>46175</v>
      </c>
      <c r="C365" s="2" t="s">
        <v>733</v>
      </c>
      <c r="D365" s="2" t="s">
        <v>17</v>
      </c>
      <c r="E365" s="2" t="s">
        <v>734</v>
      </c>
      <c r="F365" s="2" t="s">
        <v>32</v>
      </c>
      <c r="G365" s="2" t="s">
        <v>171</v>
      </c>
      <c r="H365" s="2" t="s">
        <v>128</v>
      </c>
      <c r="I365" s="2" t="s">
        <v>129</v>
      </c>
      <c r="J365" s="3">
        <v>6</v>
      </c>
      <c r="K365" s="2" t="s">
        <v>36</v>
      </c>
      <c r="L365" s="3">
        <v>6.56</v>
      </c>
      <c r="M365" s="11">
        <v>1115200</v>
      </c>
      <c r="N365" s="3">
        <v>0.56000000000000005</v>
      </c>
      <c r="O365" s="2" t="s">
        <v>21</v>
      </c>
      <c r="P365" s="2" t="s">
        <v>29</v>
      </c>
      <c r="Q365" s="2" t="s">
        <v>22</v>
      </c>
    </row>
    <row r="366" spans="1:17" x14ac:dyDescent="0.25">
      <c r="A366" s="1">
        <v>46176</v>
      </c>
      <c r="B366" s="1">
        <v>46175</v>
      </c>
      <c r="C366" s="2" t="s">
        <v>735</v>
      </c>
      <c r="D366" s="2" t="s">
        <v>17</v>
      </c>
      <c r="E366" s="2" t="s">
        <v>736</v>
      </c>
      <c r="F366" s="2" t="s">
        <v>18</v>
      </c>
      <c r="G366" s="2" t="s">
        <v>156</v>
      </c>
      <c r="H366" s="2" t="s">
        <v>26</v>
      </c>
      <c r="I366" s="2" t="s">
        <v>27</v>
      </c>
      <c r="J366" s="3">
        <v>2</v>
      </c>
      <c r="K366" s="2" t="s">
        <v>28</v>
      </c>
      <c r="L366" s="3">
        <v>2</v>
      </c>
      <c r="M366" s="11">
        <v>560000</v>
      </c>
      <c r="N366" s="3">
        <v>0</v>
      </c>
      <c r="O366" s="2" t="s">
        <v>21</v>
      </c>
      <c r="P366" s="2" t="s">
        <v>29</v>
      </c>
      <c r="Q366" s="2" t="s">
        <v>22</v>
      </c>
    </row>
    <row r="367" spans="1:17" x14ac:dyDescent="0.25">
      <c r="A367" s="1">
        <v>46176</v>
      </c>
      <c r="B367" s="1">
        <v>46175</v>
      </c>
      <c r="C367" s="2" t="s">
        <v>737</v>
      </c>
      <c r="D367" s="2" t="s">
        <v>17</v>
      </c>
      <c r="E367" s="2" t="s">
        <v>738</v>
      </c>
      <c r="F367" s="2" t="s">
        <v>32</v>
      </c>
      <c r="G367" s="2" t="s">
        <v>40</v>
      </c>
      <c r="H367" s="2" t="s">
        <v>50</v>
      </c>
      <c r="I367" s="2" t="s">
        <v>51</v>
      </c>
      <c r="J367" s="3">
        <v>30</v>
      </c>
      <c r="K367" s="2" t="s">
        <v>28</v>
      </c>
      <c r="L367" s="3">
        <v>30</v>
      </c>
      <c r="M367" s="11">
        <v>9359999.9600000009</v>
      </c>
      <c r="N367" s="3">
        <v>0</v>
      </c>
      <c r="O367" s="2" t="s">
        <v>21</v>
      </c>
      <c r="P367" s="2" t="s">
        <v>29</v>
      </c>
      <c r="Q367" s="2" t="s">
        <v>22</v>
      </c>
    </row>
    <row r="368" spans="1:17" x14ac:dyDescent="0.25">
      <c r="A368" s="1">
        <v>46176</v>
      </c>
      <c r="B368" s="1">
        <v>46175</v>
      </c>
      <c r="C368" s="2" t="s">
        <v>739</v>
      </c>
      <c r="D368" s="2" t="s">
        <v>17</v>
      </c>
      <c r="E368" s="2" t="s">
        <v>709</v>
      </c>
      <c r="F368" s="2" t="s">
        <v>32</v>
      </c>
      <c r="G368" s="2" t="s">
        <v>43</v>
      </c>
      <c r="H368" s="2" t="s">
        <v>128</v>
      </c>
      <c r="I368" s="2" t="s">
        <v>129</v>
      </c>
      <c r="J368" s="3">
        <v>5</v>
      </c>
      <c r="K368" s="2" t="s">
        <v>36</v>
      </c>
      <c r="L368" s="3">
        <v>5.07</v>
      </c>
      <c r="M368" s="11">
        <v>877110</v>
      </c>
      <c r="N368" s="3">
        <v>7.0000000000000007E-2</v>
      </c>
      <c r="O368" s="2" t="s">
        <v>21</v>
      </c>
      <c r="P368" s="2" t="s">
        <v>29</v>
      </c>
      <c r="Q368" s="2" t="s">
        <v>740</v>
      </c>
    </row>
    <row r="369" spans="1:17" x14ac:dyDescent="0.25">
      <c r="A369" s="1">
        <v>46176</v>
      </c>
      <c r="B369" s="1">
        <v>46175</v>
      </c>
      <c r="C369" s="2" t="s">
        <v>741</v>
      </c>
      <c r="D369" s="2" t="s">
        <v>17</v>
      </c>
      <c r="E369" s="2" t="s">
        <v>742</v>
      </c>
      <c r="F369" s="2" t="s">
        <v>32</v>
      </c>
      <c r="G369" s="2" t="s">
        <v>156</v>
      </c>
      <c r="H369" s="2" t="s">
        <v>26</v>
      </c>
      <c r="I369" s="2" t="s">
        <v>27</v>
      </c>
      <c r="J369" s="3">
        <v>6</v>
      </c>
      <c r="K369" s="2" t="s">
        <v>28</v>
      </c>
      <c r="L369" s="3">
        <v>6</v>
      </c>
      <c r="M369" s="11">
        <v>1800000</v>
      </c>
      <c r="N369" s="3">
        <v>0</v>
      </c>
      <c r="O369" s="2" t="s">
        <v>21</v>
      </c>
      <c r="P369" s="2" t="s">
        <v>29</v>
      </c>
      <c r="Q369" s="2" t="s">
        <v>22</v>
      </c>
    </row>
    <row r="370" spans="1:17" x14ac:dyDescent="0.25">
      <c r="A370" s="1">
        <v>46176</v>
      </c>
      <c r="B370" s="1">
        <v>46175</v>
      </c>
      <c r="C370" s="2" t="s">
        <v>743</v>
      </c>
      <c r="D370" s="2" t="s">
        <v>17</v>
      </c>
      <c r="E370" s="2" t="s">
        <v>709</v>
      </c>
      <c r="F370" s="2" t="s">
        <v>32</v>
      </c>
      <c r="G370" s="2" t="s">
        <v>43</v>
      </c>
      <c r="H370" s="2" t="s">
        <v>26</v>
      </c>
      <c r="I370" s="2" t="s">
        <v>27</v>
      </c>
      <c r="J370" s="3">
        <v>1</v>
      </c>
      <c r="K370" s="2" t="s">
        <v>28</v>
      </c>
      <c r="L370" s="3">
        <v>1</v>
      </c>
      <c r="M370" s="11">
        <v>327450</v>
      </c>
      <c r="N370" s="3">
        <v>0</v>
      </c>
      <c r="O370" s="2" t="s">
        <v>21</v>
      </c>
      <c r="P370" s="2" t="s">
        <v>29</v>
      </c>
      <c r="Q370" s="2" t="s">
        <v>744</v>
      </c>
    </row>
    <row r="371" spans="1:17" x14ac:dyDescent="0.25">
      <c r="A371" s="1">
        <v>46176</v>
      </c>
      <c r="B371" s="1">
        <v>46175</v>
      </c>
      <c r="C371" s="2" t="s">
        <v>743</v>
      </c>
      <c r="D371" s="2" t="s">
        <v>17</v>
      </c>
      <c r="E371" s="2" t="s">
        <v>709</v>
      </c>
      <c r="F371" s="2" t="s">
        <v>32</v>
      </c>
      <c r="G371" s="2" t="s">
        <v>43</v>
      </c>
      <c r="H371" s="2" t="s">
        <v>109</v>
      </c>
      <c r="I371" s="2" t="s">
        <v>110</v>
      </c>
      <c r="J371" s="3">
        <v>10</v>
      </c>
      <c r="K371" s="2" t="s">
        <v>36</v>
      </c>
      <c r="L371" s="3">
        <v>10</v>
      </c>
      <c r="M371" s="11">
        <v>300000.03000000003</v>
      </c>
      <c r="N371" s="3">
        <v>0</v>
      </c>
      <c r="O371" s="2" t="s">
        <v>21</v>
      </c>
      <c r="P371" s="2" t="s">
        <v>29</v>
      </c>
      <c r="Q371" s="2" t="s">
        <v>744</v>
      </c>
    </row>
    <row r="372" spans="1:17" x14ac:dyDescent="0.25">
      <c r="A372" s="1">
        <v>46176</v>
      </c>
      <c r="B372" s="1">
        <v>46175</v>
      </c>
      <c r="C372" s="2" t="s">
        <v>745</v>
      </c>
      <c r="D372" s="2" t="s">
        <v>746</v>
      </c>
      <c r="E372" s="2" t="s">
        <v>747</v>
      </c>
      <c r="F372" s="2" t="s">
        <v>18</v>
      </c>
      <c r="G372" s="2" t="s">
        <v>43</v>
      </c>
      <c r="H372" s="2" t="s">
        <v>748</v>
      </c>
      <c r="I372" s="2" t="s">
        <v>749</v>
      </c>
      <c r="J372" s="3">
        <v>1</v>
      </c>
      <c r="K372" s="2" t="s">
        <v>408</v>
      </c>
      <c r="L372" s="3">
        <v>1</v>
      </c>
      <c r="M372" s="11">
        <v>350000.01</v>
      </c>
      <c r="N372" s="3">
        <v>0</v>
      </c>
      <c r="O372" s="2" t="s">
        <v>21</v>
      </c>
      <c r="P372" s="2" t="s">
        <v>29</v>
      </c>
      <c r="Q372" s="2" t="s">
        <v>750</v>
      </c>
    </row>
    <row r="373" spans="1:17" x14ac:dyDescent="0.25">
      <c r="A373" s="1">
        <v>46176</v>
      </c>
      <c r="B373" s="1">
        <v>46175</v>
      </c>
      <c r="C373" s="2" t="s">
        <v>751</v>
      </c>
      <c r="D373" s="2" t="s">
        <v>746</v>
      </c>
      <c r="E373" s="2" t="s">
        <v>60</v>
      </c>
      <c r="F373" s="2" t="s">
        <v>18</v>
      </c>
      <c r="G373" s="2" t="s">
        <v>61</v>
      </c>
      <c r="H373" s="2" t="s">
        <v>752</v>
      </c>
      <c r="I373" s="2" t="s">
        <v>753</v>
      </c>
      <c r="J373" s="3">
        <v>2</v>
      </c>
      <c r="K373" s="2" t="s">
        <v>754</v>
      </c>
      <c r="L373" s="3">
        <v>2</v>
      </c>
      <c r="M373" s="11">
        <v>120000</v>
      </c>
      <c r="N373" s="3">
        <v>0</v>
      </c>
      <c r="O373" s="2" t="s">
        <v>21</v>
      </c>
      <c r="P373" s="2" t="s">
        <v>29</v>
      </c>
      <c r="Q373" s="2" t="s">
        <v>22</v>
      </c>
    </row>
    <row r="374" spans="1:17" x14ac:dyDescent="0.25">
      <c r="A374" s="1">
        <v>46176</v>
      </c>
      <c r="B374" s="1">
        <v>46175</v>
      </c>
      <c r="C374" s="2" t="s">
        <v>751</v>
      </c>
      <c r="D374" s="2" t="s">
        <v>746</v>
      </c>
      <c r="E374" s="2" t="s">
        <v>60</v>
      </c>
      <c r="F374" s="2" t="s">
        <v>18</v>
      </c>
      <c r="G374" s="2" t="s">
        <v>61</v>
      </c>
      <c r="H374" s="2" t="s">
        <v>755</v>
      </c>
      <c r="I374" s="2" t="s">
        <v>756</v>
      </c>
      <c r="J374" s="3">
        <v>4</v>
      </c>
      <c r="K374" s="2" t="s">
        <v>754</v>
      </c>
      <c r="L374" s="3">
        <v>4</v>
      </c>
      <c r="M374" s="11">
        <v>319680</v>
      </c>
      <c r="N374" s="3">
        <v>0</v>
      </c>
      <c r="O374" s="2" t="s">
        <v>21</v>
      </c>
      <c r="P374" s="2" t="s">
        <v>29</v>
      </c>
      <c r="Q374" s="2" t="s">
        <v>22</v>
      </c>
    </row>
    <row r="375" spans="1:17" x14ac:dyDescent="0.25">
      <c r="A375" s="1">
        <v>46176</v>
      </c>
      <c r="B375" s="1">
        <v>46175</v>
      </c>
      <c r="C375" s="2" t="s">
        <v>757</v>
      </c>
      <c r="D375" s="2" t="s">
        <v>746</v>
      </c>
      <c r="E375" s="2" t="s">
        <v>60</v>
      </c>
      <c r="F375" s="2" t="s">
        <v>18</v>
      </c>
      <c r="G375" s="2" t="s">
        <v>61</v>
      </c>
      <c r="H375" s="2" t="s">
        <v>758</v>
      </c>
      <c r="I375" s="2" t="s">
        <v>759</v>
      </c>
      <c r="J375" s="3">
        <v>5</v>
      </c>
      <c r="K375" s="2" t="s">
        <v>36</v>
      </c>
      <c r="L375" s="3">
        <v>4.75</v>
      </c>
      <c r="M375" s="11">
        <v>641250</v>
      </c>
      <c r="N375" s="3">
        <v>-0.25</v>
      </c>
      <c r="O375" s="2" t="s">
        <v>21</v>
      </c>
      <c r="P375" s="2" t="s">
        <v>29</v>
      </c>
      <c r="Q375" s="2" t="s">
        <v>22</v>
      </c>
    </row>
    <row r="376" spans="1:17" x14ac:dyDescent="0.25">
      <c r="A376" s="1">
        <v>46176</v>
      </c>
      <c r="B376" s="1">
        <v>46175</v>
      </c>
      <c r="C376" s="2" t="s">
        <v>760</v>
      </c>
      <c r="D376" s="2" t="s">
        <v>746</v>
      </c>
      <c r="E376" s="2" t="s">
        <v>761</v>
      </c>
      <c r="F376" s="2" t="s">
        <v>18</v>
      </c>
      <c r="G376" s="2" t="s">
        <v>49</v>
      </c>
      <c r="H376" s="2" t="s">
        <v>748</v>
      </c>
      <c r="I376" s="2" t="s">
        <v>749</v>
      </c>
      <c r="J376" s="3">
        <v>1</v>
      </c>
      <c r="K376" s="2" t="s">
        <v>408</v>
      </c>
      <c r="L376" s="3">
        <v>1</v>
      </c>
      <c r="M376" s="11">
        <v>350000.01</v>
      </c>
      <c r="N376" s="3">
        <v>0</v>
      </c>
      <c r="O376" s="2" t="s">
        <v>21</v>
      </c>
      <c r="P376" s="2" t="s">
        <v>29</v>
      </c>
      <c r="Q376" s="2" t="s">
        <v>22</v>
      </c>
    </row>
    <row r="377" spans="1:17" x14ac:dyDescent="0.25">
      <c r="A377" s="1">
        <v>46176</v>
      </c>
      <c r="B377" s="1">
        <v>46175</v>
      </c>
      <c r="C377" s="2" t="s">
        <v>762</v>
      </c>
      <c r="D377" s="2" t="s">
        <v>746</v>
      </c>
      <c r="E377" s="2" t="s">
        <v>763</v>
      </c>
      <c r="F377" s="2" t="s">
        <v>18</v>
      </c>
      <c r="G377" s="2" t="s">
        <v>89</v>
      </c>
      <c r="H377" s="2" t="s">
        <v>764</v>
      </c>
      <c r="I377" s="2" t="s">
        <v>765</v>
      </c>
      <c r="J377" s="3">
        <v>12</v>
      </c>
      <c r="K377" s="2" t="s">
        <v>20</v>
      </c>
      <c r="L377" s="3">
        <v>12</v>
      </c>
      <c r="M377" s="11">
        <v>348000</v>
      </c>
      <c r="N377" s="3">
        <v>0</v>
      </c>
      <c r="O377" s="2" t="s">
        <v>21</v>
      </c>
      <c r="P377" s="2" t="s">
        <v>29</v>
      </c>
      <c r="Q377" s="2" t="s">
        <v>22</v>
      </c>
    </row>
    <row r="378" spans="1:17" x14ac:dyDescent="0.25">
      <c r="A378" s="1">
        <v>46176</v>
      </c>
      <c r="B378" s="1">
        <v>46175</v>
      </c>
      <c r="C378" s="2" t="s">
        <v>766</v>
      </c>
      <c r="D378" s="2" t="s">
        <v>746</v>
      </c>
      <c r="E378" s="2" t="s">
        <v>767</v>
      </c>
      <c r="F378" s="2" t="s">
        <v>18</v>
      </c>
      <c r="G378" s="2" t="s">
        <v>43</v>
      </c>
      <c r="H378" s="2" t="s">
        <v>768</v>
      </c>
      <c r="I378" s="2" t="s">
        <v>769</v>
      </c>
      <c r="J378" s="3">
        <v>2</v>
      </c>
      <c r="K378" s="2" t="s">
        <v>106</v>
      </c>
      <c r="L378" s="3">
        <v>2</v>
      </c>
      <c r="M378" s="11">
        <v>124879.99</v>
      </c>
      <c r="N378" s="3">
        <v>0</v>
      </c>
      <c r="O378" s="2" t="s">
        <v>21</v>
      </c>
      <c r="P378" s="2" t="s">
        <v>29</v>
      </c>
      <c r="Q378" s="2" t="s">
        <v>22</v>
      </c>
    </row>
    <row r="379" spans="1:17" x14ac:dyDescent="0.25">
      <c r="A379" s="1">
        <v>46176</v>
      </c>
      <c r="B379" s="1">
        <v>46175</v>
      </c>
      <c r="C379" s="2" t="s">
        <v>766</v>
      </c>
      <c r="D379" s="2" t="s">
        <v>746</v>
      </c>
      <c r="E379" s="2" t="s">
        <v>767</v>
      </c>
      <c r="F379" s="2" t="s">
        <v>18</v>
      </c>
      <c r="G379" s="2" t="s">
        <v>43</v>
      </c>
      <c r="H379" s="2" t="s">
        <v>770</v>
      </c>
      <c r="I379" s="2" t="s">
        <v>771</v>
      </c>
      <c r="J379" s="3">
        <v>4</v>
      </c>
      <c r="K379" s="2" t="s">
        <v>20</v>
      </c>
      <c r="L379" s="3">
        <v>4</v>
      </c>
      <c r="M379" s="11">
        <v>220000</v>
      </c>
      <c r="N379" s="3">
        <v>0</v>
      </c>
      <c r="O379" s="2" t="s">
        <v>21</v>
      </c>
      <c r="P379" s="2" t="s">
        <v>29</v>
      </c>
      <c r="Q379" s="2" t="s">
        <v>22</v>
      </c>
    </row>
    <row r="380" spans="1:17" x14ac:dyDescent="0.25">
      <c r="A380" s="1">
        <v>46176</v>
      </c>
      <c r="B380" s="1">
        <v>46175</v>
      </c>
      <c r="C380" s="2" t="s">
        <v>766</v>
      </c>
      <c r="D380" s="2" t="s">
        <v>746</v>
      </c>
      <c r="E380" s="2" t="s">
        <v>767</v>
      </c>
      <c r="F380" s="2" t="s">
        <v>18</v>
      </c>
      <c r="G380" s="2" t="s">
        <v>43</v>
      </c>
      <c r="H380" s="2" t="s">
        <v>772</v>
      </c>
      <c r="I380" s="2" t="s">
        <v>773</v>
      </c>
      <c r="J380" s="3">
        <v>2</v>
      </c>
      <c r="K380" s="2" t="s">
        <v>448</v>
      </c>
      <c r="L380" s="3">
        <v>2</v>
      </c>
      <c r="M380" s="11">
        <v>179748</v>
      </c>
      <c r="N380" s="3">
        <v>0</v>
      </c>
      <c r="O380" s="2" t="s">
        <v>21</v>
      </c>
      <c r="P380" s="2" t="s">
        <v>29</v>
      </c>
      <c r="Q380" s="2" t="s">
        <v>22</v>
      </c>
    </row>
    <row r="381" spans="1:17" x14ac:dyDescent="0.25">
      <c r="A381" s="1">
        <v>46176</v>
      </c>
      <c r="B381" s="1">
        <v>46175</v>
      </c>
      <c r="C381" s="2" t="s">
        <v>774</v>
      </c>
      <c r="D381" s="2" t="s">
        <v>746</v>
      </c>
      <c r="E381" s="2" t="s">
        <v>775</v>
      </c>
      <c r="F381" s="2" t="s">
        <v>18</v>
      </c>
      <c r="G381" s="2" t="s">
        <v>43</v>
      </c>
      <c r="H381" s="2" t="s">
        <v>776</v>
      </c>
      <c r="I381" s="2" t="s">
        <v>777</v>
      </c>
      <c r="J381" s="3">
        <v>1</v>
      </c>
      <c r="K381" s="2" t="s">
        <v>106</v>
      </c>
      <c r="L381" s="3">
        <v>1</v>
      </c>
      <c r="M381" s="11">
        <v>161000.01</v>
      </c>
      <c r="N381" s="3">
        <v>0</v>
      </c>
      <c r="O381" s="2" t="s">
        <v>21</v>
      </c>
      <c r="P381" s="2" t="s">
        <v>29</v>
      </c>
      <c r="Q381" s="2" t="s">
        <v>22</v>
      </c>
    </row>
    <row r="382" spans="1:17" x14ac:dyDescent="0.25">
      <c r="A382" s="1">
        <v>46176</v>
      </c>
      <c r="B382" s="1">
        <v>46175</v>
      </c>
      <c r="C382" s="2" t="s">
        <v>774</v>
      </c>
      <c r="D382" s="2" t="s">
        <v>746</v>
      </c>
      <c r="E382" s="2" t="s">
        <v>775</v>
      </c>
      <c r="F382" s="2" t="s">
        <v>18</v>
      </c>
      <c r="G382" s="2" t="s">
        <v>43</v>
      </c>
      <c r="H382" s="2" t="s">
        <v>778</v>
      </c>
      <c r="I382" s="2" t="s">
        <v>779</v>
      </c>
      <c r="J382" s="3">
        <v>1</v>
      </c>
      <c r="K382" s="2" t="s">
        <v>448</v>
      </c>
      <c r="L382" s="3">
        <v>1</v>
      </c>
      <c r="M382" s="11">
        <v>106700</v>
      </c>
      <c r="N382" s="3">
        <v>0</v>
      </c>
      <c r="O382" s="2" t="s">
        <v>21</v>
      </c>
      <c r="P382" s="2" t="s">
        <v>29</v>
      </c>
      <c r="Q382" s="2" t="s">
        <v>22</v>
      </c>
    </row>
    <row r="383" spans="1:17" x14ac:dyDescent="0.25">
      <c r="A383" s="1">
        <v>46176</v>
      </c>
      <c r="B383" s="1">
        <v>46175</v>
      </c>
      <c r="C383" s="2" t="s">
        <v>774</v>
      </c>
      <c r="D383" s="2" t="s">
        <v>746</v>
      </c>
      <c r="E383" s="2" t="s">
        <v>775</v>
      </c>
      <c r="F383" s="2" t="s">
        <v>18</v>
      </c>
      <c r="G383" s="2" t="s">
        <v>43</v>
      </c>
      <c r="H383" s="2" t="s">
        <v>780</v>
      </c>
      <c r="I383" s="2" t="s">
        <v>781</v>
      </c>
      <c r="J383" s="3">
        <v>1</v>
      </c>
      <c r="K383" s="2" t="s">
        <v>448</v>
      </c>
      <c r="L383" s="3">
        <v>1</v>
      </c>
      <c r="M383" s="11">
        <v>106700</v>
      </c>
      <c r="N383" s="3">
        <v>0</v>
      </c>
      <c r="O383" s="2" t="s">
        <v>21</v>
      </c>
      <c r="P383" s="2" t="s">
        <v>29</v>
      </c>
      <c r="Q383" s="2" t="s">
        <v>22</v>
      </c>
    </row>
    <row r="384" spans="1:17" x14ac:dyDescent="0.25">
      <c r="A384" s="1">
        <v>46176</v>
      </c>
      <c r="B384" s="1">
        <v>46175</v>
      </c>
      <c r="C384" s="2" t="s">
        <v>774</v>
      </c>
      <c r="D384" s="2" t="s">
        <v>746</v>
      </c>
      <c r="E384" s="2" t="s">
        <v>775</v>
      </c>
      <c r="F384" s="2" t="s">
        <v>18</v>
      </c>
      <c r="G384" s="2" t="s">
        <v>43</v>
      </c>
      <c r="H384" s="2" t="s">
        <v>782</v>
      </c>
      <c r="I384" s="2" t="s">
        <v>783</v>
      </c>
      <c r="J384" s="3">
        <v>1</v>
      </c>
      <c r="K384" s="2" t="s">
        <v>448</v>
      </c>
      <c r="L384" s="3">
        <v>1</v>
      </c>
      <c r="M384" s="11">
        <v>106700.01</v>
      </c>
      <c r="N384" s="3">
        <v>0</v>
      </c>
      <c r="O384" s="2" t="s">
        <v>21</v>
      </c>
      <c r="P384" s="2" t="s">
        <v>29</v>
      </c>
      <c r="Q384" s="2" t="s">
        <v>22</v>
      </c>
    </row>
    <row r="385" spans="1:17" x14ac:dyDescent="0.25">
      <c r="A385" s="1">
        <v>46176</v>
      </c>
      <c r="B385" s="1">
        <v>46175</v>
      </c>
      <c r="C385" s="2" t="s">
        <v>784</v>
      </c>
      <c r="D385" s="2" t="s">
        <v>746</v>
      </c>
      <c r="E385" s="2" t="s">
        <v>785</v>
      </c>
      <c r="F385" s="2" t="s">
        <v>18</v>
      </c>
      <c r="G385" s="2" t="s">
        <v>56</v>
      </c>
      <c r="H385" s="2" t="s">
        <v>786</v>
      </c>
      <c r="I385" s="2" t="s">
        <v>787</v>
      </c>
      <c r="J385" s="3">
        <v>1</v>
      </c>
      <c r="K385" s="2" t="s">
        <v>106</v>
      </c>
      <c r="L385" s="3">
        <v>1</v>
      </c>
      <c r="M385" s="11">
        <v>205350</v>
      </c>
      <c r="N385" s="3">
        <v>0</v>
      </c>
      <c r="O385" s="2" t="s">
        <v>21</v>
      </c>
      <c r="P385" s="2" t="s">
        <v>29</v>
      </c>
      <c r="Q385" s="2" t="s">
        <v>22</v>
      </c>
    </row>
    <row r="386" spans="1:17" x14ac:dyDescent="0.25">
      <c r="A386" s="1">
        <v>46176</v>
      </c>
      <c r="B386" s="1">
        <v>46175</v>
      </c>
      <c r="C386" s="2" t="s">
        <v>788</v>
      </c>
      <c r="D386" s="2" t="s">
        <v>746</v>
      </c>
      <c r="E386" s="2" t="s">
        <v>789</v>
      </c>
      <c r="F386" s="2" t="s">
        <v>18</v>
      </c>
      <c r="G386" s="2" t="s">
        <v>49</v>
      </c>
      <c r="H386" s="2" t="s">
        <v>776</v>
      </c>
      <c r="I386" s="2" t="s">
        <v>777</v>
      </c>
      <c r="J386" s="3">
        <v>2</v>
      </c>
      <c r="K386" s="2" t="s">
        <v>106</v>
      </c>
      <c r="L386" s="3">
        <v>2</v>
      </c>
      <c r="M386" s="11">
        <v>337020</v>
      </c>
      <c r="N386" s="3">
        <v>0</v>
      </c>
      <c r="O386" s="2" t="s">
        <v>21</v>
      </c>
      <c r="P386" s="2" t="s">
        <v>29</v>
      </c>
      <c r="Q386" s="2" t="s">
        <v>22</v>
      </c>
    </row>
    <row r="387" spans="1:17" x14ac:dyDescent="0.25">
      <c r="A387" s="1">
        <v>46176</v>
      </c>
      <c r="B387" s="1">
        <v>46175</v>
      </c>
      <c r="C387" s="2" t="s">
        <v>790</v>
      </c>
      <c r="D387" s="2" t="s">
        <v>746</v>
      </c>
      <c r="E387" s="2" t="s">
        <v>791</v>
      </c>
      <c r="F387" s="2" t="s">
        <v>18</v>
      </c>
      <c r="G387" s="2" t="s">
        <v>49</v>
      </c>
      <c r="H387" s="2" t="s">
        <v>776</v>
      </c>
      <c r="I387" s="2" t="s">
        <v>777</v>
      </c>
      <c r="J387" s="3">
        <v>1</v>
      </c>
      <c r="K387" s="2" t="s">
        <v>106</v>
      </c>
      <c r="L387" s="3">
        <v>1</v>
      </c>
      <c r="M387" s="11">
        <v>168510</v>
      </c>
      <c r="N387" s="3">
        <v>0</v>
      </c>
      <c r="O387" s="2" t="s">
        <v>21</v>
      </c>
      <c r="P387" s="2" t="s">
        <v>29</v>
      </c>
      <c r="Q387" s="2" t="s">
        <v>22</v>
      </c>
    </row>
    <row r="388" spans="1:17" x14ac:dyDescent="0.25">
      <c r="A388" s="1">
        <v>46176</v>
      </c>
      <c r="B388" s="1">
        <v>46175</v>
      </c>
      <c r="C388" s="2" t="s">
        <v>790</v>
      </c>
      <c r="D388" s="2" t="s">
        <v>746</v>
      </c>
      <c r="E388" s="2" t="s">
        <v>791</v>
      </c>
      <c r="F388" s="2" t="s">
        <v>18</v>
      </c>
      <c r="G388" s="2" t="s">
        <v>49</v>
      </c>
      <c r="H388" s="2" t="s">
        <v>792</v>
      </c>
      <c r="I388" s="2" t="s">
        <v>793</v>
      </c>
      <c r="J388" s="3">
        <v>1</v>
      </c>
      <c r="K388" s="2" t="s">
        <v>20</v>
      </c>
      <c r="L388" s="3">
        <v>1</v>
      </c>
      <c r="M388" s="11">
        <v>206000</v>
      </c>
      <c r="N388" s="3">
        <v>0</v>
      </c>
      <c r="O388" s="2" t="s">
        <v>21</v>
      </c>
      <c r="P388" s="2" t="s">
        <v>29</v>
      </c>
      <c r="Q388" s="2" t="s">
        <v>22</v>
      </c>
    </row>
    <row r="389" spans="1:17" x14ac:dyDescent="0.25">
      <c r="A389" s="1">
        <v>46176</v>
      </c>
      <c r="B389" s="1">
        <v>46175</v>
      </c>
      <c r="C389" s="2" t="s">
        <v>794</v>
      </c>
      <c r="D389" s="2" t="s">
        <v>746</v>
      </c>
      <c r="E389" s="2" t="s">
        <v>795</v>
      </c>
      <c r="F389" s="2" t="s">
        <v>32</v>
      </c>
      <c r="G389" s="2" t="s">
        <v>49</v>
      </c>
      <c r="H389" s="2" t="s">
        <v>796</v>
      </c>
      <c r="I389" s="2" t="s">
        <v>797</v>
      </c>
      <c r="J389" s="3">
        <v>1</v>
      </c>
      <c r="K389" s="2" t="s">
        <v>20</v>
      </c>
      <c r="L389" s="3">
        <v>1</v>
      </c>
      <c r="M389" s="11">
        <v>76000</v>
      </c>
      <c r="N389" s="3">
        <v>0</v>
      </c>
      <c r="O389" s="2" t="s">
        <v>21</v>
      </c>
      <c r="P389" s="2" t="s">
        <v>29</v>
      </c>
      <c r="Q389" s="2" t="s">
        <v>22</v>
      </c>
    </row>
    <row r="390" spans="1:17" x14ac:dyDescent="0.25">
      <c r="A390" s="1">
        <v>46176</v>
      </c>
      <c r="B390" s="1">
        <v>46175</v>
      </c>
      <c r="C390" s="2" t="s">
        <v>798</v>
      </c>
      <c r="D390" s="2" t="s">
        <v>746</v>
      </c>
      <c r="E390" s="2" t="s">
        <v>159</v>
      </c>
      <c r="F390" s="2" t="s">
        <v>32</v>
      </c>
      <c r="G390" s="2" t="s">
        <v>43</v>
      </c>
      <c r="H390" s="2" t="s">
        <v>799</v>
      </c>
      <c r="I390" s="2" t="s">
        <v>800</v>
      </c>
      <c r="J390" s="3">
        <v>1</v>
      </c>
      <c r="K390" s="2" t="s">
        <v>448</v>
      </c>
      <c r="L390" s="3">
        <v>1</v>
      </c>
      <c r="M390" s="11">
        <v>110000</v>
      </c>
      <c r="N390" s="3">
        <v>0</v>
      </c>
      <c r="O390" s="2" t="s">
        <v>21</v>
      </c>
      <c r="P390" s="2" t="s">
        <v>29</v>
      </c>
      <c r="Q390" s="2" t="s">
        <v>162</v>
      </c>
    </row>
    <row r="391" spans="1:17" x14ac:dyDescent="0.25">
      <c r="A391" s="1">
        <v>46176</v>
      </c>
      <c r="B391" s="1">
        <v>46175</v>
      </c>
      <c r="C391" s="2" t="s">
        <v>798</v>
      </c>
      <c r="D391" s="2" t="s">
        <v>746</v>
      </c>
      <c r="E391" s="2" t="s">
        <v>159</v>
      </c>
      <c r="F391" s="2" t="s">
        <v>32</v>
      </c>
      <c r="G391" s="2" t="s">
        <v>43</v>
      </c>
      <c r="H391" s="2" t="s">
        <v>780</v>
      </c>
      <c r="I391" s="2" t="s">
        <v>781</v>
      </c>
      <c r="J391" s="3">
        <v>2</v>
      </c>
      <c r="K391" s="2" t="s">
        <v>448</v>
      </c>
      <c r="L391" s="3">
        <v>2</v>
      </c>
      <c r="M391" s="11">
        <v>220000</v>
      </c>
      <c r="N391" s="3">
        <v>0</v>
      </c>
      <c r="O391" s="2" t="s">
        <v>21</v>
      </c>
      <c r="P391" s="2" t="s">
        <v>29</v>
      </c>
      <c r="Q391" s="2" t="s">
        <v>162</v>
      </c>
    </row>
    <row r="392" spans="1:17" x14ac:dyDescent="0.25">
      <c r="A392" s="1">
        <v>46176</v>
      </c>
      <c r="B392" s="1">
        <v>46175</v>
      </c>
      <c r="C392" s="2" t="s">
        <v>801</v>
      </c>
      <c r="D392" s="2" t="s">
        <v>746</v>
      </c>
      <c r="E392" s="2" t="s">
        <v>802</v>
      </c>
      <c r="F392" s="2" t="s">
        <v>32</v>
      </c>
      <c r="G392" s="2" t="s">
        <v>40</v>
      </c>
      <c r="H392" s="2" t="s">
        <v>803</v>
      </c>
      <c r="I392" s="2" t="s">
        <v>804</v>
      </c>
      <c r="J392" s="3">
        <v>5</v>
      </c>
      <c r="K392" s="2" t="s">
        <v>20</v>
      </c>
      <c r="L392" s="3">
        <v>5</v>
      </c>
      <c r="M392" s="11">
        <v>355200</v>
      </c>
      <c r="N392" s="3">
        <v>0</v>
      </c>
      <c r="O392" s="2" t="s">
        <v>21</v>
      </c>
      <c r="P392" s="2" t="s">
        <v>29</v>
      </c>
      <c r="Q392" s="2" t="s">
        <v>22</v>
      </c>
    </row>
    <row r="393" spans="1:17" x14ac:dyDescent="0.25">
      <c r="A393" s="1">
        <v>46176</v>
      </c>
      <c r="B393" s="1">
        <v>46175</v>
      </c>
      <c r="C393" s="2" t="s">
        <v>805</v>
      </c>
      <c r="D393" s="2" t="s">
        <v>746</v>
      </c>
      <c r="E393" s="2" t="s">
        <v>806</v>
      </c>
      <c r="F393" s="2" t="s">
        <v>32</v>
      </c>
      <c r="G393" s="2" t="s">
        <v>364</v>
      </c>
      <c r="H393" s="2" t="s">
        <v>807</v>
      </c>
      <c r="I393" s="2" t="s">
        <v>808</v>
      </c>
      <c r="J393" s="3">
        <v>6</v>
      </c>
      <c r="K393" s="2" t="s">
        <v>448</v>
      </c>
      <c r="L393" s="3">
        <v>6</v>
      </c>
      <c r="M393" s="11">
        <v>400000</v>
      </c>
      <c r="N393" s="3">
        <v>0</v>
      </c>
      <c r="O393" s="2" t="s">
        <v>21</v>
      </c>
      <c r="P393" s="2" t="s">
        <v>29</v>
      </c>
      <c r="Q393" s="2" t="s">
        <v>22</v>
      </c>
    </row>
    <row r="394" spans="1:17" x14ac:dyDescent="0.25">
      <c r="A394" s="1">
        <v>46176</v>
      </c>
      <c r="B394" s="1">
        <v>46175</v>
      </c>
      <c r="C394" s="2" t="s">
        <v>805</v>
      </c>
      <c r="D394" s="2" t="s">
        <v>746</v>
      </c>
      <c r="E394" s="2" t="s">
        <v>806</v>
      </c>
      <c r="F394" s="2" t="s">
        <v>32</v>
      </c>
      <c r="G394" s="2" t="s">
        <v>364</v>
      </c>
      <c r="H394" s="2" t="s">
        <v>809</v>
      </c>
      <c r="I394" s="2" t="s">
        <v>810</v>
      </c>
      <c r="J394" s="3">
        <v>6</v>
      </c>
      <c r="K394" s="2" t="s">
        <v>448</v>
      </c>
      <c r="L394" s="3">
        <v>6</v>
      </c>
      <c r="M394" s="11">
        <v>375000</v>
      </c>
      <c r="N394" s="3">
        <v>0</v>
      </c>
      <c r="O394" s="2" t="s">
        <v>21</v>
      </c>
      <c r="P394" s="2" t="s">
        <v>29</v>
      </c>
      <c r="Q394" s="2" t="s">
        <v>22</v>
      </c>
    </row>
    <row r="395" spans="1:17" x14ac:dyDescent="0.25">
      <c r="A395" s="1">
        <v>46176</v>
      </c>
      <c r="B395" s="1">
        <v>46175</v>
      </c>
      <c r="C395" s="2" t="s">
        <v>811</v>
      </c>
      <c r="D395" s="2" t="s">
        <v>746</v>
      </c>
      <c r="E395" s="2" t="s">
        <v>812</v>
      </c>
      <c r="F395" s="2" t="s">
        <v>18</v>
      </c>
      <c r="G395" s="2" t="s">
        <v>156</v>
      </c>
      <c r="H395" s="2" t="s">
        <v>813</v>
      </c>
      <c r="I395" s="2" t="s">
        <v>814</v>
      </c>
      <c r="J395" s="3">
        <v>3</v>
      </c>
      <c r="K395" s="2" t="s">
        <v>448</v>
      </c>
      <c r="L395" s="3">
        <v>3</v>
      </c>
      <c r="M395" s="11">
        <v>330000</v>
      </c>
      <c r="N395" s="3">
        <v>0</v>
      </c>
      <c r="O395" s="2" t="s">
        <v>21</v>
      </c>
      <c r="P395" s="2" t="s">
        <v>29</v>
      </c>
      <c r="Q395" s="2" t="s">
        <v>22</v>
      </c>
    </row>
    <row r="396" spans="1:17" x14ac:dyDescent="0.25">
      <c r="A396" s="1">
        <v>46176</v>
      </c>
      <c r="B396" s="1">
        <v>46175</v>
      </c>
      <c r="C396" s="2" t="s">
        <v>811</v>
      </c>
      <c r="D396" s="2" t="s">
        <v>746</v>
      </c>
      <c r="E396" s="2" t="s">
        <v>812</v>
      </c>
      <c r="F396" s="2" t="s">
        <v>18</v>
      </c>
      <c r="G396" s="2" t="s">
        <v>156</v>
      </c>
      <c r="H396" s="2" t="s">
        <v>815</v>
      </c>
      <c r="I396" s="2" t="s">
        <v>816</v>
      </c>
      <c r="J396" s="3">
        <v>1</v>
      </c>
      <c r="K396" s="2" t="s">
        <v>448</v>
      </c>
      <c r="L396" s="3">
        <v>1</v>
      </c>
      <c r="M396" s="11">
        <v>110000</v>
      </c>
      <c r="N396" s="3">
        <v>0</v>
      </c>
      <c r="O396" s="2" t="s">
        <v>21</v>
      </c>
      <c r="P396" s="2" t="s">
        <v>29</v>
      </c>
      <c r="Q396" s="2" t="s">
        <v>22</v>
      </c>
    </row>
    <row r="397" spans="1:17" x14ac:dyDescent="0.25">
      <c r="A397" s="1">
        <v>46176</v>
      </c>
      <c r="B397" s="1">
        <v>46175</v>
      </c>
      <c r="C397" s="2" t="s">
        <v>817</v>
      </c>
      <c r="D397" s="2" t="s">
        <v>746</v>
      </c>
      <c r="E397" s="2" t="s">
        <v>818</v>
      </c>
      <c r="F397" s="2" t="s">
        <v>18</v>
      </c>
      <c r="G397" s="2" t="s">
        <v>49</v>
      </c>
      <c r="H397" s="2" t="s">
        <v>819</v>
      </c>
      <c r="I397" s="2" t="s">
        <v>820</v>
      </c>
      <c r="J397" s="3">
        <v>5</v>
      </c>
      <c r="K397" s="2" t="s">
        <v>20</v>
      </c>
      <c r="L397" s="3">
        <v>5</v>
      </c>
      <c r="M397" s="11">
        <v>630000</v>
      </c>
      <c r="N397" s="3">
        <v>0</v>
      </c>
      <c r="O397" s="2" t="s">
        <v>21</v>
      </c>
      <c r="P397" s="2" t="s">
        <v>29</v>
      </c>
      <c r="Q397" s="2" t="s">
        <v>22</v>
      </c>
    </row>
    <row r="398" spans="1:17" x14ac:dyDescent="0.25">
      <c r="A398" s="1">
        <v>46176</v>
      </c>
      <c r="B398" s="1">
        <v>46175</v>
      </c>
      <c r="C398" s="2" t="s">
        <v>821</v>
      </c>
      <c r="D398" s="2" t="s">
        <v>746</v>
      </c>
      <c r="E398" s="2" t="s">
        <v>822</v>
      </c>
      <c r="F398" s="2" t="s">
        <v>18</v>
      </c>
      <c r="G398" s="2" t="s">
        <v>49</v>
      </c>
      <c r="H398" s="2" t="s">
        <v>776</v>
      </c>
      <c r="I398" s="2" t="s">
        <v>777</v>
      </c>
      <c r="J398" s="3">
        <v>2</v>
      </c>
      <c r="K398" s="2" t="s">
        <v>106</v>
      </c>
      <c r="L398" s="3">
        <v>2</v>
      </c>
      <c r="M398" s="11">
        <v>337020</v>
      </c>
      <c r="N398" s="3">
        <v>0</v>
      </c>
      <c r="O398" s="2" t="s">
        <v>21</v>
      </c>
      <c r="P398" s="2" t="s">
        <v>29</v>
      </c>
      <c r="Q398" s="2" t="s">
        <v>22</v>
      </c>
    </row>
    <row r="399" spans="1:17" x14ac:dyDescent="0.25">
      <c r="A399" s="1">
        <v>46176</v>
      </c>
      <c r="B399" s="1">
        <v>46175</v>
      </c>
      <c r="C399" s="2" t="s">
        <v>821</v>
      </c>
      <c r="D399" s="2" t="s">
        <v>746</v>
      </c>
      <c r="E399" s="2" t="s">
        <v>822</v>
      </c>
      <c r="F399" s="2" t="s">
        <v>18</v>
      </c>
      <c r="G399" s="2" t="s">
        <v>49</v>
      </c>
      <c r="H399" s="2" t="s">
        <v>823</v>
      </c>
      <c r="I399" s="2" t="s">
        <v>824</v>
      </c>
      <c r="J399" s="3">
        <v>1</v>
      </c>
      <c r="K399" s="2" t="s">
        <v>106</v>
      </c>
      <c r="L399" s="3">
        <v>1</v>
      </c>
      <c r="M399" s="11">
        <v>164835</v>
      </c>
      <c r="N399" s="3">
        <v>0</v>
      </c>
      <c r="O399" s="2" t="s">
        <v>21</v>
      </c>
      <c r="P399" s="2" t="s">
        <v>29</v>
      </c>
      <c r="Q399" s="2" t="s">
        <v>22</v>
      </c>
    </row>
    <row r="400" spans="1:17" x14ac:dyDescent="0.25">
      <c r="A400" s="1">
        <v>46176</v>
      </c>
      <c r="B400" s="1">
        <v>46175</v>
      </c>
      <c r="C400" s="2" t="s">
        <v>825</v>
      </c>
      <c r="D400" s="2" t="s">
        <v>746</v>
      </c>
      <c r="E400" s="2" t="s">
        <v>826</v>
      </c>
      <c r="F400" s="2" t="s">
        <v>18</v>
      </c>
      <c r="G400" s="2" t="s">
        <v>89</v>
      </c>
      <c r="H400" s="2" t="s">
        <v>827</v>
      </c>
      <c r="I400" s="2" t="s">
        <v>828</v>
      </c>
      <c r="J400" s="3">
        <v>2</v>
      </c>
      <c r="K400" s="2" t="s">
        <v>829</v>
      </c>
      <c r="L400" s="3">
        <v>2</v>
      </c>
      <c r="M400" s="11">
        <v>213180.01</v>
      </c>
      <c r="N400" s="3">
        <v>0</v>
      </c>
      <c r="O400" s="2" t="s">
        <v>21</v>
      </c>
      <c r="P400" s="2" t="s">
        <v>29</v>
      </c>
      <c r="Q400" s="2" t="s">
        <v>22</v>
      </c>
    </row>
    <row r="401" spans="1:17" x14ac:dyDescent="0.25">
      <c r="A401" s="1">
        <v>46176</v>
      </c>
      <c r="B401" s="1">
        <v>46175</v>
      </c>
      <c r="C401" s="2" t="s">
        <v>825</v>
      </c>
      <c r="D401" s="2" t="s">
        <v>746</v>
      </c>
      <c r="E401" s="2" t="s">
        <v>826</v>
      </c>
      <c r="F401" s="2" t="s">
        <v>18</v>
      </c>
      <c r="G401" s="2" t="s">
        <v>89</v>
      </c>
      <c r="H401" s="2" t="s">
        <v>830</v>
      </c>
      <c r="I401" s="2" t="s">
        <v>831</v>
      </c>
      <c r="J401" s="3">
        <v>1</v>
      </c>
      <c r="K401" s="2" t="s">
        <v>829</v>
      </c>
      <c r="L401" s="3">
        <v>1</v>
      </c>
      <c r="M401" s="11">
        <v>121000</v>
      </c>
      <c r="N401" s="3">
        <v>0</v>
      </c>
      <c r="O401" s="2" t="s">
        <v>21</v>
      </c>
      <c r="P401" s="2" t="s">
        <v>29</v>
      </c>
      <c r="Q401" s="2" t="s">
        <v>22</v>
      </c>
    </row>
    <row r="402" spans="1:17" x14ac:dyDescent="0.25">
      <c r="A402" s="1">
        <v>46176</v>
      </c>
      <c r="B402" s="1">
        <v>46175</v>
      </c>
      <c r="C402" s="2" t="s">
        <v>832</v>
      </c>
      <c r="D402" s="2" t="s">
        <v>746</v>
      </c>
      <c r="E402" s="2" t="s">
        <v>833</v>
      </c>
      <c r="F402" s="2" t="s">
        <v>32</v>
      </c>
      <c r="G402" s="2" t="s">
        <v>25</v>
      </c>
      <c r="H402" s="2" t="s">
        <v>776</v>
      </c>
      <c r="I402" s="2" t="s">
        <v>777</v>
      </c>
      <c r="J402" s="3">
        <v>12</v>
      </c>
      <c r="K402" s="2" t="s">
        <v>106</v>
      </c>
      <c r="L402" s="3">
        <v>12</v>
      </c>
      <c r="M402" s="11">
        <v>2022119.99</v>
      </c>
      <c r="N402" s="3">
        <v>0</v>
      </c>
      <c r="O402" s="2" t="s">
        <v>21</v>
      </c>
      <c r="P402" s="2" t="s">
        <v>29</v>
      </c>
      <c r="Q402" s="2" t="s">
        <v>22</v>
      </c>
    </row>
    <row r="403" spans="1:17" x14ac:dyDescent="0.25">
      <c r="A403" s="1">
        <v>46176</v>
      </c>
      <c r="B403" s="1">
        <v>46175</v>
      </c>
      <c r="C403" s="2" t="s">
        <v>834</v>
      </c>
      <c r="D403" s="2" t="s">
        <v>746</v>
      </c>
      <c r="E403" s="2" t="s">
        <v>835</v>
      </c>
      <c r="F403" s="2" t="s">
        <v>18</v>
      </c>
      <c r="G403" s="2" t="s">
        <v>43</v>
      </c>
      <c r="H403" s="2" t="s">
        <v>836</v>
      </c>
      <c r="I403" s="2" t="s">
        <v>837</v>
      </c>
      <c r="J403" s="3">
        <v>1</v>
      </c>
      <c r="K403" s="2" t="s">
        <v>408</v>
      </c>
      <c r="L403" s="3">
        <v>1</v>
      </c>
      <c r="M403" s="11">
        <v>410000</v>
      </c>
      <c r="N403" s="3">
        <v>0</v>
      </c>
      <c r="O403" s="2" t="s">
        <v>21</v>
      </c>
      <c r="P403" s="2" t="s">
        <v>29</v>
      </c>
      <c r="Q403" s="2" t="s">
        <v>22</v>
      </c>
    </row>
    <row r="404" spans="1:17" x14ac:dyDescent="0.25">
      <c r="A404" s="1">
        <v>46176</v>
      </c>
      <c r="B404" s="1">
        <v>46175</v>
      </c>
      <c r="C404" s="2" t="s">
        <v>834</v>
      </c>
      <c r="D404" s="2" t="s">
        <v>746</v>
      </c>
      <c r="E404" s="2" t="s">
        <v>835</v>
      </c>
      <c r="F404" s="2" t="s">
        <v>18</v>
      </c>
      <c r="G404" s="2" t="s">
        <v>43</v>
      </c>
      <c r="H404" s="2" t="s">
        <v>838</v>
      </c>
      <c r="I404" s="2" t="s">
        <v>839</v>
      </c>
      <c r="J404" s="3">
        <v>2</v>
      </c>
      <c r="K404" s="2" t="s">
        <v>20</v>
      </c>
      <c r="L404" s="3">
        <v>2</v>
      </c>
      <c r="M404" s="11">
        <v>265000</v>
      </c>
      <c r="N404" s="3">
        <v>0</v>
      </c>
      <c r="O404" s="2" t="s">
        <v>21</v>
      </c>
      <c r="P404" s="2" t="s">
        <v>29</v>
      </c>
      <c r="Q404" s="2" t="s">
        <v>22</v>
      </c>
    </row>
    <row r="405" spans="1:17" x14ac:dyDescent="0.25">
      <c r="A405" s="1">
        <v>46176</v>
      </c>
      <c r="B405" s="1">
        <v>46175</v>
      </c>
      <c r="C405" s="2" t="s">
        <v>840</v>
      </c>
      <c r="D405" s="2" t="s">
        <v>746</v>
      </c>
      <c r="E405" s="2" t="s">
        <v>841</v>
      </c>
      <c r="F405" s="2" t="s">
        <v>32</v>
      </c>
      <c r="G405" s="2" t="s">
        <v>156</v>
      </c>
      <c r="H405" s="2" t="s">
        <v>776</v>
      </c>
      <c r="I405" s="2" t="s">
        <v>777</v>
      </c>
      <c r="J405" s="3">
        <v>3</v>
      </c>
      <c r="K405" s="2" t="s">
        <v>106</v>
      </c>
      <c r="L405" s="3">
        <v>3</v>
      </c>
      <c r="M405" s="11">
        <v>505530</v>
      </c>
      <c r="N405" s="3">
        <v>0</v>
      </c>
      <c r="O405" s="2" t="s">
        <v>21</v>
      </c>
      <c r="P405" s="2" t="s">
        <v>29</v>
      </c>
      <c r="Q405" s="2" t="s">
        <v>22</v>
      </c>
    </row>
    <row r="406" spans="1:17" x14ac:dyDescent="0.25">
      <c r="A406" s="1">
        <v>46176</v>
      </c>
      <c r="B406" s="1">
        <v>46175</v>
      </c>
      <c r="C406" s="2" t="s">
        <v>840</v>
      </c>
      <c r="D406" s="2" t="s">
        <v>746</v>
      </c>
      <c r="E406" s="2" t="s">
        <v>841</v>
      </c>
      <c r="F406" s="2" t="s">
        <v>32</v>
      </c>
      <c r="G406" s="2" t="s">
        <v>156</v>
      </c>
      <c r="H406" s="2" t="s">
        <v>768</v>
      </c>
      <c r="I406" s="2" t="s">
        <v>769</v>
      </c>
      <c r="J406" s="3">
        <v>4</v>
      </c>
      <c r="K406" s="2" t="s">
        <v>106</v>
      </c>
      <c r="L406" s="3">
        <v>4</v>
      </c>
      <c r="M406" s="11">
        <v>249760</v>
      </c>
      <c r="N406" s="3">
        <v>0</v>
      </c>
      <c r="O406" s="2" t="s">
        <v>21</v>
      </c>
      <c r="P406" s="2" t="s">
        <v>29</v>
      </c>
      <c r="Q406" s="2" t="s">
        <v>22</v>
      </c>
    </row>
    <row r="407" spans="1:17" x14ac:dyDescent="0.25">
      <c r="A407" s="1">
        <v>46176</v>
      </c>
      <c r="B407" s="1">
        <v>46175</v>
      </c>
      <c r="C407" s="2" t="s">
        <v>842</v>
      </c>
      <c r="D407" s="2" t="s">
        <v>746</v>
      </c>
      <c r="E407" s="2" t="s">
        <v>843</v>
      </c>
      <c r="F407" s="2" t="s">
        <v>18</v>
      </c>
      <c r="G407" s="2" t="s">
        <v>33</v>
      </c>
      <c r="H407" s="2" t="s">
        <v>844</v>
      </c>
      <c r="I407" s="2" t="s">
        <v>845</v>
      </c>
      <c r="J407" s="3">
        <v>1</v>
      </c>
      <c r="K407" s="2" t="s">
        <v>20</v>
      </c>
      <c r="L407" s="3">
        <v>1</v>
      </c>
      <c r="M407" s="11">
        <v>1148850</v>
      </c>
      <c r="N407" s="3">
        <v>0</v>
      </c>
      <c r="O407" s="2" t="s">
        <v>21</v>
      </c>
      <c r="P407" s="2" t="s">
        <v>29</v>
      </c>
      <c r="Q407" s="2" t="s">
        <v>846</v>
      </c>
    </row>
    <row r="408" spans="1:17" x14ac:dyDescent="0.25">
      <c r="A408" s="1">
        <v>46176</v>
      </c>
      <c r="B408" s="1">
        <v>46175</v>
      </c>
      <c r="C408" s="2" t="s">
        <v>847</v>
      </c>
      <c r="D408" s="2" t="s">
        <v>746</v>
      </c>
      <c r="E408" s="2" t="s">
        <v>848</v>
      </c>
      <c r="F408" s="2" t="s">
        <v>18</v>
      </c>
      <c r="G408" s="2" t="s">
        <v>49</v>
      </c>
      <c r="H408" s="2" t="s">
        <v>849</v>
      </c>
      <c r="I408" s="2" t="s">
        <v>850</v>
      </c>
      <c r="J408" s="3">
        <v>4</v>
      </c>
      <c r="K408" s="2" t="s">
        <v>448</v>
      </c>
      <c r="L408" s="3">
        <v>4</v>
      </c>
      <c r="M408" s="11">
        <v>232000</v>
      </c>
      <c r="N408" s="3">
        <v>0</v>
      </c>
      <c r="O408" s="2" t="s">
        <v>21</v>
      </c>
      <c r="P408" s="2" t="s">
        <v>29</v>
      </c>
      <c r="Q408" s="2" t="s">
        <v>851</v>
      </c>
    </row>
    <row r="409" spans="1:17" x14ac:dyDescent="0.25">
      <c r="A409" s="1">
        <v>46176</v>
      </c>
      <c r="B409" s="1">
        <v>46175</v>
      </c>
      <c r="C409" s="2" t="s">
        <v>852</v>
      </c>
      <c r="D409" s="2" t="s">
        <v>746</v>
      </c>
      <c r="E409" s="2" t="s">
        <v>853</v>
      </c>
      <c r="F409" s="2" t="s">
        <v>18</v>
      </c>
      <c r="G409" s="2" t="s">
        <v>49</v>
      </c>
      <c r="H409" s="2" t="s">
        <v>776</v>
      </c>
      <c r="I409" s="2" t="s">
        <v>777</v>
      </c>
      <c r="J409" s="3">
        <v>2</v>
      </c>
      <c r="K409" s="2" t="s">
        <v>106</v>
      </c>
      <c r="L409" s="3">
        <v>2</v>
      </c>
      <c r="M409" s="11">
        <v>337020</v>
      </c>
      <c r="N409" s="3">
        <v>0</v>
      </c>
      <c r="O409" s="2" t="s">
        <v>21</v>
      </c>
      <c r="P409" s="2" t="s">
        <v>29</v>
      </c>
      <c r="Q409" s="2" t="s">
        <v>22</v>
      </c>
    </row>
    <row r="410" spans="1:17" x14ac:dyDescent="0.25">
      <c r="A410" s="1">
        <v>46176</v>
      </c>
      <c r="B410" s="1">
        <v>46175</v>
      </c>
      <c r="C410" s="2" t="s">
        <v>852</v>
      </c>
      <c r="D410" s="2" t="s">
        <v>746</v>
      </c>
      <c r="E410" s="2" t="s">
        <v>853</v>
      </c>
      <c r="F410" s="2" t="s">
        <v>18</v>
      </c>
      <c r="G410" s="2" t="s">
        <v>49</v>
      </c>
      <c r="H410" s="2" t="s">
        <v>823</v>
      </c>
      <c r="I410" s="2" t="s">
        <v>824</v>
      </c>
      <c r="J410" s="3">
        <v>3</v>
      </c>
      <c r="K410" s="2" t="s">
        <v>106</v>
      </c>
      <c r="L410" s="3">
        <v>3</v>
      </c>
      <c r="M410" s="11">
        <v>494505</v>
      </c>
      <c r="N410" s="3">
        <v>0</v>
      </c>
      <c r="O410" s="2" t="s">
        <v>21</v>
      </c>
      <c r="P410" s="2" t="s">
        <v>29</v>
      </c>
      <c r="Q410" s="2" t="s">
        <v>22</v>
      </c>
    </row>
    <row r="411" spans="1:17" x14ac:dyDescent="0.25">
      <c r="A411" s="1">
        <v>46176</v>
      </c>
      <c r="B411" s="1">
        <v>46175</v>
      </c>
      <c r="C411" s="2" t="s">
        <v>852</v>
      </c>
      <c r="D411" s="2" t="s">
        <v>746</v>
      </c>
      <c r="E411" s="2" t="s">
        <v>853</v>
      </c>
      <c r="F411" s="2" t="s">
        <v>18</v>
      </c>
      <c r="G411" s="2" t="s">
        <v>49</v>
      </c>
      <c r="H411" s="2" t="s">
        <v>854</v>
      </c>
      <c r="I411" s="2" t="s">
        <v>855</v>
      </c>
      <c r="J411" s="3">
        <v>3</v>
      </c>
      <c r="K411" s="2" t="s">
        <v>448</v>
      </c>
      <c r="L411" s="3">
        <v>3</v>
      </c>
      <c r="M411" s="11">
        <v>330000</v>
      </c>
      <c r="N411" s="3">
        <v>0</v>
      </c>
      <c r="O411" s="2" t="s">
        <v>21</v>
      </c>
      <c r="P411" s="2" t="s">
        <v>29</v>
      </c>
      <c r="Q411" s="2" t="s">
        <v>22</v>
      </c>
    </row>
    <row r="412" spans="1:17" x14ac:dyDescent="0.25">
      <c r="A412" s="1">
        <v>46176</v>
      </c>
      <c r="B412" s="1">
        <v>46175</v>
      </c>
      <c r="C412" s="2" t="s">
        <v>852</v>
      </c>
      <c r="D412" s="2" t="s">
        <v>746</v>
      </c>
      <c r="E412" s="2" t="s">
        <v>853</v>
      </c>
      <c r="F412" s="2" t="s">
        <v>18</v>
      </c>
      <c r="G412" s="2" t="s">
        <v>49</v>
      </c>
      <c r="H412" s="2" t="s">
        <v>770</v>
      </c>
      <c r="I412" s="2" t="s">
        <v>771</v>
      </c>
      <c r="J412" s="3">
        <v>2</v>
      </c>
      <c r="K412" s="2" t="s">
        <v>20</v>
      </c>
      <c r="L412" s="3">
        <v>2</v>
      </c>
      <c r="M412" s="11">
        <v>110000</v>
      </c>
      <c r="N412" s="3">
        <v>0</v>
      </c>
      <c r="O412" s="2" t="s">
        <v>21</v>
      </c>
      <c r="P412" s="2" t="s">
        <v>29</v>
      </c>
      <c r="Q412" s="2" t="s">
        <v>22</v>
      </c>
    </row>
    <row r="413" spans="1:17" x14ac:dyDescent="0.25">
      <c r="A413" s="1">
        <v>46176</v>
      </c>
      <c r="B413" s="1">
        <v>46175</v>
      </c>
      <c r="C413" s="2" t="s">
        <v>852</v>
      </c>
      <c r="D413" s="2" t="s">
        <v>746</v>
      </c>
      <c r="E413" s="2" t="s">
        <v>853</v>
      </c>
      <c r="F413" s="2" t="s">
        <v>18</v>
      </c>
      <c r="G413" s="2" t="s">
        <v>49</v>
      </c>
      <c r="H413" s="2" t="s">
        <v>780</v>
      </c>
      <c r="I413" s="2" t="s">
        <v>781</v>
      </c>
      <c r="J413" s="3">
        <v>3</v>
      </c>
      <c r="K413" s="2" t="s">
        <v>448</v>
      </c>
      <c r="L413" s="3">
        <v>3</v>
      </c>
      <c r="M413" s="11">
        <v>330000.01</v>
      </c>
      <c r="N413" s="3">
        <v>0</v>
      </c>
      <c r="O413" s="2" t="s">
        <v>21</v>
      </c>
      <c r="P413" s="2" t="s">
        <v>29</v>
      </c>
      <c r="Q413" s="2" t="s">
        <v>22</v>
      </c>
    </row>
    <row r="414" spans="1:17" x14ac:dyDescent="0.25">
      <c r="A414" s="1">
        <v>46176</v>
      </c>
      <c r="B414" s="1">
        <v>46175</v>
      </c>
      <c r="C414" s="2" t="s">
        <v>856</v>
      </c>
      <c r="D414" s="2" t="s">
        <v>746</v>
      </c>
      <c r="E414" s="2" t="s">
        <v>857</v>
      </c>
      <c r="F414" s="2" t="s">
        <v>18</v>
      </c>
      <c r="G414" s="2" t="s">
        <v>49</v>
      </c>
      <c r="H414" s="2" t="s">
        <v>858</v>
      </c>
      <c r="I414" s="2" t="s">
        <v>859</v>
      </c>
      <c r="J414" s="3">
        <v>1</v>
      </c>
      <c r="K414" s="2" t="s">
        <v>20</v>
      </c>
      <c r="L414" s="3">
        <v>1</v>
      </c>
      <c r="M414" s="11">
        <v>66600</v>
      </c>
      <c r="N414" s="3">
        <v>0</v>
      </c>
      <c r="O414" s="2" t="s">
        <v>21</v>
      </c>
      <c r="P414" s="2" t="s">
        <v>29</v>
      </c>
      <c r="Q414" s="2" t="s">
        <v>22</v>
      </c>
    </row>
    <row r="415" spans="1:17" x14ac:dyDescent="0.25">
      <c r="A415" s="1">
        <v>46176</v>
      </c>
      <c r="B415" s="1">
        <v>46175</v>
      </c>
      <c r="C415" s="2" t="s">
        <v>856</v>
      </c>
      <c r="D415" s="2" t="s">
        <v>746</v>
      </c>
      <c r="E415" s="2" t="s">
        <v>857</v>
      </c>
      <c r="F415" s="2" t="s">
        <v>18</v>
      </c>
      <c r="G415" s="2" t="s">
        <v>49</v>
      </c>
      <c r="H415" s="2" t="s">
        <v>860</v>
      </c>
      <c r="I415" s="2" t="s">
        <v>861</v>
      </c>
      <c r="J415" s="3">
        <v>2</v>
      </c>
      <c r="K415" s="2" t="s">
        <v>20</v>
      </c>
      <c r="L415" s="3">
        <v>2</v>
      </c>
      <c r="M415" s="11">
        <v>147630</v>
      </c>
      <c r="N415" s="3">
        <v>0</v>
      </c>
      <c r="O415" s="2" t="s">
        <v>21</v>
      </c>
      <c r="P415" s="2" t="s">
        <v>29</v>
      </c>
      <c r="Q415" s="2" t="s">
        <v>22</v>
      </c>
    </row>
    <row r="416" spans="1:17" x14ac:dyDescent="0.25">
      <c r="A416" s="1">
        <v>46176</v>
      </c>
      <c r="B416" s="1">
        <v>46175</v>
      </c>
      <c r="C416" s="2" t="s">
        <v>856</v>
      </c>
      <c r="D416" s="2" t="s">
        <v>746</v>
      </c>
      <c r="E416" s="2" t="s">
        <v>857</v>
      </c>
      <c r="F416" s="2" t="s">
        <v>18</v>
      </c>
      <c r="G416" s="2" t="s">
        <v>49</v>
      </c>
      <c r="H416" s="2" t="s">
        <v>792</v>
      </c>
      <c r="I416" s="2" t="s">
        <v>793</v>
      </c>
      <c r="J416" s="3">
        <v>1</v>
      </c>
      <c r="K416" s="2" t="s">
        <v>20</v>
      </c>
      <c r="L416" s="3">
        <v>1</v>
      </c>
      <c r="M416" s="11">
        <v>206000</v>
      </c>
      <c r="N416" s="3">
        <v>0</v>
      </c>
      <c r="O416" s="2" t="s">
        <v>21</v>
      </c>
      <c r="P416" s="2" t="s">
        <v>29</v>
      </c>
      <c r="Q416" s="2" t="s">
        <v>22</v>
      </c>
    </row>
    <row r="417" spans="1:17" x14ac:dyDescent="0.25">
      <c r="A417" s="1">
        <v>46176</v>
      </c>
      <c r="B417" s="1">
        <v>46175</v>
      </c>
      <c r="C417" s="2" t="s">
        <v>856</v>
      </c>
      <c r="D417" s="2" t="s">
        <v>746</v>
      </c>
      <c r="E417" s="2" t="s">
        <v>857</v>
      </c>
      <c r="F417" s="2" t="s">
        <v>18</v>
      </c>
      <c r="G417" s="2" t="s">
        <v>49</v>
      </c>
      <c r="H417" s="2" t="s">
        <v>862</v>
      </c>
      <c r="I417" s="2" t="s">
        <v>863</v>
      </c>
      <c r="J417" s="3">
        <v>1</v>
      </c>
      <c r="K417" s="2" t="s">
        <v>20</v>
      </c>
      <c r="L417" s="3">
        <v>1</v>
      </c>
      <c r="M417" s="11">
        <v>69665</v>
      </c>
      <c r="N417" s="3">
        <v>0</v>
      </c>
      <c r="O417" s="2" t="s">
        <v>21</v>
      </c>
      <c r="P417" s="2" t="s">
        <v>29</v>
      </c>
      <c r="Q417" s="2" t="s">
        <v>22</v>
      </c>
    </row>
    <row r="418" spans="1:17" x14ac:dyDescent="0.25">
      <c r="A418" s="1">
        <v>46176</v>
      </c>
      <c r="B418" s="1">
        <v>46175</v>
      </c>
      <c r="C418" s="2" t="s">
        <v>864</v>
      </c>
      <c r="D418" s="2" t="s">
        <v>746</v>
      </c>
      <c r="E418" s="2" t="s">
        <v>865</v>
      </c>
      <c r="F418" s="2" t="s">
        <v>32</v>
      </c>
      <c r="G418" s="2" t="s">
        <v>49</v>
      </c>
      <c r="H418" s="2" t="s">
        <v>776</v>
      </c>
      <c r="I418" s="2" t="s">
        <v>777</v>
      </c>
      <c r="J418" s="3">
        <v>36</v>
      </c>
      <c r="K418" s="2" t="s">
        <v>106</v>
      </c>
      <c r="L418" s="3">
        <v>36</v>
      </c>
      <c r="M418" s="11">
        <v>5459723.9699999997</v>
      </c>
      <c r="N418" s="3">
        <v>0</v>
      </c>
      <c r="O418" s="2" t="s">
        <v>21</v>
      </c>
      <c r="P418" s="2" t="s">
        <v>29</v>
      </c>
      <c r="Q418" s="2" t="s">
        <v>22</v>
      </c>
    </row>
    <row r="419" spans="1:17" x14ac:dyDescent="0.25">
      <c r="A419" s="1">
        <v>46176</v>
      </c>
      <c r="B419" s="1">
        <v>46175</v>
      </c>
      <c r="C419" s="2" t="s">
        <v>866</v>
      </c>
      <c r="D419" s="2" t="s">
        <v>746</v>
      </c>
      <c r="E419" s="2" t="s">
        <v>116</v>
      </c>
      <c r="F419" s="2" t="s">
        <v>18</v>
      </c>
      <c r="G419" s="2" t="s">
        <v>49</v>
      </c>
      <c r="H419" s="2" t="s">
        <v>823</v>
      </c>
      <c r="I419" s="2" t="s">
        <v>824</v>
      </c>
      <c r="J419" s="3">
        <v>2</v>
      </c>
      <c r="K419" s="2" t="s">
        <v>106</v>
      </c>
      <c r="L419" s="3">
        <v>2</v>
      </c>
      <c r="M419" s="11">
        <v>329670</v>
      </c>
      <c r="N419" s="3">
        <v>0</v>
      </c>
      <c r="O419" s="2" t="s">
        <v>21</v>
      </c>
      <c r="P419" s="2" t="s">
        <v>29</v>
      </c>
      <c r="Q419" s="2" t="s">
        <v>22</v>
      </c>
    </row>
    <row r="420" spans="1:17" x14ac:dyDescent="0.25">
      <c r="A420" s="1">
        <v>46176</v>
      </c>
      <c r="B420" s="1">
        <v>46175</v>
      </c>
      <c r="C420" s="2" t="s">
        <v>866</v>
      </c>
      <c r="D420" s="2" t="s">
        <v>746</v>
      </c>
      <c r="E420" s="2" t="s">
        <v>116</v>
      </c>
      <c r="F420" s="2" t="s">
        <v>18</v>
      </c>
      <c r="G420" s="2" t="s">
        <v>49</v>
      </c>
      <c r="H420" s="2" t="s">
        <v>854</v>
      </c>
      <c r="I420" s="2" t="s">
        <v>855</v>
      </c>
      <c r="J420" s="3">
        <v>1</v>
      </c>
      <c r="K420" s="2" t="s">
        <v>448</v>
      </c>
      <c r="L420" s="3">
        <v>1</v>
      </c>
      <c r="M420" s="11">
        <v>110000</v>
      </c>
      <c r="N420" s="3">
        <v>0</v>
      </c>
      <c r="O420" s="2" t="s">
        <v>21</v>
      </c>
      <c r="P420" s="2" t="s">
        <v>29</v>
      </c>
      <c r="Q420" s="2" t="s">
        <v>22</v>
      </c>
    </row>
    <row r="421" spans="1:17" x14ac:dyDescent="0.25">
      <c r="A421" s="1">
        <v>46176</v>
      </c>
      <c r="B421" s="1">
        <v>46175</v>
      </c>
      <c r="C421" s="2" t="s">
        <v>866</v>
      </c>
      <c r="D421" s="2" t="s">
        <v>746</v>
      </c>
      <c r="E421" s="2" t="s">
        <v>116</v>
      </c>
      <c r="F421" s="2" t="s">
        <v>18</v>
      </c>
      <c r="G421" s="2" t="s">
        <v>49</v>
      </c>
      <c r="H421" s="2" t="s">
        <v>782</v>
      </c>
      <c r="I421" s="2" t="s">
        <v>783</v>
      </c>
      <c r="J421" s="3">
        <v>1</v>
      </c>
      <c r="K421" s="2" t="s">
        <v>448</v>
      </c>
      <c r="L421" s="3">
        <v>1</v>
      </c>
      <c r="M421" s="11">
        <v>110000</v>
      </c>
      <c r="N421" s="3">
        <v>0</v>
      </c>
      <c r="O421" s="2" t="s">
        <v>21</v>
      </c>
      <c r="P421" s="2" t="s">
        <v>29</v>
      </c>
      <c r="Q421" s="2" t="s">
        <v>22</v>
      </c>
    </row>
    <row r="422" spans="1:17" x14ac:dyDescent="0.25">
      <c r="A422" s="1">
        <v>46176</v>
      </c>
      <c r="B422" s="1">
        <v>46175</v>
      </c>
      <c r="C422" s="2" t="s">
        <v>867</v>
      </c>
      <c r="D422" s="2" t="s">
        <v>746</v>
      </c>
      <c r="E422" s="2" t="s">
        <v>868</v>
      </c>
      <c r="F422" s="2" t="s">
        <v>32</v>
      </c>
      <c r="G422" s="2" t="s">
        <v>61</v>
      </c>
      <c r="H422" s="2" t="s">
        <v>778</v>
      </c>
      <c r="I422" s="2" t="s">
        <v>779</v>
      </c>
      <c r="J422" s="3">
        <v>3</v>
      </c>
      <c r="K422" s="2" t="s">
        <v>448</v>
      </c>
      <c r="L422" s="3">
        <v>3</v>
      </c>
      <c r="M422" s="11">
        <v>330000</v>
      </c>
      <c r="N422" s="3">
        <v>0</v>
      </c>
      <c r="O422" s="2" t="s">
        <v>21</v>
      </c>
      <c r="P422" s="2" t="s">
        <v>29</v>
      </c>
      <c r="Q422" s="2" t="s">
        <v>22</v>
      </c>
    </row>
    <row r="423" spans="1:17" x14ac:dyDescent="0.25">
      <c r="A423" s="1">
        <v>46176</v>
      </c>
      <c r="B423" s="1">
        <v>46175</v>
      </c>
      <c r="C423" s="2" t="s">
        <v>867</v>
      </c>
      <c r="D423" s="2" t="s">
        <v>746</v>
      </c>
      <c r="E423" s="2" t="s">
        <v>868</v>
      </c>
      <c r="F423" s="2" t="s">
        <v>32</v>
      </c>
      <c r="G423" s="2" t="s">
        <v>61</v>
      </c>
      <c r="H423" s="2" t="s">
        <v>780</v>
      </c>
      <c r="I423" s="2" t="s">
        <v>781</v>
      </c>
      <c r="J423" s="3">
        <v>2</v>
      </c>
      <c r="K423" s="2" t="s">
        <v>448</v>
      </c>
      <c r="L423" s="3">
        <v>2</v>
      </c>
      <c r="M423" s="11">
        <v>220000</v>
      </c>
      <c r="N423" s="3">
        <v>0</v>
      </c>
      <c r="O423" s="2" t="s">
        <v>21</v>
      </c>
      <c r="P423" s="2" t="s">
        <v>29</v>
      </c>
      <c r="Q423" s="2" t="s">
        <v>22</v>
      </c>
    </row>
    <row r="424" spans="1:17" x14ac:dyDescent="0.25">
      <c r="A424" s="1">
        <v>46176</v>
      </c>
      <c r="B424" s="1">
        <v>46175</v>
      </c>
      <c r="C424" s="2" t="s">
        <v>867</v>
      </c>
      <c r="D424" s="2" t="s">
        <v>746</v>
      </c>
      <c r="E424" s="2" t="s">
        <v>868</v>
      </c>
      <c r="F424" s="2" t="s">
        <v>32</v>
      </c>
      <c r="G424" s="2" t="s">
        <v>61</v>
      </c>
      <c r="H424" s="2" t="s">
        <v>869</v>
      </c>
      <c r="I424" s="2" t="s">
        <v>870</v>
      </c>
      <c r="J424" s="3">
        <v>1</v>
      </c>
      <c r="K424" s="2" t="s">
        <v>448</v>
      </c>
      <c r="L424" s="3">
        <v>1</v>
      </c>
      <c r="M424" s="11">
        <v>110000</v>
      </c>
      <c r="N424" s="3">
        <v>0</v>
      </c>
      <c r="O424" s="2" t="s">
        <v>21</v>
      </c>
      <c r="P424" s="2" t="s">
        <v>29</v>
      </c>
      <c r="Q424" s="2" t="s">
        <v>22</v>
      </c>
    </row>
    <row r="425" spans="1:17" x14ac:dyDescent="0.25">
      <c r="A425" s="1">
        <v>46176</v>
      </c>
      <c r="B425" s="1">
        <v>46175</v>
      </c>
      <c r="C425" s="2" t="s">
        <v>867</v>
      </c>
      <c r="D425" s="2" t="s">
        <v>746</v>
      </c>
      <c r="E425" s="2" t="s">
        <v>868</v>
      </c>
      <c r="F425" s="2" t="s">
        <v>32</v>
      </c>
      <c r="G425" s="2" t="s">
        <v>61</v>
      </c>
      <c r="H425" s="2" t="s">
        <v>871</v>
      </c>
      <c r="I425" s="2" t="s">
        <v>872</v>
      </c>
      <c r="J425" s="3">
        <v>1</v>
      </c>
      <c r="K425" s="2" t="s">
        <v>448</v>
      </c>
      <c r="L425" s="3">
        <v>1</v>
      </c>
      <c r="M425" s="11">
        <v>110000.01</v>
      </c>
      <c r="N425" s="3">
        <v>0</v>
      </c>
      <c r="O425" s="2" t="s">
        <v>21</v>
      </c>
      <c r="P425" s="2" t="s">
        <v>29</v>
      </c>
      <c r="Q425" s="2" t="s">
        <v>22</v>
      </c>
    </row>
    <row r="426" spans="1:17" x14ac:dyDescent="0.25">
      <c r="A426" s="1">
        <v>46176</v>
      </c>
      <c r="B426" s="1">
        <v>46175</v>
      </c>
      <c r="C426" s="2" t="s">
        <v>873</v>
      </c>
      <c r="D426" s="2" t="s">
        <v>746</v>
      </c>
      <c r="E426" s="2" t="s">
        <v>874</v>
      </c>
      <c r="F426" s="2" t="s">
        <v>18</v>
      </c>
      <c r="G426" s="2" t="s">
        <v>89</v>
      </c>
      <c r="H426" s="2" t="s">
        <v>875</v>
      </c>
      <c r="I426" s="2" t="s">
        <v>876</v>
      </c>
      <c r="J426" s="3">
        <v>2</v>
      </c>
      <c r="K426" s="2" t="s">
        <v>36</v>
      </c>
      <c r="L426" s="3">
        <v>2</v>
      </c>
      <c r="M426" s="11">
        <v>220000</v>
      </c>
      <c r="N426" s="3">
        <v>0</v>
      </c>
      <c r="O426" s="2" t="s">
        <v>21</v>
      </c>
      <c r="P426" s="2" t="s">
        <v>29</v>
      </c>
      <c r="Q426" s="2" t="s">
        <v>22</v>
      </c>
    </row>
    <row r="427" spans="1:17" x14ac:dyDescent="0.25">
      <c r="A427" s="1">
        <v>46176</v>
      </c>
      <c r="B427" s="1">
        <v>46175</v>
      </c>
      <c r="C427" s="2" t="s">
        <v>877</v>
      </c>
      <c r="D427" s="2" t="s">
        <v>746</v>
      </c>
      <c r="E427" s="2" t="s">
        <v>878</v>
      </c>
      <c r="F427" s="2" t="s">
        <v>32</v>
      </c>
      <c r="G427" s="2" t="s">
        <v>61</v>
      </c>
      <c r="H427" s="2" t="s">
        <v>879</v>
      </c>
      <c r="I427" s="2" t="s">
        <v>880</v>
      </c>
      <c r="J427" s="3">
        <v>4</v>
      </c>
      <c r="K427" s="2" t="s">
        <v>448</v>
      </c>
      <c r="L427" s="3">
        <v>4</v>
      </c>
      <c r="M427" s="11">
        <v>359496</v>
      </c>
      <c r="N427" s="3">
        <v>0</v>
      </c>
      <c r="O427" s="2" t="s">
        <v>21</v>
      </c>
      <c r="P427" s="2" t="s">
        <v>29</v>
      </c>
      <c r="Q427" s="2" t="s">
        <v>22</v>
      </c>
    </row>
    <row r="428" spans="1:17" x14ac:dyDescent="0.25">
      <c r="A428" s="1">
        <v>46176</v>
      </c>
      <c r="B428" s="1">
        <v>46175</v>
      </c>
      <c r="C428" s="2" t="s">
        <v>877</v>
      </c>
      <c r="D428" s="2" t="s">
        <v>746</v>
      </c>
      <c r="E428" s="2" t="s">
        <v>878</v>
      </c>
      <c r="F428" s="2" t="s">
        <v>32</v>
      </c>
      <c r="G428" s="2" t="s">
        <v>61</v>
      </c>
      <c r="H428" s="2" t="s">
        <v>881</v>
      </c>
      <c r="I428" s="2" t="s">
        <v>882</v>
      </c>
      <c r="J428" s="3">
        <v>4</v>
      </c>
      <c r="K428" s="2" t="s">
        <v>448</v>
      </c>
      <c r="L428" s="3">
        <v>4</v>
      </c>
      <c r="M428" s="11">
        <v>359496</v>
      </c>
      <c r="N428" s="3">
        <v>0</v>
      </c>
      <c r="O428" s="2" t="s">
        <v>21</v>
      </c>
      <c r="P428" s="2" t="s">
        <v>29</v>
      </c>
      <c r="Q428" s="2" t="s">
        <v>22</v>
      </c>
    </row>
    <row r="429" spans="1:17" x14ac:dyDescent="0.25">
      <c r="A429" s="1">
        <v>46176</v>
      </c>
      <c r="B429" s="1">
        <v>46175</v>
      </c>
      <c r="C429" s="2" t="s">
        <v>883</v>
      </c>
      <c r="D429" s="2" t="s">
        <v>746</v>
      </c>
      <c r="E429" s="2" t="s">
        <v>290</v>
      </c>
      <c r="F429" s="2" t="s">
        <v>18</v>
      </c>
      <c r="G429" s="2" t="s">
        <v>56</v>
      </c>
      <c r="H429" s="2" t="s">
        <v>772</v>
      </c>
      <c r="I429" s="2" t="s">
        <v>773</v>
      </c>
      <c r="J429" s="3">
        <v>2</v>
      </c>
      <c r="K429" s="2" t="s">
        <v>448</v>
      </c>
      <c r="L429" s="3">
        <v>2</v>
      </c>
      <c r="M429" s="11">
        <v>179748</v>
      </c>
      <c r="N429" s="3">
        <v>0</v>
      </c>
      <c r="O429" s="2" t="s">
        <v>21</v>
      </c>
      <c r="P429" s="2" t="s">
        <v>29</v>
      </c>
      <c r="Q429" s="2" t="s">
        <v>22</v>
      </c>
    </row>
    <row r="430" spans="1:17" x14ac:dyDescent="0.25">
      <c r="A430" s="1">
        <v>46176</v>
      </c>
      <c r="B430" s="1">
        <v>46175</v>
      </c>
      <c r="C430" s="2" t="s">
        <v>883</v>
      </c>
      <c r="D430" s="2" t="s">
        <v>746</v>
      </c>
      <c r="E430" s="2" t="s">
        <v>290</v>
      </c>
      <c r="F430" s="2" t="s">
        <v>18</v>
      </c>
      <c r="G430" s="2" t="s">
        <v>56</v>
      </c>
      <c r="H430" s="2" t="s">
        <v>884</v>
      </c>
      <c r="I430" s="2" t="s">
        <v>885</v>
      </c>
      <c r="J430" s="3">
        <v>2</v>
      </c>
      <c r="K430" s="2" t="s">
        <v>448</v>
      </c>
      <c r="L430" s="3">
        <v>2</v>
      </c>
      <c r="M430" s="11">
        <v>174355.57</v>
      </c>
      <c r="N430" s="3">
        <v>0</v>
      </c>
      <c r="O430" s="2" t="s">
        <v>21</v>
      </c>
      <c r="P430" s="2" t="s">
        <v>29</v>
      </c>
      <c r="Q430" s="2" t="s">
        <v>22</v>
      </c>
    </row>
    <row r="431" spans="1:17" x14ac:dyDescent="0.25">
      <c r="A431" s="1">
        <v>46176</v>
      </c>
      <c r="B431" s="1">
        <v>46175</v>
      </c>
      <c r="C431" s="2" t="s">
        <v>883</v>
      </c>
      <c r="D431" s="2" t="s">
        <v>746</v>
      </c>
      <c r="E431" s="2" t="s">
        <v>290</v>
      </c>
      <c r="F431" s="2" t="s">
        <v>18</v>
      </c>
      <c r="G431" s="2" t="s">
        <v>56</v>
      </c>
      <c r="H431" s="2" t="s">
        <v>886</v>
      </c>
      <c r="I431" s="2" t="s">
        <v>887</v>
      </c>
      <c r="J431" s="3">
        <v>1</v>
      </c>
      <c r="K431" s="2" t="s">
        <v>448</v>
      </c>
      <c r="L431" s="3">
        <v>1</v>
      </c>
      <c r="M431" s="11">
        <v>89874</v>
      </c>
      <c r="N431" s="3">
        <v>0</v>
      </c>
      <c r="O431" s="2" t="s">
        <v>21</v>
      </c>
      <c r="P431" s="2" t="s">
        <v>29</v>
      </c>
      <c r="Q431" s="2" t="s">
        <v>22</v>
      </c>
    </row>
    <row r="432" spans="1:17" x14ac:dyDescent="0.25">
      <c r="A432" s="1">
        <v>46176</v>
      </c>
      <c r="B432" s="1">
        <v>46175</v>
      </c>
      <c r="C432" s="2" t="s">
        <v>888</v>
      </c>
      <c r="D432" s="2" t="s">
        <v>746</v>
      </c>
      <c r="E432" s="2" t="s">
        <v>889</v>
      </c>
      <c r="F432" s="2" t="s">
        <v>18</v>
      </c>
      <c r="G432" s="2" t="s">
        <v>61</v>
      </c>
      <c r="H432" s="2" t="s">
        <v>890</v>
      </c>
      <c r="I432" s="2" t="s">
        <v>891</v>
      </c>
      <c r="J432" s="3">
        <v>1</v>
      </c>
      <c r="K432" s="2" t="s">
        <v>106</v>
      </c>
      <c r="L432" s="3">
        <v>1</v>
      </c>
      <c r="M432" s="11">
        <v>156510</v>
      </c>
      <c r="N432" s="3">
        <v>0</v>
      </c>
      <c r="O432" s="2" t="s">
        <v>21</v>
      </c>
      <c r="P432" s="2" t="s">
        <v>29</v>
      </c>
      <c r="Q432" s="2" t="s">
        <v>22</v>
      </c>
    </row>
    <row r="433" spans="1:17" x14ac:dyDescent="0.25">
      <c r="A433" s="1">
        <v>46176</v>
      </c>
      <c r="B433" s="1">
        <v>46175</v>
      </c>
      <c r="C433" s="2" t="s">
        <v>888</v>
      </c>
      <c r="D433" s="2" t="s">
        <v>746</v>
      </c>
      <c r="E433" s="2" t="s">
        <v>889</v>
      </c>
      <c r="F433" s="2" t="s">
        <v>18</v>
      </c>
      <c r="G433" s="2" t="s">
        <v>61</v>
      </c>
      <c r="H433" s="2" t="s">
        <v>892</v>
      </c>
      <c r="I433" s="2" t="s">
        <v>893</v>
      </c>
      <c r="J433" s="3">
        <v>1</v>
      </c>
      <c r="K433" s="2" t="s">
        <v>106</v>
      </c>
      <c r="L433" s="3">
        <v>1</v>
      </c>
      <c r="M433" s="11">
        <v>156510</v>
      </c>
      <c r="N433" s="3">
        <v>0</v>
      </c>
      <c r="O433" s="2" t="s">
        <v>21</v>
      </c>
      <c r="P433" s="2" t="s">
        <v>29</v>
      </c>
      <c r="Q433" s="2" t="s">
        <v>22</v>
      </c>
    </row>
    <row r="434" spans="1:17" x14ac:dyDescent="0.25">
      <c r="A434" s="1">
        <v>46176</v>
      </c>
      <c r="B434" s="1">
        <v>46175</v>
      </c>
      <c r="C434" s="2" t="s">
        <v>894</v>
      </c>
      <c r="D434" s="2" t="s">
        <v>746</v>
      </c>
      <c r="E434" s="2" t="s">
        <v>895</v>
      </c>
      <c r="F434" s="2" t="s">
        <v>18</v>
      </c>
      <c r="G434" s="2" t="s">
        <v>89</v>
      </c>
      <c r="H434" s="2" t="s">
        <v>583</v>
      </c>
      <c r="I434" s="2" t="s">
        <v>896</v>
      </c>
      <c r="J434" s="3">
        <v>50</v>
      </c>
      <c r="K434" s="2" t="s">
        <v>36</v>
      </c>
      <c r="L434" s="3">
        <v>50.75</v>
      </c>
      <c r="M434" s="11">
        <v>6597500</v>
      </c>
      <c r="N434" s="3">
        <v>0.75</v>
      </c>
      <c r="O434" s="2" t="s">
        <v>21</v>
      </c>
      <c r="P434" s="2" t="s">
        <v>29</v>
      </c>
      <c r="Q434" s="2" t="s">
        <v>22</v>
      </c>
    </row>
    <row r="435" spans="1:17" x14ac:dyDescent="0.25">
      <c r="A435" s="1">
        <v>46176</v>
      </c>
      <c r="B435" s="1">
        <v>46175</v>
      </c>
      <c r="C435" s="2" t="s">
        <v>897</v>
      </c>
      <c r="D435" s="2" t="s">
        <v>746</v>
      </c>
      <c r="E435" s="2" t="s">
        <v>898</v>
      </c>
      <c r="F435" s="2" t="s">
        <v>18</v>
      </c>
      <c r="G435" s="2" t="s">
        <v>49</v>
      </c>
      <c r="H435" s="2" t="s">
        <v>890</v>
      </c>
      <c r="I435" s="2" t="s">
        <v>891</v>
      </c>
      <c r="J435" s="3">
        <v>2</v>
      </c>
      <c r="K435" s="2" t="s">
        <v>106</v>
      </c>
      <c r="L435" s="3">
        <v>2</v>
      </c>
      <c r="M435" s="11">
        <v>313020</v>
      </c>
      <c r="N435" s="3">
        <v>0</v>
      </c>
      <c r="O435" s="2" t="s">
        <v>21</v>
      </c>
      <c r="P435" s="2" t="s">
        <v>29</v>
      </c>
      <c r="Q435" s="2" t="s">
        <v>22</v>
      </c>
    </row>
    <row r="436" spans="1:17" x14ac:dyDescent="0.25">
      <c r="A436" s="1">
        <v>46176</v>
      </c>
      <c r="B436" s="1">
        <v>46175</v>
      </c>
      <c r="C436" s="2" t="s">
        <v>899</v>
      </c>
      <c r="D436" s="2" t="s">
        <v>746</v>
      </c>
      <c r="E436" s="2" t="s">
        <v>170</v>
      </c>
      <c r="F436" s="2" t="s">
        <v>32</v>
      </c>
      <c r="G436" s="2" t="s">
        <v>33</v>
      </c>
      <c r="H436" s="2" t="s">
        <v>900</v>
      </c>
      <c r="I436" s="2" t="s">
        <v>901</v>
      </c>
      <c r="J436" s="3">
        <v>12</v>
      </c>
      <c r="K436" s="2" t="s">
        <v>664</v>
      </c>
      <c r="L436" s="3">
        <v>12</v>
      </c>
      <c r="M436" s="11">
        <v>1044000</v>
      </c>
      <c r="N436" s="3">
        <v>0</v>
      </c>
      <c r="O436" s="2" t="s">
        <v>21</v>
      </c>
      <c r="P436" s="2" t="s">
        <v>29</v>
      </c>
      <c r="Q436" s="2" t="s">
        <v>22</v>
      </c>
    </row>
    <row r="437" spans="1:17" x14ac:dyDescent="0.25">
      <c r="A437" s="1">
        <v>46176</v>
      </c>
      <c r="B437" s="1">
        <v>46175</v>
      </c>
      <c r="C437" s="2" t="s">
        <v>902</v>
      </c>
      <c r="D437" s="2" t="s">
        <v>746</v>
      </c>
      <c r="E437" s="2" t="s">
        <v>903</v>
      </c>
      <c r="F437" s="2" t="s">
        <v>18</v>
      </c>
      <c r="G437" s="2" t="s">
        <v>33</v>
      </c>
      <c r="H437" s="2" t="s">
        <v>904</v>
      </c>
      <c r="I437" s="2" t="s">
        <v>905</v>
      </c>
      <c r="J437" s="3">
        <v>4</v>
      </c>
      <c r="K437" s="2" t="s">
        <v>20</v>
      </c>
      <c r="L437" s="3">
        <v>4</v>
      </c>
      <c r="M437" s="11">
        <v>390000</v>
      </c>
      <c r="N437" s="3">
        <v>0</v>
      </c>
      <c r="O437" s="2" t="s">
        <v>21</v>
      </c>
      <c r="P437" s="2" t="s">
        <v>29</v>
      </c>
      <c r="Q437" s="2" t="s">
        <v>22</v>
      </c>
    </row>
    <row r="438" spans="1:17" x14ac:dyDescent="0.25">
      <c r="A438" s="1">
        <v>46176</v>
      </c>
      <c r="B438" s="1">
        <v>46175</v>
      </c>
      <c r="C438" s="2" t="s">
        <v>906</v>
      </c>
      <c r="D438" s="2" t="s">
        <v>746</v>
      </c>
      <c r="E438" s="2" t="s">
        <v>907</v>
      </c>
      <c r="F438" s="2" t="s">
        <v>32</v>
      </c>
      <c r="G438" s="2" t="s">
        <v>25</v>
      </c>
      <c r="H438" s="2" t="s">
        <v>908</v>
      </c>
      <c r="I438" s="2" t="s">
        <v>909</v>
      </c>
      <c r="J438" s="3">
        <v>1</v>
      </c>
      <c r="K438" s="2" t="s">
        <v>408</v>
      </c>
      <c r="L438" s="3">
        <v>1</v>
      </c>
      <c r="M438" s="11">
        <v>500000</v>
      </c>
      <c r="N438" s="3">
        <v>0</v>
      </c>
      <c r="O438" s="2" t="s">
        <v>21</v>
      </c>
      <c r="P438" s="2" t="s">
        <v>29</v>
      </c>
      <c r="Q438" s="2" t="s">
        <v>22</v>
      </c>
    </row>
    <row r="439" spans="1:17" x14ac:dyDescent="0.25">
      <c r="A439" s="1">
        <v>46176</v>
      </c>
      <c r="B439" s="1">
        <v>46175</v>
      </c>
      <c r="C439" s="2" t="s">
        <v>910</v>
      </c>
      <c r="D439" s="2" t="s">
        <v>746</v>
      </c>
      <c r="E439" s="2" t="s">
        <v>168</v>
      </c>
      <c r="F439" s="2" t="s">
        <v>32</v>
      </c>
      <c r="G439" s="2" t="s">
        <v>25</v>
      </c>
      <c r="H439" s="2" t="s">
        <v>752</v>
      </c>
      <c r="I439" s="2" t="s">
        <v>753</v>
      </c>
      <c r="J439" s="3">
        <v>12</v>
      </c>
      <c r="K439" s="2" t="s">
        <v>754</v>
      </c>
      <c r="L439" s="3">
        <v>12</v>
      </c>
      <c r="M439" s="11">
        <v>772560</v>
      </c>
      <c r="N439" s="3">
        <v>0</v>
      </c>
      <c r="O439" s="2" t="s">
        <v>21</v>
      </c>
      <c r="P439" s="2" t="s">
        <v>29</v>
      </c>
      <c r="Q439" s="2" t="s">
        <v>911</v>
      </c>
    </row>
    <row r="440" spans="1:17" x14ac:dyDescent="0.25">
      <c r="A440" s="1">
        <v>46176</v>
      </c>
      <c r="B440" s="1">
        <v>46175</v>
      </c>
      <c r="C440" s="2" t="s">
        <v>912</v>
      </c>
      <c r="D440" s="2" t="s">
        <v>746</v>
      </c>
      <c r="E440" s="2" t="s">
        <v>227</v>
      </c>
      <c r="F440" s="2" t="s">
        <v>32</v>
      </c>
      <c r="G440" s="2" t="s">
        <v>25</v>
      </c>
      <c r="H440" s="2" t="s">
        <v>900</v>
      </c>
      <c r="I440" s="2" t="s">
        <v>901</v>
      </c>
      <c r="J440" s="3">
        <v>24</v>
      </c>
      <c r="K440" s="2" t="s">
        <v>664</v>
      </c>
      <c r="L440" s="3">
        <v>24</v>
      </c>
      <c r="M440" s="11">
        <v>1920000</v>
      </c>
      <c r="N440" s="3">
        <v>0</v>
      </c>
      <c r="O440" s="2" t="s">
        <v>21</v>
      </c>
      <c r="P440" s="2" t="s">
        <v>29</v>
      </c>
      <c r="Q440" s="2" t="s">
        <v>22</v>
      </c>
    </row>
    <row r="441" spans="1:17" x14ac:dyDescent="0.25">
      <c r="A441" s="1">
        <v>46176</v>
      </c>
      <c r="B441" s="1">
        <v>46175</v>
      </c>
      <c r="C441" s="2" t="s">
        <v>913</v>
      </c>
      <c r="D441" s="2" t="s">
        <v>746</v>
      </c>
      <c r="E441" s="2" t="s">
        <v>235</v>
      </c>
      <c r="F441" s="2" t="s">
        <v>32</v>
      </c>
      <c r="G441" s="2" t="s">
        <v>25</v>
      </c>
      <c r="H441" s="2" t="s">
        <v>900</v>
      </c>
      <c r="I441" s="2" t="s">
        <v>901</v>
      </c>
      <c r="J441" s="3">
        <v>1</v>
      </c>
      <c r="K441" s="2" t="s">
        <v>664</v>
      </c>
      <c r="L441" s="3">
        <v>1</v>
      </c>
      <c r="M441" s="11">
        <v>93000.01</v>
      </c>
      <c r="N441" s="3">
        <v>0</v>
      </c>
      <c r="O441" s="2" t="s">
        <v>21</v>
      </c>
      <c r="P441" s="2" t="s">
        <v>29</v>
      </c>
      <c r="Q441" s="2" t="s">
        <v>22</v>
      </c>
    </row>
    <row r="442" spans="1:17" x14ac:dyDescent="0.25">
      <c r="A442" s="1">
        <v>46176</v>
      </c>
      <c r="B442" s="1">
        <v>46175</v>
      </c>
      <c r="C442" s="2" t="s">
        <v>914</v>
      </c>
      <c r="D442" s="2" t="s">
        <v>746</v>
      </c>
      <c r="E442" s="2" t="s">
        <v>235</v>
      </c>
      <c r="F442" s="2" t="s">
        <v>32</v>
      </c>
      <c r="G442" s="2" t="s">
        <v>25</v>
      </c>
      <c r="H442" s="2" t="s">
        <v>915</v>
      </c>
      <c r="I442" s="2" t="s">
        <v>916</v>
      </c>
      <c r="J442" s="3">
        <v>4</v>
      </c>
      <c r="K442" s="2" t="s">
        <v>20</v>
      </c>
      <c r="L442" s="3">
        <v>4</v>
      </c>
      <c r="M442" s="11">
        <v>570000</v>
      </c>
      <c r="N442" s="3">
        <v>0</v>
      </c>
      <c r="O442" s="2" t="s">
        <v>21</v>
      </c>
      <c r="P442" s="2" t="s">
        <v>29</v>
      </c>
      <c r="Q442" s="2" t="s">
        <v>22</v>
      </c>
    </row>
    <row r="443" spans="1:17" x14ac:dyDescent="0.25">
      <c r="A443" s="1">
        <v>46176</v>
      </c>
      <c r="B443" s="1">
        <v>46175</v>
      </c>
      <c r="C443" s="2" t="s">
        <v>914</v>
      </c>
      <c r="D443" s="2" t="s">
        <v>746</v>
      </c>
      <c r="E443" s="2" t="s">
        <v>235</v>
      </c>
      <c r="F443" s="2" t="s">
        <v>32</v>
      </c>
      <c r="G443" s="2" t="s">
        <v>25</v>
      </c>
      <c r="H443" s="2" t="s">
        <v>917</v>
      </c>
      <c r="I443" s="2" t="s">
        <v>918</v>
      </c>
      <c r="J443" s="3">
        <v>2.2999999999999998</v>
      </c>
      <c r="K443" s="2" t="s">
        <v>36</v>
      </c>
      <c r="L443" s="3">
        <v>2.17</v>
      </c>
      <c r="M443" s="11">
        <v>252913.5</v>
      </c>
      <c r="N443" s="3">
        <v>-0.13</v>
      </c>
      <c r="O443" s="2" t="s">
        <v>21</v>
      </c>
      <c r="P443" s="2" t="s">
        <v>29</v>
      </c>
      <c r="Q443" s="2" t="s">
        <v>22</v>
      </c>
    </row>
    <row r="444" spans="1:17" x14ac:dyDescent="0.25">
      <c r="A444" s="1">
        <v>46176</v>
      </c>
      <c r="B444" s="1">
        <v>46175</v>
      </c>
      <c r="C444" s="2" t="s">
        <v>914</v>
      </c>
      <c r="D444" s="2" t="s">
        <v>746</v>
      </c>
      <c r="E444" s="2" t="s">
        <v>235</v>
      </c>
      <c r="F444" s="2" t="s">
        <v>32</v>
      </c>
      <c r="G444" s="2" t="s">
        <v>25</v>
      </c>
      <c r="H444" s="2" t="s">
        <v>919</v>
      </c>
      <c r="I444" s="2" t="s">
        <v>920</v>
      </c>
      <c r="J444" s="3">
        <v>1</v>
      </c>
      <c r="K444" s="2" t="s">
        <v>20</v>
      </c>
      <c r="L444" s="3">
        <v>1</v>
      </c>
      <c r="M444" s="11">
        <v>444000</v>
      </c>
      <c r="N444" s="3">
        <v>0</v>
      </c>
      <c r="O444" s="2" t="s">
        <v>21</v>
      </c>
      <c r="P444" s="2" t="s">
        <v>29</v>
      </c>
      <c r="Q444" s="2" t="s">
        <v>22</v>
      </c>
    </row>
    <row r="445" spans="1:17" x14ac:dyDescent="0.25">
      <c r="A445" s="1">
        <v>46176</v>
      </c>
      <c r="B445" s="1">
        <v>46175</v>
      </c>
      <c r="C445" s="2" t="s">
        <v>921</v>
      </c>
      <c r="D445" s="2" t="s">
        <v>746</v>
      </c>
      <c r="E445" s="2" t="s">
        <v>260</v>
      </c>
      <c r="F445" s="2" t="s">
        <v>18</v>
      </c>
      <c r="G445" s="2" t="s">
        <v>61</v>
      </c>
      <c r="H445" s="2" t="s">
        <v>900</v>
      </c>
      <c r="I445" s="2" t="s">
        <v>901</v>
      </c>
      <c r="J445" s="3">
        <v>3</v>
      </c>
      <c r="K445" s="2" t="s">
        <v>664</v>
      </c>
      <c r="L445" s="3">
        <v>3</v>
      </c>
      <c r="M445" s="11">
        <v>264000</v>
      </c>
      <c r="N445" s="3">
        <v>0</v>
      </c>
      <c r="O445" s="2" t="s">
        <v>21</v>
      </c>
      <c r="P445" s="2" t="s">
        <v>29</v>
      </c>
      <c r="Q445" s="2" t="s">
        <v>22</v>
      </c>
    </row>
    <row r="446" spans="1:17" x14ac:dyDescent="0.25">
      <c r="A446" s="1">
        <v>46176</v>
      </c>
      <c r="B446" s="1">
        <v>46175</v>
      </c>
      <c r="C446" s="2" t="s">
        <v>922</v>
      </c>
      <c r="D446" s="2" t="s">
        <v>746</v>
      </c>
      <c r="E446" s="2" t="s">
        <v>923</v>
      </c>
      <c r="F446" s="2" t="s">
        <v>18</v>
      </c>
      <c r="G446" s="2" t="s">
        <v>238</v>
      </c>
      <c r="H446" s="2" t="s">
        <v>748</v>
      </c>
      <c r="I446" s="2" t="s">
        <v>749</v>
      </c>
      <c r="J446" s="3">
        <v>4</v>
      </c>
      <c r="K446" s="2" t="s">
        <v>408</v>
      </c>
      <c r="L446" s="3">
        <v>4</v>
      </c>
      <c r="M446" s="11">
        <v>1000000.02</v>
      </c>
      <c r="N446" s="3">
        <v>0</v>
      </c>
      <c r="O446" s="2" t="s">
        <v>21</v>
      </c>
      <c r="P446" s="2" t="s">
        <v>29</v>
      </c>
      <c r="Q446" s="2" t="s">
        <v>22</v>
      </c>
    </row>
    <row r="447" spans="1:17" x14ac:dyDescent="0.25">
      <c r="A447" s="1">
        <v>46176</v>
      </c>
      <c r="B447" s="1">
        <v>46175</v>
      </c>
      <c r="C447" s="2" t="s">
        <v>924</v>
      </c>
      <c r="D447" s="2" t="s">
        <v>746</v>
      </c>
      <c r="E447" s="2" t="s">
        <v>456</v>
      </c>
      <c r="F447" s="2" t="s">
        <v>18</v>
      </c>
      <c r="G447" s="2" t="s">
        <v>25</v>
      </c>
      <c r="H447" s="2" t="s">
        <v>900</v>
      </c>
      <c r="I447" s="2" t="s">
        <v>901</v>
      </c>
      <c r="J447" s="3">
        <v>12</v>
      </c>
      <c r="K447" s="2" t="s">
        <v>664</v>
      </c>
      <c r="L447" s="3">
        <v>12</v>
      </c>
      <c r="M447" s="11">
        <v>1139999.99</v>
      </c>
      <c r="N447" s="3">
        <v>0</v>
      </c>
      <c r="O447" s="2" t="s">
        <v>21</v>
      </c>
      <c r="P447" s="2" t="s">
        <v>29</v>
      </c>
      <c r="Q447" s="2" t="s">
        <v>22</v>
      </c>
    </row>
    <row r="448" spans="1:17" x14ac:dyDescent="0.25">
      <c r="A448" s="1">
        <v>46176</v>
      </c>
      <c r="B448" s="1">
        <v>46175</v>
      </c>
      <c r="C448" s="2" t="s">
        <v>925</v>
      </c>
      <c r="D448" s="2" t="s">
        <v>746</v>
      </c>
      <c r="E448" s="2" t="s">
        <v>290</v>
      </c>
      <c r="F448" s="2" t="s">
        <v>18</v>
      </c>
      <c r="G448" s="2" t="s">
        <v>56</v>
      </c>
      <c r="H448" s="2" t="s">
        <v>904</v>
      </c>
      <c r="I448" s="2" t="s">
        <v>905</v>
      </c>
      <c r="J448" s="3">
        <v>6</v>
      </c>
      <c r="K448" s="2" t="s">
        <v>20</v>
      </c>
      <c r="L448" s="3">
        <v>6</v>
      </c>
      <c r="M448" s="11">
        <v>584999.99</v>
      </c>
      <c r="N448" s="3">
        <v>0</v>
      </c>
      <c r="O448" s="2" t="s">
        <v>21</v>
      </c>
      <c r="P448" s="2" t="s">
        <v>29</v>
      </c>
      <c r="Q448" s="2" t="s">
        <v>22</v>
      </c>
    </row>
    <row r="449" spans="1:17" x14ac:dyDescent="0.25">
      <c r="A449" s="1">
        <v>46176</v>
      </c>
      <c r="B449" s="1">
        <v>46175</v>
      </c>
      <c r="C449" s="2" t="s">
        <v>926</v>
      </c>
      <c r="D449" s="2" t="s">
        <v>746</v>
      </c>
      <c r="E449" s="2" t="s">
        <v>927</v>
      </c>
      <c r="F449" s="2" t="s">
        <v>32</v>
      </c>
      <c r="G449" s="2" t="s">
        <v>33</v>
      </c>
      <c r="H449" s="2" t="s">
        <v>919</v>
      </c>
      <c r="I449" s="2" t="s">
        <v>920</v>
      </c>
      <c r="J449" s="3">
        <v>1</v>
      </c>
      <c r="K449" s="2" t="s">
        <v>20</v>
      </c>
      <c r="L449" s="3">
        <v>1</v>
      </c>
      <c r="M449" s="11">
        <v>404999.99</v>
      </c>
      <c r="N449" s="3">
        <v>0</v>
      </c>
      <c r="O449" s="2" t="s">
        <v>21</v>
      </c>
      <c r="P449" s="2" t="s">
        <v>29</v>
      </c>
      <c r="Q449" s="2" t="s">
        <v>22</v>
      </c>
    </row>
    <row r="450" spans="1:17" x14ac:dyDescent="0.25">
      <c r="A450" s="1">
        <v>46176</v>
      </c>
      <c r="B450" s="1">
        <v>46175</v>
      </c>
      <c r="C450" s="2" t="s">
        <v>928</v>
      </c>
      <c r="D450" s="2" t="s">
        <v>746</v>
      </c>
      <c r="E450" s="2" t="s">
        <v>307</v>
      </c>
      <c r="F450" s="2" t="s">
        <v>18</v>
      </c>
      <c r="G450" s="2" t="s">
        <v>238</v>
      </c>
      <c r="H450" s="2" t="s">
        <v>908</v>
      </c>
      <c r="I450" s="2" t="s">
        <v>909</v>
      </c>
      <c r="J450" s="3">
        <v>3</v>
      </c>
      <c r="K450" s="2" t="s">
        <v>408</v>
      </c>
      <c r="L450" s="3">
        <v>3</v>
      </c>
      <c r="M450" s="11">
        <v>1500000</v>
      </c>
      <c r="N450" s="3">
        <v>0</v>
      </c>
      <c r="O450" s="2" t="s">
        <v>21</v>
      </c>
      <c r="P450" s="2" t="s">
        <v>29</v>
      </c>
      <c r="Q450" s="2" t="s">
        <v>22</v>
      </c>
    </row>
    <row r="451" spans="1:17" x14ac:dyDescent="0.25">
      <c r="A451" s="1">
        <v>46176</v>
      </c>
      <c r="B451" s="1">
        <v>46175</v>
      </c>
      <c r="C451" s="2" t="s">
        <v>929</v>
      </c>
      <c r="D451" s="2" t="s">
        <v>746</v>
      </c>
      <c r="E451" s="2" t="s">
        <v>930</v>
      </c>
      <c r="F451" s="2" t="s">
        <v>32</v>
      </c>
      <c r="G451" s="2" t="s">
        <v>33</v>
      </c>
      <c r="H451" s="2" t="s">
        <v>931</v>
      </c>
      <c r="I451" s="2" t="s">
        <v>932</v>
      </c>
      <c r="J451" s="3">
        <v>12</v>
      </c>
      <c r="K451" s="2" t="s">
        <v>448</v>
      </c>
      <c r="L451" s="3">
        <v>12</v>
      </c>
      <c r="M451" s="11">
        <v>809999.99</v>
      </c>
      <c r="N451" s="3">
        <v>0</v>
      </c>
      <c r="O451" s="2" t="s">
        <v>21</v>
      </c>
      <c r="P451" s="2" t="s">
        <v>29</v>
      </c>
      <c r="Q451" s="2" t="s">
        <v>933</v>
      </c>
    </row>
    <row r="452" spans="1:17" x14ac:dyDescent="0.25">
      <c r="A452" s="1">
        <v>46176</v>
      </c>
      <c r="B452" s="1">
        <v>46175</v>
      </c>
      <c r="C452" s="2" t="s">
        <v>934</v>
      </c>
      <c r="D452" s="2" t="s">
        <v>746</v>
      </c>
      <c r="E452" s="2" t="s">
        <v>518</v>
      </c>
      <c r="F452" s="2" t="s">
        <v>32</v>
      </c>
      <c r="G452" s="2" t="s">
        <v>171</v>
      </c>
      <c r="H452" s="2" t="s">
        <v>919</v>
      </c>
      <c r="I452" s="2" t="s">
        <v>920</v>
      </c>
      <c r="J452" s="3">
        <v>3</v>
      </c>
      <c r="K452" s="2" t="s">
        <v>20</v>
      </c>
      <c r="L452" s="3">
        <v>3</v>
      </c>
      <c r="M452" s="11">
        <v>1332000</v>
      </c>
      <c r="N452" s="3">
        <v>0</v>
      </c>
      <c r="O452" s="2" t="s">
        <v>21</v>
      </c>
      <c r="P452" s="2" t="s">
        <v>29</v>
      </c>
      <c r="Q452" s="2" t="s">
        <v>22</v>
      </c>
    </row>
    <row r="453" spans="1:17" x14ac:dyDescent="0.25">
      <c r="A453" s="1">
        <v>46176</v>
      </c>
      <c r="B453" s="1">
        <v>46175</v>
      </c>
      <c r="C453" s="2" t="s">
        <v>935</v>
      </c>
      <c r="D453" s="2" t="s">
        <v>746</v>
      </c>
      <c r="E453" s="2" t="s">
        <v>567</v>
      </c>
      <c r="F453" s="2" t="s">
        <v>32</v>
      </c>
      <c r="G453" s="2" t="s">
        <v>171</v>
      </c>
      <c r="H453" s="2" t="s">
        <v>900</v>
      </c>
      <c r="I453" s="2" t="s">
        <v>901</v>
      </c>
      <c r="J453" s="3">
        <v>60</v>
      </c>
      <c r="K453" s="2" t="s">
        <v>664</v>
      </c>
      <c r="L453" s="3">
        <v>60</v>
      </c>
      <c r="M453" s="11">
        <v>4800000.01</v>
      </c>
      <c r="N453" s="3">
        <v>0</v>
      </c>
      <c r="O453" s="2" t="s">
        <v>21</v>
      </c>
      <c r="P453" s="2" t="s">
        <v>29</v>
      </c>
      <c r="Q453" s="2" t="s">
        <v>22</v>
      </c>
    </row>
    <row r="454" spans="1:17" x14ac:dyDescent="0.25">
      <c r="A454" s="1">
        <v>46176</v>
      </c>
      <c r="B454" s="1">
        <v>46175</v>
      </c>
      <c r="C454" s="2" t="s">
        <v>936</v>
      </c>
      <c r="D454" s="2" t="s">
        <v>746</v>
      </c>
      <c r="E454" s="2" t="s">
        <v>937</v>
      </c>
      <c r="F454" s="2" t="s">
        <v>32</v>
      </c>
      <c r="G454" s="2" t="s">
        <v>40</v>
      </c>
      <c r="H454" s="2" t="s">
        <v>938</v>
      </c>
      <c r="I454" s="2" t="s">
        <v>939</v>
      </c>
      <c r="J454" s="3">
        <v>5</v>
      </c>
      <c r="K454" s="2" t="s">
        <v>829</v>
      </c>
      <c r="L454" s="3">
        <v>5</v>
      </c>
      <c r="M454" s="11">
        <v>532950.02</v>
      </c>
      <c r="N454" s="3">
        <v>0</v>
      </c>
      <c r="O454" s="2" t="s">
        <v>21</v>
      </c>
      <c r="P454" s="2" t="s">
        <v>29</v>
      </c>
      <c r="Q454" s="2" t="s">
        <v>22</v>
      </c>
    </row>
    <row r="455" spans="1:17" x14ac:dyDescent="0.25">
      <c r="A455" s="1">
        <v>46176</v>
      </c>
      <c r="B455" s="1">
        <v>46175</v>
      </c>
      <c r="C455" s="2" t="s">
        <v>940</v>
      </c>
      <c r="D455" s="2" t="s">
        <v>746</v>
      </c>
      <c r="E455" s="2" t="s">
        <v>941</v>
      </c>
      <c r="F455" s="2" t="s">
        <v>18</v>
      </c>
      <c r="G455" s="2" t="s">
        <v>49</v>
      </c>
      <c r="H455" s="2" t="s">
        <v>942</v>
      </c>
      <c r="I455" s="2" t="s">
        <v>943</v>
      </c>
      <c r="J455" s="3">
        <v>1</v>
      </c>
      <c r="K455" s="2" t="s">
        <v>408</v>
      </c>
      <c r="L455" s="3">
        <v>1</v>
      </c>
      <c r="M455" s="11">
        <v>390000</v>
      </c>
      <c r="N455" s="3">
        <v>0</v>
      </c>
      <c r="O455" s="2" t="s">
        <v>21</v>
      </c>
      <c r="P455" s="2" t="s">
        <v>29</v>
      </c>
      <c r="Q455" s="2" t="s">
        <v>22</v>
      </c>
    </row>
    <row r="456" spans="1:17" x14ac:dyDescent="0.25">
      <c r="A456" s="1">
        <v>46176</v>
      </c>
      <c r="B456" s="1">
        <v>46175</v>
      </c>
      <c r="C456" s="2" t="s">
        <v>944</v>
      </c>
      <c r="D456" s="2" t="s">
        <v>746</v>
      </c>
      <c r="E456" s="2" t="s">
        <v>945</v>
      </c>
      <c r="F456" s="2" t="s">
        <v>18</v>
      </c>
      <c r="G456" s="2" t="s">
        <v>40</v>
      </c>
      <c r="H456" s="2" t="s">
        <v>946</v>
      </c>
      <c r="I456" s="2" t="s">
        <v>947</v>
      </c>
      <c r="J456" s="3">
        <v>1</v>
      </c>
      <c r="K456" s="2" t="s">
        <v>829</v>
      </c>
      <c r="L456" s="3">
        <v>1</v>
      </c>
      <c r="M456" s="11">
        <v>104999.99</v>
      </c>
      <c r="N456" s="3">
        <v>0</v>
      </c>
      <c r="O456" s="2" t="s">
        <v>21</v>
      </c>
      <c r="P456" s="2" t="s">
        <v>29</v>
      </c>
      <c r="Q456" s="2" t="s">
        <v>22</v>
      </c>
    </row>
    <row r="457" spans="1:17" x14ac:dyDescent="0.25">
      <c r="A457" s="1">
        <v>46176</v>
      </c>
      <c r="B457" s="1">
        <v>46175</v>
      </c>
      <c r="C457" s="2" t="s">
        <v>948</v>
      </c>
      <c r="D457" s="2" t="s">
        <v>746</v>
      </c>
      <c r="E457" s="2" t="s">
        <v>628</v>
      </c>
      <c r="F457" s="2" t="s">
        <v>32</v>
      </c>
      <c r="G457" s="2" t="s">
        <v>61</v>
      </c>
      <c r="H457" s="2" t="s">
        <v>917</v>
      </c>
      <c r="I457" s="2" t="s">
        <v>918</v>
      </c>
      <c r="J457" s="3">
        <v>6.9</v>
      </c>
      <c r="K457" s="2" t="s">
        <v>36</v>
      </c>
      <c r="L457" s="3">
        <v>6.48</v>
      </c>
      <c r="M457" s="11">
        <v>748439.97</v>
      </c>
      <c r="N457" s="3">
        <v>-0.42</v>
      </c>
      <c r="O457" s="2" t="s">
        <v>21</v>
      </c>
      <c r="P457" s="2" t="s">
        <v>29</v>
      </c>
      <c r="Q457" s="2" t="s">
        <v>949</v>
      </c>
    </row>
    <row r="458" spans="1:17" x14ac:dyDescent="0.25">
      <c r="A458" s="1">
        <v>46176</v>
      </c>
      <c r="B458" s="1">
        <v>46175</v>
      </c>
      <c r="C458" s="2" t="s">
        <v>950</v>
      </c>
      <c r="D458" s="2" t="s">
        <v>746</v>
      </c>
      <c r="E458" s="2" t="s">
        <v>403</v>
      </c>
      <c r="F458" s="2" t="s">
        <v>32</v>
      </c>
      <c r="G458" s="2" t="s">
        <v>951</v>
      </c>
      <c r="H458" s="2" t="s">
        <v>952</v>
      </c>
      <c r="I458" s="2" t="s">
        <v>953</v>
      </c>
      <c r="J458" s="3">
        <v>300</v>
      </c>
      <c r="K458" s="2" t="s">
        <v>36</v>
      </c>
      <c r="L458" s="3">
        <v>296.91000000000003</v>
      </c>
      <c r="M458" s="11">
        <v>29394090</v>
      </c>
      <c r="N458" s="3">
        <v>-3.09</v>
      </c>
      <c r="O458" s="2" t="s">
        <v>21</v>
      </c>
      <c r="P458" s="2" t="s">
        <v>29</v>
      </c>
      <c r="Q458" s="2" t="s">
        <v>407</v>
      </c>
    </row>
    <row r="459" spans="1:17" x14ac:dyDescent="0.25">
      <c r="A459" s="1">
        <v>46176</v>
      </c>
      <c r="B459" s="1">
        <v>46175</v>
      </c>
      <c r="C459" s="2" t="s">
        <v>954</v>
      </c>
      <c r="D459" s="2" t="s">
        <v>746</v>
      </c>
      <c r="E459" s="2" t="s">
        <v>955</v>
      </c>
      <c r="F459" s="2" t="s">
        <v>32</v>
      </c>
      <c r="G459" s="2" t="s">
        <v>364</v>
      </c>
      <c r="H459" s="2" t="s">
        <v>956</v>
      </c>
      <c r="I459" s="2" t="s">
        <v>957</v>
      </c>
      <c r="J459" s="3">
        <v>20</v>
      </c>
      <c r="K459" s="2" t="s">
        <v>448</v>
      </c>
      <c r="L459" s="3">
        <v>20</v>
      </c>
      <c r="M459" s="11">
        <v>1349999.98</v>
      </c>
      <c r="N459" s="3">
        <v>0</v>
      </c>
      <c r="O459" s="2" t="s">
        <v>21</v>
      </c>
      <c r="P459" s="2" t="s">
        <v>29</v>
      </c>
      <c r="Q459" s="2" t="s">
        <v>22</v>
      </c>
    </row>
    <row r="460" spans="1:17" x14ac:dyDescent="0.25">
      <c r="A460" s="1">
        <v>46176</v>
      </c>
      <c r="B460" s="1">
        <v>46175</v>
      </c>
      <c r="C460" s="2" t="s">
        <v>958</v>
      </c>
      <c r="D460" s="2" t="s">
        <v>746</v>
      </c>
      <c r="E460" s="2" t="s">
        <v>88</v>
      </c>
      <c r="F460" s="2" t="s">
        <v>32</v>
      </c>
      <c r="G460" s="2" t="s">
        <v>89</v>
      </c>
      <c r="H460" s="2" t="s">
        <v>900</v>
      </c>
      <c r="I460" s="2" t="s">
        <v>901</v>
      </c>
      <c r="J460" s="3">
        <v>18</v>
      </c>
      <c r="K460" s="2" t="s">
        <v>664</v>
      </c>
      <c r="L460" s="3">
        <v>18</v>
      </c>
      <c r="M460" s="11">
        <v>1439999.96</v>
      </c>
      <c r="N460" s="3">
        <v>0</v>
      </c>
      <c r="O460" s="2" t="s">
        <v>21</v>
      </c>
      <c r="P460" s="2" t="s">
        <v>29</v>
      </c>
      <c r="Q460" s="2" t="s">
        <v>22</v>
      </c>
    </row>
    <row r="461" spans="1:17" x14ac:dyDescent="0.25">
      <c r="A461" s="1">
        <v>46176</v>
      </c>
      <c r="B461" s="1">
        <v>46175</v>
      </c>
      <c r="C461" s="2" t="s">
        <v>959</v>
      </c>
      <c r="D461" s="2" t="s">
        <v>746</v>
      </c>
      <c r="E461" s="2" t="s">
        <v>346</v>
      </c>
      <c r="F461" s="2" t="s">
        <v>18</v>
      </c>
      <c r="G461" s="2" t="s">
        <v>89</v>
      </c>
      <c r="H461" s="2" t="s">
        <v>960</v>
      </c>
      <c r="I461" s="2" t="s">
        <v>961</v>
      </c>
      <c r="J461" s="3">
        <v>5</v>
      </c>
      <c r="K461" s="2" t="s">
        <v>36</v>
      </c>
      <c r="L461" s="3">
        <v>4.8</v>
      </c>
      <c r="M461" s="11">
        <v>576000.01</v>
      </c>
      <c r="N461" s="3">
        <v>-0.2</v>
      </c>
      <c r="O461" s="2" t="s">
        <v>21</v>
      </c>
      <c r="P461" s="2" t="s">
        <v>29</v>
      </c>
      <c r="Q461" s="2" t="s">
        <v>22</v>
      </c>
    </row>
    <row r="462" spans="1:17" x14ac:dyDescent="0.25">
      <c r="A462" s="1">
        <v>46176</v>
      </c>
      <c r="B462" s="1">
        <v>46175</v>
      </c>
      <c r="C462" s="2" t="s">
        <v>962</v>
      </c>
      <c r="D462" s="2" t="s">
        <v>746</v>
      </c>
      <c r="E462" s="2" t="s">
        <v>963</v>
      </c>
      <c r="F462" s="2" t="s">
        <v>32</v>
      </c>
      <c r="G462" s="2" t="s">
        <v>238</v>
      </c>
      <c r="H462" s="2" t="s">
        <v>964</v>
      </c>
      <c r="I462" s="2" t="s">
        <v>965</v>
      </c>
      <c r="J462" s="3">
        <v>48</v>
      </c>
      <c r="K462" s="2" t="s">
        <v>448</v>
      </c>
      <c r="L462" s="3">
        <v>48</v>
      </c>
      <c r="M462" s="11">
        <v>1103999.96</v>
      </c>
      <c r="N462" s="3">
        <v>0</v>
      </c>
      <c r="O462" s="2" t="s">
        <v>21</v>
      </c>
      <c r="P462" s="2" t="s">
        <v>29</v>
      </c>
      <c r="Q462" s="2" t="s">
        <v>22</v>
      </c>
    </row>
    <row r="463" spans="1:17" x14ac:dyDescent="0.25">
      <c r="A463" s="1">
        <v>46176</v>
      </c>
      <c r="B463" s="1">
        <v>46175</v>
      </c>
      <c r="C463" s="2" t="s">
        <v>962</v>
      </c>
      <c r="D463" s="2" t="s">
        <v>746</v>
      </c>
      <c r="E463" s="2" t="s">
        <v>963</v>
      </c>
      <c r="F463" s="2" t="s">
        <v>32</v>
      </c>
      <c r="G463" s="2" t="s">
        <v>238</v>
      </c>
      <c r="H463" s="2" t="s">
        <v>966</v>
      </c>
      <c r="I463" s="2" t="s">
        <v>967</v>
      </c>
      <c r="J463" s="3">
        <v>48</v>
      </c>
      <c r="K463" s="2" t="s">
        <v>448</v>
      </c>
      <c r="L463" s="3">
        <v>48</v>
      </c>
      <c r="M463" s="11">
        <v>1103999.96</v>
      </c>
      <c r="N463" s="3">
        <v>0</v>
      </c>
      <c r="O463" s="2" t="s">
        <v>21</v>
      </c>
      <c r="P463" s="2" t="s">
        <v>29</v>
      </c>
      <c r="Q463" s="2" t="s">
        <v>22</v>
      </c>
    </row>
    <row r="464" spans="1:17" x14ac:dyDescent="0.25">
      <c r="A464" s="1">
        <v>46176</v>
      </c>
      <c r="B464" s="1">
        <v>46175</v>
      </c>
      <c r="C464" s="2" t="s">
        <v>968</v>
      </c>
      <c r="D464" s="2" t="s">
        <v>746</v>
      </c>
      <c r="E464" s="2" t="s">
        <v>371</v>
      </c>
      <c r="F464" s="2" t="s">
        <v>18</v>
      </c>
      <c r="G464" s="2" t="s">
        <v>43</v>
      </c>
      <c r="H464" s="2" t="s">
        <v>919</v>
      </c>
      <c r="I464" s="2" t="s">
        <v>920</v>
      </c>
      <c r="J464" s="3">
        <v>1</v>
      </c>
      <c r="K464" s="2" t="s">
        <v>20</v>
      </c>
      <c r="L464" s="3">
        <v>1</v>
      </c>
      <c r="M464" s="11">
        <v>444000</v>
      </c>
      <c r="N464" s="3">
        <v>0</v>
      </c>
      <c r="O464" s="2" t="s">
        <v>21</v>
      </c>
      <c r="P464" s="2" t="s">
        <v>29</v>
      </c>
      <c r="Q464" s="2" t="s">
        <v>22</v>
      </c>
    </row>
    <row r="465" spans="1:17" x14ac:dyDescent="0.25">
      <c r="A465" s="1">
        <v>46176</v>
      </c>
      <c r="B465" s="1">
        <v>46175</v>
      </c>
      <c r="C465" s="2" t="s">
        <v>969</v>
      </c>
      <c r="D465" s="2" t="s">
        <v>746</v>
      </c>
      <c r="E465" s="2" t="s">
        <v>970</v>
      </c>
      <c r="F465" s="2" t="s">
        <v>32</v>
      </c>
      <c r="G465" s="2" t="s">
        <v>56</v>
      </c>
      <c r="H465" s="2" t="s">
        <v>758</v>
      </c>
      <c r="I465" s="2" t="s">
        <v>759</v>
      </c>
      <c r="J465" s="3">
        <v>5</v>
      </c>
      <c r="K465" s="2" t="s">
        <v>36</v>
      </c>
      <c r="L465" s="3">
        <v>5</v>
      </c>
      <c r="M465" s="11">
        <v>674999.99</v>
      </c>
      <c r="N465" s="3">
        <v>0</v>
      </c>
      <c r="O465" s="2" t="s">
        <v>21</v>
      </c>
      <c r="P465" s="2" t="s">
        <v>29</v>
      </c>
      <c r="Q465" s="2" t="s">
        <v>22</v>
      </c>
    </row>
    <row r="466" spans="1:17" x14ac:dyDescent="0.25">
      <c r="A466" s="1">
        <v>46176</v>
      </c>
      <c r="B466" s="1">
        <v>46175</v>
      </c>
      <c r="C466" s="2" t="s">
        <v>971</v>
      </c>
      <c r="D466" s="2" t="s">
        <v>746</v>
      </c>
      <c r="E466" s="2" t="s">
        <v>98</v>
      </c>
      <c r="F466" s="2" t="s">
        <v>18</v>
      </c>
      <c r="G466" s="2" t="s">
        <v>89</v>
      </c>
      <c r="H466" s="2" t="s">
        <v>972</v>
      </c>
      <c r="I466" s="2" t="s">
        <v>973</v>
      </c>
      <c r="J466" s="3">
        <v>4</v>
      </c>
      <c r="K466" s="2" t="s">
        <v>20</v>
      </c>
      <c r="L466" s="3">
        <v>4</v>
      </c>
      <c r="M466" s="11">
        <v>248000</v>
      </c>
      <c r="N466" s="3">
        <v>0</v>
      </c>
      <c r="O466" s="2" t="s">
        <v>21</v>
      </c>
      <c r="P466" s="2" t="s">
        <v>29</v>
      </c>
      <c r="Q466" s="2" t="s">
        <v>22</v>
      </c>
    </row>
    <row r="467" spans="1:17" x14ac:dyDescent="0.25">
      <c r="A467" s="1">
        <v>46176</v>
      </c>
      <c r="B467" s="1">
        <v>46175</v>
      </c>
      <c r="C467" s="2" t="s">
        <v>974</v>
      </c>
      <c r="D467" s="2" t="s">
        <v>746</v>
      </c>
      <c r="E467" s="2" t="s">
        <v>975</v>
      </c>
      <c r="F467" s="2" t="s">
        <v>32</v>
      </c>
      <c r="G467" s="2" t="s">
        <v>40</v>
      </c>
      <c r="H467" s="2" t="s">
        <v>976</v>
      </c>
      <c r="I467" s="2" t="s">
        <v>977</v>
      </c>
      <c r="J467" s="3">
        <v>1</v>
      </c>
      <c r="K467" s="2" t="s">
        <v>829</v>
      </c>
      <c r="L467" s="3">
        <v>1</v>
      </c>
      <c r="M467" s="11">
        <v>48000</v>
      </c>
      <c r="N467" s="3">
        <v>0</v>
      </c>
      <c r="O467" s="2" t="s">
        <v>21</v>
      </c>
      <c r="P467" s="2" t="s">
        <v>29</v>
      </c>
      <c r="Q467" s="2" t="s">
        <v>22</v>
      </c>
    </row>
    <row r="468" spans="1:17" x14ac:dyDescent="0.25">
      <c r="A468" s="1">
        <v>46176</v>
      </c>
      <c r="B468" s="1">
        <v>46175</v>
      </c>
      <c r="C468" s="2" t="s">
        <v>974</v>
      </c>
      <c r="D468" s="2" t="s">
        <v>746</v>
      </c>
      <c r="E468" s="2" t="s">
        <v>975</v>
      </c>
      <c r="F468" s="2" t="s">
        <v>32</v>
      </c>
      <c r="G468" s="2" t="s">
        <v>40</v>
      </c>
      <c r="H468" s="2" t="s">
        <v>978</v>
      </c>
      <c r="I468" s="2" t="s">
        <v>979</v>
      </c>
      <c r="J468" s="3">
        <v>1</v>
      </c>
      <c r="K468" s="2" t="s">
        <v>829</v>
      </c>
      <c r="L468" s="3">
        <v>1</v>
      </c>
      <c r="M468" s="11">
        <v>47999.99</v>
      </c>
      <c r="N468" s="3">
        <v>0</v>
      </c>
      <c r="O468" s="2" t="s">
        <v>21</v>
      </c>
      <c r="P468" s="2" t="s">
        <v>29</v>
      </c>
      <c r="Q468" s="2" t="s">
        <v>22</v>
      </c>
    </row>
    <row r="469" spans="1:17" x14ac:dyDescent="0.25">
      <c r="A469" s="1">
        <v>46176</v>
      </c>
      <c r="B469" s="1">
        <v>46175</v>
      </c>
      <c r="C469" s="2" t="s">
        <v>980</v>
      </c>
      <c r="D469" s="2" t="s">
        <v>746</v>
      </c>
      <c r="E469" s="2" t="s">
        <v>108</v>
      </c>
      <c r="F469" s="2" t="s">
        <v>32</v>
      </c>
      <c r="G469" s="2" t="s">
        <v>89</v>
      </c>
      <c r="H469" s="2" t="s">
        <v>836</v>
      </c>
      <c r="I469" s="2" t="s">
        <v>837</v>
      </c>
      <c r="J469" s="3">
        <v>1</v>
      </c>
      <c r="K469" s="2" t="s">
        <v>408</v>
      </c>
      <c r="L469" s="3">
        <v>1</v>
      </c>
      <c r="M469" s="11">
        <v>470000</v>
      </c>
      <c r="N469" s="3">
        <v>0</v>
      </c>
      <c r="O469" s="2" t="s">
        <v>21</v>
      </c>
      <c r="P469" s="2" t="s">
        <v>29</v>
      </c>
      <c r="Q469" s="2" t="s">
        <v>22</v>
      </c>
    </row>
    <row r="470" spans="1:17" x14ac:dyDescent="0.25">
      <c r="A470" s="1">
        <v>46176</v>
      </c>
      <c r="B470" s="1">
        <v>46175</v>
      </c>
      <c r="C470" s="2" t="s">
        <v>981</v>
      </c>
      <c r="D470" s="2" t="s">
        <v>746</v>
      </c>
      <c r="E470" s="2" t="s">
        <v>982</v>
      </c>
      <c r="F470" s="2" t="s">
        <v>18</v>
      </c>
      <c r="G470" s="2" t="s">
        <v>49</v>
      </c>
      <c r="H470" s="2" t="s">
        <v>983</v>
      </c>
      <c r="I470" s="2" t="s">
        <v>984</v>
      </c>
      <c r="J470" s="3">
        <v>2</v>
      </c>
      <c r="K470" s="2" t="s">
        <v>448</v>
      </c>
      <c r="L470" s="3">
        <v>2</v>
      </c>
      <c r="M470" s="11">
        <v>220000</v>
      </c>
      <c r="N470" s="3">
        <v>0</v>
      </c>
      <c r="O470" s="2" t="s">
        <v>21</v>
      </c>
      <c r="P470" s="2" t="s">
        <v>29</v>
      </c>
      <c r="Q470" s="2" t="s">
        <v>22</v>
      </c>
    </row>
    <row r="471" spans="1:17" x14ac:dyDescent="0.25">
      <c r="A471" s="1">
        <v>46176</v>
      </c>
      <c r="B471" s="1">
        <v>46175</v>
      </c>
      <c r="C471" s="2" t="s">
        <v>985</v>
      </c>
      <c r="D471" s="2" t="s">
        <v>746</v>
      </c>
      <c r="E471" s="2" t="s">
        <v>986</v>
      </c>
      <c r="F471" s="2" t="s">
        <v>18</v>
      </c>
      <c r="G471" s="2" t="s">
        <v>156</v>
      </c>
      <c r="H471" s="2" t="s">
        <v>819</v>
      </c>
      <c r="I471" s="2" t="s">
        <v>820</v>
      </c>
      <c r="J471" s="3">
        <v>1</v>
      </c>
      <c r="K471" s="2" t="s">
        <v>20</v>
      </c>
      <c r="L471" s="3">
        <v>1</v>
      </c>
      <c r="M471" s="11">
        <v>126000</v>
      </c>
      <c r="N471" s="3">
        <v>0</v>
      </c>
      <c r="O471" s="2" t="s">
        <v>21</v>
      </c>
      <c r="P471" s="2" t="s">
        <v>29</v>
      </c>
      <c r="Q471" s="2" t="s">
        <v>22</v>
      </c>
    </row>
    <row r="472" spans="1:17" x14ac:dyDescent="0.25">
      <c r="A472" s="1">
        <v>46176</v>
      </c>
      <c r="B472" s="1">
        <v>46175</v>
      </c>
      <c r="C472" s="2" t="s">
        <v>987</v>
      </c>
      <c r="D472" s="2" t="s">
        <v>746</v>
      </c>
      <c r="E472" s="2" t="s">
        <v>988</v>
      </c>
      <c r="F472" s="2" t="s">
        <v>32</v>
      </c>
      <c r="G472" s="2" t="s">
        <v>61</v>
      </c>
      <c r="H472" s="2" t="s">
        <v>799</v>
      </c>
      <c r="I472" s="2" t="s">
        <v>800</v>
      </c>
      <c r="J472" s="3">
        <v>4</v>
      </c>
      <c r="K472" s="2" t="s">
        <v>448</v>
      </c>
      <c r="L472" s="3">
        <v>4</v>
      </c>
      <c r="M472" s="11">
        <v>440000.01</v>
      </c>
      <c r="N472" s="3">
        <v>0</v>
      </c>
      <c r="O472" s="2" t="s">
        <v>21</v>
      </c>
      <c r="P472" s="2" t="s">
        <v>29</v>
      </c>
      <c r="Q472" s="2" t="s">
        <v>22</v>
      </c>
    </row>
    <row r="473" spans="1:17" x14ac:dyDescent="0.25">
      <c r="A473" s="1">
        <v>46176</v>
      </c>
      <c r="B473" s="1">
        <v>46175</v>
      </c>
      <c r="C473" s="2" t="s">
        <v>987</v>
      </c>
      <c r="D473" s="2" t="s">
        <v>746</v>
      </c>
      <c r="E473" s="2" t="s">
        <v>988</v>
      </c>
      <c r="F473" s="2" t="s">
        <v>32</v>
      </c>
      <c r="G473" s="2" t="s">
        <v>61</v>
      </c>
      <c r="H473" s="2" t="s">
        <v>989</v>
      </c>
      <c r="I473" s="2" t="s">
        <v>990</v>
      </c>
      <c r="J473" s="3">
        <v>2</v>
      </c>
      <c r="K473" s="2" t="s">
        <v>448</v>
      </c>
      <c r="L473" s="3">
        <v>2</v>
      </c>
      <c r="M473" s="11">
        <v>220000</v>
      </c>
      <c r="N473" s="3">
        <v>0</v>
      </c>
      <c r="O473" s="2" t="s">
        <v>21</v>
      </c>
      <c r="P473" s="2" t="s">
        <v>29</v>
      </c>
      <c r="Q473" s="2" t="s">
        <v>22</v>
      </c>
    </row>
    <row r="474" spans="1:17" x14ac:dyDescent="0.25">
      <c r="A474" s="1">
        <v>46176</v>
      </c>
      <c r="B474" s="1">
        <v>46175</v>
      </c>
      <c r="C474" s="2" t="s">
        <v>991</v>
      </c>
      <c r="D474" s="2" t="s">
        <v>746</v>
      </c>
      <c r="E474" s="2" t="s">
        <v>992</v>
      </c>
      <c r="F474" s="2" t="s">
        <v>18</v>
      </c>
      <c r="G474" s="2" t="s">
        <v>49</v>
      </c>
      <c r="H474" s="2" t="s">
        <v>993</v>
      </c>
      <c r="I474" s="2" t="s">
        <v>994</v>
      </c>
      <c r="J474" s="3">
        <v>1</v>
      </c>
      <c r="K474" s="2" t="s">
        <v>448</v>
      </c>
      <c r="L474" s="3">
        <v>1</v>
      </c>
      <c r="M474" s="11">
        <v>83582.820000000007</v>
      </c>
      <c r="N474" s="3">
        <v>0</v>
      </c>
      <c r="O474" s="2" t="s">
        <v>21</v>
      </c>
      <c r="P474" s="2" t="s">
        <v>29</v>
      </c>
      <c r="Q474" s="2" t="s">
        <v>22</v>
      </c>
    </row>
    <row r="475" spans="1:17" x14ac:dyDescent="0.25">
      <c r="A475" s="1">
        <v>46176</v>
      </c>
      <c r="B475" s="1">
        <v>46175</v>
      </c>
      <c r="C475" s="2" t="s">
        <v>995</v>
      </c>
      <c r="D475" s="2" t="s">
        <v>746</v>
      </c>
      <c r="E475" s="2" t="s">
        <v>580</v>
      </c>
      <c r="F475" s="2" t="s">
        <v>18</v>
      </c>
      <c r="G475" s="2" t="s">
        <v>61</v>
      </c>
      <c r="H475" s="2" t="s">
        <v>919</v>
      </c>
      <c r="I475" s="2" t="s">
        <v>920</v>
      </c>
      <c r="J475" s="3">
        <v>4</v>
      </c>
      <c r="K475" s="2" t="s">
        <v>20</v>
      </c>
      <c r="L475" s="3">
        <v>4</v>
      </c>
      <c r="M475" s="11">
        <v>1720000.01</v>
      </c>
      <c r="N475" s="3">
        <v>0</v>
      </c>
      <c r="O475" s="2" t="s">
        <v>21</v>
      </c>
      <c r="P475" s="2" t="s">
        <v>29</v>
      </c>
      <c r="Q475" s="2" t="s">
        <v>22</v>
      </c>
    </row>
    <row r="476" spans="1:17" x14ac:dyDescent="0.25">
      <c r="A476" s="1">
        <v>46176</v>
      </c>
      <c r="B476" s="1">
        <v>46175</v>
      </c>
      <c r="C476" s="2" t="s">
        <v>996</v>
      </c>
      <c r="D476" s="2" t="s">
        <v>746</v>
      </c>
      <c r="E476" s="2" t="s">
        <v>424</v>
      </c>
      <c r="F476" s="2" t="s">
        <v>32</v>
      </c>
      <c r="G476" s="2" t="s">
        <v>40</v>
      </c>
      <c r="H476" s="2" t="s">
        <v>755</v>
      </c>
      <c r="I476" s="2" t="s">
        <v>756</v>
      </c>
      <c r="J476" s="3">
        <v>8</v>
      </c>
      <c r="K476" s="2" t="s">
        <v>754</v>
      </c>
      <c r="L476" s="3">
        <v>8</v>
      </c>
      <c r="M476" s="11">
        <v>439999.99</v>
      </c>
      <c r="N476" s="3">
        <v>0</v>
      </c>
      <c r="O476" s="2" t="s">
        <v>21</v>
      </c>
      <c r="P476" s="2" t="s">
        <v>29</v>
      </c>
      <c r="Q476" s="2" t="s">
        <v>22</v>
      </c>
    </row>
    <row r="477" spans="1:17" x14ac:dyDescent="0.25">
      <c r="A477" s="1">
        <v>46176</v>
      </c>
      <c r="B477" s="1">
        <v>46175</v>
      </c>
      <c r="C477" s="2" t="s">
        <v>997</v>
      </c>
      <c r="D477" s="2" t="s">
        <v>746</v>
      </c>
      <c r="E477" s="2" t="s">
        <v>998</v>
      </c>
      <c r="F477" s="2" t="s">
        <v>32</v>
      </c>
      <c r="G477" s="2" t="s">
        <v>156</v>
      </c>
      <c r="H477" s="2" t="s">
        <v>917</v>
      </c>
      <c r="I477" s="2" t="s">
        <v>918</v>
      </c>
      <c r="J477" s="3">
        <v>26</v>
      </c>
      <c r="K477" s="2" t="s">
        <v>36</v>
      </c>
      <c r="L477" s="3">
        <v>25.899899999999999</v>
      </c>
      <c r="M477" s="11">
        <v>2460500.13</v>
      </c>
      <c r="N477" s="3">
        <v>-0.10009999999999999</v>
      </c>
      <c r="O477" s="2" t="s">
        <v>21</v>
      </c>
      <c r="P477" s="2" t="s">
        <v>29</v>
      </c>
      <c r="Q477" s="2" t="s">
        <v>22</v>
      </c>
    </row>
    <row r="478" spans="1:17" x14ac:dyDescent="0.25">
      <c r="A478" s="1">
        <v>46176</v>
      </c>
      <c r="B478" s="1">
        <v>46175</v>
      </c>
      <c r="C478" s="2" t="s">
        <v>999</v>
      </c>
      <c r="D478" s="2" t="s">
        <v>746</v>
      </c>
      <c r="E478" s="2" t="s">
        <v>734</v>
      </c>
      <c r="F478" s="2" t="s">
        <v>32</v>
      </c>
      <c r="G478" s="2" t="s">
        <v>171</v>
      </c>
      <c r="H478" s="2" t="s">
        <v>1000</v>
      </c>
      <c r="I478" s="2" t="s">
        <v>1001</v>
      </c>
      <c r="J478" s="3">
        <v>1</v>
      </c>
      <c r="K478" s="2" t="s">
        <v>664</v>
      </c>
      <c r="L478" s="3">
        <v>1</v>
      </c>
      <c r="M478" s="11">
        <v>135000</v>
      </c>
      <c r="N478" s="3">
        <v>0</v>
      </c>
      <c r="O478" s="2" t="s">
        <v>21</v>
      </c>
      <c r="P478" s="2" t="s">
        <v>29</v>
      </c>
      <c r="Q478" s="2" t="s">
        <v>22</v>
      </c>
    </row>
    <row r="479" spans="1:17" x14ac:dyDescent="0.25">
      <c r="A479" s="1">
        <v>46176</v>
      </c>
      <c r="B479" s="1">
        <v>46175</v>
      </c>
      <c r="C479" s="2" t="s">
        <v>1002</v>
      </c>
      <c r="D479" s="2" t="s">
        <v>746</v>
      </c>
      <c r="E479" s="2" t="s">
        <v>734</v>
      </c>
      <c r="F479" s="2" t="s">
        <v>32</v>
      </c>
      <c r="G479" s="2" t="s">
        <v>171</v>
      </c>
      <c r="H479" s="2" t="s">
        <v>836</v>
      </c>
      <c r="I479" s="2" t="s">
        <v>837</v>
      </c>
      <c r="J479" s="3">
        <v>3</v>
      </c>
      <c r="K479" s="2" t="s">
        <v>408</v>
      </c>
      <c r="L479" s="3">
        <v>3</v>
      </c>
      <c r="M479" s="11">
        <v>1259999.99</v>
      </c>
      <c r="N479" s="3">
        <v>0</v>
      </c>
      <c r="O479" s="2" t="s">
        <v>21</v>
      </c>
      <c r="P479" s="2" t="s">
        <v>29</v>
      </c>
      <c r="Q479" s="2" t="s">
        <v>22</v>
      </c>
    </row>
    <row r="480" spans="1:17" x14ac:dyDescent="0.25">
      <c r="A480" s="1">
        <v>46176</v>
      </c>
      <c r="B480" s="1">
        <v>46175</v>
      </c>
      <c r="C480" s="2" t="s">
        <v>1003</v>
      </c>
      <c r="D480" s="2" t="s">
        <v>746</v>
      </c>
      <c r="E480" s="2" t="s">
        <v>734</v>
      </c>
      <c r="F480" s="2" t="s">
        <v>32</v>
      </c>
      <c r="G480" s="2" t="s">
        <v>171</v>
      </c>
      <c r="H480" s="2" t="s">
        <v>1004</v>
      </c>
      <c r="I480" s="2" t="s">
        <v>1005</v>
      </c>
      <c r="J480" s="3">
        <v>1</v>
      </c>
      <c r="K480" s="2" t="s">
        <v>20</v>
      </c>
      <c r="L480" s="3">
        <v>1</v>
      </c>
      <c r="M480" s="11">
        <v>104999.99</v>
      </c>
      <c r="N480" s="3">
        <v>0</v>
      </c>
      <c r="O480" s="2" t="s">
        <v>21</v>
      </c>
      <c r="P480" s="2" t="s">
        <v>29</v>
      </c>
      <c r="Q480" s="2" t="s">
        <v>22</v>
      </c>
    </row>
    <row r="481" spans="1:17" x14ac:dyDescent="0.25">
      <c r="A481" s="1">
        <v>46176</v>
      </c>
      <c r="B481" s="1">
        <v>46175</v>
      </c>
      <c r="C481" s="2" t="s">
        <v>1006</v>
      </c>
      <c r="D481" s="2" t="s">
        <v>746</v>
      </c>
      <c r="E481" s="2" t="s">
        <v>518</v>
      </c>
      <c r="F481" s="2" t="s">
        <v>32</v>
      </c>
      <c r="G481" s="2" t="s">
        <v>171</v>
      </c>
      <c r="H481" s="2" t="s">
        <v>919</v>
      </c>
      <c r="I481" s="2" t="s">
        <v>920</v>
      </c>
      <c r="J481" s="3">
        <v>5</v>
      </c>
      <c r="K481" s="2" t="s">
        <v>20</v>
      </c>
      <c r="L481" s="3">
        <v>5</v>
      </c>
      <c r="M481" s="11">
        <v>2220000</v>
      </c>
      <c r="N481" s="3">
        <v>0</v>
      </c>
      <c r="O481" s="2" t="s">
        <v>21</v>
      </c>
      <c r="P481" s="2" t="s">
        <v>29</v>
      </c>
      <c r="Q481" s="2" t="s">
        <v>22</v>
      </c>
    </row>
    <row r="482" spans="1:17" x14ac:dyDescent="0.25">
      <c r="A482" s="1">
        <v>46176</v>
      </c>
      <c r="B482" s="1">
        <v>46175</v>
      </c>
      <c r="C482" s="2" t="s">
        <v>1007</v>
      </c>
      <c r="D482" s="2" t="s">
        <v>746</v>
      </c>
      <c r="E482" s="2" t="s">
        <v>518</v>
      </c>
      <c r="F482" s="2" t="s">
        <v>32</v>
      </c>
      <c r="G482" s="2" t="s">
        <v>171</v>
      </c>
      <c r="H482" s="2" t="s">
        <v>1008</v>
      </c>
      <c r="I482" s="2" t="s">
        <v>1009</v>
      </c>
      <c r="J482" s="3">
        <v>10</v>
      </c>
      <c r="K482" s="2" t="s">
        <v>36</v>
      </c>
      <c r="L482" s="3">
        <v>6.18</v>
      </c>
      <c r="M482" s="11">
        <v>784860</v>
      </c>
      <c r="N482" s="3">
        <v>-3.82</v>
      </c>
      <c r="O482" s="2" t="s">
        <v>21</v>
      </c>
      <c r="P482" s="2" t="s">
        <v>29</v>
      </c>
      <c r="Q482" s="2" t="s">
        <v>22</v>
      </c>
    </row>
    <row r="483" spans="1:17" x14ac:dyDescent="0.25">
      <c r="A483" s="1">
        <v>46176</v>
      </c>
      <c r="B483" s="1">
        <v>46175</v>
      </c>
      <c r="C483" s="2" t="s">
        <v>1010</v>
      </c>
      <c r="D483" s="2" t="s">
        <v>746</v>
      </c>
      <c r="E483" s="2" t="s">
        <v>260</v>
      </c>
      <c r="F483" s="2" t="s">
        <v>18</v>
      </c>
      <c r="G483" s="2" t="s">
        <v>61</v>
      </c>
      <c r="H483" s="2" t="s">
        <v>875</v>
      </c>
      <c r="I483" s="2" t="s">
        <v>876</v>
      </c>
      <c r="J483" s="3">
        <v>3</v>
      </c>
      <c r="K483" s="2" t="s">
        <v>36</v>
      </c>
      <c r="L483" s="3">
        <v>3</v>
      </c>
      <c r="M483" s="11">
        <v>300000</v>
      </c>
      <c r="N483" s="3">
        <v>0</v>
      </c>
      <c r="O483" s="2" t="s">
        <v>21</v>
      </c>
      <c r="P483" s="2" t="s">
        <v>29</v>
      </c>
      <c r="Q483" s="2" t="s">
        <v>22</v>
      </c>
    </row>
    <row r="484" spans="1:17" x14ac:dyDescent="0.25">
      <c r="A484" s="1">
        <v>46176</v>
      </c>
      <c r="B484" s="1">
        <v>46175</v>
      </c>
      <c r="C484" s="2" t="s">
        <v>1010</v>
      </c>
      <c r="D484" s="2" t="s">
        <v>746</v>
      </c>
      <c r="E484" s="2" t="s">
        <v>260</v>
      </c>
      <c r="F484" s="2" t="s">
        <v>18</v>
      </c>
      <c r="G484" s="2" t="s">
        <v>61</v>
      </c>
      <c r="H484" s="2" t="s">
        <v>1011</v>
      </c>
      <c r="I484" s="2" t="s">
        <v>1012</v>
      </c>
      <c r="J484" s="3">
        <v>2</v>
      </c>
      <c r="K484" s="2" t="s">
        <v>20</v>
      </c>
      <c r="L484" s="3">
        <v>2</v>
      </c>
      <c r="M484" s="11">
        <v>149999.99</v>
      </c>
      <c r="N484" s="3">
        <v>0</v>
      </c>
      <c r="O484" s="2" t="s">
        <v>21</v>
      </c>
      <c r="P484" s="2" t="s">
        <v>29</v>
      </c>
      <c r="Q484" s="2" t="s">
        <v>22</v>
      </c>
    </row>
    <row r="485" spans="1:17" x14ac:dyDescent="0.25">
      <c r="A485" s="1">
        <v>46176</v>
      </c>
      <c r="B485" s="1">
        <v>46175</v>
      </c>
      <c r="C485" s="2" t="s">
        <v>1013</v>
      </c>
      <c r="D485" s="2" t="s">
        <v>746</v>
      </c>
      <c r="E485" s="2" t="s">
        <v>353</v>
      </c>
      <c r="F485" s="2" t="s">
        <v>32</v>
      </c>
      <c r="G485" s="2" t="s">
        <v>33</v>
      </c>
      <c r="H485" s="2" t="s">
        <v>1008</v>
      </c>
      <c r="I485" s="2" t="s">
        <v>1009</v>
      </c>
      <c r="J485" s="3">
        <v>15</v>
      </c>
      <c r="K485" s="2" t="s">
        <v>36</v>
      </c>
      <c r="L485" s="3">
        <v>12.9</v>
      </c>
      <c r="M485" s="11">
        <v>1638300</v>
      </c>
      <c r="N485" s="3">
        <v>-2.1</v>
      </c>
      <c r="O485" s="2" t="s">
        <v>21</v>
      </c>
      <c r="P485" s="2" t="s">
        <v>29</v>
      </c>
      <c r="Q485" s="2" t="s">
        <v>528</v>
      </c>
    </row>
    <row r="486" spans="1:17" x14ac:dyDescent="0.25">
      <c r="A486" s="1">
        <v>46176</v>
      </c>
      <c r="B486" s="1">
        <v>46175</v>
      </c>
      <c r="C486" s="2" t="s">
        <v>1013</v>
      </c>
      <c r="D486" s="2" t="s">
        <v>746</v>
      </c>
      <c r="E486" s="2" t="s">
        <v>353</v>
      </c>
      <c r="F486" s="2" t="s">
        <v>32</v>
      </c>
      <c r="G486" s="2" t="s">
        <v>33</v>
      </c>
      <c r="H486" s="2" t="s">
        <v>1014</v>
      </c>
      <c r="I486" s="2" t="s">
        <v>1015</v>
      </c>
      <c r="J486" s="3">
        <v>10</v>
      </c>
      <c r="K486" s="2" t="s">
        <v>36</v>
      </c>
      <c r="L486" s="3">
        <v>10.24</v>
      </c>
      <c r="M486" s="11">
        <v>1228800</v>
      </c>
      <c r="N486" s="3">
        <v>0.24</v>
      </c>
      <c r="O486" s="2" t="s">
        <v>21</v>
      </c>
      <c r="P486" s="2" t="s">
        <v>29</v>
      </c>
      <c r="Q486" s="2" t="s">
        <v>528</v>
      </c>
    </row>
    <row r="487" spans="1:17" x14ac:dyDescent="0.25">
      <c r="A487" s="1">
        <v>46176</v>
      </c>
      <c r="B487" s="1">
        <v>46175</v>
      </c>
      <c r="C487" s="2" t="s">
        <v>1016</v>
      </c>
      <c r="D487" s="2" t="s">
        <v>746</v>
      </c>
      <c r="E487" s="2" t="s">
        <v>1017</v>
      </c>
      <c r="F487" s="2" t="s">
        <v>32</v>
      </c>
      <c r="G487" s="2" t="s">
        <v>56</v>
      </c>
      <c r="H487" s="2" t="s">
        <v>1018</v>
      </c>
      <c r="I487" s="2" t="s">
        <v>1019</v>
      </c>
      <c r="J487" s="3">
        <v>1</v>
      </c>
      <c r="K487" s="2" t="s">
        <v>20</v>
      </c>
      <c r="L487" s="3">
        <v>1</v>
      </c>
      <c r="M487" s="11">
        <v>501600.01</v>
      </c>
      <c r="N487" s="3">
        <v>0</v>
      </c>
      <c r="O487" s="2" t="s">
        <v>21</v>
      </c>
      <c r="P487" s="2" t="s">
        <v>29</v>
      </c>
      <c r="Q487" s="2" t="s">
        <v>22</v>
      </c>
    </row>
    <row r="488" spans="1:17" x14ac:dyDescent="0.25">
      <c r="A488" s="1">
        <v>46176</v>
      </c>
      <c r="B488" s="1">
        <v>46175</v>
      </c>
      <c r="C488" s="2" t="s">
        <v>1020</v>
      </c>
      <c r="D488" s="2" t="s">
        <v>746</v>
      </c>
      <c r="E488" s="2" t="s">
        <v>353</v>
      </c>
      <c r="F488" s="2" t="s">
        <v>32</v>
      </c>
      <c r="G488" s="2" t="s">
        <v>33</v>
      </c>
      <c r="H488" s="2" t="s">
        <v>875</v>
      </c>
      <c r="I488" s="2" t="s">
        <v>876</v>
      </c>
      <c r="J488" s="3">
        <v>20</v>
      </c>
      <c r="K488" s="2" t="s">
        <v>36</v>
      </c>
      <c r="L488" s="3">
        <v>20</v>
      </c>
      <c r="M488" s="11">
        <v>2000000</v>
      </c>
      <c r="N488" s="3">
        <v>0</v>
      </c>
      <c r="O488" s="2" t="s">
        <v>21</v>
      </c>
      <c r="P488" s="2" t="s">
        <v>29</v>
      </c>
      <c r="Q488" s="2" t="s">
        <v>1021</v>
      </c>
    </row>
    <row r="489" spans="1:17" x14ac:dyDescent="0.25">
      <c r="A489" s="1">
        <v>46176</v>
      </c>
      <c r="B489" s="1">
        <v>46175</v>
      </c>
      <c r="C489" s="2" t="s">
        <v>1022</v>
      </c>
      <c r="D489" s="2" t="s">
        <v>746</v>
      </c>
      <c r="E489" s="2" t="s">
        <v>878</v>
      </c>
      <c r="F489" s="2" t="s">
        <v>32</v>
      </c>
      <c r="G489" s="2" t="s">
        <v>61</v>
      </c>
      <c r="H489" s="2" t="s">
        <v>1018</v>
      </c>
      <c r="I489" s="2" t="s">
        <v>1019</v>
      </c>
      <c r="J489" s="3">
        <v>4</v>
      </c>
      <c r="K489" s="2" t="s">
        <v>20</v>
      </c>
      <c r="L489" s="3">
        <v>4</v>
      </c>
      <c r="M489" s="11">
        <v>2112000</v>
      </c>
      <c r="N489" s="3">
        <v>0</v>
      </c>
      <c r="O489" s="2" t="s">
        <v>21</v>
      </c>
      <c r="P489" s="2" t="s">
        <v>29</v>
      </c>
      <c r="Q489" s="2" t="s">
        <v>22</v>
      </c>
    </row>
    <row r="490" spans="1:17" x14ac:dyDescent="0.25">
      <c r="A490" s="1">
        <v>46176</v>
      </c>
      <c r="B490" s="1">
        <v>46175</v>
      </c>
      <c r="C490" s="2" t="s">
        <v>1023</v>
      </c>
      <c r="D490" s="2" t="s">
        <v>746</v>
      </c>
      <c r="E490" s="2" t="s">
        <v>1024</v>
      </c>
      <c r="F490" s="2" t="s">
        <v>18</v>
      </c>
      <c r="G490" s="2" t="s">
        <v>61</v>
      </c>
      <c r="H490" s="2" t="s">
        <v>799</v>
      </c>
      <c r="I490" s="2" t="s">
        <v>800</v>
      </c>
      <c r="J490" s="3">
        <v>1</v>
      </c>
      <c r="K490" s="2" t="s">
        <v>448</v>
      </c>
      <c r="L490" s="3">
        <v>1</v>
      </c>
      <c r="M490" s="11">
        <v>110000</v>
      </c>
      <c r="N490" s="3">
        <v>0</v>
      </c>
      <c r="O490" s="2" t="s">
        <v>21</v>
      </c>
      <c r="P490" s="2" t="s">
        <v>29</v>
      </c>
      <c r="Q490" s="2" t="s">
        <v>22</v>
      </c>
    </row>
    <row r="491" spans="1:17" x14ac:dyDescent="0.25">
      <c r="A491" s="1">
        <v>46176</v>
      </c>
      <c r="B491" s="1">
        <v>46175</v>
      </c>
      <c r="C491" s="2" t="s">
        <v>1025</v>
      </c>
      <c r="D491" s="2" t="s">
        <v>746</v>
      </c>
      <c r="E491" s="2" t="s">
        <v>1026</v>
      </c>
      <c r="F491" s="2" t="s">
        <v>18</v>
      </c>
      <c r="G491" s="2" t="s">
        <v>89</v>
      </c>
      <c r="H491" s="2" t="s">
        <v>799</v>
      </c>
      <c r="I491" s="2" t="s">
        <v>800</v>
      </c>
      <c r="J491" s="3">
        <v>2</v>
      </c>
      <c r="K491" s="2" t="s">
        <v>448</v>
      </c>
      <c r="L491" s="3">
        <v>2</v>
      </c>
      <c r="M491" s="11">
        <v>220000</v>
      </c>
      <c r="N491" s="3">
        <v>0</v>
      </c>
      <c r="O491" s="2" t="s">
        <v>21</v>
      </c>
      <c r="P491" s="2" t="s">
        <v>29</v>
      </c>
      <c r="Q491" s="2" t="s">
        <v>22</v>
      </c>
    </row>
    <row r="492" spans="1:17" x14ac:dyDescent="0.25">
      <c r="A492" s="1">
        <v>46176</v>
      </c>
      <c r="B492" s="1">
        <v>46175</v>
      </c>
      <c r="C492" s="2" t="s">
        <v>1027</v>
      </c>
      <c r="D492" s="2" t="s">
        <v>746</v>
      </c>
      <c r="E492" s="2" t="s">
        <v>1024</v>
      </c>
      <c r="F492" s="2" t="s">
        <v>18</v>
      </c>
      <c r="G492" s="2" t="s">
        <v>61</v>
      </c>
      <c r="H492" s="2" t="s">
        <v>813</v>
      </c>
      <c r="I492" s="2" t="s">
        <v>814</v>
      </c>
      <c r="J492" s="3">
        <v>3</v>
      </c>
      <c r="K492" s="2" t="s">
        <v>448</v>
      </c>
      <c r="L492" s="3">
        <v>3</v>
      </c>
      <c r="M492" s="11">
        <v>330000</v>
      </c>
      <c r="N492" s="3">
        <v>0</v>
      </c>
      <c r="O492" s="2" t="s">
        <v>21</v>
      </c>
      <c r="P492" s="2" t="s">
        <v>29</v>
      </c>
      <c r="Q492" s="2" t="s">
        <v>22</v>
      </c>
    </row>
    <row r="493" spans="1:17" x14ac:dyDescent="0.25">
      <c r="A493" s="1">
        <v>46176</v>
      </c>
      <c r="B493" s="1">
        <v>46175</v>
      </c>
      <c r="C493" s="2" t="s">
        <v>1028</v>
      </c>
      <c r="D493" s="2" t="s">
        <v>746</v>
      </c>
      <c r="E493" s="2" t="s">
        <v>1029</v>
      </c>
      <c r="F493" s="2" t="s">
        <v>18</v>
      </c>
      <c r="G493" s="2" t="s">
        <v>25</v>
      </c>
      <c r="H493" s="2" t="s">
        <v>799</v>
      </c>
      <c r="I493" s="2" t="s">
        <v>800</v>
      </c>
      <c r="J493" s="3">
        <v>4</v>
      </c>
      <c r="K493" s="2" t="s">
        <v>448</v>
      </c>
      <c r="L493" s="3">
        <v>4</v>
      </c>
      <c r="M493" s="11">
        <v>440000</v>
      </c>
      <c r="N493" s="3">
        <v>0</v>
      </c>
      <c r="O493" s="2" t="s">
        <v>21</v>
      </c>
      <c r="P493" s="2" t="s">
        <v>29</v>
      </c>
      <c r="Q493" s="2" t="s">
        <v>22</v>
      </c>
    </row>
    <row r="494" spans="1:17" x14ac:dyDescent="0.25">
      <c r="A494" s="1">
        <v>46176</v>
      </c>
      <c r="B494" s="1">
        <v>46175</v>
      </c>
      <c r="C494" s="2" t="s">
        <v>1028</v>
      </c>
      <c r="D494" s="2" t="s">
        <v>746</v>
      </c>
      <c r="E494" s="2" t="s">
        <v>1029</v>
      </c>
      <c r="F494" s="2" t="s">
        <v>18</v>
      </c>
      <c r="G494" s="2" t="s">
        <v>25</v>
      </c>
      <c r="H494" s="2" t="s">
        <v>854</v>
      </c>
      <c r="I494" s="2" t="s">
        <v>855</v>
      </c>
      <c r="J494" s="3">
        <v>4</v>
      </c>
      <c r="K494" s="2" t="s">
        <v>448</v>
      </c>
      <c r="L494" s="3">
        <v>4</v>
      </c>
      <c r="M494" s="11">
        <v>440000</v>
      </c>
      <c r="N494" s="3">
        <v>0</v>
      </c>
      <c r="O494" s="2" t="s">
        <v>21</v>
      </c>
      <c r="P494" s="2" t="s">
        <v>29</v>
      </c>
      <c r="Q494" s="2" t="s">
        <v>22</v>
      </c>
    </row>
    <row r="495" spans="1:17" x14ac:dyDescent="0.25">
      <c r="A495" s="1">
        <v>46176</v>
      </c>
      <c r="B495" s="1">
        <v>46175</v>
      </c>
      <c r="C495" s="2" t="s">
        <v>1028</v>
      </c>
      <c r="D495" s="2" t="s">
        <v>746</v>
      </c>
      <c r="E495" s="2" t="s">
        <v>1029</v>
      </c>
      <c r="F495" s="2" t="s">
        <v>18</v>
      </c>
      <c r="G495" s="2" t="s">
        <v>25</v>
      </c>
      <c r="H495" s="2" t="s">
        <v>770</v>
      </c>
      <c r="I495" s="2" t="s">
        <v>771</v>
      </c>
      <c r="J495" s="3">
        <v>1</v>
      </c>
      <c r="K495" s="2" t="s">
        <v>20</v>
      </c>
      <c r="L495" s="3">
        <v>1</v>
      </c>
      <c r="M495" s="11">
        <v>55000</v>
      </c>
      <c r="N495" s="3">
        <v>0</v>
      </c>
      <c r="O495" s="2" t="s">
        <v>21</v>
      </c>
      <c r="P495" s="2" t="s">
        <v>29</v>
      </c>
      <c r="Q495" s="2" t="s">
        <v>22</v>
      </c>
    </row>
    <row r="496" spans="1:17" x14ac:dyDescent="0.25">
      <c r="A496" s="1">
        <v>46176</v>
      </c>
      <c r="B496" s="1">
        <v>46175</v>
      </c>
      <c r="C496" s="2" t="s">
        <v>1028</v>
      </c>
      <c r="D496" s="2" t="s">
        <v>746</v>
      </c>
      <c r="E496" s="2" t="s">
        <v>1029</v>
      </c>
      <c r="F496" s="2" t="s">
        <v>18</v>
      </c>
      <c r="G496" s="2" t="s">
        <v>25</v>
      </c>
      <c r="H496" s="2" t="s">
        <v>813</v>
      </c>
      <c r="I496" s="2" t="s">
        <v>814</v>
      </c>
      <c r="J496" s="3">
        <v>5</v>
      </c>
      <c r="K496" s="2" t="s">
        <v>448</v>
      </c>
      <c r="L496" s="3">
        <v>5</v>
      </c>
      <c r="M496" s="11">
        <v>550000</v>
      </c>
      <c r="N496" s="3">
        <v>0</v>
      </c>
      <c r="O496" s="2" t="s">
        <v>21</v>
      </c>
      <c r="P496" s="2" t="s">
        <v>29</v>
      </c>
      <c r="Q496" s="2" t="s">
        <v>22</v>
      </c>
    </row>
    <row r="497" spans="1:17" x14ac:dyDescent="0.25">
      <c r="A497" s="1">
        <v>46176</v>
      </c>
      <c r="B497" s="1">
        <v>46175</v>
      </c>
      <c r="C497" s="2" t="s">
        <v>1028</v>
      </c>
      <c r="D497" s="2" t="s">
        <v>746</v>
      </c>
      <c r="E497" s="2" t="s">
        <v>1029</v>
      </c>
      <c r="F497" s="2" t="s">
        <v>18</v>
      </c>
      <c r="G497" s="2" t="s">
        <v>25</v>
      </c>
      <c r="H497" s="2" t="s">
        <v>780</v>
      </c>
      <c r="I497" s="2" t="s">
        <v>781</v>
      </c>
      <c r="J497" s="3">
        <v>3</v>
      </c>
      <c r="K497" s="2" t="s">
        <v>448</v>
      </c>
      <c r="L497" s="3">
        <v>3</v>
      </c>
      <c r="M497" s="11">
        <v>330000</v>
      </c>
      <c r="N497" s="3">
        <v>0</v>
      </c>
      <c r="O497" s="2" t="s">
        <v>21</v>
      </c>
      <c r="P497" s="2" t="s">
        <v>29</v>
      </c>
      <c r="Q497" s="2" t="s">
        <v>22</v>
      </c>
    </row>
    <row r="498" spans="1:17" x14ac:dyDescent="0.25">
      <c r="A498" s="1">
        <v>46176</v>
      </c>
      <c r="B498" s="1">
        <v>46175</v>
      </c>
      <c r="C498" s="2" t="s">
        <v>1028</v>
      </c>
      <c r="D498" s="2" t="s">
        <v>746</v>
      </c>
      <c r="E498" s="2" t="s">
        <v>1029</v>
      </c>
      <c r="F498" s="2" t="s">
        <v>18</v>
      </c>
      <c r="G498" s="2" t="s">
        <v>25</v>
      </c>
      <c r="H498" s="2" t="s">
        <v>1030</v>
      </c>
      <c r="I498" s="2" t="s">
        <v>1031</v>
      </c>
      <c r="J498" s="3">
        <v>4</v>
      </c>
      <c r="K498" s="2" t="s">
        <v>448</v>
      </c>
      <c r="L498" s="3">
        <v>4</v>
      </c>
      <c r="M498" s="11">
        <v>440000</v>
      </c>
      <c r="N498" s="3">
        <v>0</v>
      </c>
      <c r="O498" s="2" t="s">
        <v>21</v>
      </c>
      <c r="P498" s="2" t="s">
        <v>29</v>
      </c>
      <c r="Q498" s="2" t="s">
        <v>22</v>
      </c>
    </row>
    <row r="499" spans="1:17" x14ac:dyDescent="0.25">
      <c r="A499" s="1">
        <v>46176</v>
      </c>
      <c r="B499" s="1">
        <v>46175</v>
      </c>
      <c r="C499" s="2" t="s">
        <v>1028</v>
      </c>
      <c r="D499" s="2" t="s">
        <v>746</v>
      </c>
      <c r="E499" s="2" t="s">
        <v>1029</v>
      </c>
      <c r="F499" s="2" t="s">
        <v>18</v>
      </c>
      <c r="G499" s="2" t="s">
        <v>25</v>
      </c>
      <c r="H499" s="2" t="s">
        <v>1032</v>
      </c>
      <c r="I499" s="2" t="s">
        <v>1033</v>
      </c>
      <c r="J499" s="3">
        <v>4</v>
      </c>
      <c r="K499" s="2" t="s">
        <v>448</v>
      </c>
      <c r="L499" s="3">
        <v>4</v>
      </c>
      <c r="M499" s="11">
        <v>440000.02</v>
      </c>
      <c r="N499" s="3">
        <v>0</v>
      </c>
      <c r="O499" s="2" t="s">
        <v>21</v>
      </c>
      <c r="P499" s="2" t="s">
        <v>29</v>
      </c>
      <c r="Q499" s="2" t="s">
        <v>22</v>
      </c>
    </row>
    <row r="500" spans="1:17" x14ac:dyDescent="0.25">
      <c r="A500" s="1">
        <v>46176</v>
      </c>
      <c r="B500" s="1">
        <v>46175</v>
      </c>
      <c r="C500" s="2" t="s">
        <v>1034</v>
      </c>
      <c r="D500" s="2" t="s">
        <v>746</v>
      </c>
      <c r="E500" s="2" t="s">
        <v>1035</v>
      </c>
      <c r="F500" s="2" t="s">
        <v>18</v>
      </c>
      <c r="G500" s="2" t="s">
        <v>171</v>
      </c>
      <c r="H500" s="2" t="s">
        <v>792</v>
      </c>
      <c r="I500" s="2" t="s">
        <v>793</v>
      </c>
      <c r="J500" s="3">
        <v>1</v>
      </c>
      <c r="K500" s="2" t="s">
        <v>20</v>
      </c>
      <c r="L500" s="3">
        <v>1</v>
      </c>
      <c r="M500" s="11">
        <v>206000.01</v>
      </c>
      <c r="N500" s="3">
        <v>0</v>
      </c>
      <c r="O500" s="2" t="s">
        <v>21</v>
      </c>
      <c r="P500" s="2" t="s">
        <v>29</v>
      </c>
      <c r="Q500" s="2" t="s">
        <v>22</v>
      </c>
    </row>
    <row r="501" spans="1:17" x14ac:dyDescent="0.25">
      <c r="A501" s="1">
        <v>46176</v>
      </c>
      <c r="B501" s="1">
        <v>46175</v>
      </c>
      <c r="C501" s="2" t="s">
        <v>1034</v>
      </c>
      <c r="D501" s="2" t="s">
        <v>746</v>
      </c>
      <c r="E501" s="2" t="s">
        <v>1035</v>
      </c>
      <c r="F501" s="2" t="s">
        <v>18</v>
      </c>
      <c r="G501" s="2" t="s">
        <v>171</v>
      </c>
      <c r="H501" s="2" t="s">
        <v>1036</v>
      </c>
      <c r="I501" s="2" t="s">
        <v>1037</v>
      </c>
      <c r="J501" s="3">
        <v>1</v>
      </c>
      <c r="K501" s="2" t="s">
        <v>20</v>
      </c>
      <c r="L501" s="3">
        <v>1</v>
      </c>
      <c r="M501" s="11">
        <v>118000</v>
      </c>
      <c r="N501" s="3">
        <v>0</v>
      </c>
      <c r="O501" s="2" t="s">
        <v>21</v>
      </c>
      <c r="P501" s="2" t="s">
        <v>29</v>
      </c>
      <c r="Q501" s="2" t="s">
        <v>22</v>
      </c>
    </row>
    <row r="502" spans="1:17" x14ac:dyDescent="0.25">
      <c r="A502" s="1">
        <v>46176</v>
      </c>
      <c r="B502" s="1">
        <v>46175</v>
      </c>
      <c r="C502" s="2" t="s">
        <v>1038</v>
      </c>
      <c r="D502" s="2" t="s">
        <v>746</v>
      </c>
      <c r="E502" s="2" t="s">
        <v>221</v>
      </c>
      <c r="F502" s="2" t="s">
        <v>32</v>
      </c>
      <c r="G502" s="2" t="s">
        <v>33</v>
      </c>
      <c r="H502" s="2" t="s">
        <v>900</v>
      </c>
      <c r="I502" s="2" t="s">
        <v>901</v>
      </c>
      <c r="J502" s="3">
        <v>12</v>
      </c>
      <c r="K502" s="2" t="s">
        <v>664</v>
      </c>
      <c r="L502" s="3">
        <v>12</v>
      </c>
      <c r="M502" s="11">
        <v>1020000.05</v>
      </c>
      <c r="N502" s="3">
        <v>0</v>
      </c>
      <c r="O502" s="2" t="s">
        <v>21</v>
      </c>
      <c r="P502" s="2" t="s">
        <v>29</v>
      </c>
      <c r="Q502" s="2" t="s">
        <v>22</v>
      </c>
    </row>
    <row r="503" spans="1:17" x14ac:dyDescent="0.25">
      <c r="A503" s="1">
        <v>46176</v>
      </c>
      <c r="B503" s="1">
        <v>46175</v>
      </c>
      <c r="C503" s="2" t="s">
        <v>1039</v>
      </c>
      <c r="D503" s="2" t="s">
        <v>746</v>
      </c>
      <c r="E503" s="2" t="s">
        <v>460</v>
      </c>
      <c r="F503" s="2" t="s">
        <v>32</v>
      </c>
      <c r="G503" s="2" t="s">
        <v>33</v>
      </c>
      <c r="H503" s="2" t="s">
        <v>1008</v>
      </c>
      <c r="I503" s="2" t="s">
        <v>1009</v>
      </c>
      <c r="J503" s="3">
        <v>5</v>
      </c>
      <c r="K503" s="2" t="s">
        <v>36</v>
      </c>
      <c r="L503" s="3">
        <v>5.34</v>
      </c>
      <c r="M503" s="11">
        <v>694200</v>
      </c>
      <c r="N503" s="3">
        <v>0.34</v>
      </c>
      <c r="O503" s="2" t="s">
        <v>21</v>
      </c>
      <c r="P503" s="2" t="s">
        <v>29</v>
      </c>
      <c r="Q503" s="2" t="s">
        <v>1040</v>
      </c>
    </row>
    <row r="504" spans="1:17" x14ac:dyDescent="0.25">
      <c r="A504" s="1">
        <v>46176</v>
      </c>
      <c r="B504" s="1">
        <v>46175</v>
      </c>
      <c r="C504" s="2" t="s">
        <v>1041</v>
      </c>
      <c r="D504" s="2" t="s">
        <v>746</v>
      </c>
      <c r="E504" s="2" t="s">
        <v>1042</v>
      </c>
      <c r="F504" s="2" t="s">
        <v>18</v>
      </c>
      <c r="G504" s="2" t="s">
        <v>238</v>
      </c>
      <c r="H504" s="2" t="s">
        <v>1000</v>
      </c>
      <c r="I504" s="2" t="s">
        <v>1001</v>
      </c>
      <c r="J504" s="3">
        <v>12</v>
      </c>
      <c r="K504" s="2" t="s">
        <v>664</v>
      </c>
      <c r="L504" s="3">
        <v>12</v>
      </c>
      <c r="M504" s="11">
        <v>1559999.99</v>
      </c>
      <c r="N504" s="3">
        <v>0</v>
      </c>
      <c r="O504" s="2" t="s">
        <v>21</v>
      </c>
      <c r="P504" s="2" t="s">
        <v>29</v>
      </c>
      <c r="Q504" s="2" t="s">
        <v>22</v>
      </c>
    </row>
    <row r="505" spans="1:17" x14ac:dyDescent="0.25">
      <c r="A505" s="1">
        <v>46176</v>
      </c>
      <c r="B505" s="1">
        <v>46175</v>
      </c>
      <c r="C505" s="2" t="s">
        <v>1043</v>
      </c>
      <c r="D505" s="2" t="s">
        <v>746</v>
      </c>
      <c r="E505" s="2" t="s">
        <v>1044</v>
      </c>
      <c r="F505" s="2" t="s">
        <v>18</v>
      </c>
      <c r="G505" s="2" t="s">
        <v>19</v>
      </c>
      <c r="H505" s="2" t="s">
        <v>908</v>
      </c>
      <c r="I505" s="2" t="s">
        <v>909</v>
      </c>
      <c r="J505" s="3">
        <v>1</v>
      </c>
      <c r="K505" s="2" t="s">
        <v>408</v>
      </c>
      <c r="L505" s="3">
        <v>1</v>
      </c>
      <c r="M505" s="11">
        <v>550000.01</v>
      </c>
      <c r="N505" s="3">
        <v>0</v>
      </c>
      <c r="O505" s="2" t="s">
        <v>21</v>
      </c>
      <c r="P505" s="2" t="s">
        <v>29</v>
      </c>
      <c r="Q505" s="2" t="s">
        <v>22</v>
      </c>
    </row>
    <row r="506" spans="1:17" x14ac:dyDescent="0.25">
      <c r="A506" s="1">
        <v>46176</v>
      </c>
      <c r="B506" s="1">
        <v>46175</v>
      </c>
      <c r="C506" s="2" t="s">
        <v>1045</v>
      </c>
      <c r="D506" s="2" t="s">
        <v>746</v>
      </c>
      <c r="E506" s="2" t="s">
        <v>1046</v>
      </c>
      <c r="F506" s="2" t="s">
        <v>32</v>
      </c>
      <c r="G506" s="2" t="s">
        <v>40</v>
      </c>
      <c r="H506" s="2" t="s">
        <v>819</v>
      </c>
      <c r="I506" s="2" t="s">
        <v>820</v>
      </c>
      <c r="J506" s="3">
        <v>1</v>
      </c>
      <c r="K506" s="2" t="s">
        <v>20</v>
      </c>
      <c r="L506" s="3">
        <v>1</v>
      </c>
      <c r="M506" s="11">
        <v>126000</v>
      </c>
      <c r="N506" s="3">
        <v>0</v>
      </c>
      <c r="O506" s="2" t="s">
        <v>21</v>
      </c>
      <c r="P506" s="2" t="s">
        <v>29</v>
      </c>
      <c r="Q506" s="2" t="s">
        <v>22</v>
      </c>
    </row>
    <row r="507" spans="1:17" x14ac:dyDescent="0.25">
      <c r="A507" s="1">
        <v>46176</v>
      </c>
      <c r="B507" s="1">
        <v>46175</v>
      </c>
      <c r="C507" s="2" t="s">
        <v>1047</v>
      </c>
      <c r="D507" s="2" t="s">
        <v>746</v>
      </c>
      <c r="E507" s="2" t="s">
        <v>1046</v>
      </c>
      <c r="F507" s="2" t="s">
        <v>32</v>
      </c>
      <c r="G507" s="2" t="s">
        <v>40</v>
      </c>
      <c r="H507" s="2" t="s">
        <v>1048</v>
      </c>
      <c r="I507" s="2" t="s">
        <v>1049</v>
      </c>
      <c r="J507" s="3">
        <v>25</v>
      </c>
      <c r="K507" s="2" t="s">
        <v>36</v>
      </c>
      <c r="L507" s="3">
        <v>25</v>
      </c>
      <c r="M507" s="11">
        <v>4124995.6</v>
      </c>
      <c r="N507" s="3">
        <v>0</v>
      </c>
      <c r="O507" s="2" t="s">
        <v>21</v>
      </c>
      <c r="P507" s="2" t="s">
        <v>29</v>
      </c>
      <c r="Q507" s="2" t="s">
        <v>22</v>
      </c>
    </row>
    <row r="508" spans="1:17" x14ac:dyDescent="0.25">
      <c r="A508" s="1">
        <v>46176</v>
      </c>
      <c r="B508" s="1">
        <v>46175</v>
      </c>
      <c r="C508" s="2" t="s">
        <v>1050</v>
      </c>
      <c r="D508" s="2" t="s">
        <v>746</v>
      </c>
      <c r="E508" s="2" t="s">
        <v>597</v>
      </c>
      <c r="F508" s="2" t="s">
        <v>32</v>
      </c>
      <c r="G508" s="2" t="s">
        <v>33</v>
      </c>
      <c r="H508" s="2" t="s">
        <v>917</v>
      </c>
      <c r="I508" s="2" t="s">
        <v>918</v>
      </c>
      <c r="J508" s="3">
        <v>60</v>
      </c>
      <c r="K508" s="2" t="s">
        <v>36</v>
      </c>
      <c r="L508" s="3">
        <v>60.31</v>
      </c>
      <c r="M508" s="11">
        <v>6634100.0599999996</v>
      </c>
      <c r="N508" s="3">
        <v>0.31</v>
      </c>
      <c r="O508" s="2" t="s">
        <v>21</v>
      </c>
      <c r="P508" s="2" t="s">
        <v>29</v>
      </c>
      <c r="Q508" s="2" t="s">
        <v>22</v>
      </c>
    </row>
    <row r="509" spans="1:17" x14ac:dyDescent="0.25">
      <c r="A509" s="1">
        <v>46176</v>
      </c>
      <c r="B509" s="1">
        <v>46175</v>
      </c>
      <c r="C509" s="2" t="s">
        <v>1051</v>
      </c>
      <c r="D509" s="2" t="s">
        <v>746</v>
      </c>
      <c r="E509" s="2" t="s">
        <v>1052</v>
      </c>
      <c r="F509" s="2" t="s">
        <v>18</v>
      </c>
      <c r="G509" s="2" t="s">
        <v>49</v>
      </c>
      <c r="H509" s="2" t="s">
        <v>1014</v>
      </c>
      <c r="I509" s="2" t="s">
        <v>1015</v>
      </c>
      <c r="J509" s="3">
        <v>5</v>
      </c>
      <c r="K509" s="2" t="s">
        <v>36</v>
      </c>
      <c r="L509" s="3">
        <v>9.7798999999999996</v>
      </c>
      <c r="M509" s="11">
        <v>1173600</v>
      </c>
      <c r="N509" s="3">
        <v>4.7798999999999996</v>
      </c>
      <c r="O509" s="2" t="s">
        <v>21</v>
      </c>
      <c r="P509" s="2" t="s">
        <v>29</v>
      </c>
      <c r="Q509" s="2" t="s">
        <v>62</v>
      </c>
    </row>
    <row r="510" spans="1:17" x14ac:dyDescent="0.25">
      <c r="A510" s="1">
        <v>46176</v>
      </c>
      <c r="B510" s="1">
        <v>46175</v>
      </c>
      <c r="C510" s="2" t="s">
        <v>1053</v>
      </c>
      <c r="D510" s="2" t="s">
        <v>746</v>
      </c>
      <c r="E510" s="2" t="s">
        <v>1054</v>
      </c>
      <c r="F510" s="2" t="s">
        <v>32</v>
      </c>
      <c r="G510" s="2" t="s">
        <v>171</v>
      </c>
      <c r="H510" s="2" t="s">
        <v>1008</v>
      </c>
      <c r="I510" s="2" t="s">
        <v>1009</v>
      </c>
      <c r="J510" s="3">
        <v>6</v>
      </c>
      <c r="K510" s="2" t="s">
        <v>36</v>
      </c>
      <c r="L510" s="3">
        <v>5.42</v>
      </c>
      <c r="M510" s="11">
        <v>704600</v>
      </c>
      <c r="N510" s="3">
        <v>-0.57999999999999996</v>
      </c>
      <c r="O510" s="2" t="s">
        <v>21</v>
      </c>
      <c r="P510" s="2" t="s">
        <v>29</v>
      </c>
      <c r="Q510" s="2" t="s">
        <v>22</v>
      </c>
    </row>
    <row r="511" spans="1:17" x14ac:dyDescent="0.25">
      <c r="A511" s="1">
        <v>46176</v>
      </c>
      <c r="B511" s="1">
        <v>46175</v>
      </c>
      <c r="C511" s="2" t="s">
        <v>1055</v>
      </c>
      <c r="D511" s="2" t="s">
        <v>746</v>
      </c>
      <c r="E511" s="2" t="s">
        <v>1056</v>
      </c>
      <c r="F511" s="2" t="s">
        <v>32</v>
      </c>
      <c r="G511" s="2" t="s">
        <v>364</v>
      </c>
      <c r="H511" s="2" t="s">
        <v>1057</v>
      </c>
      <c r="I511" s="2" t="s">
        <v>1058</v>
      </c>
      <c r="J511" s="3">
        <v>2</v>
      </c>
      <c r="K511" s="2" t="s">
        <v>829</v>
      </c>
      <c r="L511" s="3">
        <v>2</v>
      </c>
      <c r="M511" s="11">
        <v>210900</v>
      </c>
      <c r="N511" s="3">
        <v>0</v>
      </c>
      <c r="O511" s="2" t="s">
        <v>21</v>
      </c>
      <c r="P511" s="2" t="s">
        <v>29</v>
      </c>
      <c r="Q511" s="2" t="s">
        <v>22</v>
      </c>
    </row>
    <row r="512" spans="1:17" x14ac:dyDescent="0.25">
      <c r="A512" s="1">
        <v>46176</v>
      </c>
      <c r="B512" s="1">
        <v>46175</v>
      </c>
      <c r="C512" s="2" t="s">
        <v>1059</v>
      </c>
      <c r="D512" s="2" t="s">
        <v>746</v>
      </c>
      <c r="E512" s="2" t="s">
        <v>684</v>
      </c>
      <c r="F512" s="2" t="s">
        <v>32</v>
      </c>
      <c r="G512" s="2" t="s">
        <v>25</v>
      </c>
      <c r="H512" s="2" t="s">
        <v>900</v>
      </c>
      <c r="I512" s="2" t="s">
        <v>901</v>
      </c>
      <c r="J512" s="3">
        <v>4</v>
      </c>
      <c r="K512" s="2" t="s">
        <v>664</v>
      </c>
      <c r="L512" s="3">
        <v>4</v>
      </c>
      <c r="M512" s="11">
        <v>376000</v>
      </c>
      <c r="N512" s="3">
        <v>0</v>
      </c>
      <c r="O512" s="2" t="s">
        <v>21</v>
      </c>
      <c r="P512" s="2" t="s">
        <v>29</v>
      </c>
      <c r="Q512" s="2" t="s">
        <v>22</v>
      </c>
    </row>
    <row r="513" spans="1:17" x14ac:dyDescent="0.25">
      <c r="A513" s="1">
        <v>46176</v>
      </c>
      <c r="B513" s="1">
        <v>46175</v>
      </c>
      <c r="C513" s="2" t="s">
        <v>1060</v>
      </c>
      <c r="D513" s="2" t="s">
        <v>746</v>
      </c>
      <c r="E513" s="2" t="s">
        <v>684</v>
      </c>
      <c r="F513" s="2" t="s">
        <v>32</v>
      </c>
      <c r="G513" s="2" t="s">
        <v>25</v>
      </c>
      <c r="H513" s="2" t="s">
        <v>917</v>
      </c>
      <c r="I513" s="2" t="s">
        <v>918</v>
      </c>
      <c r="J513" s="3">
        <v>5</v>
      </c>
      <c r="K513" s="2" t="s">
        <v>36</v>
      </c>
      <c r="L513" s="3">
        <v>4.32</v>
      </c>
      <c r="M513" s="11">
        <v>432000</v>
      </c>
      <c r="N513" s="3">
        <v>-0.68</v>
      </c>
      <c r="O513" s="2" t="s">
        <v>21</v>
      </c>
      <c r="P513" s="2" t="s">
        <v>29</v>
      </c>
      <c r="Q513" s="2" t="s">
        <v>22</v>
      </c>
    </row>
    <row r="514" spans="1:17" x14ac:dyDescent="0.25">
      <c r="A514" s="1">
        <v>46176</v>
      </c>
      <c r="B514" s="1">
        <v>46175</v>
      </c>
      <c r="C514" s="2" t="s">
        <v>1061</v>
      </c>
      <c r="D514" s="2" t="s">
        <v>746</v>
      </c>
      <c r="E514" s="2" t="s">
        <v>567</v>
      </c>
      <c r="F514" s="2" t="s">
        <v>32</v>
      </c>
      <c r="G514" s="2" t="s">
        <v>171</v>
      </c>
      <c r="H514" s="2" t="s">
        <v>917</v>
      </c>
      <c r="I514" s="2" t="s">
        <v>918</v>
      </c>
      <c r="J514" s="3">
        <v>8</v>
      </c>
      <c r="K514" s="2" t="s">
        <v>36</v>
      </c>
      <c r="L514" s="3">
        <v>8.6300000000000008</v>
      </c>
      <c r="M514" s="11">
        <v>863000</v>
      </c>
      <c r="N514" s="3">
        <v>0.63</v>
      </c>
      <c r="O514" s="2" t="s">
        <v>21</v>
      </c>
      <c r="P514" s="2" t="s">
        <v>29</v>
      </c>
      <c r="Q514" s="2" t="s">
        <v>22</v>
      </c>
    </row>
    <row r="515" spans="1:17" x14ac:dyDescent="0.25">
      <c r="A515" s="1">
        <v>46176</v>
      </c>
      <c r="B515" s="1">
        <v>46175</v>
      </c>
      <c r="C515" s="2" t="s">
        <v>1062</v>
      </c>
      <c r="D515" s="2" t="s">
        <v>746</v>
      </c>
      <c r="E515" s="2" t="s">
        <v>1063</v>
      </c>
      <c r="F515" s="2" t="s">
        <v>32</v>
      </c>
      <c r="G515" s="2" t="s">
        <v>61</v>
      </c>
      <c r="H515" s="2" t="s">
        <v>1008</v>
      </c>
      <c r="I515" s="2" t="s">
        <v>1009</v>
      </c>
      <c r="J515" s="3">
        <v>2</v>
      </c>
      <c r="K515" s="2" t="s">
        <v>36</v>
      </c>
      <c r="L515" s="3">
        <v>6.07</v>
      </c>
      <c r="M515" s="11">
        <v>789100</v>
      </c>
      <c r="N515" s="3">
        <v>4.07</v>
      </c>
      <c r="O515" s="2" t="s">
        <v>21</v>
      </c>
      <c r="P515" s="2" t="s">
        <v>29</v>
      </c>
      <c r="Q515" s="2" t="s">
        <v>22</v>
      </c>
    </row>
    <row r="516" spans="1:17" x14ac:dyDescent="0.25">
      <c r="A516" s="1">
        <v>46176</v>
      </c>
      <c r="B516" s="1">
        <v>46175</v>
      </c>
      <c r="C516" s="2" t="s">
        <v>1064</v>
      </c>
      <c r="D516" s="2" t="s">
        <v>746</v>
      </c>
      <c r="E516" s="2" t="s">
        <v>1065</v>
      </c>
      <c r="F516" s="2" t="s">
        <v>32</v>
      </c>
      <c r="G516" s="2" t="s">
        <v>185</v>
      </c>
      <c r="H516" s="2" t="s">
        <v>776</v>
      </c>
      <c r="I516" s="2" t="s">
        <v>777</v>
      </c>
      <c r="J516" s="3">
        <v>24</v>
      </c>
      <c r="K516" s="2" t="s">
        <v>106</v>
      </c>
      <c r="L516" s="3">
        <v>24</v>
      </c>
      <c r="M516" s="11">
        <v>4044165.1200000001</v>
      </c>
      <c r="N516" s="3">
        <v>0</v>
      </c>
      <c r="O516" s="2" t="s">
        <v>21</v>
      </c>
      <c r="P516" s="2" t="s">
        <v>29</v>
      </c>
      <c r="Q516" s="2" t="s">
        <v>22</v>
      </c>
    </row>
    <row r="517" spans="1:17" x14ac:dyDescent="0.25">
      <c r="A517" s="1">
        <v>46176</v>
      </c>
      <c r="B517" s="1">
        <v>46175</v>
      </c>
      <c r="C517" s="2" t="s">
        <v>1066</v>
      </c>
      <c r="D517" s="2" t="s">
        <v>746</v>
      </c>
      <c r="E517" s="2" t="s">
        <v>1063</v>
      </c>
      <c r="F517" s="2" t="s">
        <v>32</v>
      </c>
      <c r="G517" s="2" t="s">
        <v>61</v>
      </c>
      <c r="H517" s="2" t="s">
        <v>875</v>
      </c>
      <c r="I517" s="2" t="s">
        <v>876</v>
      </c>
      <c r="J517" s="3">
        <v>5</v>
      </c>
      <c r="K517" s="2" t="s">
        <v>36</v>
      </c>
      <c r="L517" s="3">
        <v>5</v>
      </c>
      <c r="M517" s="11">
        <v>550000</v>
      </c>
      <c r="N517" s="3">
        <v>0</v>
      </c>
      <c r="O517" s="2" t="s">
        <v>21</v>
      </c>
      <c r="P517" s="2" t="s">
        <v>29</v>
      </c>
      <c r="Q517" s="2" t="s">
        <v>22</v>
      </c>
    </row>
    <row r="518" spans="1:17" x14ac:dyDescent="0.25">
      <c r="A518" s="1">
        <v>46176</v>
      </c>
      <c r="B518" s="1">
        <v>46175</v>
      </c>
      <c r="C518" s="2" t="s">
        <v>1066</v>
      </c>
      <c r="D518" s="2" t="s">
        <v>746</v>
      </c>
      <c r="E518" s="2" t="s">
        <v>1063</v>
      </c>
      <c r="F518" s="2" t="s">
        <v>32</v>
      </c>
      <c r="G518" s="2" t="s">
        <v>61</v>
      </c>
      <c r="H518" s="2" t="s">
        <v>838</v>
      </c>
      <c r="I518" s="2" t="s">
        <v>839</v>
      </c>
      <c r="J518" s="3">
        <v>5</v>
      </c>
      <c r="K518" s="2" t="s">
        <v>20</v>
      </c>
      <c r="L518" s="3">
        <v>5</v>
      </c>
      <c r="M518" s="11">
        <v>725000</v>
      </c>
      <c r="N518" s="3">
        <v>0</v>
      </c>
      <c r="O518" s="2" t="s">
        <v>21</v>
      </c>
      <c r="P518" s="2" t="s">
        <v>29</v>
      </c>
      <c r="Q518" s="2" t="s">
        <v>22</v>
      </c>
    </row>
    <row r="519" spans="1:17" x14ac:dyDescent="0.25">
      <c r="A519" s="1">
        <v>46176</v>
      </c>
      <c r="B519" s="1">
        <v>46175</v>
      </c>
      <c r="C519" s="2" t="s">
        <v>1067</v>
      </c>
      <c r="D519" s="2" t="s">
        <v>746</v>
      </c>
      <c r="E519" s="2" t="s">
        <v>1068</v>
      </c>
      <c r="F519" s="2" t="s">
        <v>32</v>
      </c>
      <c r="G519" s="2" t="s">
        <v>364</v>
      </c>
      <c r="H519" s="2" t="s">
        <v>966</v>
      </c>
      <c r="I519" s="2" t="s">
        <v>967</v>
      </c>
      <c r="J519" s="3">
        <v>24</v>
      </c>
      <c r="K519" s="2" t="s">
        <v>448</v>
      </c>
      <c r="L519" s="3">
        <v>24</v>
      </c>
      <c r="M519" s="11">
        <v>551999.98</v>
      </c>
      <c r="N519" s="3">
        <v>0</v>
      </c>
      <c r="O519" s="2" t="s">
        <v>21</v>
      </c>
      <c r="P519" s="2" t="s">
        <v>29</v>
      </c>
      <c r="Q519" s="2" t="s">
        <v>22</v>
      </c>
    </row>
    <row r="520" spans="1:17" x14ac:dyDescent="0.25">
      <c r="A520" s="1">
        <v>46176</v>
      </c>
      <c r="B520" s="1">
        <v>46175</v>
      </c>
      <c r="C520" s="2" t="s">
        <v>1069</v>
      </c>
      <c r="D520" s="2" t="s">
        <v>746</v>
      </c>
      <c r="E520" s="2" t="s">
        <v>567</v>
      </c>
      <c r="F520" s="2" t="s">
        <v>32</v>
      </c>
      <c r="G520" s="2" t="s">
        <v>171</v>
      </c>
      <c r="H520" s="2" t="s">
        <v>917</v>
      </c>
      <c r="I520" s="2" t="s">
        <v>918</v>
      </c>
      <c r="J520" s="3">
        <v>1</v>
      </c>
      <c r="K520" s="2" t="s">
        <v>36</v>
      </c>
      <c r="L520" s="3">
        <v>2.1</v>
      </c>
      <c r="M520" s="11">
        <v>210000</v>
      </c>
      <c r="N520" s="3">
        <v>1.1000000000000001</v>
      </c>
      <c r="O520" s="2" t="s">
        <v>21</v>
      </c>
      <c r="P520" s="2" t="s">
        <v>29</v>
      </c>
      <c r="Q520" s="2" t="s">
        <v>22</v>
      </c>
    </row>
    <row r="521" spans="1:17" x14ac:dyDescent="0.25">
      <c r="A521" s="1">
        <v>46176</v>
      </c>
      <c r="B521" s="1">
        <v>46175</v>
      </c>
      <c r="C521" s="2" t="s">
        <v>1070</v>
      </c>
      <c r="D521" s="2" t="s">
        <v>746</v>
      </c>
      <c r="E521" s="2" t="s">
        <v>561</v>
      </c>
      <c r="F521" s="2" t="s">
        <v>32</v>
      </c>
      <c r="G521" s="2" t="s">
        <v>25</v>
      </c>
      <c r="H521" s="2" t="s">
        <v>1071</v>
      </c>
      <c r="I521" s="2" t="s">
        <v>1072</v>
      </c>
      <c r="J521" s="3">
        <v>4</v>
      </c>
      <c r="K521" s="2" t="s">
        <v>829</v>
      </c>
      <c r="L521" s="3">
        <v>4</v>
      </c>
      <c r="M521" s="11">
        <v>360000</v>
      </c>
      <c r="N521" s="3">
        <v>0</v>
      </c>
      <c r="O521" s="2" t="s">
        <v>21</v>
      </c>
      <c r="P521" s="2" t="s">
        <v>29</v>
      </c>
      <c r="Q521" s="2" t="s">
        <v>22</v>
      </c>
    </row>
    <row r="522" spans="1:17" x14ac:dyDescent="0.25">
      <c r="A522" s="1">
        <v>46176</v>
      </c>
      <c r="B522" s="1">
        <v>46175</v>
      </c>
      <c r="C522" s="2" t="s">
        <v>1070</v>
      </c>
      <c r="D522" s="2" t="s">
        <v>746</v>
      </c>
      <c r="E522" s="2" t="s">
        <v>561</v>
      </c>
      <c r="F522" s="2" t="s">
        <v>32</v>
      </c>
      <c r="G522" s="2" t="s">
        <v>25</v>
      </c>
      <c r="H522" s="2" t="s">
        <v>1073</v>
      </c>
      <c r="I522" s="2" t="s">
        <v>1074</v>
      </c>
      <c r="J522" s="3">
        <v>6</v>
      </c>
      <c r="K522" s="2" t="s">
        <v>829</v>
      </c>
      <c r="L522" s="3">
        <v>5</v>
      </c>
      <c r="M522" s="11">
        <v>450000</v>
      </c>
      <c r="N522" s="3">
        <v>-1</v>
      </c>
      <c r="O522" s="2" t="s">
        <v>21</v>
      </c>
      <c r="P522" s="2" t="s">
        <v>29</v>
      </c>
      <c r="Q522" s="2" t="s">
        <v>22</v>
      </c>
    </row>
    <row r="523" spans="1:17" x14ac:dyDescent="0.25">
      <c r="A523" s="1">
        <v>46176</v>
      </c>
      <c r="B523" s="1">
        <v>46175</v>
      </c>
      <c r="C523" s="2" t="s">
        <v>1070</v>
      </c>
      <c r="D523" s="2" t="s">
        <v>746</v>
      </c>
      <c r="E523" s="2" t="s">
        <v>561</v>
      </c>
      <c r="F523" s="2" t="s">
        <v>32</v>
      </c>
      <c r="G523" s="2" t="s">
        <v>25</v>
      </c>
      <c r="H523" s="2" t="s">
        <v>938</v>
      </c>
      <c r="I523" s="2" t="s">
        <v>939</v>
      </c>
      <c r="J523" s="3">
        <v>2</v>
      </c>
      <c r="K523" s="2" t="s">
        <v>829</v>
      </c>
      <c r="L523" s="3">
        <v>2</v>
      </c>
      <c r="M523" s="11">
        <v>179999.99</v>
      </c>
      <c r="N523" s="3">
        <v>0</v>
      </c>
      <c r="O523" s="2" t="s">
        <v>21</v>
      </c>
      <c r="P523" s="2" t="s">
        <v>29</v>
      </c>
      <c r="Q523" s="2" t="s">
        <v>22</v>
      </c>
    </row>
    <row r="524" spans="1:17" x14ac:dyDescent="0.25">
      <c r="A524" s="1">
        <v>46176</v>
      </c>
      <c r="B524" s="1">
        <v>46175</v>
      </c>
      <c r="C524" s="2" t="s">
        <v>1075</v>
      </c>
      <c r="D524" s="2" t="s">
        <v>746</v>
      </c>
      <c r="E524" s="2" t="s">
        <v>482</v>
      </c>
      <c r="F524" s="2" t="s">
        <v>32</v>
      </c>
      <c r="G524" s="2" t="s">
        <v>364</v>
      </c>
      <c r="H524" s="2" t="s">
        <v>1076</v>
      </c>
      <c r="I524" s="2" t="s">
        <v>1077</v>
      </c>
      <c r="J524" s="3">
        <v>20</v>
      </c>
      <c r="K524" s="2" t="s">
        <v>448</v>
      </c>
      <c r="L524" s="3">
        <v>20</v>
      </c>
      <c r="M524" s="11">
        <v>1730590.81</v>
      </c>
      <c r="N524" s="3">
        <v>0</v>
      </c>
      <c r="O524" s="2" t="s">
        <v>21</v>
      </c>
      <c r="P524" s="2" t="s">
        <v>29</v>
      </c>
      <c r="Q524" s="2" t="s">
        <v>22</v>
      </c>
    </row>
    <row r="525" spans="1:17" x14ac:dyDescent="0.25">
      <c r="A525" s="1">
        <v>46176</v>
      </c>
      <c r="B525" s="1">
        <v>46175</v>
      </c>
      <c r="C525" s="2" t="s">
        <v>1078</v>
      </c>
      <c r="D525" s="2" t="s">
        <v>746</v>
      </c>
      <c r="E525" s="2" t="s">
        <v>671</v>
      </c>
      <c r="F525" s="2" t="s">
        <v>32</v>
      </c>
      <c r="G525" s="2" t="s">
        <v>672</v>
      </c>
      <c r="H525" s="2" t="s">
        <v>900</v>
      </c>
      <c r="I525" s="2" t="s">
        <v>901</v>
      </c>
      <c r="J525" s="3">
        <v>18</v>
      </c>
      <c r="K525" s="2" t="s">
        <v>664</v>
      </c>
      <c r="L525" s="3">
        <v>18</v>
      </c>
      <c r="M525" s="11">
        <v>1530000.07</v>
      </c>
      <c r="N525" s="3">
        <v>0</v>
      </c>
      <c r="O525" s="2" t="s">
        <v>21</v>
      </c>
      <c r="P525" s="2" t="s">
        <v>29</v>
      </c>
      <c r="Q525" s="2" t="s">
        <v>1079</v>
      </c>
    </row>
    <row r="526" spans="1:17" x14ac:dyDescent="0.25">
      <c r="A526" s="1">
        <v>46176</v>
      </c>
      <c r="B526" s="1">
        <v>46175</v>
      </c>
      <c r="C526" s="2" t="s">
        <v>1080</v>
      </c>
      <c r="D526" s="2" t="s">
        <v>746</v>
      </c>
      <c r="E526" s="2" t="s">
        <v>731</v>
      </c>
      <c r="F526" s="2" t="s">
        <v>32</v>
      </c>
      <c r="G526" s="2" t="s">
        <v>56</v>
      </c>
      <c r="H526" s="2" t="s">
        <v>755</v>
      </c>
      <c r="I526" s="2" t="s">
        <v>756</v>
      </c>
      <c r="J526" s="3">
        <v>6</v>
      </c>
      <c r="K526" s="2" t="s">
        <v>754</v>
      </c>
      <c r="L526" s="3">
        <v>6</v>
      </c>
      <c r="M526" s="11">
        <v>360000</v>
      </c>
      <c r="N526" s="3">
        <v>0</v>
      </c>
      <c r="O526" s="2" t="s">
        <v>21</v>
      </c>
      <c r="P526" s="2" t="s">
        <v>29</v>
      </c>
      <c r="Q526" s="2" t="s">
        <v>62</v>
      </c>
    </row>
    <row r="527" spans="1:17" x14ac:dyDescent="0.25">
      <c r="A527" s="1">
        <v>46176</v>
      </c>
      <c r="B527" s="1">
        <v>46175</v>
      </c>
      <c r="C527" s="2" t="s">
        <v>1081</v>
      </c>
      <c r="D527" s="2" t="s">
        <v>746</v>
      </c>
      <c r="E527" s="2" t="s">
        <v>731</v>
      </c>
      <c r="F527" s="2" t="s">
        <v>32</v>
      </c>
      <c r="G527" s="2" t="s">
        <v>56</v>
      </c>
      <c r="H527" s="2" t="s">
        <v>1082</v>
      </c>
      <c r="I527" s="2" t="s">
        <v>1083</v>
      </c>
      <c r="J527" s="3">
        <v>8.5</v>
      </c>
      <c r="K527" s="2" t="s">
        <v>36</v>
      </c>
      <c r="L527" s="3">
        <v>5.18</v>
      </c>
      <c r="M527" s="11">
        <v>621600</v>
      </c>
      <c r="N527" s="3">
        <v>-3.32</v>
      </c>
      <c r="O527" s="2" t="s">
        <v>21</v>
      </c>
      <c r="P527" s="2" t="s">
        <v>29</v>
      </c>
      <c r="Q527" s="2" t="s">
        <v>62</v>
      </c>
    </row>
    <row r="528" spans="1:17" x14ac:dyDescent="0.25">
      <c r="A528" s="1">
        <v>46176</v>
      </c>
      <c r="B528" s="1">
        <v>46175</v>
      </c>
      <c r="C528" s="2" t="s">
        <v>1081</v>
      </c>
      <c r="D528" s="2" t="s">
        <v>746</v>
      </c>
      <c r="E528" s="2" t="s">
        <v>731</v>
      </c>
      <c r="F528" s="2" t="s">
        <v>32</v>
      </c>
      <c r="G528" s="2" t="s">
        <v>56</v>
      </c>
      <c r="H528" s="2" t="s">
        <v>1084</v>
      </c>
      <c r="I528" s="2" t="s">
        <v>1085</v>
      </c>
      <c r="J528" s="3">
        <v>6</v>
      </c>
      <c r="K528" s="2" t="s">
        <v>20</v>
      </c>
      <c r="L528" s="3">
        <v>6</v>
      </c>
      <c r="M528" s="11">
        <v>765000</v>
      </c>
      <c r="N528" s="3">
        <v>0</v>
      </c>
      <c r="O528" s="2" t="s">
        <v>21</v>
      </c>
      <c r="P528" s="2" t="s">
        <v>29</v>
      </c>
      <c r="Q528" s="2" t="s">
        <v>62</v>
      </c>
    </row>
    <row r="529" spans="1:17" x14ac:dyDescent="0.25">
      <c r="A529" s="1">
        <v>46176</v>
      </c>
      <c r="B529" s="1">
        <v>46175</v>
      </c>
      <c r="C529" s="2" t="s">
        <v>1081</v>
      </c>
      <c r="D529" s="2" t="s">
        <v>746</v>
      </c>
      <c r="E529" s="2" t="s">
        <v>731</v>
      </c>
      <c r="F529" s="2" t="s">
        <v>32</v>
      </c>
      <c r="G529" s="2" t="s">
        <v>56</v>
      </c>
      <c r="H529" s="2" t="s">
        <v>917</v>
      </c>
      <c r="I529" s="2" t="s">
        <v>918</v>
      </c>
      <c r="J529" s="3">
        <v>4.5999999999999996</v>
      </c>
      <c r="K529" s="2" t="s">
        <v>36</v>
      </c>
      <c r="L529" s="3">
        <v>4.3499999999999996</v>
      </c>
      <c r="M529" s="11">
        <v>443699.99</v>
      </c>
      <c r="N529" s="3">
        <v>-0.25</v>
      </c>
      <c r="O529" s="2" t="s">
        <v>21</v>
      </c>
      <c r="P529" s="2" t="s">
        <v>29</v>
      </c>
      <c r="Q529" s="2" t="s">
        <v>62</v>
      </c>
    </row>
    <row r="530" spans="1:17" x14ac:dyDescent="0.25">
      <c r="A530" s="1">
        <v>46176</v>
      </c>
      <c r="B530" s="1">
        <v>46175</v>
      </c>
      <c r="C530" s="2" t="s">
        <v>1086</v>
      </c>
      <c r="D530" s="2" t="s">
        <v>746</v>
      </c>
      <c r="E530" s="2" t="s">
        <v>1087</v>
      </c>
      <c r="F530" s="2" t="s">
        <v>32</v>
      </c>
      <c r="G530" s="2" t="s">
        <v>61</v>
      </c>
      <c r="H530" s="2" t="s">
        <v>908</v>
      </c>
      <c r="I530" s="2" t="s">
        <v>909</v>
      </c>
      <c r="J530" s="3">
        <v>2</v>
      </c>
      <c r="K530" s="2" t="s">
        <v>408</v>
      </c>
      <c r="L530" s="3">
        <v>2</v>
      </c>
      <c r="M530" s="11">
        <v>1059999.99</v>
      </c>
      <c r="N530" s="3">
        <v>0</v>
      </c>
      <c r="O530" s="2" t="s">
        <v>21</v>
      </c>
      <c r="P530" s="2" t="s">
        <v>29</v>
      </c>
      <c r="Q530" s="2" t="s">
        <v>22</v>
      </c>
    </row>
    <row r="531" spans="1:17" x14ac:dyDescent="0.25">
      <c r="A531" s="1">
        <v>46176</v>
      </c>
      <c r="B531" s="1">
        <v>46175</v>
      </c>
      <c r="C531" s="2" t="s">
        <v>1088</v>
      </c>
      <c r="D531" s="2" t="s">
        <v>746</v>
      </c>
      <c r="E531" s="2" t="s">
        <v>1089</v>
      </c>
      <c r="F531" s="2" t="s">
        <v>32</v>
      </c>
      <c r="G531" s="2" t="s">
        <v>61</v>
      </c>
      <c r="H531" s="2" t="s">
        <v>1048</v>
      </c>
      <c r="I531" s="2" t="s">
        <v>1049</v>
      </c>
      <c r="J531" s="3">
        <v>25</v>
      </c>
      <c r="K531" s="2" t="s">
        <v>36</v>
      </c>
      <c r="L531" s="3">
        <v>25</v>
      </c>
      <c r="M531" s="11">
        <v>4125000.04</v>
      </c>
      <c r="N531" s="3">
        <v>0</v>
      </c>
      <c r="O531" s="2" t="s">
        <v>21</v>
      </c>
      <c r="P531" s="2" t="s">
        <v>29</v>
      </c>
      <c r="Q531" s="2" t="s">
        <v>22</v>
      </c>
    </row>
    <row r="532" spans="1:17" x14ac:dyDescent="0.25">
      <c r="A532" s="1">
        <v>46176</v>
      </c>
      <c r="B532" s="1">
        <v>46175</v>
      </c>
      <c r="C532" s="2" t="s">
        <v>1090</v>
      </c>
      <c r="D532" s="2" t="s">
        <v>746</v>
      </c>
      <c r="E532" s="2" t="s">
        <v>669</v>
      </c>
      <c r="F532" s="2" t="s">
        <v>32</v>
      </c>
      <c r="G532" s="2" t="s">
        <v>238</v>
      </c>
      <c r="H532" s="2" t="s">
        <v>1048</v>
      </c>
      <c r="I532" s="2" t="s">
        <v>1049</v>
      </c>
      <c r="J532" s="3">
        <v>75</v>
      </c>
      <c r="K532" s="2" t="s">
        <v>36</v>
      </c>
      <c r="L532" s="3">
        <v>75</v>
      </c>
      <c r="M532" s="11">
        <v>11999999.66</v>
      </c>
      <c r="N532" s="3">
        <v>0</v>
      </c>
      <c r="O532" s="2" t="s">
        <v>21</v>
      </c>
      <c r="P532" s="2" t="s">
        <v>29</v>
      </c>
      <c r="Q532" s="2" t="s">
        <v>22</v>
      </c>
    </row>
    <row r="533" spans="1:17" x14ac:dyDescent="0.25">
      <c r="A533" s="1">
        <v>46176</v>
      </c>
      <c r="B533" s="1">
        <v>46175</v>
      </c>
      <c r="C533" s="2" t="s">
        <v>1091</v>
      </c>
      <c r="D533" s="2" t="s">
        <v>746</v>
      </c>
      <c r="E533" s="2" t="s">
        <v>296</v>
      </c>
      <c r="F533" s="2" t="s">
        <v>32</v>
      </c>
      <c r="G533" s="2" t="s">
        <v>56</v>
      </c>
      <c r="H533" s="2" t="s">
        <v>1092</v>
      </c>
      <c r="I533" s="2" t="s">
        <v>1093</v>
      </c>
      <c r="J533" s="3">
        <v>12</v>
      </c>
      <c r="K533" s="2" t="s">
        <v>20</v>
      </c>
      <c r="L533" s="3">
        <v>12</v>
      </c>
      <c r="M533" s="11">
        <v>419999.98</v>
      </c>
      <c r="N533" s="3">
        <v>0</v>
      </c>
      <c r="O533" s="2" t="s">
        <v>21</v>
      </c>
      <c r="P533" s="2" t="s">
        <v>29</v>
      </c>
      <c r="Q533" s="2" t="s">
        <v>22</v>
      </c>
    </row>
    <row r="534" spans="1:17" x14ac:dyDescent="0.25">
      <c r="A534" s="1">
        <v>46176</v>
      </c>
      <c r="B534" s="1">
        <v>46175</v>
      </c>
      <c r="C534" s="2" t="s">
        <v>1094</v>
      </c>
      <c r="D534" s="2" t="s">
        <v>746</v>
      </c>
      <c r="E534" s="2" t="s">
        <v>714</v>
      </c>
      <c r="F534" s="2" t="s">
        <v>32</v>
      </c>
      <c r="G534" s="2" t="s">
        <v>40</v>
      </c>
      <c r="H534" s="2" t="s">
        <v>1095</v>
      </c>
      <c r="I534" s="2" t="s">
        <v>1096</v>
      </c>
      <c r="J534" s="3">
        <v>1.5</v>
      </c>
      <c r="K534" s="2" t="s">
        <v>36</v>
      </c>
      <c r="L534" s="3">
        <v>1.5</v>
      </c>
      <c r="M534" s="11">
        <v>165000</v>
      </c>
      <c r="N534" s="3">
        <v>0</v>
      </c>
      <c r="O534" s="2" t="s">
        <v>21</v>
      </c>
      <c r="P534" s="2" t="s">
        <v>29</v>
      </c>
      <c r="Q534" s="2" t="s">
        <v>22</v>
      </c>
    </row>
    <row r="535" spans="1:17" x14ac:dyDescent="0.25">
      <c r="A535" s="1">
        <v>46176</v>
      </c>
      <c r="B535" s="1">
        <v>46175</v>
      </c>
      <c r="C535" s="2" t="s">
        <v>1097</v>
      </c>
      <c r="D535" s="2" t="s">
        <v>746</v>
      </c>
      <c r="E535" s="2" t="s">
        <v>714</v>
      </c>
      <c r="F535" s="2" t="s">
        <v>32</v>
      </c>
      <c r="G535" s="2" t="s">
        <v>40</v>
      </c>
      <c r="H535" s="2" t="s">
        <v>1095</v>
      </c>
      <c r="I535" s="2" t="s">
        <v>1096</v>
      </c>
      <c r="J535" s="3">
        <v>3</v>
      </c>
      <c r="K535" s="2" t="s">
        <v>36</v>
      </c>
      <c r="L535" s="3">
        <v>3</v>
      </c>
      <c r="M535" s="11">
        <v>330000</v>
      </c>
      <c r="N535" s="3">
        <v>0</v>
      </c>
      <c r="O535" s="2" t="s">
        <v>21</v>
      </c>
      <c r="P535" s="2" t="s">
        <v>29</v>
      </c>
      <c r="Q535" s="2" t="s">
        <v>22</v>
      </c>
    </row>
    <row r="536" spans="1:17" x14ac:dyDescent="0.25">
      <c r="A536" s="1">
        <v>46176</v>
      </c>
      <c r="B536" s="1">
        <v>46175</v>
      </c>
      <c r="C536" s="2" t="s">
        <v>1098</v>
      </c>
      <c r="D536" s="2" t="s">
        <v>746</v>
      </c>
      <c r="E536" s="2" t="s">
        <v>671</v>
      </c>
      <c r="F536" s="2" t="s">
        <v>32</v>
      </c>
      <c r="G536" s="2" t="s">
        <v>672</v>
      </c>
      <c r="H536" s="2" t="s">
        <v>1099</v>
      </c>
      <c r="I536" s="2" t="s">
        <v>1100</v>
      </c>
      <c r="J536" s="3">
        <v>50</v>
      </c>
      <c r="K536" s="2" t="s">
        <v>36</v>
      </c>
      <c r="L536" s="3">
        <v>48.42</v>
      </c>
      <c r="M536" s="11">
        <v>5277780</v>
      </c>
      <c r="N536" s="3">
        <v>-1.58</v>
      </c>
      <c r="O536" s="2" t="s">
        <v>21</v>
      </c>
      <c r="P536" s="2" t="s">
        <v>29</v>
      </c>
      <c r="Q536" s="2" t="s">
        <v>1101</v>
      </c>
    </row>
    <row r="537" spans="1:17" x14ac:dyDescent="0.25">
      <c r="A537" s="1">
        <v>46176</v>
      </c>
      <c r="B537" s="1">
        <v>46175</v>
      </c>
      <c r="C537" s="2" t="s">
        <v>1102</v>
      </c>
      <c r="D537" s="2" t="s">
        <v>746</v>
      </c>
      <c r="E537" s="2" t="s">
        <v>1103</v>
      </c>
      <c r="F537" s="2" t="s">
        <v>32</v>
      </c>
      <c r="G537" s="2" t="s">
        <v>171</v>
      </c>
      <c r="H537" s="2" t="s">
        <v>1104</v>
      </c>
      <c r="I537" s="2" t="s">
        <v>1105</v>
      </c>
      <c r="J537" s="3">
        <v>4</v>
      </c>
      <c r="K537" s="2" t="s">
        <v>408</v>
      </c>
      <c r="L537" s="3">
        <v>4</v>
      </c>
      <c r="M537" s="11">
        <v>1319999.97</v>
      </c>
      <c r="N537" s="3">
        <v>0</v>
      </c>
      <c r="O537" s="2" t="s">
        <v>21</v>
      </c>
      <c r="P537" s="2" t="s">
        <v>29</v>
      </c>
      <c r="Q537" s="2" t="s">
        <v>22</v>
      </c>
    </row>
    <row r="538" spans="1:17" x14ac:dyDescent="0.25">
      <c r="A538" s="1">
        <v>46176</v>
      </c>
      <c r="B538" s="1">
        <v>46175</v>
      </c>
      <c r="C538" s="2" t="s">
        <v>1106</v>
      </c>
      <c r="D538" s="2" t="s">
        <v>746</v>
      </c>
      <c r="E538" s="2" t="s">
        <v>1107</v>
      </c>
      <c r="F538" s="2" t="s">
        <v>32</v>
      </c>
      <c r="G538" s="2" t="s">
        <v>171</v>
      </c>
      <c r="H538" s="2" t="s">
        <v>871</v>
      </c>
      <c r="I538" s="2" t="s">
        <v>872</v>
      </c>
      <c r="J538" s="3">
        <v>5</v>
      </c>
      <c r="K538" s="2" t="s">
        <v>448</v>
      </c>
      <c r="L538" s="3">
        <v>5</v>
      </c>
      <c r="M538" s="11">
        <v>525000</v>
      </c>
      <c r="N538" s="3">
        <v>0</v>
      </c>
      <c r="O538" s="2" t="s">
        <v>21</v>
      </c>
      <c r="P538" s="2" t="s">
        <v>29</v>
      </c>
      <c r="Q538" s="2" t="s">
        <v>22</v>
      </c>
    </row>
    <row r="539" spans="1:17" x14ac:dyDescent="0.25">
      <c r="A539" s="1">
        <v>46176</v>
      </c>
      <c r="B539" s="1">
        <v>46175</v>
      </c>
      <c r="C539" s="2" t="s">
        <v>1108</v>
      </c>
      <c r="D539" s="2" t="s">
        <v>746</v>
      </c>
      <c r="E539" s="2" t="s">
        <v>652</v>
      </c>
      <c r="F539" s="2" t="s">
        <v>32</v>
      </c>
      <c r="G539" s="2" t="s">
        <v>171</v>
      </c>
      <c r="H539" s="2" t="s">
        <v>919</v>
      </c>
      <c r="I539" s="2" t="s">
        <v>920</v>
      </c>
      <c r="J539" s="3">
        <v>1</v>
      </c>
      <c r="K539" s="2" t="s">
        <v>20</v>
      </c>
      <c r="L539" s="3">
        <v>1</v>
      </c>
      <c r="M539" s="11">
        <v>435000</v>
      </c>
      <c r="N539" s="3">
        <v>0</v>
      </c>
      <c r="O539" s="2" t="s">
        <v>21</v>
      </c>
      <c r="P539" s="2" t="s">
        <v>29</v>
      </c>
      <c r="Q539" s="2" t="s">
        <v>22</v>
      </c>
    </row>
    <row r="540" spans="1:17" x14ac:dyDescent="0.25">
      <c r="A540" s="1">
        <v>46176</v>
      </c>
      <c r="B540" s="1">
        <v>46175</v>
      </c>
      <c r="C540" s="2" t="s">
        <v>1109</v>
      </c>
      <c r="D540" s="2" t="s">
        <v>746</v>
      </c>
      <c r="E540" s="2" t="s">
        <v>652</v>
      </c>
      <c r="F540" s="2" t="s">
        <v>32</v>
      </c>
      <c r="G540" s="2" t="s">
        <v>171</v>
      </c>
      <c r="H540" s="2" t="s">
        <v>1095</v>
      </c>
      <c r="I540" s="2" t="s">
        <v>1096</v>
      </c>
      <c r="J540" s="3">
        <v>7.5</v>
      </c>
      <c r="K540" s="2" t="s">
        <v>36</v>
      </c>
      <c r="L540" s="3">
        <v>7.5</v>
      </c>
      <c r="M540" s="11">
        <v>847499.99</v>
      </c>
      <c r="N540" s="3">
        <v>0</v>
      </c>
      <c r="O540" s="2" t="s">
        <v>21</v>
      </c>
      <c r="P540" s="2" t="s">
        <v>29</v>
      </c>
      <c r="Q540" s="2" t="s">
        <v>22</v>
      </c>
    </row>
    <row r="541" spans="1:17" x14ac:dyDescent="0.25">
      <c r="A541" s="1">
        <v>46176</v>
      </c>
      <c r="B541" s="1">
        <v>46175</v>
      </c>
      <c r="C541" s="2" t="s">
        <v>1110</v>
      </c>
      <c r="D541" s="2" t="s">
        <v>746</v>
      </c>
      <c r="E541" s="2" t="s">
        <v>652</v>
      </c>
      <c r="F541" s="2" t="s">
        <v>32</v>
      </c>
      <c r="G541" s="2" t="s">
        <v>171</v>
      </c>
      <c r="H541" s="2" t="s">
        <v>1008</v>
      </c>
      <c r="I541" s="2" t="s">
        <v>1009</v>
      </c>
      <c r="J541" s="3">
        <v>14</v>
      </c>
      <c r="K541" s="2" t="s">
        <v>36</v>
      </c>
      <c r="L541" s="3">
        <v>14.33</v>
      </c>
      <c r="M541" s="11">
        <v>1819910</v>
      </c>
      <c r="N541" s="3">
        <v>0.33</v>
      </c>
      <c r="O541" s="2" t="s">
        <v>21</v>
      </c>
      <c r="P541" s="2" t="s">
        <v>29</v>
      </c>
      <c r="Q541" s="2" t="s">
        <v>22</v>
      </c>
    </row>
    <row r="542" spans="1:17" x14ac:dyDescent="0.25">
      <c r="A542" s="1">
        <v>46176</v>
      </c>
      <c r="B542" s="1">
        <v>46175</v>
      </c>
      <c r="C542" s="2" t="s">
        <v>1110</v>
      </c>
      <c r="D542" s="2" t="s">
        <v>746</v>
      </c>
      <c r="E542" s="2" t="s">
        <v>652</v>
      </c>
      <c r="F542" s="2" t="s">
        <v>32</v>
      </c>
      <c r="G542" s="2" t="s">
        <v>171</v>
      </c>
      <c r="H542" s="2" t="s">
        <v>919</v>
      </c>
      <c r="I542" s="2" t="s">
        <v>920</v>
      </c>
      <c r="J542" s="3">
        <v>1</v>
      </c>
      <c r="K542" s="2" t="s">
        <v>20</v>
      </c>
      <c r="L542" s="3">
        <v>1</v>
      </c>
      <c r="M542" s="11">
        <v>435000</v>
      </c>
      <c r="N542" s="3">
        <v>0</v>
      </c>
      <c r="O542" s="2" t="s">
        <v>21</v>
      </c>
      <c r="P542" s="2" t="s">
        <v>29</v>
      </c>
      <c r="Q542" s="2" t="s">
        <v>22</v>
      </c>
    </row>
    <row r="543" spans="1:17" x14ac:dyDescent="0.25">
      <c r="A543" s="1">
        <v>46176</v>
      </c>
      <c r="B543" s="1">
        <v>46175</v>
      </c>
      <c r="C543" s="2" t="s">
        <v>1111</v>
      </c>
      <c r="D543" s="2" t="s">
        <v>746</v>
      </c>
      <c r="E543" s="2" t="s">
        <v>1112</v>
      </c>
      <c r="F543" s="2" t="s">
        <v>32</v>
      </c>
      <c r="G543" s="2" t="s">
        <v>25</v>
      </c>
      <c r="H543" s="2" t="s">
        <v>917</v>
      </c>
      <c r="I543" s="2" t="s">
        <v>918</v>
      </c>
      <c r="J543" s="3">
        <v>15</v>
      </c>
      <c r="K543" s="2" t="s">
        <v>36</v>
      </c>
      <c r="L543" s="3">
        <v>15.1</v>
      </c>
      <c r="M543" s="11">
        <v>1389199.95</v>
      </c>
      <c r="N543" s="3">
        <v>0.1</v>
      </c>
      <c r="O543" s="2" t="s">
        <v>21</v>
      </c>
      <c r="P543" s="2" t="s">
        <v>29</v>
      </c>
      <c r="Q543" s="2" t="s">
        <v>436</v>
      </c>
    </row>
    <row r="544" spans="1:17" x14ac:dyDescent="0.25">
      <c r="A544" s="1">
        <v>46176</v>
      </c>
      <c r="B544" s="1">
        <v>46175</v>
      </c>
      <c r="C544" s="2" t="s">
        <v>1113</v>
      </c>
      <c r="D544" s="2" t="s">
        <v>746</v>
      </c>
      <c r="E544" s="2" t="s">
        <v>524</v>
      </c>
      <c r="F544" s="2" t="s">
        <v>32</v>
      </c>
      <c r="G544" s="2" t="s">
        <v>61</v>
      </c>
      <c r="H544" s="2" t="s">
        <v>1048</v>
      </c>
      <c r="I544" s="2" t="s">
        <v>1049</v>
      </c>
      <c r="J544" s="3">
        <v>25</v>
      </c>
      <c r="K544" s="2" t="s">
        <v>36</v>
      </c>
      <c r="L544" s="3">
        <v>25</v>
      </c>
      <c r="M544" s="11">
        <v>4125000.04</v>
      </c>
      <c r="N544" s="3">
        <v>0</v>
      </c>
      <c r="O544" s="2" t="s">
        <v>21</v>
      </c>
      <c r="P544" s="2" t="s">
        <v>29</v>
      </c>
      <c r="Q544" s="2" t="s">
        <v>22</v>
      </c>
    </row>
    <row r="545" spans="1:17" x14ac:dyDescent="0.25">
      <c r="A545" s="1">
        <v>46176</v>
      </c>
      <c r="B545" s="1">
        <v>46175</v>
      </c>
      <c r="C545" s="2" t="s">
        <v>1114</v>
      </c>
      <c r="D545" s="2" t="s">
        <v>746</v>
      </c>
      <c r="E545" s="2" t="s">
        <v>1115</v>
      </c>
      <c r="F545" s="2" t="s">
        <v>32</v>
      </c>
      <c r="G545" s="2" t="s">
        <v>40</v>
      </c>
      <c r="H545" s="2" t="s">
        <v>1071</v>
      </c>
      <c r="I545" s="2" t="s">
        <v>1072</v>
      </c>
      <c r="J545" s="3">
        <v>5</v>
      </c>
      <c r="K545" s="2" t="s">
        <v>829</v>
      </c>
      <c r="L545" s="3">
        <v>5</v>
      </c>
      <c r="M545" s="11">
        <v>550000.01</v>
      </c>
      <c r="N545" s="3">
        <v>0</v>
      </c>
      <c r="O545" s="2" t="s">
        <v>21</v>
      </c>
      <c r="P545" s="2" t="s">
        <v>29</v>
      </c>
      <c r="Q545" s="2" t="s">
        <v>22</v>
      </c>
    </row>
    <row r="546" spans="1:17" x14ac:dyDescent="0.25">
      <c r="A546" s="1">
        <v>46176</v>
      </c>
      <c r="B546" s="1">
        <v>46175</v>
      </c>
      <c r="C546" s="2" t="s">
        <v>1114</v>
      </c>
      <c r="D546" s="2" t="s">
        <v>746</v>
      </c>
      <c r="E546" s="2" t="s">
        <v>1115</v>
      </c>
      <c r="F546" s="2" t="s">
        <v>32</v>
      </c>
      <c r="G546" s="2" t="s">
        <v>40</v>
      </c>
      <c r="H546" s="2" t="s">
        <v>938</v>
      </c>
      <c r="I546" s="2" t="s">
        <v>939</v>
      </c>
      <c r="J546" s="3">
        <v>40</v>
      </c>
      <c r="K546" s="2" t="s">
        <v>829</v>
      </c>
      <c r="L546" s="3">
        <v>40</v>
      </c>
      <c r="M546" s="11">
        <v>4180000</v>
      </c>
      <c r="N546" s="3">
        <v>0</v>
      </c>
      <c r="O546" s="2" t="s">
        <v>21</v>
      </c>
      <c r="P546" s="2" t="s">
        <v>29</v>
      </c>
      <c r="Q546" s="2" t="s">
        <v>22</v>
      </c>
    </row>
    <row r="547" spans="1:17" x14ac:dyDescent="0.25">
      <c r="A547" s="1">
        <v>46176</v>
      </c>
      <c r="B547" s="1">
        <v>46175</v>
      </c>
      <c r="C547" s="2" t="s">
        <v>1114</v>
      </c>
      <c r="D547" s="2" t="s">
        <v>746</v>
      </c>
      <c r="E547" s="2" t="s">
        <v>1115</v>
      </c>
      <c r="F547" s="2" t="s">
        <v>32</v>
      </c>
      <c r="G547" s="2" t="s">
        <v>40</v>
      </c>
      <c r="H547" s="2" t="s">
        <v>830</v>
      </c>
      <c r="I547" s="2" t="s">
        <v>831</v>
      </c>
      <c r="J547" s="3">
        <v>5</v>
      </c>
      <c r="K547" s="2" t="s">
        <v>829</v>
      </c>
      <c r="L547" s="3">
        <v>5</v>
      </c>
      <c r="M547" s="11">
        <v>605000.01</v>
      </c>
      <c r="N547" s="3">
        <v>0</v>
      </c>
      <c r="O547" s="2" t="s">
        <v>21</v>
      </c>
      <c r="P547" s="2" t="s">
        <v>29</v>
      </c>
      <c r="Q547" s="2" t="s">
        <v>22</v>
      </c>
    </row>
    <row r="548" spans="1:17" x14ac:dyDescent="0.25">
      <c r="A548" s="1">
        <v>46176</v>
      </c>
      <c r="B548" s="1">
        <v>46175</v>
      </c>
      <c r="C548" s="2" t="s">
        <v>1114</v>
      </c>
      <c r="D548" s="2" t="s">
        <v>746</v>
      </c>
      <c r="E548" s="2" t="s">
        <v>1115</v>
      </c>
      <c r="F548" s="2" t="s">
        <v>32</v>
      </c>
      <c r="G548" s="2" t="s">
        <v>40</v>
      </c>
      <c r="H548" s="2" t="s">
        <v>1116</v>
      </c>
      <c r="I548" s="2" t="s">
        <v>1117</v>
      </c>
      <c r="J548" s="3">
        <v>5</v>
      </c>
      <c r="K548" s="2" t="s">
        <v>829</v>
      </c>
      <c r="L548" s="3">
        <v>5</v>
      </c>
      <c r="M548" s="11">
        <v>577500</v>
      </c>
      <c r="N548" s="3">
        <v>0</v>
      </c>
      <c r="O548" s="2" t="s">
        <v>21</v>
      </c>
      <c r="P548" s="2" t="s">
        <v>29</v>
      </c>
      <c r="Q548" s="2" t="s">
        <v>22</v>
      </c>
    </row>
    <row r="549" spans="1:17" x14ac:dyDescent="0.25">
      <c r="A549" s="1">
        <v>46176</v>
      </c>
      <c r="B549" s="1">
        <v>46175</v>
      </c>
      <c r="C549" s="2" t="s">
        <v>1114</v>
      </c>
      <c r="D549" s="2" t="s">
        <v>746</v>
      </c>
      <c r="E549" s="2" t="s">
        <v>1115</v>
      </c>
      <c r="F549" s="2" t="s">
        <v>32</v>
      </c>
      <c r="G549" s="2" t="s">
        <v>40</v>
      </c>
      <c r="H549" s="2" t="s">
        <v>1118</v>
      </c>
      <c r="I549" s="2" t="s">
        <v>1119</v>
      </c>
      <c r="J549" s="3">
        <v>15</v>
      </c>
      <c r="K549" s="2" t="s">
        <v>829</v>
      </c>
      <c r="L549" s="3">
        <v>15</v>
      </c>
      <c r="M549" s="11">
        <v>1815000.02</v>
      </c>
      <c r="N549" s="3">
        <v>0</v>
      </c>
      <c r="O549" s="2" t="s">
        <v>21</v>
      </c>
      <c r="P549" s="2" t="s">
        <v>29</v>
      </c>
      <c r="Q549" s="2" t="s">
        <v>22</v>
      </c>
    </row>
    <row r="550" spans="1:17" x14ac:dyDescent="0.25">
      <c r="A550" s="1">
        <v>46176</v>
      </c>
      <c r="B550" s="1">
        <v>46175</v>
      </c>
      <c r="C550" s="2" t="s">
        <v>1114</v>
      </c>
      <c r="D550" s="2" t="s">
        <v>746</v>
      </c>
      <c r="E550" s="2" t="s">
        <v>1115</v>
      </c>
      <c r="F550" s="2" t="s">
        <v>32</v>
      </c>
      <c r="G550" s="2" t="s">
        <v>40</v>
      </c>
      <c r="H550" s="2" t="s">
        <v>1057</v>
      </c>
      <c r="I550" s="2" t="s">
        <v>1058</v>
      </c>
      <c r="J550" s="3">
        <v>30</v>
      </c>
      <c r="K550" s="2" t="s">
        <v>829</v>
      </c>
      <c r="L550" s="3">
        <v>30</v>
      </c>
      <c r="M550" s="11">
        <v>3134999.98</v>
      </c>
      <c r="N550" s="3">
        <v>0</v>
      </c>
      <c r="O550" s="2" t="s">
        <v>21</v>
      </c>
      <c r="P550" s="2" t="s">
        <v>29</v>
      </c>
      <c r="Q550" s="2" t="s">
        <v>22</v>
      </c>
    </row>
    <row r="551" spans="1:17" x14ac:dyDescent="0.25">
      <c r="A551" s="1">
        <v>46176</v>
      </c>
      <c r="B551" s="1">
        <v>46175</v>
      </c>
      <c r="C551" s="2" t="s">
        <v>1120</v>
      </c>
      <c r="D551" s="2" t="s">
        <v>746</v>
      </c>
      <c r="E551" s="2" t="s">
        <v>1121</v>
      </c>
      <c r="F551" s="2" t="s">
        <v>32</v>
      </c>
      <c r="G551" s="2" t="s">
        <v>171</v>
      </c>
      <c r="H551" s="2" t="s">
        <v>1095</v>
      </c>
      <c r="I551" s="2" t="s">
        <v>1096</v>
      </c>
      <c r="J551" s="3">
        <v>2</v>
      </c>
      <c r="K551" s="2" t="s">
        <v>36</v>
      </c>
      <c r="L551" s="3">
        <v>1.5</v>
      </c>
      <c r="M551" s="11">
        <v>165000</v>
      </c>
      <c r="N551" s="3">
        <v>-0.5</v>
      </c>
      <c r="O551" s="2" t="s">
        <v>21</v>
      </c>
      <c r="P551" s="2" t="s">
        <v>29</v>
      </c>
      <c r="Q551" s="2" t="s">
        <v>22</v>
      </c>
    </row>
    <row r="552" spans="1:17" x14ac:dyDescent="0.25">
      <c r="A552" s="1">
        <v>46176</v>
      </c>
      <c r="B552" s="1">
        <v>46175</v>
      </c>
      <c r="C552" s="2" t="s">
        <v>1122</v>
      </c>
      <c r="D552" s="2" t="s">
        <v>746</v>
      </c>
      <c r="E552" s="2" t="s">
        <v>698</v>
      </c>
      <c r="F552" s="2" t="s">
        <v>32</v>
      </c>
      <c r="G552" s="2" t="s">
        <v>25</v>
      </c>
      <c r="H552" s="2" t="s">
        <v>900</v>
      </c>
      <c r="I552" s="2" t="s">
        <v>901</v>
      </c>
      <c r="J552" s="3">
        <v>12</v>
      </c>
      <c r="K552" s="2" t="s">
        <v>664</v>
      </c>
      <c r="L552" s="3">
        <v>12</v>
      </c>
      <c r="M552" s="11">
        <v>1020000.05</v>
      </c>
      <c r="N552" s="3">
        <v>0</v>
      </c>
      <c r="O552" s="2" t="s">
        <v>21</v>
      </c>
      <c r="P552" s="2" t="s">
        <v>29</v>
      </c>
      <c r="Q552" s="2" t="s">
        <v>22</v>
      </c>
    </row>
    <row r="553" spans="1:17" x14ac:dyDescent="0.25">
      <c r="A553" s="1">
        <v>46176</v>
      </c>
      <c r="B553" s="1">
        <v>46175</v>
      </c>
      <c r="C553" s="2" t="s">
        <v>1123</v>
      </c>
      <c r="D553" s="2" t="s">
        <v>746</v>
      </c>
      <c r="E553" s="2" t="s">
        <v>677</v>
      </c>
      <c r="F553" s="2" t="s">
        <v>32</v>
      </c>
      <c r="G553" s="2" t="s">
        <v>156</v>
      </c>
      <c r="H553" s="2" t="s">
        <v>823</v>
      </c>
      <c r="I553" s="2" t="s">
        <v>824</v>
      </c>
      <c r="J553" s="3">
        <v>1</v>
      </c>
      <c r="K553" s="2" t="s">
        <v>106</v>
      </c>
      <c r="L553" s="3">
        <v>1</v>
      </c>
      <c r="M553" s="11">
        <v>164835</v>
      </c>
      <c r="N553" s="3">
        <v>0</v>
      </c>
      <c r="O553" s="2" t="s">
        <v>21</v>
      </c>
      <c r="P553" s="2" t="s">
        <v>29</v>
      </c>
      <c r="Q553" s="2" t="s">
        <v>22</v>
      </c>
    </row>
    <row r="554" spans="1:17" x14ac:dyDescent="0.25">
      <c r="A554" s="1">
        <v>46176</v>
      </c>
      <c r="B554" s="1">
        <v>46175</v>
      </c>
      <c r="C554" s="2" t="s">
        <v>1123</v>
      </c>
      <c r="D554" s="2" t="s">
        <v>746</v>
      </c>
      <c r="E554" s="2" t="s">
        <v>677</v>
      </c>
      <c r="F554" s="2" t="s">
        <v>32</v>
      </c>
      <c r="G554" s="2" t="s">
        <v>156</v>
      </c>
      <c r="H554" s="2" t="s">
        <v>892</v>
      </c>
      <c r="I554" s="2" t="s">
        <v>893</v>
      </c>
      <c r="J554" s="3">
        <v>1</v>
      </c>
      <c r="K554" s="2" t="s">
        <v>106</v>
      </c>
      <c r="L554" s="3">
        <v>1</v>
      </c>
      <c r="M554" s="11">
        <v>156510</v>
      </c>
      <c r="N554" s="3">
        <v>0</v>
      </c>
      <c r="O554" s="2" t="s">
        <v>21</v>
      </c>
      <c r="P554" s="2" t="s">
        <v>29</v>
      </c>
      <c r="Q554" s="2" t="s">
        <v>22</v>
      </c>
    </row>
    <row r="555" spans="1:17" x14ac:dyDescent="0.25">
      <c r="A555" s="1">
        <v>46176</v>
      </c>
      <c r="B555" s="1">
        <v>46175</v>
      </c>
      <c r="C555" s="2" t="s">
        <v>1123</v>
      </c>
      <c r="D555" s="2" t="s">
        <v>746</v>
      </c>
      <c r="E555" s="2" t="s">
        <v>677</v>
      </c>
      <c r="F555" s="2" t="s">
        <v>32</v>
      </c>
      <c r="G555" s="2" t="s">
        <v>156</v>
      </c>
      <c r="H555" s="2" t="s">
        <v>1018</v>
      </c>
      <c r="I555" s="2" t="s">
        <v>1019</v>
      </c>
      <c r="J555" s="3">
        <v>1</v>
      </c>
      <c r="K555" s="2" t="s">
        <v>20</v>
      </c>
      <c r="L555" s="3">
        <v>1</v>
      </c>
      <c r="M555" s="11">
        <v>528000</v>
      </c>
      <c r="N555" s="3">
        <v>0</v>
      </c>
      <c r="O555" s="2" t="s">
        <v>21</v>
      </c>
      <c r="P555" s="2" t="s">
        <v>29</v>
      </c>
      <c r="Q555" s="2" t="s">
        <v>22</v>
      </c>
    </row>
    <row r="556" spans="1:17" x14ac:dyDescent="0.25">
      <c r="A556" s="1">
        <v>46176</v>
      </c>
      <c r="B556" s="1">
        <v>46175</v>
      </c>
      <c r="C556" s="2" t="s">
        <v>1124</v>
      </c>
      <c r="D556" s="2" t="s">
        <v>746</v>
      </c>
      <c r="E556" s="2" t="s">
        <v>677</v>
      </c>
      <c r="F556" s="2" t="s">
        <v>32</v>
      </c>
      <c r="G556" s="2" t="s">
        <v>156</v>
      </c>
      <c r="H556" s="2" t="s">
        <v>1125</v>
      </c>
      <c r="I556" s="2" t="s">
        <v>1126</v>
      </c>
      <c r="J556" s="3">
        <v>50</v>
      </c>
      <c r="K556" s="2" t="s">
        <v>36</v>
      </c>
      <c r="L556" s="3">
        <v>50</v>
      </c>
      <c r="M556" s="11">
        <v>4200000.24</v>
      </c>
      <c r="N556" s="3">
        <v>0</v>
      </c>
      <c r="O556" s="2" t="s">
        <v>21</v>
      </c>
      <c r="P556" s="2" t="s">
        <v>29</v>
      </c>
      <c r="Q556" s="2" t="s">
        <v>22</v>
      </c>
    </row>
    <row r="557" spans="1:17" x14ac:dyDescent="0.25">
      <c r="A557" s="1">
        <v>46176</v>
      </c>
      <c r="B557" s="1">
        <v>46175</v>
      </c>
      <c r="C557" s="2" t="s">
        <v>1127</v>
      </c>
      <c r="D557" s="2" t="s">
        <v>746</v>
      </c>
      <c r="E557" s="2" t="s">
        <v>652</v>
      </c>
      <c r="F557" s="2" t="s">
        <v>32</v>
      </c>
      <c r="G557" s="2" t="s">
        <v>171</v>
      </c>
      <c r="H557" s="2" t="s">
        <v>1095</v>
      </c>
      <c r="I557" s="2" t="s">
        <v>1096</v>
      </c>
      <c r="J557" s="3">
        <v>6</v>
      </c>
      <c r="K557" s="2" t="s">
        <v>36</v>
      </c>
      <c r="L557" s="3">
        <v>6</v>
      </c>
      <c r="M557" s="11">
        <v>677999.99</v>
      </c>
      <c r="N557" s="3">
        <v>0</v>
      </c>
      <c r="O557" s="2" t="s">
        <v>21</v>
      </c>
      <c r="P557" s="2" t="s">
        <v>29</v>
      </c>
      <c r="Q557" s="2" t="s">
        <v>22</v>
      </c>
    </row>
    <row r="558" spans="1:17" x14ac:dyDescent="0.25">
      <c r="A558" s="1">
        <v>46176</v>
      </c>
      <c r="B558" s="1">
        <v>46175</v>
      </c>
      <c r="C558" s="2" t="s">
        <v>1128</v>
      </c>
      <c r="D558" s="2" t="s">
        <v>746</v>
      </c>
      <c r="E558" s="2" t="s">
        <v>652</v>
      </c>
      <c r="F558" s="2" t="s">
        <v>32</v>
      </c>
      <c r="G558" s="2" t="s">
        <v>171</v>
      </c>
      <c r="H558" s="2" t="s">
        <v>1008</v>
      </c>
      <c r="I558" s="2" t="s">
        <v>1009</v>
      </c>
      <c r="J558" s="3">
        <v>10</v>
      </c>
      <c r="K558" s="2" t="s">
        <v>36</v>
      </c>
      <c r="L558" s="3">
        <v>5.84</v>
      </c>
      <c r="M558" s="11">
        <v>741680</v>
      </c>
      <c r="N558" s="3">
        <v>-4.16</v>
      </c>
      <c r="O558" s="2" t="s">
        <v>21</v>
      </c>
      <c r="P558" s="2" t="s">
        <v>29</v>
      </c>
      <c r="Q558" s="2" t="s">
        <v>22</v>
      </c>
    </row>
    <row r="559" spans="1:17" x14ac:dyDescent="0.25">
      <c r="A559" s="1">
        <v>46176</v>
      </c>
      <c r="B559" s="1">
        <v>46175</v>
      </c>
      <c r="C559" s="2" t="s">
        <v>1129</v>
      </c>
      <c r="D559" s="2" t="s">
        <v>746</v>
      </c>
      <c r="E559" s="2" t="s">
        <v>652</v>
      </c>
      <c r="F559" s="2" t="s">
        <v>32</v>
      </c>
      <c r="G559" s="2" t="s">
        <v>171</v>
      </c>
      <c r="H559" s="2" t="s">
        <v>919</v>
      </c>
      <c r="I559" s="2" t="s">
        <v>920</v>
      </c>
      <c r="J559" s="3">
        <v>5</v>
      </c>
      <c r="K559" s="2" t="s">
        <v>20</v>
      </c>
      <c r="L559" s="3">
        <v>5</v>
      </c>
      <c r="M559" s="11">
        <v>2175000</v>
      </c>
      <c r="N559" s="3">
        <v>0</v>
      </c>
      <c r="O559" s="2" t="s">
        <v>21</v>
      </c>
      <c r="P559" s="2" t="s">
        <v>29</v>
      </c>
      <c r="Q559" s="2" t="s">
        <v>22</v>
      </c>
    </row>
    <row r="560" spans="1:17" x14ac:dyDescent="0.25">
      <c r="A560" s="1">
        <v>46176</v>
      </c>
      <c r="B560" s="1">
        <v>46175</v>
      </c>
      <c r="C560" s="2" t="s">
        <v>1130</v>
      </c>
      <c r="D560" s="2" t="s">
        <v>746</v>
      </c>
      <c r="E560" s="2" t="s">
        <v>652</v>
      </c>
      <c r="F560" s="2" t="s">
        <v>32</v>
      </c>
      <c r="G560" s="2" t="s">
        <v>171</v>
      </c>
      <c r="H560" s="2" t="s">
        <v>919</v>
      </c>
      <c r="I560" s="2" t="s">
        <v>920</v>
      </c>
      <c r="J560" s="3">
        <v>2</v>
      </c>
      <c r="K560" s="2" t="s">
        <v>20</v>
      </c>
      <c r="L560" s="3">
        <v>2</v>
      </c>
      <c r="M560" s="11">
        <v>870000</v>
      </c>
      <c r="N560" s="3">
        <v>0</v>
      </c>
      <c r="O560" s="2" t="s">
        <v>21</v>
      </c>
      <c r="P560" s="2" t="s">
        <v>29</v>
      </c>
      <c r="Q560" s="2" t="s">
        <v>22</v>
      </c>
    </row>
    <row r="561" spans="1:17" x14ac:dyDescent="0.25">
      <c r="A561" s="1">
        <v>46176</v>
      </c>
      <c r="B561" s="1">
        <v>46175</v>
      </c>
      <c r="C561" s="2" t="s">
        <v>1131</v>
      </c>
      <c r="D561" s="2" t="s">
        <v>746</v>
      </c>
      <c r="E561" s="2" t="s">
        <v>652</v>
      </c>
      <c r="F561" s="2" t="s">
        <v>32</v>
      </c>
      <c r="G561" s="2" t="s">
        <v>171</v>
      </c>
      <c r="H561" s="2" t="s">
        <v>1095</v>
      </c>
      <c r="I561" s="2" t="s">
        <v>1096</v>
      </c>
      <c r="J561" s="3">
        <v>7.5</v>
      </c>
      <c r="K561" s="2" t="s">
        <v>36</v>
      </c>
      <c r="L561" s="3">
        <v>7.5</v>
      </c>
      <c r="M561" s="11">
        <v>847499.99</v>
      </c>
      <c r="N561" s="3">
        <v>0</v>
      </c>
      <c r="O561" s="2" t="s">
        <v>21</v>
      </c>
      <c r="P561" s="2" t="s">
        <v>29</v>
      </c>
      <c r="Q561" s="2" t="s">
        <v>22</v>
      </c>
    </row>
    <row r="562" spans="1:17" x14ac:dyDescent="0.25">
      <c r="A562" s="1">
        <v>46176</v>
      </c>
      <c r="B562" s="1">
        <v>46175</v>
      </c>
      <c r="C562" s="2" t="s">
        <v>1132</v>
      </c>
      <c r="D562" s="2" t="s">
        <v>746</v>
      </c>
      <c r="E562" s="2" t="s">
        <v>518</v>
      </c>
      <c r="F562" s="2" t="s">
        <v>32</v>
      </c>
      <c r="G562" s="2" t="s">
        <v>171</v>
      </c>
      <c r="H562" s="2" t="s">
        <v>1018</v>
      </c>
      <c r="I562" s="2" t="s">
        <v>1019</v>
      </c>
      <c r="J562" s="3">
        <v>2</v>
      </c>
      <c r="K562" s="2" t="s">
        <v>20</v>
      </c>
      <c r="L562" s="3">
        <v>2</v>
      </c>
      <c r="M562" s="11">
        <v>1056000</v>
      </c>
      <c r="N562" s="3">
        <v>0</v>
      </c>
      <c r="O562" s="2" t="s">
        <v>21</v>
      </c>
      <c r="P562" s="2" t="s">
        <v>29</v>
      </c>
      <c r="Q562" s="2" t="s">
        <v>22</v>
      </c>
    </row>
    <row r="563" spans="1:17" x14ac:dyDescent="0.25">
      <c r="A563" s="1">
        <v>46176</v>
      </c>
      <c r="B563" s="1">
        <v>46175</v>
      </c>
      <c r="C563" s="2" t="s">
        <v>1133</v>
      </c>
      <c r="D563" s="2" t="s">
        <v>746</v>
      </c>
      <c r="E563" s="2" t="s">
        <v>518</v>
      </c>
      <c r="F563" s="2" t="s">
        <v>32</v>
      </c>
      <c r="G563" s="2" t="s">
        <v>171</v>
      </c>
      <c r="H563" s="2" t="s">
        <v>892</v>
      </c>
      <c r="I563" s="2" t="s">
        <v>893</v>
      </c>
      <c r="J563" s="3">
        <v>1</v>
      </c>
      <c r="K563" s="2" t="s">
        <v>106</v>
      </c>
      <c r="L563" s="3">
        <v>1</v>
      </c>
      <c r="M563" s="11">
        <v>156510</v>
      </c>
      <c r="N563" s="3">
        <v>0</v>
      </c>
      <c r="O563" s="2" t="s">
        <v>21</v>
      </c>
      <c r="P563" s="2" t="s">
        <v>29</v>
      </c>
      <c r="Q563" s="2" t="s">
        <v>22</v>
      </c>
    </row>
    <row r="564" spans="1:17" x14ac:dyDescent="0.25">
      <c r="A564" s="1">
        <v>46176</v>
      </c>
      <c r="B564" s="1">
        <v>46175</v>
      </c>
      <c r="C564" s="2" t="s">
        <v>1133</v>
      </c>
      <c r="D564" s="2" t="s">
        <v>746</v>
      </c>
      <c r="E564" s="2" t="s">
        <v>518</v>
      </c>
      <c r="F564" s="2" t="s">
        <v>32</v>
      </c>
      <c r="G564" s="2" t="s">
        <v>171</v>
      </c>
      <c r="H564" s="2" t="s">
        <v>1018</v>
      </c>
      <c r="I564" s="2" t="s">
        <v>1019</v>
      </c>
      <c r="J564" s="3">
        <v>1</v>
      </c>
      <c r="K564" s="2" t="s">
        <v>20</v>
      </c>
      <c r="L564" s="3">
        <v>1</v>
      </c>
      <c r="M564" s="11">
        <v>528000</v>
      </c>
      <c r="N564" s="3">
        <v>0</v>
      </c>
      <c r="O564" s="2" t="s">
        <v>21</v>
      </c>
      <c r="P564" s="2" t="s">
        <v>29</v>
      </c>
      <c r="Q564" s="2" t="s">
        <v>22</v>
      </c>
    </row>
    <row r="565" spans="1:17" x14ac:dyDescent="0.25">
      <c r="A565" s="1">
        <v>46176</v>
      </c>
      <c r="B565" s="1">
        <v>46175</v>
      </c>
      <c r="C565" s="2" t="s">
        <v>1134</v>
      </c>
      <c r="D565" s="2" t="s">
        <v>746</v>
      </c>
      <c r="E565" s="2" t="s">
        <v>1135</v>
      </c>
      <c r="F565" s="2" t="s">
        <v>32</v>
      </c>
      <c r="G565" s="2" t="s">
        <v>723</v>
      </c>
      <c r="H565" s="2" t="s">
        <v>1008</v>
      </c>
      <c r="I565" s="2" t="s">
        <v>1009</v>
      </c>
      <c r="J565" s="3">
        <v>7</v>
      </c>
      <c r="K565" s="2" t="s">
        <v>36</v>
      </c>
      <c r="L565" s="3">
        <v>6.05</v>
      </c>
      <c r="M565" s="11">
        <v>738100</v>
      </c>
      <c r="N565" s="3">
        <v>-0.95</v>
      </c>
      <c r="O565" s="2" t="s">
        <v>21</v>
      </c>
      <c r="P565" s="2" t="s">
        <v>29</v>
      </c>
      <c r="Q565" s="2" t="s">
        <v>22</v>
      </c>
    </row>
    <row r="566" spans="1:17" x14ac:dyDescent="0.25">
      <c r="A566" s="1">
        <v>46176</v>
      </c>
      <c r="B566" s="1">
        <v>46175</v>
      </c>
      <c r="C566" s="2" t="s">
        <v>1134</v>
      </c>
      <c r="D566" s="2" t="s">
        <v>746</v>
      </c>
      <c r="E566" s="2" t="s">
        <v>1135</v>
      </c>
      <c r="F566" s="2" t="s">
        <v>32</v>
      </c>
      <c r="G566" s="2" t="s">
        <v>723</v>
      </c>
      <c r="H566" s="2" t="s">
        <v>875</v>
      </c>
      <c r="I566" s="2" t="s">
        <v>876</v>
      </c>
      <c r="J566" s="3">
        <v>2</v>
      </c>
      <c r="K566" s="2" t="s">
        <v>36</v>
      </c>
      <c r="L566" s="3">
        <v>2</v>
      </c>
      <c r="M566" s="11">
        <v>200000</v>
      </c>
      <c r="N566" s="3">
        <v>0</v>
      </c>
      <c r="O566" s="2" t="s">
        <v>21</v>
      </c>
      <c r="P566" s="2" t="s">
        <v>29</v>
      </c>
      <c r="Q566" s="2" t="s">
        <v>22</v>
      </c>
    </row>
    <row r="567" spans="1:17" x14ac:dyDescent="0.25">
      <c r="A567" s="1">
        <v>46176</v>
      </c>
      <c r="B567" s="1">
        <v>46175</v>
      </c>
      <c r="C567" s="2" t="s">
        <v>1134</v>
      </c>
      <c r="D567" s="2" t="s">
        <v>746</v>
      </c>
      <c r="E567" s="2" t="s">
        <v>1135</v>
      </c>
      <c r="F567" s="2" t="s">
        <v>32</v>
      </c>
      <c r="G567" s="2" t="s">
        <v>723</v>
      </c>
      <c r="H567" s="2" t="s">
        <v>1136</v>
      </c>
      <c r="I567" s="2" t="s">
        <v>1137</v>
      </c>
      <c r="J567" s="3">
        <v>3</v>
      </c>
      <c r="K567" s="2" t="s">
        <v>408</v>
      </c>
      <c r="L567" s="3">
        <v>3</v>
      </c>
      <c r="M567" s="11">
        <v>1275000</v>
      </c>
      <c r="N567" s="3">
        <v>0</v>
      </c>
      <c r="O567" s="2" t="s">
        <v>21</v>
      </c>
      <c r="P567" s="2" t="s">
        <v>29</v>
      </c>
      <c r="Q567" s="2" t="s">
        <v>22</v>
      </c>
    </row>
    <row r="568" spans="1:17" x14ac:dyDescent="0.25">
      <c r="A568" s="1">
        <v>46176</v>
      </c>
      <c r="B568" s="1">
        <v>46175</v>
      </c>
      <c r="C568" s="2" t="s">
        <v>1134</v>
      </c>
      <c r="D568" s="2" t="s">
        <v>746</v>
      </c>
      <c r="E568" s="2" t="s">
        <v>1135</v>
      </c>
      <c r="F568" s="2" t="s">
        <v>32</v>
      </c>
      <c r="G568" s="2" t="s">
        <v>723</v>
      </c>
      <c r="H568" s="2" t="s">
        <v>917</v>
      </c>
      <c r="I568" s="2" t="s">
        <v>918</v>
      </c>
      <c r="J568" s="3">
        <v>5</v>
      </c>
      <c r="K568" s="2" t="s">
        <v>36</v>
      </c>
      <c r="L568" s="3">
        <v>4.32</v>
      </c>
      <c r="M568" s="11">
        <v>402796.79999999999</v>
      </c>
      <c r="N568" s="3">
        <v>-0.68</v>
      </c>
      <c r="O568" s="2" t="s">
        <v>21</v>
      </c>
      <c r="P568" s="2" t="s">
        <v>29</v>
      </c>
      <c r="Q568" s="2" t="s">
        <v>22</v>
      </c>
    </row>
    <row r="569" spans="1:17" x14ac:dyDescent="0.25">
      <c r="A569" s="1">
        <v>46176</v>
      </c>
      <c r="B569" s="1">
        <v>46175</v>
      </c>
      <c r="C569" s="2" t="s">
        <v>1138</v>
      </c>
      <c r="D569" s="2" t="s">
        <v>746</v>
      </c>
      <c r="E569" s="2" t="s">
        <v>731</v>
      </c>
      <c r="F569" s="2" t="s">
        <v>32</v>
      </c>
      <c r="G569" s="2" t="s">
        <v>56</v>
      </c>
      <c r="H569" s="2" t="s">
        <v>1084</v>
      </c>
      <c r="I569" s="2" t="s">
        <v>1085</v>
      </c>
      <c r="J569" s="3">
        <v>1</v>
      </c>
      <c r="K569" s="2" t="s">
        <v>20</v>
      </c>
      <c r="L569" s="3">
        <v>1</v>
      </c>
      <c r="M569" s="11">
        <v>127499.99</v>
      </c>
      <c r="N569" s="3">
        <v>0</v>
      </c>
      <c r="O569" s="2" t="s">
        <v>21</v>
      </c>
      <c r="P569" s="2" t="s">
        <v>29</v>
      </c>
      <c r="Q569" s="2" t="s">
        <v>565</v>
      </c>
    </row>
    <row r="570" spans="1:17" x14ac:dyDescent="0.25">
      <c r="A570" s="1">
        <v>46176</v>
      </c>
      <c r="B570" s="1">
        <v>46175</v>
      </c>
      <c r="C570" s="2" t="s">
        <v>1138</v>
      </c>
      <c r="D570" s="2" t="s">
        <v>746</v>
      </c>
      <c r="E570" s="2" t="s">
        <v>731</v>
      </c>
      <c r="F570" s="2" t="s">
        <v>32</v>
      </c>
      <c r="G570" s="2" t="s">
        <v>56</v>
      </c>
      <c r="H570" s="2" t="s">
        <v>1139</v>
      </c>
      <c r="I570" s="2" t="s">
        <v>1140</v>
      </c>
      <c r="J570" s="3">
        <v>1</v>
      </c>
      <c r="K570" s="2" t="s">
        <v>20</v>
      </c>
      <c r="L570" s="3">
        <v>1</v>
      </c>
      <c r="M570" s="11">
        <v>147500</v>
      </c>
      <c r="N570" s="3">
        <v>0</v>
      </c>
      <c r="O570" s="2" t="s">
        <v>21</v>
      </c>
      <c r="P570" s="2" t="s">
        <v>29</v>
      </c>
      <c r="Q570" s="2" t="s">
        <v>565</v>
      </c>
    </row>
    <row r="571" spans="1:17" x14ac:dyDescent="0.25">
      <c r="A571" s="1">
        <v>46176</v>
      </c>
      <c r="B571" s="1">
        <v>46175</v>
      </c>
      <c r="C571" s="2" t="s">
        <v>1138</v>
      </c>
      <c r="D571" s="2" t="s">
        <v>746</v>
      </c>
      <c r="E571" s="2" t="s">
        <v>731</v>
      </c>
      <c r="F571" s="2" t="s">
        <v>32</v>
      </c>
      <c r="G571" s="2" t="s">
        <v>56</v>
      </c>
      <c r="H571" s="2" t="s">
        <v>917</v>
      </c>
      <c r="I571" s="2" t="s">
        <v>918</v>
      </c>
      <c r="J571" s="3">
        <v>6.9</v>
      </c>
      <c r="K571" s="2" t="s">
        <v>36</v>
      </c>
      <c r="L571" s="3">
        <v>6.48</v>
      </c>
      <c r="M571" s="11">
        <v>660959.99</v>
      </c>
      <c r="N571" s="3">
        <v>-0.42</v>
      </c>
      <c r="O571" s="2" t="s">
        <v>21</v>
      </c>
      <c r="P571" s="2" t="s">
        <v>29</v>
      </c>
      <c r="Q571" s="2" t="s">
        <v>565</v>
      </c>
    </row>
    <row r="572" spans="1:17" x14ac:dyDescent="0.25">
      <c r="A572" s="1">
        <v>46176</v>
      </c>
      <c r="B572" s="1">
        <v>46175</v>
      </c>
      <c r="C572" s="2" t="s">
        <v>1141</v>
      </c>
      <c r="D572" s="2" t="s">
        <v>746</v>
      </c>
      <c r="E572" s="2" t="s">
        <v>716</v>
      </c>
      <c r="F572" s="2" t="s">
        <v>32</v>
      </c>
      <c r="G572" s="2" t="s">
        <v>723</v>
      </c>
      <c r="H572" s="2" t="s">
        <v>900</v>
      </c>
      <c r="I572" s="2" t="s">
        <v>901</v>
      </c>
      <c r="J572" s="3">
        <v>4</v>
      </c>
      <c r="K572" s="2" t="s">
        <v>664</v>
      </c>
      <c r="L572" s="3">
        <v>4</v>
      </c>
      <c r="M572" s="11">
        <v>268620</v>
      </c>
      <c r="N572" s="3">
        <v>0</v>
      </c>
      <c r="O572" s="2" t="s">
        <v>21</v>
      </c>
      <c r="P572" s="2" t="s">
        <v>29</v>
      </c>
      <c r="Q572" s="2" t="s">
        <v>22</v>
      </c>
    </row>
    <row r="573" spans="1:17" x14ac:dyDescent="0.25">
      <c r="A573" s="1">
        <v>46176</v>
      </c>
      <c r="B573" s="1">
        <v>46175</v>
      </c>
      <c r="C573" s="2" t="s">
        <v>1142</v>
      </c>
      <c r="D573" s="2" t="s">
        <v>746</v>
      </c>
      <c r="E573" s="2" t="s">
        <v>716</v>
      </c>
      <c r="F573" s="2" t="s">
        <v>32</v>
      </c>
      <c r="G573" s="2" t="s">
        <v>723</v>
      </c>
      <c r="H573" s="2" t="s">
        <v>1008</v>
      </c>
      <c r="I573" s="2" t="s">
        <v>1009</v>
      </c>
      <c r="J573" s="3">
        <v>6</v>
      </c>
      <c r="K573" s="2" t="s">
        <v>36</v>
      </c>
      <c r="L573" s="3">
        <v>5.67</v>
      </c>
      <c r="M573" s="11">
        <v>691740</v>
      </c>
      <c r="N573" s="3">
        <v>-0.33</v>
      </c>
      <c r="O573" s="2" t="s">
        <v>21</v>
      </c>
      <c r="P573" s="2" t="s">
        <v>29</v>
      </c>
      <c r="Q573" s="2" t="s">
        <v>22</v>
      </c>
    </row>
    <row r="574" spans="1:17" x14ac:dyDescent="0.25">
      <c r="A574" s="1">
        <v>46176</v>
      </c>
      <c r="B574" s="1">
        <v>46175</v>
      </c>
      <c r="C574" s="2" t="s">
        <v>1142</v>
      </c>
      <c r="D574" s="2" t="s">
        <v>746</v>
      </c>
      <c r="E574" s="2" t="s">
        <v>716</v>
      </c>
      <c r="F574" s="2" t="s">
        <v>32</v>
      </c>
      <c r="G574" s="2" t="s">
        <v>723</v>
      </c>
      <c r="H574" s="2" t="s">
        <v>1136</v>
      </c>
      <c r="I574" s="2" t="s">
        <v>1137</v>
      </c>
      <c r="J574" s="3">
        <v>2</v>
      </c>
      <c r="K574" s="2" t="s">
        <v>408</v>
      </c>
      <c r="L574" s="3">
        <v>2</v>
      </c>
      <c r="M574" s="11">
        <v>849999.99</v>
      </c>
      <c r="N574" s="3">
        <v>0</v>
      </c>
      <c r="O574" s="2" t="s">
        <v>21</v>
      </c>
      <c r="P574" s="2" t="s">
        <v>29</v>
      </c>
      <c r="Q574" s="2" t="s">
        <v>22</v>
      </c>
    </row>
    <row r="575" spans="1:17" x14ac:dyDescent="0.25">
      <c r="A575" s="1">
        <v>46176</v>
      </c>
      <c r="B575" s="1">
        <v>46175</v>
      </c>
      <c r="C575" s="2" t="s">
        <v>1143</v>
      </c>
      <c r="D575" s="2" t="s">
        <v>746</v>
      </c>
      <c r="E575" s="2" t="s">
        <v>1144</v>
      </c>
      <c r="F575" s="2" t="s">
        <v>32</v>
      </c>
      <c r="G575" s="2" t="s">
        <v>40</v>
      </c>
      <c r="H575" s="2" t="s">
        <v>1011</v>
      </c>
      <c r="I575" s="2" t="s">
        <v>1012</v>
      </c>
      <c r="J575" s="3">
        <v>2</v>
      </c>
      <c r="K575" s="2" t="s">
        <v>20</v>
      </c>
      <c r="L575" s="3">
        <v>2</v>
      </c>
      <c r="M575" s="11">
        <v>129999.98</v>
      </c>
      <c r="N575" s="3">
        <v>0</v>
      </c>
      <c r="O575" s="2" t="s">
        <v>21</v>
      </c>
      <c r="P575" s="2" t="s">
        <v>29</v>
      </c>
      <c r="Q575" s="2" t="s">
        <v>22</v>
      </c>
    </row>
    <row r="576" spans="1:17" x14ac:dyDescent="0.25">
      <c r="A576" s="1">
        <v>46176</v>
      </c>
      <c r="B576" s="1">
        <v>46175</v>
      </c>
      <c r="C576" s="2" t="s">
        <v>1143</v>
      </c>
      <c r="D576" s="2" t="s">
        <v>746</v>
      </c>
      <c r="E576" s="2" t="s">
        <v>1144</v>
      </c>
      <c r="F576" s="2" t="s">
        <v>32</v>
      </c>
      <c r="G576" s="2" t="s">
        <v>40</v>
      </c>
      <c r="H576" s="2" t="s">
        <v>917</v>
      </c>
      <c r="I576" s="2" t="s">
        <v>918</v>
      </c>
      <c r="J576" s="3">
        <v>2.5</v>
      </c>
      <c r="K576" s="2" t="s">
        <v>36</v>
      </c>
      <c r="L576" s="3">
        <v>2.12</v>
      </c>
      <c r="M576" s="11">
        <v>199279.99</v>
      </c>
      <c r="N576" s="3">
        <v>-0.38</v>
      </c>
      <c r="O576" s="2" t="s">
        <v>21</v>
      </c>
      <c r="P576" s="2" t="s">
        <v>29</v>
      </c>
      <c r="Q576" s="2" t="s">
        <v>22</v>
      </c>
    </row>
    <row r="577" spans="1:17" x14ac:dyDescent="0.25">
      <c r="A577" s="1">
        <v>46176</v>
      </c>
      <c r="B577" s="1">
        <v>46175</v>
      </c>
      <c r="C577" s="2" t="s">
        <v>1145</v>
      </c>
      <c r="D577" s="2" t="s">
        <v>746</v>
      </c>
      <c r="E577" s="2" t="s">
        <v>1146</v>
      </c>
      <c r="F577" s="2" t="s">
        <v>32</v>
      </c>
      <c r="G577" s="2" t="s">
        <v>40</v>
      </c>
      <c r="H577" s="2" t="s">
        <v>908</v>
      </c>
      <c r="I577" s="2" t="s">
        <v>909</v>
      </c>
      <c r="J577" s="3">
        <v>1</v>
      </c>
      <c r="K577" s="2" t="s">
        <v>408</v>
      </c>
      <c r="L577" s="3">
        <v>1</v>
      </c>
      <c r="M577" s="11">
        <v>480000</v>
      </c>
      <c r="N577" s="3">
        <v>0</v>
      </c>
      <c r="O577" s="2" t="s">
        <v>21</v>
      </c>
      <c r="P577" s="2" t="s">
        <v>29</v>
      </c>
      <c r="Q577" s="2" t="s">
        <v>22</v>
      </c>
    </row>
    <row r="578" spans="1:17" x14ac:dyDescent="0.25">
      <c r="A578" s="1">
        <v>46176</v>
      </c>
      <c r="B578" s="1">
        <v>46175</v>
      </c>
      <c r="C578" s="2" t="s">
        <v>1145</v>
      </c>
      <c r="D578" s="2" t="s">
        <v>746</v>
      </c>
      <c r="E578" s="2" t="s">
        <v>1146</v>
      </c>
      <c r="F578" s="2" t="s">
        <v>32</v>
      </c>
      <c r="G578" s="2" t="s">
        <v>40</v>
      </c>
      <c r="H578" s="2" t="s">
        <v>838</v>
      </c>
      <c r="I578" s="2" t="s">
        <v>839</v>
      </c>
      <c r="J578" s="3">
        <v>1</v>
      </c>
      <c r="K578" s="2" t="s">
        <v>20</v>
      </c>
      <c r="L578" s="3">
        <v>1</v>
      </c>
      <c r="M578" s="11">
        <v>120000</v>
      </c>
      <c r="N578" s="3">
        <v>0</v>
      </c>
      <c r="O578" s="2" t="s">
        <v>21</v>
      </c>
      <c r="P578" s="2" t="s">
        <v>29</v>
      </c>
      <c r="Q578" s="2" t="s">
        <v>22</v>
      </c>
    </row>
    <row r="579" spans="1:17" x14ac:dyDescent="0.25">
      <c r="A579" s="1">
        <v>46176</v>
      </c>
      <c r="B579" s="1">
        <v>46175</v>
      </c>
      <c r="C579" s="2" t="s">
        <v>1147</v>
      </c>
      <c r="D579" s="2" t="s">
        <v>746</v>
      </c>
      <c r="E579" s="2" t="s">
        <v>1148</v>
      </c>
      <c r="F579" s="2" t="s">
        <v>32</v>
      </c>
      <c r="G579" s="2" t="s">
        <v>89</v>
      </c>
      <c r="H579" s="2" t="s">
        <v>776</v>
      </c>
      <c r="I579" s="2" t="s">
        <v>777</v>
      </c>
      <c r="J579" s="3">
        <v>2</v>
      </c>
      <c r="K579" s="2" t="s">
        <v>106</v>
      </c>
      <c r="L579" s="3">
        <v>2</v>
      </c>
      <c r="M579" s="11">
        <v>310058.40000000002</v>
      </c>
      <c r="N579" s="3">
        <v>0</v>
      </c>
      <c r="O579" s="2" t="s">
        <v>21</v>
      </c>
      <c r="P579" s="2" t="s">
        <v>29</v>
      </c>
      <c r="Q579" s="2" t="s">
        <v>22</v>
      </c>
    </row>
    <row r="580" spans="1:17" x14ac:dyDescent="0.25">
      <c r="A580" s="1">
        <v>46176</v>
      </c>
      <c r="B580" s="1">
        <v>46175</v>
      </c>
      <c r="C580" s="2" t="s">
        <v>1147</v>
      </c>
      <c r="D580" s="2" t="s">
        <v>746</v>
      </c>
      <c r="E580" s="2" t="s">
        <v>1148</v>
      </c>
      <c r="F580" s="2" t="s">
        <v>32</v>
      </c>
      <c r="G580" s="2" t="s">
        <v>89</v>
      </c>
      <c r="H580" s="2" t="s">
        <v>823</v>
      </c>
      <c r="I580" s="2" t="s">
        <v>824</v>
      </c>
      <c r="J580" s="3">
        <v>2</v>
      </c>
      <c r="K580" s="2" t="s">
        <v>106</v>
      </c>
      <c r="L580" s="3">
        <v>2</v>
      </c>
      <c r="M580" s="11">
        <v>303296.40000000002</v>
      </c>
      <c r="N580" s="3">
        <v>0</v>
      </c>
      <c r="O580" s="2" t="s">
        <v>21</v>
      </c>
      <c r="P580" s="2" t="s">
        <v>29</v>
      </c>
      <c r="Q580" s="2" t="s">
        <v>22</v>
      </c>
    </row>
    <row r="581" spans="1:17" x14ac:dyDescent="0.25">
      <c r="A581" s="1">
        <v>46176</v>
      </c>
      <c r="B581" s="1">
        <v>46175</v>
      </c>
      <c r="C581" s="2" t="s">
        <v>1147</v>
      </c>
      <c r="D581" s="2" t="s">
        <v>746</v>
      </c>
      <c r="E581" s="2" t="s">
        <v>1148</v>
      </c>
      <c r="F581" s="2" t="s">
        <v>32</v>
      </c>
      <c r="G581" s="2" t="s">
        <v>89</v>
      </c>
      <c r="H581" s="2" t="s">
        <v>799</v>
      </c>
      <c r="I581" s="2" t="s">
        <v>800</v>
      </c>
      <c r="J581" s="3">
        <v>3</v>
      </c>
      <c r="K581" s="2" t="s">
        <v>448</v>
      </c>
      <c r="L581" s="3">
        <v>3</v>
      </c>
      <c r="M581" s="11">
        <v>330000</v>
      </c>
      <c r="N581" s="3">
        <v>0</v>
      </c>
      <c r="O581" s="2" t="s">
        <v>21</v>
      </c>
      <c r="P581" s="2" t="s">
        <v>29</v>
      </c>
      <c r="Q581" s="2" t="s">
        <v>22</v>
      </c>
    </row>
    <row r="582" spans="1:17" x14ac:dyDescent="0.25">
      <c r="A582" s="1">
        <v>46176</v>
      </c>
      <c r="B582" s="1">
        <v>46175</v>
      </c>
      <c r="C582" s="2" t="s">
        <v>1147</v>
      </c>
      <c r="D582" s="2" t="s">
        <v>746</v>
      </c>
      <c r="E582" s="2" t="s">
        <v>1148</v>
      </c>
      <c r="F582" s="2" t="s">
        <v>32</v>
      </c>
      <c r="G582" s="2" t="s">
        <v>89</v>
      </c>
      <c r="H582" s="2" t="s">
        <v>854</v>
      </c>
      <c r="I582" s="2" t="s">
        <v>855</v>
      </c>
      <c r="J582" s="3">
        <v>2</v>
      </c>
      <c r="K582" s="2" t="s">
        <v>448</v>
      </c>
      <c r="L582" s="3">
        <v>2</v>
      </c>
      <c r="M582" s="11">
        <v>202400</v>
      </c>
      <c r="N582" s="3">
        <v>0</v>
      </c>
      <c r="O582" s="2" t="s">
        <v>21</v>
      </c>
      <c r="P582" s="2" t="s">
        <v>29</v>
      </c>
      <c r="Q582" s="2" t="s">
        <v>22</v>
      </c>
    </row>
    <row r="583" spans="1:17" x14ac:dyDescent="0.25">
      <c r="A583" s="1">
        <v>46176</v>
      </c>
      <c r="B583" s="1">
        <v>46175</v>
      </c>
      <c r="C583" s="2" t="s">
        <v>1147</v>
      </c>
      <c r="D583" s="2" t="s">
        <v>746</v>
      </c>
      <c r="E583" s="2" t="s">
        <v>1148</v>
      </c>
      <c r="F583" s="2" t="s">
        <v>32</v>
      </c>
      <c r="G583" s="2" t="s">
        <v>89</v>
      </c>
      <c r="H583" s="2" t="s">
        <v>869</v>
      </c>
      <c r="I583" s="2" t="s">
        <v>870</v>
      </c>
      <c r="J583" s="3">
        <v>3</v>
      </c>
      <c r="K583" s="2" t="s">
        <v>448</v>
      </c>
      <c r="L583" s="3">
        <v>3</v>
      </c>
      <c r="M583" s="11">
        <v>303600.01</v>
      </c>
      <c r="N583" s="3">
        <v>0</v>
      </c>
      <c r="O583" s="2" t="s">
        <v>21</v>
      </c>
      <c r="P583" s="2" t="s">
        <v>29</v>
      </c>
      <c r="Q583" s="2" t="s">
        <v>22</v>
      </c>
    </row>
    <row r="584" spans="1:17" x14ac:dyDescent="0.25">
      <c r="A584" s="1">
        <v>46176</v>
      </c>
      <c r="B584" s="1">
        <v>46175</v>
      </c>
      <c r="C584" s="2" t="s">
        <v>1147</v>
      </c>
      <c r="D584" s="2" t="s">
        <v>746</v>
      </c>
      <c r="E584" s="2" t="s">
        <v>1148</v>
      </c>
      <c r="F584" s="2" t="s">
        <v>32</v>
      </c>
      <c r="G584" s="2" t="s">
        <v>89</v>
      </c>
      <c r="H584" s="2" t="s">
        <v>871</v>
      </c>
      <c r="I584" s="2" t="s">
        <v>872</v>
      </c>
      <c r="J584" s="3">
        <v>2</v>
      </c>
      <c r="K584" s="2" t="s">
        <v>448</v>
      </c>
      <c r="L584" s="3">
        <v>2</v>
      </c>
      <c r="M584" s="11">
        <v>220000</v>
      </c>
      <c r="N584" s="3">
        <v>0</v>
      </c>
      <c r="O584" s="2" t="s">
        <v>21</v>
      </c>
      <c r="P584" s="2" t="s">
        <v>29</v>
      </c>
      <c r="Q584" s="2" t="s">
        <v>22</v>
      </c>
    </row>
    <row r="585" spans="1:17" x14ac:dyDescent="0.25">
      <c r="A585" s="1">
        <v>46176</v>
      </c>
      <c r="B585" s="1">
        <v>46175</v>
      </c>
      <c r="C585" s="2" t="s">
        <v>1149</v>
      </c>
      <c r="D585" s="2" t="s">
        <v>746</v>
      </c>
      <c r="E585" s="2" t="s">
        <v>1150</v>
      </c>
      <c r="F585" s="2" t="s">
        <v>18</v>
      </c>
      <c r="G585" s="2" t="s">
        <v>43</v>
      </c>
      <c r="H585" s="2" t="s">
        <v>875</v>
      </c>
      <c r="I585" s="2" t="s">
        <v>876</v>
      </c>
      <c r="J585" s="3">
        <v>5</v>
      </c>
      <c r="K585" s="2" t="s">
        <v>36</v>
      </c>
      <c r="L585" s="3">
        <v>5</v>
      </c>
      <c r="M585" s="11">
        <v>500000</v>
      </c>
      <c r="N585" s="3">
        <v>0</v>
      </c>
      <c r="O585" s="2" t="s">
        <v>21</v>
      </c>
      <c r="P585" s="2" t="s">
        <v>29</v>
      </c>
      <c r="Q585" s="2" t="s">
        <v>22</v>
      </c>
    </row>
    <row r="586" spans="1:17" x14ac:dyDescent="0.25">
      <c r="A586" s="1">
        <v>46176</v>
      </c>
      <c r="B586" s="1">
        <v>46175</v>
      </c>
      <c r="C586" s="2" t="s">
        <v>1151</v>
      </c>
      <c r="D586" s="2" t="s">
        <v>746</v>
      </c>
      <c r="E586" s="2" t="s">
        <v>1024</v>
      </c>
      <c r="F586" s="2" t="s">
        <v>18</v>
      </c>
      <c r="G586" s="2" t="s">
        <v>61</v>
      </c>
      <c r="H586" s="2" t="s">
        <v>778</v>
      </c>
      <c r="I586" s="2" t="s">
        <v>779</v>
      </c>
      <c r="J586" s="3">
        <v>2</v>
      </c>
      <c r="K586" s="2" t="s">
        <v>448</v>
      </c>
      <c r="L586" s="3">
        <v>2</v>
      </c>
      <c r="M586" s="11">
        <v>220000</v>
      </c>
      <c r="N586" s="3">
        <v>0</v>
      </c>
      <c r="O586" s="2" t="s">
        <v>21</v>
      </c>
      <c r="P586" s="2" t="s">
        <v>29</v>
      </c>
      <c r="Q586" s="2" t="s">
        <v>22</v>
      </c>
    </row>
    <row r="587" spans="1:17" x14ac:dyDescent="0.25">
      <c r="A587" s="1">
        <v>46176</v>
      </c>
      <c r="B587" s="1">
        <v>46175</v>
      </c>
      <c r="C587" s="2" t="s">
        <v>1151</v>
      </c>
      <c r="D587" s="2" t="s">
        <v>746</v>
      </c>
      <c r="E587" s="2" t="s">
        <v>1024</v>
      </c>
      <c r="F587" s="2" t="s">
        <v>18</v>
      </c>
      <c r="G587" s="2" t="s">
        <v>61</v>
      </c>
      <c r="H587" s="2" t="s">
        <v>1152</v>
      </c>
      <c r="I587" s="2" t="s">
        <v>1153</v>
      </c>
      <c r="J587" s="3">
        <v>1</v>
      </c>
      <c r="K587" s="2" t="s">
        <v>448</v>
      </c>
      <c r="L587" s="3">
        <v>1</v>
      </c>
      <c r="M587" s="11">
        <v>110000</v>
      </c>
      <c r="N587" s="3">
        <v>0</v>
      </c>
      <c r="O587" s="2" t="s">
        <v>21</v>
      </c>
      <c r="P587" s="2" t="s">
        <v>29</v>
      </c>
      <c r="Q587" s="2" t="s">
        <v>22</v>
      </c>
    </row>
    <row r="588" spans="1:17" x14ac:dyDescent="0.25">
      <c r="A588" s="1">
        <v>46176</v>
      </c>
      <c r="B588" s="1">
        <v>46175</v>
      </c>
      <c r="C588" s="2" t="s">
        <v>1151</v>
      </c>
      <c r="D588" s="2" t="s">
        <v>746</v>
      </c>
      <c r="E588" s="2" t="s">
        <v>1024</v>
      </c>
      <c r="F588" s="2" t="s">
        <v>18</v>
      </c>
      <c r="G588" s="2" t="s">
        <v>61</v>
      </c>
      <c r="H588" s="2" t="s">
        <v>869</v>
      </c>
      <c r="I588" s="2" t="s">
        <v>870</v>
      </c>
      <c r="J588" s="3">
        <v>2</v>
      </c>
      <c r="K588" s="2" t="s">
        <v>448</v>
      </c>
      <c r="L588" s="3">
        <v>2</v>
      </c>
      <c r="M588" s="11">
        <v>220000.01</v>
      </c>
      <c r="N588" s="3">
        <v>0</v>
      </c>
      <c r="O588" s="2" t="s">
        <v>21</v>
      </c>
      <c r="P588" s="2" t="s">
        <v>29</v>
      </c>
      <c r="Q588" s="2" t="s">
        <v>22</v>
      </c>
    </row>
    <row r="589" spans="1:17" x14ac:dyDescent="0.25">
      <c r="A589" s="1">
        <v>46176</v>
      </c>
      <c r="B589" s="1">
        <v>46175</v>
      </c>
      <c r="C589" s="2" t="s">
        <v>1154</v>
      </c>
      <c r="D589" s="2" t="s">
        <v>746</v>
      </c>
      <c r="E589" s="2" t="s">
        <v>709</v>
      </c>
      <c r="F589" s="2" t="s">
        <v>32</v>
      </c>
      <c r="G589" s="2" t="s">
        <v>43</v>
      </c>
      <c r="H589" s="2" t="s">
        <v>938</v>
      </c>
      <c r="I589" s="2" t="s">
        <v>939</v>
      </c>
      <c r="J589" s="3">
        <v>2</v>
      </c>
      <c r="K589" s="2" t="s">
        <v>829</v>
      </c>
      <c r="L589" s="3">
        <v>2</v>
      </c>
      <c r="M589" s="11">
        <v>175000</v>
      </c>
      <c r="N589" s="3">
        <v>0</v>
      </c>
      <c r="O589" s="2" t="s">
        <v>21</v>
      </c>
      <c r="P589" s="2" t="s">
        <v>29</v>
      </c>
      <c r="Q589" s="2" t="s">
        <v>1155</v>
      </c>
    </row>
    <row r="590" spans="1:17" x14ac:dyDescent="0.25">
      <c r="A590" s="1">
        <v>46176</v>
      </c>
      <c r="B590" s="1">
        <v>46175</v>
      </c>
      <c r="C590" s="2" t="s">
        <v>1156</v>
      </c>
      <c r="D590" s="2" t="s">
        <v>746</v>
      </c>
      <c r="E590" s="2" t="s">
        <v>709</v>
      </c>
      <c r="F590" s="2" t="s">
        <v>32</v>
      </c>
      <c r="G590" s="2" t="s">
        <v>43</v>
      </c>
      <c r="H590" s="2" t="s">
        <v>938</v>
      </c>
      <c r="I590" s="2" t="s">
        <v>939</v>
      </c>
      <c r="J590" s="3">
        <v>12</v>
      </c>
      <c r="K590" s="2" t="s">
        <v>829</v>
      </c>
      <c r="L590" s="3">
        <v>12</v>
      </c>
      <c r="M590" s="11">
        <v>1049999.99</v>
      </c>
      <c r="N590" s="3">
        <v>0</v>
      </c>
      <c r="O590" s="2" t="s">
        <v>21</v>
      </c>
      <c r="P590" s="2" t="s">
        <v>29</v>
      </c>
      <c r="Q590" s="2" t="s">
        <v>1157</v>
      </c>
    </row>
    <row r="591" spans="1:17" x14ac:dyDescent="0.25">
      <c r="A591" s="1">
        <v>46176</v>
      </c>
      <c r="B591" s="1">
        <v>46175</v>
      </c>
      <c r="C591" s="2" t="s">
        <v>1158</v>
      </c>
      <c r="D591" s="2" t="s">
        <v>746</v>
      </c>
      <c r="E591" s="2" t="s">
        <v>709</v>
      </c>
      <c r="F591" s="2" t="s">
        <v>32</v>
      </c>
      <c r="G591" s="2" t="s">
        <v>43</v>
      </c>
      <c r="H591" s="2" t="s">
        <v>1159</v>
      </c>
      <c r="I591" s="2" t="s">
        <v>1160</v>
      </c>
      <c r="J591" s="3">
        <v>2</v>
      </c>
      <c r="K591" s="2" t="s">
        <v>106</v>
      </c>
      <c r="L591" s="3">
        <v>2</v>
      </c>
      <c r="M591" s="11">
        <v>404040</v>
      </c>
      <c r="N591" s="3">
        <v>0</v>
      </c>
      <c r="O591" s="2" t="s">
        <v>21</v>
      </c>
      <c r="P591" s="2" t="s">
        <v>29</v>
      </c>
      <c r="Q591" s="2" t="s">
        <v>740</v>
      </c>
    </row>
    <row r="592" spans="1:17" x14ac:dyDescent="0.25">
      <c r="A592" s="1">
        <v>46176</v>
      </c>
      <c r="B592" s="1">
        <v>46175</v>
      </c>
      <c r="C592" s="2" t="s">
        <v>1161</v>
      </c>
      <c r="D592" s="2" t="s">
        <v>746</v>
      </c>
      <c r="E592" s="2" t="s">
        <v>603</v>
      </c>
      <c r="F592" s="2" t="s">
        <v>32</v>
      </c>
      <c r="G592" s="2" t="s">
        <v>238</v>
      </c>
      <c r="H592" s="2" t="s">
        <v>900</v>
      </c>
      <c r="I592" s="2" t="s">
        <v>901</v>
      </c>
      <c r="J592" s="3">
        <v>12</v>
      </c>
      <c r="K592" s="2" t="s">
        <v>664</v>
      </c>
      <c r="L592" s="3">
        <v>12</v>
      </c>
      <c r="M592" s="11">
        <v>1019999.99</v>
      </c>
      <c r="N592" s="3">
        <v>0</v>
      </c>
      <c r="O592" s="2" t="s">
        <v>21</v>
      </c>
      <c r="P592" s="2" t="s">
        <v>29</v>
      </c>
      <c r="Q592" s="2" t="s">
        <v>22</v>
      </c>
    </row>
    <row r="593" spans="1:17" x14ac:dyDescent="0.25">
      <c r="A593" s="1">
        <v>46176</v>
      </c>
      <c r="B593" s="1">
        <v>46175</v>
      </c>
      <c r="C593" s="2" t="s">
        <v>1162</v>
      </c>
      <c r="D593" s="2" t="s">
        <v>746</v>
      </c>
      <c r="E593" s="2" t="s">
        <v>709</v>
      </c>
      <c r="F593" s="2" t="s">
        <v>32</v>
      </c>
      <c r="G593" s="2" t="s">
        <v>43</v>
      </c>
      <c r="H593" s="2" t="s">
        <v>1073</v>
      </c>
      <c r="I593" s="2" t="s">
        <v>1074</v>
      </c>
      <c r="J593" s="3">
        <v>1</v>
      </c>
      <c r="K593" s="2" t="s">
        <v>829</v>
      </c>
      <c r="L593" s="3">
        <v>1</v>
      </c>
      <c r="M593" s="11">
        <v>95000.01</v>
      </c>
      <c r="N593" s="3">
        <v>0</v>
      </c>
      <c r="O593" s="2" t="s">
        <v>21</v>
      </c>
      <c r="P593" s="2" t="s">
        <v>29</v>
      </c>
      <c r="Q593" s="2" t="s">
        <v>740</v>
      </c>
    </row>
    <row r="594" spans="1:17" x14ac:dyDescent="0.25">
      <c r="A594" s="1">
        <v>46176</v>
      </c>
      <c r="B594" s="1">
        <v>46175</v>
      </c>
      <c r="C594" s="2" t="s">
        <v>1163</v>
      </c>
      <c r="D594" s="2" t="s">
        <v>746</v>
      </c>
      <c r="E594" s="2" t="s">
        <v>1164</v>
      </c>
      <c r="F594" s="2" t="s">
        <v>32</v>
      </c>
      <c r="G594" s="2" t="s">
        <v>723</v>
      </c>
      <c r="H594" s="2" t="s">
        <v>1095</v>
      </c>
      <c r="I594" s="2" t="s">
        <v>1096</v>
      </c>
      <c r="J594" s="3">
        <v>298.5</v>
      </c>
      <c r="K594" s="2" t="s">
        <v>36</v>
      </c>
      <c r="L594" s="3">
        <v>300</v>
      </c>
      <c r="M594" s="11">
        <v>27972000</v>
      </c>
      <c r="N594" s="3">
        <v>1.5</v>
      </c>
      <c r="O594" s="2" t="s">
        <v>21</v>
      </c>
      <c r="P594" s="2" t="s">
        <v>29</v>
      </c>
      <c r="Q594" s="2" t="s">
        <v>1165</v>
      </c>
    </row>
    <row r="595" spans="1:17" x14ac:dyDescent="0.25">
      <c r="M595" s="12">
        <f>SUM(M2:M594)</f>
        <v>723138175.67999995</v>
      </c>
    </row>
  </sheetData>
  <autoFilter ref="A1:Q595" xr:uid="{00000000-0009-0000-0000-000000000000}"/>
  <pageMargins left="0.7" right="0.7" top="0.75" bottom="0.75" header="0.3" footer="0.3"/>
  <ignoredErrors>
    <ignoredError sqref="A1:Q1 A368:Q371 A358:Q367 A330:Q357 A307:Q329 A290:Q303 A284:Q289 A275:Q276 A251:Q252 A250:Q250 A235:Q240 A215:Q219 A208:Q214 A202:Q204 A198:Q201 A185:Q185 A160:Q168 A120:Q159 A112:Q119 A65:Q73 A14:Q47 A2:Q13 A304:Q306 A277:Q283 A264:Q274 A255:Q263 A253:Q254 A244:Q249 A243:Q243 A241:Q242 A220:Q234 A205:Q207 A192:Q197 A188:Q191 A186:Q187 A180:Q184 A169:Q179 A109:Q111 A82:Q108 A81:Q81 A80:Q80 A78:Q79 A77:Q77 A74:Q76 A50:Q64 A48:Q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2026-06-03T00:06:14Z</dcterms:created>
  <dcterms:modified xsi:type="dcterms:W3CDTF">2026-06-03T00:44:16Z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