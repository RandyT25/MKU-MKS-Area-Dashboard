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FCC9AB5-6D6E-4290-BDA7-66059C89423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Sheet!$A$1:$Q$228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408" i="1" l="1"/>
</calcChain>
</file>

<file path=xl/sharedStrings.xml><?xml version="1.0" encoding="utf-8"?>
<sst xmlns="http://schemas.openxmlformats.org/spreadsheetml/2006/main" count="4732" uniqueCount="920">
  <si>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</si>
  <si>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</si>
  <si>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</si>
  <si>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</si>
  <si>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</si>
  <si>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</si>
  <si>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</si>
  <si>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</si>
  <si>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</si>
  <si>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</si>
  <si>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</si>
  <si>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</si>
  <si>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</si>
  <si>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</si>
  <si>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</si>
  <si>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</si>
  <si>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</si>
  <si>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SO-KS/2609/210001</t>
  </si>
  <si>
    <t>MKS Bali</t>
  </si>
  <si>
    <t>PT. SARI BURGER INDONESIA</t>
  </si>
  <si>
    <t>Credit</t>
  </si>
  <si>
    <t>NP4</t>
  </si>
  <si>
    <t>020020</t>
  </si>
  <si>
    <t>NESTLE Milo Activ-Go NPro 960Gr/Pack</t>
  </si>
  <si>
    <t>PACK</t>
  </si>
  <si>
    <t>Invoice</t>
  </si>
  <si>
    <t>Sudah Jadi FJ</t>
  </si>
  <si>
    <t>DiscoveryMall Bali</t>
  </si>
  <si>
    <t>SO-KS/2609/210003</t>
  </si>
  <si>
    <t>LOSTERIA JIMBARAN</t>
  </si>
  <si>
    <t>Juni</t>
  </si>
  <si>
    <t>SFM052</t>
  </si>
  <si>
    <t>Inofa Heat Treated Wheat Flour SF 346 @25kg/sack</t>
  </si>
  <si>
    <t>SACK</t>
  </si>
  <si>
    <t/>
  </si>
  <si>
    <t>SO-KS/2609/210004</t>
  </si>
  <si>
    <t>PT KERA EMAS BALI (GM &amp; BLOSSOM)</t>
  </si>
  <si>
    <t>Picrom Stalyon</t>
  </si>
  <si>
    <t>PSJ0371</t>
  </si>
  <si>
    <t>ECT Tenderloin Import</t>
  </si>
  <si>
    <t>KG</t>
  </si>
  <si>
    <t>1 loaf. kirim ke ENZO SUSHI TRAIN UBUD</t>
  </si>
  <si>
    <t>SO-KS/2609/210005</t>
  </si>
  <si>
    <t>KALUMA RESTO AND BAR</t>
  </si>
  <si>
    <t>Cash</t>
  </si>
  <si>
    <t>I Made Luih (Sanur)</t>
  </si>
  <si>
    <t>SFM009</t>
  </si>
  <si>
    <t>Tepung Hime @25Kg/Sack</t>
  </si>
  <si>
    <t>SO-KS/2609/210006</t>
  </si>
  <si>
    <t>SUMAK TURKISH CUISINE UBUD</t>
  </si>
  <si>
    <t>SFM007</t>
  </si>
  <si>
    <t>Tepung Double Zero @25Kg/Sack</t>
  </si>
  <si>
    <t>SO-KS/2609/210007</t>
  </si>
  <si>
    <t>PSJ0175</t>
  </si>
  <si>
    <t>Black Gold Topside</t>
  </si>
  <si>
    <t xml:space="preserve">kirim ke GOLDEN MONKEY SANUR ICON MALL
</t>
  </si>
  <si>
    <t>SO-KS/2609/210008</t>
  </si>
  <si>
    <t>TWO IDIOT</t>
  </si>
  <si>
    <t>Dewi Kristiani</t>
  </si>
  <si>
    <t>PSJ0228</t>
  </si>
  <si>
    <t>Premium Minced Beef (2.5kg/pack)</t>
  </si>
  <si>
    <t>1 pack</t>
  </si>
  <si>
    <t>SO-KS/2609/210009</t>
  </si>
  <si>
    <t>PAHDI KINTAMANI</t>
  </si>
  <si>
    <t>KIRIM KINTAMANI</t>
  </si>
  <si>
    <t>SO-KS/2609/210010</t>
  </si>
  <si>
    <t>USHA CAFE &amp; BAKERY UBUD</t>
  </si>
  <si>
    <t xml:space="preserve">KIRIM KE PRODUKSI alamat Sari paras 2, Jl. Raya Mawang No.88, Lodtunduh, Kecamatan Ubud, Kabupaten Gianyar
</t>
  </si>
  <si>
    <t>SO-KS/2609/210011</t>
  </si>
  <si>
    <t>PLANT BISTRO</t>
  </si>
  <si>
    <t>SO-KS/2609/210012</t>
  </si>
  <si>
    <t>XOXO THAI STREET FOOD</t>
  </si>
  <si>
    <t>Wahyu</t>
  </si>
  <si>
    <t>PSJ0083</t>
  </si>
  <si>
    <t>SB Cumi Tube</t>
  </si>
  <si>
    <t>SO-KS/2609/210013</t>
  </si>
  <si>
    <t>GODDES BAKERY ( GOLDEN BAKERY )</t>
  </si>
  <si>
    <t>I MADE LUIH</t>
  </si>
  <si>
    <t>PSF0014</t>
  </si>
  <si>
    <t>Tepung 00 Fusion @25Kg</t>
  </si>
  <si>
    <t>SO-KS/2609/210014</t>
  </si>
  <si>
    <t>LITTLE LIMA COFFEE</t>
  </si>
  <si>
    <t>Taufik</t>
  </si>
  <si>
    <t>080241</t>
  </si>
  <si>
    <t>THE ALTERNATIVE Barista Almond Milk 1 Lt</t>
  </si>
  <si>
    <t>PCS</t>
  </si>
  <si>
    <t>SO-KS/2609/210015</t>
  </si>
  <si>
    <t>HIPPIE FISH</t>
  </si>
  <si>
    <t>PSJ0011</t>
  </si>
  <si>
    <t>Chuck Tenderloin Whole</t>
  </si>
  <si>
    <t>SO-KS/2609/210016</t>
  </si>
  <si>
    <t>LA SANTANERA</t>
  </si>
  <si>
    <t>SO-KS/2609/210017</t>
  </si>
  <si>
    <t>CAFE MADE BAKERY</t>
  </si>
  <si>
    <t>SO-KS/2609/210019</t>
  </si>
  <si>
    <t>PT. FASTFOOD INDONESIA (KFC KUTA SQUARE)</t>
  </si>
  <si>
    <t>080124</t>
  </si>
  <si>
    <t>NESTLE MILO -E Uht Cmbk 110 Ml</t>
  </si>
  <si>
    <t>SO-KS/2609/210020</t>
  </si>
  <si>
    <t>LACASETTA RESTAURANT</t>
  </si>
  <si>
    <t>PLM0092</t>
  </si>
  <si>
    <t>Martelli Prosciutto Di Parma</t>
  </si>
  <si>
    <t>1 loaf</t>
  </si>
  <si>
    <t>SO-KS/2609/210021</t>
  </si>
  <si>
    <t>PT. FASTFOOD INDONESIA (KFC SUDIRMAN)</t>
  </si>
  <si>
    <t>SO-KS/2609/210022</t>
  </si>
  <si>
    <t>PT. FASTFOOD INDONESIA ( KFC GATSU BARAT )</t>
  </si>
  <si>
    <t>SO-KS/2609/210023</t>
  </si>
  <si>
    <t>ELOK CAFE ULUWATU</t>
  </si>
  <si>
    <t>PLN0003</t>
  </si>
  <si>
    <t>ELLENKA BARISTA COCONUT MILK 1000ML APL</t>
  </si>
  <si>
    <t>SO-KS/2609/210024</t>
  </si>
  <si>
    <t>MERUSAKA NUSA DUA</t>
  </si>
  <si>
    <t>Monica</t>
  </si>
  <si>
    <t>PLN0002</t>
  </si>
  <si>
    <t>RICH CREME WHIPING CREAM 800G POUCH</t>
  </si>
  <si>
    <t>POU</t>
  </si>
  <si>
    <t>SO-KS/2609/210025</t>
  </si>
  <si>
    <t>UNO RESTAURANT NUSA DUA</t>
  </si>
  <si>
    <t>SO-KS/2609/210026</t>
  </si>
  <si>
    <t>FUCINA ITALIA</t>
  </si>
  <si>
    <t>SO-KS/2609/210027</t>
  </si>
  <si>
    <t>SUMAK TURKISH CUISINE</t>
  </si>
  <si>
    <t>Sujana</t>
  </si>
  <si>
    <t>SO-KS/2609/210028</t>
  </si>
  <si>
    <t>KIMUKATSU ICON BALI</t>
  </si>
  <si>
    <t>060013</t>
  </si>
  <si>
    <t>Nestea Lemon Tea 1kg/Pack</t>
  </si>
  <si>
    <t>SO-KS/2609/210029</t>
  </si>
  <si>
    <t>LACASETTA CAFETARIA</t>
  </si>
  <si>
    <t>SO-KS/2609/210030</t>
  </si>
  <si>
    <t>JALAPENO CANGGU</t>
  </si>
  <si>
    <t>PPK0010</t>
  </si>
  <si>
    <t>Block Red Cheddar Mix Cheese 5x2kg</t>
  </si>
  <si>
    <t>3 blok</t>
  </si>
  <si>
    <t>LA VIA EMILIA</t>
  </si>
  <si>
    <t>SO-KS/2609/210032</t>
  </si>
  <si>
    <t>KutaBeach Walk</t>
  </si>
  <si>
    <t>SO-KS/2609/210033</t>
  </si>
  <si>
    <t>AVIARI BISTRO</t>
  </si>
  <si>
    <t>PSJ0046</t>
  </si>
  <si>
    <t>Allana Tenderloin Whole</t>
  </si>
  <si>
    <t>3 loaf. po Crooked Cactus</t>
  </si>
  <si>
    <t>SO-KS/2609/210036</t>
  </si>
  <si>
    <t>RISE AND SHINE CAFE UMALAS</t>
  </si>
  <si>
    <t>SO-KS/2609/210038</t>
  </si>
  <si>
    <t>13.COFFEE</t>
  </si>
  <si>
    <t>PLN0005</t>
  </si>
  <si>
    <t>RICH CRÈME ND 08 1000G POUCH</t>
  </si>
  <si>
    <t>KTN</t>
  </si>
  <si>
    <t>SO-KS/2609/210041</t>
  </si>
  <si>
    <t>KANOA BALI</t>
  </si>
  <si>
    <t>SO-KS/2609/210042</t>
  </si>
  <si>
    <t>ZIA TINA BALI</t>
  </si>
  <si>
    <t>SO-KS/2609/210045</t>
  </si>
  <si>
    <t>RAJAKLANA</t>
  </si>
  <si>
    <t>SFM018</t>
  </si>
  <si>
    <t>Tepung Ninja @25Kg/Sack</t>
  </si>
  <si>
    <t>SO-KS/2609/210046</t>
  </si>
  <si>
    <t>PT. AMAN BALI NUSA LAUT (LUIGIS HOT PIZZA)</t>
  </si>
  <si>
    <t>Ronald</t>
  </si>
  <si>
    <t>SO-KS/2609/210049</t>
  </si>
  <si>
    <t>KAFIN</t>
  </si>
  <si>
    <t>080240</t>
  </si>
  <si>
    <t>THE ALTERNATIVE Barista Oat Milk 1 Lt</t>
  </si>
  <si>
    <t>SO-KS/2609/210051</t>
  </si>
  <si>
    <t>TOKO SRIASIH</t>
  </si>
  <si>
    <t>Ni Ketut Sriasih (GT)</t>
  </si>
  <si>
    <t>SO-KS/2609/210053</t>
  </si>
  <si>
    <t>ORCHID BAKERY</t>
  </si>
  <si>
    <t>PLN0009</t>
  </si>
  <si>
    <t>WELLINGTON PRO 25KG PP BAG</t>
  </si>
  <si>
    <t>BAG</t>
  </si>
  <si>
    <t>SO-KS/2609/210058</t>
  </si>
  <si>
    <t>ROYAL TULIP SPRINGHILL RESORT JIMBARAN</t>
  </si>
  <si>
    <t>SO-KS/2609/210060</t>
  </si>
  <si>
    <t>COFFEE CLUB BALI</t>
  </si>
  <si>
    <t>SO-KS/2609/210061</t>
  </si>
  <si>
    <t>ROSSO VIVO</t>
  </si>
  <si>
    <t>SO-KS/2609/210062</t>
  </si>
  <si>
    <t>ZANZIBAR REST</t>
  </si>
  <si>
    <t>SO-KS/2609/210064</t>
  </si>
  <si>
    <t>Wira</t>
  </si>
  <si>
    <t>SO-KS/2609/210066</t>
  </si>
  <si>
    <t>ZAP CLINIC - BALI</t>
  </si>
  <si>
    <t>NP1</t>
  </si>
  <si>
    <t>060004</t>
  </si>
  <si>
    <t>Nescafe Cappuccino Caramel Era 500gr/Pack</t>
  </si>
  <si>
    <t>060016</t>
  </si>
  <si>
    <t>Nestea Teh Tarik NPro 960gr/Pack</t>
  </si>
  <si>
    <t>SO-KS/2609/210067</t>
  </si>
  <si>
    <t>YAKINIKU LIKE LIVING WORLD BALI</t>
  </si>
  <si>
    <t>SO-KS/2609/210068</t>
  </si>
  <si>
    <t>UD. METRI</t>
  </si>
  <si>
    <t>120015</t>
  </si>
  <si>
    <t>Tepung Japanese Tempura 1kg/pack</t>
  </si>
  <si>
    <t>SO-KS/2609/210069</t>
  </si>
  <si>
    <t>PAON MAK MO TABANAN</t>
  </si>
  <si>
    <t>NP3</t>
  </si>
  <si>
    <t>060017</t>
  </si>
  <si>
    <t>Nestle Blackcurrant Drink 750gr/Pack</t>
  </si>
  <si>
    <t>SO-KS/2609/210070</t>
  </si>
  <si>
    <t>PT. GANGSAR ARTA MULIA</t>
  </si>
  <si>
    <t xml:space="preserve"> dikirim ke gudang baru</t>
  </si>
  <si>
    <t>SO-KS/2609/210071</t>
  </si>
  <si>
    <t>NAUGHTY NURIS SANUR</t>
  </si>
  <si>
    <t>300096</t>
  </si>
  <si>
    <t>MAGGI Chicken Powder @1kg/Pack</t>
  </si>
  <si>
    <t>PENERIMAAN BARANG NAUGHTY NURIS SANUR 
JAM 08.00 - 13.00</t>
  </si>
  <si>
    <t>SO-KS/2609/210072</t>
  </si>
  <si>
    <t>PT. LANGGENG KREASI JAYAPRIMA</t>
  </si>
  <si>
    <t>SO-KS/2609/210073</t>
  </si>
  <si>
    <t>CENTRAL FOOD VILLAGE (BALI ZOO)</t>
  </si>
  <si>
    <t>060018</t>
  </si>
  <si>
    <t>Nestle Lemonade Original 640gr/Pack</t>
  </si>
  <si>
    <t>SO-KS/2609/210074</t>
  </si>
  <si>
    <t>HONDA DEWATA MOTOR COKRO</t>
  </si>
  <si>
    <t>SO-KS/2609/210075</t>
  </si>
  <si>
    <t>ZERO 4 KARAOKE</t>
  </si>
  <si>
    <t>060007</t>
  </si>
  <si>
    <t>Nescafe Classic Vending 120gr/Pack</t>
  </si>
  <si>
    <t>060019</t>
  </si>
  <si>
    <t>Nestle Orange Pouch NP 560gr/Pack</t>
  </si>
  <si>
    <t>SO-KS/2609/210076</t>
  </si>
  <si>
    <t>APPITITO PIZZA ICON SANUR</t>
  </si>
  <si>
    <t>SO-KS/2609/210077</t>
  </si>
  <si>
    <t>KIARA BEACHFRONT</t>
  </si>
  <si>
    <t>120007</t>
  </si>
  <si>
    <t>Tepung Double Zero 1kg/pack</t>
  </si>
  <si>
    <t>SO-KS/2609/210078</t>
  </si>
  <si>
    <t>SANDWICHOPEDIA UMALAS</t>
  </si>
  <si>
    <t>dikirim besok ke umalas sandwichcooedia</t>
  </si>
  <si>
    <t>SO-KS/2609/210079</t>
  </si>
  <si>
    <t>SUMAK SANUR</t>
  </si>
  <si>
    <t>SO-KS/2609/210082</t>
  </si>
  <si>
    <t>KUBU BAKEHOUSE UBUD</t>
  </si>
  <si>
    <t>PPA0221</t>
  </si>
  <si>
    <t>EMBORG Whipping Cream 1 Ltr</t>
  </si>
  <si>
    <t>SO-KS/2609/210086</t>
  </si>
  <si>
    <t>TOKO PRANATA</t>
  </si>
  <si>
    <t>120006</t>
  </si>
  <si>
    <t>Tepung Crispy Ala Kentucky 1kg/pack</t>
  </si>
  <si>
    <t>SO-KS/2609/210087</t>
  </si>
  <si>
    <t>LA TAHONA BAKERY</t>
  </si>
  <si>
    <t>SO-KS/2609/210088</t>
  </si>
  <si>
    <t>THE SWEET ESCAPE</t>
  </si>
  <si>
    <t>SO-KS/2609/210090</t>
  </si>
  <si>
    <t>PSF0027</t>
  </si>
  <si>
    <t>Tepung Yokozuna Fusion 5Kg</t>
  </si>
  <si>
    <t>SO-KS/2609/210091</t>
  </si>
  <si>
    <t>AKASA KINTAMANI</t>
  </si>
  <si>
    <t xml:space="preserve"> KIRIM KINTAMANI</t>
  </si>
  <si>
    <t>SO-KS/2609/210092</t>
  </si>
  <si>
    <t>SESEH PIZZA</t>
  </si>
  <si>
    <t>SO-KS/2609/210093</t>
  </si>
  <si>
    <t>FINNS BEACH CLUB</t>
  </si>
  <si>
    <t>PPA0092</t>
  </si>
  <si>
    <t>Emborg Pizza Topping 2.3 Kg</t>
  </si>
  <si>
    <t xml:space="preserve"> kitchen vip</t>
  </si>
  <si>
    <t>SO-KS/2609/210094</t>
  </si>
  <si>
    <t>DAENG BURGER UMALAS</t>
  </si>
  <si>
    <t>kirim ke Daeng burger toyaning jl toyaning 2 no 22 ungasan,  pengorderan sebelumnya atas nama daeng burger toyaning</t>
  </si>
  <si>
    <t>SO-KS/2609/210095</t>
  </si>
  <si>
    <t>PIZZERIA ITALIA UNGASAN</t>
  </si>
  <si>
    <t>SO-KS/2609/210096</t>
  </si>
  <si>
    <t>GEP'S DELI ( TOKO SURYANTI NUSA )</t>
  </si>
  <si>
    <t>NP2</t>
  </si>
  <si>
    <t>Dikirim ke Rocky Cargo Sanur</t>
  </si>
  <si>
    <t>SO-KS/2609/210097</t>
  </si>
  <si>
    <t>Dikirim jalur Kintamani</t>
  </si>
  <si>
    <t>SO-KS/2609/210098</t>
  </si>
  <si>
    <t>1 loaf. kirim ke canggu</t>
  </si>
  <si>
    <t>SO-KS/2609/210099</t>
  </si>
  <si>
    <t>GIVRE UMALAS</t>
  </si>
  <si>
    <t>PKA0010</t>
  </si>
  <si>
    <t>EQUAL Classic 100 Pcs/Pack</t>
  </si>
  <si>
    <t>SO-KS/2609/210100</t>
  </si>
  <si>
    <t>020054</t>
  </si>
  <si>
    <t>POLARIS Soda Water 330 Ml</t>
  </si>
  <si>
    <t>CAN</t>
  </si>
  <si>
    <t>SO-KS/2609/210101</t>
  </si>
  <si>
    <t>SOL DE MIRA</t>
  </si>
  <si>
    <t>080239</t>
  </si>
  <si>
    <t>THE ALTERNATIVE Barista Soy Milk 1 Lt</t>
  </si>
  <si>
    <t>SO-KS/2609/210102</t>
  </si>
  <si>
    <t>TABO CAFE</t>
  </si>
  <si>
    <t>SO-KS/2609/210103</t>
  </si>
  <si>
    <t>SHABURI KINTAN</t>
  </si>
  <si>
    <t>SO-KS/2609/210104</t>
  </si>
  <si>
    <t>SO-KS/2609/210105</t>
  </si>
  <si>
    <t>di kirim besok 
Rocky cargo Sanur</t>
  </si>
  <si>
    <t>SO-KS/2609/210106</t>
  </si>
  <si>
    <t>PPA0142</t>
  </si>
  <si>
    <t>EMBORG Brie Cheese 125 Gr</t>
  </si>
  <si>
    <t>SO-KS/2609/210107</t>
  </si>
  <si>
    <t>SO-KS/2609/210109</t>
  </si>
  <si>
    <t>BAKSO MUKBANG</t>
  </si>
  <si>
    <t>SO-KS/2609/210110</t>
  </si>
  <si>
    <t>JU BALI - GRILL BAR AND JACUZZI CLUB</t>
  </si>
  <si>
    <t>PPA0018</t>
  </si>
  <si>
    <t>Emborg Cream Cheese 1.5Kg</t>
  </si>
  <si>
    <t>SO-KS/2609/210111</t>
  </si>
  <si>
    <t>PEPPER LUNCH RESTAURANT (TSM)</t>
  </si>
  <si>
    <t>060015</t>
  </si>
  <si>
    <t>Nestea Lychee Tea Npro 560gr/Pack</t>
  </si>
  <si>
    <t>SO-KS/2609/210112</t>
  </si>
  <si>
    <t>ARTE CANGGU</t>
  </si>
  <si>
    <t>SO-KS/2609/210113</t>
  </si>
  <si>
    <t>PT. TIBI MODERN SENTOSA (AMNAYA HOTEL)</t>
  </si>
  <si>
    <t>SO-KS/2609/210114</t>
  </si>
  <si>
    <t>THE FORGE</t>
  </si>
  <si>
    <t>SO-KS/2609/210115</t>
  </si>
  <si>
    <t>SO-KS/2609/210116</t>
  </si>
  <si>
    <t>PLATINUM HOTEL JIMBARAN BEACH BAR</t>
  </si>
  <si>
    <t>SO-KS/2609/210117</t>
  </si>
  <si>
    <t>GROUND ZERO KITCHEN</t>
  </si>
  <si>
    <t>Pembayaran cash</t>
  </si>
  <si>
    <t>120010</t>
  </si>
  <si>
    <t>Tepung Easymix Pancake @1kg/pack</t>
  </si>
  <si>
    <t>SO-KS/2609/210118</t>
  </si>
  <si>
    <t>PT. SSP TAURUS GEMILANG INDONESIA</t>
  </si>
  <si>
    <t>INTER</t>
  </si>
  <si>
    <t>SO-KS/2609/210119</t>
  </si>
  <si>
    <t>PIZZA DUMPLING</t>
  </si>
  <si>
    <t>SO-KS/2609/210120</t>
  </si>
  <si>
    <t>PEPPER LUNCH SIDEWALK</t>
  </si>
  <si>
    <t>SO-KS/2609/210121</t>
  </si>
  <si>
    <t xml:space="preserve"> kitchen asian</t>
  </si>
  <si>
    <t>PSJ0275</t>
  </si>
  <si>
    <t>Pickled Gherkins (2kg/pack)</t>
  </si>
  <si>
    <t>SO-KS/2609/210122</t>
  </si>
  <si>
    <t>BOTTEGA ITALIANA BERAWA</t>
  </si>
  <si>
    <t xml:space="preserve"> to jalan tegal cupek II no 15
</t>
  </si>
  <si>
    <t>SO-KS/2609/210123</t>
  </si>
  <si>
    <t>kitchen fbc</t>
  </si>
  <si>
    <t>SO-KS/2609/210124</t>
  </si>
  <si>
    <t>BELLA ITALIA SANUR</t>
  </si>
  <si>
    <t>SO-KS/2609/210125</t>
  </si>
  <si>
    <t>BALI CATERING COMPANY</t>
  </si>
  <si>
    <t>PSJ0024</t>
  </si>
  <si>
    <t>Halal Minced Beef 1Kg/Pack</t>
  </si>
  <si>
    <t>SO-KS/2609/210126</t>
  </si>
  <si>
    <t>PURI SANTRIAN</t>
  </si>
  <si>
    <t>SO-KS/2609/210127</t>
  </si>
  <si>
    <t>SO-KS/2609/210128</t>
  </si>
  <si>
    <t>SISTERFIELDS CAFE</t>
  </si>
  <si>
    <t>5 loaf. po estia</t>
  </si>
  <si>
    <t>SO-KS/2609/210129</t>
  </si>
  <si>
    <t>SENDOK WARUNG</t>
  </si>
  <si>
    <t>SO-KS/2609/210131</t>
  </si>
  <si>
    <t>KOPITEN COFFEE SHOP</t>
  </si>
  <si>
    <t>SO-KS/2609/210132</t>
  </si>
  <si>
    <t>MAMAKA</t>
  </si>
  <si>
    <t>SO-KS/2609/210133</t>
  </si>
  <si>
    <t>THE WESTIN RESORT NUSA DUA</t>
  </si>
  <si>
    <t>SO-KS/2609/210135</t>
  </si>
  <si>
    <t>AUTOGRILL</t>
  </si>
  <si>
    <t>PSJ0127</t>
  </si>
  <si>
    <t>Amron Striploin Whole</t>
  </si>
  <si>
    <t>SO-KS/2609/210136</t>
  </si>
  <si>
    <t>REVOLVER OBEROI</t>
  </si>
  <si>
    <t>SO-KS/2609/210137</t>
  </si>
  <si>
    <t>PALMILLA BEACH CLUB MELASTI</t>
  </si>
  <si>
    <t>SO-KS/2609/210138</t>
  </si>
  <si>
    <t>BALI MANDIRA</t>
  </si>
  <si>
    <t>SO-KS/2609/210140</t>
  </si>
  <si>
    <t>BALI TROPIC RESORT &amp; SPA</t>
  </si>
  <si>
    <t>SO-KS/2609/210141</t>
  </si>
  <si>
    <t>CAFE DUNIA</t>
  </si>
  <si>
    <t>3 Loaf.</t>
  </si>
  <si>
    <t>SO-KS/2609/210142</t>
  </si>
  <si>
    <t>SO-KS/2609/210143</t>
  </si>
  <si>
    <t>INTERCONTINENTAL BALI RESORT</t>
  </si>
  <si>
    <t>PSJ0044</t>
  </si>
  <si>
    <t>Halal Premium Oxtail Whole Cut 3Cm (2 Kg/Pack)</t>
  </si>
  <si>
    <t>SO-KS/2609/210144</t>
  </si>
  <si>
    <t>DAENG BURGER KEDUNGU</t>
  </si>
  <si>
    <t>SO-KS/2609/210145</t>
  </si>
  <si>
    <t>BAMBU BALI ULUWATU</t>
  </si>
  <si>
    <t>PSJ0007</t>
  </si>
  <si>
    <t>Friboi Brazil Tenderloin Whole</t>
  </si>
  <si>
    <t>Cafe &amp; kitchen</t>
  </si>
  <si>
    <t>SO-KS/2609/210146</t>
  </si>
  <si>
    <t>PASTA DEALER</t>
  </si>
  <si>
    <t>SO-KS/2609/210147</t>
  </si>
  <si>
    <t>GRAND HYATT NUSA DUA</t>
  </si>
  <si>
    <t>SO-KS/2609/210148</t>
  </si>
  <si>
    <t>HYATT REGENCY SANUR</t>
  </si>
  <si>
    <t>SO-KS/2609/210149</t>
  </si>
  <si>
    <t>ULU CLIFF HOUSE</t>
  </si>
  <si>
    <t>SO-KS/2609/210151</t>
  </si>
  <si>
    <t>SO-KS/2609/210152</t>
  </si>
  <si>
    <t>PT ULU ARTISAN EATS</t>
  </si>
  <si>
    <t xml:space="preserve"> kirim ke otlet ungasan</t>
  </si>
  <si>
    <t>SO-KS/2609/210154</t>
  </si>
  <si>
    <t>ALAS HARUM UBUD</t>
  </si>
  <si>
    <t xml:space="preserve">BAR CRETYA
</t>
  </si>
  <si>
    <t>SO-KS/2609/210158</t>
  </si>
  <si>
    <t>REVOLVER UMALAS</t>
  </si>
  <si>
    <t>SO-KS/2609/210159</t>
  </si>
  <si>
    <t>PENINSULA BEACH RESORT</t>
  </si>
  <si>
    <t>SO-KS/2609/210160</t>
  </si>
  <si>
    <t>AMPLITUDE BALI</t>
  </si>
  <si>
    <t>260004</t>
  </si>
  <si>
    <t>NESTLE Docello Dessert Base @1Kg/Pack</t>
  </si>
  <si>
    <t>Cbd</t>
  </si>
  <si>
    <t>SO-KS/2609/210161</t>
  </si>
  <si>
    <t>NASI PERKEDEL PAK TELEM</t>
  </si>
  <si>
    <t>SO-KS/2609/210162</t>
  </si>
  <si>
    <t>KEDAI KOPI RANTAU</t>
  </si>
  <si>
    <t>SO-KS/2609/210163</t>
  </si>
  <si>
    <t>BALI SENTOSA SEAFOOD RESTAURANT</t>
  </si>
  <si>
    <t>300098</t>
  </si>
  <si>
    <t>MAGGI Seasoning @800ml/Btl</t>
  </si>
  <si>
    <t>BTL</t>
  </si>
  <si>
    <t>SO-KS/2609/210164</t>
  </si>
  <si>
    <t>GRAND LA WALON HOTEL</t>
  </si>
  <si>
    <t>NP5</t>
  </si>
  <si>
    <t>SO-KS/2609/210165</t>
  </si>
  <si>
    <t>COFFEE CORNER</t>
  </si>
  <si>
    <t>020011</t>
  </si>
  <si>
    <t>Nestle Dark Cocoa Drink Npro 1kg/Pack</t>
  </si>
  <si>
    <t>SO-KS/2609/210166</t>
  </si>
  <si>
    <t>THE LAGUNA</t>
  </si>
  <si>
    <t>PSF0005</t>
  </si>
  <si>
    <t>Tepung Pita Emas @25Kg/Sack</t>
  </si>
  <si>
    <t>SO-KS/2609/210167</t>
  </si>
  <si>
    <t>SO-KS/2609/210168</t>
  </si>
  <si>
    <t>HOLLY COW MAHENDRADATTA</t>
  </si>
  <si>
    <t>SO-KS/2609/210169</t>
  </si>
  <si>
    <t>ST REGIS</t>
  </si>
  <si>
    <t>SO-KS/2609/210170</t>
  </si>
  <si>
    <t>COURTYARD MARRIOT HOTEL</t>
  </si>
  <si>
    <t>SO-KS/2609/210171</t>
  </si>
  <si>
    <t>NYOMAN'S COFFEE</t>
  </si>
  <si>
    <t>KIRIM KE CANGGU</t>
  </si>
  <si>
    <t>SO-KS/2609/210172</t>
  </si>
  <si>
    <t>TOKO WIRANATA</t>
  </si>
  <si>
    <t>SO-KS/2609/210173</t>
  </si>
  <si>
    <t>LAZYHANDS BAKERY</t>
  </si>
  <si>
    <t>SO-KS/2609/210174</t>
  </si>
  <si>
    <t>ANVAYA HOTEL</t>
  </si>
  <si>
    <t>SO-KS/2609/210175</t>
  </si>
  <si>
    <t>HILTON HOTEL</t>
  </si>
  <si>
    <t>POT0983</t>
  </si>
  <si>
    <t>IKPS Sechuan Preserved Vegetable 340 Gr</t>
  </si>
  <si>
    <t>SO-KS/2609/210176</t>
  </si>
  <si>
    <t>KABAK BAKERY</t>
  </si>
  <si>
    <t>SO-KS/2609/210177</t>
  </si>
  <si>
    <t>SO-KS/2609/210178</t>
  </si>
  <si>
    <t>TRIBE HOTEL KUTA</t>
  </si>
  <si>
    <t>SO-KS/2609/210179</t>
  </si>
  <si>
    <t>FOOD GALLERIA</t>
  </si>
  <si>
    <t>SO-KS/2609/210180</t>
  </si>
  <si>
    <t>LE CROISSANT</t>
  </si>
  <si>
    <t>Ni Ketut Sriasih (MT)</t>
  </si>
  <si>
    <t>SO-KS/2609/210182</t>
  </si>
  <si>
    <t>SUDAMALA RESORT SANUR</t>
  </si>
  <si>
    <t>SO-KS/2609/210183</t>
  </si>
  <si>
    <t>REDDOG LIVING WORLD MALL</t>
  </si>
  <si>
    <t>SO-KS/2609/210184</t>
  </si>
  <si>
    <t>SO-KS/2609/210185</t>
  </si>
  <si>
    <t>DASH HOTEL SEMINYAK</t>
  </si>
  <si>
    <t>SO-KS/2609/210186</t>
  </si>
  <si>
    <t>ALILA RESORT UBUD</t>
  </si>
  <si>
    <t>PSJ0203</t>
  </si>
  <si>
    <t>Borello Rump</t>
  </si>
  <si>
    <t>SO-KS/2609/210187</t>
  </si>
  <si>
    <t>JUMEIRAH</t>
  </si>
  <si>
    <t>JONI ARTAWAN SUPPLIER</t>
  </si>
  <si>
    <t>4 Lup</t>
  </si>
  <si>
    <t>SO-KS/2609/210189</t>
  </si>
  <si>
    <t>SO-KS/2609/210190</t>
  </si>
  <si>
    <t>RUMAH LAWAS KOPI PUPUTAN</t>
  </si>
  <si>
    <t>SO-KS/2609/210191</t>
  </si>
  <si>
    <t>BARO BAKERY PERERENAN</t>
  </si>
  <si>
    <t>SO-KS/2609/210192</t>
  </si>
  <si>
    <t>RUMAH LAWAS KOPI NARAKUSUMA</t>
  </si>
  <si>
    <t>SO-KS/2609/210193</t>
  </si>
  <si>
    <t>RUMAH LAWAS KOPI TUKAD UNDA</t>
  </si>
  <si>
    <t>SO-KS/2609/210194</t>
  </si>
  <si>
    <t>RUMAH RAKYAT COFFEE</t>
  </si>
  <si>
    <t>SO-KS/2609/210195</t>
  </si>
  <si>
    <t>PT. ADIKARYA PANGAN FRESHINDO</t>
  </si>
  <si>
    <t>120017</t>
  </si>
  <si>
    <t>Tepung Mix Waffle 1kg/pack</t>
  </si>
  <si>
    <t>SO-KS/2609/210196</t>
  </si>
  <si>
    <t>NANDIYA BAKERY</t>
  </si>
  <si>
    <t>PSF0015</t>
  </si>
  <si>
    <t>Tepung Stupa Emas 25 Kg</t>
  </si>
  <si>
    <t>SO-KS/2609/210197</t>
  </si>
  <si>
    <t>SO-KS/2609/210198</t>
  </si>
  <si>
    <t>FRANKIES BAR AND GRILL</t>
  </si>
  <si>
    <t>POT0100</t>
  </si>
  <si>
    <t>Garam Halus Beryodium 25Kg/Sack</t>
  </si>
  <si>
    <t>SO-KS/2609/210199</t>
  </si>
  <si>
    <t>150338</t>
  </si>
  <si>
    <t>FOODY Star Chicken Sausage 250 Gr</t>
  </si>
  <si>
    <t>SO-KS/2609/210200</t>
  </si>
  <si>
    <t>YAN'S HOUSE</t>
  </si>
  <si>
    <t>SO-KS/2609/210201</t>
  </si>
  <si>
    <t>MAURI RESTAURANT</t>
  </si>
  <si>
    <t>SO-KS/2609/210202</t>
  </si>
  <si>
    <t>BHIMA JAYA</t>
  </si>
  <si>
    <t>SO-KS/2609/210203</t>
  </si>
  <si>
    <t>SO-KS/2609/210204</t>
  </si>
  <si>
    <t>THE BAKERS BISTRO</t>
  </si>
  <si>
    <t>SO-KS/2609/210205</t>
  </si>
  <si>
    <t>SHINTA WARUNG</t>
  </si>
  <si>
    <t>SO-KS/2609/210206</t>
  </si>
  <si>
    <t>PPA0133</t>
  </si>
  <si>
    <t>EMBORG Perfect Pasta 1L</t>
  </si>
  <si>
    <t>SO-KS/2609/210207</t>
  </si>
  <si>
    <t>MAYA UBUD</t>
  </si>
  <si>
    <t>SO-KS/2609/210208</t>
  </si>
  <si>
    <t>UMANA BALI HOTEL RESORT</t>
  </si>
  <si>
    <t>PSJ0402</t>
  </si>
  <si>
    <t>KIMBARA Oyster Blade MB 6-7</t>
  </si>
  <si>
    <t>SO-KS/2609/210209</t>
  </si>
  <si>
    <t>PORK STAR RESTAURANT</t>
  </si>
  <si>
    <t>POT0781</t>
  </si>
  <si>
    <t>Tiparos Fish Sauce 4500 Ml</t>
  </si>
  <si>
    <t>JRG</t>
  </si>
  <si>
    <t>SO-KS/2609/210210</t>
  </si>
  <si>
    <t>LA TERAZA</t>
  </si>
  <si>
    <t>SO-KS/2609/210212</t>
  </si>
  <si>
    <t>WARUNG GEMBUL</t>
  </si>
  <si>
    <t>5 lup</t>
  </si>
  <si>
    <t>SO-KS/2609/210214</t>
  </si>
  <si>
    <t>RENAISSANCE ULUWATU</t>
  </si>
  <si>
    <t>SO-KS/2609/210216</t>
  </si>
  <si>
    <t>MAMAS GERMAN REST.</t>
  </si>
  <si>
    <t>Management Bali</t>
  </si>
  <si>
    <t>SO-KS/2609/210218</t>
  </si>
  <si>
    <t>SO-KS/2609/210219</t>
  </si>
  <si>
    <t>PAN0004</t>
  </si>
  <si>
    <t>DP Mozzarella 2.5Kg</t>
  </si>
  <si>
    <t>WARUNG LOKAL</t>
  </si>
  <si>
    <t>SO-KS/2609/210222</t>
  </si>
  <si>
    <t>DOUBLE SIX HOTEL</t>
  </si>
  <si>
    <t>SO-KS/2609/210223</t>
  </si>
  <si>
    <t>CV. FENNY BERSAMA</t>
  </si>
  <si>
    <t>PSF0018</t>
  </si>
  <si>
    <t>Tepung Hime Fusion 1Kg</t>
  </si>
  <si>
    <t>PT. SOEJASCH BALI</t>
  </si>
  <si>
    <t>BREAD YARD</t>
  </si>
  <si>
    <t>SO-KS/2609/210254</t>
  </si>
  <si>
    <t>LOSTERIA PIZZA CUCINA</t>
  </si>
  <si>
    <t>KIRIM KE RESTO LOSTERIA LANGSUNG</t>
  </si>
  <si>
    <t>SO-KU/2609/210001</t>
  </si>
  <si>
    <t>MKU Bali</t>
  </si>
  <si>
    <t>SEDIA FROZEN</t>
  </si>
  <si>
    <t>PMS0076</t>
  </si>
  <si>
    <t>Masterista Creamer Base (Creamy)</t>
  </si>
  <si>
    <t>PMS0094</t>
  </si>
  <si>
    <t>Masterista Syrup Butterscotch 850 Ml</t>
  </si>
  <si>
    <t>PMS0132</t>
  </si>
  <si>
    <t>Masterista Syrup Vanilla Tradition 850ml</t>
  </si>
  <si>
    <t>PMS0143</t>
  </si>
  <si>
    <t>Masterista Syrup Premium Hazelnut 850 Ml</t>
  </si>
  <si>
    <t>SO-KU/2609/210002</t>
  </si>
  <si>
    <t>JOKER'S BAR &amp; GRILL BALI</t>
  </si>
  <si>
    <t>PAS0044</t>
  </si>
  <si>
    <t>Maestro Crincle Cut 10Kg/Ctn</t>
  </si>
  <si>
    <t>Kirim stlh jam 1 siang, resto buka siang</t>
  </si>
  <si>
    <t>SO-KU/2609/210003</t>
  </si>
  <si>
    <t>MAHARAJA THE ROYAL DINING</t>
  </si>
  <si>
    <t>PQW0010</t>
  </si>
  <si>
    <t>IQF FF Shoestring 10Kg/Ctn</t>
  </si>
  <si>
    <t>SO-KU/2609/210004</t>
  </si>
  <si>
    <t>PIZZERIA ITALIA LABUAN SAIT</t>
  </si>
  <si>
    <t>POT0120</t>
  </si>
  <si>
    <t>Bottegaio Umbro Olio Evo Cucina 5Lt</t>
  </si>
  <si>
    <t>GLN</t>
  </si>
  <si>
    <t>SO-KU/2609/210005</t>
  </si>
  <si>
    <t>SO-KU/2609/210006</t>
  </si>
  <si>
    <t>PIF0011</t>
  </si>
  <si>
    <t>Pristine Classic Whip Topping 1 Lt</t>
  </si>
  <si>
    <t>LTR</t>
  </si>
  <si>
    <t>BAR CRETYA</t>
  </si>
  <si>
    <t>SO-KU/2609/210007</t>
  </si>
  <si>
    <t>KOJA KITCHEN AND COFFEE</t>
  </si>
  <si>
    <t>SO-KU/2609/210008</t>
  </si>
  <si>
    <t>CV. ANUGERAH JAYA BALI</t>
  </si>
  <si>
    <t>PMS0134</t>
  </si>
  <si>
    <t>Masterista Syrup Salted Caramel 850 ML</t>
  </si>
  <si>
    <t>SO-KU/2609/210009</t>
  </si>
  <si>
    <t>LA BRISA BALI</t>
  </si>
  <si>
    <t>POS0026</t>
  </si>
  <si>
    <t>O Sole Olive Nere Denocciolate 4.1 Kg</t>
  </si>
  <si>
    <t>SO-KU/2609/210011</t>
  </si>
  <si>
    <t>LUMA CANGGU</t>
  </si>
  <si>
    <t>POS0024</t>
  </si>
  <si>
    <t>O Sole Pomodori Pelati Peeled Tomatoes 2.5Kg</t>
  </si>
  <si>
    <t>SO-KU/2609/210012</t>
  </si>
  <si>
    <t>POT0046</t>
  </si>
  <si>
    <t>Australian Butter Unsalted</t>
  </si>
  <si>
    <t>SO-KU/2609/210013</t>
  </si>
  <si>
    <t>CENDOL RATU</t>
  </si>
  <si>
    <t>SO-KU/2609/210015</t>
  </si>
  <si>
    <t>NICO'S SMOKEHOUSE BBQ - CANGGU</t>
  </si>
  <si>
    <t>PAS0040</t>
  </si>
  <si>
    <t>Crr Rock'n Batter Skin On Fries 9x9mm 2.5 Kg</t>
  </si>
  <si>
    <t>PAS0064</t>
  </si>
  <si>
    <t>Crr Rock'n Waffle Fries 2.5 Kg</t>
  </si>
  <si>
    <t>SO-KU/2609/210016</t>
  </si>
  <si>
    <t>VOUK HOTEL</t>
  </si>
  <si>
    <t>PMS0131</t>
  </si>
  <si>
    <t>Masterista Syrup Tropical Lychee 850 Ml</t>
  </si>
  <si>
    <t>PMS0152</t>
  </si>
  <si>
    <t>Masterista Syrup Passion Fruit 850 Ml</t>
  </si>
  <si>
    <t>SO-KU/2609/210017</t>
  </si>
  <si>
    <t>PT. PERMATA  AGUNG NIAGA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</si>
  <si>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</si>
  <si>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</si>
  <si>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</si>
  <si>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</si>
  <si>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</si>
  <si>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</si>
  <si>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SO-KU/2609/210018</t>
  </si>
  <si>
    <t>SEMATA COFFEE</t>
  </si>
  <si>
    <t>PMS0040</t>
  </si>
  <si>
    <t>Flavorista Taro (1000Gr/Pack)</t>
  </si>
  <si>
    <t>PMS0038</t>
  </si>
  <si>
    <t>Flavorista Chocolate base (1000Gr/Pack)</t>
  </si>
  <si>
    <t>PMS0039</t>
  </si>
  <si>
    <t>Flavorista Matcha (1000Gr/Pack)</t>
  </si>
  <si>
    <t>SO-KU/2609/210019</t>
  </si>
  <si>
    <t>DJAYA DELAPAN COFFEE</t>
  </si>
  <si>
    <t>PMS0130</t>
  </si>
  <si>
    <t>Masterista Syrup Classic Caramel 850ml</t>
  </si>
  <si>
    <t>SO-KU/2609/210020</t>
  </si>
  <si>
    <t>NEXX CAFE SHOWROOM</t>
  </si>
  <si>
    <t>PMS0024</t>
  </si>
  <si>
    <t>Masterista Original Matcha 800Gr</t>
  </si>
  <si>
    <t>SO-KU/2609/210022</t>
  </si>
  <si>
    <t>SO-KU/2609/210023</t>
  </si>
  <si>
    <t>ARTIKULASI COFFEE</t>
  </si>
  <si>
    <t>PMS0144</t>
  </si>
  <si>
    <t>Masterista Syrup Peach 850ml</t>
  </si>
  <si>
    <t>PMS0093</t>
  </si>
  <si>
    <t>Masterista Syrup Strawberry 850 Ml</t>
  </si>
  <si>
    <t>PMS0026</t>
  </si>
  <si>
    <t>Masterista Dark Chocolate 800Gr</t>
  </si>
  <si>
    <t>PMS0064</t>
  </si>
  <si>
    <t>Frappe Powder Tiramisu Expecta 800gr</t>
  </si>
  <si>
    <t>SO-KU/2609/210024</t>
  </si>
  <si>
    <t>STOK DAPUR</t>
  </si>
  <si>
    <t>PAS0014</t>
  </si>
  <si>
    <t>Crr Rock'n Hash Brown Triangular 10Kg/Ctn</t>
  </si>
  <si>
    <t>SO-KU/2609/210025</t>
  </si>
  <si>
    <t>JFC PIDADA</t>
  </si>
  <si>
    <t>10+1</t>
  </si>
  <si>
    <t>PMS0181</t>
  </si>
  <si>
    <t>Ice Shaken Pink Lava 1.000 Gr</t>
  </si>
  <si>
    <t>SO-KU/2609/210026</t>
  </si>
  <si>
    <t>KEDAI KOPI KOKO</t>
  </si>
  <si>
    <t>Dikirim ke : kedai kopi koko renon</t>
  </si>
  <si>
    <t>SO-KU/2609/210027</t>
  </si>
  <si>
    <t>SO-KU/2609/210028</t>
  </si>
  <si>
    <t>CV. SUMBER JAYA</t>
  </si>
  <si>
    <t>SO-KU/2609/210029</t>
  </si>
  <si>
    <t>CRYSTAL KUTA HOTEL</t>
  </si>
  <si>
    <t>PMS0059</t>
  </si>
  <si>
    <t>Flavour Artisan - Belgian Signature Dark Chocolate (80 Cocoa%)  500gr</t>
  </si>
  <si>
    <t>SO-KU/2609/210030</t>
  </si>
  <si>
    <t>PT. GEMILANG KARYA KULINER (PLAGOO)</t>
  </si>
  <si>
    <t>SO-KU/2609/210031</t>
  </si>
  <si>
    <t>CRISPY DONUT PANTAI SANUR</t>
  </si>
  <si>
    <t>SO-KU/2609/210032</t>
  </si>
  <si>
    <t>SO-KU/2609/210033</t>
  </si>
  <si>
    <t>SO-KU/2609/210034</t>
  </si>
  <si>
    <t>Warung Local Office Muding</t>
  </si>
  <si>
    <t>SO-KU/2609/210035</t>
  </si>
  <si>
    <t>KELAPA MUDA UBUD POOL BAR &amp; KITCHEN</t>
  </si>
  <si>
    <t>SO-KU/2609/210036</t>
  </si>
  <si>
    <t>NAUGHTY NURIS SEMINYAK</t>
  </si>
  <si>
    <t>NN Sujana</t>
  </si>
  <si>
    <t>PSJ0029</t>
  </si>
  <si>
    <t>Iga Babi</t>
  </si>
  <si>
    <t xml:space="preserve">Mohon sampai nuris seminyak jam 9 Pagi
</t>
  </si>
  <si>
    <t>SO-KU/2609/210037</t>
  </si>
  <si>
    <t>SANUR KIDS SOHO CAFE</t>
  </si>
  <si>
    <t>PAS0027</t>
  </si>
  <si>
    <t>Maestro FF 10x10mm Straight Cut 10Kg/Ctn</t>
  </si>
  <si>
    <t>SO-KU/2609/210038</t>
  </si>
  <si>
    <t>PELANGI BALI HOTEL</t>
  </si>
  <si>
    <t>SO-KU/2609/210039</t>
  </si>
  <si>
    <t>PT. STUJA MANAGEMENT</t>
  </si>
  <si>
    <t>PMS0157</t>
  </si>
  <si>
    <t>Masterista Syrup Spicy Ginger 850 Ml</t>
  </si>
  <si>
    <t>SO-KU/2609/210040</t>
  </si>
  <si>
    <t>ULU SEGARA LUXURY SUITES &amp; VILLAS</t>
  </si>
  <si>
    <t>SO-KU/2609/210041</t>
  </si>
  <si>
    <t>JEMPANA VILLA</t>
  </si>
  <si>
    <t>PAS0036</t>
  </si>
  <si>
    <t>Crr Rock'n Hash Brown Triangular 2.5Kg</t>
  </si>
  <si>
    <t xml:space="preserve">KIRIM KINTAMANI
</t>
  </si>
  <si>
    <t>PAS0049</t>
  </si>
  <si>
    <t>Maestro Crincle Cut 2.5 Kg</t>
  </si>
  <si>
    <t>SO-KU/2609/210042</t>
  </si>
  <si>
    <t>SO-KU/2609/210043</t>
  </si>
  <si>
    <t>PAS0041</t>
  </si>
  <si>
    <t>Maestro FF 10x10mm Straight Cut 2.5 Kg</t>
  </si>
  <si>
    <t>Warung Local Canggu</t>
  </si>
  <si>
    <t>SO-KU/2609/210044</t>
  </si>
  <si>
    <t>SO-KU/2609/210045</t>
  </si>
  <si>
    <t>PENJUALAN CASH</t>
  </si>
  <si>
    <t>PMS0170</t>
  </si>
  <si>
    <t>Masterista Syrup Cranberries 850 Ml</t>
  </si>
  <si>
    <t>BUNGA MASTERISTA</t>
  </si>
  <si>
    <t>PMS0141</t>
  </si>
  <si>
    <t>Flavourista Syrup Strawberry 1000 Ml</t>
  </si>
  <si>
    <t>SO-KU/2609/210046</t>
  </si>
  <si>
    <t>TROPICALIFE CANGGU</t>
  </si>
  <si>
    <t>PMS0178</t>
  </si>
  <si>
    <t>Masterista Ceremonial Pure Matcha Powder 500 Gr</t>
  </si>
  <si>
    <t>SO-KU/2609/210047</t>
  </si>
  <si>
    <t>MIE TIME WOAH</t>
  </si>
  <si>
    <t>PMS0042</t>
  </si>
  <si>
    <t>Flavorista Thai Tea (1000Gr/Pack)</t>
  </si>
  <si>
    <t>SO-KU/2609/210048</t>
  </si>
  <si>
    <t>PT. BOGAJAYA INTERNASIONAL JAYA ABADI</t>
  </si>
  <si>
    <t>ASS-EBT</t>
  </si>
  <si>
    <t>English Breakfast@50TB/Box</t>
  </si>
  <si>
    <t>BOX</t>
  </si>
  <si>
    <t>ASS-LY-TB50</t>
  </si>
  <si>
    <t>Lychee Tea @50TB/Box</t>
  </si>
  <si>
    <t>SO-KU/2609/210049</t>
  </si>
  <si>
    <t>SO-KU/2609/210050</t>
  </si>
  <si>
    <t>SO-KU/2609/210051</t>
  </si>
  <si>
    <t>POT0093</t>
  </si>
  <si>
    <t>Bali Hai Quart 620 Ml</t>
  </si>
  <si>
    <t>POT0095</t>
  </si>
  <si>
    <t>Bali Hai Draft Quart 620 Ml</t>
  </si>
  <si>
    <t>SO-KU/2609/210052</t>
  </si>
  <si>
    <t>PQW0012</t>
  </si>
  <si>
    <t>IQF FF Shoestring 2.5 Kg/Pack</t>
  </si>
  <si>
    <t>SO-KU/2609/210054</t>
  </si>
  <si>
    <t>PT LAPLANCHA BALI SEJAHTERA</t>
  </si>
  <si>
    <t>SO-KU/2609/210056</t>
  </si>
  <si>
    <t>ASS-EG-LP250</t>
  </si>
  <si>
    <t>Earl Grey @250gr</t>
  </si>
  <si>
    <t>INTERNASIONA</t>
  </si>
  <si>
    <t>ASS-JT-LP250</t>
  </si>
  <si>
    <t>Jasmine Tea @250gr/Pouch</t>
  </si>
  <si>
    <t>ASS-PP-LP250</t>
  </si>
  <si>
    <t>Peppermint @250gr</t>
  </si>
  <si>
    <t>ASS-PL-LP250</t>
  </si>
  <si>
    <t>Lemongrass @250gr</t>
  </si>
  <si>
    <t>SO-KU/2609/210058</t>
  </si>
  <si>
    <t>PEA0010</t>
  </si>
  <si>
    <t>Gold Box Extra Butter MP341 1 Kg</t>
  </si>
  <si>
    <t>SO-KU/2609/210060</t>
  </si>
  <si>
    <t>SPC SBY</t>
  </si>
  <si>
    <t>SO-KU/2609/210061</t>
  </si>
  <si>
    <t>NURJANA KOPI</t>
  </si>
  <si>
    <t>PMS0165</t>
  </si>
  <si>
    <t>Flavourista Syrup Vanilla 1000 Ml</t>
  </si>
  <si>
    <t>SO-KU/2609/210063</t>
  </si>
  <si>
    <t>FOUR SEASON RESORT BALI</t>
  </si>
  <si>
    <t>PMS0092</t>
  </si>
  <si>
    <t>Master House Blend 04 (60:40) M</t>
  </si>
  <si>
    <t>SO-KU/2609/210064</t>
  </si>
  <si>
    <t>TENTANG KOPI KEROBOKAN</t>
  </si>
  <si>
    <t>POT0156</t>
  </si>
  <si>
    <t>Premium Hash Brown 2.5Kg</t>
  </si>
  <si>
    <t>SO-KU/2609/210065</t>
  </si>
  <si>
    <t>NANA'S KITCHEN TANDOORI</t>
  </si>
  <si>
    <t>SO-KU/2609/210067</t>
  </si>
  <si>
    <t>PENINSULA BAY RESORT</t>
  </si>
  <si>
    <t>SO-KU/2609/210069</t>
  </si>
  <si>
    <t>KIM COFFEE AND EATERY GIANYAR</t>
  </si>
  <si>
    <t>SO-KU/2609/210070</t>
  </si>
  <si>
    <t>THE BALANGAN HOTEL</t>
  </si>
  <si>
    <t>SO-KU/2609/210071</t>
  </si>
  <si>
    <t>SO-KU/2609/210072</t>
  </si>
  <si>
    <t>HUTAN INDAH KITCHEN &amp; LOUNGE GIANYAR</t>
  </si>
  <si>
    <t>PMS0150</t>
  </si>
  <si>
    <t>Masterista Syrup Natural Mint 850 Ml</t>
  </si>
  <si>
    <t>SO-KU/2609/210073</t>
  </si>
  <si>
    <t>PSJ0019</t>
  </si>
  <si>
    <t>Pork B Sliced (1kg/pack)</t>
  </si>
  <si>
    <t>SO-KU/2609/210074</t>
  </si>
  <si>
    <t>CENTRAL KITCHEN BALI</t>
  </si>
  <si>
    <t>SO-KU/2609/210075</t>
  </si>
  <si>
    <t>WARUNG TINGTING UBUD</t>
  </si>
  <si>
    <t>SO-KU/2609/210076</t>
  </si>
  <si>
    <t>RANU KITCHEN</t>
  </si>
  <si>
    <t>PAS0037</t>
  </si>
  <si>
    <t>Crr Rock'n Super Crispy Jakets Spicy Wedges 2.5Kg</t>
  </si>
  <si>
    <t>SO-KU/2609/210077</t>
  </si>
  <si>
    <t>PSJ0032</t>
  </si>
  <si>
    <t>Selecta Pork Belly Skin On</t>
  </si>
  <si>
    <t>SO-KU/2609/210078</t>
  </si>
  <si>
    <t>PMS0140</t>
  </si>
  <si>
    <t>Masterista Japanese Matcha Powder Premium 500 Ml</t>
  </si>
  <si>
    <t>SO-KU/2609/210079</t>
  </si>
  <si>
    <t>SHERATON BALI KUTA RESORT</t>
  </si>
  <si>
    <t>PAS0069</t>
  </si>
  <si>
    <t>Arass English Breakfast Tea 100 Tb</t>
  </si>
  <si>
    <t>SO-KU/2609/210080</t>
  </si>
  <si>
    <t>SO-KU/2609/210081</t>
  </si>
  <si>
    <t>PJS0007</t>
  </si>
  <si>
    <t>Daebak Spark Grape 330 Ml</t>
  </si>
  <si>
    <t>CKP1S-152</t>
  </si>
  <si>
    <t>Jinro Chamisul Soju Grapefruit 360ml</t>
  </si>
  <si>
    <t>SO-KU/2609/210082</t>
  </si>
  <si>
    <t>ASS-CHTB10</t>
  </si>
  <si>
    <t>Chamomile Dream @10Tb/Box</t>
  </si>
  <si>
    <t>SO-KU/2609/210083</t>
  </si>
  <si>
    <t>ANATHERA RESORT KUTA</t>
  </si>
  <si>
    <t>PMS0119</t>
  </si>
  <si>
    <t>Masterista Sweet Sauce Caramel 500 Gr</t>
  </si>
  <si>
    <t>SO-KU/2609/210085</t>
  </si>
  <si>
    <t>MOVENPICK</t>
  </si>
  <si>
    <t>PDM0002</t>
  </si>
  <si>
    <t>Armando Fettuccine 500 Gr/Pack</t>
  </si>
  <si>
    <t>SO-KU/2609/210086</t>
  </si>
  <si>
    <t>POT0039</t>
  </si>
  <si>
    <t>Premium Spicy Wedges 2.5 Kg</t>
  </si>
  <si>
    <t>SO-KU/2609/210087</t>
  </si>
  <si>
    <t>SO-KU/2609/210088</t>
  </si>
  <si>
    <t>PAS0068</t>
  </si>
  <si>
    <t>Arass Green Tea 100 Tb</t>
  </si>
  <si>
    <t>SO-KU/2609/210089</t>
  </si>
  <si>
    <t>PADMA BALI RESORT</t>
  </si>
  <si>
    <t>SO-KU/2609/210090</t>
  </si>
  <si>
    <t>AMORA UBUD BOUTIQUE VILLAS</t>
  </si>
  <si>
    <t>SO-KU/2609/210091</t>
  </si>
  <si>
    <t>Cafe</t>
  </si>
  <si>
    <t>SO-KU/2609/210092</t>
  </si>
  <si>
    <t>PAA0004</t>
  </si>
  <si>
    <t>Bergold Pikant Mozzarella Block</t>
  </si>
  <si>
    <t>4 blok. po  Crooked Cactus</t>
  </si>
  <si>
    <t>SO-KU/2609/210093</t>
  </si>
  <si>
    <t>FOLD UBUD</t>
  </si>
  <si>
    <t xml:space="preserve"> Invoice 2</t>
  </si>
  <si>
    <t>SO-KU/2609/210094</t>
  </si>
  <si>
    <t>W HOTEL</t>
  </si>
  <si>
    <t>SO-KU/2609/210095</t>
  </si>
  <si>
    <t>POINT 8 BAR &amp; RESTO</t>
  </si>
  <si>
    <t>PAA0001</t>
  </si>
  <si>
    <t>Bergold Mozzarella Block</t>
  </si>
  <si>
    <t>2 loaf</t>
  </si>
  <si>
    <t>SO-KU/2609/210096</t>
  </si>
  <si>
    <t>POT0110</t>
  </si>
  <si>
    <t>Bergold Shredded Pizza Topping Mozzarella</t>
  </si>
  <si>
    <t>SO-KU/2609/210097</t>
  </si>
  <si>
    <t>SO-KU/2609/210098</t>
  </si>
  <si>
    <t>THE UDAYA RESORT</t>
  </si>
  <si>
    <t>SO-KU/2609/210099</t>
  </si>
  <si>
    <t>Note: cash</t>
  </si>
  <si>
    <t>SO-KU/2609/210100</t>
  </si>
  <si>
    <t>POT0036</t>
  </si>
  <si>
    <t>Premium Spicy Wedges 4x2.5 Kg</t>
  </si>
  <si>
    <t>SO-KU/2609/210101</t>
  </si>
  <si>
    <t>PAS0015</t>
  </si>
  <si>
    <t>Crr Rock'n Super Crispy Jakets Spicy Wedges 10Kg/Ctn</t>
  </si>
  <si>
    <t>SO-KU/2609/210102</t>
  </si>
  <si>
    <t>SO-KU/2609/210103</t>
  </si>
  <si>
    <t>SO-KU/2609/210104</t>
  </si>
  <si>
    <t>SO-KU/2609/210105</t>
  </si>
  <si>
    <t>SO-KU/2609/210106</t>
  </si>
  <si>
    <t>SO-KU/2609/210107</t>
  </si>
  <si>
    <t>SO-KU/2609/210108</t>
  </si>
  <si>
    <t>SO-KU/2609/210109</t>
  </si>
  <si>
    <t>SO-KU/2609/210110</t>
  </si>
  <si>
    <t>TUI BLUE BERAWA HOTEL</t>
  </si>
  <si>
    <t>3 loaf</t>
  </si>
  <si>
    <t>SO-KU/2609/210111</t>
  </si>
  <si>
    <t>SO-KU/2609/210112</t>
  </si>
  <si>
    <t>SO-KU/2609/210113</t>
  </si>
  <si>
    <t>Tambahan</t>
  </si>
  <si>
    <t>SO-KU/2609/210115</t>
  </si>
  <si>
    <t>SO-KU/2609/210116</t>
  </si>
  <si>
    <t>RIAK COFFEE</t>
  </si>
  <si>
    <t>KIRIM BESOK BEDUGUL</t>
  </si>
  <si>
    <t>PMS0028</t>
  </si>
  <si>
    <t>Masterista Taro Expecta 800Gr</t>
  </si>
  <si>
    <t>SO-KU/2609/210118</t>
  </si>
  <si>
    <t>POS0025</t>
  </si>
  <si>
    <t>O Sole Doppio Concentrato Paste Tomato 2.2 Kg</t>
  </si>
  <si>
    <t>SO-KU/2609/210119</t>
  </si>
  <si>
    <t>SAKARA COFFEE</t>
  </si>
  <si>
    <t>PMS0033</t>
  </si>
  <si>
    <t>Masterista Ice Shaken Lemon Tea 1000Gr</t>
  </si>
  <si>
    <t>PMS0037</t>
  </si>
  <si>
    <t>Flavorista Red Velvet (1000Gr/Pack)</t>
  </si>
  <si>
    <t>PMS0081</t>
  </si>
  <si>
    <t>Ice Shaken Strawberry Tea 1 Kg</t>
  </si>
  <si>
    <t>SO-KU/2609/210120</t>
  </si>
  <si>
    <t>KUTA PARADISO HOTEL</t>
  </si>
  <si>
    <t>PMS0109</t>
  </si>
  <si>
    <t>Masterista Butterschot Expecta 800 Gr</t>
  </si>
  <si>
    <t>PMS0162</t>
  </si>
  <si>
    <t>Cocofreo Soft Ice Cream Vanilla 1000 Gr</t>
  </si>
  <si>
    <t>PMS0161</t>
  </si>
  <si>
    <t>Cocofreo Soft Ice Cream Belgian Chocolate 1000 Gr</t>
  </si>
  <si>
    <t>SO-KU/2609/210121</t>
  </si>
  <si>
    <t>PAL0003</t>
  </si>
  <si>
    <t>Isabi Smoked Salmon Slice 1Kg/Pack</t>
  </si>
  <si>
    <t>SO-KU/2609/210122</t>
  </si>
  <si>
    <t>SO-KU/2609/210124</t>
  </si>
  <si>
    <t>RITZ CARLTON</t>
  </si>
  <si>
    <t>SO-KU/2609/210125</t>
  </si>
  <si>
    <t>STHALA UBUD</t>
  </si>
  <si>
    <t>SO-KU/2609/210126</t>
  </si>
  <si>
    <t>SOFITEL BALI ND BEACH RESORT</t>
  </si>
  <si>
    <t>SO-KU/2609/210128</t>
  </si>
  <si>
    <t>PIF0012</t>
  </si>
  <si>
    <t>Pristine Classic Cooking Cream 1 Lt</t>
  </si>
  <si>
    <t>SO-KU/2609/210129</t>
  </si>
  <si>
    <t>SO-KU/2609/210130</t>
  </si>
  <si>
    <t>PAS0026</t>
  </si>
  <si>
    <t>Crr Rock'n Batter Skin On Fries 9x9mm 10Kg/Ctn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</si>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</sst>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2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7.36253564815" createdVersion="8" refreshedVersion="8" minRefreshableVersion="3" recordCount="406" xr:uid="{24DE474D-3D0E-4A0A-9630-198692E74224}">
  <cacheSource type="worksheet">
    <worksheetSource ref="A1:Q407" sheet="Sheet"/>
  </cacheSource>
  <cacheFields count="17">
    <cacheField name="Tgl Kirim" numFmtId="164">
      <sharedItems containsSemiMixedTypes="0" containsNonDate="0" containsDate="1" containsString="0" minDate="2026-09-22T00:00:00" maxDate="2026-09-23T00:00:00"/>
    </cacheField>
    <cacheField name="Tgl SO" numFmtId="164">
      <sharedItems containsSemiMixedTypes="0" containsNonDate="0" containsDate="1" containsString="0" minDate="2026-09-21T00:00:00" maxDate="2026-09-22T00:00:00"/>
    </cacheField>
    <cacheField name="No SO" numFmtId="0">
      <sharedItems/>
    </cacheField>
    <cacheField name="Nama Divisi" numFmtId="0">
      <sharedItems/>
    </cacheField>
    <cacheField name="Nama Customer" numFmtId="0">
      <sharedItems count="220">
        <s v="PT. SARI BURGER INDONESIA"/>
        <s v="LOSTERIA JIMBARAN"/>
        <s v="PT KERA EMAS BALI (GM &amp; BLOSSOM)"/>
        <s v="KALUMA RESTO AND BAR"/>
        <s v="SUMAK TURKISH CUISINE UBUD"/>
        <s v="TWO IDIOT"/>
        <s v="PAHDI KINTAMANI"/>
        <s v="USHA CAFE &amp; BAKERY UBUD"/>
        <s v="PLANT BISTRO"/>
        <s v="XOXO THAI STREET FOOD"/>
        <s v="GODDES BAKERY ( GOLDEN BAKERY )"/>
        <s v="LITTLE LIMA COFFEE"/>
        <s v="HIPPIE FISH"/>
        <s v="LA SANTANERA"/>
        <s v="CAFE MADE BAKERY"/>
        <s v="PT. FASTFOOD INDONESIA (KFC KUTA SQUARE)"/>
        <s v="LACASETTA RESTAURANT"/>
        <s v="PT. FASTFOOD INDONESIA (KFC SUDIRMAN)"/>
        <s v="PT. FASTFOOD INDONESIA ( KFC GATSU BARAT )"/>
        <s v="ELOK CAFE ULUWATU"/>
        <s v="MERUSAKA NUSA DUA"/>
        <s v="UNO RESTAURANT NUSA DUA"/>
        <s v="FUCINA ITALIA"/>
        <s v="SUMAK TURKISH CUISINE"/>
        <s v="KIMUKATSU ICON BALI"/>
        <s v="LACASETTA CAFETARIA"/>
        <s v="JALAPENO CANGGU"/>
        <s v="AVIARI BISTRO"/>
        <s v="RISE AND SHINE CAFE UMALAS"/>
        <s v="13.COFFEE"/>
        <s v="KANOA BALI"/>
        <s v="ZIA TINA BALI"/>
        <s v="RAJAKLANA"/>
        <s v="PT. AMAN BALI NUSA LAUT (LUIGIS HOT PIZZA)"/>
        <s v="KAFIN"/>
        <s v="TOKO SRIASIH"/>
        <s v="ORCHID BAKERY"/>
        <s v="ROYAL TULIP SPRINGHILL RESORT JIMBARAN"/>
        <s v="COFFEE CLUB BALI"/>
        <s v="ROSSO VIVO"/>
        <s v="ZANZIBAR REST"/>
        <s v="ZAP CLINIC - BALI"/>
        <s v="YAKINIKU LIKE LIVING WORLD BALI"/>
        <s v="UD. METRI"/>
        <s v="PAON MAK MO TABANAN"/>
        <s v="PT. GANGSAR ARTA MULIA"/>
        <s v="NAUGHTY NURIS SANUR"/>
        <s v="PT. LANGGENG KREASI JAYAPRIMA"/>
        <s v="CENTRAL FOOD VILLAGE (BALI ZOO)"/>
        <s v="HONDA DEWATA MOTOR COKRO"/>
        <s v="ZERO 4 KARAOKE"/>
        <s v="APPITITO PIZZA ICON SANUR"/>
        <s v="KIARA BEACHFRONT"/>
        <s v="SANDWICHOPEDIA UMALAS"/>
        <s v="SUMAK SANUR"/>
        <s v="KUBU BAKEHOUSE UBUD"/>
        <s v="TOKO PRANATA"/>
        <s v="LA TAHONA BAKERY"/>
        <s v="THE SWEET ESCAPE"/>
        <s v="AKASA KINTAMANI"/>
        <s v="SESEH PIZZA"/>
        <s v="FINNS BEACH CLUB"/>
        <s v="DAENG BURGER UMALAS"/>
        <s v="PIZZERIA ITALIA UNGASAN"/>
        <s v="GEP'S DELI ( TOKO SURYANTI NUSA )"/>
        <s v="LA VIA EMILIA"/>
        <s v="GIVRE UMALAS"/>
        <s v="SOL DE MIRA"/>
        <s v="TABO CAFE"/>
        <s v="SHABURI KINTAN"/>
        <s v="BAKSO MUKBANG"/>
        <s v="JU BALI - GRILL BAR AND JACUZZI CLUB"/>
        <s v="PEPPER LUNCH RESTAURANT (TSM)"/>
        <s v="ARTE CANGGU"/>
        <s v="PT. TIBI MODERN SENTOSA (AMNAYA HOTEL)"/>
        <s v="THE FORGE"/>
        <s v="PLATINUM HOTEL JIMBARAN BEACH BAR"/>
        <s v="GROUND ZERO KITCHEN"/>
        <s v="PT. SSP TAURUS GEMILANG INDONESIA"/>
        <s v="PIZZA DUMPLING"/>
        <s v="PEPPER LUNCH SIDEWALK"/>
        <s v="BOTTEGA ITALIANA BERAWA"/>
        <s v="BELLA ITALIA SANUR"/>
        <s v="BALI CATERING COMPANY"/>
        <s v="PURI SANTRIAN"/>
        <s v="SISTERFIELDS CAFE"/>
        <s v="SENDOK WARUNG"/>
        <s v="KOPITEN COFFEE SHOP"/>
        <s v="MAMAKA"/>
        <s v="THE WESTIN RESORT NUSA DUA"/>
        <s v="AUTOGRILL"/>
        <s v="REVOLVER OBEROI"/>
        <s v="PALMILLA BEACH CLUB MELASTI"/>
        <s v="BALI MANDIRA"/>
        <s v="BALI TROPIC RESORT &amp; SPA"/>
        <s v="CAFE DUNIA"/>
        <s v="INTERCONTINENTAL BALI RESORT"/>
        <s v="DAENG BURGER KEDUNGU"/>
        <s v="BAMBU BALI ULUWATU"/>
        <s v="PASTA DEALER"/>
        <s v="GRAND HYATT NUSA DUA"/>
        <s v="HYATT REGENCY SANUR"/>
        <s v="ULU CLIFF HOUSE"/>
        <s v="PT ULU ARTISAN EATS"/>
        <s v="ALAS HARUM UBUD"/>
        <s v="REVOLVER UMALAS"/>
        <s v="PENINSULA BEACH RESORT"/>
        <s v="AMPLITUDE BALI"/>
        <s v="NASI PERKEDEL PAK TELEM"/>
        <s v="KEDAI KOPI RANTAU"/>
        <s v="BALI SENTOSA SEAFOOD RESTAURANT"/>
        <s v="GRAND LA WALON HOTEL"/>
        <s v="COFFEE CORNER"/>
        <s v="THE LAGUNA"/>
        <s v="HOLLY COW MAHENDRADATTA"/>
        <s v="ST REGIS"/>
        <s v="COURTYARD MARRIOT HOTEL"/>
        <s v="NYOMAN'S COFFEE"/>
        <s v="TOKO WIRANATA"/>
        <s v="LAZYHANDS BAKERY"/>
        <s v="ANVAYA HOTEL"/>
        <s v="HILTON HOTEL"/>
        <s v="KABAK BAKERY"/>
        <s v="TRIBE HOTEL KUTA"/>
        <s v="FOOD GALLERIA"/>
        <s v="LE CROISSANT"/>
        <s v="SUDAMALA RESORT SANUR"/>
        <s v="REDDOG LIVING WORLD MALL"/>
        <s v="DASH HOTEL SEMINYAK"/>
        <s v="ALILA RESORT UBUD"/>
        <s v="JUMEIRAH"/>
        <s v="JONI ARTAWAN SUPPLIER"/>
        <s v="RUMAH LAWAS KOPI PUPUTAN"/>
        <s v="BARO BAKERY PERERENAN"/>
        <s v="RUMAH LAWAS KOPI NARAKUSUMA"/>
        <s v="RUMAH LAWAS KOPI TUKAD UNDA"/>
        <s v="RUMAH RAKYAT COFFEE"/>
        <s v="PT. ADIKARYA PANGAN FRESHINDO"/>
        <s v="NANDIYA BAKERY"/>
        <s v="FRANKIES BAR AND GRILL"/>
        <s v="YAN'S HOUSE"/>
        <s v="MAURI RESTAURANT"/>
        <s v="BHIMA JAYA"/>
        <s v="THE BAKERS BISTRO"/>
        <s v="SHINTA WARUNG"/>
        <s v="MAYA UBUD"/>
        <s v="UMANA BALI HOTEL RESORT"/>
        <s v="PORK STAR RESTAURANT"/>
        <s v="LA TERAZA"/>
        <s v="WARUNG GEMBUL"/>
        <s v="RENAISSANCE ULUWATU"/>
        <s v="MAMAS GERMAN REST."/>
        <s v="DOUBLE SIX HOTEL"/>
        <s v="CV. FENNY BERSAMA"/>
        <s v="LOSTERIA PIZZA CUCINA"/>
        <s v="SEDIA FROZEN"/>
        <s v="JOKER'S BAR &amp; GRILL BALI"/>
        <s v="MAHARAJA THE ROYAL DINING"/>
        <s v="PIZZERIA ITALIA LABUAN SAIT"/>
        <s v="KOJA KITCHEN AND COFFEE"/>
        <s v="CV. ANUGERAH JAYA BALI"/>
        <s v="LA BRISA BALI"/>
        <s v="LUMA CANGGU"/>
        <s v="CENDOL RATU"/>
        <s v="NICO'S SMOKEHOUSE BBQ - CANGGU"/>
        <s v="VOUK HOTEL"/>
        <s v="PT. PERMATA  AGUNG NIAGA"/>
        <s v="SEMATA COFFEE"/>
        <s v="DJAYA DELAPAN COFFEE"/>
        <s v="NEXX CAFE SHOWROOM"/>
        <s v="ARTIKULASI COFFEE"/>
        <s v="STOK DAPUR"/>
        <s v="JFC PIDADA"/>
        <s v="KEDAI KOPI KOKO"/>
        <s v="CV. SUMBER JAYA"/>
        <s v="CRYSTAL KUTA HOTEL"/>
        <s v="PT. GEMILANG KARYA KULINER (PLAGOO)"/>
        <s v="CRISPY DONUT PANTAI SANUR"/>
        <s v="WARUNG LOKAL"/>
        <s v="KELAPA MUDA UBUD POOL BAR &amp; KITCHEN"/>
        <s v="NAUGHTY NURIS SEMINYAK"/>
        <s v="SANUR KIDS SOHO CAFE"/>
        <s v="PELANGI BALI HOTEL"/>
        <s v="PT. STUJA MANAGEMENT"/>
        <s v="ULU SEGARA LUXURY SUITES &amp; VILLAS"/>
        <s v="JEMPANA VILLA"/>
        <s v="PENJUALAN CASH"/>
        <s v="TROPICALIFE CANGGU"/>
        <s v="MIE TIME WOAH"/>
        <s v="PT. BOGAJAYA INTERNASIONAL JAYA ABADI"/>
        <s v="PT LAPLANCHA BALI SEJAHTERA"/>
        <s v="PT. SOEJASCH BALI"/>
        <s v="NURJANA KOPI"/>
        <s v="FOUR SEASON RESORT BALI"/>
        <s v="TENTANG KOPI KEROBOKAN"/>
        <s v="NANA'S KITCHEN TANDOORI"/>
        <s v="PENINSULA BAY RESORT"/>
        <s v="KIM COFFEE AND EATERY GIANYAR"/>
        <s v="THE BALANGAN HOTEL"/>
        <s v="HUTAN INDAH KITCHEN &amp; LOUNGE GIANYAR"/>
        <s v="CENTRAL KITCHEN BALI"/>
        <s v="WARUNG TINGTING UBUD"/>
        <s v="RANU KITCHEN"/>
        <s v="SHERATON BALI KUTA RESORT"/>
        <s v="ANATHERA RESORT KUTA"/>
        <s v="MOVENPICK"/>
        <s v="PADMA BALI RESORT"/>
        <s v="AMORA UBUD BOUTIQUE VILLAS"/>
        <s v="FOLD UBUD"/>
        <s v="W HOTEL"/>
        <s v="POINT 8 BAR &amp; RESTO"/>
        <s v="THE UDAYA RESORT"/>
        <s v="BREAD YARD"/>
        <s v="TUI BLUE BERAWA HOTEL"/>
        <s v="RIAK COFFEE"/>
        <s v="SAKARA COFFEE"/>
        <s v="KUTA PARADISO HOTEL"/>
        <s v="RITZ CARLTON"/>
        <s v="STHALA UBUD"/>
        <s v="SOFITEL BALI ND BEACH RESOR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NP4"/>
        <s v="Juni"/>
        <s v="Picrom Stalyon"/>
        <s v="I Made Luih (Sanur)"/>
        <s v="Dewi Kristiani"/>
        <s v="Wahyu"/>
        <s v="I MADE LUIH"/>
        <s v="Taufik"/>
        <s v="Monica"/>
        <s v="Sujana"/>
        <s v="Ni Ketut Sriasih (GT)"/>
        <s v="Ronald"/>
        <s v="NP1"/>
        <s v="NP3"/>
        <s v="NP2"/>
        <s v="Wira"/>
        <s v="NP5"/>
        <s v="Ni Ketut Sriasih (MT)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3320" maxValue="47879999.689999998"/>
    </cacheField>
    <cacheField name="BS-SO(Pcs)" numFmtId="165">
      <sharedItems containsSemiMixedTypes="0" containsString="0" containsNumber="1" minValue="-9" maxValue="2.6598999999999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d v="2026-09-22T00:00:00"/>
    <d v="2026-09-21T00:00:00"/>
    <s v="SO-KS/2609/210001"/>
    <s v="MKS Bali"/>
    <x v="0"/>
    <x v="0"/>
    <x v="0"/>
    <s v="020020"/>
    <s v="NESTLE Milo Activ-Go NPro 960Gr/Pack"/>
    <n v="16"/>
    <s v="PACK"/>
    <n v="16"/>
    <n v="1680000.1"/>
    <n v="0"/>
    <s v="Invoice"/>
    <s v="Sudah Jadi FJ"/>
    <s v="DiscoveryMall Bali"/>
  </r>
  <r>
    <d v="2026-09-22T00:00:00"/>
    <d v="2026-09-21T00:00:00"/>
    <s v="SO-KS/2609/210003"/>
    <s v="MKS Bali"/>
    <x v="1"/>
    <x v="0"/>
    <x v="1"/>
    <s v="SFM052"/>
    <s v="Inofa Heat Treated Wheat Flour SF 346 @25kg/sack"/>
    <n v="1"/>
    <s v="SACK"/>
    <n v="1"/>
    <n v="560000"/>
    <n v="0"/>
    <s v="Invoice"/>
    <s v="Sudah Jadi FJ"/>
    <s v=""/>
  </r>
  <r>
    <d v="2026-09-22T00:00:00"/>
    <d v="2026-09-21T00:00:00"/>
    <s v="SO-KS/2609/210004"/>
    <s v="MKS Bali"/>
    <x v="2"/>
    <x v="0"/>
    <x v="2"/>
    <s v="PSJ0371"/>
    <s v="ECT Tenderloin Import"/>
    <n v="2"/>
    <s v="KG"/>
    <n v="2.42"/>
    <n v="1089000"/>
    <n v="0.42"/>
    <s v="Invoice"/>
    <s v="Sudah Jadi FJ"/>
    <s v="1 loaf. kirim ke ENZO SUSHI TRAIN UBUD"/>
  </r>
  <r>
    <d v="2026-09-22T00:00:00"/>
    <d v="2026-09-21T00:00:00"/>
    <s v="SO-KS/2609/210005"/>
    <s v="MKS Bali"/>
    <x v="3"/>
    <x v="1"/>
    <x v="3"/>
    <s v="SFM009"/>
    <s v="Tepung Hime @25Kg/Sack"/>
    <n v="2"/>
    <s v="SACK"/>
    <n v="2"/>
    <n v="710400"/>
    <n v="0"/>
    <s v="Invoice"/>
    <s v="Sudah Jadi FJ"/>
    <s v=""/>
  </r>
  <r>
    <d v="2026-09-22T00:00:00"/>
    <d v="2026-09-21T00:00:00"/>
    <s v="SO-KS/2609/210006"/>
    <s v="MKS Bali"/>
    <x v="4"/>
    <x v="0"/>
    <x v="2"/>
    <s v="SFM007"/>
    <s v="Tepung Double Zero @25Kg/Sack"/>
    <n v="2"/>
    <s v="SACK"/>
    <n v="2"/>
    <n v="590000"/>
    <n v="0"/>
    <s v="Invoice"/>
    <s v="Sudah Jadi FJ"/>
    <s v=""/>
  </r>
  <r>
    <d v="2026-09-22T00:00:00"/>
    <d v="2026-09-21T00:00:00"/>
    <s v="SO-KS/2609/210007"/>
    <s v="MKS Bali"/>
    <x v="2"/>
    <x v="0"/>
    <x v="2"/>
    <s v="PSJ0175"/>
    <s v="Black Gold Topside"/>
    <n v="15"/>
    <s v="KG"/>
    <n v="15.1"/>
    <n v="2038500"/>
    <n v="0.1"/>
    <s v="Invoice"/>
    <s v="Sudah Jadi FJ"/>
    <s v="kirim ke GOLDEN MONKEY SANUR ICON MALL_x000a_"/>
  </r>
  <r>
    <d v="2026-09-22T00:00:00"/>
    <d v="2026-09-21T00:00:00"/>
    <s v="SO-KS/2609/210008"/>
    <s v="MKS Bali"/>
    <x v="5"/>
    <x v="1"/>
    <x v="4"/>
    <s v="PSJ0228"/>
    <s v="Premium Minced Beef (2.5kg/pack)"/>
    <n v="2.5"/>
    <s v="KG"/>
    <n v="2.5"/>
    <n v="300000"/>
    <n v="0"/>
    <s v="Invoice"/>
    <s v="Sudah Jadi FJ"/>
    <s v="1 pack"/>
  </r>
  <r>
    <d v="2026-09-22T00:00:00"/>
    <d v="2026-09-21T00:00:00"/>
    <s v="SO-KS/2609/210009"/>
    <s v="MKS Bali"/>
    <x v="6"/>
    <x v="0"/>
    <x v="2"/>
    <s v="SFM007"/>
    <s v="Tepung Double Zero @25Kg/Sack"/>
    <n v="2"/>
    <s v="SACK"/>
    <n v="2"/>
    <n v="640000"/>
    <n v="0"/>
    <s v="Invoice"/>
    <s v="Sudah Jadi FJ"/>
    <s v="KIRIM KINTAMANI"/>
  </r>
  <r>
    <d v="2026-09-22T00:00:00"/>
    <d v="2026-09-21T00:00:00"/>
    <s v="SO-KS/2609/210010"/>
    <s v="MKS Bali"/>
    <x v="7"/>
    <x v="0"/>
    <x v="2"/>
    <s v="SFM007"/>
    <s v="Tepung Double Zero @25Kg/Sack"/>
    <n v="3"/>
    <s v="SACK"/>
    <n v="3"/>
    <n v="846000.02"/>
    <n v="0"/>
    <s v="Invoice"/>
    <s v="Sudah Jadi FJ"/>
    <s v="KIRIM KE PRODUKSI alamat Sari paras 2, Jl. Raya Mawang No.88, Lodtunduh, Kecamatan Ubud, Kabupaten Gianyar_x000a_"/>
  </r>
  <r>
    <d v="2026-09-22T00:00:00"/>
    <d v="2026-09-21T00:00:00"/>
    <s v="SO-KS/2609/210011"/>
    <s v="MKS Bali"/>
    <x v="8"/>
    <x v="0"/>
    <x v="2"/>
    <s v="SFM007"/>
    <s v="Tepung Double Zero @25Kg/Sack"/>
    <n v="3"/>
    <s v="SACK"/>
    <n v="3"/>
    <n v="945000"/>
    <n v="0"/>
    <s v="Invoice"/>
    <s v="Sudah Jadi FJ"/>
    <s v=""/>
  </r>
  <r>
    <d v="2026-09-22T00:00:00"/>
    <d v="2026-09-21T00:00:00"/>
    <s v="SO-KS/2609/210012"/>
    <s v="MKS Bali"/>
    <x v="9"/>
    <x v="1"/>
    <x v="5"/>
    <s v="PSJ0083"/>
    <s v="SB Cumi Tube"/>
    <n v="4"/>
    <s v="KG"/>
    <n v="4"/>
    <n v="312000"/>
    <n v="0"/>
    <s v="Invoice"/>
    <s v="Sudah Jadi FJ"/>
    <s v=""/>
  </r>
  <r>
    <d v="2026-09-22T00:00:00"/>
    <d v="2026-09-21T00:00:00"/>
    <s v="SO-KS/2609/210013"/>
    <s v="MKS Bali"/>
    <x v="10"/>
    <x v="0"/>
    <x v="6"/>
    <s v="PSF0014"/>
    <s v="Tepung 00 Fusion @25Kg"/>
    <n v="10"/>
    <s v="SACK"/>
    <n v="10"/>
    <n v="2879999.99"/>
    <n v="0"/>
    <s v="Invoice"/>
    <s v="Sudah Jadi FJ"/>
    <s v=""/>
  </r>
  <r>
    <d v="2026-09-22T00:00:00"/>
    <d v="2026-09-21T00:00:00"/>
    <s v="SO-KS/2609/210014"/>
    <s v="MKS Bali"/>
    <x v="11"/>
    <x v="1"/>
    <x v="7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015"/>
    <s v="MKS Bali"/>
    <x v="12"/>
    <x v="0"/>
    <x v="7"/>
    <s v="PSJ0011"/>
    <s v="Chuck Tenderloin Whole"/>
    <n v="3"/>
    <s v="KG"/>
    <n v="2.75"/>
    <n v="398750"/>
    <n v="-0.25"/>
    <s v="Invoice"/>
    <s v="Sudah Jadi FJ"/>
    <s v=""/>
  </r>
  <r>
    <d v="2026-09-22T00:00:00"/>
    <d v="2026-09-21T00:00:00"/>
    <s v="SO-KS/2609/210016"/>
    <s v="MKS Bali"/>
    <x v="13"/>
    <x v="0"/>
    <x v="7"/>
    <s v="SFM009"/>
    <s v="Tepung Hime @25Kg/Sack"/>
    <n v="1"/>
    <s v="SACK"/>
    <n v="1"/>
    <n v="355200"/>
    <n v="0"/>
    <s v="Invoice"/>
    <s v="Sudah Jadi FJ"/>
    <s v=""/>
  </r>
  <r>
    <d v="2026-09-22T00:00:00"/>
    <d v="2026-09-21T00:00:00"/>
    <s v="SO-KS/2609/210017"/>
    <s v="MKS Bali"/>
    <x v="14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019"/>
    <s v="MKS Bali"/>
    <x v="15"/>
    <x v="0"/>
    <x v="0"/>
    <s v="080124"/>
    <s v="NESTLE MILO -E Uht Cmbk 110 Ml"/>
    <n v="108"/>
    <s v="PCS"/>
    <n v="108"/>
    <n v="313199.93"/>
    <n v="0"/>
    <s v="Invoice"/>
    <s v="Sudah Jadi FJ"/>
    <s v=""/>
  </r>
  <r>
    <d v="2026-09-22T00:00:00"/>
    <d v="2026-09-21T00:00:00"/>
    <s v="SO-KS/2609/210019"/>
    <s v="MKS Bali"/>
    <x v="15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22T00:00:00"/>
    <d v="2026-09-21T00:00:00"/>
    <s v="SO-KS/2609/210020"/>
    <s v="MKS Bali"/>
    <x v="16"/>
    <x v="0"/>
    <x v="4"/>
    <s v="PLM0092"/>
    <s v="Martelli Prosciutto Di Parma"/>
    <n v="7"/>
    <s v="KG"/>
    <n v="6.38"/>
    <n v="4147000"/>
    <n v="-0.62"/>
    <s v="Invoice"/>
    <s v="Sudah Jadi FJ"/>
    <s v="1 loaf"/>
  </r>
  <r>
    <d v="2026-09-22T00:00:00"/>
    <d v="2026-09-21T00:00:00"/>
    <s v="SO-KS/2609/210021"/>
    <s v="MKS Bali"/>
    <x v="17"/>
    <x v="0"/>
    <x v="0"/>
    <s v="080124"/>
    <s v="NESTLE MILO -E Uht Cmbk 110 Ml"/>
    <n v="108"/>
    <s v="PCS"/>
    <n v="108"/>
    <n v="313199.93"/>
    <n v="0"/>
    <s v="Invoice"/>
    <s v="Sudah Jadi FJ"/>
    <s v=""/>
  </r>
  <r>
    <d v="2026-09-22T00:00:00"/>
    <d v="2026-09-21T00:00:00"/>
    <s v="SO-KS/2609/210021"/>
    <s v="MKS Bali"/>
    <x v="17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22T00:00:00"/>
    <d v="2026-09-21T00:00:00"/>
    <s v="SO-KS/2609/210022"/>
    <s v="MKS Bali"/>
    <x v="18"/>
    <x v="0"/>
    <x v="0"/>
    <s v="080124"/>
    <s v="NESTLE MILO -E Uht Cmbk 110 Ml"/>
    <n v="432"/>
    <s v="PCS"/>
    <n v="432"/>
    <n v="1252799.7"/>
    <n v="0"/>
    <s v="Invoice"/>
    <s v="Sudah Jadi FJ"/>
    <s v=""/>
  </r>
  <r>
    <d v="2026-09-22T00:00:00"/>
    <d v="2026-09-21T00:00:00"/>
    <s v="SO-KS/2609/210022"/>
    <s v="MKS Bali"/>
    <x v="18"/>
    <x v="0"/>
    <x v="0"/>
    <s v="020020"/>
    <s v="NESTLE Milo Activ-Go NPro 960Gr/Pack"/>
    <n v="32"/>
    <s v="PACK"/>
    <n v="32"/>
    <n v="3168000"/>
    <n v="0"/>
    <s v="Invoice"/>
    <s v="Sudah Jadi FJ"/>
    <s v=""/>
  </r>
  <r>
    <d v="2026-09-22T00:00:00"/>
    <d v="2026-09-21T00:00:00"/>
    <s v="SO-KS/2609/210023"/>
    <s v="MKS Bali"/>
    <x v="19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023"/>
    <s v="MKS Bali"/>
    <x v="19"/>
    <x v="1"/>
    <x v="1"/>
    <s v="PLN0003"/>
    <s v="ELLENKA BARISTA COCONUT MILK 1000ML APL"/>
    <n v="12"/>
    <s v="PACK"/>
    <n v="12"/>
    <n v="506160"/>
    <n v="0"/>
    <s v="Invoice"/>
    <s v="Sudah Jadi FJ"/>
    <s v=""/>
  </r>
  <r>
    <d v="2026-09-22T00:00:00"/>
    <d v="2026-09-21T00:00:00"/>
    <s v="SO-KS/2609/210024"/>
    <s v="MKS Bali"/>
    <x v="20"/>
    <x v="0"/>
    <x v="8"/>
    <s v="PLN0002"/>
    <s v="RICH CREME WHIPING CREAM 800G POUCH"/>
    <n v="1"/>
    <s v="POU"/>
    <n v="1"/>
    <n v="95460"/>
    <n v="0"/>
    <s v="Invoice"/>
    <s v="Sudah Jadi FJ"/>
    <s v=""/>
  </r>
  <r>
    <d v="2026-09-22T00:00:00"/>
    <d v="2026-09-21T00:00:00"/>
    <s v="SO-KS/2609/210025"/>
    <s v="MKS Bali"/>
    <x v="21"/>
    <x v="1"/>
    <x v="1"/>
    <s v="SFM007"/>
    <s v="Tepung Double Zero @25Kg/Sack"/>
    <n v="1"/>
    <s v="SACK"/>
    <n v="1"/>
    <n v="285000"/>
    <n v="0"/>
    <s v="Invoice"/>
    <s v="Sudah Jadi FJ"/>
    <s v=""/>
  </r>
  <r>
    <d v="2026-09-22T00:00:00"/>
    <d v="2026-09-21T00:00:00"/>
    <s v="SO-KS/2609/210026"/>
    <s v="MKS Bali"/>
    <x v="22"/>
    <x v="0"/>
    <x v="4"/>
    <s v="PSJ0228"/>
    <s v="Premium Minced Beef (2.5kg/pack)"/>
    <n v="5"/>
    <s v="KG"/>
    <n v="5"/>
    <n v="500000"/>
    <n v="0"/>
    <s v="Invoice"/>
    <s v="Sudah Jadi FJ"/>
    <s v=""/>
  </r>
  <r>
    <d v="2026-09-22T00:00:00"/>
    <d v="2026-09-21T00:00:00"/>
    <s v="SO-KS/2609/210027"/>
    <s v="MKS Bali"/>
    <x v="23"/>
    <x v="0"/>
    <x v="9"/>
    <s v="SFM007"/>
    <s v="Tepung Double Zero @25Kg/Sack"/>
    <n v="5"/>
    <s v="SACK"/>
    <n v="5"/>
    <n v="1475000"/>
    <n v="0"/>
    <s v="Invoice"/>
    <s v="Sudah Jadi FJ"/>
    <s v=""/>
  </r>
  <r>
    <d v="2026-09-22T00:00:00"/>
    <d v="2026-09-21T00:00:00"/>
    <s v="SO-KS/2609/210028"/>
    <s v="MKS Bali"/>
    <x v="24"/>
    <x v="0"/>
    <x v="0"/>
    <s v="060013"/>
    <s v="Nestea Lemon Tea 1kg/Pack"/>
    <n v="24"/>
    <s v="PACK"/>
    <n v="24"/>
    <n v="1540800.06"/>
    <n v="0"/>
    <s v="Invoice"/>
    <s v="Sudah Jadi FJ"/>
    <s v=""/>
  </r>
  <r>
    <d v="2026-09-22T00:00:00"/>
    <d v="2026-09-21T00:00:00"/>
    <s v="SO-KS/2609/210029"/>
    <s v="MKS Bali"/>
    <x v="25"/>
    <x v="0"/>
    <x v="4"/>
    <s v="PSF0014"/>
    <s v="Tepung 00 Fusion @25Kg"/>
    <n v="3"/>
    <s v="SACK"/>
    <n v="3"/>
    <n v="840000.03"/>
    <n v="0"/>
    <s v="Invoice"/>
    <s v="Sudah Jadi FJ"/>
    <s v=""/>
  </r>
  <r>
    <d v="2026-09-22T00:00:00"/>
    <d v="2026-09-21T00:00:00"/>
    <s v="SO-KS/2609/210030"/>
    <s v="MKS Bali"/>
    <x v="26"/>
    <x v="1"/>
    <x v="4"/>
    <s v="PPK0010"/>
    <s v="Block Red Cheddar Mix Cheese 5x2kg"/>
    <n v="6"/>
    <s v="KG"/>
    <n v="6.36"/>
    <n v="954000.03"/>
    <n v="0.36"/>
    <s v="Invoice"/>
    <s v="Sudah Jadi FJ"/>
    <s v="3 blok"/>
  </r>
  <r>
    <d v="2026-09-22T00:00:00"/>
    <d v="2026-09-21T00:00:00"/>
    <s v="SO-KS/2609/210032"/>
    <s v="MKS Bali"/>
    <x v="0"/>
    <x v="0"/>
    <x v="0"/>
    <s v="020020"/>
    <s v="NESTLE Milo Activ-Go NPro 960Gr/Pack"/>
    <n v="16"/>
    <s v="PACK"/>
    <n v="16"/>
    <n v="1680000.1"/>
    <n v="0"/>
    <s v="Invoice"/>
    <s v="Sudah Jadi FJ"/>
    <s v="KutaBeach Walk"/>
  </r>
  <r>
    <d v="2026-09-22T00:00:00"/>
    <d v="2026-09-21T00:00:00"/>
    <s v="SO-KS/2609/210033"/>
    <s v="MKS Bali"/>
    <x v="27"/>
    <x v="0"/>
    <x v="9"/>
    <s v="PSJ0046"/>
    <s v="Allana Tenderloin Whole"/>
    <n v="6"/>
    <s v="KG"/>
    <n v="4.0999999999999996"/>
    <n v="820000"/>
    <n v="-1.9"/>
    <s v="Invoice"/>
    <s v="Sudah Jadi FJ"/>
    <s v="3 loaf. po Crooked Cactus"/>
  </r>
  <r>
    <d v="2026-09-22T00:00:00"/>
    <d v="2026-09-21T00:00:00"/>
    <s v="SO-KS/2609/210036"/>
    <s v="MKS Bali"/>
    <x v="28"/>
    <x v="1"/>
    <x v="4"/>
    <s v="PLN0002"/>
    <s v="RICH CREME WHIPING CREAM 800G POUCH"/>
    <n v="3"/>
    <s v="POU"/>
    <n v="3"/>
    <n v="270600.03000000003"/>
    <n v="0"/>
    <s v="Invoice"/>
    <s v="Sudah Jadi FJ"/>
    <s v=""/>
  </r>
  <r>
    <d v="2026-09-22T00:00:00"/>
    <d v="2026-09-21T00:00:00"/>
    <s v="SO-KS/2609/210038"/>
    <s v="MKS Bali"/>
    <x v="29"/>
    <x v="1"/>
    <x v="6"/>
    <s v="PLN0005"/>
    <s v="RICH CRÈME ND 08 1000G POUCH"/>
    <n v="12"/>
    <s v="POU"/>
    <n v="12"/>
    <n v="745920"/>
    <n v="0"/>
    <s v="Invoice"/>
    <s v="Sudah Jadi FJ"/>
    <s v=""/>
  </r>
  <r>
    <d v="2026-09-22T00:00:00"/>
    <d v="2026-09-21T00:00:00"/>
    <s v="SO-KS/2609/210041"/>
    <s v="MKS Bali"/>
    <x v="30"/>
    <x v="1"/>
    <x v="9"/>
    <s v="SFM007"/>
    <s v="Tepung Double Zero @25Kg/Sack"/>
    <n v="1"/>
    <s v="SACK"/>
    <n v="1"/>
    <n v="327450"/>
    <n v="0"/>
    <s v="Invoice"/>
    <s v="Sudah Jadi FJ"/>
    <s v=""/>
  </r>
  <r>
    <d v="2026-09-22T00:00:00"/>
    <d v="2026-09-21T00:00:00"/>
    <s v="SO-KS/2609/210042"/>
    <s v="MKS Bali"/>
    <x v="31"/>
    <x v="0"/>
    <x v="9"/>
    <s v="SFM007"/>
    <s v="Tepung Double Zero @25Kg/Sack"/>
    <n v="2"/>
    <s v="SACK"/>
    <n v="2"/>
    <n v="654900"/>
    <n v="0"/>
    <s v="Invoice"/>
    <s v="Sudah Jadi FJ"/>
    <s v=""/>
  </r>
  <r>
    <d v="2026-09-22T00:00:00"/>
    <d v="2026-09-21T00:00:00"/>
    <s v="SO-KS/2609/210045"/>
    <s v="MKS Bali"/>
    <x v="32"/>
    <x v="1"/>
    <x v="9"/>
    <s v="SFM018"/>
    <s v="Tepung Ninja @25Kg/Sack"/>
    <n v="4"/>
    <s v="SACK"/>
    <n v="4"/>
    <n v="1265400"/>
    <n v="0"/>
    <s v="Invoice"/>
    <s v="Sudah Jadi FJ"/>
    <s v=""/>
  </r>
  <r>
    <d v="2026-09-22T00:00:00"/>
    <d v="2026-09-21T00:00:00"/>
    <s v="SO-KS/2609/210045"/>
    <s v="MKS Bali"/>
    <x v="32"/>
    <x v="1"/>
    <x v="9"/>
    <s v="SFM007"/>
    <s v="Tepung Double Zero @25Kg/Sack"/>
    <n v="10"/>
    <s v="SACK"/>
    <n v="10"/>
    <n v="3274500"/>
    <n v="0"/>
    <s v="Invoice"/>
    <s v="Sudah Jadi FJ"/>
    <s v=""/>
  </r>
  <r>
    <d v="2026-09-22T00:00:00"/>
    <d v="2026-09-21T00:00:00"/>
    <s v="SO-KS/2609/210046"/>
    <s v="MKS Bali"/>
    <x v="33"/>
    <x v="0"/>
    <x v="7"/>
    <s v="SFM009"/>
    <s v="Tepung Hime @25Kg/Sack"/>
    <n v="3"/>
    <s v="SACK"/>
    <n v="3"/>
    <n v="915000"/>
    <n v="0"/>
    <s v="Invoice"/>
    <s v="Sudah Jadi FJ"/>
    <s v=""/>
  </r>
  <r>
    <d v="2026-09-22T00:00:00"/>
    <d v="2026-09-21T00:00:00"/>
    <s v="SO-KS/2609/210049"/>
    <s v="MKS Bali"/>
    <x v="34"/>
    <x v="0"/>
    <x v="5"/>
    <s v="080240"/>
    <s v="THE ALTERNATIVE Barista Oat Milk 1 Lt"/>
    <n v="12"/>
    <s v="PCS"/>
    <n v="12"/>
    <n v="606060"/>
    <n v="0"/>
    <s v="Invoice"/>
    <s v="Sudah Jadi FJ"/>
    <s v=""/>
  </r>
  <r>
    <d v="2026-09-22T00:00:00"/>
    <d v="2026-09-21T00:00:00"/>
    <s v="SO-KS/2609/210049"/>
    <s v="MKS Bali"/>
    <x v="34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051"/>
    <s v="MKS Bali"/>
    <x v="35"/>
    <x v="1"/>
    <x v="10"/>
    <s v="SFM052"/>
    <s v="Inofa Heat Treated Wheat Flour SF 346 @25kg/sack"/>
    <n v="1"/>
    <s v="SACK"/>
    <n v="1"/>
    <n v="577200"/>
    <n v="0"/>
    <s v="Invoice"/>
    <s v="Sudah Jadi FJ"/>
    <s v=""/>
  </r>
  <r>
    <d v="2026-09-22T00:00:00"/>
    <d v="2026-09-21T00:00:00"/>
    <s v="SO-KS/2609/210053"/>
    <s v="MKS Bali"/>
    <x v="36"/>
    <x v="1"/>
    <x v="6"/>
    <s v="PLN0009"/>
    <s v="WELLINGTON PRO 25KG PP BAG"/>
    <n v="2"/>
    <s v="BAG"/>
    <n v="2"/>
    <n v="3150180"/>
    <n v="0"/>
    <s v="Invoice"/>
    <s v="Sudah Jadi FJ"/>
    <s v=""/>
  </r>
  <r>
    <d v="2026-09-22T00:00:00"/>
    <d v="2026-09-21T00:00:00"/>
    <s v="SO-KS/2609/210058"/>
    <s v="MKS Bali"/>
    <x v="37"/>
    <x v="0"/>
    <x v="8"/>
    <s v="SFM007"/>
    <s v="Tepung Double Zero @25Kg/Sack"/>
    <n v="3"/>
    <s v="SACK"/>
    <n v="3"/>
    <n v="982350"/>
    <n v="0"/>
    <s v="Invoice"/>
    <s v="Sudah Jadi FJ"/>
    <s v=""/>
  </r>
  <r>
    <d v="2026-09-22T00:00:00"/>
    <d v="2026-09-21T00:00:00"/>
    <s v="SO-KS/2609/210060"/>
    <s v="MKS Bali"/>
    <x v="38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061"/>
    <s v="MKS Bali"/>
    <x v="39"/>
    <x v="0"/>
    <x v="11"/>
    <s v="SFM007"/>
    <s v="Tepung Double Zero @25Kg/Sack"/>
    <n v="4"/>
    <s v="SACK"/>
    <n v="4"/>
    <n v="1309800"/>
    <n v="0"/>
    <s v="Invoice"/>
    <s v="Sudah Jadi FJ"/>
    <s v=""/>
  </r>
  <r>
    <d v="2026-09-22T00:00:00"/>
    <d v="2026-09-21T00:00:00"/>
    <s v="SO-KS/2609/210062"/>
    <s v="MKS Bali"/>
    <x v="40"/>
    <x v="1"/>
    <x v="9"/>
    <s v="SFM052"/>
    <s v="Inofa Heat Treated Wheat Flour SF 346 @25kg/sack"/>
    <n v="1"/>
    <s v="SACK"/>
    <n v="1"/>
    <n v="560000"/>
    <n v="0"/>
    <s v="Invoice"/>
    <s v="Sudah Jadi FJ"/>
    <s v=""/>
  </r>
  <r>
    <d v="2026-09-22T00:00:00"/>
    <d v="2026-09-21T00:00:00"/>
    <s v="SO-KS/2609/210064"/>
    <s v="MKS Bali"/>
    <x v="36"/>
    <x v="1"/>
    <x v="6"/>
    <s v="SFM018"/>
    <s v="Tepung Ninja @25Kg/Sack"/>
    <n v="2"/>
    <s v="SACK"/>
    <n v="2"/>
    <n v="632700"/>
    <n v="0"/>
    <s v="Invoice"/>
    <s v="Sudah Jadi FJ"/>
    <s v=""/>
  </r>
  <r>
    <d v="2026-09-22T00:00:00"/>
    <d v="2026-09-21T00:00:00"/>
    <s v="SO-KS/2609/210066"/>
    <s v="MKS Bali"/>
    <x v="41"/>
    <x v="0"/>
    <x v="12"/>
    <s v="060004"/>
    <s v="Nescafe Cappuccino Caramel Era 500gr/Pack"/>
    <n v="16"/>
    <s v="PACK"/>
    <n v="16"/>
    <n v="1009599.99"/>
    <n v="0"/>
    <s v="Invoice"/>
    <s v="Sudah Jadi FJ"/>
    <s v=""/>
  </r>
  <r>
    <d v="2026-09-22T00:00:00"/>
    <d v="2026-09-21T00:00:00"/>
    <s v="SO-KS/2609/210066"/>
    <s v="MKS Bali"/>
    <x v="41"/>
    <x v="0"/>
    <x v="12"/>
    <s v="060016"/>
    <s v="Nestea Teh Tarik NPro 960gr/Pack"/>
    <n v="4"/>
    <s v="PACK"/>
    <n v="4"/>
    <n v="434199.99"/>
    <n v="0"/>
    <s v="Invoice"/>
    <s v="Sudah Jadi FJ"/>
    <s v=""/>
  </r>
  <r>
    <d v="2026-09-22T00:00:00"/>
    <d v="2026-09-21T00:00:00"/>
    <s v="SO-KS/2609/210066"/>
    <s v="MKS Bali"/>
    <x v="41"/>
    <x v="0"/>
    <x v="12"/>
    <s v="020020"/>
    <s v="NESTLE Milo Activ-Go NPro 960Gr/Pack"/>
    <n v="12"/>
    <s v="PACK"/>
    <n v="12"/>
    <n v="1260000.07"/>
    <n v="0"/>
    <s v="Invoice"/>
    <s v="Sudah Jadi FJ"/>
    <s v=""/>
  </r>
  <r>
    <d v="2026-09-22T00:00:00"/>
    <d v="2026-09-21T00:00:00"/>
    <s v="SO-KS/2609/210067"/>
    <s v="MKS Bali"/>
    <x v="42"/>
    <x v="0"/>
    <x v="0"/>
    <s v="060013"/>
    <s v="Nestea Lemon Tea 1kg/Pack"/>
    <n v="24"/>
    <s v="PACK"/>
    <n v="24"/>
    <n v="1540800.06"/>
    <n v="0"/>
    <s v="Invoice"/>
    <s v="Sudah Jadi FJ"/>
    <s v=""/>
  </r>
  <r>
    <d v="2026-09-22T00:00:00"/>
    <d v="2026-09-21T00:00:00"/>
    <s v="SO-KS/2609/210068"/>
    <s v="MKS Bali"/>
    <x v="43"/>
    <x v="1"/>
    <x v="10"/>
    <s v="120015"/>
    <s v="Tepung Japanese Tempura 1kg/pack"/>
    <n v="60"/>
    <s v="KG"/>
    <n v="60"/>
    <n v="2177820"/>
    <n v="0"/>
    <s v="Invoice"/>
    <s v="Sudah Jadi FJ"/>
    <s v=""/>
  </r>
  <r>
    <d v="2026-09-22T00:00:00"/>
    <d v="2026-09-21T00:00:00"/>
    <s v="SO-KS/2609/210069"/>
    <s v="MKS Bali"/>
    <x v="44"/>
    <x v="0"/>
    <x v="13"/>
    <s v="020020"/>
    <s v="NESTLE Milo Activ-Go NPro 960Gr/Pack"/>
    <n v="5"/>
    <s v="PACK"/>
    <n v="5"/>
    <n v="577200"/>
    <n v="0"/>
    <s v="Invoice"/>
    <s v="Sudah Jadi FJ"/>
    <s v=""/>
  </r>
  <r>
    <d v="2026-09-22T00:00:00"/>
    <d v="2026-09-21T00:00:00"/>
    <s v="SO-KS/2609/210069"/>
    <s v="MKS Bali"/>
    <x v="44"/>
    <x v="0"/>
    <x v="13"/>
    <s v="060013"/>
    <s v="Nestea Lemon Tea 1kg/Pack"/>
    <n v="17"/>
    <s v="PACK"/>
    <n v="17"/>
    <n v="1198245"/>
    <n v="0"/>
    <s v="Invoice"/>
    <s v="Sudah Jadi FJ"/>
    <s v=""/>
  </r>
  <r>
    <d v="2026-09-22T00:00:00"/>
    <d v="2026-09-21T00:00:00"/>
    <s v="SO-KS/2609/210069"/>
    <s v="MKS Bali"/>
    <x v="44"/>
    <x v="0"/>
    <x v="13"/>
    <s v="060017"/>
    <s v="Nestle Blackcurrant Drink 750gr/Pack"/>
    <n v="2"/>
    <s v="PACK"/>
    <n v="2"/>
    <n v="148740"/>
    <n v="0"/>
    <s v="Invoice"/>
    <s v="Sudah Jadi FJ"/>
    <s v=""/>
  </r>
  <r>
    <d v="2026-09-22T00:00:00"/>
    <d v="2026-09-21T00:00:00"/>
    <s v="SO-KS/2609/210070"/>
    <s v="MKS Bali"/>
    <x v="45"/>
    <x v="0"/>
    <x v="0"/>
    <s v="020020"/>
    <s v="NESTLE Milo Activ-Go NPro 960Gr/Pack"/>
    <n v="480"/>
    <s v="PACK"/>
    <n v="480"/>
    <n v="47879999.689999998"/>
    <n v="0"/>
    <s v="Invoice"/>
    <s v="Sudah Jadi FJ"/>
    <s v=" dikirim ke gudang baru"/>
  </r>
  <r>
    <d v="2026-09-22T00:00:00"/>
    <d v="2026-09-21T00:00:00"/>
    <s v="SO-KS/2609/210071"/>
    <s v="MKS Bali"/>
    <x v="46"/>
    <x v="0"/>
    <x v="13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9-22T00:00:00"/>
    <d v="2026-09-21T00:00:00"/>
    <s v="SO-KS/2609/210072"/>
    <s v="MKS Bali"/>
    <x v="47"/>
    <x v="0"/>
    <x v="12"/>
    <s v="060004"/>
    <s v="Nescafe Cappuccino Caramel Era 500gr/Pack"/>
    <n v="30"/>
    <s v="PACK"/>
    <n v="30"/>
    <n v="1892999.97"/>
    <n v="0"/>
    <s v="Invoice"/>
    <s v="Sudah Jadi FJ"/>
    <s v=""/>
  </r>
  <r>
    <d v="2026-09-22T00:00:00"/>
    <d v="2026-09-21T00:00:00"/>
    <s v="SO-KS/2609/210072"/>
    <s v="MKS Bali"/>
    <x v="47"/>
    <x v="0"/>
    <x v="12"/>
    <s v="020020"/>
    <s v="NESTLE Milo Activ-Go NPro 960Gr/Pack"/>
    <n v="16"/>
    <s v="PACK"/>
    <n v="16"/>
    <n v="1680000.1"/>
    <n v="0"/>
    <s v="Invoice"/>
    <s v="Sudah Jadi FJ"/>
    <s v=""/>
  </r>
  <r>
    <d v="2026-09-22T00:00:00"/>
    <d v="2026-09-21T00:00:00"/>
    <s v="SO-KS/2609/210073"/>
    <s v="MKS Bali"/>
    <x v="48"/>
    <x v="0"/>
    <x v="12"/>
    <s v="060013"/>
    <s v="Nestea Lemon Tea 1kg/Pack"/>
    <n v="24"/>
    <s v="PACK"/>
    <n v="24"/>
    <n v="1691640"/>
    <n v="0"/>
    <s v="Invoice"/>
    <s v="Sudah Jadi FJ"/>
    <s v=""/>
  </r>
  <r>
    <d v="2026-09-22T00:00:00"/>
    <d v="2026-09-21T00:00:00"/>
    <s v="SO-KS/2609/210073"/>
    <s v="MKS Bali"/>
    <x v="48"/>
    <x v="0"/>
    <x v="12"/>
    <s v="060018"/>
    <s v="Nestle Lemonade Original 640gr/Pack"/>
    <n v="24"/>
    <s v="PACK"/>
    <n v="24"/>
    <n v="1425240"/>
    <n v="0"/>
    <s v="Invoice"/>
    <s v="Sudah Jadi FJ"/>
    <s v=""/>
  </r>
  <r>
    <d v="2026-09-22T00:00:00"/>
    <d v="2026-09-21T00:00:00"/>
    <s v="SO-KS/2609/210074"/>
    <s v="MKS Bali"/>
    <x v="49"/>
    <x v="0"/>
    <x v="12"/>
    <s v="060004"/>
    <s v="Nescafe Cappuccino Caramel Era 500gr/Pack"/>
    <n v="30"/>
    <s v="PACK"/>
    <n v="30"/>
    <n v="2064600"/>
    <n v="0"/>
    <s v="Invoice"/>
    <s v="Sudah Jadi FJ"/>
    <s v=""/>
  </r>
  <r>
    <d v="2026-09-22T00:00:00"/>
    <d v="2026-09-21T00:00:00"/>
    <s v="SO-KS/2609/210075"/>
    <s v="MKS Bali"/>
    <x v="50"/>
    <x v="0"/>
    <x v="12"/>
    <s v="020020"/>
    <s v="NESTLE Milo Activ-Go NPro 960Gr/Pack"/>
    <n v="8"/>
    <s v="PACK"/>
    <n v="8"/>
    <n v="840000.05"/>
    <n v="0"/>
    <s v="Invoice"/>
    <s v="Sudah Jadi FJ"/>
    <s v=""/>
  </r>
  <r>
    <d v="2026-09-22T00:00:00"/>
    <d v="2026-09-21T00:00:00"/>
    <s v="SO-KS/2609/210075"/>
    <s v="MKS Bali"/>
    <x v="50"/>
    <x v="0"/>
    <x v="12"/>
    <s v="060004"/>
    <s v="Nescafe Cappuccino Caramel Era 500gr/Pack"/>
    <n v="3"/>
    <s v="PACK"/>
    <n v="3"/>
    <n v="189300"/>
    <n v="0"/>
    <s v="Invoice"/>
    <s v="Sudah Jadi FJ"/>
    <s v=""/>
  </r>
  <r>
    <d v="2026-09-22T00:00:00"/>
    <d v="2026-09-21T00:00:00"/>
    <s v="SO-KS/2609/210075"/>
    <s v="MKS Bali"/>
    <x v="50"/>
    <x v="0"/>
    <x v="12"/>
    <s v="060007"/>
    <s v="Nescafe Classic Vending 120gr/Pack"/>
    <n v="3"/>
    <s v="PACK"/>
    <n v="3"/>
    <n v="161999.99"/>
    <n v="0"/>
    <s v="Invoice"/>
    <s v="Sudah Jadi FJ"/>
    <s v=""/>
  </r>
  <r>
    <d v="2026-09-22T00:00:00"/>
    <d v="2026-09-21T00:00:00"/>
    <s v="SO-KS/2609/210075"/>
    <s v="MKS Bali"/>
    <x v="50"/>
    <x v="0"/>
    <x v="12"/>
    <s v="060013"/>
    <s v="Nestea Lemon Tea 1kg/Pack"/>
    <n v="3"/>
    <s v="PACK"/>
    <n v="3"/>
    <n v="192600.01"/>
    <n v="0"/>
    <s v="Invoice"/>
    <s v="Sudah Jadi FJ"/>
    <s v=""/>
  </r>
  <r>
    <d v="2026-09-22T00:00:00"/>
    <d v="2026-09-21T00:00:00"/>
    <s v="SO-KS/2609/210075"/>
    <s v="MKS Bali"/>
    <x v="50"/>
    <x v="0"/>
    <x v="12"/>
    <s v="060017"/>
    <s v="Nestle Blackcurrant Drink 750gr/Pack"/>
    <n v="3"/>
    <s v="PACK"/>
    <n v="3"/>
    <n v="204300"/>
    <n v="0"/>
    <s v="Invoice"/>
    <s v="Sudah Jadi FJ"/>
    <s v=""/>
  </r>
  <r>
    <d v="2026-09-22T00:00:00"/>
    <d v="2026-09-21T00:00:00"/>
    <s v="SO-KS/2609/210075"/>
    <s v="MKS Bali"/>
    <x v="50"/>
    <x v="0"/>
    <x v="12"/>
    <s v="060019"/>
    <s v="Nestle Orange Pouch NP 560gr/Pack"/>
    <n v="1"/>
    <s v="PACK"/>
    <n v="1"/>
    <n v="54100"/>
    <n v="0"/>
    <s v="Invoice"/>
    <s v="Sudah Jadi FJ"/>
    <s v=""/>
  </r>
  <r>
    <d v="2026-09-22T00:00:00"/>
    <d v="2026-09-21T00:00:00"/>
    <s v="SO-KS/2609/210076"/>
    <s v="MKS Bali"/>
    <x v="51"/>
    <x v="0"/>
    <x v="6"/>
    <s v="SFM007"/>
    <s v="Tepung Double Zero @25Kg/Sack"/>
    <n v="5"/>
    <s v="SACK"/>
    <n v="5"/>
    <n v="1530000"/>
    <n v="0"/>
    <s v="Invoice"/>
    <s v="Sudah Jadi FJ"/>
    <s v=""/>
  </r>
  <r>
    <d v="2026-09-22T00:00:00"/>
    <d v="2026-09-21T00:00:00"/>
    <s v="SO-KS/2609/210077"/>
    <s v="MKS Bali"/>
    <x v="52"/>
    <x v="0"/>
    <x v="8"/>
    <s v="SFM007"/>
    <s v="Tepung Double Zero @25Kg/Sack"/>
    <n v="1"/>
    <s v="SACK"/>
    <n v="1"/>
    <n v="285000"/>
    <n v="0"/>
    <s v="Invoice"/>
    <s v="Sudah Jadi FJ"/>
    <s v=""/>
  </r>
  <r>
    <d v="2026-09-22T00:00:00"/>
    <d v="2026-09-21T00:00:00"/>
    <s v="SO-KS/2609/210077"/>
    <s v="MKS Bali"/>
    <x v="52"/>
    <x v="0"/>
    <x v="8"/>
    <s v="120007"/>
    <s v="Tepung Double Zero 1kg/pack"/>
    <n v="1"/>
    <s v="KG"/>
    <n v="1"/>
    <n v="16650"/>
    <n v="0"/>
    <s v="Invoice"/>
    <s v="Sudah Jadi FJ"/>
    <s v=""/>
  </r>
  <r>
    <d v="2026-09-22T00:00:00"/>
    <d v="2026-09-21T00:00:00"/>
    <s v="SO-KS/2609/210078"/>
    <s v="MKS Bali"/>
    <x v="53"/>
    <x v="0"/>
    <x v="4"/>
    <s v="SFM007"/>
    <s v="Tepung Double Zero @25Kg/Sack"/>
    <n v="1"/>
    <s v="SACK"/>
    <n v="1"/>
    <n v="327450"/>
    <n v="0"/>
    <s v="Invoice"/>
    <s v="Sudah Jadi FJ"/>
    <s v="dikirim besok ke umalas sandwichcooedia"/>
  </r>
  <r>
    <d v="2026-09-22T00:00:00"/>
    <d v="2026-09-21T00:00:00"/>
    <s v="SO-KS/2609/210079"/>
    <s v="MKS Bali"/>
    <x v="54"/>
    <x v="0"/>
    <x v="3"/>
    <s v="SFM007"/>
    <s v="Tepung Double Zero @25Kg/Sack"/>
    <n v="5"/>
    <s v="SACK"/>
    <n v="5"/>
    <n v="1475000"/>
    <n v="0"/>
    <s v="Invoice"/>
    <s v="Sudah Jadi FJ"/>
    <s v=""/>
  </r>
  <r>
    <d v="2026-09-22T00:00:00"/>
    <d v="2026-09-21T00:00:00"/>
    <s v="SO-KS/2609/210082"/>
    <s v="MKS Bali"/>
    <x v="55"/>
    <x v="1"/>
    <x v="2"/>
    <s v="PPA0221"/>
    <s v="EMBORG Whipping Cream 1 Ltr"/>
    <n v="12"/>
    <s v="PCS"/>
    <n v="12"/>
    <n v="1176000.02"/>
    <n v="0"/>
    <s v="Invoice"/>
    <s v="Sudah Jadi FJ"/>
    <s v=""/>
  </r>
  <r>
    <d v="2026-09-22T00:00:00"/>
    <d v="2026-09-21T00:00:00"/>
    <s v="SO-KS/2609/210086"/>
    <s v="MKS Bali"/>
    <x v="56"/>
    <x v="1"/>
    <x v="10"/>
    <s v="120006"/>
    <s v="Tepung Crispy Ala Kentucky 1kg/pack"/>
    <n v="10"/>
    <s v="KG"/>
    <n v="10"/>
    <n v="327450"/>
    <n v="0"/>
    <s v="Invoice"/>
    <s v="Sudah Jadi FJ"/>
    <s v=""/>
  </r>
  <r>
    <d v="2026-09-22T00:00:00"/>
    <d v="2026-09-21T00:00:00"/>
    <s v="SO-KS/2609/210087"/>
    <s v="MKS Bali"/>
    <x v="57"/>
    <x v="0"/>
    <x v="7"/>
    <s v="SFM007"/>
    <s v="Tepung Double Zero @25Kg/Sack"/>
    <n v="10"/>
    <s v="SACK"/>
    <n v="10"/>
    <n v="2749999.99"/>
    <n v="0"/>
    <s v="Invoice"/>
    <s v="Sudah Jadi FJ"/>
    <s v=""/>
  </r>
  <r>
    <d v="2026-09-22T00:00:00"/>
    <d v="2026-09-21T00:00:00"/>
    <s v="SO-KS/2609/210088"/>
    <s v="MKS Bali"/>
    <x v="58"/>
    <x v="0"/>
    <x v="7"/>
    <s v="PSF0014"/>
    <s v="Tepung 00 Fusion @25Kg"/>
    <n v="6"/>
    <s v="SACK"/>
    <n v="6"/>
    <n v="1800000"/>
    <n v="0"/>
    <s v="Invoice"/>
    <s v="Sudah Jadi FJ"/>
    <s v=""/>
  </r>
  <r>
    <d v="2026-09-22T00:00:00"/>
    <d v="2026-09-21T00:00:00"/>
    <s v="SO-KS/2609/210090"/>
    <s v="MKS Bali"/>
    <x v="58"/>
    <x v="0"/>
    <x v="7"/>
    <s v="PSF0027"/>
    <s v="Tepung Yokozuna Fusion 5Kg"/>
    <n v="4"/>
    <s v="BAG"/>
    <n v="4"/>
    <n v="368000"/>
    <n v="0"/>
    <s v="Invoice"/>
    <s v="Sudah Jadi FJ"/>
    <s v=""/>
  </r>
  <r>
    <d v="2026-09-22T00:00:00"/>
    <d v="2026-09-21T00:00:00"/>
    <s v="SO-KS/2609/210091"/>
    <s v="MKS Bali"/>
    <x v="59"/>
    <x v="0"/>
    <x v="2"/>
    <s v="120006"/>
    <s v="Tepung Crispy Ala Kentucky 1kg/pack"/>
    <n v="50"/>
    <s v="KG"/>
    <n v="50"/>
    <n v="1500000.17"/>
    <n v="0"/>
    <s v="Invoice"/>
    <s v="Sudah Jadi FJ"/>
    <s v=" KIRIM KINTAMANI"/>
  </r>
  <r>
    <d v="2026-09-22T00:00:00"/>
    <d v="2026-09-21T00:00:00"/>
    <s v="SO-KS/2609/210092"/>
    <s v="MKS Bali"/>
    <x v="60"/>
    <x v="1"/>
    <x v="7"/>
    <s v="080241"/>
    <s v="THE ALTERNATIVE Barista Almond Milk 1 Lt"/>
    <n v="48"/>
    <s v="PCS"/>
    <n v="48"/>
    <n v="2424240"/>
    <n v="0"/>
    <s v="Invoice"/>
    <s v="Sudah Jadi FJ"/>
    <s v=""/>
  </r>
  <r>
    <d v="2026-09-22T00:00:00"/>
    <d v="2026-09-21T00:00:00"/>
    <s v="SO-KS/2609/210093"/>
    <s v="MKS Bali"/>
    <x v="61"/>
    <x v="0"/>
    <x v="7"/>
    <s v="PPA0092"/>
    <s v="Emborg Pizza Topping 2.3 Kg"/>
    <n v="50"/>
    <s v="KG"/>
    <n v="50.6"/>
    <n v="5059999.99"/>
    <n v="0.6"/>
    <s v="Invoice"/>
    <s v="Sudah Jadi FJ"/>
    <s v=" kitchen vip"/>
  </r>
  <r>
    <d v="2026-09-22T00:00:00"/>
    <d v="2026-09-21T00:00:00"/>
    <s v="SO-KS/2609/210094"/>
    <s v="MKS Bali"/>
    <x v="62"/>
    <x v="0"/>
    <x v="4"/>
    <s v="120015"/>
    <s v="Tepung Japanese Tempura 1kg/pack"/>
    <n v="10"/>
    <s v="KG"/>
    <n v="10"/>
    <n v="362970"/>
    <n v="0"/>
    <s v="Invoice"/>
    <s v="Sudah Jadi FJ"/>
    <s v="kirim ke Daeng burger toyaning jl toyaning 2 no 22 ungasan,  pengorderan sebelumnya atas nama daeng burger toyaning"/>
  </r>
  <r>
    <d v="2026-09-22T00:00:00"/>
    <d v="2026-09-21T00:00:00"/>
    <s v="SO-KS/2609/210095"/>
    <s v="MKS Bali"/>
    <x v="63"/>
    <x v="0"/>
    <x v="1"/>
    <s v="SFM007"/>
    <s v="Tepung Double Zero @25Kg/Sack"/>
    <n v="3"/>
    <s v="SACK"/>
    <n v="3"/>
    <n v="810000.02"/>
    <n v="0"/>
    <s v="Invoice"/>
    <s v="Sudah Jadi FJ"/>
    <s v=""/>
  </r>
  <r>
    <d v="2026-09-22T00:00:00"/>
    <d v="2026-09-21T00:00:00"/>
    <s v="SO-KS/2609/210096"/>
    <s v="MKS Bali"/>
    <x v="64"/>
    <x v="0"/>
    <x v="14"/>
    <s v="060007"/>
    <s v="Nescafe Classic Vending 120gr/Pack"/>
    <n v="48"/>
    <s v="PACK"/>
    <n v="48"/>
    <n v="2591999.96"/>
    <n v="0"/>
    <s v="Invoice"/>
    <s v="Sudah Jadi FJ"/>
    <s v="Dikirim ke Rocky Cargo Sanur"/>
  </r>
  <r>
    <d v="2026-09-22T00:00:00"/>
    <d v="2026-09-21T00:00:00"/>
    <s v="SO-KS/2609/210097"/>
    <s v="MKS Bali"/>
    <x v="59"/>
    <x v="0"/>
    <x v="12"/>
    <s v="060019"/>
    <s v="Nestle Orange Pouch NP 560gr/Pack"/>
    <n v="20"/>
    <s v="PACK"/>
    <n v="20"/>
    <n v="1187700"/>
    <n v="0"/>
    <s v="Invoice"/>
    <s v="Sudah Jadi FJ"/>
    <s v="Dikirim jalur Kintamani"/>
  </r>
  <r>
    <d v="2026-09-22T00:00:00"/>
    <d v="2026-09-21T00:00:00"/>
    <s v="SO-KS/2609/210098"/>
    <s v="MKS Bali"/>
    <x v="65"/>
    <x v="0"/>
    <x v="4"/>
    <s v="PLM0092"/>
    <s v="Martelli Prosciutto Di Parma"/>
    <n v="7"/>
    <s v="KG"/>
    <n v="5.88"/>
    <n v="3822000"/>
    <n v="-1.1200000000000001"/>
    <s v="Invoice"/>
    <s v="Sudah Jadi FJ"/>
    <s v="1 loaf. kirim ke canggu"/>
  </r>
  <r>
    <d v="2026-09-22T00:00:00"/>
    <d v="2026-09-21T00:00:00"/>
    <s v="SO-KS/2609/210099"/>
    <s v="MKS Bali"/>
    <x v="66"/>
    <x v="1"/>
    <x v="4"/>
    <s v="PKA0010"/>
    <s v="EQUAL Classic 100 Pcs/Pack"/>
    <n v="2"/>
    <s v="PACK"/>
    <n v="2"/>
    <n v="64000"/>
    <n v="0"/>
    <s v="Invoice"/>
    <s v="Sudah Jadi FJ"/>
    <s v=""/>
  </r>
  <r>
    <d v="2026-09-22T00:00:00"/>
    <d v="2026-09-21T00:00:00"/>
    <s v="SO-KS/2609/210100"/>
    <s v="MKS Bali"/>
    <x v="64"/>
    <x v="0"/>
    <x v="15"/>
    <s v="020054"/>
    <s v="POLARIS Soda Water 330 Ml"/>
    <n v="360"/>
    <s v="CAN"/>
    <n v="360"/>
    <n v="1598400"/>
    <n v="0"/>
    <s v="Invoice"/>
    <s v="Sudah Jadi FJ"/>
    <s v=""/>
  </r>
  <r>
    <d v="2026-09-22T00:00:00"/>
    <d v="2026-09-21T00:00:00"/>
    <s v="SO-KS/2609/210101"/>
    <s v="MKS Bali"/>
    <x v="67"/>
    <x v="1"/>
    <x v="4"/>
    <s v="080239"/>
    <s v="THE ALTERNATIVE Barista Soy Milk 1 Lt"/>
    <n v="12"/>
    <s v="PCS"/>
    <n v="12"/>
    <n v="539460"/>
    <n v="0"/>
    <s v="Invoice"/>
    <s v="Sudah Jadi FJ"/>
    <s v=""/>
  </r>
  <r>
    <d v="2026-09-22T00:00:00"/>
    <d v="2026-09-21T00:00:00"/>
    <s v="SO-KS/2609/210101"/>
    <s v="MKS Bali"/>
    <x v="67"/>
    <x v="1"/>
    <x v="4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102"/>
    <s v="MKS Bali"/>
    <x v="68"/>
    <x v="1"/>
    <x v="7"/>
    <s v="080241"/>
    <s v="THE ALTERNATIVE Barista Almond Milk 1 Lt"/>
    <n v="4"/>
    <s v="PCS"/>
    <n v="4"/>
    <n v="202020"/>
    <n v="0"/>
    <s v="Invoice"/>
    <s v="Sudah Jadi FJ"/>
    <s v=""/>
  </r>
  <r>
    <d v="2026-09-22T00:00:00"/>
    <d v="2026-09-21T00:00:00"/>
    <s v="SO-KS/2609/210103"/>
    <s v="MKS Bali"/>
    <x v="69"/>
    <x v="0"/>
    <x v="0"/>
    <s v="060019"/>
    <s v="Nestle Orange Pouch NP 560gr/Pack"/>
    <n v="12"/>
    <s v="PACK"/>
    <n v="12"/>
    <n v="649200.02"/>
    <n v="0"/>
    <s v="Invoice"/>
    <s v="Sudah Jadi FJ"/>
    <s v=""/>
  </r>
  <r>
    <d v="2026-09-22T00:00:00"/>
    <d v="2026-09-21T00:00:00"/>
    <s v="SO-KS/2609/210104"/>
    <s v="MKS Bali"/>
    <x v="69"/>
    <x v="0"/>
    <x v="0"/>
    <s v="060018"/>
    <s v="Nestle Lemonade Original 640gr/Pack"/>
    <n v="12"/>
    <s v="PACK"/>
    <n v="12"/>
    <n v="649200.02"/>
    <n v="0"/>
    <s v="Invoice"/>
    <s v="Sudah Jadi FJ"/>
    <s v=""/>
  </r>
  <r>
    <d v="2026-09-22T00:00:00"/>
    <d v="2026-09-21T00:00:00"/>
    <s v="SO-KS/2609/210104"/>
    <s v="MKS Bali"/>
    <x v="69"/>
    <x v="0"/>
    <x v="0"/>
    <s v="060013"/>
    <s v="Nestea Lemon Tea 1kg/Pack"/>
    <n v="12"/>
    <s v="PACK"/>
    <n v="12"/>
    <n v="770400.03"/>
    <n v="0"/>
    <s v="Invoice"/>
    <s v="Sudah Jadi FJ"/>
    <s v=""/>
  </r>
  <r>
    <d v="2026-09-22T00:00:00"/>
    <d v="2026-09-21T00:00:00"/>
    <s v="SO-KS/2609/210105"/>
    <s v="MKS Bali"/>
    <x v="64"/>
    <x v="0"/>
    <x v="15"/>
    <s v="SFM052"/>
    <s v="Inofa Heat Treated Wheat Flour SF 346 @25kg/sack"/>
    <n v="3"/>
    <s v="SACK"/>
    <n v="3"/>
    <n v="1680000"/>
    <n v="0"/>
    <s v="Invoice"/>
    <s v="Sudah Jadi FJ"/>
    <s v="di kirim besok _x000a_Rocky cargo Sanur"/>
  </r>
  <r>
    <d v="2026-09-22T00:00:00"/>
    <d v="2026-09-21T00:00:00"/>
    <s v="SO-KS/2609/210105"/>
    <s v="MKS Bali"/>
    <x v="64"/>
    <x v="0"/>
    <x v="15"/>
    <s v="080241"/>
    <s v="THE ALTERNATIVE Barista Almond Milk 1 Lt"/>
    <n v="48"/>
    <s v="PCS"/>
    <n v="48"/>
    <n v="2424240"/>
    <n v="0"/>
    <s v="Invoice"/>
    <s v="Sudah Jadi FJ"/>
    <s v="di kirim besok _x000a_Rocky cargo Sanur"/>
  </r>
  <r>
    <d v="2026-09-22T00:00:00"/>
    <d v="2026-09-21T00:00:00"/>
    <s v="SO-KS/2609/210106"/>
    <s v="MKS Bali"/>
    <x v="64"/>
    <x v="0"/>
    <x v="15"/>
    <s v="PPA0142"/>
    <s v="EMBORG Brie Cheese 125 Gr"/>
    <n v="12"/>
    <s v="PCS"/>
    <n v="12"/>
    <n v="849600.08"/>
    <n v="0"/>
    <s v="Invoice"/>
    <s v="Sudah Jadi FJ"/>
    <s v="di kirim besok _x000a_Rocky cargo Sanur"/>
  </r>
  <r>
    <d v="2026-09-22T00:00:00"/>
    <d v="2026-09-21T00:00:00"/>
    <s v="SO-KS/2609/210106"/>
    <s v="MKS Bali"/>
    <x v="64"/>
    <x v="0"/>
    <x v="15"/>
    <s v="PSJ0011"/>
    <s v="Chuck Tenderloin Whole"/>
    <n v="25"/>
    <s v="KG"/>
    <n v="25.27"/>
    <n v="3259830"/>
    <n v="0.27"/>
    <s v="Invoice"/>
    <s v="Sudah Jadi FJ"/>
    <s v="di kirim besok _x000a_Rocky cargo Sanur"/>
  </r>
  <r>
    <d v="2026-09-22T00:00:00"/>
    <d v="2026-09-21T00:00:00"/>
    <s v="SO-KS/2609/210107"/>
    <s v="MKS Bali"/>
    <x v="69"/>
    <x v="0"/>
    <x v="5"/>
    <s v="120015"/>
    <s v="Tepung Japanese Tempura 1kg/pack"/>
    <n v="20"/>
    <s v="KG"/>
    <n v="20"/>
    <n v="725940"/>
    <n v="0"/>
    <s v="Invoice"/>
    <s v="Sudah Jadi FJ"/>
    <s v=""/>
  </r>
  <r>
    <d v="2026-09-22T00:00:00"/>
    <d v="2026-09-21T00:00:00"/>
    <s v="SO-KS/2609/210109"/>
    <s v="MKS Bali"/>
    <x v="70"/>
    <x v="1"/>
    <x v="6"/>
    <s v="SFM007"/>
    <s v="Tepung Double Zero @25Kg/Sack"/>
    <n v="2"/>
    <s v="SACK"/>
    <n v="2"/>
    <n v="620000"/>
    <n v="0"/>
    <s v="Invoice"/>
    <s v="Sudah Jadi FJ"/>
    <s v=""/>
  </r>
  <r>
    <d v="2026-09-22T00:00:00"/>
    <d v="2026-09-21T00:00:00"/>
    <s v="SO-KS/2609/210110"/>
    <s v="MKS Bali"/>
    <x v="71"/>
    <x v="1"/>
    <x v="4"/>
    <s v="PPA0018"/>
    <s v="Emborg Cream Cheese 1.5Kg"/>
    <n v="2"/>
    <s v="PCS"/>
    <n v="2"/>
    <n v="449550"/>
    <n v="0"/>
    <s v="Invoice"/>
    <s v="Sudah Jadi FJ"/>
    <s v=""/>
  </r>
  <r>
    <d v="2026-09-22T00:00:00"/>
    <d v="2026-09-21T00:00:00"/>
    <s v="SO-KS/2609/210111"/>
    <s v="MKS Bali"/>
    <x v="72"/>
    <x v="0"/>
    <x v="0"/>
    <s v="060015"/>
    <s v="Nestea Lychee Tea Npro 560gr/Pack"/>
    <n v="12"/>
    <s v="PACK"/>
    <n v="12"/>
    <n v="613200.05000000005"/>
    <n v="0"/>
    <s v="Invoice"/>
    <s v="Sudah Jadi FJ"/>
    <s v=""/>
  </r>
  <r>
    <d v="2026-09-22T00:00:00"/>
    <d v="2026-09-21T00:00:00"/>
    <s v="SO-KS/2609/210112"/>
    <s v="MKS Bali"/>
    <x v="73"/>
    <x v="0"/>
    <x v="7"/>
    <s v="SFM007"/>
    <s v="Tepung Double Zero @25Kg/Sack"/>
    <n v="2"/>
    <s v="SACK"/>
    <n v="2"/>
    <n v="630000"/>
    <n v="0"/>
    <s v="Invoice"/>
    <s v="Sudah Jadi FJ"/>
    <s v=""/>
  </r>
  <r>
    <d v="2026-09-22T00:00:00"/>
    <d v="2026-09-21T00:00:00"/>
    <s v="SO-KS/2609/210112"/>
    <s v="MKS Bali"/>
    <x v="73"/>
    <x v="0"/>
    <x v="7"/>
    <s v="SFM018"/>
    <s v="Tepung Ninja @25Kg/Sack"/>
    <n v="1"/>
    <s v="SACK"/>
    <n v="1"/>
    <n v="315000"/>
    <n v="0"/>
    <s v="Invoice"/>
    <s v="Sudah Jadi FJ"/>
    <s v=""/>
  </r>
  <r>
    <d v="2026-09-22T00:00:00"/>
    <d v="2026-09-21T00:00:00"/>
    <s v="SO-KS/2609/210113"/>
    <s v="MKS Bali"/>
    <x v="74"/>
    <x v="0"/>
    <x v="11"/>
    <s v="SFM009"/>
    <s v="Tepung Hime @25Kg/Sack"/>
    <n v="5"/>
    <s v="SACK"/>
    <n v="5"/>
    <n v="1776000"/>
    <n v="0"/>
    <s v="Invoice"/>
    <s v="Sudah Jadi FJ"/>
    <s v=""/>
  </r>
  <r>
    <d v="2026-09-22T00:00:00"/>
    <d v="2026-09-21T00:00:00"/>
    <s v="SO-KS/2609/210114"/>
    <s v="MKS Bali"/>
    <x v="75"/>
    <x v="0"/>
    <x v="9"/>
    <s v="SFM007"/>
    <s v="Tepung Double Zero @25Kg/Sack"/>
    <n v="3"/>
    <s v="SACK"/>
    <n v="3"/>
    <n v="912000"/>
    <n v="0"/>
    <s v="Invoice"/>
    <s v="Sudah Jadi FJ"/>
    <s v=""/>
  </r>
  <r>
    <d v="2026-09-22T00:00:00"/>
    <d v="2026-09-21T00:00:00"/>
    <s v="SO-KS/2609/210115"/>
    <s v="MKS Bali"/>
    <x v="75"/>
    <x v="0"/>
    <x v="9"/>
    <s v="PSJ0011"/>
    <s v="Chuck Tenderloin Whole"/>
    <n v="10"/>
    <s v="KG"/>
    <n v="9.7100000000000009"/>
    <n v="1456500"/>
    <n v="-0.28999999999999998"/>
    <s v="Invoice"/>
    <s v="Sudah Jadi FJ"/>
    <s v=""/>
  </r>
  <r>
    <d v="2026-09-22T00:00:00"/>
    <d v="2026-09-21T00:00:00"/>
    <s v="SO-KS/2609/210116"/>
    <s v="MKS Bali"/>
    <x v="76"/>
    <x v="0"/>
    <x v="8"/>
    <s v="SFM018"/>
    <s v="Tepung Ninja @25Kg/Sack"/>
    <n v="5"/>
    <s v="SACK"/>
    <n v="5"/>
    <n v="1370000"/>
    <n v="0"/>
    <s v="Invoice"/>
    <s v="Sudah Jadi FJ"/>
    <s v=""/>
  </r>
  <r>
    <d v="2026-09-22T00:00:00"/>
    <d v="2026-09-21T00:00:00"/>
    <s v="SO-KS/2609/210117"/>
    <s v="MKS Bali"/>
    <x v="77"/>
    <x v="1"/>
    <x v="5"/>
    <s v="PSF0014"/>
    <s v="Tepung 00 Fusion @25Kg"/>
    <n v="2"/>
    <s v="SACK"/>
    <n v="2"/>
    <n v="552000"/>
    <n v="0"/>
    <s v="Invoice"/>
    <s v="Sudah Jadi FJ"/>
    <s v="Pembayaran cash"/>
  </r>
  <r>
    <d v="2026-09-22T00:00:00"/>
    <d v="2026-09-21T00:00:00"/>
    <s v="SO-KS/2609/210117"/>
    <s v="MKS Bali"/>
    <x v="77"/>
    <x v="1"/>
    <x v="5"/>
    <s v="120010"/>
    <s v="Tepung Easymix Pancake @1kg/pack"/>
    <n v="3"/>
    <s v="KG"/>
    <n v="3"/>
    <n v="123000.01"/>
    <n v="0"/>
    <s v="Invoice"/>
    <s v="Sudah Jadi FJ"/>
    <s v="Pembayaran cash"/>
  </r>
  <r>
    <d v="2026-09-22T00:00:00"/>
    <d v="2026-09-21T00:00:00"/>
    <s v="SO-KS/2609/210118"/>
    <s v="MKS Bali"/>
    <x v="78"/>
    <x v="0"/>
    <x v="5"/>
    <s v="120006"/>
    <s v="Tepung Crispy Ala Kentucky 1kg/pack"/>
    <n v="30"/>
    <s v="KG"/>
    <n v="30"/>
    <n v="900000.1"/>
    <n v="0"/>
    <s v="Invoice"/>
    <s v="Sudah Jadi FJ"/>
    <s v="INTER"/>
  </r>
  <r>
    <d v="2026-09-22T00:00:00"/>
    <d v="2026-09-21T00:00:00"/>
    <s v="SO-KS/2609/210119"/>
    <s v="MKS Bali"/>
    <x v="79"/>
    <x v="0"/>
    <x v="3"/>
    <s v="SFM009"/>
    <s v="Tepung Hime @25Kg/Sack"/>
    <n v="15"/>
    <s v="SACK"/>
    <n v="15"/>
    <n v="4350000"/>
    <n v="0"/>
    <s v="Invoice"/>
    <s v="Sudah Jadi FJ"/>
    <s v=""/>
  </r>
  <r>
    <d v="2026-09-22T00:00:00"/>
    <d v="2026-09-21T00:00:00"/>
    <s v="SO-KS/2609/210120"/>
    <s v="MKS Bali"/>
    <x v="80"/>
    <x v="0"/>
    <x v="0"/>
    <s v="060013"/>
    <s v="Nestea Lemon Tea 1kg/Pack"/>
    <n v="24"/>
    <s v="PACK"/>
    <n v="24"/>
    <n v="1540800.06"/>
    <n v="0"/>
    <s v="Invoice"/>
    <s v="Sudah Jadi FJ"/>
    <s v=""/>
  </r>
  <r>
    <d v="2026-09-22T00:00:00"/>
    <d v="2026-09-21T00:00:00"/>
    <s v="SO-KS/2609/210120"/>
    <s v="MKS Bali"/>
    <x v="80"/>
    <x v="0"/>
    <x v="0"/>
    <s v="060017"/>
    <s v="Nestle Blackcurrant Drink 750gr/Pack"/>
    <n v="16"/>
    <s v="PACK"/>
    <n v="16"/>
    <n v="1089599.97"/>
    <n v="0"/>
    <s v="Invoice"/>
    <s v="Sudah Jadi FJ"/>
    <s v=""/>
  </r>
  <r>
    <d v="2026-09-22T00:00:00"/>
    <d v="2026-09-21T00:00:00"/>
    <s v="SO-KS/2609/210121"/>
    <s v="MKS Bali"/>
    <x v="61"/>
    <x v="0"/>
    <x v="7"/>
    <s v="PPA0092"/>
    <s v="Emborg Pizza Topping 2.3 Kg"/>
    <n v="80"/>
    <s v="KG"/>
    <n v="80.5"/>
    <n v="8050000"/>
    <n v="0.5"/>
    <s v="Invoice"/>
    <s v="Sudah Jadi FJ"/>
    <s v=" kitchen asian"/>
  </r>
  <r>
    <d v="2026-09-22T00:00:00"/>
    <d v="2026-09-21T00:00:00"/>
    <s v="SO-KS/2609/210121"/>
    <s v="MKS Bali"/>
    <x v="61"/>
    <x v="0"/>
    <x v="7"/>
    <s v="PSJ0275"/>
    <s v="Pickled Gherkins (2kg/pack)"/>
    <n v="1"/>
    <s v="PACK"/>
    <n v="1"/>
    <n v="115000"/>
    <n v="0"/>
    <s v="Invoice"/>
    <s v="Sudah Jadi FJ"/>
    <s v=" kitchen asian"/>
  </r>
  <r>
    <d v="2026-09-22T00:00:00"/>
    <d v="2026-09-21T00:00:00"/>
    <s v="SO-KS/2609/210122"/>
    <s v="MKS Bali"/>
    <x v="81"/>
    <x v="0"/>
    <x v="4"/>
    <s v="SFM007"/>
    <s v="Tepung Double Zero @25Kg/Sack"/>
    <n v="2"/>
    <s v="SACK"/>
    <n v="2"/>
    <n v="580000"/>
    <n v="0"/>
    <s v="Invoice"/>
    <s v="Sudah Jadi FJ"/>
    <s v=" to jalan tegal cupek II no 15_x000a_"/>
  </r>
  <r>
    <d v="2026-09-22T00:00:00"/>
    <d v="2026-09-21T00:00:00"/>
    <s v="SO-KS/2609/210122"/>
    <s v="MKS Bali"/>
    <x v="81"/>
    <x v="0"/>
    <x v="4"/>
    <s v="SFM009"/>
    <s v="Tepung Hime @25Kg/Sack"/>
    <n v="1"/>
    <s v="SACK"/>
    <n v="1"/>
    <n v="310000"/>
    <n v="0"/>
    <s v="Invoice"/>
    <s v="Sudah Jadi FJ"/>
    <s v=" to jalan tegal cupek II no 15_x000a_"/>
  </r>
  <r>
    <d v="2026-09-22T00:00:00"/>
    <d v="2026-09-21T00:00:00"/>
    <s v="SO-KS/2609/210123"/>
    <s v="MKS Bali"/>
    <x v="61"/>
    <x v="0"/>
    <x v="7"/>
    <s v="SFM007"/>
    <s v="Tepung Double Zero @25Kg/Sack"/>
    <n v="3"/>
    <s v="SACK"/>
    <n v="3"/>
    <n v="822000.01"/>
    <n v="0"/>
    <s v="Invoice"/>
    <s v="Sudah Jadi FJ"/>
    <s v="kitchen fbc"/>
  </r>
  <r>
    <d v="2026-09-22T00:00:00"/>
    <d v="2026-09-21T00:00:00"/>
    <s v="SO-KS/2609/210123"/>
    <s v="MKS Bali"/>
    <x v="61"/>
    <x v="0"/>
    <x v="7"/>
    <s v="SFM009"/>
    <s v="Tepung Hime @25Kg/Sack"/>
    <n v="1"/>
    <s v="SACK"/>
    <n v="1"/>
    <n v="278000.01"/>
    <n v="0"/>
    <s v="Invoice"/>
    <s v="Sudah Jadi FJ"/>
    <s v="kitchen fbc"/>
  </r>
  <r>
    <d v="2026-09-22T00:00:00"/>
    <d v="2026-09-21T00:00:00"/>
    <s v="SO-KS/2609/210124"/>
    <s v="MKS Bali"/>
    <x v="82"/>
    <x v="1"/>
    <x v="3"/>
    <s v="SFM007"/>
    <s v="Tepung Double Zero @25Kg/Sack"/>
    <n v="2"/>
    <s v="SACK"/>
    <n v="2"/>
    <n v="560000"/>
    <n v="0"/>
    <s v="Invoice"/>
    <s v="Sudah Jadi FJ"/>
    <s v=""/>
  </r>
  <r>
    <d v="2026-09-22T00:00:00"/>
    <d v="2026-09-21T00:00:00"/>
    <s v="SO-KS/2609/210125"/>
    <s v="MKS Bali"/>
    <x v="83"/>
    <x v="0"/>
    <x v="9"/>
    <s v="PSJ0024"/>
    <s v="Halal Minced Beef 1Kg/Pack"/>
    <n v="2"/>
    <s v="KG"/>
    <n v="2"/>
    <n v="250000"/>
    <n v="0"/>
    <s v="Invoice"/>
    <s v="Sudah Jadi FJ"/>
    <s v=""/>
  </r>
  <r>
    <d v="2026-09-22T00:00:00"/>
    <d v="2026-09-21T00:00:00"/>
    <s v="SO-KS/2609/210126"/>
    <s v="MKS Bali"/>
    <x v="84"/>
    <x v="0"/>
    <x v="3"/>
    <s v="SFM007"/>
    <s v="Tepung Double Zero @25Kg/Sack"/>
    <n v="1"/>
    <s v="SACK"/>
    <n v="1"/>
    <n v="300000.01"/>
    <n v="0"/>
    <s v="Invoice"/>
    <s v="Sudah Jadi FJ"/>
    <s v=""/>
  </r>
  <r>
    <d v="2026-09-22T00:00:00"/>
    <d v="2026-09-21T00:00:00"/>
    <s v="SO-KS/2609/210127"/>
    <s v="MKS Bali"/>
    <x v="68"/>
    <x v="1"/>
    <x v="7"/>
    <s v="120010"/>
    <s v="Tepung Easymix Pancake @1kg/pack"/>
    <n v="6"/>
    <s v="KG"/>
    <n v="6"/>
    <n v="256410"/>
    <n v="0"/>
    <s v="Invoice"/>
    <s v="Sudah Jadi FJ"/>
    <s v=""/>
  </r>
  <r>
    <d v="2026-09-22T00:00:00"/>
    <d v="2026-09-21T00:00:00"/>
    <s v="SO-KS/2609/210128"/>
    <s v="MKS Bali"/>
    <x v="85"/>
    <x v="0"/>
    <x v="9"/>
    <s v="PSJ0046"/>
    <s v="Allana Tenderloin Whole"/>
    <n v="10"/>
    <s v="KG"/>
    <n v="6.8"/>
    <n v="1326000"/>
    <n v="-3.2"/>
    <s v="Invoice"/>
    <s v="Sudah Jadi FJ"/>
    <s v="5 loaf. po estia"/>
  </r>
  <r>
    <d v="2026-09-22T00:00:00"/>
    <d v="2026-09-21T00:00:00"/>
    <s v="SO-KS/2609/210129"/>
    <s v="MKS Bali"/>
    <x v="86"/>
    <x v="0"/>
    <x v="4"/>
    <s v="SFM007"/>
    <s v="Tepung Double Zero @25Kg/Sack"/>
    <n v="50"/>
    <s v="SACK"/>
    <n v="50"/>
    <n v="13899999.98"/>
    <n v="0"/>
    <s v="Invoice"/>
    <s v="Sudah Jadi FJ"/>
    <s v=""/>
  </r>
  <r>
    <d v="2026-09-22T00:00:00"/>
    <d v="2026-09-21T00:00:00"/>
    <s v="SO-KS/2609/210131"/>
    <s v="MKS Bali"/>
    <x v="87"/>
    <x v="1"/>
    <x v="7"/>
    <s v="PLN0003"/>
    <s v="ELLENKA BARISTA COCONUT MILK 1000ML APL"/>
    <n v="4"/>
    <s v="PACK"/>
    <n v="4"/>
    <n v="168720"/>
    <n v="0"/>
    <s v="Invoice"/>
    <s v="Sudah Jadi FJ"/>
    <s v=""/>
  </r>
  <r>
    <d v="2026-09-22T00:00:00"/>
    <d v="2026-09-21T00:00:00"/>
    <s v="SO-KS/2609/210132"/>
    <s v="MKS Bali"/>
    <x v="88"/>
    <x v="0"/>
    <x v="11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133"/>
    <s v="MKS Bali"/>
    <x v="89"/>
    <x v="0"/>
    <x v="8"/>
    <s v="SFM009"/>
    <s v="Tepung Hime @25Kg/Sack"/>
    <n v="1"/>
    <s v="SACK"/>
    <n v="1"/>
    <n v="300000"/>
    <n v="0"/>
    <s v="Invoice"/>
    <s v="Sudah Jadi FJ"/>
    <s v=""/>
  </r>
  <r>
    <d v="2026-09-22T00:00:00"/>
    <d v="2026-09-21T00:00:00"/>
    <s v="SO-KS/2609/210133"/>
    <s v="MKS Bali"/>
    <x v="89"/>
    <x v="0"/>
    <x v="8"/>
    <s v="SFM018"/>
    <s v="Tepung Ninja @25Kg/Sack"/>
    <n v="1"/>
    <s v="SACK"/>
    <n v="1"/>
    <n v="295000"/>
    <n v="0"/>
    <s v="Invoice"/>
    <s v="Sudah Jadi FJ"/>
    <s v=""/>
  </r>
  <r>
    <d v="2026-09-22T00:00:00"/>
    <d v="2026-09-21T00:00:00"/>
    <s v="SO-KS/2609/210135"/>
    <s v="MKS Bali"/>
    <x v="90"/>
    <x v="0"/>
    <x v="5"/>
    <s v="PSJ0127"/>
    <s v="Amron Striploin Whole"/>
    <n v="6"/>
    <s v="KG"/>
    <n v="5.93"/>
    <n v="800550"/>
    <n v="-7.0000000000000007E-2"/>
    <s v="Invoice"/>
    <s v="Sudah Jadi FJ"/>
    <s v=""/>
  </r>
  <r>
    <d v="2026-09-22T00:00:00"/>
    <d v="2026-09-21T00:00:00"/>
    <s v="SO-KS/2609/210136"/>
    <s v="MKS Bali"/>
    <x v="91"/>
    <x v="0"/>
    <x v="9"/>
    <s v="080239"/>
    <s v="THE ALTERNATIVE Barista Soy Milk 1 Lt"/>
    <n v="12"/>
    <s v="PCS"/>
    <n v="12"/>
    <n v="539460"/>
    <n v="0"/>
    <s v="Invoice"/>
    <s v="Sudah Jadi FJ"/>
    <s v=""/>
  </r>
  <r>
    <d v="2026-09-22T00:00:00"/>
    <d v="2026-09-21T00:00:00"/>
    <s v="SO-KS/2609/210136"/>
    <s v="MKS Bali"/>
    <x v="91"/>
    <x v="0"/>
    <x v="9"/>
    <s v="080241"/>
    <s v="THE ALTERNATIVE Barista Almond Milk 1 Lt"/>
    <n v="24"/>
    <s v="PCS"/>
    <n v="24"/>
    <n v="1212120"/>
    <n v="0"/>
    <s v="Invoice"/>
    <s v="Sudah Jadi FJ"/>
    <s v=""/>
  </r>
  <r>
    <d v="2026-09-22T00:00:00"/>
    <d v="2026-09-21T00:00:00"/>
    <s v="SO-KS/2609/210137"/>
    <s v="MKS Bali"/>
    <x v="92"/>
    <x v="0"/>
    <x v="1"/>
    <s v="SFM007"/>
    <s v="Tepung Double Zero @25Kg/Sack"/>
    <n v="4"/>
    <s v="SACK"/>
    <n v="4"/>
    <n v="1200000"/>
    <n v="0"/>
    <s v="Invoice"/>
    <s v="Sudah Jadi FJ"/>
    <s v=""/>
  </r>
  <r>
    <d v="2026-09-22T00:00:00"/>
    <d v="2026-09-21T00:00:00"/>
    <s v="SO-KS/2609/210138"/>
    <s v="MKS Bali"/>
    <x v="93"/>
    <x v="0"/>
    <x v="11"/>
    <s v="SFM007"/>
    <s v="Tepung Double Zero @25Kg/Sack"/>
    <n v="1"/>
    <s v="SACK"/>
    <n v="1"/>
    <n v="280000"/>
    <n v="0"/>
    <s v="Invoice"/>
    <s v="Sudah Jadi FJ"/>
    <s v=""/>
  </r>
  <r>
    <d v="2026-09-22T00:00:00"/>
    <d v="2026-09-21T00:00:00"/>
    <s v="SO-KS/2609/210140"/>
    <s v="MKS Bali"/>
    <x v="94"/>
    <x v="0"/>
    <x v="8"/>
    <s v="120015"/>
    <s v="Tepung Japanese Tempura 1kg/pack"/>
    <n v="20"/>
    <s v="KG"/>
    <n v="20"/>
    <n v="725940"/>
    <n v="0"/>
    <s v="Invoice"/>
    <s v="Sudah Jadi FJ"/>
    <s v=""/>
  </r>
  <r>
    <d v="2026-09-22T00:00:00"/>
    <d v="2026-09-21T00:00:00"/>
    <s v="SO-KS/2609/210141"/>
    <s v="MKS Bali"/>
    <x v="95"/>
    <x v="1"/>
    <x v="9"/>
    <s v="SFM007"/>
    <s v="Tepung Double Zero @25Kg/Sack"/>
    <n v="1"/>
    <s v="SACK"/>
    <n v="1"/>
    <n v="320000"/>
    <n v="0"/>
    <s v="Invoice"/>
    <s v="Sudah Jadi FJ"/>
    <s v="3 Loaf."/>
  </r>
  <r>
    <d v="2026-09-22T00:00:00"/>
    <d v="2026-09-21T00:00:00"/>
    <s v="SO-KS/2609/210142"/>
    <s v="MKS Bali"/>
    <x v="95"/>
    <x v="1"/>
    <x v="9"/>
    <s v="PPA0092"/>
    <s v="Emborg Pizza Topping 2.3 Kg"/>
    <n v="6.9"/>
    <s v="KG"/>
    <n v="6.9"/>
    <n v="745200.02"/>
    <n v="0"/>
    <s v="Invoice"/>
    <s v="Sudah Jadi FJ"/>
    <s v="3 Loaf."/>
  </r>
  <r>
    <d v="2026-09-22T00:00:00"/>
    <d v="2026-09-21T00:00:00"/>
    <s v="SO-KS/2609/210143"/>
    <s v="MKS Bali"/>
    <x v="96"/>
    <x v="0"/>
    <x v="8"/>
    <s v="PSJ0044"/>
    <s v="Halal Premium Oxtail Whole Cut 3Cm (2 Kg/Pack)"/>
    <n v="30"/>
    <s v="KG"/>
    <n v="32.6599"/>
    <n v="7185200"/>
    <n v="2.6598999999999999"/>
    <s v="Invoice"/>
    <s v="Sudah Jadi FJ"/>
    <s v=""/>
  </r>
  <r>
    <d v="2026-09-22T00:00:00"/>
    <d v="2026-09-21T00:00:00"/>
    <s v="SO-KS/2609/210144"/>
    <s v="MKS Bali"/>
    <x v="97"/>
    <x v="0"/>
    <x v="7"/>
    <s v="120015"/>
    <s v="Tepung Japanese Tempura 1kg/pack"/>
    <n v="10"/>
    <s v="KG"/>
    <n v="10"/>
    <n v="362970"/>
    <n v="0"/>
    <s v="Invoice"/>
    <s v="Sudah Jadi FJ"/>
    <s v=""/>
  </r>
  <r>
    <d v="2026-09-22T00:00:00"/>
    <d v="2026-09-21T00:00:00"/>
    <s v="SO-KS/2609/210145"/>
    <s v="MKS Bali"/>
    <x v="98"/>
    <x v="0"/>
    <x v="1"/>
    <s v="PSJ0007"/>
    <s v="Friboi Brazil Tenderloin Whole"/>
    <n v="33"/>
    <s v="KG"/>
    <n v="33.049900000000001"/>
    <n v="11567500"/>
    <n v="4.99E-2"/>
    <s v="Invoice"/>
    <s v="Sudah Jadi FJ"/>
    <s v="Cafe &amp; kitchen"/>
  </r>
  <r>
    <d v="2026-09-22T00:00:00"/>
    <d v="2026-09-21T00:00:00"/>
    <s v="SO-KS/2609/210145"/>
    <s v="MKS Bali"/>
    <x v="98"/>
    <x v="0"/>
    <x v="1"/>
    <s v="PSJ0228"/>
    <s v="Premium Minced Beef (2.5kg/pack)"/>
    <n v="15"/>
    <s v="KG"/>
    <n v="15"/>
    <n v="1500000"/>
    <n v="0"/>
    <s v="Invoice"/>
    <s v="Sudah Jadi FJ"/>
    <s v="Cafe &amp; kitchen"/>
  </r>
  <r>
    <d v="2026-09-22T00:00:00"/>
    <d v="2026-09-21T00:00:00"/>
    <s v="SO-KS/2609/210146"/>
    <s v="MKS Bali"/>
    <x v="99"/>
    <x v="0"/>
    <x v="4"/>
    <s v="SFM007"/>
    <s v="Tepung Double Zero @25Kg/Sack"/>
    <n v="1"/>
    <s v="SACK"/>
    <n v="1"/>
    <n v="327450"/>
    <n v="0"/>
    <s v="Invoice"/>
    <s v="Sudah Jadi FJ"/>
    <s v=""/>
  </r>
  <r>
    <d v="2026-09-22T00:00:00"/>
    <d v="2026-09-21T00:00:00"/>
    <s v="SO-KS/2609/210147"/>
    <s v="MKS Bali"/>
    <x v="100"/>
    <x v="0"/>
    <x v="8"/>
    <s v="PSF0014"/>
    <s v="Tepung 00 Fusion @25Kg"/>
    <n v="3"/>
    <s v="SACK"/>
    <n v="3"/>
    <n v="870000"/>
    <n v="0"/>
    <s v="Invoice"/>
    <s v="Sudah Jadi FJ"/>
    <s v=""/>
  </r>
  <r>
    <d v="2026-09-22T00:00:00"/>
    <d v="2026-09-21T00:00:00"/>
    <s v="SO-KS/2609/210148"/>
    <s v="MKS Bali"/>
    <x v="101"/>
    <x v="0"/>
    <x v="3"/>
    <s v="SFM018"/>
    <s v="Tepung Ninja @25Kg/Sack"/>
    <n v="1"/>
    <s v="SACK"/>
    <n v="1"/>
    <n v="285000"/>
    <n v="0"/>
    <s v="Invoice"/>
    <s v="Sudah Jadi FJ"/>
    <s v=""/>
  </r>
  <r>
    <d v="2026-09-22T00:00:00"/>
    <d v="2026-09-21T00:00:00"/>
    <s v="SO-KS/2609/210149"/>
    <s v="MKS Bali"/>
    <x v="102"/>
    <x v="0"/>
    <x v="1"/>
    <s v="SFM007"/>
    <s v="Tepung Double Zero @25Kg/Sack"/>
    <n v="1"/>
    <s v="SACK"/>
    <n v="1"/>
    <n v="327450"/>
    <n v="0"/>
    <s v="Invoice"/>
    <s v="Sudah Jadi FJ"/>
    <s v=""/>
  </r>
  <r>
    <d v="2026-09-22T00:00:00"/>
    <d v="2026-09-21T00:00:00"/>
    <s v="SO-KS/2609/210151"/>
    <s v="MKS Bali"/>
    <x v="13"/>
    <x v="0"/>
    <x v="7"/>
    <s v="SFM007"/>
    <s v="Tepung Double Zero @25Kg/Sack"/>
    <n v="1"/>
    <s v="SACK"/>
    <n v="1"/>
    <n v="327450"/>
    <n v="0"/>
    <s v="Invoice"/>
    <s v="Sudah Jadi FJ"/>
    <s v=""/>
  </r>
  <r>
    <d v="2026-09-22T00:00:00"/>
    <d v="2026-09-21T00:00:00"/>
    <s v="SO-KS/2609/210152"/>
    <s v="MKS Bali"/>
    <x v="103"/>
    <x v="0"/>
    <x v="1"/>
    <s v="SFM009"/>
    <s v="Tepung Hime @25Kg/Sack"/>
    <n v="5"/>
    <s v="SACK"/>
    <n v="5"/>
    <n v="1776000"/>
    <n v="0"/>
    <s v="Invoice"/>
    <s v="Sudah Jadi FJ"/>
    <s v=" kirim ke otlet ungasan"/>
  </r>
  <r>
    <d v="2026-09-22T00:00:00"/>
    <d v="2026-09-21T00:00:00"/>
    <s v="SO-KS/2609/210154"/>
    <s v="MKS Bali"/>
    <x v="104"/>
    <x v="0"/>
    <x v="2"/>
    <s v="080240"/>
    <s v="THE ALTERNATIVE Barista Oat Milk 1 Lt"/>
    <n v="12"/>
    <s v="PCS"/>
    <n v="12"/>
    <n v="606060"/>
    <n v="0"/>
    <s v="Invoice"/>
    <s v="Sudah Jadi FJ"/>
    <s v="BAR CRETYA_x000a_"/>
  </r>
  <r>
    <d v="2026-09-22T00:00:00"/>
    <d v="2026-09-21T00:00:00"/>
    <s v="SO-KS/2609/210158"/>
    <s v="MKS Bali"/>
    <x v="105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159"/>
    <s v="MKS Bali"/>
    <x v="106"/>
    <x v="0"/>
    <x v="8"/>
    <s v="PSJ0046"/>
    <s v="Allana Tenderloin Whole"/>
    <n v="4"/>
    <s v="KG"/>
    <n v="3.66"/>
    <n v="713700"/>
    <n v="-0.34"/>
    <s v="Invoice"/>
    <s v="Sudah Jadi FJ"/>
    <s v=""/>
  </r>
  <r>
    <d v="2026-09-22T00:00:00"/>
    <d v="2026-09-21T00:00:00"/>
    <s v="SO-KS/2609/210160"/>
    <s v="MKS Bali"/>
    <x v="107"/>
    <x v="1"/>
    <x v="12"/>
    <s v="260004"/>
    <s v="NESTLE Docello Dessert Base @1Kg/Pack"/>
    <n v="12"/>
    <s v="PACK"/>
    <n v="12"/>
    <n v="849599.95"/>
    <n v="0"/>
    <s v="Invoice"/>
    <s v="Sudah Jadi FJ"/>
    <s v="Cbd"/>
  </r>
  <r>
    <d v="2026-09-22T00:00:00"/>
    <d v="2026-09-21T00:00:00"/>
    <s v="SO-KS/2609/210161"/>
    <s v="MKS Bali"/>
    <x v="108"/>
    <x v="1"/>
    <x v="13"/>
    <s v="060013"/>
    <s v="Nestea Lemon Tea 1kg/Pack"/>
    <n v="10"/>
    <s v="PACK"/>
    <n v="10"/>
    <n v="642000.03"/>
    <n v="0"/>
    <s v="Invoice"/>
    <s v="Sudah Jadi FJ"/>
    <s v=""/>
  </r>
  <r>
    <d v="2026-09-22T00:00:00"/>
    <d v="2026-09-21T00:00:00"/>
    <s v="SO-KS/2609/210161"/>
    <s v="MKS Bali"/>
    <x v="108"/>
    <x v="1"/>
    <x v="13"/>
    <s v="060019"/>
    <s v="Nestle Orange Pouch NP 560gr/Pack"/>
    <n v="10"/>
    <s v="PACK"/>
    <n v="10"/>
    <n v="541000.01"/>
    <n v="0"/>
    <s v="Invoice"/>
    <s v="Sudah Jadi FJ"/>
    <s v=""/>
  </r>
  <r>
    <d v="2026-09-22T00:00:00"/>
    <d v="2026-09-21T00:00:00"/>
    <s v="SO-KS/2609/210162"/>
    <s v="MKS Bali"/>
    <x v="109"/>
    <x v="1"/>
    <x v="13"/>
    <s v="020020"/>
    <s v="NESTLE Milo Activ-Go NPro 960Gr/Pack"/>
    <n v="5"/>
    <s v="PACK"/>
    <n v="5"/>
    <n v="525000.03"/>
    <n v="0"/>
    <s v="Invoice"/>
    <s v="Sudah Jadi FJ"/>
    <s v=""/>
  </r>
  <r>
    <d v="2026-09-22T00:00:00"/>
    <d v="2026-09-21T00:00:00"/>
    <s v="SO-KS/2609/210163"/>
    <s v="MKS Bali"/>
    <x v="110"/>
    <x v="1"/>
    <x v="13"/>
    <s v="300098"/>
    <s v="MAGGI Seasoning @800ml/Btl"/>
    <n v="18"/>
    <s v="BTL"/>
    <n v="18"/>
    <n v="1250100.05"/>
    <n v="0"/>
    <s v="Invoice"/>
    <s v="Sudah Jadi FJ"/>
    <s v=""/>
  </r>
  <r>
    <d v="2026-09-22T00:00:00"/>
    <d v="2026-09-21T00:00:00"/>
    <s v="SO-KS/2609/210164"/>
    <s v="MKS Bali"/>
    <x v="111"/>
    <x v="0"/>
    <x v="16"/>
    <s v="060004"/>
    <s v="Nescafe Cappuccino Caramel Era 500gr/Pack"/>
    <n v="30"/>
    <s v="PACK"/>
    <n v="30"/>
    <n v="2064600"/>
    <n v="0"/>
    <s v="Invoice"/>
    <s v="Sudah Jadi FJ"/>
    <s v=""/>
  </r>
  <r>
    <d v="2026-09-22T00:00:00"/>
    <d v="2026-09-21T00:00:00"/>
    <s v="SO-KS/2609/210165"/>
    <s v="MKS Bali"/>
    <x v="112"/>
    <x v="1"/>
    <x v="12"/>
    <s v="020011"/>
    <s v="Nestle Dark Cocoa Drink Npro 1kg/Pack"/>
    <n v="16"/>
    <s v="PACK"/>
    <n v="16"/>
    <n v="1424000"/>
    <n v="0"/>
    <s v="Invoice"/>
    <s v="Sudah Jadi FJ"/>
    <s v=""/>
  </r>
  <r>
    <d v="2026-09-22T00:00:00"/>
    <d v="2026-09-21T00:00:00"/>
    <s v="SO-KS/2609/210165"/>
    <s v="MKS Bali"/>
    <x v="112"/>
    <x v="1"/>
    <x v="12"/>
    <s v="020020"/>
    <s v="NESTLE Milo Activ-Go NPro 960Gr/Pack"/>
    <n v="64"/>
    <s v="PACK"/>
    <n v="64"/>
    <n v="6720000.3799999999"/>
    <n v="0"/>
    <s v="Invoice"/>
    <s v="Sudah Jadi FJ"/>
    <s v=""/>
  </r>
  <r>
    <d v="2026-09-22T00:00:00"/>
    <d v="2026-09-21T00:00:00"/>
    <s v="SO-KS/2609/210166"/>
    <s v="MKS Bali"/>
    <x v="113"/>
    <x v="0"/>
    <x v="8"/>
    <s v="PSF0005"/>
    <s v="Tepung Pita Emas @25Kg/Sack"/>
    <n v="4"/>
    <s v="SACK"/>
    <n v="4"/>
    <n v="983999.99"/>
    <n v="0"/>
    <s v="Invoice"/>
    <s v="Sudah Jadi FJ"/>
    <s v=""/>
  </r>
  <r>
    <d v="2026-09-22T00:00:00"/>
    <d v="2026-09-21T00:00:00"/>
    <s v="SO-KS/2609/210167"/>
    <s v="MKS Bali"/>
    <x v="113"/>
    <x v="0"/>
    <x v="8"/>
    <s v="PPA0092"/>
    <s v="Emborg Pizza Topping 2.3 Kg"/>
    <n v="11.5"/>
    <s v="KG"/>
    <n v="11.5"/>
    <n v="1150000"/>
    <n v="0"/>
    <s v="Invoice"/>
    <s v="Sudah Jadi FJ"/>
    <s v=""/>
  </r>
  <r>
    <d v="2026-09-22T00:00:00"/>
    <d v="2026-09-21T00:00:00"/>
    <s v="SO-KS/2609/210168"/>
    <s v="MKS Bali"/>
    <x v="114"/>
    <x v="0"/>
    <x v="0"/>
    <s v="060017"/>
    <s v="Nestle Blackcurrant Drink 750gr/Pack"/>
    <n v="16"/>
    <s v="PACK"/>
    <n v="16"/>
    <n v="1089599.98"/>
    <n v="0"/>
    <s v="Invoice"/>
    <s v="Sudah Jadi FJ"/>
    <s v=""/>
  </r>
  <r>
    <d v="2026-09-22T00:00:00"/>
    <d v="2026-09-21T00:00:00"/>
    <s v="SO-KS/2609/210168"/>
    <s v="MKS Bali"/>
    <x v="114"/>
    <x v="0"/>
    <x v="0"/>
    <s v="060015"/>
    <s v="Nestea Lychee Tea Npro 560gr/Pack"/>
    <n v="12"/>
    <s v="PACK"/>
    <n v="12"/>
    <n v="613200.05000000005"/>
    <n v="0"/>
    <s v="Invoice"/>
    <s v="Sudah Jadi FJ"/>
    <s v=""/>
  </r>
  <r>
    <d v="2026-09-22T00:00:00"/>
    <d v="2026-09-21T00:00:00"/>
    <s v="SO-KS/2609/210169"/>
    <s v="MKS Bali"/>
    <x v="115"/>
    <x v="0"/>
    <x v="8"/>
    <s v="SFM007"/>
    <s v="Tepung Double Zero @25Kg/Sack"/>
    <n v="1"/>
    <s v="SACK"/>
    <n v="1"/>
    <n v="300000"/>
    <n v="0"/>
    <s v="Invoice"/>
    <s v="Sudah Jadi FJ"/>
    <s v=""/>
  </r>
  <r>
    <d v="2026-09-22T00:00:00"/>
    <d v="2026-09-21T00:00:00"/>
    <s v="SO-KS/2609/210169"/>
    <s v="MKS Bali"/>
    <x v="115"/>
    <x v="0"/>
    <x v="8"/>
    <s v="SFM009"/>
    <s v="Tepung Hime @25Kg/Sack"/>
    <n v="1"/>
    <s v="SACK"/>
    <n v="1"/>
    <n v="304999.99"/>
    <n v="0"/>
    <s v="Invoice"/>
    <s v="Sudah Jadi FJ"/>
    <s v=""/>
  </r>
  <r>
    <d v="2026-09-22T00:00:00"/>
    <d v="2026-09-21T00:00:00"/>
    <s v="SO-KS/2609/210170"/>
    <s v="MKS Bali"/>
    <x v="116"/>
    <x v="0"/>
    <x v="8"/>
    <s v="SFM007"/>
    <s v="Tepung Double Zero @25Kg/Sack"/>
    <n v="1"/>
    <s v="SACK"/>
    <n v="1"/>
    <n v="280000"/>
    <n v="0"/>
    <s v="Invoice"/>
    <s v="Sudah Jadi FJ"/>
    <s v=""/>
  </r>
  <r>
    <d v="2026-09-22T00:00:00"/>
    <d v="2026-09-21T00:00:00"/>
    <s v="SO-KS/2609/210171"/>
    <s v="MKS Bali"/>
    <x v="117"/>
    <x v="1"/>
    <x v="7"/>
    <s v="080241"/>
    <s v="THE ALTERNATIVE Barista Almond Milk 1 Lt"/>
    <n v="8"/>
    <s v="PCS"/>
    <n v="8"/>
    <n v="404040"/>
    <n v="0"/>
    <s v="Invoice"/>
    <s v="Sudah Jadi FJ"/>
    <s v="KIRIM KE CANGGU"/>
  </r>
  <r>
    <d v="2026-09-22T00:00:00"/>
    <d v="2026-09-21T00:00:00"/>
    <s v="SO-KS/2609/210171"/>
    <s v="MKS Bali"/>
    <x v="117"/>
    <x v="1"/>
    <x v="7"/>
    <s v="PLN0003"/>
    <s v="ELLENKA BARISTA COCONUT MILK 1000ML APL"/>
    <n v="4"/>
    <s v="PACK"/>
    <n v="4"/>
    <n v="168720"/>
    <n v="0"/>
    <s v="Invoice"/>
    <s v="Sudah Jadi FJ"/>
    <s v="KIRIM KE CANGGU"/>
  </r>
  <r>
    <d v="2026-09-22T00:00:00"/>
    <d v="2026-09-21T00:00:00"/>
    <s v="SO-KS/2609/210172"/>
    <s v="MKS Bali"/>
    <x v="118"/>
    <x v="1"/>
    <x v="15"/>
    <s v="120007"/>
    <s v="Tepung Double Zero 1kg/pack"/>
    <n v="50"/>
    <s v="KG"/>
    <n v="50"/>
    <n v="799999.76"/>
    <n v="0"/>
    <s v="Invoice"/>
    <s v="Sudah Jadi FJ"/>
    <s v=""/>
  </r>
  <r>
    <d v="2026-09-22T00:00:00"/>
    <d v="2026-09-21T00:00:00"/>
    <s v="SO-KS/2609/210173"/>
    <s v="MKS Bali"/>
    <x v="119"/>
    <x v="0"/>
    <x v="4"/>
    <s v="SFM009"/>
    <s v="Tepung Hime @25Kg/Sack"/>
    <n v="10"/>
    <s v="SACK"/>
    <n v="10"/>
    <n v="3400000"/>
    <n v="0"/>
    <s v="Invoice"/>
    <s v="Sudah Jadi FJ"/>
    <s v=""/>
  </r>
  <r>
    <d v="2026-09-22T00:00:00"/>
    <d v="2026-09-21T00:00:00"/>
    <s v="SO-KS/2609/210173"/>
    <s v="MKS Bali"/>
    <x v="119"/>
    <x v="0"/>
    <x v="4"/>
    <s v="SFM007"/>
    <s v="Tepung Double Zero @25Kg/Sack"/>
    <n v="4"/>
    <s v="SACK"/>
    <n v="4"/>
    <n v="1300000"/>
    <n v="0"/>
    <s v="Invoice"/>
    <s v="Sudah Jadi FJ"/>
    <s v=""/>
  </r>
  <r>
    <d v="2026-09-22T00:00:00"/>
    <d v="2026-09-21T00:00:00"/>
    <s v="SO-KS/2609/210174"/>
    <s v="MKS Bali"/>
    <x v="120"/>
    <x v="0"/>
    <x v="11"/>
    <s v="PSJ0044"/>
    <s v="Halal Premium Oxtail Whole Cut 3Cm (2 Kg/Pack)"/>
    <n v="9"/>
    <s v="KG"/>
    <n v="8.6098999999999997"/>
    <n v="2066400"/>
    <n v="-0.3901"/>
    <s v="Invoice"/>
    <s v="Sudah Jadi FJ"/>
    <s v=""/>
  </r>
  <r>
    <d v="2026-09-22T00:00:00"/>
    <d v="2026-09-21T00:00:00"/>
    <s v="SO-KS/2609/210175"/>
    <s v="MKS Bali"/>
    <x v="121"/>
    <x v="0"/>
    <x v="8"/>
    <s v="POT0983"/>
    <s v="IKPS Sechuan Preserved Vegetable 340 Gr"/>
    <n v="1"/>
    <s v="CAN"/>
    <n v="1"/>
    <n v="13320"/>
    <n v="0"/>
    <s v="Invoice"/>
    <s v="Sudah Jadi FJ"/>
    <s v=""/>
  </r>
  <r>
    <d v="2026-09-22T00:00:00"/>
    <d v="2026-09-21T00:00:00"/>
    <s v="SO-KS/2609/210176"/>
    <s v="MKS Bali"/>
    <x v="122"/>
    <x v="1"/>
    <x v="4"/>
    <s v="PSF0005"/>
    <s v="Tepung Pita Emas @25Kg/Sack"/>
    <n v="1"/>
    <s v="SACK"/>
    <n v="1"/>
    <n v="255300"/>
    <n v="0"/>
    <s v="Invoice"/>
    <s v="Sudah Jadi FJ"/>
    <s v=""/>
  </r>
  <r>
    <d v="2026-09-22T00:00:00"/>
    <d v="2026-09-21T00:00:00"/>
    <s v="SO-KS/2609/210177"/>
    <s v="MKS Bali"/>
    <x v="120"/>
    <x v="0"/>
    <x v="11"/>
    <s v="080241"/>
    <s v="THE ALTERNATIVE Barista Almond Milk 1 Lt"/>
    <n v="3"/>
    <s v="PCS"/>
    <n v="3"/>
    <n v="151515"/>
    <n v="0"/>
    <s v="Invoice"/>
    <s v="Sudah Jadi FJ"/>
    <s v=""/>
  </r>
  <r>
    <d v="2026-09-22T00:00:00"/>
    <d v="2026-09-21T00:00:00"/>
    <s v="SO-KS/2609/210178"/>
    <s v="MKS Bali"/>
    <x v="123"/>
    <x v="0"/>
    <x v="11"/>
    <s v="PSJ0175"/>
    <s v="Black Gold Topside"/>
    <n v="3"/>
    <s v="KG"/>
    <n v="3.25"/>
    <n v="438750"/>
    <n v="0.25"/>
    <s v="Invoice"/>
    <s v="Sudah Jadi FJ"/>
    <s v=""/>
  </r>
  <r>
    <d v="2026-09-22T00:00:00"/>
    <d v="2026-09-21T00:00:00"/>
    <s v="SO-KS/2609/210179"/>
    <s v="MKS Bali"/>
    <x v="124"/>
    <x v="0"/>
    <x v="13"/>
    <s v="060013"/>
    <s v="Nestea Lemon Tea 1kg/Pack"/>
    <n v="2"/>
    <s v="PACK"/>
    <n v="2"/>
    <n v="140970"/>
    <n v="0"/>
    <s v="Invoice"/>
    <s v="Sudah Jadi FJ"/>
    <s v=""/>
  </r>
  <r>
    <d v="2026-09-22T00:00:00"/>
    <d v="2026-09-21T00:00:00"/>
    <s v="SO-KS/2609/210179"/>
    <s v="MKS Bali"/>
    <x v="124"/>
    <x v="0"/>
    <x v="13"/>
    <s v="060015"/>
    <s v="Nestea Lychee Tea Npro 560gr/Pack"/>
    <n v="6"/>
    <s v="PACK"/>
    <n v="6"/>
    <n v="336330"/>
    <n v="0"/>
    <s v="Invoice"/>
    <s v="Sudah Jadi FJ"/>
    <s v=""/>
  </r>
  <r>
    <d v="2026-09-22T00:00:00"/>
    <d v="2026-09-21T00:00:00"/>
    <s v="SO-KS/2609/210180"/>
    <s v="MKS Bali"/>
    <x v="125"/>
    <x v="1"/>
    <x v="6"/>
    <s v="PSF0014"/>
    <s v="Tepung 00 Fusion @25Kg"/>
    <n v="2"/>
    <s v="SACK"/>
    <n v="2"/>
    <n v="570000.01"/>
    <n v="0"/>
    <s v="Invoice"/>
    <s v="Sudah Jadi FJ"/>
    <s v=""/>
  </r>
  <r>
    <d v="2026-09-22T00:00:00"/>
    <d v="2026-09-21T00:00:00"/>
    <s v="SO-KS/2609/210182"/>
    <s v="MKS Bali"/>
    <x v="126"/>
    <x v="0"/>
    <x v="3"/>
    <s v="SFM007"/>
    <s v="Tepung Double Zero @25Kg/Sack"/>
    <n v="6"/>
    <s v="SACK"/>
    <n v="6"/>
    <n v="1800000"/>
    <n v="0"/>
    <s v="Invoice"/>
    <s v="Sudah Jadi FJ"/>
    <s v=""/>
  </r>
  <r>
    <d v="2026-09-22T00:00:00"/>
    <d v="2026-09-21T00:00:00"/>
    <s v="SO-KS/2609/210183"/>
    <s v="MKS Bali"/>
    <x v="127"/>
    <x v="0"/>
    <x v="6"/>
    <s v="PPA0092"/>
    <s v="Emborg Pizza Topping 2.3 Kg"/>
    <n v="101.2"/>
    <s v="KG"/>
    <n v="101.2"/>
    <n v="11039988.960000001"/>
    <n v="0"/>
    <s v="Invoice"/>
    <s v="Sudah Jadi FJ"/>
    <s v=""/>
  </r>
  <r>
    <d v="2026-09-22T00:00:00"/>
    <d v="2026-09-21T00:00:00"/>
    <s v="SO-KS/2609/210184"/>
    <s v="MKS Bali"/>
    <x v="96"/>
    <x v="0"/>
    <x v="8"/>
    <s v="080239"/>
    <s v="THE ALTERNATIVE Barista Soy Milk 1 Lt"/>
    <n v="8"/>
    <s v="PCS"/>
    <n v="8"/>
    <n v="359640"/>
    <n v="0"/>
    <s v="Invoice"/>
    <s v="Sudah Jadi FJ"/>
    <s v=""/>
  </r>
  <r>
    <d v="2026-09-22T00:00:00"/>
    <d v="2026-09-21T00:00:00"/>
    <s v="SO-KS/2609/210184"/>
    <s v="MKS Bali"/>
    <x v="96"/>
    <x v="0"/>
    <x v="8"/>
    <s v="080240"/>
    <s v="THE ALTERNATIVE Barista Oat Milk 1 Lt"/>
    <n v="5"/>
    <s v="PCS"/>
    <n v="5"/>
    <n v="252525"/>
    <n v="0"/>
    <s v="Invoice"/>
    <s v="Sudah Jadi FJ"/>
    <s v=""/>
  </r>
  <r>
    <d v="2026-09-22T00:00:00"/>
    <d v="2026-09-21T00:00:00"/>
    <s v="SO-KS/2609/210184"/>
    <s v="MKS Bali"/>
    <x v="96"/>
    <x v="0"/>
    <x v="8"/>
    <s v="080241"/>
    <s v="THE ALTERNATIVE Barista Almond Milk 1 Lt"/>
    <n v="5"/>
    <s v="PCS"/>
    <n v="5"/>
    <n v="252525"/>
    <n v="0"/>
    <s v="Invoice"/>
    <s v="Sudah Jadi FJ"/>
    <s v=""/>
  </r>
  <r>
    <d v="2026-09-22T00:00:00"/>
    <d v="2026-09-21T00:00:00"/>
    <s v="SO-KS/2609/210185"/>
    <s v="MKS Bali"/>
    <x v="128"/>
    <x v="0"/>
    <x v="11"/>
    <s v="080240"/>
    <s v="THE ALTERNATIVE Barista Oat Milk 1 Lt"/>
    <n v="12"/>
    <s v="PCS"/>
    <n v="12"/>
    <n v="606060"/>
    <n v="0"/>
    <s v="Invoice"/>
    <s v="Sudah Jadi FJ"/>
    <s v=""/>
  </r>
  <r>
    <d v="2026-09-22T00:00:00"/>
    <d v="2026-09-21T00:00:00"/>
    <s v="SO-KS/2609/210185"/>
    <s v="MKS Bali"/>
    <x v="128"/>
    <x v="0"/>
    <x v="11"/>
    <s v="080241"/>
    <s v="THE ALTERNATIVE Barista Almond Milk 1 Lt"/>
    <n v="12"/>
    <s v="PCS"/>
    <n v="12"/>
    <n v="606060"/>
    <n v="0"/>
    <s v="Invoice"/>
    <s v="Sudah Jadi FJ"/>
    <s v=""/>
  </r>
  <r>
    <d v="2026-09-22T00:00:00"/>
    <d v="2026-09-21T00:00:00"/>
    <s v="SO-KS/2609/210186"/>
    <s v="MKS Bali"/>
    <x v="129"/>
    <x v="0"/>
    <x v="2"/>
    <s v="PSJ0203"/>
    <s v="Borello Rump"/>
    <n v="20"/>
    <s v="KG"/>
    <n v="18.52"/>
    <n v="2926160"/>
    <n v="-1.48"/>
    <s v="Invoice"/>
    <s v="Sudah Jadi FJ"/>
    <s v=""/>
  </r>
  <r>
    <d v="2026-09-22T00:00:00"/>
    <d v="2026-09-21T00:00:00"/>
    <s v="SO-KS/2609/210187"/>
    <s v="MKS Bali"/>
    <x v="130"/>
    <x v="0"/>
    <x v="8"/>
    <s v="SFM007"/>
    <s v="Tepung Double Zero @25Kg/Sack"/>
    <n v="2"/>
    <s v="SACK"/>
    <n v="2"/>
    <n v="654900"/>
    <n v="0"/>
    <s v="Invoice"/>
    <s v="Sudah Jadi FJ"/>
    <s v=""/>
  </r>
  <r>
    <d v="2026-09-22T00:00:00"/>
    <d v="2026-09-21T00:00:00"/>
    <s v="SO-KS/2609/210189"/>
    <s v="MKS Bali"/>
    <x v="131"/>
    <x v="1"/>
    <x v="15"/>
    <s v="PPA0092"/>
    <s v="Emborg Pizza Topping 2.3 Kg"/>
    <n v="9.1998999999999995"/>
    <s v="KG"/>
    <n v="9.1998999999999995"/>
    <n v="920000.1"/>
    <n v="0"/>
    <s v="Invoice"/>
    <s v="Sudah Jadi FJ"/>
    <s v="4 Lup"/>
  </r>
  <r>
    <d v="2026-09-22T00:00:00"/>
    <d v="2026-09-21T00:00:00"/>
    <s v="SO-KS/2609/210190"/>
    <s v="MKS Bali"/>
    <x v="132"/>
    <x v="0"/>
    <x v="6"/>
    <s v="PLN0005"/>
    <s v="RICH CRÈME ND 08 1000G POUCH"/>
    <n v="12"/>
    <s v="POU"/>
    <n v="12"/>
    <n v="702000.1"/>
    <n v="0"/>
    <s v="Invoice"/>
    <s v="Sudah Jadi FJ"/>
    <s v=""/>
  </r>
  <r>
    <d v="2026-09-22T00:00:00"/>
    <d v="2026-09-21T00:00:00"/>
    <s v="SO-KS/2609/210191"/>
    <s v="MKS Bali"/>
    <x v="133"/>
    <x v="0"/>
    <x v="7"/>
    <s v="SFM007"/>
    <s v="Tepung Double Zero @25Kg/Sack"/>
    <n v="12"/>
    <s v="SACK"/>
    <n v="12"/>
    <n v="3600000"/>
    <n v="0"/>
    <s v="Invoice"/>
    <s v="Sudah Jadi FJ"/>
    <s v=""/>
  </r>
  <r>
    <d v="2026-09-22T00:00:00"/>
    <d v="2026-09-21T00:00:00"/>
    <s v="SO-KS/2609/210192"/>
    <s v="MKS Bali"/>
    <x v="134"/>
    <x v="0"/>
    <x v="6"/>
    <s v="PLN0005"/>
    <s v="RICH CRÈME ND 08 1000G POUCH"/>
    <n v="12"/>
    <s v="POU"/>
    <n v="12"/>
    <n v="702000.1"/>
    <n v="0"/>
    <s v="Invoice"/>
    <s v="Sudah Jadi FJ"/>
    <s v=""/>
  </r>
  <r>
    <d v="2026-09-22T00:00:00"/>
    <d v="2026-09-21T00:00:00"/>
    <s v="SO-KS/2609/210193"/>
    <s v="MKS Bali"/>
    <x v="135"/>
    <x v="0"/>
    <x v="6"/>
    <s v="PLN0005"/>
    <s v="RICH CRÈME ND 08 1000G POUCH"/>
    <n v="12"/>
    <s v="POU"/>
    <n v="12"/>
    <n v="702000.1"/>
    <n v="0"/>
    <s v="Invoice"/>
    <s v="Sudah Jadi FJ"/>
    <s v=""/>
  </r>
  <r>
    <d v="2026-09-22T00:00:00"/>
    <d v="2026-09-21T00:00:00"/>
    <s v="SO-KS/2609/210194"/>
    <s v="MKS Bali"/>
    <x v="136"/>
    <x v="0"/>
    <x v="6"/>
    <s v="PLN0005"/>
    <s v="RICH CRÈME ND 08 1000G POUCH"/>
    <n v="12"/>
    <s v="POU"/>
    <n v="12"/>
    <n v="702000.1"/>
    <n v="0"/>
    <s v="Invoice"/>
    <s v="Sudah Jadi FJ"/>
    <s v=""/>
  </r>
  <r>
    <d v="2026-09-22T00:00:00"/>
    <d v="2026-09-21T00:00:00"/>
    <s v="SO-KS/2609/210195"/>
    <s v="MKS Bali"/>
    <x v="137"/>
    <x v="0"/>
    <x v="17"/>
    <s v="120017"/>
    <s v="Tepung Mix Waffle 1kg/pack"/>
    <n v="10"/>
    <s v="KG"/>
    <n v="10"/>
    <n v="494949"/>
    <n v="0"/>
    <s v="Invoice"/>
    <s v="Sudah Jadi FJ"/>
    <s v=""/>
  </r>
  <r>
    <d v="2026-09-22T00:00:00"/>
    <d v="2026-09-21T00:00:00"/>
    <s v="SO-KS/2609/210195"/>
    <s v="MKS Bali"/>
    <x v="137"/>
    <x v="0"/>
    <x v="17"/>
    <s v="120010"/>
    <s v="Tepung Easymix Pancake @1kg/pack"/>
    <n v="10"/>
    <s v="KG"/>
    <n v="10"/>
    <n v="418803"/>
    <n v="0"/>
    <s v="Invoice"/>
    <s v="Sudah Jadi FJ"/>
    <s v=""/>
  </r>
  <r>
    <d v="2026-09-22T00:00:00"/>
    <d v="2026-09-21T00:00:00"/>
    <s v="SO-KS/2609/210196"/>
    <s v="MKS Bali"/>
    <x v="138"/>
    <x v="0"/>
    <x v="4"/>
    <s v="PSF0015"/>
    <s v="Tepung Stupa Emas 25 Kg"/>
    <n v="6"/>
    <s v="SACK"/>
    <n v="4"/>
    <n v="880000.01"/>
    <n v="-2"/>
    <s v="Invoice"/>
    <s v="Sudah Jadi FJ"/>
    <s v=""/>
  </r>
  <r>
    <d v="2026-09-22T00:00:00"/>
    <d v="2026-09-21T00:00:00"/>
    <s v="SO-KS/2609/210196"/>
    <s v="MKS Bali"/>
    <x v="138"/>
    <x v="0"/>
    <x v="4"/>
    <s v="PSF0005"/>
    <s v="Tepung Pita Emas @25Kg/Sack"/>
    <n v="1"/>
    <s v="SACK"/>
    <n v="1"/>
    <n v="255000"/>
    <n v="0"/>
    <s v="Invoice"/>
    <s v="Sudah Jadi FJ"/>
    <s v=""/>
  </r>
  <r>
    <d v="2026-09-22T00:00:00"/>
    <d v="2026-09-21T00:00:00"/>
    <s v="SO-KS/2609/210196"/>
    <s v="MKS Bali"/>
    <x v="138"/>
    <x v="0"/>
    <x v="4"/>
    <s v="SFM009"/>
    <s v="Tepung Hime @25Kg/Sack"/>
    <n v="30"/>
    <s v="SACK"/>
    <n v="30"/>
    <n v="9359999.9600000009"/>
    <n v="0"/>
    <s v="Invoice"/>
    <s v="Sudah Jadi FJ"/>
    <s v=""/>
  </r>
  <r>
    <d v="2026-09-22T00:00:00"/>
    <d v="2026-09-21T00:00:00"/>
    <s v="SO-KS/2609/210197"/>
    <s v="MKS Bali"/>
    <x v="137"/>
    <x v="0"/>
    <x v="17"/>
    <s v="120010"/>
    <s v="Tepung Easymix Pancake @1kg/pack"/>
    <n v="20"/>
    <s v="KG"/>
    <n v="20"/>
    <n v="837606"/>
    <n v="0"/>
    <s v="Invoice"/>
    <s v="Sudah Jadi FJ"/>
    <s v=""/>
  </r>
  <r>
    <d v="2026-09-22T00:00:00"/>
    <d v="2026-09-21T00:00:00"/>
    <s v="SO-KS/2609/210198"/>
    <s v="MKS Bali"/>
    <x v="139"/>
    <x v="1"/>
    <x v="9"/>
    <s v="POT0100"/>
    <s v="Garam Halus Beryodium 25Kg/Sack"/>
    <n v="1"/>
    <s v="SACK"/>
    <n v="1"/>
    <n v="245000"/>
    <n v="0"/>
    <s v="Invoice"/>
    <s v="Sudah Jadi FJ"/>
    <s v=""/>
  </r>
  <r>
    <d v="2026-09-22T00:00:00"/>
    <d v="2026-09-21T00:00:00"/>
    <s v="SO-KS/2609/210199"/>
    <s v="MKS Bali"/>
    <x v="137"/>
    <x v="0"/>
    <x v="17"/>
    <s v="150338"/>
    <s v="FOODY Star Chicken Sausage 250 Gr"/>
    <n v="20"/>
    <s v="PACK"/>
    <n v="20"/>
    <n v="413364"/>
    <n v="0"/>
    <s v="Invoice"/>
    <s v="Sudah Jadi FJ"/>
    <s v=""/>
  </r>
  <r>
    <d v="2026-09-22T00:00:00"/>
    <d v="2026-09-21T00:00:00"/>
    <s v="SO-KS/2609/210200"/>
    <s v="MKS Bali"/>
    <x v="140"/>
    <x v="0"/>
    <x v="11"/>
    <s v="SFM007"/>
    <s v="Tepung Double Zero @25Kg/Sack"/>
    <n v="2"/>
    <s v="SACK"/>
    <n v="2"/>
    <n v="654900"/>
    <n v="0"/>
    <s v="Invoice"/>
    <s v="Sudah Jadi FJ"/>
    <s v=""/>
  </r>
  <r>
    <d v="2026-09-22T00:00:00"/>
    <d v="2026-09-21T00:00:00"/>
    <s v="SO-KS/2609/210201"/>
    <s v="MKS Bali"/>
    <x v="141"/>
    <x v="0"/>
    <x v="9"/>
    <s v="SFM009"/>
    <s v="Tepung Hime @25Kg/Sack"/>
    <n v="1"/>
    <s v="SACK"/>
    <n v="1"/>
    <n v="355200"/>
    <n v="0"/>
    <s v="Invoice"/>
    <s v="Sudah Jadi FJ"/>
    <s v=""/>
  </r>
  <r>
    <d v="2026-09-22T00:00:00"/>
    <d v="2026-09-21T00:00:00"/>
    <s v="SO-KS/2609/210202"/>
    <s v="MKS Bali"/>
    <x v="142"/>
    <x v="1"/>
    <x v="15"/>
    <s v="120007"/>
    <s v="Tepung Double Zero 1kg/pack"/>
    <n v="100"/>
    <s v="KG"/>
    <n v="100"/>
    <n v="1549999.56"/>
    <n v="0"/>
    <s v="Invoice"/>
    <s v="Sudah Jadi FJ"/>
    <s v=""/>
  </r>
  <r>
    <d v="2026-09-22T00:00:00"/>
    <d v="2026-09-21T00:00:00"/>
    <s v="SO-KS/2609/210203"/>
    <s v="MKS Bali"/>
    <x v="76"/>
    <x v="0"/>
    <x v="8"/>
    <s v="PPA0142"/>
    <s v="EMBORG Brie Cheese 125 Gr"/>
    <n v="2"/>
    <s v="PCS"/>
    <n v="2"/>
    <n v="159840"/>
    <n v="0"/>
    <s v="Invoice"/>
    <s v="Sudah Jadi FJ"/>
    <s v=""/>
  </r>
  <r>
    <d v="2026-09-22T00:00:00"/>
    <d v="2026-09-21T00:00:00"/>
    <s v="SO-KS/2609/210204"/>
    <s v="MKS Bali"/>
    <x v="143"/>
    <x v="0"/>
    <x v="9"/>
    <s v="SFM009"/>
    <s v="Tepung Hime @25Kg/Sack"/>
    <n v="2"/>
    <s v="SACK"/>
    <n v="2"/>
    <n v="570000"/>
    <n v="0"/>
    <s v="Invoice"/>
    <s v="Sudah Jadi FJ"/>
    <s v=""/>
  </r>
  <r>
    <d v="2026-09-22T00:00:00"/>
    <d v="2026-09-21T00:00:00"/>
    <s v="SO-KS/2609/210205"/>
    <s v="MKS Bali"/>
    <x v="144"/>
    <x v="1"/>
    <x v="5"/>
    <s v="PPA0092"/>
    <s v="Emborg Pizza Topping 2.3 Kg"/>
    <n v="2.2999999999999998"/>
    <s v="KG"/>
    <n v="2.2999999999999998"/>
    <n v="246100.01"/>
    <n v="0"/>
    <s v="Invoice"/>
    <s v="Sudah Jadi FJ"/>
    <s v="1 loaf"/>
  </r>
  <r>
    <d v="2026-09-22T00:00:00"/>
    <d v="2026-09-21T00:00:00"/>
    <s v="SO-KS/2609/210206"/>
    <s v="MKS Bali"/>
    <x v="139"/>
    <x v="1"/>
    <x v="9"/>
    <s v="PPA0133"/>
    <s v="EMBORG Perfect Pasta 1L"/>
    <n v="2"/>
    <s v="PCS"/>
    <n v="2"/>
    <n v="155400"/>
    <n v="0"/>
    <s v="Invoice"/>
    <s v="Sudah Jadi FJ"/>
    <s v=""/>
  </r>
  <r>
    <d v="2026-09-22T00:00:00"/>
    <d v="2026-09-21T00:00:00"/>
    <s v="SO-KS/2609/210207"/>
    <s v="MKS Bali"/>
    <x v="145"/>
    <x v="0"/>
    <x v="2"/>
    <s v="PSJ0203"/>
    <s v="Borello Rump"/>
    <n v="5"/>
    <s v="KG"/>
    <n v="3.44"/>
    <n v="543520"/>
    <n v="-1.56"/>
    <s v="Invoice"/>
    <s v="Sudah Jadi FJ"/>
    <s v=""/>
  </r>
  <r>
    <d v="2026-09-22T00:00:00"/>
    <d v="2026-09-21T00:00:00"/>
    <s v="SO-KS/2609/210207"/>
    <s v="MKS Bali"/>
    <x v="145"/>
    <x v="0"/>
    <x v="2"/>
    <s v="PSJ0371"/>
    <s v="ECT Tenderloin Import"/>
    <n v="4"/>
    <s v="KG"/>
    <n v="4.63"/>
    <n v="1990900"/>
    <n v="0.63"/>
    <s v="Invoice"/>
    <s v="Sudah Jadi FJ"/>
    <s v=""/>
  </r>
  <r>
    <d v="2026-09-22T00:00:00"/>
    <d v="2026-09-21T00:00:00"/>
    <s v="SO-KS/2609/210208"/>
    <s v="MKS Bali"/>
    <x v="146"/>
    <x v="0"/>
    <x v="8"/>
    <s v="PSJ0402"/>
    <s v="KIMBARA Oyster Blade MB 6-7"/>
    <n v="4"/>
    <s v="KG"/>
    <n v="2.81"/>
    <n v="2174940"/>
    <n v="-1.19"/>
    <s v="Invoice"/>
    <s v="Sudah Jadi FJ"/>
    <s v=""/>
  </r>
  <r>
    <d v="2026-09-22T00:00:00"/>
    <d v="2026-09-21T00:00:00"/>
    <s v="SO-KS/2609/210209"/>
    <s v="MKS Bali"/>
    <x v="147"/>
    <x v="1"/>
    <x v="9"/>
    <s v="POT0781"/>
    <s v="Tiparos Fish Sauce 4500 Ml"/>
    <n v="2"/>
    <s v="JRG"/>
    <n v="2"/>
    <n v="355200"/>
    <n v="0"/>
    <s v="Invoice"/>
    <s v="Sudah Jadi FJ"/>
    <s v=""/>
  </r>
  <r>
    <d v="2026-09-22T00:00:00"/>
    <d v="2026-09-21T00:00:00"/>
    <s v="SO-KS/2609/210210"/>
    <s v="MKS Bali"/>
    <x v="148"/>
    <x v="0"/>
    <x v="1"/>
    <s v="SFM009"/>
    <s v="Tepung Hime @25Kg/Sack"/>
    <n v="8"/>
    <s v="SACK"/>
    <n v="8"/>
    <n v="2841600"/>
    <n v="0"/>
    <s v="Invoice"/>
    <s v="Sudah Jadi FJ"/>
    <s v=""/>
  </r>
  <r>
    <d v="2026-09-22T00:00:00"/>
    <d v="2026-09-21T00:00:00"/>
    <s v="SO-KS/2609/210212"/>
    <s v="MKS Bali"/>
    <x v="149"/>
    <x v="1"/>
    <x v="15"/>
    <s v="PPA0092"/>
    <s v="Emborg Pizza Topping 2.3 Kg"/>
    <n v="11.5"/>
    <s v="KG"/>
    <n v="11.5"/>
    <n v="1207500.07"/>
    <n v="0"/>
    <s v="Invoice"/>
    <s v="Sudah Jadi FJ"/>
    <s v="5 lup"/>
  </r>
  <r>
    <d v="2026-09-22T00:00:00"/>
    <d v="2026-09-21T00:00:00"/>
    <s v="SO-KS/2609/210214"/>
    <s v="MKS Bali"/>
    <x v="150"/>
    <x v="0"/>
    <x v="8"/>
    <s v="SFM018"/>
    <s v="Tepung Ninja @25Kg/Sack"/>
    <n v="1"/>
    <s v="SACK"/>
    <n v="1"/>
    <n v="316350"/>
    <n v="0"/>
    <s v="Invoice"/>
    <s v="Sudah Jadi FJ"/>
    <s v=""/>
  </r>
  <r>
    <d v="2026-09-22T00:00:00"/>
    <d v="2026-09-21T00:00:00"/>
    <s v="SO-KS/2609/210216"/>
    <s v="MKS Bali"/>
    <x v="151"/>
    <x v="0"/>
    <x v="18"/>
    <s v="SFM007"/>
    <s v="Tepung Double Zero @25Kg/Sack"/>
    <n v="4"/>
    <s v="SACK"/>
    <n v="4"/>
    <n v="1088000"/>
    <n v="0"/>
    <s v="Invoice"/>
    <s v="Sudah Jadi FJ"/>
    <s v=""/>
  </r>
  <r>
    <d v="2026-09-22T00:00:00"/>
    <d v="2026-09-21T00:00:00"/>
    <s v="SO-KS/2609/210218"/>
    <s v="MKS Bali"/>
    <x v="151"/>
    <x v="0"/>
    <x v="18"/>
    <s v="120007"/>
    <s v="Tepung Double Zero 1kg/pack"/>
    <n v="6"/>
    <s v="KG"/>
    <n v="6"/>
    <n v="89999.98"/>
    <n v="0"/>
    <s v="Invoice"/>
    <s v="Sudah Jadi FJ"/>
    <s v=""/>
  </r>
  <r>
    <d v="2026-09-22T00:00:00"/>
    <d v="2026-09-21T00:00:00"/>
    <s v="SO-KS/2609/210219"/>
    <s v="MKS Bali"/>
    <x v="151"/>
    <x v="0"/>
    <x v="18"/>
    <s v="PAN0004"/>
    <s v="DP Mozzarella 2.5Kg"/>
    <n v="5"/>
    <s v="KG"/>
    <n v="5"/>
    <n v="612000"/>
    <n v="0"/>
    <s v="Invoice"/>
    <s v="Sudah Jadi FJ"/>
    <s v=""/>
  </r>
  <r>
    <d v="2026-09-22T00:00:00"/>
    <d v="2026-09-21T00:00:00"/>
    <s v="SO-KS/2609/210219"/>
    <s v="MKS Bali"/>
    <x v="151"/>
    <x v="0"/>
    <x v="18"/>
    <s v="PSJ0203"/>
    <s v="Borello Rump"/>
    <n v="6"/>
    <s v="KG"/>
    <n v="5.32"/>
    <n v="792680"/>
    <n v="-0.68"/>
    <s v="Invoice"/>
    <s v="Sudah Jadi FJ"/>
    <s v=""/>
  </r>
  <r>
    <d v="2026-09-22T00:00:00"/>
    <d v="2026-09-21T00:00:00"/>
    <s v="SO-KS/2609/210222"/>
    <s v="MKS Bali"/>
    <x v="152"/>
    <x v="0"/>
    <x v="11"/>
    <s v="SFM007"/>
    <s v="Tepung Double Zero @25Kg/Sack"/>
    <n v="5"/>
    <s v="SACK"/>
    <n v="5"/>
    <n v="1637250"/>
    <n v="0"/>
    <s v="Invoice"/>
    <s v="Sudah Jadi FJ"/>
    <s v=""/>
  </r>
  <r>
    <d v="2026-09-22T00:00:00"/>
    <d v="2026-09-21T00:00:00"/>
    <s v="SO-KS/2609/210223"/>
    <s v="MKS Bali"/>
    <x v="153"/>
    <x v="0"/>
    <x v="15"/>
    <s v="120010"/>
    <s v="Tepung Easymix Pancake @1kg/pack"/>
    <n v="50"/>
    <s v="KG"/>
    <n v="50"/>
    <n v="2000000.22"/>
    <n v="0"/>
    <s v="Invoice"/>
    <s v="Sudah Jadi FJ"/>
    <s v=""/>
  </r>
  <r>
    <d v="2026-09-22T00:00:00"/>
    <d v="2026-09-21T00:00:00"/>
    <s v="SO-KS/2609/210223"/>
    <s v="MKS Bali"/>
    <x v="153"/>
    <x v="0"/>
    <x v="15"/>
    <s v="PSF0018"/>
    <s v="Tepung Hime Fusion 1Kg"/>
    <n v="10"/>
    <s v="KG"/>
    <n v="10"/>
    <n v="210000.01"/>
    <n v="0"/>
    <s v="Invoice"/>
    <s v="Sudah Jadi FJ"/>
    <s v=""/>
  </r>
  <r>
    <d v="2026-09-22T00:00:00"/>
    <d v="2026-09-21T00:00:00"/>
    <s v="SO-KS/2609/210254"/>
    <s v="MKS Bali"/>
    <x v="154"/>
    <x v="0"/>
    <x v="3"/>
    <s v="SFM007"/>
    <s v="Tepung Double Zero @25Kg/Sack"/>
    <n v="3"/>
    <s v="SACK"/>
    <n v="3"/>
    <n v="945000"/>
    <n v="0"/>
    <s v="Invoice"/>
    <s v="Sudah Jadi FJ"/>
    <s v="KIRIM KE RESTO LOSTERIA LANGSUNG"/>
  </r>
  <r>
    <d v="2026-09-22T00:00:00"/>
    <d v="2026-09-21T00:00:00"/>
    <s v="SO-KU/2609/210001"/>
    <s v="MKU Bali"/>
    <x v="155"/>
    <x v="1"/>
    <x v="15"/>
    <s v="PMS0076"/>
    <s v="Masterista Creamer Base (Creamy)"/>
    <n v="3"/>
    <s v="PACK"/>
    <n v="3"/>
    <n v="80475.009999999995"/>
    <n v="0"/>
    <s v="Invoice"/>
    <s v="Sudah Jadi FJ"/>
    <s v=""/>
  </r>
  <r>
    <d v="2026-09-22T00:00:00"/>
    <d v="2026-09-21T00:00:00"/>
    <s v="SO-KU/2609/210001"/>
    <s v="MKU Bali"/>
    <x v="155"/>
    <x v="1"/>
    <x v="15"/>
    <s v="PMS0094"/>
    <s v="Masterista Syrup Butterscotch 850 Ml"/>
    <n v="6"/>
    <s v="BTL"/>
    <n v="6"/>
    <n v="660000.01"/>
    <n v="0"/>
    <s v="Invoice"/>
    <s v="Sudah Jadi FJ"/>
    <s v=""/>
  </r>
  <r>
    <d v="2026-09-22T00:00:00"/>
    <d v="2026-09-21T00:00:00"/>
    <s v="SO-KU/2609/210001"/>
    <s v="MKU Bali"/>
    <x v="155"/>
    <x v="1"/>
    <x v="15"/>
    <s v="PMS0132"/>
    <s v="Masterista Syrup Vanilla Tradition 850ml"/>
    <n v="6"/>
    <s v="BTL"/>
    <n v="6"/>
    <n v="610500"/>
    <n v="0"/>
    <s v="Invoice"/>
    <s v="Sudah Jadi FJ"/>
    <s v=""/>
  </r>
  <r>
    <d v="2026-09-22T00:00:00"/>
    <d v="2026-09-21T00:00:00"/>
    <s v="SO-KU/2609/210001"/>
    <s v="MKU Bali"/>
    <x v="155"/>
    <x v="1"/>
    <x v="15"/>
    <s v="PMS0143"/>
    <s v="Masterista Syrup Premium Hazelnut 850 Ml"/>
    <n v="3"/>
    <s v="BTL"/>
    <n v="3"/>
    <n v="305250"/>
    <n v="0"/>
    <s v="Invoice"/>
    <s v="Sudah Jadi FJ"/>
    <s v=""/>
  </r>
  <r>
    <d v="2026-09-22T00:00:00"/>
    <d v="2026-09-21T00:00:00"/>
    <s v="SO-KU/2609/210002"/>
    <s v="MKU Bali"/>
    <x v="156"/>
    <x v="1"/>
    <x v="5"/>
    <s v="PAS0044"/>
    <s v="Maestro Crincle Cut 10Kg/Ctn"/>
    <n v="1"/>
    <s v="KTN"/>
    <n v="1"/>
    <n v="350000.01"/>
    <n v="0"/>
    <s v="Invoice"/>
    <s v="Sudah Jadi FJ"/>
    <s v="Kirim stlh jam 1 siang, resto buka siang"/>
  </r>
  <r>
    <d v="2026-09-22T00:00:00"/>
    <d v="2026-09-21T00:00:00"/>
    <s v="SO-KU/2609/210003"/>
    <s v="MKU Bali"/>
    <x v="157"/>
    <x v="1"/>
    <x v="5"/>
    <s v="PQW0010"/>
    <s v="IQF FF Shoestring 10Kg/Ctn"/>
    <n v="1"/>
    <s v="KTN"/>
    <n v="1"/>
    <n v="350000.01"/>
    <n v="0"/>
    <s v="Invoice"/>
    <s v="Sudah Jadi FJ"/>
    <s v=""/>
  </r>
  <r>
    <d v="2026-09-22T00:00:00"/>
    <d v="2026-09-21T00:00:00"/>
    <s v="SO-KU/2609/210004"/>
    <s v="MKU Bali"/>
    <x v="158"/>
    <x v="0"/>
    <x v="1"/>
    <s v="POT0120"/>
    <s v="Bottegaio Umbro Olio Evo Cucina 5Lt"/>
    <n v="1"/>
    <s v="GLN"/>
    <n v="1"/>
    <n v="640000"/>
    <n v="0"/>
    <s v="Invoice"/>
    <s v="Sudah Jadi FJ"/>
    <s v=""/>
  </r>
  <r>
    <d v="2026-09-22T00:00:00"/>
    <d v="2026-09-21T00:00:00"/>
    <s v="SO-KU/2609/210005"/>
    <s v="MKU Bali"/>
    <x v="63"/>
    <x v="0"/>
    <x v="1"/>
    <s v="POT0120"/>
    <s v="Bottegaio Umbro Olio Evo Cucina 5Lt"/>
    <n v="2"/>
    <s v="GLN"/>
    <n v="2"/>
    <n v="1280000.01"/>
    <n v="0"/>
    <s v="Invoice"/>
    <s v="Sudah Jadi FJ"/>
    <s v=""/>
  </r>
  <r>
    <d v="2026-09-22T00:00:00"/>
    <d v="2026-09-21T00:00:00"/>
    <s v="SO-KU/2609/210006"/>
    <s v="MKU Bali"/>
    <x v="104"/>
    <x v="0"/>
    <x v="2"/>
    <s v="PIF0011"/>
    <s v="Pristine Classic Whip Topping 1 Lt"/>
    <n v="12"/>
    <s v="LTR"/>
    <n v="12"/>
    <n v="772560"/>
    <n v="0"/>
    <s v="Invoice"/>
    <s v="Sudah Jadi FJ"/>
    <s v="BAR CRETYA"/>
  </r>
  <r>
    <d v="2026-09-22T00:00:00"/>
    <d v="2026-09-21T00:00:00"/>
    <s v="SO-KU/2609/210007"/>
    <s v="MKU Bali"/>
    <x v="159"/>
    <x v="1"/>
    <x v="6"/>
    <s v="PQW0010"/>
    <s v="IQF FF Shoestring 10Kg/Ctn"/>
    <n v="1"/>
    <s v="KTN"/>
    <n v="1"/>
    <n v="350000.01"/>
    <n v="0"/>
    <s v="Invoice"/>
    <s v="Sudah Jadi FJ"/>
    <s v=""/>
  </r>
  <r>
    <d v="2026-09-22T00:00:00"/>
    <d v="2026-09-21T00:00:00"/>
    <s v="SO-KU/2609/210008"/>
    <s v="MKU Bali"/>
    <x v="160"/>
    <x v="0"/>
    <x v="6"/>
    <s v="PMS0143"/>
    <s v="Masterista Syrup Premium Hazelnut 850 Ml"/>
    <n v="5"/>
    <s v="BTL"/>
    <n v="5"/>
    <n v="550000"/>
    <n v="0"/>
    <s v="Invoice"/>
    <s v="Sudah Jadi FJ"/>
    <s v=""/>
  </r>
  <r>
    <d v="2026-09-22T00:00:00"/>
    <d v="2026-09-21T00:00:00"/>
    <s v="SO-KU/2609/210008"/>
    <s v="MKU Bali"/>
    <x v="160"/>
    <x v="0"/>
    <x v="6"/>
    <s v="PMS0134"/>
    <s v="Masterista Syrup Salted Caramel 850 ML"/>
    <n v="5"/>
    <s v="BTL"/>
    <n v="5"/>
    <n v="550000.01"/>
    <n v="0"/>
    <s v="Invoice"/>
    <s v="Sudah Jadi FJ"/>
    <s v=""/>
  </r>
  <r>
    <d v="2026-09-22T00:00:00"/>
    <d v="2026-09-21T00:00:00"/>
    <s v="SO-KU/2609/210009"/>
    <s v="MKU Bali"/>
    <x v="161"/>
    <x v="0"/>
    <x v="7"/>
    <s v="POS0026"/>
    <s v="O Sole Olive Nere Denocciolate 4.1 Kg"/>
    <n v="6"/>
    <s v="CAN"/>
    <n v="6"/>
    <n v="1590000"/>
    <n v="0"/>
    <s v="Invoice"/>
    <s v="Sudah Jadi FJ"/>
    <s v=""/>
  </r>
  <r>
    <d v="2026-09-22T00:00:00"/>
    <d v="2026-09-21T00:00:00"/>
    <s v="SO-KU/2609/210011"/>
    <s v="MKU Bali"/>
    <x v="162"/>
    <x v="0"/>
    <x v="7"/>
    <s v="POS0024"/>
    <s v="O Sole Pomodori Pelati Peeled Tomatoes 2.5Kg"/>
    <n v="6"/>
    <s v="CAN"/>
    <n v="6"/>
    <n v="510000.02"/>
    <n v="0"/>
    <s v="Invoice"/>
    <s v="Sudah Jadi FJ"/>
    <s v=""/>
  </r>
  <r>
    <d v="2026-09-22T00:00:00"/>
    <d v="2026-09-21T00:00:00"/>
    <s v="SO-KU/2609/210012"/>
    <s v="MKU Bali"/>
    <x v="141"/>
    <x v="0"/>
    <x v="9"/>
    <s v="POT0046"/>
    <s v="Australian Butter Unsalted"/>
    <n v="25"/>
    <s v="KG"/>
    <n v="25"/>
    <n v="4125000.04"/>
    <n v="0"/>
    <s v="Invoice"/>
    <s v="Sudah Jadi FJ"/>
    <s v=""/>
  </r>
  <r>
    <d v="2026-09-22T00:00:00"/>
    <d v="2026-09-21T00:00:00"/>
    <s v="SO-KU/2609/210013"/>
    <s v="MKU Bali"/>
    <x v="163"/>
    <x v="1"/>
    <x v="1"/>
    <s v="PMS0076"/>
    <s v="Masterista Creamer Base (Creamy)"/>
    <n v="12"/>
    <s v="PACK"/>
    <n v="12"/>
    <n v="348000"/>
    <n v="0"/>
    <s v="Invoice"/>
    <s v="Sudah Jadi FJ"/>
    <s v=""/>
  </r>
  <r>
    <d v="2026-09-22T00:00:00"/>
    <d v="2026-09-21T00:00:00"/>
    <s v="SO-KU/2609/210015"/>
    <s v="MKU Bali"/>
    <x v="164"/>
    <x v="0"/>
    <x v="4"/>
    <s v="PAS0040"/>
    <s v="Crr Rock'n Batter Skin On Fries 9x9mm 2.5 Kg"/>
    <n v="20"/>
    <s v="PACK"/>
    <n v="20"/>
    <n v="2550000.0099999998"/>
    <n v="0"/>
    <s v="Invoice"/>
    <s v="Sudah Jadi FJ"/>
    <s v=""/>
  </r>
  <r>
    <d v="2026-09-22T00:00:00"/>
    <d v="2026-09-21T00:00:00"/>
    <s v="SO-KU/2609/210015"/>
    <s v="MKU Bali"/>
    <x v="164"/>
    <x v="0"/>
    <x v="4"/>
    <s v="PAS0064"/>
    <s v="Crr Rock'n Waffle Fries 2.5 Kg"/>
    <n v="6"/>
    <s v="PACK"/>
    <n v="6"/>
    <n v="885000"/>
    <n v="0"/>
    <s v="Invoice"/>
    <s v="Sudah Jadi FJ"/>
    <s v=""/>
  </r>
  <r>
    <d v="2026-09-22T00:00:00"/>
    <d v="2026-09-21T00:00:00"/>
    <s v="SO-KU/2609/210016"/>
    <s v="MKU Bali"/>
    <x v="165"/>
    <x v="0"/>
    <x v="8"/>
    <s v="PMS0131"/>
    <s v="Masterista Syrup Tropical Lychee 850 Ml"/>
    <n v="2"/>
    <s v="BTL"/>
    <n v="2"/>
    <n v="210000"/>
    <n v="0"/>
    <s v="Invoice"/>
    <s v="Sudah Jadi FJ"/>
    <s v=""/>
  </r>
  <r>
    <d v="2026-09-22T00:00:00"/>
    <d v="2026-09-21T00:00:00"/>
    <s v="SO-KU/2609/210016"/>
    <s v="MKU Bali"/>
    <x v="165"/>
    <x v="0"/>
    <x v="8"/>
    <s v="PMS0152"/>
    <s v="Masterista Syrup Passion Fruit 850 Ml"/>
    <n v="2"/>
    <s v="BTL"/>
    <n v="2"/>
    <n v="210000"/>
    <n v="0"/>
    <s v="Invoice"/>
    <s v="Sudah Jadi FJ"/>
    <s v=""/>
  </r>
  <r>
    <d v="2026-09-22T00:00:00"/>
    <d v="2026-09-21T00:00:00"/>
    <s v="SO-KU/2609/210017"/>
    <s v="MKU Bali"/>
    <x v="166"/>
    <x v="0"/>
    <x v="15"/>
    <s v="CKP1S-164"/>
    <s v="Daebak Soju Lychee @360ml/btl"/>
    <n v="260"/>
    <s v="BTL"/>
    <n v="260"/>
    <n v="17549999.77"/>
    <n v="0"/>
    <s v="Invoice"/>
    <s v="Sudah Jadi FJ"/>
    <s v=""/>
  </r>
  <r>
    <d v="2026-09-22T00:00:00"/>
    <d v="2026-09-21T00:00:00"/>
    <s v="SO-KU/2609/210017"/>
    <s v="MKU Bali"/>
    <x v="166"/>
    <x v="0"/>
    <x v="15"/>
    <s v="CKP1S-160"/>
    <s v="Daebak Soju Mango @360ml/btl"/>
    <n v="40"/>
    <s v="BTL"/>
    <n v="40"/>
    <n v="2699999.96"/>
    <n v="0"/>
    <s v="Invoice"/>
    <s v="Sudah Jadi FJ"/>
    <s v=""/>
  </r>
  <r>
    <d v="2026-09-22T00:00:00"/>
    <d v="2026-09-21T00:00:00"/>
    <s v="SO-KU/2609/210017"/>
    <s v="MKU Bali"/>
    <x v="166"/>
    <x v="0"/>
    <x v="15"/>
    <s v="CKP1S-163"/>
    <s v="Daebak Soju Peach @360ml/btl"/>
    <n v="300"/>
    <s v="BTL"/>
    <n v="300"/>
    <n v="20249999.73"/>
    <n v="0"/>
    <s v="Invoice"/>
    <s v="Sudah Jadi FJ"/>
    <s v=""/>
  </r>
  <r>
    <d v="2026-09-22T00:00:00"/>
    <d v="2026-09-21T00:00:00"/>
    <s v="SO-KU/2609/210018"/>
    <s v="MKU Bali"/>
    <x v="167"/>
    <x v="1"/>
    <x v="6"/>
    <s v="PMS0040"/>
    <s v="Flavorista Taro (1000Gr/Pack)"/>
    <n v="1"/>
    <s v="PACK"/>
    <n v="1"/>
    <n v="80475"/>
    <n v="0"/>
    <s v="Invoice"/>
    <s v="Sudah Jadi FJ"/>
    <s v=""/>
  </r>
  <r>
    <d v="2026-09-22T00:00:00"/>
    <d v="2026-09-21T00:00:00"/>
    <s v="SO-KU/2609/210018"/>
    <s v="MKU Bali"/>
    <x v="167"/>
    <x v="1"/>
    <x v="6"/>
    <s v="PMS0038"/>
    <s v="Flavorista Chocolate base (1000Gr/Pack)"/>
    <n v="1"/>
    <s v="PACK"/>
    <n v="1"/>
    <n v="99345"/>
    <n v="0"/>
    <s v="Invoice"/>
    <s v="Sudah Jadi FJ"/>
    <s v=""/>
  </r>
  <r>
    <d v="2026-09-22T00:00:00"/>
    <d v="2026-09-21T00:00:00"/>
    <s v="SO-KU/2609/210018"/>
    <s v="MKU Bali"/>
    <x v="167"/>
    <x v="1"/>
    <x v="6"/>
    <s v="PMS0039"/>
    <s v="Flavorista Matcha (1000Gr/Pack)"/>
    <n v="1"/>
    <s v="PACK"/>
    <n v="1"/>
    <n v="95800"/>
    <n v="0"/>
    <s v="Invoice"/>
    <s v="Sudah Jadi FJ"/>
    <s v=""/>
  </r>
  <r>
    <d v="2026-09-22T00:00:00"/>
    <d v="2026-09-21T00:00:00"/>
    <s v="SO-KU/2609/210019"/>
    <s v="MKU Bali"/>
    <x v="168"/>
    <x v="1"/>
    <x v="6"/>
    <s v="PMS0130"/>
    <s v="Masterista Syrup Classic Caramel 850ml"/>
    <n v="2"/>
    <s v="BTL"/>
    <n v="2"/>
    <n v="220000"/>
    <n v="0"/>
    <s v="Invoice"/>
    <s v="Sudah Jadi FJ"/>
    <s v=""/>
  </r>
  <r>
    <d v="2026-09-22T00:00:00"/>
    <d v="2026-09-21T00:00:00"/>
    <s v="SO-KU/2609/210019"/>
    <s v="MKU Bali"/>
    <x v="168"/>
    <x v="1"/>
    <x v="6"/>
    <s v="PMS0132"/>
    <s v="Masterista Syrup Vanilla Tradition 850ml"/>
    <n v="2"/>
    <s v="BTL"/>
    <n v="2"/>
    <n v="220000.01"/>
    <n v="0"/>
    <s v="Invoice"/>
    <s v="Sudah Jadi FJ"/>
    <s v=""/>
  </r>
  <r>
    <d v="2026-09-22T00:00:00"/>
    <d v="2026-09-21T00:00:00"/>
    <s v="SO-KU/2609/210019"/>
    <s v="MKU Bali"/>
    <x v="168"/>
    <x v="1"/>
    <x v="6"/>
    <s v="PMS0094"/>
    <s v="Masterista Syrup Butterscotch 850 Ml"/>
    <n v="2"/>
    <s v="BTL"/>
    <n v="2"/>
    <n v="220000"/>
    <n v="0"/>
    <s v="Invoice"/>
    <s v="Sudah Jadi FJ"/>
    <s v=""/>
  </r>
  <r>
    <d v="2026-09-22T00:00:00"/>
    <d v="2026-09-21T00:00:00"/>
    <s v="SO-KU/2609/210020"/>
    <s v="MKU Bali"/>
    <x v="169"/>
    <x v="1"/>
    <x v="6"/>
    <s v="PMS0024"/>
    <s v="Masterista Original Matcha 800Gr"/>
    <n v="1"/>
    <s v="POU"/>
    <n v="1"/>
    <n v="168510"/>
    <n v="0"/>
    <s v="Invoice"/>
    <s v="Sudah Jadi FJ"/>
    <s v=""/>
  </r>
  <r>
    <d v="2026-09-22T00:00:00"/>
    <d v="2026-09-21T00:00:00"/>
    <s v="SO-KU/2609/210022"/>
    <s v="MKU Bali"/>
    <x v="31"/>
    <x v="0"/>
    <x v="9"/>
    <s v="POT0046"/>
    <s v="Australian Butter Unsalted"/>
    <n v="25"/>
    <s v="KG"/>
    <n v="25"/>
    <n v="4125000.04"/>
    <n v="0"/>
    <s v="Invoice"/>
    <s v="Sudah Jadi FJ"/>
    <s v=""/>
  </r>
  <r>
    <d v="2026-09-22T00:00:00"/>
    <d v="2026-09-21T00:00:00"/>
    <s v="SO-KU/2609/210023"/>
    <s v="MKU Bali"/>
    <x v="170"/>
    <x v="0"/>
    <x v="1"/>
    <s v="PMS0130"/>
    <s v="Masterista Syrup Classic Caramel 850ml"/>
    <n v="1"/>
    <s v="BTL"/>
    <n v="1"/>
    <n v="99000"/>
    <n v="0"/>
    <s v="Invoice"/>
    <s v="Sudah Jadi FJ"/>
    <s v=""/>
  </r>
  <r>
    <d v="2026-09-22T00:00:00"/>
    <d v="2026-09-21T00:00:00"/>
    <s v="SO-KU/2609/210023"/>
    <s v="MKU Bali"/>
    <x v="170"/>
    <x v="0"/>
    <x v="1"/>
    <s v="PMS0132"/>
    <s v="Masterista Syrup Vanilla Tradition 850ml"/>
    <n v="4"/>
    <s v="BTL"/>
    <n v="4"/>
    <n v="396000"/>
    <n v="0"/>
    <s v="Invoice"/>
    <s v="Sudah Jadi FJ"/>
    <s v=""/>
  </r>
  <r>
    <d v="2026-09-22T00:00:00"/>
    <d v="2026-09-21T00:00:00"/>
    <s v="SO-KU/2609/210023"/>
    <s v="MKU Bali"/>
    <x v="170"/>
    <x v="0"/>
    <x v="1"/>
    <s v="PMS0131"/>
    <s v="Masterista Syrup Tropical Lychee 850 Ml"/>
    <n v="4"/>
    <s v="BTL"/>
    <n v="4"/>
    <n v="396000"/>
    <n v="0"/>
    <s v="Invoice"/>
    <s v="Sudah Jadi FJ"/>
    <s v=""/>
  </r>
  <r>
    <d v="2026-09-22T00:00:00"/>
    <d v="2026-09-21T00:00:00"/>
    <s v="SO-KU/2609/210023"/>
    <s v="MKU Bali"/>
    <x v="170"/>
    <x v="0"/>
    <x v="1"/>
    <s v="PMS0144"/>
    <s v="Masterista Syrup Peach 850ml"/>
    <n v="2"/>
    <s v="BTL"/>
    <n v="2"/>
    <n v="198000.02"/>
    <n v="0"/>
    <s v="Invoice"/>
    <s v="Sudah Jadi FJ"/>
    <s v=""/>
  </r>
  <r>
    <d v="2026-09-22T00:00:00"/>
    <d v="2026-09-21T00:00:00"/>
    <s v="SO-KU/2609/210023"/>
    <s v="MKU Bali"/>
    <x v="170"/>
    <x v="0"/>
    <x v="1"/>
    <s v="PMS0143"/>
    <s v="Masterista Syrup Premium Hazelnut 850 Ml"/>
    <n v="3"/>
    <s v="BTL"/>
    <n v="3"/>
    <n v="297000"/>
    <n v="0"/>
    <s v="Invoice"/>
    <s v="Sudah Jadi FJ"/>
    <s v=""/>
  </r>
  <r>
    <d v="2026-09-22T00:00:00"/>
    <d v="2026-09-21T00:00:00"/>
    <s v="SO-KU/2609/210023"/>
    <s v="MKU Bali"/>
    <x v="170"/>
    <x v="0"/>
    <x v="1"/>
    <s v="PMS0134"/>
    <s v="Masterista Syrup Salted Caramel 850 ML"/>
    <n v="4"/>
    <s v="BTL"/>
    <n v="4"/>
    <n v="396000"/>
    <n v="0"/>
    <s v="Invoice"/>
    <s v="Sudah Jadi FJ"/>
    <s v=""/>
  </r>
  <r>
    <d v="2026-09-22T00:00:00"/>
    <d v="2026-09-21T00:00:00"/>
    <s v="SO-KU/2609/210023"/>
    <s v="MKU Bali"/>
    <x v="170"/>
    <x v="0"/>
    <x v="1"/>
    <s v="PMS0093"/>
    <s v="Masterista Syrup Strawberry 850 Ml"/>
    <n v="3"/>
    <s v="BTL"/>
    <n v="3"/>
    <n v="330000"/>
    <n v="0"/>
    <s v="Invoice"/>
    <s v="Sudah Jadi FJ"/>
    <s v=""/>
  </r>
  <r>
    <d v="2026-09-22T00:00:00"/>
    <d v="2026-09-21T00:00:00"/>
    <s v="SO-KU/2609/210023"/>
    <s v="MKU Bali"/>
    <x v="170"/>
    <x v="0"/>
    <x v="1"/>
    <s v="PMS0094"/>
    <s v="Masterista Syrup Butterscotch 850 Ml"/>
    <n v="5"/>
    <s v="BTL"/>
    <n v="5"/>
    <n v="495000.01"/>
    <n v="0"/>
    <s v="Invoice"/>
    <s v="Sudah Jadi FJ"/>
    <s v=""/>
  </r>
  <r>
    <d v="2026-09-22T00:00:00"/>
    <d v="2026-09-21T00:00:00"/>
    <s v="SO-KU/2609/210023"/>
    <s v="MKU Bali"/>
    <x v="170"/>
    <x v="0"/>
    <x v="1"/>
    <s v="PMS0024"/>
    <s v="Masterista Original Matcha 800Gr"/>
    <n v="4"/>
    <s v="POU"/>
    <n v="4"/>
    <n v="606636"/>
    <n v="0"/>
    <s v="Invoice"/>
    <s v="Sudah Jadi FJ"/>
    <s v=""/>
  </r>
  <r>
    <d v="2026-09-22T00:00:00"/>
    <d v="2026-09-21T00:00:00"/>
    <s v="SO-KU/2609/210023"/>
    <s v="MKU Bali"/>
    <x v="170"/>
    <x v="0"/>
    <x v="1"/>
    <s v="PMS0026"/>
    <s v="Masterista Dark Chocolate 800Gr"/>
    <n v="3"/>
    <s v="POU"/>
    <n v="3"/>
    <n v="445054.5"/>
    <n v="0"/>
    <s v="Invoice"/>
    <s v="Sudah Jadi FJ"/>
    <s v=""/>
  </r>
  <r>
    <d v="2026-09-22T00:00:00"/>
    <d v="2026-09-21T00:00:00"/>
    <s v="SO-KU/2609/210023"/>
    <s v="MKU Bali"/>
    <x v="170"/>
    <x v="0"/>
    <x v="1"/>
    <s v="PMS0064"/>
    <s v="Frappe Powder Tiramisu Expecta 800gr"/>
    <n v="4"/>
    <s v="PACK"/>
    <n v="4"/>
    <n v="563436"/>
    <n v="0"/>
    <s v="Invoice"/>
    <s v="Sudah Jadi FJ"/>
    <s v=""/>
  </r>
  <r>
    <d v="2026-09-22T00:00:00"/>
    <d v="2026-09-21T00:00:00"/>
    <s v="SO-KU/2609/210024"/>
    <s v="MKU Bali"/>
    <x v="171"/>
    <x v="0"/>
    <x v="10"/>
    <s v="PAS0014"/>
    <s v="Crr Rock'n Hash Brown Triangular 10Kg/Ctn"/>
    <n v="4"/>
    <s v="KTN"/>
    <n v="4"/>
    <n v="2000000"/>
    <n v="0"/>
    <s v="Invoice"/>
    <s v="Sudah Jadi FJ"/>
    <s v=""/>
  </r>
  <r>
    <d v="2026-09-22T00:00:00"/>
    <d v="2026-09-21T00:00:00"/>
    <s v="SO-KU/2609/210025"/>
    <s v="MKU Bali"/>
    <x v="172"/>
    <x v="0"/>
    <x v="6"/>
    <s v="PMS0039"/>
    <s v="Flavorista Matcha (1000Gr/Pack)"/>
    <n v="40"/>
    <s v="PACK"/>
    <n v="40"/>
    <n v="3448800.15"/>
    <n v="0"/>
    <s v="Invoice"/>
    <s v="Sudah Jadi FJ"/>
    <s v="10+1"/>
  </r>
  <r>
    <d v="2026-09-22T00:00:00"/>
    <d v="2026-09-21T00:00:00"/>
    <s v="SO-KU/2609/210025"/>
    <s v="MKU Bali"/>
    <x v="172"/>
    <x v="0"/>
    <x v="6"/>
    <s v="PMS0134"/>
    <s v="Masterista Syrup Salted Caramel 850 ML"/>
    <n v="2"/>
    <s v="BTL"/>
    <n v="2"/>
    <n v="220000"/>
    <n v="0"/>
    <s v="Invoice"/>
    <s v="Sudah Jadi FJ"/>
    <s v="10+1"/>
  </r>
  <r>
    <d v="2026-09-22T00:00:00"/>
    <d v="2026-09-21T00:00:00"/>
    <s v="SO-KU/2609/210025"/>
    <s v="MKU Bali"/>
    <x v="172"/>
    <x v="0"/>
    <x v="6"/>
    <s v="PMS0181"/>
    <s v="Ice Shaken Pink Lava 1.000 Gr"/>
    <n v="10"/>
    <s v="PACK"/>
    <n v="10"/>
    <n v="806985.01"/>
    <n v="0"/>
    <s v="Invoice"/>
    <s v="Sudah Jadi FJ"/>
    <s v="10+1"/>
  </r>
  <r>
    <d v="2026-09-22T00:00:00"/>
    <d v="2026-09-21T00:00:00"/>
    <s v="SO-KU/2609/210026"/>
    <s v="MKU Bali"/>
    <x v="173"/>
    <x v="1"/>
    <x v="6"/>
    <s v="PMS0024"/>
    <s v="Masterista Original Matcha 800Gr"/>
    <n v="4"/>
    <s v="POU"/>
    <n v="4"/>
    <n v="674040"/>
    <n v="0"/>
    <s v="Invoice"/>
    <s v="Sudah Jadi FJ"/>
    <s v="Dikirim ke : kedai kopi koko renon"/>
  </r>
  <r>
    <d v="2026-09-22T00:00:00"/>
    <d v="2026-09-21T00:00:00"/>
    <s v="SO-KU/2609/210027"/>
    <s v="MKU Bali"/>
    <x v="33"/>
    <x v="0"/>
    <x v="7"/>
    <s v="POS0024"/>
    <s v="O Sole Pomodori Pelati Peeled Tomatoes 2.5Kg"/>
    <n v="30"/>
    <s v="CAN"/>
    <n v="30"/>
    <n v="2609999.9900000002"/>
    <n v="0"/>
    <s v="Invoice"/>
    <s v="Sudah Jadi FJ"/>
    <s v=""/>
  </r>
  <r>
    <d v="2026-09-22T00:00:00"/>
    <d v="2026-09-21T00:00:00"/>
    <s v="SO-KU/2609/210028"/>
    <s v="MKU Bali"/>
    <x v="174"/>
    <x v="1"/>
    <x v="10"/>
    <s v="PAS0014"/>
    <s v="Crr Rock'n Hash Brown Triangular 10Kg/Ctn"/>
    <n v="3"/>
    <s v="KTN"/>
    <n v="3"/>
    <n v="1650000.02"/>
    <n v="0"/>
    <s v="Invoice"/>
    <s v="Sudah Jadi FJ"/>
    <s v=""/>
  </r>
  <r>
    <d v="2026-09-22T00:00:00"/>
    <d v="2026-09-21T00:00:00"/>
    <s v="SO-KU/2609/210029"/>
    <s v="MKU Bali"/>
    <x v="175"/>
    <x v="0"/>
    <x v="11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9-22T00:00:00"/>
    <d v="2026-09-21T00:00:00"/>
    <s v="SO-KU/2609/210029"/>
    <s v="MKU Bali"/>
    <x v="175"/>
    <x v="0"/>
    <x v="11"/>
    <s v="PMS0024"/>
    <s v="Masterista Original Matcha 800Gr"/>
    <n v="1"/>
    <s v="POU"/>
    <n v="1"/>
    <n v="168510"/>
    <n v="0"/>
    <s v="Invoice"/>
    <s v="Sudah Jadi FJ"/>
    <s v=""/>
  </r>
  <r>
    <d v="2026-09-22T00:00:00"/>
    <d v="2026-09-21T00:00:00"/>
    <s v="SO-KU/2609/210030"/>
    <s v="MKU Bali"/>
    <x v="176"/>
    <x v="0"/>
    <x v="8"/>
    <s v="PAS0014"/>
    <s v="Crr Rock'n Hash Brown Triangular 10Kg/Ctn"/>
    <n v="3"/>
    <s v="KTN"/>
    <n v="3"/>
    <n v="1590000"/>
    <n v="0"/>
    <s v="Invoice"/>
    <s v="Sudah Jadi FJ"/>
    <s v=""/>
  </r>
  <r>
    <d v="2026-09-22T00:00:00"/>
    <d v="2026-09-21T00:00:00"/>
    <s v="SO-KU/2609/210031"/>
    <s v="MKU Bali"/>
    <x v="177"/>
    <x v="1"/>
    <x v="3"/>
    <s v="PMS0024"/>
    <s v="Masterista Original Matcha 800Gr"/>
    <n v="2"/>
    <s v="POU"/>
    <n v="2"/>
    <n v="337020"/>
    <n v="0"/>
    <s v="Invoice"/>
    <s v="Sudah Jadi FJ"/>
    <s v=""/>
  </r>
  <r>
    <d v="2026-09-22T00:00:00"/>
    <d v="2026-09-21T00:00:00"/>
    <s v="SO-KU/2609/210031"/>
    <s v="MKU Bali"/>
    <x v="177"/>
    <x v="1"/>
    <x v="3"/>
    <s v="PMS0026"/>
    <s v="Masterista Dark Chocolate 800Gr"/>
    <n v="1"/>
    <s v="POU"/>
    <n v="1"/>
    <n v="164835"/>
    <n v="0"/>
    <s v="Invoice"/>
    <s v="Sudah Jadi FJ"/>
    <s v=""/>
  </r>
  <r>
    <d v="2026-09-22T00:00:00"/>
    <d v="2026-09-21T00:00:00"/>
    <s v="SO-KU/2609/210032"/>
    <s v="MKU Bali"/>
    <x v="125"/>
    <x v="1"/>
    <x v="6"/>
    <s v="PMS0024"/>
    <s v="Masterista Original Matcha 800Gr"/>
    <n v="1"/>
    <s v="POU"/>
    <n v="1"/>
    <n v="168510"/>
    <n v="0"/>
    <s v="Invoice"/>
    <s v="Sudah Jadi FJ"/>
    <s v=""/>
  </r>
  <r>
    <d v="2026-09-22T00:00:00"/>
    <d v="2026-09-21T00:00:00"/>
    <s v="SO-KU/2609/210032"/>
    <s v="MKU Bali"/>
    <x v="125"/>
    <x v="1"/>
    <x v="6"/>
    <s v="PMS0026"/>
    <s v="Masterista Dark Chocolate 800Gr"/>
    <n v="1"/>
    <s v="POU"/>
    <n v="1"/>
    <n v="164835"/>
    <n v="0"/>
    <s v="Invoice"/>
    <s v="Sudah Jadi FJ"/>
    <s v=""/>
  </r>
  <r>
    <d v="2026-09-22T00:00:00"/>
    <d v="2026-09-21T00:00:00"/>
    <s v="SO-KU/2609/210032"/>
    <s v="MKU Bali"/>
    <x v="125"/>
    <x v="1"/>
    <x v="6"/>
    <s v="PMS0131"/>
    <s v="Masterista Syrup Tropical Lychee 850 Ml"/>
    <n v="1"/>
    <s v="BTL"/>
    <n v="1"/>
    <n v="110000"/>
    <n v="0"/>
    <s v="Invoice"/>
    <s v="Sudah Jadi FJ"/>
    <s v=""/>
  </r>
  <r>
    <d v="2026-09-22T00:00:00"/>
    <d v="2026-09-21T00:00:00"/>
    <s v="SO-KU/2609/210033"/>
    <s v="MKU Bali"/>
    <x v="43"/>
    <x v="1"/>
    <x v="10"/>
    <s v="PAS0014"/>
    <s v="Crr Rock'n Hash Brown Triangular 10Kg/Ctn"/>
    <n v="5"/>
    <s v="KTN"/>
    <n v="5"/>
    <n v="3100000.01"/>
    <n v="0"/>
    <s v="Invoice"/>
    <s v="Sudah Jadi FJ"/>
    <s v=""/>
  </r>
  <r>
    <d v="2026-09-22T00:00:00"/>
    <d v="2026-09-21T00:00:00"/>
    <s v="SO-KU/2609/210034"/>
    <s v="MKU Bali"/>
    <x v="178"/>
    <x v="0"/>
    <x v="4"/>
    <s v="PAS0014"/>
    <s v="Crr Rock'n Hash Brown Triangular 10Kg/Ctn"/>
    <n v="2"/>
    <s v="KTN"/>
    <n v="2"/>
    <n v="959999.99"/>
    <n v="0"/>
    <s v="Invoice"/>
    <s v="Sudah Jadi FJ"/>
    <s v="Warung Local Office Muding"/>
  </r>
  <r>
    <d v="2026-09-22T00:00:00"/>
    <d v="2026-09-21T00:00:00"/>
    <s v="SO-KU/2609/210035"/>
    <s v="MKU Bali"/>
    <x v="179"/>
    <x v="1"/>
    <x v="2"/>
    <s v="POS0024"/>
    <s v="O Sole Pomodori Pelati Peeled Tomatoes 2.5Kg"/>
    <n v="6"/>
    <s v="CAN"/>
    <n v="6"/>
    <n v="570000"/>
    <n v="0"/>
    <s v="Invoice"/>
    <s v="Sudah Jadi FJ"/>
    <s v=""/>
  </r>
  <r>
    <d v="2026-09-22T00:00:00"/>
    <d v="2026-09-21T00:00:00"/>
    <s v="SO-KU/2609/210036"/>
    <s v="MKU Bali"/>
    <x v="180"/>
    <x v="0"/>
    <x v="19"/>
    <s v="PSJ0029"/>
    <s v="Iga Babi"/>
    <n v="300"/>
    <s v="KG"/>
    <n v="300.60000000000002"/>
    <n v="34569000"/>
    <n v="0.6"/>
    <s v="Invoice"/>
    <s v="Sudah Jadi FJ"/>
    <s v="Mohon sampai nuris seminyak jam 9 Pagi_x000a_"/>
  </r>
  <r>
    <d v="2026-09-22T00:00:00"/>
    <d v="2026-09-21T00:00:00"/>
    <s v="SO-KU/2609/210037"/>
    <s v="MKU Bali"/>
    <x v="181"/>
    <x v="1"/>
    <x v="3"/>
    <s v="PAS0027"/>
    <s v="Maestro FF 10x10mm Straight Cut 10Kg/Ctn"/>
    <n v="4"/>
    <s v="KTN"/>
    <n v="4"/>
    <n v="1360000.06"/>
    <n v="0"/>
    <s v="Invoice"/>
    <s v="Sudah Jadi FJ"/>
    <s v=""/>
  </r>
  <r>
    <d v="2026-09-22T00:00:00"/>
    <d v="2026-09-21T00:00:00"/>
    <s v="SO-KU/2609/210038"/>
    <s v="MKU Bali"/>
    <x v="182"/>
    <x v="0"/>
    <x v="11"/>
    <s v="PAS0014"/>
    <s v="Crr Rock'n Hash Brown Triangular 10Kg/Ctn"/>
    <n v="2"/>
    <s v="KTN"/>
    <n v="2"/>
    <n v="1100000.01"/>
    <n v="0"/>
    <s v="Invoice"/>
    <s v="Sudah Jadi FJ"/>
    <s v=""/>
  </r>
  <r>
    <d v="2026-09-22T00:00:00"/>
    <d v="2026-09-21T00:00:00"/>
    <s v="SO-KU/2609/210039"/>
    <s v="MKU Bali"/>
    <x v="183"/>
    <x v="0"/>
    <x v="6"/>
    <s v="PMS0157"/>
    <s v="Masterista Syrup Spicy Ginger 850 Ml"/>
    <n v="6"/>
    <s v="BTL"/>
    <n v="6"/>
    <n v="660000.01"/>
    <n v="0"/>
    <s v="Invoice"/>
    <s v="Sudah Jadi FJ"/>
    <s v=""/>
  </r>
  <r>
    <d v="2026-09-22T00:00:00"/>
    <d v="2026-09-21T00:00:00"/>
    <s v="SO-KU/2609/210040"/>
    <s v="MKU Bali"/>
    <x v="184"/>
    <x v="0"/>
    <x v="8"/>
    <s v="PAS0014"/>
    <s v="Crr Rock'n Hash Brown Triangular 10Kg/Ctn"/>
    <n v="2"/>
    <s v="KTN"/>
    <n v="2"/>
    <n v="1100000.01"/>
    <n v="0"/>
    <s v="Invoice"/>
    <s v="Sudah Jadi FJ"/>
    <s v=""/>
  </r>
  <r>
    <d v="2026-09-22T00:00:00"/>
    <d v="2026-09-21T00:00:00"/>
    <s v="SO-KU/2609/210041"/>
    <s v="MKU Bali"/>
    <x v="185"/>
    <x v="1"/>
    <x v="2"/>
    <s v="PAS0036"/>
    <s v="Crr Rock'n Hash Brown Triangular 2.5Kg"/>
    <n v="3"/>
    <s v="PACK"/>
    <n v="3"/>
    <n v="465000"/>
    <n v="0"/>
    <s v="Invoice"/>
    <s v="Sudah Jadi FJ"/>
    <s v="KIRIM KINTAMANI_x000a_"/>
  </r>
  <r>
    <d v="2026-09-22T00:00:00"/>
    <d v="2026-09-21T00:00:00"/>
    <s v="SO-KU/2609/210041"/>
    <s v="MKU Bali"/>
    <x v="185"/>
    <x v="1"/>
    <x v="2"/>
    <s v="PAS0049"/>
    <s v="Maestro Crincle Cut 2.5 Kg"/>
    <n v="2"/>
    <s v="PACK"/>
    <n v="2"/>
    <n v="150000.01"/>
    <n v="0"/>
    <s v="Invoice"/>
    <s v="Sudah Jadi FJ"/>
    <s v="KIRIM KINTAMANI_x000a_"/>
  </r>
  <r>
    <d v="2026-09-22T00:00:00"/>
    <d v="2026-09-21T00:00:00"/>
    <s v="SO-KU/2609/210042"/>
    <s v="MKU Bali"/>
    <x v="59"/>
    <x v="0"/>
    <x v="2"/>
    <s v="PAS0036"/>
    <s v="Crr Rock'n Hash Brown Triangular 2.5Kg"/>
    <n v="10"/>
    <s v="PACK"/>
    <n v="10"/>
    <n v="1174999.99"/>
    <n v="0"/>
    <s v="Invoice"/>
    <s v="Sudah Jadi FJ"/>
    <s v=" KIRIM KINTAMANI"/>
  </r>
  <r>
    <d v="2026-09-22T00:00:00"/>
    <d v="2026-09-21T00:00:00"/>
    <s v="SO-KU/2609/210043"/>
    <s v="MKU Bali"/>
    <x v="178"/>
    <x v="0"/>
    <x v="4"/>
    <s v="PAS0041"/>
    <s v="Maestro FF 10x10mm Straight Cut 2.5 Kg"/>
    <n v="2"/>
    <s v="PACK"/>
    <n v="2"/>
    <n v="180000.02"/>
    <n v="0"/>
    <s v="Invoice"/>
    <s v="Sudah Jadi FJ"/>
    <s v="Warung Local Canggu"/>
  </r>
  <r>
    <d v="2026-09-22T00:00:00"/>
    <d v="2026-09-21T00:00:00"/>
    <s v="SO-KU/2609/210044"/>
    <s v="MKU Bali"/>
    <x v="50"/>
    <x v="0"/>
    <x v="9"/>
    <s v="POS0024"/>
    <s v="O Sole Pomodori Pelati Peeled Tomatoes 2.5Kg"/>
    <n v="3"/>
    <s v="CAN"/>
    <n v="3"/>
    <n v="275999.99"/>
    <n v="0"/>
    <s v="Invoice"/>
    <s v="Sudah Jadi FJ"/>
    <s v=""/>
  </r>
  <r>
    <d v="2026-09-22T00:00:00"/>
    <d v="2026-09-21T00:00:00"/>
    <s v="SO-KU/2609/210045"/>
    <s v="MKU Bali"/>
    <x v="186"/>
    <x v="1"/>
    <x v="18"/>
    <s v="PMS0170"/>
    <s v="Masterista Syrup Cranberries 850 Ml"/>
    <n v="1"/>
    <s v="BTL"/>
    <n v="1"/>
    <n v="110000"/>
    <n v="0"/>
    <s v="Invoice"/>
    <s v="Sudah Jadi FJ"/>
    <s v="BUNGA MASTERISTA"/>
  </r>
  <r>
    <d v="2026-09-22T00:00:00"/>
    <d v="2026-09-21T00:00:00"/>
    <s v="SO-KU/2609/210045"/>
    <s v="MKU Bali"/>
    <x v="186"/>
    <x v="1"/>
    <x v="18"/>
    <s v="PMS0141"/>
    <s v="Flavourista Syrup Strawberry 1000 Ml"/>
    <n v="1"/>
    <s v="BTL"/>
    <n v="1"/>
    <n v="89874"/>
    <n v="0"/>
    <s v="Invoice"/>
    <s v="Sudah Jadi FJ"/>
    <s v="BUNGA MASTERISTA"/>
  </r>
  <r>
    <d v="2026-09-22T00:00:00"/>
    <d v="2026-09-21T00:00:00"/>
    <s v="SO-KU/2609/210046"/>
    <s v="MKU Bali"/>
    <x v="187"/>
    <x v="1"/>
    <x v="7"/>
    <s v="PMS0178"/>
    <s v="Masterista Ceremonial Pure Matcha Powder 500 Gr"/>
    <n v="1"/>
    <s v="PACK"/>
    <n v="1"/>
    <n v="1148850"/>
    <n v="0"/>
    <s v="Invoice"/>
    <s v="Sudah Jadi FJ"/>
    <s v=""/>
  </r>
  <r>
    <d v="2026-09-22T00:00:00"/>
    <d v="2026-09-21T00:00:00"/>
    <s v="SO-KU/2609/210047"/>
    <s v="MKU Bali"/>
    <x v="188"/>
    <x v="1"/>
    <x v="7"/>
    <s v="PMS0024"/>
    <s v="Masterista Original Matcha 800Gr"/>
    <n v="8"/>
    <s v="POU"/>
    <n v="8"/>
    <n v="1348079.99"/>
    <n v="0"/>
    <s v="Invoice"/>
    <s v="Sudah Jadi FJ"/>
    <s v=""/>
  </r>
  <r>
    <d v="2026-09-22T00:00:00"/>
    <d v="2026-09-21T00:00:00"/>
    <s v="SO-KU/2609/210047"/>
    <s v="MKU Bali"/>
    <x v="188"/>
    <x v="1"/>
    <x v="7"/>
    <s v="PMS0026"/>
    <s v="Masterista Dark Chocolate 800Gr"/>
    <n v="5"/>
    <s v="POU"/>
    <n v="5"/>
    <n v="824175"/>
    <n v="0"/>
    <s v="Invoice"/>
    <s v="Sudah Jadi FJ"/>
    <s v=""/>
  </r>
  <r>
    <d v="2026-09-22T00:00:00"/>
    <d v="2026-09-21T00:00:00"/>
    <s v="SO-KU/2609/210047"/>
    <s v="MKU Bali"/>
    <x v="188"/>
    <x v="1"/>
    <x v="7"/>
    <s v="PMS0042"/>
    <s v="Flavorista Thai Tea (1000Gr/Pack)"/>
    <n v="5"/>
    <s v="PACK"/>
    <n v="5"/>
    <n v="430125"/>
    <n v="0"/>
    <s v="Invoice"/>
    <s v="Sudah Jadi FJ"/>
    <s v=""/>
  </r>
  <r>
    <d v="2026-09-22T00:00:00"/>
    <d v="2026-09-21T00:00:00"/>
    <s v="SO-KU/2609/210048"/>
    <s v="MKU Bali"/>
    <x v="189"/>
    <x v="0"/>
    <x v="5"/>
    <s v="ASS-EBT"/>
    <s v="English Breakfast@50TB/Box"/>
    <n v="10"/>
    <s v="BOX"/>
    <n v="10"/>
    <n v="1065900.03"/>
    <n v="0"/>
    <s v="Invoice"/>
    <s v="Sudah Jadi FJ"/>
    <s v=""/>
  </r>
  <r>
    <d v="2026-09-22T00:00:00"/>
    <d v="2026-09-21T00:00:00"/>
    <s v="SO-KU/2609/210048"/>
    <s v="MKU Bali"/>
    <x v="189"/>
    <x v="0"/>
    <x v="5"/>
    <s v="ASS-LY-TB50"/>
    <s v="Lychee Tea @50TB/Box"/>
    <n v="5"/>
    <s v="BOX"/>
    <n v="5"/>
    <n v="589050.03"/>
    <n v="0"/>
    <s v="Invoice"/>
    <s v="Sudah Jadi FJ"/>
    <s v=""/>
  </r>
  <r>
    <d v="2026-09-22T00:00:00"/>
    <d v="2026-09-21T00:00:00"/>
    <s v="SO-KU/2609/210049"/>
    <s v="MKU Bali"/>
    <x v="66"/>
    <x v="1"/>
    <x v="4"/>
    <s v="PMS0024"/>
    <s v="Masterista Original Matcha 800Gr"/>
    <n v="1"/>
    <s v="POU"/>
    <n v="1"/>
    <n v="168510"/>
    <n v="0"/>
    <s v="Invoice"/>
    <s v="Sudah Jadi FJ"/>
    <s v=""/>
  </r>
  <r>
    <d v="2026-09-22T00:00:00"/>
    <d v="2026-09-21T00:00:00"/>
    <s v="SO-KU/2609/210049"/>
    <s v="MKU Bali"/>
    <x v="66"/>
    <x v="1"/>
    <x v="4"/>
    <s v="PMS0026"/>
    <s v="Masterista Dark Chocolate 800Gr"/>
    <n v="1"/>
    <s v="POU"/>
    <n v="1"/>
    <n v="164835"/>
    <n v="0"/>
    <s v="Invoice"/>
    <s v="Sudah Jadi FJ"/>
    <s v=""/>
  </r>
  <r>
    <d v="2026-09-22T00:00:00"/>
    <d v="2026-09-21T00:00:00"/>
    <s v="SO-KU/2609/210050"/>
    <s v="MKU Bali"/>
    <x v="8"/>
    <x v="0"/>
    <x v="2"/>
    <s v="POS0024"/>
    <s v="O Sole Pomodori Pelati Peeled Tomatoes 2.5Kg"/>
    <n v="6"/>
    <s v="CAN"/>
    <n v="6"/>
    <n v="480000"/>
    <n v="0"/>
    <s v="Invoice"/>
    <s v="Sudah Jadi FJ"/>
    <s v=""/>
  </r>
  <r>
    <d v="2026-09-22T00:00:00"/>
    <d v="2026-09-21T00:00:00"/>
    <s v="SO-KU/2609/210051"/>
    <s v="MKU Bali"/>
    <x v="64"/>
    <x v="0"/>
    <x v="15"/>
    <s v="POS0024"/>
    <s v="O Sole Pomodori Pelati Peeled Tomatoes 2.5Kg"/>
    <n v="6"/>
    <s v="CAN"/>
    <n v="6"/>
    <n v="450000.02"/>
    <n v="0"/>
    <s v="Invoice"/>
    <s v="Sudah Jadi FJ"/>
    <s v="di kirim besok _x000a_Rocky cargo Sanur"/>
  </r>
  <r>
    <d v="2026-09-22T00:00:00"/>
    <d v="2026-09-21T00:00:00"/>
    <s v="SO-KU/2609/210051"/>
    <s v="MKU Bali"/>
    <x v="64"/>
    <x v="0"/>
    <x v="15"/>
    <s v="PMS0130"/>
    <s v="Masterista Syrup Classic Caramel 850ml"/>
    <n v="6"/>
    <s v="BTL"/>
    <n v="6"/>
    <n v="586080"/>
    <n v="0"/>
    <s v="Invoice"/>
    <s v="Sudah Jadi FJ"/>
    <s v="di kirim besok _x000a_Rocky cargo Sanur"/>
  </r>
  <r>
    <d v="2026-09-22T00:00:00"/>
    <d v="2026-09-21T00:00:00"/>
    <s v="SO-KU/2609/210051"/>
    <s v="MKU Bali"/>
    <x v="64"/>
    <x v="0"/>
    <x v="15"/>
    <s v="PMS0132"/>
    <s v="Masterista Syrup Vanilla Tradition 850ml"/>
    <n v="6"/>
    <s v="BTL"/>
    <n v="6"/>
    <n v="586080"/>
    <n v="0"/>
    <s v="Invoice"/>
    <s v="Sudah Jadi FJ"/>
    <s v="di kirim besok _x000a_Rocky cargo Sanur"/>
  </r>
  <r>
    <d v="2026-09-22T00:00:00"/>
    <d v="2026-09-21T00:00:00"/>
    <s v="SO-KU/2609/210051"/>
    <s v="MKU Bali"/>
    <x v="64"/>
    <x v="0"/>
    <x v="15"/>
    <s v="POS0026"/>
    <s v="O Sole Olive Nere Denocciolate 4.1 Kg"/>
    <n v="6"/>
    <s v="CAN"/>
    <n v="6"/>
    <n v="1410000.05"/>
    <n v="0"/>
    <s v="Invoice"/>
    <s v="Sudah Jadi FJ"/>
    <s v="di kirim besok _x000a_Rocky cargo Sanur"/>
  </r>
  <r>
    <d v="2026-09-22T00:00:00"/>
    <d v="2026-09-21T00:00:00"/>
    <s v="SO-KU/2609/210051"/>
    <s v="MKU Bali"/>
    <x v="64"/>
    <x v="0"/>
    <x v="15"/>
    <s v="POT0093"/>
    <s v="Bali Hai Quart 620 Ml"/>
    <n v="24"/>
    <s v="BTL"/>
    <n v="24"/>
    <n v="792000.01"/>
    <n v="0"/>
    <s v="Invoice"/>
    <s v="Sudah Jadi FJ"/>
    <s v="di kirim besok _x000a_Rocky cargo Sanur"/>
  </r>
  <r>
    <d v="2026-09-22T00:00:00"/>
    <d v="2026-09-21T00:00:00"/>
    <s v="SO-KU/2609/210051"/>
    <s v="MKU Bali"/>
    <x v="64"/>
    <x v="0"/>
    <x v="15"/>
    <s v="POT0095"/>
    <s v="Bali Hai Draft Quart 620 Ml"/>
    <n v="24"/>
    <s v="BTL"/>
    <n v="24"/>
    <n v="671999.86"/>
    <n v="0"/>
    <s v="Invoice"/>
    <s v="Sudah Jadi FJ"/>
    <s v="di kirim besok _x000a_Rocky cargo Sanur"/>
  </r>
  <r>
    <d v="2026-09-22T00:00:00"/>
    <d v="2026-09-21T00:00:00"/>
    <s v="SO-KU/2609/210052"/>
    <s v="MKU Bali"/>
    <x v="64"/>
    <x v="0"/>
    <x v="15"/>
    <s v="PAS0041"/>
    <s v="Maestro FF 10x10mm Straight Cut 2.5 Kg"/>
    <n v="20"/>
    <s v="PACK"/>
    <n v="20"/>
    <n v="1299999.99"/>
    <n v="0"/>
    <s v="Invoice"/>
    <s v="Sudah Jadi FJ"/>
    <s v="di kirim besok _x000a_Rocky cargo Sanur"/>
  </r>
  <r>
    <d v="2026-09-22T00:00:00"/>
    <d v="2026-09-21T00:00:00"/>
    <s v="SO-KU/2609/210052"/>
    <s v="MKU Bali"/>
    <x v="64"/>
    <x v="0"/>
    <x v="15"/>
    <s v="PQW0012"/>
    <s v="IQF FF Shoestring 2.5 Kg/Pack"/>
    <n v="24"/>
    <s v="PACK"/>
    <n v="24"/>
    <n v="1469999.99"/>
    <n v="0"/>
    <s v="Invoice"/>
    <s v="Sudah Jadi FJ"/>
    <s v="di kirim besok _x000a_Rocky cargo Sanur"/>
  </r>
  <r>
    <d v="2026-09-22T00:00:00"/>
    <d v="2026-09-21T00:00:00"/>
    <s v="SO-KU/2609/210052"/>
    <s v="MKU Bali"/>
    <x v="64"/>
    <x v="0"/>
    <x v="15"/>
    <s v="PAS0036"/>
    <s v="Crr Rock'n Hash Brown Triangular 2.5Kg"/>
    <n v="24"/>
    <s v="PACK"/>
    <n v="24"/>
    <n v="2519999.9900000002"/>
    <n v="0"/>
    <s v="Invoice"/>
    <s v="Sudah Jadi FJ"/>
    <s v="di kirim besok _x000a_Rocky cargo Sanur"/>
  </r>
  <r>
    <d v="2026-09-22T00:00:00"/>
    <d v="2026-09-21T00:00:00"/>
    <s v="SO-KU/2609/210054"/>
    <s v="MKU Bali"/>
    <x v="190"/>
    <x v="0"/>
    <x v="9"/>
    <s v="POS0026"/>
    <s v="O Sole Olive Nere Denocciolate 4.1 Kg"/>
    <n v="2"/>
    <s v="CAN"/>
    <n v="2"/>
    <n v="530000"/>
    <n v="0"/>
    <s v="Invoice"/>
    <s v="Sudah Jadi FJ"/>
    <s v=""/>
  </r>
  <r>
    <d v="2026-09-22T00:00:00"/>
    <d v="2026-09-21T00:00:00"/>
    <s v="SO-KU/2609/210056"/>
    <s v="MKU Bali"/>
    <x v="78"/>
    <x v="0"/>
    <x v="5"/>
    <s v="ASS-EG-LP250"/>
    <s v="Earl Grey @250gr"/>
    <n v="1"/>
    <s v="PACK"/>
    <n v="1"/>
    <n v="249750"/>
    <n v="0"/>
    <s v="Invoice"/>
    <s v="Sudah Jadi FJ"/>
    <s v="INTERNASIONA"/>
  </r>
  <r>
    <d v="2026-09-22T00:00:00"/>
    <d v="2026-09-21T00:00:00"/>
    <s v="SO-KU/2609/210056"/>
    <s v="MKU Bali"/>
    <x v="78"/>
    <x v="0"/>
    <x v="5"/>
    <s v="ASS-JT-LP250"/>
    <s v="Jasmine Tea @250gr/Pouch"/>
    <n v="1"/>
    <s v="POU"/>
    <n v="1"/>
    <n v="202020"/>
    <n v="0"/>
    <s v="Invoice"/>
    <s v="Sudah Jadi FJ"/>
    <s v="INTERNASIONA"/>
  </r>
  <r>
    <d v="2026-09-22T00:00:00"/>
    <d v="2026-09-21T00:00:00"/>
    <s v="SO-KU/2609/210056"/>
    <s v="MKU Bali"/>
    <x v="78"/>
    <x v="0"/>
    <x v="5"/>
    <s v="ASS-PP-LP250"/>
    <s v="Peppermint @250gr"/>
    <n v="2"/>
    <s v="POU"/>
    <n v="2"/>
    <n v="532800"/>
    <n v="0"/>
    <s v="Invoice"/>
    <s v="Sudah Jadi FJ"/>
    <s v="INTERNASIONA"/>
  </r>
  <r>
    <d v="2026-09-22T00:00:00"/>
    <d v="2026-09-21T00:00:00"/>
    <s v="SO-KU/2609/210056"/>
    <s v="MKU Bali"/>
    <x v="78"/>
    <x v="0"/>
    <x v="5"/>
    <s v="ASS-PL-LP250"/>
    <s v="Lemongrass @250gr"/>
    <n v="1"/>
    <s v="POU"/>
    <n v="1"/>
    <n v="149850"/>
    <n v="0"/>
    <s v="Invoice"/>
    <s v="Sudah Jadi FJ"/>
    <s v="INTERNASIONA"/>
  </r>
  <r>
    <d v="2026-09-22T00:00:00"/>
    <d v="2026-09-21T00:00:00"/>
    <s v="SO-KU/2609/210058"/>
    <s v="MKU Bali"/>
    <x v="78"/>
    <x v="0"/>
    <x v="5"/>
    <s v="PEA0010"/>
    <s v="Gold Box Extra Butter MP341 1 Kg"/>
    <n v="4"/>
    <s v="KG"/>
    <n v="4"/>
    <n v="436000.01"/>
    <n v="0"/>
    <s v="Invoice"/>
    <s v="Sudah Jadi FJ"/>
    <s v="INTERNASIONA"/>
  </r>
  <r>
    <d v="2026-09-22T00:00:00"/>
    <d v="2026-09-21T00:00:00"/>
    <s v="SO-KU/2609/210060"/>
    <s v="MKU Bali"/>
    <x v="191"/>
    <x v="0"/>
    <x v="18"/>
    <s v="POT0120"/>
    <s v="Bottegaio Umbro Olio Evo Cucina 5Lt"/>
    <n v="3"/>
    <s v="GLN"/>
    <n v="3"/>
    <n v="2507490"/>
    <n v="0"/>
    <s v="Invoice"/>
    <s v="Sudah Jadi FJ"/>
    <s v="SPC SBY"/>
  </r>
  <r>
    <d v="2026-09-22T00:00:00"/>
    <d v="2026-09-21T00:00:00"/>
    <s v="SO-KU/2609/210061"/>
    <s v="MKU Bali"/>
    <x v="192"/>
    <x v="1"/>
    <x v="6"/>
    <s v="PMS0039"/>
    <s v="Flavorista Matcha (1000Gr/Pack)"/>
    <n v="1"/>
    <s v="PACK"/>
    <n v="1"/>
    <n v="95800"/>
    <n v="0"/>
    <s v="Invoice"/>
    <s v="Sudah Jadi FJ"/>
    <s v=""/>
  </r>
  <r>
    <d v="2026-09-22T00:00:00"/>
    <d v="2026-09-21T00:00:00"/>
    <s v="SO-KU/2609/210061"/>
    <s v="MKU Bali"/>
    <x v="192"/>
    <x v="1"/>
    <x v="6"/>
    <s v="PMS0038"/>
    <s v="Flavorista Chocolate base (1000Gr/Pack)"/>
    <n v="2"/>
    <s v="PACK"/>
    <n v="2"/>
    <n v="198690"/>
    <n v="0"/>
    <s v="Invoice"/>
    <s v="Sudah Jadi FJ"/>
    <s v=""/>
  </r>
  <r>
    <d v="2026-09-22T00:00:00"/>
    <d v="2026-09-21T00:00:00"/>
    <s v="SO-KU/2609/210061"/>
    <s v="MKU Bali"/>
    <x v="192"/>
    <x v="1"/>
    <x v="6"/>
    <s v="PMS0165"/>
    <s v="Flavourista Syrup Vanilla 1000 Ml"/>
    <n v="1"/>
    <s v="BTL"/>
    <n v="1"/>
    <n v="89874.01"/>
    <n v="0"/>
    <s v="Invoice"/>
    <s v="Sudah Jadi FJ"/>
    <s v=""/>
  </r>
  <r>
    <d v="2026-09-22T00:00:00"/>
    <d v="2026-09-21T00:00:00"/>
    <s v="SO-KU/2609/210063"/>
    <s v="MKU Bali"/>
    <x v="193"/>
    <x v="0"/>
    <x v="8"/>
    <s v="PMS0092"/>
    <s v="Master House Blend 04 (60:40) M"/>
    <n v="12"/>
    <s v="PACK"/>
    <n v="12"/>
    <n v="3503160"/>
    <n v="0"/>
    <s v="Invoice"/>
    <s v="Sudah Jadi FJ"/>
    <s v=""/>
  </r>
  <r>
    <d v="2026-09-22T00:00:00"/>
    <d v="2026-09-21T00:00:00"/>
    <s v="SO-KU/2609/210064"/>
    <s v="MKU Bali"/>
    <x v="194"/>
    <x v="1"/>
    <x v="4"/>
    <s v="POT0156"/>
    <s v="Premium Hash Brown 2.5Kg"/>
    <n v="2"/>
    <s v="PACK"/>
    <n v="2"/>
    <n v="240000"/>
    <n v="0"/>
    <s v="Invoice"/>
    <s v="Sudah Jadi FJ"/>
    <s v=""/>
  </r>
  <r>
    <d v="2026-09-22T00:00:00"/>
    <d v="2026-09-21T00:00:00"/>
    <s v="SO-KU/2609/210065"/>
    <s v="MKU Bali"/>
    <x v="195"/>
    <x v="0"/>
    <x v="4"/>
    <s v="PAS0040"/>
    <s v="Crr Rock'n Batter Skin On Fries 9x9mm 2.5 Kg"/>
    <n v="10"/>
    <s v="PACK"/>
    <n v="10"/>
    <n v="1425000.02"/>
    <n v="0"/>
    <s v="Invoice"/>
    <s v="Sudah Jadi FJ"/>
    <s v=""/>
  </r>
  <r>
    <d v="2026-09-22T00:00:00"/>
    <d v="2026-09-21T00:00:00"/>
    <s v="SO-KU/2609/210067"/>
    <s v="MKU Bali"/>
    <x v="196"/>
    <x v="0"/>
    <x v="8"/>
    <s v="POT0156"/>
    <s v="Premium Hash Brown 2.5Kg"/>
    <n v="6"/>
    <s v="PACK"/>
    <n v="6"/>
    <n v="825000.84"/>
    <n v="0"/>
    <s v="Invoice"/>
    <s v="Sudah Jadi FJ"/>
    <s v=""/>
  </r>
  <r>
    <d v="2026-09-22T00:00:00"/>
    <d v="2026-09-21T00:00:00"/>
    <s v="SO-KU/2609/210069"/>
    <s v="MKU Bali"/>
    <x v="197"/>
    <x v="1"/>
    <x v="2"/>
    <s v="PMS0024"/>
    <s v="Masterista Original Matcha 800Gr"/>
    <n v="1"/>
    <s v="POU"/>
    <n v="1"/>
    <n v="168510"/>
    <n v="0"/>
    <s v="Invoice"/>
    <s v="Sudah Jadi FJ"/>
    <s v=""/>
  </r>
  <r>
    <d v="2026-09-22T00:00:00"/>
    <d v="2026-09-21T00:00:00"/>
    <s v="SO-KU/2609/210069"/>
    <s v="MKU Bali"/>
    <x v="197"/>
    <x v="1"/>
    <x v="2"/>
    <s v="PMS0026"/>
    <s v="Masterista Dark Chocolate 800Gr"/>
    <n v="1"/>
    <s v="POU"/>
    <n v="1"/>
    <n v="164835"/>
    <n v="0"/>
    <s v="Invoice"/>
    <s v="Sudah Jadi FJ"/>
    <s v=""/>
  </r>
  <r>
    <d v="2026-09-22T00:00:00"/>
    <d v="2026-09-21T00:00:00"/>
    <s v="SO-KU/2609/210070"/>
    <s v="MKU Bali"/>
    <x v="198"/>
    <x v="0"/>
    <x v="8"/>
    <s v="POT0156"/>
    <s v="Premium Hash Brown 2.5Kg"/>
    <n v="2"/>
    <s v="PACK"/>
    <n v="2"/>
    <n v="310000"/>
    <n v="0"/>
    <s v="Invoice"/>
    <s v="Sudah Jadi FJ"/>
    <s v=""/>
  </r>
  <r>
    <d v="2026-09-22T00:00:00"/>
    <d v="2026-09-21T00:00:00"/>
    <s v="SO-KU/2609/210071"/>
    <s v="MKU Bali"/>
    <x v="198"/>
    <x v="0"/>
    <x v="8"/>
    <s v="POT0156"/>
    <s v="Premium Hash Brown 2.5Kg"/>
    <n v="4"/>
    <s v="PACK"/>
    <n v="4"/>
    <n v="620000"/>
    <n v="0"/>
    <s v="Invoice"/>
    <s v="Sudah Jadi FJ"/>
    <s v=""/>
  </r>
  <r>
    <d v="2026-09-22T00:00:00"/>
    <d v="2026-09-21T00:00:00"/>
    <s v="SO-KU/2609/210072"/>
    <s v="MKU Bali"/>
    <x v="199"/>
    <x v="1"/>
    <x v="2"/>
    <s v="PMS0150"/>
    <s v="Masterista Syrup Natural Mint 850 Ml"/>
    <n v="2"/>
    <s v="BTL"/>
    <n v="2"/>
    <n v="220000"/>
    <n v="0"/>
    <s v="Invoice"/>
    <s v="Sudah Jadi FJ"/>
    <s v=""/>
  </r>
  <r>
    <d v="2026-09-22T00:00:00"/>
    <d v="2026-09-21T00:00:00"/>
    <s v="SO-KU/2609/210072"/>
    <s v="MKU Bali"/>
    <x v="199"/>
    <x v="1"/>
    <x v="2"/>
    <s v="PMS0152"/>
    <s v="Masterista Syrup Passion Fruit 850 Ml"/>
    <n v="5"/>
    <s v="BTL"/>
    <n v="5"/>
    <n v="550000.01"/>
    <n v="0"/>
    <s v="Invoice"/>
    <s v="Sudah Jadi FJ"/>
    <s v=""/>
  </r>
  <r>
    <d v="2026-09-22T00:00:00"/>
    <d v="2026-09-21T00:00:00"/>
    <s v="SO-KU/2609/210073"/>
    <s v="MKU Bali"/>
    <x v="68"/>
    <x v="1"/>
    <x v="7"/>
    <s v="PSJ0019"/>
    <s v="Pork B Sliced (1kg/pack)"/>
    <n v="2"/>
    <s v="KG"/>
    <n v="2"/>
    <n v="220000"/>
    <n v="0"/>
    <s v="Invoice"/>
    <s v="Sudah Jadi FJ"/>
    <s v=""/>
  </r>
  <r>
    <d v="2026-09-22T00:00:00"/>
    <d v="2026-09-21T00:00:00"/>
    <s v="SO-KU/2609/210074"/>
    <s v="MKU Bali"/>
    <x v="200"/>
    <x v="0"/>
    <x v="9"/>
    <s v="POT0120"/>
    <s v="Bottegaio Umbro Olio Evo Cucina 5Lt"/>
    <n v="3"/>
    <s v="GLN"/>
    <n v="3"/>
    <n v="1950000.01"/>
    <n v="0"/>
    <s v="Invoice"/>
    <s v="Sudah Jadi FJ"/>
    <s v=""/>
  </r>
  <r>
    <d v="2026-09-22T00:00:00"/>
    <d v="2026-09-21T00:00:00"/>
    <s v="SO-KU/2609/210075"/>
    <s v="MKU Bali"/>
    <x v="201"/>
    <x v="1"/>
    <x v="2"/>
    <s v="PAS0044"/>
    <s v="Maestro Crincle Cut 10Kg/Ctn"/>
    <n v="1"/>
    <s v="KTN"/>
    <n v="1"/>
    <n v="350000.01"/>
    <n v="0"/>
    <s v="Invoice"/>
    <s v="Sudah Jadi FJ"/>
    <s v=""/>
  </r>
  <r>
    <d v="2026-09-22T00:00:00"/>
    <d v="2026-09-21T00:00:00"/>
    <s v="SO-KU/2609/210076"/>
    <s v="MKU Bali"/>
    <x v="202"/>
    <x v="1"/>
    <x v="2"/>
    <s v="PAS0037"/>
    <s v="Crr Rock'n Super Crispy Jakets Spicy Wedges 2.5Kg"/>
    <n v="4"/>
    <s v="PACK"/>
    <n v="4"/>
    <n v="530000"/>
    <n v="0"/>
    <s v="Invoice"/>
    <s v="Sudah Jadi FJ"/>
    <s v=""/>
  </r>
  <r>
    <d v="2026-09-22T00:00:00"/>
    <d v="2026-09-21T00:00:00"/>
    <s v="SO-KU/2609/210076"/>
    <s v="MKU Bali"/>
    <x v="202"/>
    <x v="1"/>
    <x v="2"/>
    <s v="PAS0041"/>
    <s v="Maestro FF 10x10mm Straight Cut 2.5 Kg"/>
    <n v="4"/>
    <s v="PACK"/>
    <n v="4"/>
    <n v="390000.01"/>
    <n v="0"/>
    <s v="Invoice"/>
    <s v="Sudah Jadi FJ"/>
    <s v=""/>
  </r>
  <r>
    <d v="2026-09-22T00:00:00"/>
    <d v="2026-09-21T00:00:00"/>
    <s v="SO-KU/2609/210077"/>
    <s v="MKU Bali"/>
    <x v="90"/>
    <x v="0"/>
    <x v="5"/>
    <s v="PSJ0032"/>
    <s v="Selecta Pork Belly Skin On"/>
    <n v="16"/>
    <s v="KG"/>
    <n v="14.91"/>
    <n v="2534700"/>
    <n v="-1.0900000000000001"/>
    <s v="Invoice"/>
    <s v="Sudah Jadi FJ"/>
    <s v=""/>
  </r>
  <r>
    <d v="2026-09-22T00:00:00"/>
    <d v="2026-09-21T00:00:00"/>
    <s v="SO-KU/2609/210078"/>
    <s v="MKU Bali"/>
    <x v="87"/>
    <x v="1"/>
    <x v="7"/>
    <s v="PMS0140"/>
    <s v="Masterista Japanese Matcha Powder Premium 500 Ml"/>
    <n v="1"/>
    <s v="PACK"/>
    <n v="1"/>
    <n v="528000"/>
    <n v="0"/>
    <s v="Invoice"/>
    <s v="Sudah Jadi FJ"/>
    <s v=""/>
  </r>
  <r>
    <d v="2026-09-22T00:00:00"/>
    <d v="2026-09-21T00:00:00"/>
    <s v="SO-KU/2609/210079"/>
    <s v="MKU Bali"/>
    <x v="203"/>
    <x v="0"/>
    <x v="11"/>
    <s v="PAS0069"/>
    <s v="Arass English Breakfast Tea 100 Tb"/>
    <n v="2"/>
    <s v="BOX"/>
    <n v="2"/>
    <n v="95999.99"/>
    <n v="0"/>
    <s v="Invoice"/>
    <s v="Sudah Jadi FJ"/>
    <s v=""/>
  </r>
  <r>
    <d v="2026-09-22T00:00:00"/>
    <d v="2026-09-21T00:00:00"/>
    <s v="SO-KU/2609/210080"/>
    <s v="MKU Bali"/>
    <x v="76"/>
    <x v="0"/>
    <x v="8"/>
    <s v="POS0024"/>
    <s v="O Sole Pomodori Pelati Peeled Tomatoes 2.5Kg"/>
    <n v="18"/>
    <s v="CAN"/>
    <n v="18"/>
    <n v="1530000.07"/>
    <n v="0"/>
    <s v="Invoice"/>
    <s v="Sudah Jadi FJ"/>
    <s v=""/>
  </r>
  <r>
    <d v="2026-09-22T00:00:00"/>
    <d v="2026-09-21T00:00:00"/>
    <s v="SO-KU/2609/210081"/>
    <s v="MKU Bali"/>
    <x v="137"/>
    <x v="0"/>
    <x v="17"/>
    <s v="PJS0007"/>
    <s v="Daebak Spark Grape 330 Ml"/>
    <n v="24"/>
    <s v="BTL"/>
    <n v="24"/>
    <n v="540959.98"/>
    <n v="0"/>
    <s v="Invoice"/>
    <s v="Sudah Jadi FJ"/>
    <s v=""/>
  </r>
  <r>
    <d v="2026-09-22T00:00:00"/>
    <d v="2026-09-21T00:00:00"/>
    <s v="SO-KU/2609/210081"/>
    <s v="MKU Bali"/>
    <x v="137"/>
    <x v="0"/>
    <x v="17"/>
    <s v="CKP1S-152"/>
    <s v="Jinro Chamisul Soju Grapefruit 360ml"/>
    <n v="15"/>
    <s v="BTL"/>
    <n v="15"/>
    <n v="1297943.1000000001"/>
    <n v="0"/>
    <s v="Invoice"/>
    <s v="Sudah Jadi FJ"/>
    <s v=""/>
  </r>
  <r>
    <d v="2026-09-22T00:00:00"/>
    <d v="2026-09-21T00:00:00"/>
    <s v="SO-KU/2609/210082"/>
    <s v="MKU Bali"/>
    <x v="137"/>
    <x v="0"/>
    <x v="17"/>
    <s v="ASS-CHTB10"/>
    <s v="Chamomile Dream @10Tb/Box"/>
    <n v="6"/>
    <s v="BOX"/>
    <n v="6"/>
    <n v="213374.15"/>
    <n v="0"/>
    <s v="Invoice"/>
    <s v="Sudah Jadi FJ"/>
    <s v=""/>
  </r>
  <r>
    <d v="2026-09-22T00:00:00"/>
    <d v="2026-09-21T00:00:00"/>
    <s v="SO-KU/2609/210083"/>
    <s v="MKU Bali"/>
    <x v="204"/>
    <x v="0"/>
    <x v="11"/>
    <s v="PMS0119"/>
    <s v="Masterista Sweet Sauce Caramel 500 Gr"/>
    <n v="1"/>
    <s v="BTL"/>
    <n v="1"/>
    <n v="58000"/>
    <n v="0"/>
    <s v="Invoice"/>
    <s v="Sudah Jadi FJ"/>
    <s v=""/>
  </r>
  <r>
    <d v="2026-09-22T00:00:00"/>
    <d v="2026-09-21T00:00:00"/>
    <s v="SO-KU/2609/210085"/>
    <s v="MKU Bali"/>
    <x v="205"/>
    <x v="0"/>
    <x v="8"/>
    <s v="PDM0002"/>
    <s v="Armando Fettuccine 500 Gr/Pack"/>
    <n v="24"/>
    <s v="PACK"/>
    <n v="24"/>
    <n v="720000.08"/>
    <n v="0"/>
    <s v="Invoice"/>
    <s v="Sudah Jadi FJ"/>
    <s v=""/>
  </r>
  <r>
    <d v="2026-09-22T00:00:00"/>
    <d v="2026-09-21T00:00:00"/>
    <s v="SO-KU/2609/210086"/>
    <s v="MKU Bali"/>
    <x v="205"/>
    <x v="0"/>
    <x v="8"/>
    <s v="POT0039"/>
    <s v="Premium Spicy Wedges 2.5 Kg"/>
    <n v="2"/>
    <s v="PACK"/>
    <n v="2"/>
    <n v="249999.99"/>
    <n v="0"/>
    <s v="Invoice"/>
    <s v="Sudah Jadi FJ"/>
    <s v=""/>
  </r>
  <r>
    <d v="2026-09-22T00:00:00"/>
    <d v="2026-09-21T00:00:00"/>
    <s v="SO-KU/2609/210087"/>
    <s v="MKU Bali"/>
    <x v="95"/>
    <x v="1"/>
    <x v="9"/>
    <s v="PSJ0019"/>
    <s v="Pork B Sliced (1kg/pack)"/>
    <n v="3"/>
    <s v="KG"/>
    <n v="3"/>
    <n v="300000"/>
    <n v="0"/>
    <s v="Invoice"/>
    <s v="Sudah Jadi FJ"/>
    <s v=""/>
  </r>
  <r>
    <d v="2026-09-22T00:00:00"/>
    <d v="2026-09-21T00:00:00"/>
    <s v="SO-KU/2609/210087"/>
    <s v="MKU Bali"/>
    <x v="95"/>
    <x v="1"/>
    <x v="9"/>
    <s v="PQW0010"/>
    <s v="IQF FF Shoestring 10Kg/Ctn"/>
    <n v="1"/>
    <s v="KTN"/>
    <n v="1"/>
    <n v="300000"/>
    <n v="0"/>
    <s v="Invoice"/>
    <s v="Sudah Jadi FJ"/>
    <s v=""/>
  </r>
  <r>
    <d v="2026-09-22T00:00:00"/>
    <d v="2026-09-21T00:00:00"/>
    <s v="SO-KU/2609/210088"/>
    <s v="MKU Bali"/>
    <x v="203"/>
    <x v="0"/>
    <x v="11"/>
    <s v="PAS0069"/>
    <s v="Arass English Breakfast Tea 100 Tb"/>
    <n v="20"/>
    <s v="BOX"/>
    <n v="20"/>
    <n v="959999.93"/>
    <n v="0"/>
    <s v="Invoice"/>
    <s v="Sudah Jadi FJ"/>
    <s v=""/>
  </r>
  <r>
    <d v="2026-09-22T00:00:00"/>
    <d v="2026-09-21T00:00:00"/>
    <s v="SO-KU/2609/210088"/>
    <s v="MKU Bali"/>
    <x v="203"/>
    <x v="0"/>
    <x v="11"/>
    <s v="PAS0068"/>
    <s v="Arass Green Tea 100 Tb"/>
    <n v="20"/>
    <s v="BOX"/>
    <n v="11"/>
    <n v="527999.96"/>
    <n v="-9"/>
    <s v="Invoice"/>
    <s v="Sudah Jadi FJ"/>
    <s v=""/>
  </r>
  <r>
    <d v="2026-09-22T00:00:00"/>
    <d v="2026-09-21T00:00:00"/>
    <s v="SO-KU/2609/210089"/>
    <s v="MKU Bali"/>
    <x v="206"/>
    <x v="0"/>
    <x v="11"/>
    <s v="PMS0178"/>
    <s v="Masterista Ceremonial Pure Matcha Powder 500 Gr"/>
    <n v="2"/>
    <s v="PACK"/>
    <n v="2"/>
    <n v="1776000"/>
    <n v="0"/>
    <s v="Invoice"/>
    <s v="Sudah Jadi FJ"/>
    <s v=""/>
  </r>
  <r>
    <d v="2026-09-22T00:00:00"/>
    <d v="2026-09-21T00:00:00"/>
    <s v="SO-KU/2609/210090"/>
    <s v="MKU Bali"/>
    <x v="207"/>
    <x v="0"/>
    <x v="2"/>
    <s v="PAS0036"/>
    <s v="Crr Rock'n Hash Brown Triangular 2.5Kg"/>
    <n v="2"/>
    <s v="PACK"/>
    <n v="2"/>
    <n v="310000"/>
    <n v="0"/>
    <s v="Invoice"/>
    <s v="Sudah Jadi FJ"/>
    <s v=""/>
  </r>
  <r>
    <d v="2026-09-22T00:00:00"/>
    <d v="2026-09-21T00:00:00"/>
    <s v="SO-KU/2609/210091"/>
    <s v="MKU Bali"/>
    <x v="98"/>
    <x v="0"/>
    <x v="1"/>
    <s v="POT0120"/>
    <s v="Bottegaio Umbro Olio Evo Cucina 5Lt"/>
    <n v="2"/>
    <s v="GLN"/>
    <n v="2"/>
    <n v="1950000"/>
    <n v="0"/>
    <s v="Invoice"/>
    <s v="Sudah Jadi FJ"/>
    <s v="Cafe"/>
  </r>
  <r>
    <d v="2026-09-22T00:00:00"/>
    <d v="2026-09-21T00:00:00"/>
    <s v="SO-KU/2609/210092"/>
    <s v="MKU Bali"/>
    <x v="27"/>
    <x v="0"/>
    <x v="9"/>
    <s v="PAA0004"/>
    <s v="Bergold Pikant Mozzarella Block"/>
    <n v="9.1998999999999995"/>
    <s v="KG"/>
    <n v="8.73"/>
    <n v="829350.04"/>
    <n v="-0.46989999999999998"/>
    <s v="Invoice"/>
    <s v="Sudah Jadi FJ"/>
    <s v="4 blok. po  Crooked Cactus"/>
  </r>
  <r>
    <d v="2026-09-22T00:00:00"/>
    <d v="2026-09-21T00:00:00"/>
    <s v="SO-KU/2609/210093"/>
    <s v="MKU Bali"/>
    <x v="208"/>
    <x v="0"/>
    <x v="2"/>
    <s v="POS0024"/>
    <s v="O Sole Pomodori Pelati Peeled Tomatoes 2.5Kg"/>
    <n v="6"/>
    <s v="CAN"/>
    <n v="6"/>
    <n v="510000.02"/>
    <n v="0"/>
    <s v="Invoice"/>
    <s v="Sudah Jadi FJ"/>
    <s v=" Invoice 2"/>
  </r>
  <r>
    <d v="2026-09-22T00:00:00"/>
    <d v="2026-09-21T00:00:00"/>
    <s v="SO-KU/2609/210094"/>
    <s v="MKU Bali"/>
    <x v="209"/>
    <x v="0"/>
    <x v="11"/>
    <s v="POT0046"/>
    <s v="Australian Butter Unsalted"/>
    <n v="25"/>
    <s v="KG"/>
    <n v="25"/>
    <n v="4124995.6"/>
    <n v="0"/>
    <s v="Invoice"/>
    <s v="Sudah Jadi FJ"/>
    <s v=""/>
  </r>
  <r>
    <d v="2026-09-22T00:00:00"/>
    <d v="2026-09-21T00:00:00"/>
    <s v="SO-KU/2609/210095"/>
    <s v="MKU Bali"/>
    <x v="210"/>
    <x v="1"/>
    <x v="5"/>
    <s v="PAA0001"/>
    <s v="Bergold Mozzarella Block"/>
    <n v="4.5999999999999996"/>
    <s v="KG"/>
    <n v="4.3600000000000003"/>
    <n v="457800.03"/>
    <n v="-0.24"/>
    <s v="Invoice"/>
    <s v="Sudah Jadi FJ"/>
    <s v="2 loaf"/>
  </r>
  <r>
    <d v="2026-09-22T00:00:00"/>
    <d v="2026-09-21T00:00:00"/>
    <s v="SO-KU/2609/210096"/>
    <s v="MKU Bali"/>
    <x v="88"/>
    <x v="0"/>
    <x v="11"/>
    <s v="POT0110"/>
    <s v="Bergold Shredded Pizza Topping Mozzarella"/>
    <n v="3"/>
    <s v="KG"/>
    <n v="3"/>
    <n v="330000"/>
    <n v="0"/>
    <s v="Invoice"/>
    <s v="Sudah Jadi FJ"/>
    <s v=""/>
  </r>
  <r>
    <d v="2026-09-22T00:00:00"/>
    <d v="2026-09-21T00:00:00"/>
    <s v="SO-KU/2609/210097"/>
    <s v="MKU Bali"/>
    <x v="50"/>
    <x v="0"/>
    <x v="9"/>
    <s v="PAS0027"/>
    <s v="Maestro FF 10x10mm Straight Cut 10Kg/Ctn"/>
    <n v="2"/>
    <s v="KTN"/>
    <n v="2"/>
    <n v="600000"/>
    <n v="0"/>
    <s v="Invoice"/>
    <s v="Sudah Jadi FJ"/>
    <s v=""/>
  </r>
  <r>
    <d v="2026-09-22T00:00:00"/>
    <d v="2026-09-21T00:00:00"/>
    <s v="SO-KU/2609/210098"/>
    <s v="MKU Bali"/>
    <x v="211"/>
    <x v="0"/>
    <x v="2"/>
    <s v="PAS0027"/>
    <s v="Maestro FF 10x10mm Straight Cut 10Kg/Ctn"/>
    <n v="1"/>
    <s v="KTN"/>
    <n v="1"/>
    <n v="390000"/>
    <n v="0"/>
    <s v="Invoice"/>
    <s v="Sudah Jadi FJ"/>
    <s v=""/>
  </r>
  <r>
    <d v="2026-09-22T00:00:00"/>
    <d v="2026-09-21T00:00:00"/>
    <s v="SO-KU/2609/210099"/>
    <s v="MKU Bali"/>
    <x v="212"/>
    <x v="0"/>
    <x v="9"/>
    <s v="PMS0140"/>
    <s v="Masterista Japanese Matcha Powder Premium 500 Ml"/>
    <n v="1"/>
    <s v="PACK"/>
    <n v="1"/>
    <n v="528000"/>
    <n v="0"/>
    <s v="Invoice"/>
    <s v="Sudah Jadi FJ"/>
    <s v="Note: cash"/>
  </r>
  <r>
    <d v="2026-09-22T00:00:00"/>
    <d v="2026-09-21T00:00:00"/>
    <s v="SO-KU/2609/210100"/>
    <s v="MKU Bali"/>
    <x v="106"/>
    <x v="0"/>
    <x v="8"/>
    <s v="POT0036"/>
    <s v="Premium Spicy Wedges 4x2.5 Kg"/>
    <n v="2"/>
    <s v="KTN"/>
    <n v="2"/>
    <n v="1200000"/>
    <n v="0"/>
    <s v="Invoice"/>
    <s v="Sudah Jadi FJ"/>
    <s v=""/>
  </r>
  <r>
    <d v="2026-09-22T00:00:00"/>
    <d v="2026-09-21T00:00:00"/>
    <s v="SO-KU/2609/210101"/>
    <s v="MKU Bali"/>
    <x v="106"/>
    <x v="0"/>
    <x v="8"/>
    <s v="PAS0015"/>
    <s v="Crr Rock'n Super Crispy Jakets Spicy Wedges 10Kg/Ctn"/>
    <n v="2"/>
    <s v="KTN"/>
    <n v="2"/>
    <n v="1200000"/>
    <n v="0"/>
    <s v="Invoice"/>
    <s v="Sudah Jadi FJ"/>
    <s v=""/>
  </r>
  <r>
    <d v="2026-09-22T00:00:00"/>
    <d v="2026-09-21T00:00:00"/>
    <s v="SO-KU/2609/210102"/>
    <s v="MKU Bali"/>
    <x v="121"/>
    <x v="0"/>
    <x v="8"/>
    <s v="POT0110"/>
    <s v="Bergold Shredded Pizza Topping Mozzarella"/>
    <n v="3"/>
    <s v="KG"/>
    <n v="3"/>
    <n v="338999.99"/>
    <n v="0"/>
    <s v="Invoice"/>
    <s v="Sudah Jadi FJ"/>
    <s v=""/>
  </r>
  <r>
    <d v="2026-09-22T00:00:00"/>
    <d v="2026-09-21T00:00:00"/>
    <s v="SO-KU/2609/210103"/>
    <s v="MKU Bali"/>
    <x v="121"/>
    <x v="0"/>
    <x v="8"/>
    <s v="POT0110"/>
    <s v="Bergold Shredded Pizza Topping Mozzarella"/>
    <n v="3"/>
    <s v="KG"/>
    <n v="3"/>
    <n v="338999.99"/>
    <n v="0"/>
    <s v="Invoice"/>
    <s v="Sudah Jadi FJ"/>
    <s v=""/>
  </r>
  <r>
    <d v="2026-09-22T00:00:00"/>
    <d v="2026-09-21T00:00:00"/>
    <s v="SO-KU/2609/210104"/>
    <s v="MKU Bali"/>
    <x v="121"/>
    <x v="0"/>
    <x v="8"/>
    <s v="POS0024"/>
    <s v="O Sole Pomodori Pelati Peeled Tomatoes 2.5Kg"/>
    <n v="6"/>
    <s v="CAN"/>
    <n v="6"/>
    <n v="480000.05"/>
    <n v="0"/>
    <s v="Invoice"/>
    <s v="Sudah Jadi FJ"/>
    <s v=""/>
  </r>
  <r>
    <d v="2026-09-22T00:00:00"/>
    <d v="2026-09-21T00:00:00"/>
    <s v="SO-KU/2609/210105"/>
    <s v="MKU Bali"/>
    <x v="121"/>
    <x v="0"/>
    <x v="8"/>
    <s v="POS0024"/>
    <s v="O Sole Pomodori Pelati Peeled Tomatoes 2.5Kg"/>
    <n v="3"/>
    <s v="CAN"/>
    <n v="3"/>
    <n v="240000.03"/>
    <n v="0"/>
    <s v="Invoice"/>
    <s v="Sudah Jadi FJ"/>
    <s v=""/>
  </r>
  <r>
    <d v="2026-09-22T00:00:00"/>
    <d v="2026-09-21T00:00:00"/>
    <s v="SO-KU/2609/210106"/>
    <s v="MKU Bali"/>
    <x v="121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09-22T00:00:00"/>
    <d v="2026-09-21T00:00:00"/>
    <s v="SO-KU/2609/210107"/>
    <s v="MKU Bali"/>
    <x v="121"/>
    <x v="0"/>
    <x v="8"/>
    <s v="POT0110"/>
    <s v="Bergold Shredded Pizza Topping Mozzarella"/>
    <n v="15"/>
    <s v="KG"/>
    <n v="15"/>
    <n v="1694999.97"/>
    <n v="0"/>
    <s v="Invoice"/>
    <s v="Sudah Jadi FJ"/>
    <s v=""/>
  </r>
  <r>
    <d v="2026-09-22T00:00:00"/>
    <d v="2026-09-21T00:00:00"/>
    <s v="SO-KU/2609/210108"/>
    <s v="MKU Bali"/>
    <x v="121"/>
    <x v="0"/>
    <x v="8"/>
    <s v="POT0110"/>
    <s v="Bergold Shredded Pizza Topping Mozzarella"/>
    <n v="6"/>
    <s v="KG"/>
    <n v="6"/>
    <n v="677999.99"/>
    <n v="0"/>
    <s v="Invoice"/>
    <s v="Sudah Jadi FJ"/>
    <s v=""/>
  </r>
  <r>
    <d v="2026-09-22T00:00:00"/>
    <d v="2026-09-21T00:00:00"/>
    <s v="SO-KU/2609/210109"/>
    <s v="MKU Bali"/>
    <x v="121"/>
    <x v="0"/>
    <x v="8"/>
    <s v="POS0024"/>
    <s v="O Sole Pomodori Pelati Peeled Tomatoes 2.5Kg"/>
    <n v="2"/>
    <s v="CAN"/>
    <n v="2"/>
    <n v="160000.01999999999"/>
    <n v="0"/>
    <s v="Invoice"/>
    <s v="Sudah Jadi FJ"/>
    <s v=""/>
  </r>
  <r>
    <d v="2026-09-22T00:00:00"/>
    <d v="2026-09-21T00:00:00"/>
    <s v="SO-KU/2609/210110"/>
    <s v="MKU Bali"/>
    <x v="213"/>
    <x v="0"/>
    <x v="4"/>
    <s v="PAA0001"/>
    <s v="Bergold Mozzarella Block"/>
    <n v="6.9"/>
    <s v="KG"/>
    <n v="6.57"/>
    <n v="624150.04"/>
    <n v="-0.33"/>
    <s v="Invoice"/>
    <s v="Sudah Jadi FJ"/>
    <s v="3 loaf"/>
  </r>
  <r>
    <d v="2026-09-22T00:00:00"/>
    <d v="2026-09-21T00:00:00"/>
    <s v="SO-KU/2609/210111"/>
    <s v="MKU Bali"/>
    <x v="121"/>
    <x v="0"/>
    <x v="8"/>
    <s v="POS0024"/>
    <s v="O Sole Pomodori Pelati Peeled Tomatoes 2.5Kg"/>
    <n v="1"/>
    <s v="CAN"/>
    <n v="1"/>
    <n v="80000.009999999995"/>
    <n v="0"/>
    <s v="Invoice"/>
    <s v="Sudah Jadi FJ"/>
    <s v=""/>
  </r>
  <r>
    <d v="2026-09-22T00:00:00"/>
    <d v="2026-09-21T00:00:00"/>
    <s v="SO-KU/2609/210112"/>
    <s v="MKU Bali"/>
    <x v="121"/>
    <x v="0"/>
    <x v="8"/>
    <s v="POS0024"/>
    <s v="O Sole Pomodori Pelati Peeled Tomatoes 2.5Kg"/>
    <n v="1"/>
    <s v="CAN"/>
    <n v="1"/>
    <n v="80000.009999999995"/>
    <n v="0"/>
    <s v="Invoice"/>
    <s v="Sudah Jadi FJ"/>
    <s v=""/>
  </r>
  <r>
    <d v="2026-09-22T00:00:00"/>
    <d v="2026-09-21T00:00:00"/>
    <s v="SO-KU/2609/210113"/>
    <s v="MKU Bali"/>
    <x v="158"/>
    <x v="0"/>
    <x v="1"/>
    <s v="POT0120"/>
    <s v="Bottegaio Umbro Olio Evo Cucina 5Lt"/>
    <n v="1"/>
    <s v="GLN"/>
    <n v="1"/>
    <n v="640000"/>
    <n v="0"/>
    <s v="Invoice"/>
    <s v="Sudah Jadi FJ"/>
    <s v="Tambahan"/>
  </r>
  <r>
    <d v="2026-09-22T00:00:00"/>
    <d v="2026-09-21T00:00:00"/>
    <s v="SO-KU/2609/210115"/>
    <s v="MKU Bali"/>
    <x v="139"/>
    <x v="1"/>
    <x v="9"/>
    <s v="POT0120"/>
    <s v="Bottegaio Umbro Olio Evo Cucina 5Lt"/>
    <n v="1"/>
    <s v="GLN"/>
    <n v="1"/>
    <n v="900000.01"/>
    <n v="0"/>
    <s v="Invoice"/>
    <s v="Sudah Jadi FJ"/>
    <s v=""/>
  </r>
  <r>
    <d v="2026-09-22T00:00:00"/>
    <d v="2026-09-21T00:00:00"/>
    <s v="SO-KU/2609/210116"/>
    <s v="MKU Bali"/>
    <x v="214"/>
    <x v="1"/>
    <x v="7"/>
    <s v="PMS0143"/>
    <s v="Masterista Syrup Premium Hazelnut 850 Ml"/>
    <n v="1"/>
    <s v="BTL"/>
    <n v="1"/>
    <n v="110000"/>
    <n v="0"/>
    <s v="Invoice"/>
    <s v="Sudah Jadi FJ"/>
    <s v="KIRIM BESOK BEDUGUL"/>
  </r>
  <r>
    <d v="2026-09-22T00:00:00"/>
    <d v="2026-09-21T00:00:00"/>
    <s v="SO-KU/2609/210116"/>
    <s v="MKU Bali"/>
    <x v="214"/>
    <x v="1"/>
    <x v="7"/>
    <s v="PMS0076"/>
    <s v="Masterista Creamer Base (Creamy)"/>
    <n v="1"/>
    <s v="PACK"/>
    <n v="1"/>
    <n v="29000"/>
    <n v="0"/>
    <s v="Invoice"/>
    <s v="Sudah Jadi FJ"/>
    <s v="KIRIM BESOK BEDUGUL"/>
  </r>
  <r>
    <d v="2026-09-22T00:00:00"/>
    <d v="2026-09-21T00:00:00"/>
    <s v="SO-KU/2609/210116"/>
    <s v="MKU Bali"/>
    <x v="214"/>
    <x v="1"/>
    <x v="7"/>
    <s v="PMS0028"/>
    <s v="Masterista Taro Expecta 800Gr"/>
    <n v="1"/>
    <s v="POU"/>
    <n v="1"/>
    <n v="156510"/>
    <n v="0"/>
    <s v="Invoice"/>
    <s v="Sudah Jadi FJ"/>
    <s v="KIRIM BESOK BEDUGUL"/>
  </r>
  <r>
    <d v="2026-09-22T00:00:00"/>
    <d v="2026-09-21T00:00:00"/>
    <s v="SO-KU/2609/210116"/>
    <s v="MKU Bali"/>
    <x v="214"/>
    <x v="1"/>
    <x v="7"/>
    <s v="PMS0026"/>
    <s v="Masterista Dark Chocolate 800Gr"/>
    <n v="1"/>
    <s v="POU"/>
    <n v="1"/>
    <n v="164835"/>
    <n v="0"/>
    <s v="Invoice"/>
    <s v="Sudah Jadi FJ"/>
    <s v="KIRIM BESOK BEDUGUL"/>
  </r>
  <r>
    <d v="2026-09-22T00:00:00"/>
    <d v="2026-09-21T00:00:00"/>
    <s v="SO-KU/2609/210116"/>
    <s v="MKU Bali"/>
    <x v="214"/>
    <x v="1"/>
    <x v="7"/>
    <s v="PMS0024"/>
    <s v="Masterista Original Matcha 800Gr"/>
    <n v="1"/>
    <s v="POU"/>
    <n v="1"/>
    <n v="168510"/>
    <n v="0"/>
    <s v="Invoice"/>
    <s v="Sudah Jadi FJ"/>
    <s v="KIRIM BESOK BEDUGUL"/>
  </r>
  <r>
    <d v="2026-09-22T00:00:00"/>
    <d v="2026-09-21T00:00:00"/>
    <s v="SO-KU/2609/210118"/>
    <s v="MKU Bali"/>
    <x v="144"/>
    <x v="1"/>
    <x v="5"/>
    <s v="POS0024"/>
    <s v="O Sole Pomodori Pelati Peeled Tomatoes 2.5Kg"/>
    <n v="1"/>
    <s v="CAN"/>
    <n v="1"/>
    <n v="95000"/>
    <n v="0"/>
    <s v="Invoice"/>
    <s v="Sudah Jadi FJ"/>
    <s v=""/>
  </r>
  <r>
    <d v="2026-09-22T00:00:00"/>
    <d v="2026-09-21T00:00:00"/>
    <s v="SO-KU/2609/210118"/>
    <s v="MKU Bali"/>
    <x v="144"/>
    <x v="1"/>
    <x v="5"/>
    <s v="POS0025"/>
    <s v="O Sole Doppio Concentrato Paste Tomato 2.2 Kg"/>
    <n v="1"/>
    <s v="CAN"/>
    <n v="1"/>
    <n v="145000"/>
    <n v="0"/>
    <s v="Invoice"/>
    <s v="Sudah Jadi FJ"/>
    <s v=""/>
  </r>
  <r>
    <d v="2026-09-22T00:00:00"/>
    <d v="2026-09-21T00:00:00"/>
    <s v="SO-KU/2609/210119"/>
    <s v="MKU Bali"/>
    <x v="215"/>
    <x v="1"/>
    <x v="6"/>
    <s v="PMS0033"/>
    <s v="Masterista Ice Shaken Lemon Tea 1000Gr"/>
    <n v="1"/>
    <s v="PACK"/>
    <n v="1"/>
    <n v="66600"/>
    <n v="0"/>
    <s v="Invoice"/>
    <s v="Sudah Jadi FJ"/>
    <s v=""/>
  </r>
  <r>
    <d v="2026-09-22T00:00:00"/>
    <d v="2026-09-21T00:00:00"/>
    <s v="SO-KU/2609/210119"/>
    <s v="MKU Bali"/>
    <x v="215"/>
    <x v="1"/>
    <x v="6"/>
    <s v="PMS0037"/>
    <s v="Flavorista Red Velvet (1000Gr/Pack)"/>
    <n v="1"/>
    <s v="PACK"/>
    <n v="1"/>
    <n v="86025"/>
    <n v="0"/>
    <s v="Invoice"/>
    <s v="Sudah Jadi FJ"/>
    <s v=""/>
  </r>
  <r>
    <d v="2026-09-22T00:00:00"/>
    <d v="2026-09-21T00:00:00"/>
    <s v="SO-KU/2609/210119"/>
    <s v="MKU Bali"/>
    <x v="215"/>
    <x v="1"/>
    <x v="6"/>
    <s v="PMS0081"/>
    <s v="Ice Shaken Strawberry Tea 1 Kg"/>
    <n v="1"/>
    <s v="PACK"/>
    <n v="1"/>
    <n v="71595"/>
    <n v="0"/>
    <s v="Invoice"/>
    <s v="Sudah Jadi FJ"/>
    <s v=""/>
  </r>
  <r>
    <d v="2026-09-22T00:00:00"/>
    <d v="2026-09-21T00:00:00"/>
    <s v="SO-KU/2609/210120"/>
    <s v="MKU Bali"/>
    <x v="216"/>
    <x v="0"/>
    <x v="11"/>
    <s v="PMS0024"/>
    <s v="Masterista Original Matcha 800Gr"/>
    <n v="5"/>
    <s v="POU"/>
    <n v="5"/>
    <n v="842549.99"/>
    <n v="0"/>
    <s v="Invoice"/>
    <s v="Sudah Jadi FJ"/>
    <s v=""/>
  </r>
  <r>
    <d v="2026-09-22T00:00:00"/>
    <d v="2026-09-21T00:00:00"/>
    <s v="SO-KU/2609/210120"/>
    <s v="MKU Bali"/>
    <x v="216"/>
    <x v="0"/>
    <x v="11"/>
    <s v="PMS0109"/>
    <s v="Masterista Butterschot Expecta 800 Gr"/>
    <n v="2"/>
    <s v="PACK"/>
    <n v="2"/>
    <n v="313020"/>
    <n v="0"/>
    <s v="Invoice"/>
    <s v="Sudah Jadi FJ"/>
    <s v=""/>
  </r>
  <r>
    <d v="2026-09-22T00:00:00"/>
    <d v="2026-09-21T00:00:00"/>
    <s v="SO-KU/2609/210120"/>
    <s v="MKU Bali"/>
    <x v="216"/>
    <x v="0"/>
    <x v="11"/>
    <s v="PMS0162"/>
    <s v="Cocofreo Soft Ice Cream Vanilla 1000 Gr"/>
    <n v="3"/>
    <s v="PACK"/>
    <n v="3"/>
    <n v="240000.01"/>
    <n v="0"/>
    <s v="Invoice"/>
    <s v="Sudah Jadi FJ"/>
    <s v=""/>
  </r>
  <r>
    <d v="2026-09-22T00:00:00"/>
    <d v="2026-09-21T00:00:00"/>
    <s v="SO-KU/2609/210120"/>
    <s v="MKU Bali"/>
    <x v="216"/>
    <x v="0"/>
    <x v="11"/>
    <s v="PMS0161"/>
    <s v="Cocofreo Soft Ice Cream Belgian Chocolate 1000 Gr"/>
    <n v="3"/>
    <s v="PACK"/>
    <n v="3"/>
    <n v="285000"/>
    <n v="0"/>
    <s v="Invoice"/>
    <s v="Sudah Jadi FJ"/>
    <s v=""/>
  </r>
  <r>
    <d v="2026-09-22T00:00:00"/>
    <d v="2026-09-21T00:00:00"/>
    <s v="SO-KU/2609/210121"/>
    <s v="MKU Bali"/>
    <x v="96"/>
    <x v="0"/>
    <x v="8"/>
    <s v="PAL0003"/>
    <s v="Isabi Smoked Salmon Slice 1Kg/Pack"/>
    <n v="6"/>
    <s v="PACK"/>
    <n v="6"/>
    <n v="2664000"/>
    <n v="0"/>
    <s v="Invoice"/>
    <s v="Sudah Jadi FJ"/>
    <s v=""/>
  </r>
  <r>
    <d v="2026-09-22T00:00:00"/>
    <d v="2026-09-21T00:00:00"/>
    <s v="SO-KU/2609/210122"/>
    <s v="MKU Bali"/>
    <x v="149"/>
    <x v="1"/>
    <x v="15"/>
    <s v="PQW0010"/>
    <s v="IQF FF Shoestring 10Kg/Ctn"/>
    <n v="1"/>
    <s v="KTN"/>
    <n v="1"/>
    <n v="275000"/>
    <n v="0"/>
    <s v="Invoice"/>
    <s v="Sudah Jadi FJ"/>
    <s v=""/>
  </r>
  <r>
    <d v="2026-09-22T00:00:00"/>
    <d v="2026-09-21T00:00:00"/>
    <s v="SO-KU/2609/210124"/>
    <s v="MKU Bali"/>
    <x v="217"/>
    <x v="0"/>
    <x v="8"/>
    <s v="PAL0003"/>
    <s v="Isabi Smoked Salmon Slice 1Kg/Pack"/>
    <n v="4"/>
    <s v="PACK"/>
    <n v="4"/>
    <n v="1720000.01"/>
    <n v="0"/>
    <s v="Invoice"/>
    <s v="Sudah Jadi FJ"/>
    <s v=""/>
  </r>
  <r>
    <d v="2026-09-22T00:00:00"/>
    <d v="2026-09-21T00:00:00"/>
    <s v="SO-KU/2609/210125"/>
    <s v="MKU Bali"/>
    <x v="218"/>
    <x v="0"/>
    <x v="2"/>
    <s v="POS0024"/>
    <s v="O Sole Pomodori Pelati Peeled Tomatoes 2.5Kg"/>
    <n v="4"/>
    <s v="CAN"/>
    <n v="4"/>
    <n v="376000"/>
    <n v="0"/>
    <s v="Invoice"/>
    <s v="Sudah Jadi FJ"/>
    <s v=""/>
  </r>
  <r>
    <d v="2026-09-22T00:00:00"/>
    <d v="2026-09-21T00:00:00"/>
    <s v="SO-KU/2609/210126"/>
    <s v="MKU Bali"/>
    <x v="219"/>
    <x v="0"/>
    <x v="8"/>
    <s v="POT0110"/>
    <s v="Bergold Shredded Pizza Topping Mozzarella"/>
    <n v="2"/>
    <s v="KG"/>
    <n v="1.5"/>
    <n v="165000"/>
    <n v="-0.5"/>
    <s v="Invoice"/>
    <s v="Sudah Jadi FJ"/>
    <s v=""/>
  </r>
  <r>
    <d v="2026-09-22T00:00:00"/>
    <d v="2026-09-21T00:00:00"/>
    <s v="SO-KU/2609/210128"/>
    <s v="MKU Bali"/>
    <x v="106"/>
    <x v="0"/>
    <x v="8"/>
    <s v="PIF0012"/>
    <s v="Pristine Classic Cooking Cream 1 Lt"/>
    <n v="6"/>
    <s v="LTR"/>
    <n v="6"/>
    <n v="390000"/>
    <n v="0"/>
    <s v="Invoice"/>
    <s v="Sudah Jadi FJ"/>
    <s v=""/>
  </r>
  <r>
    <d v="2026-09-22T00:00:00"/>
    <d v="2026-09-21T00:00:00"/>
    <s v="SO-KU/2609/210129"/>
    <s v="MKU Bali"/>
    <x v="151"/>
    <x v="0"/>
    <x v="18"/>
    <s v="PIF0012"/>
    <s v="Pristine Classic Cooking Cream 1 Lt"/>
    <n v="10"/>
    <s v="LTR"/>
    <n v="10"/>
    <n v="543900"/>
    <n v="0"/>
    <s v="Invoice"/>
    <s v="Sudah Jadi FJ"/>
    <s v=""/>
  </r>
  <r>
    <d v="2026-09-22T00:00:00"/>
    <d v="2026-09-21T00:00:00"/>
    <s v="SO-KU/2609/210129"/>
    <s v="MKU Bali"/>
    <x v="151"/>
    <x v="0"/>
    <x v="18"/>
    <s v="POS0024"/>
    <s v="O Sole Pomodori Pelati Peeled Tomatoes 2.5Kg"/>
    <n v="2"/>
    <s v="CAN"/>
    <n v="2"/>
    <n v="134310"/>
    <n v="0"/>
    <s v="Invoice"/>
    <s v="Sudah Jadi FJ"/>
    <s v=""/>
  </r>
  <r>
    <d v="2026-09-22T00:00:00"/>
    <d v="2026-09-21T00:00:00"/>
    <s v="SO-KU/2609/210129"/>
    <s v="MKU Bali"/>
    <x v="151"/>
    <x v="0"/>
    <x v="18"/>
    <s v="POS0025"/>
    <s v="O Sole Doppio Concentrato Paste Tomato 2.2 Kg"/>
    <n v="2"/>
    <s v="CAN"/>
    <n v="2"/>
    <n v="214230"/>
    <n v="0"/>
    <s v="Invoice"/>
    <s v="Sudah Jadi FJ"/>
    <s v=""/>
  </r>
  <r>
    <d v="2026-09-22T00:00:00"/>
    <d v="2026-09-21T00:00:00"/>
    <s v="SO-KU/2609/210130"/>
    <s v="MKU Bali"/>
    <x v="151"/>
    <x v="0"/>
    <x v="18"/>
    <s v="PAS0026"/>
    <s v="Crr Rock'n Batter Skin On Fries 9x9mm 10Kg/Ctn"/>
    <n v="1"/>
    <s v="KTN"/>
    <n v="1"/>
    <n v="42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943E5-706A-458F-94AB-C2F69FA1E92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21">
        <item x="29"/>
        <item x="59"/>
        <item x="104"/>
        <item x="129"/>
        <item x="207"/>
        <item x="107"/>
        <item x="204"/>
        <item x="120"/>
        <item x="51"/>
        <item x="73"/>
        <item x="170"/>
        <item x="90"/>
        <item x="27"/>
        <item x="70"/>
        <item x="83"/>
        <item x="93"/>
        <item x="110"/>
        <item x="94"/>
        <item x="98"/>
        <item x="133"/>
        <item x="82"/>
        <item x="142"/>
        <item x="81"/>
        <item x="212"/>
        <item x="95"/>
        <item x="14"/>
        <item x="163"/>
        <item x="48"/>
        <item x="200"/>
        <item x="38"/>
        <item x="112"/>
        <item x="116"/>
        <item x="177"/>
        <item x="175"/>
        <item x="160"/>
        <item x="153"/>
        <item x="174"/>
        <item x="97"/>
        <item x="62"/>
        <item x="128"/>
        <item x="168"/>
        <item x="152"/>
        <item x="19"/>
        <item x="61"/>
        <item x="208"/>
        <item x="124"/>
        <item x="193"/>
        <item x="139"/>
        <item x="22"/>
        <item x="64"/>
        <item x="66"/>
        <item x="10"/>
        <item x="100"/>
        <item x="111"/>
        <item x="77"/>
        <item x="121"/>
        <item x="12"/>
        <item x="114"/>
        <item x="49"/>
        <item x="199"/>
        <item x="101"/>
        <item x="96"/>
        <item x="26"/>
        <item x="185"/>
        <item x="172"/>
        <item x="156"/>
        <item x="131"/>
        <item x="71"/>
        <item x="130"/>
        <item x="122"/>
        <item x="34"/>
        <item x="3"/>
        <item x="30"/>
        <item x="173"/>
        <item x="109"/>
        <item x="179"/>
        <item x="52"/>
        <item x="197"/>
        <item x="24"/>
        <item x="159"/>
        <item x="87"/>
        <item x="55"/>
        <item x="216"/>
        <item x="161"/>
        <item x="13"/>
        <item x="57"/>
        <item x="148"/>
        <item x="65"/>
        <item x="25"/>
        <item x="16"/>
        <item x="119"/>
        <item x="125"/>
        <item x="11"/>
        <item x="1"/>
        <item x="154"/>
        <item x="162"/>
        <item x="157"/>
        <item x="88"/>
        <item x="151"/>
        <item x="141"/>
        <item x="145"/>
        <item x="20"/>
        <item x="188"/>
        <item x="205"/>
        <item x="195"/>
        <item x="138"/>
        <item x="108"/>
        <item x="46"/>
        <item x="180"/>
        <item x="169"/>
        <item x="164"/>
        <item x="192"/>
        <item x="117"/>
        <item x="36"/>
        <item x="206"/>
        <item x="6"/>
        <item x="92"/>
        <item x="44"/>
        <item x="99"/>
        <item x="182"/>
        <item x="196"/>
        <item x="106"/>
        <item x="186"/>
        <item x="72"/>
        <item x="80"/>
        <item x="79"/>
        <item x="158"/>
        <item x="63"/>
        <item x="8"/>
        <item x="76"/>
        <item x="210"/>
        <item x="147"/>
        <item x="2"/>
        <item x="190"/>
        <item x="103"/>
        <item x="137"/>
        <item x="33"/>
        <item x="189"/>
        <item x="18"/>
        <item x="15"/>
        <item x="17"/>
        <item x="45"/>
        <item x="176"/>
        <item x="47"/>
        <item x="166"/>
        <item x="0"/>
        <item x="191"/>
        <item x="78"/>
        <item x="183"/>
        <item x="74"/>
        <item x="84"/>
        <item x="32"/>
        <item x="202"/>
        <item x="127"/>
        <item x="150"/>
        <item x="91"/>
        <item x="105"/>
        <item x="214"/>
        <item x="28"/>
        <item x="217"/>
        <item x="39"/>
        <item x="37"/>
        <item x="134"/>
        <item x="132"/>
        <item x="135"/>
        <item x="136"/>
        <item x="215"/>
        <item x="53"/>
        <item x="181"/>
        <item x="155"/>
        <item x="167"/>
        <item x="86"/>
        <item x="60"/>
        <item x="69"/>
        <item x="203"/>
        <item x="144"/>
        <item x="85"/>
        <item x="219"/>
        <item x="67"/>
        <item x="115"/>
        <item x="218"/>
        <item x="171"/>
        <item x="126"/>
        <item x="54"/>
        <item x="23"/>
        <item x="4"/>
        <item x="68"/>
        <item x="194"/>
        <item x="143"/>
        <item x="198"/>
        <item x="75"/>
        <item x="113"/>
        <item x="58"/>
        <item x="211"/>
        <item x="89"/>
        <item x="56"/>
        <item x="35"/>
        <item x="118"/>
        <item x="123"/>
        <item x="187"/>
        <item x="213"/>
        <item x="5"/>
        <item x="43"/>
        <item x="102"/>
        <item x="184"/>
        <item x="146"/>
        <item x="21"/>
        <item x="7"/>
        <item x="165"/>
        <item x="209"/>
        <item x="149"/>
        <item x="178"/>
        <item x="201"/>
        <item x="9"/>
        <item x="42"/>
        <item x="140"/>
        <item x="40"/>
        <item x="41"/>
        <item x="50"/>
        <item x="3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4"/>
        <item x="6"/>
        <item x="3"/>
        <item x="1"/>
        <item x="18"/>
        <item x="8"/>
        <item x="10"/>
        <item x="17"/>
        <item x="19"/>
        <item x="12"/>
        <item x="14"/>
        <item x="13"/>
        <item x="0"/>
        <item x="16"/>
        <item x="2"/>
        <item x="11"/>
        <item x="9"/>
        <item x="7"/>
        <item x="5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45">
    <i>
      <x/>
    </i>
    <i r="1">
      <x v="22"/>
    </i>
    <i r="1">
      <x v="38"/>
    </i>
    <i r="1">
      <x v="48"/>
    </i>
    <i r="1">
      <x v="50"/>
    </i>
    <i r="1">
      <x v="62"/>
    </i>
    <i r="1">
      <x v="67"/>
    </i>
    <i r="1">
      <x v="69"/>
    </i>
    <i r="1">
      <x v="87"/>
    </i>
    <i r="1">
      <x v="88"/>
    </i>
    <i r="1">
      <x v="89"/>
    </i>
    <i r="1">
      <x v="90"/>
    </i>
    <i r="1">
      <x v="104"/>
    </i>
    <i r="1">
      <x v="105"/>
    </i>
    <i r="1">
      <x v="110"/>
    </i>
    <i r="1">
      <x v="118"/>
    </i>
    <i r="1">
      <x v="156"/>
    </i>
    <i r="1">
      <x v="158"/>
    </i>
    <i r="1">
      <x v="167"/>
    </i>
    <i r="1">
      <x v="171"/>
    </i>
    <i r="1">
      <x v="178"/>
    </i>
    <i r="1">
      <x v="187"/>
    </i>
    <i r="1">
      <x v="200"/>
    </i>
    <i r="1">
      <x v="201"/>
    </i>
    <i r="1">
      <x v="211"/>
    </i>
    <i>
      <x v="1"/>
    </i>
    <i r="1">
      <x/>
    </i>
    <i r="1">
      <x v="8"/>
    </i>
    <i r="1">
      <x v="13"/>
    </i>
    <i r="1">
      <x v="34"/>
    </i>
    <i r="1">
      <x v="40"/>
    </i>
    <i r="1">
      <x v="51"/>
    </i>
    <i r="1">
      <x v="64"/>
    </i>
    <i r="1">
      <x v="73"/>
    </i>
    <i r="1">
      <x v="79"/>
    </i>
    <i r="1">
      <x v="91"/>
    </i>
    <i r="1">
      <x v="109"/>
    </i>
    <i r="1">
      <x v="111"/>
    </i>
    <i r="1">
      <x v="113"/>
    </i>
    <i r="1">
      <x v="148"/>
    </i>
    <i r="1">
      <x v="153"/>
    </i>
    <i r="1">
      <x v="162"/>
    </i>
    <i r="1">
      <x v="163"/>
    </i>
    <i r="1">
      <x v="164"/>
    </i>
    <i r="1">
      <x v="165"/>
    </i>
    <i r="1">
      <x v="166"/>
    </i>
    <i r="1">
      <x v="170"/>
    </i>
    <i>
      <x v="2"/>
    </i>
    <i r="1">
      <x v="20"/>
    </i>
    <i r="1">
      <x v="32"/>
    </i>
    <i r="1">
      <x v="60"/>
    </i>
    <i r="1">
      <x v="71"/>
    </i>
    <i r="1">
      <x v="94"/>
    </i>
    <i r="1">
      <x v="125"/>
    </i>
    <i r="1">
      <x v="150"/>
    </i>
    <i r="1">
      <x v="168"/>
    </i>
    <i r="1">
      <x v="182"/>
    </i>
    <i r="1">
      <x v="183"/>
    </i>
    <i>
      <x v="3"/>
    </i>
    <i r="1">
      <x v="10"/>
    </i>
    <i r="1">
      <x v="18"/>
    </i>
    <i r="1">
      <x v="25"/>
    </i>
    <i r="1">
      <x v="26"/>
    </i>
    <i r="1">
      <x v="42"/>
    </i>
    <i r="1">
      <x v="86"/>
    </i>
    <i r="1">
      <x v="93"/>
    </i>
    <i r="1">
      <x v="116"/>
    </i>
    <i r="1">
      <x v="126"/>
    </i>
    <i r="1">
      <x v="127"/>
    </i>
    <i r="1">
      <x v="134"/>
    </i>
    <i r="1">
      <x v="203"/>
    </i>
    <i r="1">
      <x v="206"/>
    </i>
    <i>
      <x v="4"/>
    </i>
    <i r="1">
      <x v="98"/>
    </i>
    <i r="1">
      <x v="122"/>
    </i>
    <i r="1">
      <x v="146"/>
    </i>
    <i>
      <x v="5"/>
    </i>
    <i r="1">
      <x v="17"/>
    </i>
    <i r="1">
      <x v="31"/>
    </i>
    <i r="1">
      <x v="46"/>
    </i>
    <i r="1">
      <x v="52"/>
    </i>
    <i r="1">
      <x v="55"/>
    </i>
    <i r="1">
      <x v="61"/>
    </i>
    <i r="1">
      <x v="68"/>
    </i>
    <i r="1">
      <x v="76"/>
    </i>
    <i r="1">
      <x v="101"/>
    </i>
    <i r="1">
      <x v="103"/>
    </i>
    <i r="1">
      <x v="120"/>
    </i>
    <i r="1">
      <x v="121"/>
    </i>
    <i r="1">
      <x v="129"/>
    </i>
    <i r="1">
      <x v="142"/>
    </i>
    <i r="1">
      <x v="154"/>
    </i>
    <i r="1">
      <x v="159"/>
    </i>
    <i r="1">
      <x v="161"/>
    </i>
    <i r="1">
      <x v="177"/>
    </i>
    <i r="1">
      <x v="179"/>
    </i>
    <i r="1">
      <x v="189"/>
    </i>
    <i r="1">
      <x v="191"/>
    </i>
    <i r="1">
      <x v="194"/>
    </i>
    <i r="1">
      <x v="204"/>
    </i>
    <i r="1">
      <x v="205"/>
    </i>
    <i r="1">
      <x v="208"/>
    </i>
    <i>
      <x v="6"/>
    </i>
    <i r="1">
      <x v="36"/>
    </i>
    <i r="1">
      <x v="181"/>
    </i>
    <i r="1">
      <x v="195"/>
    </i>
    <i r="1">
      <x v="196"/>
    </i>
    <i r="1">
      <x v="202"/>
    </i>
    <i>
      <x v="7"/>
    </i>
    <i r="1">
      <x v="135"/>
    </i>
    <i>
      <x v="8"/>
    </i>
    <i r="1">
      <x v="108"/>
    </i>
    <i>
      <x v="9"/>
    </i>
    <i r="1">
      <x v="1"/>
    </i>
    <i r="1">
      <x v="5"/>
    </i>
    <i r="1">
      <x v="27"/>
    </i>
    <i r="1">
      <x v="30"/>
    </i>
    <i r="1">
      <x v="58"/>
    </i>
    <i r="1">
      <x v="143"/>
    </i>
    <i r="1">
      <x v="217"/>
    </i>
    <i r="1">
      <x v="218"/>
    </i>
    <i>
      <x v="10"/>
    </i>
    <i r="1">
      <x v="49"/>
    </i>
    <i>
      <x v="11"/>
    </i>
    <i r="1">
      <x v="16"/>
    </i>
    <i r="1">
      <x v="45"/>
    </i>
    <i r="1">
      <x v="74"/>
    </i>
    <i r="1">
      <x v="106"/>
    </i>
    <i r="1">
      <x v="107"/>
    </i>
    <i r="1">
      <x v="117"/>
    </i>
    <i>
      <x v="12"/>
    </i>
    <i r="1">
      <x v="57"/>
    </i>
    <i r="1">
      <x v="78"/>
    </i>
    <i r="1">
      <x v="123"/>
    </i>
    <i r="1">
      <x v="124"/>
    </i>
    <i r="1">
      <x v="138"/>
    </i>
    <i r="1">
      <x v="139"/>
    </i>
    <i r="1">
      <x v="140"/>
    </i>
    <i r="1">
      <x v="141"/>
    </i>
    <i r="1">
      <x v="145"/>
    </i>
    <i r="1">
      <x v="173"/>
    </i>
    <i r="1">
      <x v="214"/>
    </i>
    <i>
      <x v="13"/>
    </i>
    <i r="1">
      <x v="53"/>
    </i>
    <i>
      <x v="14"/>
    </i>
    <i r="1">
      <x v="1"/>
    </i>
    <i r="1">
      <x v="2"/>
    </i>
    <i r="1">
      <x v="3"/>
    </i>
    <i r="1">
      <x v="4"/>
    </i>
    <i r="1">
      <x v="29"/>
    </i>
    <i r="1">
      <x v="44"/>
    </i>
    <i r="1">
      <x v="59"/>
    </i>
    <i r="1">
      <x v="63"/>
    </i>
    <i r="1">
      <x v="75"/>
    </i>
    <i r="1">
      <x v="77"/>
    </i>
    <i r="1">
      <x v="81"/>
    </i>
    <i r="1">
      <x v="100"/>
    </i>
    <i r="1">
      <x v="115"/>
    </i>
    <i r="1">
      <x v="128"/>
    </i>
    <i r="1">
      <x v="132"/>
    </i>
    <i r="1">
      <x v="152"/>
    </i>
    <i r="1">
      <x v="180"/>
    </i>
    <i r="1">
      <x v="185"/>
    </i>
    <i r="1">
      <x v="193"/>
    </i>
    <i r="1">
      <x v="207"/>
    </i>
    <i r="1">
      <x v="212"/>
    </i>
    <i>
      <x v="15"/>
    </i>
    <i r="1">
      <x v="6"/>
    </i>
    <i r="1">
      <x v="7"/>
    </i>
    <i r="1">
      <x v="15"/>
    </i>
    <i r="1">
      <x v="33"/>
    </i>
    <i r="1">
      <x v="39"/>
    </i>
    <i r="1">
      <x v="41"/>
    </i>
    <i r="1">
      <x v="82"/>
    </i>
    <i r="1">
      <x v="97"/>
    </i>
    <i r="1">
      <x v="114"/>
    </i>
    <i r="1">
      <x v="119"/>
    </i>
    <i r="1">
      <x v="149"/>
    </i>
    <i r="1">
      <x v="160"/>
    </i>
    <i r="1">
      <x v="174"/>
    </i>
    <i r="1">
      <x v="198"/>
    </i>
    <i r="1">
      <x v="209"/>
    </i>
    <i r="1">
      <x v="215"/>
    </i>
    <i>
      <x v="16"/>
    </i>
    <i r="1">
      <x v="12"/>
    </i>
    <i r="1">
      <x v="14"/>
    </i>
    <i r="1">
      <x v="23"/>
    </i>
    <i r="1">
      <x v="24"/>
    </i>
    <i r="1">
      <x v="28"/>
    </i>
    <i r="1">
      <x v="47"/>
    </i>
    <i r="1">
      <x v="72"/>
    </i>
    <i r="1">
      <x v="99"/>
    </i>
    <i r="1">
      <x v="131"/>
    </i>
    <i r="1">
      <x v="133"/>
    </i>
    <i r="1">
      <x v="151"/>
    </i>
    <i r="1">
      <x v="155"/>
    </i>
    <i r="1">
      <x v="176"/>
    </i>
    <i r="1">
      <x v="184"/>
    </i>
    <i r="1">
      <x v="188"/>
    </i>
    <i r="1">
      <x v="190"/>
    </i>
    <i r="1">
      <x v="216"/>
    </i>
    <i r="1">
      <x v="218"/>
    </i>
    <i r="1">
      <x v="219"/>
    </i>
    <i>
      <x v="17"/>
    </i>
    <i r="1">
      <x v="9"/>
    </i>
    <i r="1">
      <x v="19"/>
    </i>
    <i r="1">
      <x v="37"/>
    </i>
    <i r="1">
      <x v="43"/>
    </i>
    <i r="1">
      <x v="56"/>
    </i>
    <i r="1">
      <x v="80"/>
    </i>
    <i r="1">
      <x v="83"/>
    </i>
    <i r="1">
      <x v="84"/>
    </i>
    <i r="1">
      <x v="85"/>
    </i>
    <i r="1">
      <x v="92"/>
    </i>
    <i r="1">
      <x v="95"/>
    </i>
    <i r="1">
      <x v="102"/>
    </i>
    <i r="1">
      <x v="112"/>
    </i>
    <i r="1">
      <x v="136"/>
    </i>
    <i r="1">
      <x v="157"/>
    </i>
    <i r="1">
      <x v="172"/>
    </i>
    <i r="1">
      <x v="186"/>
    </i>
    <i r="1">
      <x v="192"/>
    </i>
    <i r="1">
      <x v="199"/>
    </i>
    <i>
      <x v="18"/>
    </i>
    <i r="1">
      <x v="11"/>
    </i>
    <i r="1">
      <x v="54"/>
    </i>
    <i r="1">
      <x v="65"/>
    </i>
    <i r="1">
      <x v="70"/>
    </i>
    <i r="1">
      <x v="96"/>
    </i>
    <i r="1">
      <x v="130"/>
    </i>
    <i r="1">
      <x v="137"/>
    </i>
    <i r="1">
      <x v="147"/>
    </i>
    <i r="1">
      <x v="173"/>
    </i>
    <i r="1">
      <x v="175"/>
    </i>
    <i r="1">
      <x v="213"/>
    </i>
    <i>
      <x v="19"/>
    </i>
    <i r="1">
      <x v="21"/>
    </i>
    <i r="1">
      <x v="35"/>
    </i>
    <i r="1">
      <x v="49"/>
    </i>
    <i r="1">
      <x v="66"/>
    </i>
    <i r="1">
      <x v="144"/>
    </i>
    <i r="1">
      <x v="169"/>
    </i>
    <i r="1">
      <x v="197"/>
    </i>
    <i r="1">
      <x v="21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5">
    <format dxfId="18">
      <pivotArea outline="0" collapsedLevelsAreSubtotals="1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2">
          <reference field="4" count="1">
            <x v="69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2">
          <reference field="4" count="1">
            <x v="158"/>
          </reference>
          <reference field="6" count="1" selected="0">
            <x v="0"/>
          </reference>
        </references>
      </pivotArea>
    </format>
    <format dxfId="9">
      <pivotArea collapsedLevelsAreSubtotals="1" fieldPosition="0">
        <references count="2">
          <reference field="4" count="1">
            <x v="187"/>
          </reference>
          <reference field="6" count="1" selected="0">
            <x v="0"/>
          </reference>
        </references>
      </pivotArea>
    </format>
    <format dxfId="8">
      <pivotArea collapsedLevelsAreSubtotals="1" fieldPosition="0">
        <references count="2">
          <reference field="4" count="1">
            <x v="109"/>
          </reference>
          <reference field="6" count="1" selected="0">
            <x v="1"/>
          </reference>
        </references>
      </pivotArea>
    </format>
    <format dxfId="7">
      <pivotArea collapsedLevelsAreSubtotals="1" fieldPosition="0">
        <references count="2">
          <reference field="4" count="2">
            <x v="166"/>
            <x v="170"/>
          </reference>
          <reference field="6" count="1" selected="0">
            <x v="1"/>
          </reference>
        </references>
      </pivotArea>
    </format>
    <format dxfId="6">
      <pivotArea collapsedLevelsAreSubtotals="1" fieldPosition="0">
        <references count="2">
          <reference field="4" count="1">
            <x v="206"/>
          </reference>
          <reference field="6" count="1" selected="0">
            <x v="3"/>
          </reference>
        </references>
      </pivotArea>
    </format>
    <format dxfId="5">
      <pivotArea collapsedLevelsAreSubtotals="1" fieldPosition="0">
        <references count="2">
          <reference field="4" count="1">
            <x v="122"/>
          </reference>
          <reference field="6" count="1" selected="0">
            <x v="4"/>
          </reference>
        </references>
      </pivotArea>
    </format>
    <format dxfId="4">
      <pivotArea collapsedLevelsAreSubtotals="1" fieldPosition="0">
        <references count="2">
          <reference field="4" count="1">
            <x v="31"/>
          </reference>
          <reference field="6" count="1" selected="0">
            <x v="5"/>
          </reference>
        </references>
      </pivotArea>
    </format>
    <format dxfId="3">
      <pivotArea collapsedLevelsAreSubtotals="1" fieldPosition="0">
        <references count="2">
          <reference field="4" count="1">
            <x v="101"/>
          </reference>
          <reference field="6" count="1" selected="0">
            <x v="5"/>
          </reference>
        </references>
      </pivotArea>
    </format>
    <format dxfId="2">
      <pivotArea collapsedLevelsAreSubtotals="1" fieldPosition="0">
        <references count="2">
          <reference field="4" count="1">
            <x v="177"/>
          </reference>
          <reference field="6" count="1" selected="0">
            <x v="5"/>
          </reference>
        </references>
      </pivotArea>
    </format>
    <format dxfId="1">
      <pivotArea collapsedLevelsAreSubtotals="1" fieldPosition="0">
        <references count="2">
          <reference field="4" count="1">
            <x v="6"/>
          </reference>
          <reference field="6" count="1" selected="0">
            <x v="15"/>
          </reference>
        </references>
      </pivotArea>
    </format>
    <format dxfId="0">
      <pivotArea collapsedLevelsAreSubtotals="1" fieldPosition="0">
        <references count="2">
          <reference field="4" count="1">
            <x v="14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F771-E7A4-445F-B155-4681D09C6B58}">
  <dimension ref="A1:B248"/>
  <sheetViews>
    <sheetView topLeftCell="A195" zoomScaleNormal="100" workbookViewId="0">
      <selection activeCell="B194" sqref="B194"/>
    </sheetView>
  </sheetViews>
  <sheetFormatPr defaultRowHeight="15" x14ac:dyDescent="0.25"/>
  <cols>
    <col min="1" max="1" width="47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918</v>
      </c>
    </row>
    <row r="3" spans="1:2" x14ac:dyDescent="0.25">
      <c r="A3" s="5" t="s">
        <v>916</v>
      </c>
      <c r="B3" s="8" t="s">
        <v>919</v>
      </c>
    </row>
    <row r="4" spans="1:2" x14ac:dyDescent="0.25">
      <c r="A4" s="6" t="s">
        <v>58</v>
      </c>
      <c r="B4" s="8">
        <v>51554395.120000005</v>
      </c>
    </row>
    <row r="5" spans="1:2" x14ac:dyDescent="0.25">
      <c r="A5" s="7" t="s">
        <v>331</v>
      </c>
      <c r="B5" s="8">
        <v>890000</v>
      </c>
    </row>
    <row r="6" spans="1:2" x14ac:dyDescent="0.25">
      <c r="A6" s="7" t="s">
        <v>260</v>
      </c>
      <c r="B6" s="8">
        <v>362970</v>
      </c>
    </row>
    <row r="7" spans="1:2" x14ac:dyDescent="0.25">
      <c r="A7" s="7" t="s">
        <v>120</v>
      </c>
      <c r="B7" s="8">
        <v>500000</v>
      </c>
    </row>
    <row r="8" spans="1:2" x14ac:dyDescent="0.25">
      <c r="A8" s="7" t="s">
        <v>273</v>
      </c>
      <c r="B8" s="8">
        <v>397345</v>
      </c>
    </row>
    <row r="9" spans="1:2" x14ac:dyDescent="0.25">
      <c r="A9" s="7" t="s">
        <v>131</v>
      </c>
      <c r="B9" s="8">
        <v>954000.03</v>
      </c>
    </row>
    <row r="10" spans="1:2" x14ac:dyDescent="0.25">
      <c r="A10" s="7" t="s">
        <v>298</v>
      </c>
      <c r="B10" s="8">
        <v>449550</v>
      </c>
    </row>
    <row r="11" spans="1:2" x14ac:dyDescent="0.25">
      <c r="A11" s="7" t="s">
        <v>447</v>
      </c>
      <c r="B11" s="9">
        <v>255300</v>
      </c>
    </row>
    <row r="12" spans="1:2" x14ac:dyDescent="0.25">
      <c r="A12" s="7" t="s">
        <v>135</v>
      </c>
      <c r="B12" s="8">
        <v>3822000</v>
      </c>
    </row>
    <row r="13" spans="1:2" x14ac:dyDescent="0.25">
      <c r="A13" s="7" t="s">
        <v>129</v>
      </c>
      <c r="B13" s="8">
        <v>840000.03</v>
      </c>
    </row>
    <row r="14" spans="1:2" x14ac:dyDescent="0.25">
      <c r="A14" s="7" t="s">
        <v>99</v>
      </c>
      <c r="B14" s="8">
        <v>4147000</v>
      </c>
    </row>
    <row r="15" spans="1:2" x14ac:dyDescent="0.25">
      <c r="A15" s="7" t="s">
        <v>439</v>
      </c>
      <c r="B15" s="8">
        <v>4700000</v>
      </c>
    </row>
    <row r="16" spans="1:2" x14ac:dyDescent="0.25">
      <c r="A16" s="7" t="s">
        <v>768</v>
      </c>
      <c r="B16" s="8">
        <v>1425000.02</v>
      </c>
    </row>
    <row r="17" spans="1:2" x14ac:dyDescent="0.25">
      <c r="A17" s="7" t="s">
        <v>487</v>
      </c>
      <c r="B17" s="8">
        <v>10494999.970000001</v>
      </c>
    </row>
    <row r="18" spans="1:2" x14ac:dyDescent="0.25">
      <c r="A18" s="7" t="s">
        <v>600</v>
      </c>
      <c r="B18" s="8">
        <v>3435000.01</v>
      </c>
    </row>
    <row r="19" spans="1:2" x14ac:dyDescent="0.25">
      <c r="A19" s="7" t="s">
        <v>383</v>
      </c>
      <c r="B19" s="8">
        <v>327450</v>
      </c>
    </row>
    <row r="20" spans="1:2" x14ac:dyDescent="0.25">
      <c r="A20" s="7" t="s">
        <v>398</v>
      </c>
      <c r="B20" s="8">
        <v>606060</v>
      </c>
    </row>
    <row r="21" spans="1:2" x14ac:dyDescent="0.25">
      <c r="A21" s="7" t="s">
        <v>144</v>
      </c>
      <c r="B21" s="9">
        <v>270600.03000000003</v>
      </c>
    </row>
    <row r="22" spans="1:2" x14ac:dyDescent="0.25">
      <c r="A22" s="7" t="s">
        <v>230</v>
      </c>
      <c r="B22" s="8">
        <v>327450</v>
      </c>
    </row>
    <row r="23" spans="1:2" x14ac:dyDescent="0.25">
      <c r="A23" s="7" t="s">
        <v>348</v>
      </c>
      <c r="B23" s="8">
        <v>13899999.98</v>
      </c>
    </row>
    <row r="24" spans="1:2" x14ac:dyDescent="0.25">
      <c r="A24" s="7" t="s">
        <v>281</v>
      </c>
      <c r="B24" s="8">
        <v>1145520</v>
      </c>
    </row>
    <row r="25" spans="1:2" x14ac:dyDescent="0.25">
      <c r="A25" s="7" t="s">
        <v>764</v>
      </c>
      <c r="B25" s="9">
        <v>240000</v>
      </c>
    </row>
    <row r="26" spans="1:2" x14ac:dyDescent="0.25">
      <c r="A26" s="7" t="s">
        <v>868</v>
      </c>
      <c r="B26" s="8">
        <v>624150.04</v>
      </c>
    </row>
    <row r="27" spans="1:2" x14ac:dyDescent="0.25">
      <c r="A27" s="7" t="s">
        <v>57</v>
      </c>
      <c r="B27" s="8">
        <v>300000</v>
      </c>
    </row>
    <row r="28" spans="1:2" x14ac:dyDescent="0.25">
      <c r="A28" s="7" t="s">
        <v>537</v>
      </c>
      <c r="B28" s="8">
        <v>1140000.01</v>
      </c>
    </row>
    <row r="29" spans="1:2" x14ac:dyDescent="0.25">
      <c r="A29" s="6" t="s">
        <v>77</v>
      </c>
      <c r="B29" s="8">
        <v>33392673.570000008</v>
      </c>
    </row>
    <row r="30" spans="1:2" x14ac:dyDescent="0.25">
      <c r="A30" s="7" t="s">
        <v>146</v>
      </c>
      <c r="B30" s="8">
        <v>745920</v>
      </c>
    </row>
    <row r="31" spans="1:2" x14ac:dyDescent="0.25">
      <c r="A31" s="7" t="s">
        <v>224</v>
      </c>
      <c r="B31" s="8">
        <v>1530000</v>
      </c>
    </row>
    <row r="32" spans="1:2" x14ac:dyDescent="0.25">
      <c r="A32" s="7" t="s">
        <v>296</v>
      </c>
      <c r="B32" s="8">
        <v>620000</v>
      </c>
    </row>
    <row r="33" spans="1:2" x14ac:dyDescent="0.25">
      <c r="A33" s="7" t="s">
        <v>583</v>
      </c>
      <c r="B33" s="8">
        <v>1100000.01</v>
      </c>
    </row>
    <row r="34" spans="1:2" x14ac:dyDescent="0.25">
      <c r="A34" s="7" t="s">
        <v>628</v>
      </c>
      <c r="B34" s="8">
        <v>660000.01</v>
      </c>
    </row>
    <row r="35" spans="1:2" x14ac:dyDescent="0.25">
      <c r="A35" s="7" t="s">
        <v>76</v>
      </c>
      <c r="B35" s="8">
        <v>2879999.99</v>
      </c>
    </row>
    <row r="36" spans="1:2" x14ac:dyDescent="0.25">
      <c r="A36" s="7" t="s">
        <v>651</v>
      </c>
      <c r="B36" s="8">
        <v>4475785.16</v>
      </c>
    </row>
    <row r="37" spans="1:2" x14ac:dyDescent="0.25">
      <c r="A37" s="7" t="s">
        <v>656</v>
      </c>
      <c r="B37" s="8">
        <v>674040</v>
      </c>
    </row>
    <row r="38" spans="1:2" x14ac:dyDescent="0.25">
      <c r="A38" s="7" t="s">
        <v>581</v>
      </c>
      <c r="B38" s="8">
        <v>350000.01</v>
      </c>
    </row>
    <row r="39" spans="1:2" x14ac:dyDescent="0.25">
      <c r="A39" s="7" t="s">
        <v>454</v>
      </c>
      <c r="B39" s="8">
        <v>1013345.01</v>
      </c>
    </row>
    <row r="40" spans="1:2" x14ac:dyDescent="0.25">
      <c r="A40" s="7" t="s">
        <v>632</v>
      </c>
      <c r="B40" s="9">
        <v>168510</v>
      </c>
    </row>
    <row r="41" spans="1:2" x14ac:dyDescent="0.25">
      <c r="A41" s="7" t="s">
        <v>756</v>
      </c>
      <c r="B41" s="8">
        <v>384364.01</v>
      </c>
    </row>
    <row r="42" spans="1:2" x14ac:dyDescent="0.25">
      <c r="A42" s="7" t="s">
        <v>169</v>
      </c>
      <c r="B42" s="8">
        <v>3782880</v>
      </c>
    </row>
    <row r="43" spans="1:2" x14ac:dyDescent="0.25">
      <c r="A43" s="7" t="s">
        <v>688</v>
      </c>
      <c r="B43" s="8">
        <v>660000.01</v>
      </c>
    </row>
    <row r="44" spans="1:2" x14ac:dyDescent="0.25">
      <c r="A44" s="7" t="s">
        <v>459</v>
      </c>
      <c r="B44" s="8">
        <v>11039988.960000001</v>
      </c>
    </row>
    <row r="45" spans="1:2" x14ac:dyDescent="0.25">
      <c r="A45" s="7" t="s">
        <v>477</v>
      </c>
      <c r="B45" s="8">
        <v>702000.1</v>
      </c>
    </row>
    <row r="46" spans="1:2" x14ac:dyDescent="0.25">
      <c r="A46" s="7" t="s">
        <v>473</v>
      </c>
      <c r="B46" s="8">
        <v>702000.1</v>
      </c>
    </row>
    <row r="47" spans="1:2" x14ac:dyDescent="0.25">
      <c r="A47" s="7" t="s">
        <v>479</v>
      </c>
      <c r="B47" s="8">
        <v>702000.1</v>
      </c>
    </row>
    <row r="48" spans="1:2" x14ac:dyDescent="0.25">
      <c r="A48" s="7" t="s">
        <v>481</v>
      </c>
      <c r="B48" s="8">
        <v>702000.1</v>
      </c>
    </row>
    <row r="49" spans="1:2" x14ac:dyDescent="0.25">
      <c r="A49" s="7" t="s">
        <v>884</v>
      </c>
      <c r="B49" s="10">
        <v>224220</v>
      </c>
    </row>
    <row r="50" spans="1:2" x14ac:dyDescent="0.25">
      <c r="A50" s="7" t="s">
        <v>620</v>
      </c>
      <c r="B50" s="10">
        <v>275620</v>
      </c>
    </row>
    <row r="51" spans="1:2" x14ac:dyDescent="0.25">
      <c r="A51" s="6" t="s">
        <v>45</v>
      </c>
      <c r="B51" s="8">
        <v>12287255.07</v>
      </c>
    </row>
    <row r="52" spans="1:2" x14ac:dyDescent="0.25">
      <c r="A52" s="7" t="s">
        <v>336</v>
      </c>
      <c r="B52" s="8">
        <v>560000</v>
      </c>
    </row>
    <row r="53" spans="1:2" x14ac:dyDescent="0.25">
      <c r="A53" s="7" t="s">
        <v>668</v>
      </c>
      <c r="B53" s="8">
        <v>501855</v>
      </c>
    </row>
    <row r="54" spans="1:2" x14ac:dyDescent="0.25">
      <c r="A54" s="7" t="s">
        <v>387</v>
      </c>
      <c r="B54" s="8">
        <v>285000</v>
      </c>
    </row>
    <row r="55" spans="1:2" x14ac:dyDescent="0.25">
      <c r="A55" s="7" t="s">
        <v>43</v>
      </c>
      <c r="B55" s="8">
        <v>710400</v>
      </c>
    </row>
    <row r="56" spans="1:2" x14ac:dyDescent="0.25">
      <c r="A56" s="7" t="s">
        <v>547</v>
      </c>
      <c r="B56" s="8">
        <v>945000</v>
      </c>
    </row>
    <row r="57" spans="1:2" x14ac:dyDescent="0.25">
      <c r="A57" s="7" t="s">
        <v>323</v>
      </c>
      <c r="B57" s="8">
        <v>4350000</v>
      </c>
    </row>
    <row r="58" spans="1:2" x14ac:dyDescent="0.25">
      <c r="A58" s="7" t="s">
        <v>342</v>
      </c>
      <c r="B58" s="8">
        <v>300000.01</v>
      </c>
    </row>
    <row r="59" spans="1:2" x14ac:dyDescent="0.25">
      <c r="A59" s="7" t="s">
        <v>682</v>
      </c>
      <c r="B59" s="8">
        <v>1360000.06</v>
      </c>
    </row>
    <row r="60" spans="1:2" x14ac:dyDescent="0.25">
      <c r="A60" s="7" t="s">
        <v>457</v>
      </c>
      <c r="B60" s="8">
        <v>1800000</v>
      </c>
    </row>
    <row r="61" spans="1:2" x14ac:dyDescent="0.25">
      <c r="A61" s="7" t="s">
        <v>233</v>
      </c>
      <c r="B61" s="8">
        <v>1475000</v>
      </c>
    </row>
    <row r="62" spans="1:2" x14ac:dyDescent="0.25">
      <c r="A62" s="6" t="s">
        <v>30</v>
      </c>
      <c r="B62" s="8">
        <v>31665956.560000002</v>
      </c>
    </row>
    <row r="63" spans="1:2" x14ac:dyDescent="0.25">
      <c r="A63" s="7" t="s">
        <v>637</v>
      </c>
      <c r="B63" s="8">
        <v>4222126.53</v>
      </c>
    </row>
    <row r="64" spans="1:2" x14ac:dyDescent="0.25">
      <c r="A64" s="7" t="s">
        <v>378</v>
      </c>
      <c r="B64" s="8">
        <v>15017500</v>
      </c>
    </row>
    <row r="65" spans="1:2" x14ac:dyDescent="0.25">
      <c r="A65" s="7" t="s">
        <v>93</v>
      </c>
      <c r="B65" s="8">
        <v>606060</v>
      </c>
    </row>
    <row r="66" spans="1:2" x14ac:dyDescent="0.25">
      <c r="A66" s="7" t="s">
        <v>598</v>
      </c>
      <c r="B66" s="8">
        <v>348000</v>
      </c>
    </row>
    <row r="67" spans="1:2" x14ac:dyDescent="0.25">
      <c r="A67" s="7" t="s">
        <v>108</v>
      </c>
      <c r="B67" s="8">
        <v>1112220</v>
      </c>
    </row>
    <row r="68" spans="1:2" x14ac:dyDescent="0.25">
      <c r="A68" s="7" t="s">
        <v>524</v>
      </c>
      <c r="B68" s="8">
        <v>2841600</v>
      </c>
    </row>
    <row r="69" spans="1:2" x14ac:dyDescent="0.25">
      <c r="A69" s="7" t="s">
        <v>29</v>
      </c>
      <c r="B69" s="8">
        <v>560000</v>
      </c>
    </row>
    <row r="70" spans="1:2" x14ac:dyDescent="0.25">
      <c r="A70" s="7" t="s">
        <v>362</v>
      </c>
      <c r="B70" s="8">
        <v>1200000</v>
      </c>
    </row>
    <row r="71" spans="1:2" x14ac:dyDescent="0.25">
      <c r="A71" s="7" t="s">
        <v>570</v>
      </c>
      <c r="B71" s="8">
        <v>1280000</v>
      </c>
    </row>
    <row r="72" spans="1:2" x14ac:dyDescent="0.25">
      <c r="A72" s="7" t="s">
        <v>263</v>
      </c>
      <c r="B72" s="8">
        <v>2090000.03</v>
      </c>
    </row>
    <row r="73" spans="1:2" x14ac:dyDescent="0.25">
      <c r="A73" s="7" t="s">
        <v>392</v>
      </c>
      <c r="B73" s="8">
        <v>1776000</v>
      </c>
    </row>
    <row r="74" spans="1:2" x14ac:dyDescent="0.25">
      <c r="A74" s="7" t="s">
        <v>389</v>
      </c>
      <c r="B74" s="8">
        <v>327450</v>
      </c>
    </row>
    <row r="75" spans="1:2" x14ac:dyDescent="0.25">
      <c r="A75" s="7" t="s">
        <v>118</v>
      </c>
      <c r="B75" s="9">
        <v>285000</v>
      </c>
    </row>
    <row r="76" spans="1:2" x14ac:dyDescent="0.25">
      <c r="A76" s="6" t="s">
        <v>532</v>
      </c>
      <c r="B76" s="8">
        <v>6607483.9800000004</v>
      </c>
    </row>
    <row r="77" spans="1:2" x14ac:dyDescent="0.25">
      <c r="A77" s="7" t="s">
        <v>531</v>
      </c>
      <c r="B77" s="8">
        <v>3900119.98</v>
      </c>
    </row>
    <row r="78" spans="1:2" x14ac:dyDescent="0.25">
      <c r="A78" s="7" t="s">
        <v>707</v>
      </c>
      <c r="B78" s="9">
        <v>199874</v>
      </c>
    </row>
    <row r="79" spans="1:2" x14ac:dyDescent="0.25">
      <c r="A79" s="7" t="s">
        <v>544</v>
      </c>
      <c r="B79" s="8">
        <v>2507490</v>
      </c>
    </row>
    <row r="80" spans="1:2" x14ac:dyDescent="0.25">
      <c r="A80" s="6" t="s">
        <v>113</v>
      </c>
      <c r="B80" s="8">
        <v>42510001.040000007</v>
      </c>
    </row>
    <row r="81" spans="1:2" x14ac:dyDescent="0.25">
      <c r="A81" s="7" t="s">
        <v>366</v>
      </c>
      <c r="B81" s="8">
        <v>725940</v>
      </c>
    </row>
    <row r="82" spans="1:2" x14ac:dyDescent="0.25">
      <c r="A82" s="7" t="s">
        <v>432</v>
      </c>
      <c r="B82" s="9">
        <v>280000</v>
      </c>
    </row>
    <row r="83" spans="1:2" x14ac:dyDescent="0.25">
      <c r="A83" s="7" t="s">
        <v>760</v>
      </c>
      <c r="B83" s="8">
        <v>3503160</v>
      </c>
    </row>
    <row r="84" spans="1:2" x14ac:dyDescent="0.25">
      <c r="A84" s="7" t="s">
        <v>385</v>
      </c>
      <c r="B84" s="8">
        <v>870000</v>
      </c>
    </row>
    <row r="85" spans="1:2" x14ac:dyDescent="0.25">
      <c r="A85" s="7" t="s">
        <v>443</v>
      </c>
      <c r="B85" s="8">
        <v>4273820.0600000005</v>
      </c>
    </row>
    <row r="86" spans="1:2" x14ac:dyDescent="0.25">
      <c r="A86" s="7" t="s">
        <v>372</v>
      </c>
      <c r="B86" s="8">
        <v>10713890</v>
      </c>
    </row>
    <row r="87" spans="1:2" x14ac:dyDescent="0.25">
      <c r="A87" s="7" t="s">
        <v>468</v>
      </c>
      <c r="B87" s="8">
        <v>654900</v>
      </c>
    </row>
    <row r="88" spans="1:2" x14ac:dyDescent="0.25">
      <c r="A88" s="7" t="s">
        <v>226</v>
      </c>
      <c r="B88" s="8">
        <v>301650</v>
      </c>
    </row>
    <row r="89" spans="1:2" x14ac:dyDescent="0.25">
      <c r="A89" s="7" t="s">
        <v>112</v>
      </c>
      <c r="B89" s="9">
        <v>95460</v>
      </c>
    </row>
    <row r="90" spans="1:2" x14ac:dyDescent="0.25">
      <c r="A90" s="7" t="s">
        <v>815</v>
      </c>
      <c r="B90" s="8">
        <v>970000.07</v>
      </c>
    </row>
    <row r="91" spans="1:2" x14ac:dyDescent="0.25">
      <c r="A91" s="7" t="s">
        <v>770</v>
      </c>
      <c r="B91" s="8">
        <v>825000.84</v>
      </c>
    </row>
    <row r="92" spans="1:2" x14ac:dyDescent="0.25">
      <c r="A92" s="7" t="s">
        <v>400</v>
      </c>
      <c r="B92" s="8">
        <v>3503700</v>
      </c>
    </row>
    <row r="93" spans="1:2" x14ac:dyDescent="0.25">
      <c r="A93" s="7" t="s">
        <v>313</v>
      </c>
      <c r="B93" s="8">
        <v>3059840.0700000003</v>
      </c>
    </row>
    <row r="94" spans="1:2" x14ac:dyDescent="0.25">
      <c r="A94" s="7" t="s">
        <v>666</v>
      </c>
      <c r="B94" s="8">
        <v>1590000</v>
      </c>
    </row>
    <row r="95" spans="1:2" x14ac:dyDescent="0.25">
      <c r="A95" s="7" t="s">
        <v>529</v>
      </c>
      <c r="B95" s="8">
        <v>316350</v>
      </c>
    </row>
    <row r="96" spans="1:2" x14ac:dyDescent="0.25">
      <c r="A96" s="7" t="s">
        <v>904</v>
      </c>
      <c r="B96" s="8">
        <v>1720000.01</v>
      </c>
    </row>
    <row r="97" spans="1:2" x14ac:dyDescent="0.25">
      <c r="A97" s="7" t="s">
        <v>174</v>
      </c>
      <c r="B97" s="8">
        <v>982350</v>
      </c>
    </row>
    <row r="98" spans="1:2" x14ac:dyDescent="0.25">
      <c r="A98" s="7" t="s">
        <v>908</v>
      </c>
      <c r="B98" s="9">
        <v>165000</v>
      </c>
    </row>
    <row r="99" spans="1:2" x14ac:dyDescent="0.25">
      <c r="A99" s="7" t="s">
        <v>430</v>
      </c>
      <c r="B99" s="8">
        <v>604999.99</v>
      </c>
    </row>
    <row r="100" spans="1:2" x14ac:dyDescent="0.25">
      <c r="A100" s="7" t="s">
        <v>774</v>
      </c>
      <c r="B100" s="8">
        <v>930000</v>
      </c>
    </row>
    <row r="101" spans="1:2" x14ac:dyDescent="0.25">
      <c r="A101" s="7" t="s">
        <v>423</v>
      </c>
      <c r="B101" s="8">
        <v>2133999.9900000002</v>
      </c>
    </row>
    <row r="102" spans="1:2" x14ac:dyDescent="0.25">
      <c r="A102" s="7" t="s">
        <v>354</v>
      </c>
      <c r="B102" s="8">
        <v>595000</v>
      </c>
    </row>
    <row r="103" spans="1:2" x14ac:dyDescent="0.25">
      <c r="A103" s="7" t="s">
        <v>692</v>
      </c>
      <c r="B103" s="8">
        <v>1100000.01</v>
      </c>
    </row>
    <row r="104" spans="1:2" x14ac:dyDescent="0.25">
      <c r="A104" s="7" t="s">
        <v>515</v>
      </c>
      <c r="B104" s="8">
        <v>2174940</v>
      </c>
    </row>
    <row r="105" spans="1:2" x14ac:dyDescent="0.25">
      <c r="A105" s="7" t="s">
        <v>606</v>
      </c>
      <c r="B105" s="8">
        <v>420000</v>
      </c>
    </row>
    <row r="106" spans="1:2" x14ac:dyDescent="0.25">
      <c r="A106" s="6" t="s">
        <v>167</v>
      </c>
      <c r="B106" s="8">
        <v>9832470.0299999993</v>
      </c>
    </row>
    <row r="107" spans="1:2" x14ac:dyDescent="0.25">
      <c r="A107" s="7" t="s">
        <v>660</v>
      </c>
      <c r="B107" s="8">
        <v>1650000.02</v>
      </c>
    </row>
    <row r="108" spans="1:2" x14ac:dyDescent="0.25">
      <c r="A108" s="7" t="s">
        <v>647</v>
      </c>
      <c r="B108" s="8">
        <v>2000000</v>
      </c>
    </row>
    <row r="109" spans="1:2" x14ac:dyDescent="0.25">
      <c r="A109" s="7" t="s">
        <v>239</v>
      </c>
      <c r="B109" s="8">
        <v>327450</v>
      </c>
    </row>
    <row r="110" spans="1:2" x14ac:dyDescent="0.25">
      <c r="A110" s="7" t="s">
        <v>166</v>
      </c>
      <c r="B110" s="8">
        <v>577200</v>
      </c>
    </row>
    <row r="111" spans="1:2" x14ac:dyDescent="0.25">
      <c r="A111" s="7" t="s">
        <v>193</v>
      </c>
      <c r="B111" s="8">
        <v>5277820.01</v>
      </c>
    </row>
    <row r="112" spans="1:2" x14ac:dyDescent="0.25">
      <c r="A112" s="6" t="s">
        <v>455</v>
      </c>
      <c r="B112" s="8">
        <v>4216999.2300000004</v>
      </c>
    </row>
    <row r="113" spans="1:2" x14ac:dyDescent="0.25">
      <c r="A113" s="7" t="s">
        <v>483</v>
      </c>
      <c r="B113" s="8">
        <v>4216999.2300000004</v>
      </c>
    </row>
    <row r="114" spans="1:2" x14ac:dyDescent="0.25">
      <c r="A114" s="6" t="s">
        <v>677</v>
      </c>
      <c r="B114" s="8">
        <v>34569000</v>
      </c>
    </row>
    <row r="115" spans="1:2" x14ac:dyDescent="0.25">
      <c r="A115" s="7" t="s">
        <v>676</v>
      </c>
      <c r="B115" s="8">
        <v>34569000</v>
      </c>
    </row>
    <row r="116" spans="1:2" x14ac:dyDescent="0.25">
      <c r="A116" s="6" t="s">
        <v>185</v>
      </c>
      <c r="B116" s="8">
        <v>23281880.5</v>
      </c>
    </row>
    <row r="117" spans="1:2" x14ac:dyDescent="0.25">
      <c r="A117" s="7" t="s">
        <v>250</v>
      </c>
      <c r="B117" s="8">
        <v>1187700</v>
      </c>
    </row>
    <row r="118" spans="1:2" x14ac:dyDescent="0.25">
      <c r="A118" s="7" t="s">
        <v>402</v>
      </c>
      <c r="B118" s="8">
        <v>849599.95</v>
      </c>
    </row>
    <row r="119" spans="1:2" x14ac:dyDescent="0.25">
      <c r="A119" s="7" t="s">
        <v>212</v>
      </c>
      <c r="B119" s="8">
        <v>3116880</v>
      </c>
    </row>
    <row r="120" spans="1:2" x14ac:dyDescent="0.25">
      <c r="A120" s="7" t="s">
        <v>419</v>
      </c>
      <c r="B120" s="8">
        <v>8144000.3799999999</v>
      </c>
    </row>
    <row r="121" spans="1:2" x14ac:dyDescent="0.25">
      <c r="A121" s="7" t="s">
        <v>216</v>
      </c>
      <c r="B121" s="8">
        <v>2064600</v>
      </c>
    </row>
    <row r="122" spans="1:2" x14ac:dyDescent="0.25">
      <c r="A122" s="7" t="s">
        <v>210</v>
      </c>
      <c r="B122" s="8">
        <v>3573000.0700000003</v>
      </c>
    </row>
    <row r="123" spans="1:2" x14ac:dyDescent="0.25">
      <c r="A123" s="7" t="s">
        <v>184</v>
      </c>
      <c r="B123" s="8">
        <v>2703800.05</v>
      </c>
    </row>
    <row r="124" spans="1:2" x14ac:dyDescent="0.25">
      <c r="A124" s="7" t="s">
        <v>218</v>
      </c>
      <c r="B124" s="8">
        <v>1642300.05</v>
      </c>
    </row>
    <row r="125" spans="1:2" x14ac:dyDescent="0.25">
      <c r="A125" s="6" t="s">
        <v>266</v>
      </c>
      <c r="B125" s="8">
        <v>2591999.96</v>
      </c>
    </row>
    <row r="126" spans="1:2" x14ac:dyDescent="0.25">
      <c r="A126" s="7" t="s">
        <v>265</v>
      </c>
      <c r="B126" s="8">
        <v>2591999.96</v>
      </c>
    </row>
    <row r="127" spans="1:2" x14ac:dyDescent="0.25">
      <c r="A127" s="6" t="s">
        <v>198</v>
      </c>
      <c r="B127" s="8">
        <v>6410185.0700000003</v>
      </c>
    </row>
    <row r="128" spans="1:2" x14ac:dyDescent="0.25">
      <c r="A128" s="7" t="s">
        <v>411</v>
      </c>
      <c r="B128" s="8">
        <v>1250100.05</v>
      </c>
    </row>
    <row r="129" spans="1:2" x14ac:dyDescent="0.25">
      <c r="A129" s="7" t="s">
        <v>452</v>
      </c>
      <c r="B129" s="8">
        <v>477300</v>
      </c>
    </row>
    <row r="130" spans="1:2" x14ac:dyDescent="0.25">
      <c r="A130" s="7" t="s">
        <v>409</v>
      </c>
      <c r="B130" s="8">
        <v>525000.03</v>
      </c>
    </row>
    <row r="131" spans="1:2" x14ac:dyDescent="0.25">
      <c r="A131" s="7" t="s">
        <v>407</v>
      </c>
      <c r="B131" s="8">
        <v>1183000.04</v>
      </c>
    </row>
    <row r="132" spans="1:2" x14ac:dyDescent="0.25">
      <c r="A132" s="7" t="s">
        <v>205</v>
      </c>
      <c r="B132" s="8">
        <v>1050599.95</v>
      </c>
    </row>
    <row r="133" spans="1:2" x14ac:dyDescent="0.25">
      <c r="A133" s="7" t="s">
        <v>197</v>
      </c>
      <c r="B133" s="8">
        <v>1924185</v>
      </c>
    </row>
    <row r="134" spans="1:2" x14ac:dyDescent="0.25">
      <c r="A134" s="6" t="s">
        <v>21</v>
      </c>
      <c r="B134" s="8">
        <v>69551999.730000004</v>
      </c>
    </row>
    <row r="135" spans="1:2" x14ac:dyDescent="0.25">
      <c r="A135" s="7" t="s">
        <v>428</v>
      </c>
      <c r="B135" s="8">
        <v>1702800.03</v>
      </c>
    </row>
    <row r="136" spans="1:2" x14ac:dyDescent="0.25">
      <c r="A136" s="7" t="s">
        <v>125</v>
      </c>
      <c r="B136" s="8">
        <v>1540800.06</v>
      </c>
    </row>
    <row r="137" spans="1:2" x14ac:dyDescent="0.25">
      <c r="A137" s="7" t="s">
        <v>302</v>
      </c>
      <c r="B137" s="8">
        <v>613200.05000000005</v>
      </c>
    </row>
    <row r="138" spans="1:2" x14ac:dyDescent="0.25">
      <c r="A138" s="7" t="s">
        <v>325</v>
      </c>
      <c r="B138" s="8">
        <v>2630400.0300000003</v>
      </c>
    </row>
    <row r="139" spans="1:2" x14ac:dyDescent="0.25">
      <c r="A139" s="7" t="s">
        <v>106</v>
      </c>
      <c r="B139" s="8">
        <v>4420799.7</v>
      </c>
    </row>
    <row r="140" spans="1:2" x14ac:dyDescent="0.25">
      <c r="A140" s="7" t="s">
        <v>95</v>
      </c>
      <c r="B140" s="8">
        <v>1897199.92</v>
      </c>
    </row>
    <row r="141" spans="1:2" x14ac:dyDescent="0.25">
      <c r="A141" s="7" t="s">
        <v>104</v>
      </c>
      <c r="B141" s="8">
        <v>1897199.92</v>
      </c>
    </row>
    <row r="142" spans="1:2" x14ac:dyDescent="0.25">
      <c r="A142" s="7" t="s">
        <v>202</v>
      </c>
      <c r="B142" s="8">
        <v>47879999.689999998</v>
      </c>
    </row>
    <row r="143" spans="1:2" x14ac:dyDescent="0.25">
      <c r="A143" s="7" t="s">
        <v>19</v>
      </c>
      <c r="B143" s="8">
        <v>3360000.2</v>
      </c>
    </row>
    <row r="144" spans="1:2" x14ac:dyDescent="0.25">
      <c r="A144" s="7" t="s">
        <v>287</v>
      </c>
      <c r="B144" s="8">
        <v>2068800.07</v>
      </c>
    </row>
    <row r="145" spans="1:2" x14ac:dyDescent="0.25">
      <c r="A145" s="7" t="s">
        <v>191</v>
      </c>
      <c r="B145" s="8">
        <v>1540800.06</v>
      </c>
    </row>
    <row r="146" spans="1:2" x14ac:dyDescent="0.25">
      <c r="A146" s="6" t="s">
        <v>417</v>
      </c>
      <c r="B146" s="8">
        <v>2064600</v>
      </c>
    </row>
    <row r="147" spans="1:2" x14ac:dyDescent="0.25">
      <c r="A147" s="7" t="s">
        <v>416</v>
      </c>
      <c r="B147" s="8">
        <v>2064600</v>
      </c>
    </row>
    <row r="148" spans="1:2" x14ac:dyDescent="0.25">
      <c r="A148" s="6" t="s">
        <v>37</v>
      </c>
      <c r="B148" s="8">
        <v>23069105.260000002</v>
      </c>
    </row>
    <row r="149" spans="1:2" x14ac:dyDescent="0.25">
      <c r="A149" s="7" t="s">
        <v>250</v>
      </c>
      <c r="B149" s="8">
        <v>2675000.16</v>
      </c>
    </row>
    <row r="150" spans="1:2" x14ac:dyDescent="0.25">
      <c r="A150" s="7" t="s">
        <v>395</v>
      </c>
      <c r="B150" s="8">
        <v>1378620</v>
      </c>
    </row>
    <row r="151" spans="1:2" x14ac:dyDescent="0.25">
      <c r="A151" s="7" t="s">
        <v>464</v>
      </c>
      <c r="B151" s="8">
        <v>2926160</v>
      </c>
    </row>
    <row r="152" spans="1:2" x14ac:dyDescent="0.25">
      <c r="A152" s="7" t="s">
        <v>828</v>
      </c>
      <c r="B152" s="8">
        <v>310000</v>
      </c>
    </row>
    <row r="153" spans="1:2" x14ac:dyDescent="0.25">
      <c r="A153" s="7" t="s">
        <v>176</v>
      </c>
      <c r="B153" s="8">
        <v>606060</v>
      </c>
    </row>
    <row r="154" spans="1:2" x14ac:dyDescent="0.25">
      <c r="A154" s="7" t="s">
        <v>836</v>
      </c>
      <c r="B154" s="8">
        <v>510000.02</v>
      </c>
    </row>
    <row r="155" spans="1:2" x14ac:dyDescent="0.25">
      <c r="A155" s="7" t="s">
        <v>777</v>
      </c>
      <c r="B155" s="8">
        <v>770000.01</v>
      </c>
    </row>
    <row r="156" spans="1:2" x14ac:dyDescent="0.25">
      <c r="A156" s="7" t="s">
        <v>694</v>
      </c>
      <c r="B156" s="8">
        <v>615000.01</v>
      </c>
    </row>
    <row r="157" spans="1:2" x14ac:dyDescent="0.25">
      <c r="A157" s="7" t="s">
        <v>674</v>
      </c>
      <c r="B157" s="8">
        <v>570000</v>
      </c>
    </row>
    <row r="158" spans="1:2" x14ac:dyDescent="0.25">
      <c r="A158" s="7" t="s">
        <v>772</v>
      </c>
      <c r="B158" s="8">
        <v>333345</v>
      </c>
    </row>
    <row r="159" spans="1:2" x14ac:dyDescent="0.25">
      <c r="A159" s="7" t="s">
        <v>235</v>
      </c>
      <c r="B159" s="8">
        <v>1176000.02</v>
      </c>
    </row>
    <row r="160" spans="1:2" x14ac:dyDescent="0.25">
      <c r="A160" s="7" t="s">
        <v>513</v>
      </c>
      <c r="B160" s="8">
        <v>2534420</v>
      </c>
    </row>
    <row r="161" spans="1:2" x14ac:dyDescent="0.25">
      <c r="A161" s="7" t="s">
        <v>63</v>
      </c>
      <c r="B161" s="8">
        <v>640000</v>
      </c>
    </row>
    <row r="162" spans="1:2" x14ac:dyDescent="0.25">
      <c r="A162" s="7" t="s">
        <v>69</v>
      </c>
      <c r="B162" s="8">
        <v>1425000</v>
      </c>
    </row>
    <row r="163" spans="1:2" x14ac:dyDescent="0.25">
      <c r="A163" s="7" t="s">
        <v>36</v>
      </c>
      <c r="B163" s="8">
        <v>3127500</v>
      </c>
    </row>
    <row r="164" spans="1:2" x14ac:dyDescent="0.25">
      <c r="A164" s="7" t="s">
        <v>788</v>
      </c>
      <c r="B164" s="8">
        <v>920000.01</v>
      </c>
    </row>
    <row r="165" spans="1:2" x14ac:dyDescent="0.25">
      <c r="A165" s="7" t="s">
        <v>906</v>
      </c>
      <c r="B165" s="8">
        <v>376000</v>
      </c>
    </row>
    <row r="166" spans="1:2" x14ac:dyDescent="0.25">
      <c r="A166" s="7" t="s">
        <v>49</v>
      </c>
      <c r="B166" s="8">
        <v>590000</v>
      </c>
    </row>
    <row r="167" spans="1:2" x14ac:dyDescent="0.25">
      <c r="A167" s="7" t="s">
        <v>850</v>
      </c>
      <c r="B167" s="8">
        <v>390000</v>
      </c>
    </row>
    <row r="168" spans="1:2" x14ac:dyDescent="0.25">
      <c r="A168" s="7" t="s">
        <v>66</v>
      </c>
      <c r="B168" s="8">
        <v>846000.02</v>
      </c>
    </row>
    <row r="169" spans="1:2" x14ac:dyDescent="0.25">
      <c r="A169" s="7" t="s">
        <v>786</v>
      </c>
      <c r="B169" s="8">
        <v>350000.01</v>
      </c>
    </row>
    <row r="170" spans="1:2" x14ac:dyDescent="0.25">
      <c r="A170" s="6" t="s">
        <v>160</v>
      </c>
      <c r="B170" s="8">
        <v>21190870.490000002</v>
      </c>
    </row>
    <row r="171" spans="1:2" x14ac:dyDescent="0.25">
      <c r="A171" s="7" t="s">
        <v>811</v>
      </c>
      <c r="B171" s="9">
        <v>58000</v>
      </c>
    </row>
    <row r="172" spans="1:2" x14ac:dyDescent="0.25">
      <c r="A172" s="7" t="s">
        <v>441</v>
      </c>
      <c r="B172" s="8">
        <v>2217915</v>
      </c>
    </row>
    <row r="173" spans="1:2" x14ac:dyDescent="0.25">
      <c r="A173" s="7" t="s">
        <v>364</v>
      </c>
      <c r="B173" s="8">
        <v>280000</v>
      </c>
    </row>
    <row r="174" spans="1:2" x14ac:dyDescent="0.25">
      <c r="A174" s="7" t="s">
        <v>662</v>
      </c>
      <c r="B174" s="8">
        <v>404510</v>
      </c>
    </row>
    <row r="175" spans="1:2" x14ac:dyDescent="0.25">
      <c r="A175" s="7" t="s">
        <v>462</v>
      </c>
      <c r="B175" s="8">
        <v>1212120</v>
      </c>
    </row>
    <row r="176" spans="1:2" x14ac:dyDescent="0.25">
      <c r="A176" s="7" t="s">
        <v>539</v>
      </c>
      <c r="B176" s="8">
        <v>1637250</v>
      </c>
    </row>
    <row r="177" spans="1:2" x14ac:dyDescent="0.25">
      <c r="A177" s="7" t="s">
        <v>892</v>
      </c>
      <c r="B177" s="8">
        <v>1680570</v>
      </c>
    </row>
    <row r="178" spans="1:2" x14ac:dyDescent="0.25">
      <c r="A178" s="7" t="s">
        <v>352</v>
      </c>
      <c r="B178" s="8">
        <v>936060</v>
      </c>
    </row>
    <row r="179" spans="1:2" x14ac:dyDescent="0.25">
      <c r="A179" s="7" t="s">
        <v>826</v>
      </c>
      <c r="B179" s="8">
        <v>1776000</v>
      </c>
    </row>
    <row r="180" spans="1:2" x14ac:dyDescent="0.25">
      <c r="A180" s="7" t="s">
        <v>686</v>
      </c>
      <c r="B180" s="8">
        <v>1100000.01</v>
      </c>
    </row>
    <row r="181" spans="1:2" x14ac:dyDescent="0.25">
      <c r="A181" s="7" t="s">
        <v>308</v>
      </c>
      <c r="B181" s="8">
        <v>1776000</v>
      </c>
    </row>
    <row r="182" spans="1:2" x14ac:dyDescent="0.25">
      <c r="A182" s="7" t="s">
        <v>178</v>
      </c>
      <c r="B182" s="8">
        <v>1309800</v>
      </c>
    </row>
    <row r="183" spans="1:2" x14ac:dyDescent="0.25">
      <c r="A183" s="7" t="s">
        <v>798</v>
      </c>
      <c r="B183" s="8">
        <v>1583999.8800000001</v>
      </c>
    </row>
    <row r="184" spans="1:2" x14ac:dyDescent="0.25">
      <c r="A184" s="7" t="s">
        <v>450</v>
      </c>
      <c r="B184" s="8">
        <v>438750</v>
      </c>
    </row>
    <row r="185" spans="1:2" x14ac:dyDescent="0.25">
      <c r="A185" s="7" t="s">
        <v>839</v>
      </c>
      <c r="B185" s="8">
        <v>4124995.6</v>
      </c>
    </row>
    <row r="186" spans="1:2" x14ac:dyDescent="0.25">
      <c r="A186" s="7" t="s">
        <v>499</v>
      </c>
      <c r="B186" s="8">
        <v>654900</v>
      </c>
    </row>
    <row r="187" spans="1:2" x14ac:dyDescent="0.25">
      <c r="A187" s="6" t="s">
        <v>123</v>
      </c>
      <c r="B187" s="8">
        <v>31282680.149999999</v>
      </c>
    </row>
    <row r="188" spans="1:2" x14ac:dyDescent="0.25">
      <c r="A188" s="7" t="s">
        <v>139</v>
      </c>
      <c r="B188" s="8">
        <v>1649350.04</v>
      </c>
    </row>
    <row r="189" spans="1:2" x14ac:dyDescent="0.25">
      <c r="A189" s="7" t="s">
        <v>338</v>
      </c>
      <c r="B189" s="9">
        <v>250000</v>
      </c>
    </row>
    <row r="190" spans="1:2" x14ac:dyDescent="0.25">
      <c r="A190" s="7" t="s">
        <v>545</v>
      </c>
      <c r="B190" s="8">
        <v>528000</v>
      </c>
    </row>
    <row r="191" spans="1:2" x14ac:dyDescent="0.25">
      <c r="A191" s="7" t="s">
        <v>368</v>
      </c>
      <c r="B191" s="8">
        <v>1665200.02</v>
      </c>
    </row>
    <row r="192" spans="1:2" x14ac:dyDescent="0.25">
      <c r="A192" s="7" t="s">
        <v>784</v>
      </c>
      <c r="B192" s="8">
        <v>1950000.01</v>
      </c>
    </row>
    <row r="193" spans="1:2" x14ac:dyDescent="0.25">
      <c r="A193" s="7" t="s">
        <v>492</v>
      </c>
      <c r="B193" s="8">
        <v>1300400.01</v>
      </c>
    </row>
    <row r="194" spans="1:2" x14ac:dyDescent="0.25">
      <c r="A194" s="7" t="s">
        <v>151</v>
      </c>
      <c r="B194" s="8">
        <v>327450</v>
      </c>
    </row>
    <row r="195" spans="1:2" x14ac:dyDescent="0.25">
      <c r="A195" s="7" t="s">
        <v>501</v>
      </c>
      <c r="B195" s="8">
        <v>4480200.04</v>
      </c>
    </row>
    <row r="196" spans="1:2" x14ac:dyDescent="0.25">
      <c r="A196" s="7" t="s">
        <v>519</v>
      </c>
      <c r="B196" s="8">
        <v>355200</v>
      </c>
    </row>
    <row r="197" spans="1:2" x14ac:dyDescent="0.25">
      <c r="A197" s="7" t="s">
        <v>739</v>
      </c>
      <c r="B197" s="8">
        <v>530000</v>
      </c>
    </row>
    <row r="198" spans="1:2" x14ac:dyDescent="0.25">
      <c r="A198" s="7" t="s">
        <v>155</v>
      </c>
      <c r="B198" s="8">
        <v>4539900</v>
      </c>
    </row>
    <row r="199" spans="1:2" x14ac:dyDescent="0.25">
      <c r="A199" s="7" t="s">
        <v>360</v>
      </c>
      <c r="B199" s="8">
        <v>1751580</v>
      </c>
    </row>
    <row r="200" spans="1:2" x14ac:dyDescent="0.25">
      <c r="A200" s="7" t="s">
        <v>345</v>
      </c>
      <c r="B200" s="8">
        <v>1326000</v>
      </c>
    </row>
    <row r="201" spans="1:2" x14ac:dyDescent="0.25">
      <c r="A201" s="7" t="s">
        <v>122</v>
      </c>
      <c r="B201" s="8">
        <v>1475000</v>
      </c>
    </row>
    <row r="202" spans="1:2" x14ac:dyDescent="0.25">
      <c r="A202" s="7" t="s">
        <v>506</v>
      </c>
      <c r="B202" s="8">
        <v>570000</v>
      </c>
    </row>
    <row r="203" spans="1:2" x14ac:dyDescent="0.25">
      <c r="A203" s="7" t="s">
        <v>310</v>
      </c>
      <c r="B203" s="8">
        <v>2368500</v>
      </c>
    </row>
    <row r="204" spans="1:2" x14ac:dyDescent="0.25">
      <c r="A204" s="7" t="s">
        <v>180</v>
      </c>
      <c r="B204" s="8">
        <v>560000</v>
      </c>
    </row>
    <row r="205" spans="1:2" x14ac:dyDescent="0.25">
      <c r="A205" s="7" t="s">
        <v>218</v>
      </c>
      <c r="B205" s="8">
        <v>875999.99</v>
      </c>
    </row>
    <row r="206" spans="1:2" x14ac:dyDescent="0.25">
      <c r="A206" s="7" t="s">
        <v>153</v>
      </c>
      <c r="B206" s="8">
        <v>4779900.04</v>
      </c>
    </row>
    <row r="207" spans="1:2" x14ac:dyDescent="0.25">
      <c r="A207" s="6" t="s">
        <v>82</v>
      </c>
      <c r="B207" s="8">
        <v>40215665</v>
      </c>
    </row>
    <row r="208" spans="1:2" x14ac:dyDescent="0.25">
      <c r="A208" s="7" t="s">
        <v>306</v>
      </c>
      <c r="B208" s="8">
        <v>945000</v>
      </c>
    </row>
    <row r="209" spans="1:2" x14ac:dyDescent="0.25">
      <c r="A209" s="7" t="s">
        <v>475</v>
      </c>
      <c r="B209" s="8">
        <v>3600000</v>
      </c>
    </row>
    <row r="210" spans="1:2" x14ac:dyDescent="0.25">
      <c r="A210" s="7" t="s">
        <v>376</v>
      </c>
      <c r="B210" s="8">
        <v>362970</v>
      </c>
    </row>
    <row r="211" spans="1:2" x14ac:dyDescent="0.25">
      <c r="A211" s="7" t="s">
        <v>255</v>
      </c>
      <c r="B211" s="8">
        <v>14325000.01</v>
      </c>
    </row>
    <row r="212" spans="1:2" x14ac:dyDescent="0.25">
      <c r="A212" s="7" t="s">
        <v>87</v>
      </c>
      <c r="B212" s="8">
        <v>398750</v>
      </c>
    </row>
    <row r="213" spans="1:2" x14ac:dyDescent="0.25">
      <c r="A213" s="7" t="s">
        <v>350</v>
      </c>
      <c r="B213" s="8">
        <v>696720</v>
      </c>
    </row>
    <row r="214" spans="1:2" x14ac:dyDescent="0.25">
      <c r="A214" s="7" t="s">
        <v>587</v>
      </c>
      <c r="B214" s="8">
        <v>1590000</v>
      </c>
    </row>
    <row r="215" spans="1:2" x14ac:dyDescent="0.25">
      <c r="A215" s="7" t="s">
        <v>91</v>
      </c>
      <c r="B215" s="8">
        <v>682650</v>
      </c>
    </row>
    <row r="216" spans="1:2" x14ac:dyDescent="0.25">
      <c r="A216" s="7" t="s">
        <v>243</v>
      </c>
      <c r="B216" s="8">
        <v>2749999.99</v>
      </c>
    </row>
    <row r="217" spans="1:2" x14ac:dyDescent="0.25">
      <c r="A217" s="7" t="s">
        <v>81</v>
      </c>
      <c r="B217" s="8">
        <v>606060</v>
      </c>
    </row>
    <row r="218" spans="1:2" x14ac:dyDescent="0.25">
      <c r="A218" s="7" t="s">
        <v>591</v>
      </c>
      <c r="B218" s="8">
        <v>510000.02</v>
      </c>
    </row>
    <row r="219" spans="1:2" x14ac:dyDescent="0.25">
      <c r="A219" s="7" t="s">
        <v>718</v>
      </c>
      <c r="B219" s="8">
        <v>2602379.9900000002</v>
      </c>
    </row>
    <row r="220" spans="1:2" x14ac:dyDescent="0.25">
      <c r="A220" s="7" t="s">
        <v>434</v>
      </c>
      <c r="B220" s="8">
        <v>572760</v>
      </c>
    </row>
    <row r="221" spans="1:2" x14ac:dyDescent="0.25">
      <c r="A221" s="7" t="s">
        <v>159</v>
      </c>
      <c r="B221" s="8">
        <v>3524999.99</v>
      </c>
    </row>
    <row r="222" spans="1:2" x14ac:dyDescent="0.25">
      <c r="A222" s="7" t="s">
        <v>876</v>
      </c>
      <c r="B222" s="8">
        <v>628855</v>
      </c>
    </row>
    <row r="223" spans="1:2" x14ac:dyDescent="0.25">
      <c r="A223" s="7" t="s">
        <v>253</v>
      </c>
      <c r="B223" s="8">
        <v>2424240</v>
      </c>
    </row>
    <row r="224" spans="1:2" x14ac:dyDescent="0.25">
      <c r="A224" s="7" t="s">
        <v>285</v>
      </c>
      <c r="B224" s="8">
        <v>678430</v>
      </c>
    </row>
    <row r="225" spans="1:2" x14ac:dyDescent="0.25">
      <c r="A225" s="7" t="s">
        <v>245</v>
      </c>
      <c r="B225" s="8">
        <v>2168000</v>
      </c>
    </row>
    <row r="226" spans="1:2" x14ac:dyDescent="0.25">
      <c r="A226" s="7" t="s">
        <v>714</v>
      </c>
      <c r="B226" s="8">
        <v>1148850</v>
      </c>
    </row>
    <row r="227" spans="1:2" x14ac:dyDescent="0.25">
      <c r="A227" s="6" t="s">
        <v>72</v>
      </c>
      <c r="B227" s="8">
        <v>12029580.24</v>
      </c>
    </row>
    <row r="228" spans="1:2" x14ac:dyDescent="0.25">
      <c r="A228" s="7" t="s">
        <v>356</v>
      </c>
      <c r="B228" s="8">
        <v>3335250</v>
      </c>
    </row>
    <row r="229" spans="1:2" x14ac:dyDescent="0.25">
      <c r="A229" s="7" t="s">
        <v>315</v>
      </c>
      <c r="B229" s="8">
        <v>675000.01</v>
      </c>
    </row>
    <row r="230" spans="1:2" x14ac:dyDescent="0.25">
      <c r="A230" s="7" t="s">
        <v>561</v>
      </c>
      <c r="B230" s="8">
        <v>350000.01</v>
      </c>
    </row>
    <row r="231" spans="1:2" x14ac:dyDescent="0.25">
      <c r="A231" s="7" t="s">
        <v>162</v>
      </c>
      <c r="B231" s="8">
        <v>1212120</v>
      </c>
    </row>
    <row r="232" spans="1:2" x14ac:dyDescent="0.25">
      <c r="A232" s="7" t="s">
        <v>566</v>
      </c>
      <c r="B232" s="8">
        <v>350000.01</v>
      </c>
    </row>
    <row r="233" spans="1:2" x14ac:dyDescent="0.25">
      <c r="A233" s="7" t="s">
        <v>841</v>
      </c>
      <c r="B233" s="8">
        <v>457800.03</v>
      </c>
    </row>
    <row r="234" spans="1:2" x14ac:dyDescent="0.25">
      <c r="A234" s="7" t="s">
        <v>722</v>
      </c>
      <c r="B234" s="8">
        <v>1654950.06</v>
      </c>
    </row>
    <row r="235" spans="1:2" x14ac:dyDescent="0.25">
      <c r="A235" s="7" t="s">
        <v>320</v>
      </c>
      <c r="B235" s="8">
        <v>2470420.1100000003</v>
      </c>
    </row>
    <row r="236" spans="1:2" x14ac:dyDescent="0.25">
      <c r="A236" s="7" t="s">
        <v>287</v>
      </c>
      <c r="B236" s="8">
        <v>725940</v>
      </c>
    </row>
    <row r="237" spans="1:2" x14ac:dyDescent="0.25">
      <c r="A237" s="7" t="s">
        <v>508</v>
      </c>
      <c r="B237" s="8">
        <v>486100.01</v>
      </c>
    </row>
    <row r="238" spans="1:2" x14ac:dyDescent="0.25">
      <c r="A238" s="7" t="s">
        <v>71</v>
      </c>
      <c r="B238" s="8">
        <v>312000</v>
      </c>
    </row>
    <row r="239" spans="1:2" x14ac:dyDescent="0.25">
      <c r="A239" s="6" t="s">
        <v>182</v>
      </c>
      <c r="B239" s="8">
        <v>68716954.189999998</v>
      </c>
    </row>
    <row r="240" spans="1:2" x14ac:dyDescent="0.25">
      <c r="A240" s="7" t="s">
        <v>503</v>
      </c>
      <c r="B240" s="8">
        <v>1549999.56</v>
      </c>
    </row>
    <row r="241" spans="1:2" x14ac:dyDescent="0.25">
      <c r="A241" s="7" t="s">
        <v>541</v>
      </c>
      <c r="B241" s="8">
        <v>2210000.23</v>
      </c>
    </row>
    <row r="242" spans="1:2" x14ac:dyDescent="0.25">
      <c r="A242" s="7" t="s">
        <v>265</v>
      </c>
      <c r="B242" s="8">
        <v>19598229.990000002</v>
      </c>
    </row>
    <row r="243" spans="1:2" x14ac:dyDescent="0.25">
      <c r="A243" s="7" t="s">
        <v>469</v>
      </c>
      <c r="B243" s="8">
        <v>920000.1</v>
      </c>
    </row>
    <row r="244" spans="1:2" x14ac:dyDescent="0.25">
      <c r="A244" s="7" t="s">
        <v>612</v>
      </c>
      <c r="B244" s="8">
        <v>40499999.460000001</v>
      </c>
    </row>
    <row r="245" spans="1:2" x14ac:dyDescent="0.25">
      <c r="A245" s="7" t="s">
        <v>551</v>
      </c>
      <c r="B245" s="8">
        <v>1656225.02</v>
      </c>
    </row>
    <row r="246" spans="1:2" x14ac:dyDescent="0.25">
      <c r="A246" s="7" t="s">
        <v>437</v>
      </c>
      <c r="B246" s="8">
        <v>799999.76</v>
      </c>
    </row>
    <row r="247" spans="1:2" x14ac:dyDescent="0.25">
      <c r="A247" s="7" t="s">
        <v>526</v>
      </c>
      <c r="B247" s="8">
        <v>1482500.07</v>
      </c>
    </row>
    <row r="248" spans="1:2" x14ac:dyDescent="0.25">
      <c r="A248" s="6" t="s">
        <v>917</v>
      </c>
      <c r="B248" s="8">
        <v>527041755.18999994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08"/>
  <sheetViews>
    <sheetView tabSelected="1" workbookViewId="0">
      <pane ySplit="1" topLeftCell="A389" activePane="bottomLeft" state="frozen"/>
      <selection pane="bottomLeft" activeCell="M408" sqref="M408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4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46287</v>
      </c>
      <c r="B2" s="1">
        <v>46286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16</v>
      </c>
      <c r="K2" s="2" t="s">
        <v>24</v>
      </c>
      <c r="L2" s="3">
        <v>16</v>
      </c>
      <c r="M2" s="11">
        <v>1680000.1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46287</v>
      </c>
      <c r="B3" s="1">
        <v>46286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1</v>
      </c>
      <c r="K3" s="2" t="s">
        <v>33</v>
      </c>
      <c r="L3" s="3">
        <v>1</v>
      </c>
      <c r="M3" s="11">
        <v>560000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46287</v>
      </c>
      <c r="B4" s="1">
        <v>46286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38</v>
      </c>
      <c r="I4" s="2" t="s">
        <v>39</v>
      </c>
      <c r="J4" s="3">
        <v>2</v>
      </c>
      <c r="K4" s="2" t="s">
        <v>40</v>
      </c>
      <c r="L4" s="3">
        <v>2.42</v>
      </c>
      <c r="M4" s="11">
        <v>1089000</v>
      </c>
      <c r="N4" s="3">
        <v>0.42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46287</v>
      </c>
      <c r="B5" s="1">
        <v>46286</v>
      </c>
      <c r="C5" s="2" t="s">
        <v>42</v>
      </c>
      <c r="D5" s="2" t="s">
        <v>18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3">
        <v>2</v>
      </c>
      <c r="K5" s="2" t="s">
        <v>33</v>
      </c>
      <c r="L5" s="3">
        <v>2</v>
      </c>
      <c r="M5" s="11">
        <v>710400</v>
      </c>
      <c r="N5" s="3">
        <v>0</v>
      </c>
      <c r="O5" s="2" t="s">
        <v>25</v>
      </c>
      <c r="P5" s="2" t="s">
        <v>26</v>
      </c>
      <c r="Q5" s="2" t="s">
        <v>34</v>
      </c>
    </row>
    <row r="6" spans="1:17" x14ac:dyDescent="0.25">
      <c r="A6" s="1">
        <v>46287</v>
      </c>
      <c r="B6" s="1">
        <v>46286</v>
      </c>
      <c r="C6" s="2" t="s">
        <v>48</v>
      </c>
      <c r="D6" s="2" t="s">
        <v>18</v>
      </c>
      <c r="E6" s="2" t="s">
        <v>49</v>
      </c>
      <c r="F6" s="2" t="s">
        <v>20</v>
      </c>
      <c r="G6" s="2" t="s">
        <v>37</v>
      </c>
      <c r="H6" s="2" t="s">
        <v>50</v>
      </c>
      <c r="I6" s="2" t="s">
        <v>51</v>
      </c>
      <c r="J6" s="3">
        <v>2</v>
      </c>
      <c r="K6" s="2" t="s">
        <v>33</v>
      </c>
      <c r="L6" s="3">
        <v>2</v>
      </c>
      <c r="M6" s="11">
        <v>590000</v>
      </c>
      <c r="N6" s="3">
        <v>0</v>
      </c>
      <c r="O6" s="2" t="s">
        <v>25</v>
      </c>
      <c r="P6" s="2" t="s">
        <v>26</v>
      </c>
      <c r="Q6" s="2" t="s">
        <v>34</v>
      </c>
    </row>
    <row r="7" spans="1:17" x14ac:dyDescent="0.25">
      <c r="A7" s="1">
        <v>46287</v>
      </c>
      <c r="B7" s="1">
        <v>46286</v>
      </c>
      <c r="C7" s="2" t="s">
        <v>52</v>
      </c>
      <c r="D7" s="2" t="s">
        <v>18</v>
      </c>
      <c r="E7" s="2" t="s">
        <v>36</v>
      </c>
      <c r="F7" s="2" t="s">
        <v>20</v>
      </c>
      <c r="G7" s="2" t="s">
        <v>37</v>
      </c>
      <c r="H7" s="2" t="s">
        <v>53</v>
      </c>
      <c r="I7" s="2" t="s">
        <v>54</v>
      </c>
      <c r="J7" s="3">
        <v>15</v>
      </c>
      <c r="K7" s="2" t="s">
        <v>40</v>
      </c>
      <c r="L7" s="3">
        <v>15.1</v>
      </c>
      <c r="M7" s="11">
        <v>2038500</v>
      </c>
      <c r="N7" s="3">
        <v>0.1</v>
      </c>
      <c r="O7" s="2" t="s">
        <v>25</v>
      </c>
      <c r="P7" s="2" t="s">
        <v>26</v>
      </c>
      <c r="Q7" s="2" t="s">
        <v>55</v>
      </c>
    </row>
    <row r="8" spans="1:17" x14ac:dyDescent="0.25">
      <c r="A8" s="1">
        <v>46287</v>
      </c>
      <c r="B8" s="1">
        <v>46286</v>
      </c>
      <c r="C8" s="2" t="s">
        <v>56</v>
      </c>
      <c r="D8" s="2" t="s">
        <v>18</v>
      </c>
      <c r="E8" s="2" t="s">
        <v>57</v>
      </c>
      <c r="F8" s="2" t="s">
        <v>44</v>
      </c>
      <c r="G8" s="2" t="s">
        <v>58</v>
      </c>
      <c r="H8" s="2" t="s">
        <v>59</v>
      </c>
      <c r="I8" s="2" t="s">
        <v>60</v>
      </c>
      <c r="J8" s="3">
        <v>2.5</v>
      </c>
      <c r="K8" s="2" t="s">
        <v>40</v>
      </c>
      <c r="L8" s="3">
        <v>2.5</v>
      </c>
      <c r="M8" s="11">
        <v>300000</v>
      </c>
      <c r="N8" s="3">
        <v>0</v>
      </c>
      <c r="O8" s="2" t="s">
        <v>25</v>
      </c>
      <c r="P8" s="2" t="s">
        <v>26</v>
      </c>
      <c r="Q8" s="2" t="s">
        <v>61</v>
      </c>
    </row>
    <row r="9" spans="1:17" x14ac:dyDescent="0.25">
      <c r="A9" s="1">
        <v>46287</v>
      </c>
      <c r="B9" s="1">
        <v>46286</v>
      </c>
      <c r="C9" s="2" t="s">
        <v>62</v>
      </c>
      <c r="D9" s="2" t="s">
        <v>18</v>
      </c>
      <c r="E9" s="2" t="s">
        <v>63</v>
      </c>
      <c r="F9" s="2" t="s">
        <v>20</v>
      </c>
      <c r="G9" s="2" t="s">
        <v>37</v>
      </c>
      <c r="H9" s="2" t="s">
        <v>50</v>
      </c>
      <c r="I9" s="2" t="s">
        <v>51</v>
      </c>
      <c r="J9" s="3">
        <v>2</v>
      </c>
      <c r="K9" s="2" t="s">
        <v>33</v>
      </c>
      <c r="L9" s="3">
        <v>2</v>
      </c>
      <c r="M9" s="11">
        <v>640000</v>
      </c>
      <c r="N9" s="3">
        <v>0</v>
      </c>
      <c r="O9" s="2" t="s">
        <v>25</v>
      </c>
      <c r="P9" s="2" t="s">
        <v>26</v>
      </c>
      <c r="Q9" s="2" t="s">
        <v>64</v>
      </c>
    </row>
    <row r="10" spans="1:17" x14ac:dyDescent="0.25">
      <c r="A10" s="1">
        <v>46287</v>
      </c>
      <c r="B10" s="1">
        <v>46286</v>
      </c>
      <c r="C10" s="2" t="s">
        <v>65</v>
      </c>
      <c r="D10" s="2" t="s">
        <v>18</v>
      </c>
      <c r="E10" s="2" t="s">
        <v>66</v>
      </c>
      <c r="F10" s="2" t="s">
        <v>20</v>
      </c>
      <c r="G10" s="2" t="s">
        <v>37</v>
      </c>
      <c r="H10" s="2" t="s">
        <v>50</v>
      </c>
      <c r="I10" s="2" t="s">
        <v>51</v>
      </c>
      <c r="J10" s="3">
        <v>3</v>
      </c>
      <c r="K10" s="2" t="s">
        <v>33</v>
      </c>
      <c r="L10" s="3">
        <v>3</v>
      </c>
      <c r="M10" s="11">
        <v>846000.02</v>
      </c>
      <c r="N10" s="3">
        <v>0</v>
      </c>
      <c r="O10" s="2" t="s">
        <v>25</v>
      </c>
      <c r="P10" s="2" t="s">
        <v>26</v>
      </c>
      <c r="Q10" s="2" t="s">
        <v>67</v>
      </c>
    </row>
    <row r="11" spans="1:17" x14ac:dyDescent="0.25">
      <c r="A11" s="1">
        <v>46287</v>
      </c>
      <c r="B11" s="1">
        <v>46286</v>
      </c>
      <c r="C11" s="2" t="s">
        <v>68</v>
      </c>
      <c r="D11" s="2" t="s">
        <v>18</v>
      </c>
      <c r="E11" s="2" t="s">
        <v>69</v>
      </c>
      <c r="F11" s="2" t="s">
        <v>20</v>
      </c>
      <c r="G11" s="2" t="s">
        <v>37</v>
      </c>
      <c r="H11" s="2" t="s">
        <v>50</v>
      </c>
      <c r="I11" s="2" t="s">
        <v>51</v>
      </c>
      <c r="J11" s="3">
        <v>3</v>
      </c>
      <c r="K11" s="2" t="s">
        <v>33</v>
      </c>
      <c r="L11" s="3">
        <v>3</v>
      </c>
      <c r="M11" s="11">
        <v>945000</v>
      </c>
      <c r="N11" s="3">
        <v>0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46287</v>
      </c>
      <c r="B12" s="1">
        <v>46286</v>
      </c>
      <c r="C12" s="2" t="s">
        <v>70</v>
      </c>
      <c r="D12" s="2" t="s">
        <v>18</v>
      </c>
      <c r="E12" s="2" t="s">
        <v>71</v>
      </c>
      <c r="F12" s="2" t="s">
        <v>44</v>
      </c>
      <c r="G12" s="2" t="s">
        <v>72</v>
      </c>
      <c r="H12" s="2" t="s">
        <v>73</v>
      </c>
      <c r="I12" s="2" t="s">
        <v>74</v>
      </c>
      <c r="J12" s="3">
        <v>4</v>
      </c>
      <c r="K12" s="2" t="s">
        <v>40</v>
      </c>
      <c r="L12" s="3">
        <v>4</v>
      </c>
      <c r="M12" s="11">
        <v>312000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46287</v>
      </c>
      <c r="B13" s="1">
        <v>46286</v>
      </c>
      <c r="C13" s="2" t="s">
        <v>75</v>
      </c>
      <c r="D13" s="2" t="s">
        <v>18</v>
      </c>
      <c r="E13" s="2" t="s">
        <v>76</v>
      </c>
      <c r="F13" s="2" t="s">
        <v>20</v>
      </c>
      <c r="G13" s="2" t="s">
        <v>77</v>
      </c>
      <c r="H13" s="2" t="s">
        <v>78</v>
      </c>
      <c r="I13" s="2" t="s">
        <v>79</v>
      </c>
      <c r="J13" s="3">
        <v>10</v>
      </c>
      <c r="K13" s="2" t="s">
        <v>33</v>
      </c>
      <c r="L13" s="3">
        <v>10</v>
      </c>
      <c r="M13" s="11">
        <v>2879999.99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46287</v>
      </c>
      <c r="B14" s="1">
        <v>46286</v>
      </c>
      <c r="C14" s="2" t="s">
        <v>80</v>
      </c>
      <c r="D14" s="2" t="s">
        <v>18</v>
      </c>
      <c r="E14" s="2" t="s">
        <v>81</v>
      </c>
      <c r="F14" s="2" t="s">
        <v>44</v>
      </c>
      <c r="G14" s="2" t="s">
        <v>82</v>
      </c>
      <c r="H14" s="2" t="s">
        <v>83</v>
      </c>
      <c r="I14" s="2" t="s">
        <v>84</v>
      </c>
      <c r="J14" s="3">
        <v>12</v>
      </c>
      <c r="K14" s="2" t="s">
        <v>85</v>
      </c>
      <c r="L14" s="3">
        <v>12</v>
      </c>
      <c r="M14" s="11">
        <v>606060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46287</v>
      </c>
      <c r="B15" s="1">
        <v>46286</v>
      </c>
      <c r="C15" s="2" t="s">
        <v>86</v>
      </c>
      <c r="D15" s="2" t="s">
        <v>18</v>
      </c>
      <c r="E15" s="2" t="s">
        <v>87</v>
      </c>
      <c r="F15" s="2" t="s">
        <v>20</v>
      </c>
      <c r="G15" s="2" t="s">
        <v>82</v>
      </c>
      <c r="H15" s="2" t="s">
        <v>88</v>
      </c>
      <c r="I15" s="2" t="s">
        <v>89</v>
      </c>
      <c r="J15" s="3">
        <v>3</v>
      </c>
      <c r="K15" s="2" t="s">
        <v>40</v>
      </c>
      <c r="L15" s="3">
        <v>2.75</v>
      </c>
      <c r="M15" s="11">
        <v>398750</v>
      </c>
      <c r="N15" s="3">
        <v>-0.25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46287</v>
      </c>
      <c r="B16" s="1">
        <v>46286</v>
      </c>
      <c r="C16" s="2" t="s">
        <v>90</v>
      </c>
      <c r="D16" s="2" t="s">
        <v>18</v>
      </c>
      <c r="E16" s="2" t="s">
        <v>91</v>
      </c>
      <c r="F16" s="2" t="s">
        <v>20</v>
      </c>
      <c r="G16" s="2" t="s">
        <v>82</v>
      </c>
      <c r="H16" s="2" t="s">
        <v>46</v>
      </c>
      <c r="I16" s="2" t="s">
        <v>47</v>
      </c>
      <c r="J16" s="3">
        <v>1</v>
      </c>
      <c r="K16" s="2" t="s">
        <v>33</v>
      </c>
      <c r="L16" s="3">
        <v>1</v>
      </c>
      <c r="M16" s="11">
        <v>355200</v>
      </c>
      <c r="N16" s="3">
        <v>0</v>
      </c>
      <c r="O16" s="2" t="s">
        <v>25</v>
      </c>
      <c r="P16" s="2" t="s">
        <v>26</v>
      </c>
      <c r="Q16" s="2" t="s">
        <v>34</v>
      </c>
    </row>
    <row r="17" spans="1:17" x14ac:dyDescent="0.25">
      <c r="A17" s="1">
        <v>46287</v>
      </c>
      <c r="B17" s="1">
        <v>46286</v>
      </c>
      <c r="C17" s="2" t="s">
        <v>92</v>
      </c>
      <c r="D17" s="2" t="s">
        <v>18</v>
      </c>
      <c r="E17" s="2" t="s">
        <v>93</v>
      </c>
      <c r="F17" s="2" t="s">
        <v>44</v>
      </c>
      <c r="G17" s="2" t="s">
        <v>30</v>
      </c>
      <c r="H17" s="2" t="s">
        <v>83</v>
      </c>
      <c r="I17" s="2" t="s">
        <v>84</v>
      </c>
      <c r="J17" s="3">
        <v>12</v>
      </c>
      <c r="K17" s="2" t="s">
        <v>85</v>
      </c>
      <c r="L17" s="3">
        <v>12</v>
      </c>
      <c r="M17" s="11">
        <v>606060</v>
      </c>
      <c r="N17" s="3">
        <v>0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46287</v>
      </c>
      <c r="B18" s="1">
        <v>46286</v>
      </c>
      <c r="C18" s="2" t="s">
        <v>94</v>
      </c>
      <c r="D18" s="2" t="s">
        <v>18</v>
      </c>
      <c r="E18" s="2" t="s">
        <v>95</v>
      </c>
      <c r="F18" s="2" t="s">
        <v>20</v>
      </c>
      <c r="G18" s="2" t="s">
        <v>21</v>
      </c>
      <c r="H18" s="2" t="s">
        <v>96</v>
      </c>
      <c r="I18" s="2" t="s">
        <v>97</v>
      </c>
      <c r="J18" s="3">
        <v>108</v>
      </c>
      <c r="K18" s="2" t="s">
        <v>85</v>
      </c>
      <c r="L18" s="3">
        <v>108</v>
      </c>
      <c r="M18" s="11">
        <v>313199.93</v>
      </c>
      <c r="N18" s="3">
        <v>0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46287</v>
      </c>
      <c r="B19" s="1">
        <v>46286</v>
      </c>
      <c r="C19" s="2" t="s">
        <v>94</v>
      </c>
      <c r="D19" s="2" t="s">
        <v>18</v>
      </c>
      <c r="E19" s="2" t="s">
        <v>95</v>
      </c>
      <c r="F19" s="2" t="s">
        <v>20</v>
      </c>
      <c r="G19" s="2" t="s">
        <v>21</v>
      </c>
      <c r="H19" s="2" t="s">
        <v>22</v>
      </c>
      <c r="I19" s="2" t="s">
        <v>23</v>
      </c>
      <c r="J19" s="3">
        <v>16</v>
      </c>
      <c r="K19" s="2" t="s">
        <v>24</v>
      </c>
      <c r="L19" s="3">
        <v>16</v>
      </c>
      <c r="M19" s="11">
        <v>1583999.99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46287</v>
      </c>
      <c r="B20" s="1">
        <v>46286</v>
      </c>
      <c r="C20" s="2" t="s">
        <v>98</v>
      </c>
      <c r="D20" s="2" t="s">
        <v>18</v>
      </c>
      <c r="E20" s="2" t="s">
        <v>99</v>
      </c>
      <c r="F20" s="2" t="s">
        <v>20</v>
      </c>
      <c r="G20" s="2" t="s">
        <v>58</v>
      </c>
      <c r="H20" s="2" t="s">
        <v>100</v>
      </c>
      <c r="I20" s="2" t="s">
        <v>101</v>
      </c>
      <c r="J20" s="3">
        <v>7</v>
      </c>
      <c r="K20" s="2" t="s">
        <v>40</v>
      </c>
      <c r="L20" s="3">
        <v>6.38</v>
      </c>
      <c r="M20" s="11">
        <v>4147000</v>
      </c>
      <c r="N20" s="3">
        <v>-0.62</v>
      </c>
      <c r="O20" s="2" t="s">
        <v>25</v>
      </c>
      <c r="P20" s="2" t="s">
        <v>26</v>
      </c>
      <c r="Q20" s="2" t="s">
        <v>102</v>
      </c>
    </row>
    <row r="21" spans="1:17" x14ac:dyDescent="0.25">
      <c r="A21" s="1">
        <v>46287</v>
      </c>
      <c r="B21" s="1">
        <v>46286</v>
      </c>
      <c r="C21" s="2" t="s">
        <v>103</v>
      </c>
      <c r="D21" s="2" t="s">
        <v>18</v>
      </c>
      <c r="E21" s="2" t="s">
        <v>104</v>
      </c>
      <c r="F21" s="2" t="s">
        <v>20</v>
      </c>
      <c r="G21" s="2" t="s">
        <v>21</v>
      </c>
      <c r="H21" s="2" t="s">
        <v>96</v>
      </c>
      <c r="I21" s="2" t="s">
        <v>97</v>
      </c>
      <c r="J21" s="3">
        <v>108</v>
      </c>
      <c r="K21" s="2" t="s">
        <v>85</v>
      </c>
      <c r="L21" s="3">
        <v>108</v>
      </c>
      <c r="M21" s="11">
        <v>313199.93</v>
      </c>
      <c r="N21" s="3">
        <v>0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46287</v>
      </c>
      <c r="B22" s="1">
        <v>46286</v>
      </c>
      <c r="C22" s="2" t="s">
        <v>103</v>
      </c>
      <c r="D22" s="2" t="s">
        <v>18</v>
      </c>
      <c r="E22" s="2" t="s">
        <v>104</v>
      </c>
      <c r="F22" s="2" t="s">
        <v>20</v>
      </c>
      <c r="G22" s="2" t="s">
        <v>21</v>
      </c>
      <c r="H22" s="2" t="s">
        <v>22</v>
      </c>
      <c r="I22" s="2" t="s">
        <v>23</v>
      </c>
      <c r="J22" s="3">
        <v>16</v>
      </c>
      <c r="K22" s="2" t="s">
        <v>24</v>
      </c>
      <c r="L22" s="3">
        <v>16</v>
      </c>
      <c r="M22" s="11">
        <v>1583999.99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46287</v>
      </c>
      <c r="B23" s="1">
        <v>46286</v>
      </c>
      <c r="C23" s="2" t="s">
        <v>105</v>
      </c>
      <c r="D23" s="2" t="s">
        <v>18</v>
      </c>
      <c r="E23" s="2" t="s">
        <v>106</v>
      </c>
      <c r="F23" s="2" t="s">
        <v>20</v>
      </c>
      <c r="G23" s="2" t="s">
        <v>21</v>
      </c>
      <c r="H23" s="2" t="s">
        <v>96</v>
      </c>
      <c r="I23" s="2" t="s">
        <v>97</v>
      </c>
      <c r="J23" s="3">
        <v>432</v>
      </c>
      <c r="K23" s="2" t="s">
        <v>85</v>
      </c>
      <c r="L23" s="3">
        <v>432</v>
      </c>
      <c r="M23" s="11">
        <v>1252799.7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46287</v>
      </c>
      <c r="B24" s="1">
        <v>46286</v>
      </c>
      <c r="C24" s="2" t="s">
        <v>105</v>
      </c>
      <c r="D24" s="2" t="s">
        <v>18</v>
      </c>
      <c r="E24" s="2" t="s">
        <v>106</v>
      </c>
      <c r="F24" s="2" t="s">
        <v>20</v>
      </c>
      <c r="G24" s="2" t="s">
        <v>21</v>
      </c>
      <c r="H24" s="2" t="s">
        <v>22</v>
      </c>
      <c r="I24" s="2" t="s">
        <v>23</v>
      </c>
      <c r="J24" s="3">
        <v>32</v>
      </c>
      <c r="K24" s="2" t="s">
        <v>24</v>
      </c>
      <c r="L24" s="3">
        <v>32</v>
      </c>
      <c r="M24" s="11">
        <v>3168000</v>
      </c>
      <c r="N24" s="3">
        <v>0</v>
      </c>
      <c r="O24" s="2" t="s">
        <v>25</v>
      </c>
      <c r="P24" s="2" t="s">
        <v>26</v>
      </c>
      <c r="Q24" s="2" t="s">
        <v>34</v>
      </c>
    </row>
    <row r="25" spans="1:17" x14ac:dyDescent="0.25">
      <c r="A25" s="1">
        <v>46287</v>
      </c>
      <c r="B25" s="1">
        <v>46286</v>
      </c>
      <c r="C25" s="2" t="s">
        <v>107</v>
      </c>
      <c r="D25" s="2" t="s">
        <v>18</v>
      </c>
      <c r="E25" s="2" t="s">
        <v>108</v>
      </c>
      <c r="F25" s="2" t="s">
        <v>44</v>
      </c>
      <c r="G25" s="2" t="s">
        <v>30</v>
      </c>
      <c r="H25" s="2" t="s">
        <v>83</v>
      </c>
      <c r="I25" s="2" t="s">
        <v>84</v>
      </c>
      <c r="J25" s="3">
        <v>12</v>
      </c>
      <c r="K25" s="2" t="s">
        <v>85</v>
      </c>
      <c r="L25" s="3">
        <v>12</v>
      </c>
      <c r="M25" s="11">
        <v>606060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46287</v>
      </c>
      <c r="B26" s="1">
        <v>46286</v>
      </c>
      <c r="C26" s="2" t="s">
        <v>107</v>
      </c>
      <c r="D26" s="2" t="s">
        <v>18</v>
      </c>
      <c r="E26" s="2" t="s">
        <v>108</v>
      </c>
      <c r="F26" s="2" t="s">
        <v>44</v>
      </c>
      <c r="G26" s="2" t="s">
        <v>30</v>
      </c>
      <c r="H26" s="2" t="s">
        <v>109</v>
      </c>
      <c r="I26" s="2" t="s">
        <v>110</v>
      </c>
      <c r="J26" s="3">
        <v>12</v>
      </c>
      <c r="K26" s="2" t="s">
        <v>24</v>
      </c>
      <c r="L26" s="3">
        <v>12</v>
      </c>
      <c r="M26" s="11">
        <v>506160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46287</v>
      </c>
      <c r="B27" s="1">
        <v>46286</v>
      </c>
      <c r="C27" s="2" t="s">
        <v>111</v>
      </c>
      <c r="D27" s="2" t="s">
        <v>18</v>
      </c>
      <c r="E27" s="2" t="s">
        <v>112</v>
      </c>
      <c r="F27" s="2" t="s">
        <v>20</v>
      </c>
      <c r="G27" s="2" t="s">
        <v>113</v>
      </c>
      <c r="H27" s="2" t="s">
        <v>114</v>
      </c>
      <c r="I27" s="2" t="s">
        <v>115</v>
      </c>
      <c r="J27" s="3">
        <v>1</v>
      </c>
      <c r="K27" s="2" t="s">
        <v>116</v>
      </c>
      <c r="L27" s="3">
        <v>1</v>
      </c>
      <c r="M27" s="11">
        <v>95460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46287</v>
      </c>
      <c r="B28" s="1">
        <v>46286</v>
      </c>
      <c r="C28" s="2" t="s">
        <v>117</v>
      </c>
      <c r="D28" s="2" t="s">
        <v>18</v>
      </c>
      <c r="E28" s="2" t="s">
        <v>118</v>
      </c>
      <c r="F28" s="2" t="s">
        <v>44</v>
      </c>
      <c r="G28" s="2" t="s">
        <v>30</v>
      </c>
      <c r="H28" s="2" t="s">
        <v>50</v>
      </c>
      <c r="I28" s="2" t="s">
        <v>51</v>
      </c>
      <c r="J28" s="3">
        <v>1</v>
      </c>
      <c r="K28" s="2" t="s">
        <v>33</v>
      </c>
      <c r="L28" s="3">
        <v>1</v>
      </c>
      <c r="M28" s="11">
        <v>285000</v>
      </c>
      <c r="N28" s="3">
        <v>0</v>
      </c>
      <c r="O28" s="2" t="s">
        <v>25</v>
      </c>
      <c r="P28" s="2" t="s">
        <v>26</v>
      </c>
      <c r="Q28" s="2" t="s">
        <v>34</v>
      </c>
    </row>
    <row r="29" spans="1:17" x14ac:dyDescent="0.25">
      <c r="A29" s="1">
        <v>46287</v>
      </c>
      <c r="B29" s="1">
        <v>46286</v>
      </c>
      <c r="C29" s="2" t="s">
        <v>119</v>
      </c>
      <c r="D29" s="2" t="s">
        <v>18</v>
      </c>
      <c r="E29" s="2" t="s">
        <v>120</v>
      </c>
      <c r="F29" s="2" t="s">
        <v>20</v>
      </c>
      <c r="G29" s="2" t="s">
        <v>58</v>
      </c>
      <c r="H29" s="2" t="s">
        <v>59</v>
      </c>
      <c r="I29" s="2" t="s">
        <v>60</v>
      </c>
      <c r="J29" s="3">
        <v>5</v>
      </c>
      <c r="K29" s="2" t="s">
        <v>40</v>
      </c>
      <c r="L29" s="3">
        <v>5</v>
      </c>
      <c r="M29" s="11">
        <v>500000</v>
      </c>
      <c r="N29" s="3">
        <v>0</v>
      </c>
      <c r="O29" s="2" t="s">
        <v>25</v>
      </c>
      <c r="P29" s="2" t="s">
        <v>26</v>
      </c>
      <c r="Q29" s="2" t="s">
        <v>34</v>
      </c>
    </row>
    <row r="30" spans="1:17" x14ac:dyDescent="0.25">
      <c r="A30" s="1">
        <v>46287</v>
      </c>
      <c r="B30" s="1">
        <v>46286</v>
      </c>
      <c r="C30" s="2" t="s">
        <v>121</v>
      </c>
      <c r="D30" s="2" t="s">
        <v>18</v>
      </c>
      <c r="E30" s="2" t="s">
        <v>122</v>
      </c>
      <c r="F30" s="2" t="s">
        <v>20</v>
      </c>
      <c r="G30" s="2" t="s">
        <v>123</v>
      </c>
      <c r="H30" s="2" t="s">
        <v>50</v>
      </c>
      <c r="I30" s="2" t="s">
        <v>51</v>
      </c>
      <c r="J30" s="3">
        <v>5</v>
      </c>
      <c r="K30" s="2" t="s">
        <v>33</v>
      </c>
      <c r="L30" s="3">
        <v>5</v>
      </c>
      <c r="M30" s="11">
        <v>1475000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46287</v>
      </c>
      <c r="B31" s="1">
        <v>46286</v>
      </c>
      <c r="C31" s="2" t="s">
        <v>124</v>
      </c>
      <c r="D31" s="2" t="s">
        <v>18</v>
      </c>
      <c r="E31" s="2" t="s">
        <v>125</v>
      </c>
      <c r="F31" s="2" t="s">
        <v>20</v>
      </c>
      <c r="G31" s="2" t="s">
        <v>21</v>
      </c>
      <c r="H31" s="2" t="s">
        <v>126</v>
      </c>
      <c r="I31" s="2" t="s">
        <v>127</v>
      </c>
      <c r="J31" s="3">
        <v>24</v>
      </c>
      <c r="K31" s="2" t="s">
        <v>24</v>
      </c>
      <c r="L31" s="3">
        <v>24</v>
      </c>
      <c r="M31" s="11">
        <v>1540800.06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46287</v>
      </c>
      <c r="B32" s="1">
        <v>46286</v>
      </c>
      <c r="C32" s="2" t="s">
        <v>128</v>
      </c>
      <c r="D32" s="2" t="s">
        <v>18</v>
      </c>
      <c r="E32" s="2" t="s">
        <v>129</v>
      </c>
      <c r="F32" s="2" t="s">
        <v>20</v>
      </c>
      <c r="G32" s="2" t="s">
        <v>58</v>
      </c>
      <c r="H32" s="2" t="s">
        <v>78</v>
      </c>
      <c r="I32" s="2" t="s">
        <v>79</v>
      </c>
      <c r="J32" s="3">
        <v>3</v>
      </c>
      <c r="K32" s="2" t="s">
        <v>33</v>
      </c>
      <c r="L32" s="3">
        <v>3</v>
      </c>
      <c r="M32" s="11">
        <v>840000.03</v>
      </c>
      <c r="N32" s="3">
        <v>0</v>
      </c>
      <c r="O32" s="2" t="s">
        <v>25</v>
      </c>
      <c r="P32" s="2" t="s">
        <v>26</v>
      </c>
      <c r="Q32" s="2" t="s">
        <v>34</v>
      </c>
    </row>
    <row r="33" spans="1:17" x14ac:dyDescent="0.25">
      <c r="A33" s="1">
        <v>46287</v>
      </c>
      <c r="B33" s="1">
        <v>46286</v>
      </c>
      <c r="C33" s="2" t="s">
        <v>130</v>
      </c>
      <c r="D33" s="2" t="s">
        <v>18</v>
      </c>
      <c r="E33" s="2" t="s">
        <v>131</v>
      </c>
      <c r="F33" s="2" t="s">
        <v>44</v>
      </c>
      <c r="G33" s="2" t="s">
        <v>58</v>
      </c>
      <c r="H33" s="2" t="s">
        <v>132</v>
      </c>
      <c r="I33" s="2" t="s">
        <v>133</v>
      </c>
      <c r="J33" s="3">
        <v>6</v>
      </c>
      <c r="K33" s="2" t="s">
        <v>40</v>
      </c>
      <c r="L33" s="3">
        <v>6.36</v>
      </c>
      <c r="M33" s="11">
        <v>954000.03</v>
      </c>
      <c r="N33" s="3">
        <v>0.36</v>
      </c>
      <c r="O33" s="2" t="s">
        <v>25</v>
      </c>
      <c r="P33" s="2" t="s">
        <v>26</v>
      </c>
      <c r="Q33" s="2" t="s">
        <v>134</v>
      </c>
    </row>
    <row r="34" spans="1:17" x14ac:dyDescent="0.25">
      <c r="A34" s="1">
        <v>46287</v>
      </c>
      <c r="B34" s="1">
        <v>46286</v>
      </c>
      <c r="C34" s="2" t="s">
        <v>136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22</v>
      </c>
      <c r="I34" s="2" t="s">
        <v>23</v>
      </c>
      <c r="J34" s="3">
        <v>16</v>
      </c>
      <c r="K34" s="2" t="s">
        <v>24</v>
      </c>
      <c r="L34" s="3">
        <v>16</v>
      </c>
      <c r="M34" s="11">
        <v>1680000.1</v>
      </c>
      <c r="N34" s="3">
        <v>0</v>
      </c>
      <c r="O34" s="2" t="s">
        <v>25</v>
      </c>
      <c r="P34" s="2" t="s">
        <v>26</v>
      </c>
      <c r="Q34" s="2" t="s">
        <v>137</v>
      </c>
    </row>
    <row r="35" spans="1:17" x14ac:dyDescent="0.25">
      <c r="A35" s="1">
        <v>46287</v>
      </c>
      <c r="B35" s="1">
        <v>46286</v>
      </c>
      <c r="C35" s="2" t="s">
        <v>138</v>
      </c>
      <c r="D35" s="2" t="s">
        <v>18</v>
      </c>
      <c r="E35" s="2" t="s">
        <v>139</v>
      </c>
      <c r="F35" s="2" t="s">
        <v>20</v>
      </c>
      <c r="G35" s="2" t="s">
        <v>123</v>
      </c>
      <c r="H35" s="2" t="s">
        <v>140</v>
      </c>
      <c r="I35" s="2" t="s">
        <v>141</v>
      </c>
      <c r="J35" s="3">
        <v>6</v>
      </c>
      <c r="K35" s="2" t="s">
        <v>40</v>
      </c>
      <c r="L35" s="3">
        <v>4.0999999999999996</v>
      </c>
      <c r="M35" s="11">
        <v>820000</v>
      </c>
      <c r="N35" s="3">
        <v>-1.9</v>
      </c>
      <c r="O35" s="2" t="s">
        <v>25</v>
      </c>
      <c r="P35" s="2" t="s">
        <v>26</v>
      </c>
      <c r="Q35" s="2" t="s">
        <v>142</v>
      </c>
    </row>
    <row r="36" spans="1:17" x14ac:dyDescent="0.25">
      <c r="A36" s="1">
        <v>46287</v>
      </c>
      <c r="B36" s="1">
        <v>46286</v>
      </c>
      <c r="C36" s="2" t="s">
        <v>143</v>
      </c>
      <c r="D36" s="2" t="s">
        <v>18</v>
      </c>
      <c r="E36" s="2" t="s">
        <v>144</v>
      </c>
      <c r="F36" s="2" t="s">
        <v>44</v>
      </c>
      <c r="G36" s="2" t="s">
        <v>58</v>
      </c>
      <c r="H36" s="2" t="s">
        <v>114</v>
      </c>
      <c r="I36" s="2" t="s">
        <v>115</v>
      </c>
      <c r="J36" s="3">
        <v>3</v>
      </c>
      <c r="K36" s="2" t="s">
        <v>116</v>
      </c>
      <c r="L36" s="3">
        <v>3</v>
      </c>
      <c r="M36" s="11">
        <v>270600.03000000003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46287</v>
      </c>
      <c r="B37" s="1">
        <v>46286</v>
      </c>
      <c r="C37" s="2" t="s">
        <v>145</v>
      </c>
      <c r="D37" s="2" t="s">
        <v>18</v>
      </c>
      <c r="E37" s="2" t="s">
        <v>146</v>
      </c>
      <c r="F37" s="2" t="s">
        <v>44</v>
      </c>
      <c r="G37" s="2" t="s">
        <v>77</v>
      </c>
      <c r="H37" s="2" t="s">
        <v>147</v>
      </c>
      <c r="I37" s="2" t="s">
        <v>148</v>
      </c>
      <c r="J37" s="3">
        <v>12</v>
      </c>
      <c r="K37" s="2" t="s">
        <v>116</v>
      </c>
      <c r="L37" s="3">
        <v>12</v>
      </c>
      <c r="M37" s="11">
        <v>745920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46287</v>
      </c>
      <c r="B38" s="1">
        <v>46286</v>
      </c>
      <c r="C38" s="2" t="s">
        <v>150</v>
      </c>
      <c r="D38" s="2" t="s">
        <v>18</v>
      </c>
      <c r="E38" s="2" t="s">
        <v>151</v>
      </c>
      <c r="F38" s="2" t="s">
        <v>44</v>
      </c>
      <c r="G38" s="2" t="s">
        <v>123</v>
      </c>
      <c r="H38" s="2" t="s">
        <v>50</v>
      </c>
      <c r="I38" s="2" t="s">
        <v>51</v>
      </c>
      <c r="J38" s="3">
        <v>1</v>
      </c>
      <c r="K38" s="2" t="s">
        <v>33</v>
      </c>
      <c r="L38" s="3">
        <v>1</v>
      </c>
      <c r="M38" s="11">
        <v>327450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46287</v>
      </c>
      <c r="B39" s="1">
        <v>46286</v>
      </c>
      <c r="C39" s="2" t="s">
        <v>152</v>
      </c>
      <c r="D39" s="2" t="s">
        <v>18</v>
      </c>
      <c r="E39" s="2" t="s">
        <v>153</v>
      </c>
      <c r="F39" s="2" t="s">
        <v>20</v>
      </c>
      <c r="G39" s="2" t="s">
        <v>123</v>
      </c>
      <c r="H39" s="2" t="s">
        <v>50</v>
      </c>
      <c r="I39" s="2" t="s">
        <v>51</v>
      </c>
      <c r="J39" s="3">
        <v>2</v>
      </c>
      <c r="K39" s="2" t="s">
        <v>33</v>
      </c>
      <c r="L39" s="3">
        <v>2</v>
      </c>
      <c r="M39" s="11">
        <v>654900</v>
      </c>
      <c r="N39" s="3">
        <v>0</v>
      </c>
      <c r="O39" s="2" t="s">
        <v>25</v>
      </c>
      <c r="P39" s="2" t="s">
        <v>26</v>
      </c>
      <c r="Q39" s="2" t="s">
        <v>34</v>
      </c>
    </row>
    <row r="40" spans="1:17" x14ac:dyDescent="0.25">
      <c r="A40" s="1">
        <v>46287</v>
      </c>
      <c r="B40" s="1">
        <v>46286</v>
      </c>
      <c r="C40" s="2" t="s">
        <v>154</v>
      </c>
      <c r="D40" s="2" t="s">
        <v>18</v>
      </c>
      <c r="E40" s="2" t="s">
        <v>155</v>
      </c>
      <c r="F40" s="2" t="s">
        <v>44</v>
      </c>
      <c r="G40" s="2" t="s">
        <v>123</v>
      </c>
      <c r="H40" s="2" t="s">
        <v>156</v>
      </c>
      <c r="I40" s="2" t="s">
        <v>157</v>
      </c>
      <c r="J40" s="3">
        <v>4</v>
      </c>
      <c r="K40" s="2" t="s">
        <v>33</v>
      </c>
      <c r="L40" s="3">
        <v>4</v>
      </c>
      <c r="M40" s="11">
        <v>1265400</v>
      </c>
      <c r="N40" s="3">
        <v>0</v>
      </c>
      <c r="O40" s="2" t="s">
        <v>25</v>
      </c>
      <c r="P40" s="2" t="s">
        <v>26</v>
      </c>
      <c r="Q40" s="2" t="s">
        <v>34</v>
      </c>
    </row>
    <row r="41" spans="1:17" x14ac:dyDescent="0.25">
      <c r="A41" s="1">
        <v>46287</v>
      </c>
      <c r="B41" s="1">
        <v>46286</v>
      </c>
      <c r="C41" s="2" t="s">
        <v>154</v>
      </c>
      <c r="D41" s="2" t="s">
        <v>18</v>
      </c>
      <c r="E41" s="2" t="s">
        <v>155</v>
      </c>
      <c r="F41" s="2" t="s">
        <v>44</v>
      </c>
      <c r="G41" s="2" t="s">
        <v>123</v>
      </c>
      <c r="H41" s="2" t="s">
        <v>50</v>
      </c>
      <c r="I41" s="2" t="s">
        <v>51</v>
      </c>
      <c r="J41" s="3">
        <v>10</v>
      </c>
      <c r="K41" s="2" t="s">
        <v>33</v>
      </c>
      <c r="L41" s="3">
        <v>10</v>
      </c>
      <c r="M41" s="11">
        <v>3274500</v>
      </c>
      <c r="N41" s="3">
        <v>0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46287</v>
      </c>
      <c r="B42" s="1">
        <v>46286</v>
      </c>
      <c r="C42" s="2" t="s">
        <v>158</v>
      </c>
      <c r="D42" s="2" t="s">
        <v>18</v>
      </c>
      <c r="E42" s="2" t="s">
        <v>159</v>
      </c>
      <c r="F42" s="2" t="s">
        <v>20</v>
      </c>
      <c r="G42" s="2" t="s">
        <v>82</v>
      </c>
      <c r="H42" s="2" t="s">
        <v>46</v>
      </c>
      <c r="I42" s="2" t="s">
        <v>47</v>
      </c>
      <c r="J42" s="3">
        <v>3</v>
      </c>
      <c r="K42" s="2" t="s">
        <v>33</v>
      </c>
      <c r="L42" s="3">
        <v>3</v>
      </c>
      <c r="M42" s="11">
        <v>915000</v>
      </c>
      <c r="N42" s="3">
        <v>0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46287</v>
      </c>
      <c r="B43" s="1">
        <v>46286</v>
      </c>
      <c r="C43" s="2" t="s">
        <v>161</v>
      </c>
      <c r="D43" s="2" t="s">
        <v>18</v>
      </c>
      <c r="E43" s="2" t="s">
        <v>162</v>
      </c>
      <c r="F43" s="2" t="s">
        <v>20</v>
      </c>
      <c r="G43" s="2" t="s">
        <v>72</v>
      </c>
      <c r="H43" s="2" t="s">
        <v>163</v>
      </c>
      <c r="I43" s="2" t="s">
        <v>164</v>
      </c>
      <c r="J43" s="3">
        <v>12</v>
      </c>
      <c r="K43" s="2" t="s">
        <v>85</v>
      </c>
      <c r="L43" s="3">
        <v>12</v>
      </c>
      <c r="M43" s="11">
        <v>606060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46287</v>
      </c>
      <c r="B44" s="1">
        <v>46286</v>
      </c>
      <c r="C44" s="2" t="s">
        <v>161</v>
      </c>
      <c r="D44" s="2" t="s">
        <v>18</v>
      </c>
      <c r="E44" s="2" t="s">
        <v>162</v>
      </c>
      <c r="F44" s="2" t="s">
        <v>20</v>
      </c>
      <c r="G44" s="2" t="s">
        <v>72</v>
      </c>
      <c r="H44" s="2" t="s">
        <v>83</v>
      </c>
      <c r="I44" s="2" t="s">
        <v>84</v>
      </c>
      <c r="J44" s="3">
        <v>12</v>
      </c>
      <c r="K44" s="2" t="s">
        <v>85</v>
      </c>
      <c r="L44" s="3">
        <v>12</v>
      </c>
      <c r="M44" s="11">
        <v>606060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46287</v>
      </c>
      <c r="B45" s="1">
        <v>46286</v>
      </c>
      <c r="C45" s="2" t="s">
        <v>165</v>
      </c>
      <c r="D45" s="2" t="s">
        <v>18</v>
      </c>
      <c r="E45" s="2" t="s">
        <v>166</v>
      </c>
      <c r="F45" s="2" t="s">
        <v>44</v>
      </c>
      <c r="G45" s="2" t="s">
        <v>167</v>
      </c>
      <c r="H45" s="2" t="s">
        <v>31</v>
      </c>
      <c r="I45" s="2" t="s">
        <v>32</v>
      </c>
      <c r="J45" s="3">
        <v>1</v>
      </c>
      <c r="K45" s="2" t="s">
        <v>33</v>
      </c>
      <c r="L45" s="3">
        <v>1</v>
      </c>
      <c r="M45" s="11">
        <v>577200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46287</v>
      </c>
      <c r="B46" s="1">
        <v>46286</v>
      </c>
      <c r="C46" s="2" t="s">
        <v>168</v>
      </c>
      <c r="D46" s="2" t="s">
        <v>18</v>
      </c>
      <c r="E46" s="2" t="s">
        <v>169</v>
      </c>
      <c r="F46" s="2" t="s">
        <v>44</v>
      </c>
      <c r="G46" s="2" t="s">
        <v>77</v>
      </c>
      <c r="H46" s="2" t="s">
        <v>170</v>
      </c>
      <c r="I46" s="2" t="s">
        <v>171</v>
      </c>
      <c r="J46" s="3">
        <v>2</v>
      </c>
      <c r="K46" s="2" t="s">
        <v>172</v>
      </c>
      <c r="L46" s="3">
        <v>2</v>
      </c>
      <c r="M46" s="11">
        <v>3150180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46287</v>
      </c>
      <c r="B47" s="1">
        <v>46286</v>
      </c>
      <c r="C47" s="2" t="s">
        <v>173</v>
      </c>
      <c r="D47" s="2" t="s">
        <v>18</v>
      </c>
      <c r="E47" s="2" t="s">
        <v>174</v>
      </c>
      <c r="F47" s="2" t="s">
        <v>20</v>
      </c>
      <c r="G47" s="2" t="s">
        <v>113</v>
      </c>
      <c r="H47" s="2" t="s">
        <v>50</v>
      </c>
      <c r="I47" s="2" t="s">
        <v>51</v>
      </c>
      <c r="J47" s="3">
        <v>3</v>
      </c>
      <c r="K47" s="2" t="s">
        <v>33</v>
      </c>
      <c r="L47" s="3">
        <v>3</v>
      </c>
      <c r="M47" s="11">
        <v>982350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46287</v>
      </c>
      <c r="B48" s="1">
        <v>46286</v>
      </c>
      <c r="C48" s="2" t="s">
        <v>175</v>
      </c>
      <c r="D48" s="2" t="s">
        <v>18</v>
      </c>
      <c r="E48" s="2" t="s">
        <v>176</v>
      </c>
      <c r="F48" s="2" t="s">
        <v>20</v>
      </c>
      <c r="G48" s="2" t="s">
        <v>37</v>
      </c>
      <c r="H48" s="2" t="s">
        <v>83</v>
      </c>
      <c r="I48" s="2" t="s">
        <v>84</v>
      </c>
      <c r="J48" s="3">
        <v>12</v>
      </c>
      <c r="K48" s="2" t="s">
        <v>85</v>
      </c>
      <c r="L48" s="3">
        <v>12</v>
      </c>
      <c r="M48" s="11">
        <v>606060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46287</v>
      </c>
      <c r="B49" s="1">
        <v>46286</v>
      </c>
      <c r="C49" s="2" t="s">
        <v>177</v>
      </c>
      <c r="D49" s="2" t="s">
        <v>18</v>
      </c>
      <c r="E49" s="2" t="s">
        <v>178</v>
      </c>
      <c r="F49" s="2" t="s">
        <v>20</v>
      </c>
      <c r="G49" s="2" t="s">
        <v>160</v>
      </c>
      <c r="H49" s="2" t="s">
        <v>50</v>
      </c>
      <c r="I49" s="2" t="s">
        <v>51</v>
      </c>
      <c r="J49" s="3">
        <v>4</v>
      </c>
      <c r="K49" s="2" t="s">
        <v>33</v>
      </c>
      <c r="L49" s="3">
        <v>4</v>
      </c>
      <c r="M49" s="11">
        <v>1309800</v>
      </c>
      <c r="N49" s="3">
        <v>0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46287</v>
      </c>
      <c r="B50" s="1">
        <v>46286</v>
      </c>
      <c r="C50" s="2" t="s">
        <v>179</v>
      </c>
      <c r="D50" s="2" t="s">
        <v>18</v>
      </c>
      <c r="E50" s="2" t="s">
        <v>180</v>
      </c>
      <c r="F50" s="2" t="s">
        <v>44</v>
      </c>
      <c r="G50" s="2" t="s">
        <v>123</v>
      </c>
      <c r="H50" s="2" t="s">
        <v>31</v>
      </c>
      <c r="I50" s="2" t="s">
        <v>32</v>
      </c>
      <c r="J50" s="3">
        <v>1</v>
      </c>
      <c r="K50" s="2" t="s">
        <v>33</v>
      </c>
      <c r="L50" s="3">
        <v>1</v>
      </c>
      <c r="M50" s="11">
        <v>560000</v>
      </c>
      <c r="N50" s="3">
        <v>0</v>
      </c>
      <c r="O50" s="2" t="s">
        <v>25</v>
      </c>
      <c r="P50" s="2" t="s">
        <v>26</v>
      </c>
      <c r="Q50" s="2" t="s">
        <v>34</v>
      </c>
    </row>
    <row r="51" spans="1:17" x14ac:dyDescent="0.25">
      <c r="A51" s="1">
        <v>46287</v>
      </c>
      <c r="B51" s="1">
        <v>46286</v>
      </c>
      <c r="C51" s="2" t="s">
        <v>181</v>
      </c>
      <c r="D51" s="2" t="s">
        <v>18</v>
      </c>
      <c r="E51" s="2" t="s">
        <v>169</v>
      </c>
      <c r="F51" s="2" t="s">
        <v>44</v>
      </c>
      <c r="G51" s="2" t="s">
        <v>77</v>
      </c>
      <c r="H51" s="2" t="s">
        <v>156</v>
      </c>
      <c r="I51" s="2" t="s">
        <v>157</v>
      </c>
      <c r="J51" s="3">
        <v>2</v>
      </c>
      <c r="K51" s="2" t="s">
        <v>33</v>
      </c>
      <c r="L51" s="3">
        <v>2</v>
      </c>
      <c r="M51" s="11">
        <v>632700</v>
      </c>
      <c r="N51" s="3">
        <v>0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46287</v>
      </c>
      <c r="B52" s="1">
        <v>46286</v>
      </c>
      <c r="C52" s="2" t="s">
        <v>183</v>
      </c>
      <c r="D52" s="2" t="s">
        <v>18</v>
      </c>
      <c r="E52" s="2" t="s">
        <v>184</v>
      </c>
      <c r="F52" s="2" t="s">
        <v>20</v>
      </c>
      <c r="G52" s="2" t="s">
        <v>185</v>
      </c>
      <c r="H52" s="2" t="s">
        <v>186</v>
      </c>
      <c r="I52" s="2" t="s">
        <v>187</v>
      </c>
      <c r="J52" s="3">
        <v>16</v>
      </c>
      <c r="K52" s="2" t="s">
        <v>24</v>
      </c>
      <c r="L52" s="3">
        <v>16</v>
      </c>
      <c r="M52" s="11">
        <v>1009599.99</v>
      </c>
      <c r="N52" s="3">
        <v>0</v>
      </c>
      <c r="O52" s="2" t="s">
        <v>25</v>
      </c>
      <c r="P52" s="2" t="s">
        <v>26</v>
      </c>
      <c r="Q52" s="2" t="s">
        <v>34</v>
      </c>
    </row>
    <row r="53" spans="1:17" x14ac:dyDescent="0.25">
      <c r="A53" s="1">
        <v>46287</v>
      </c>
      <c r="B53" s="1">
        <v>46286</v>
      </c>
      <c r="C53" s="2" t="s">
        <v>183</v>
      </c>
      <c r="D53" s="2" t="s">
        <v>18</v>
      </c>
      <c r="E53" s="2" t="s">
        <v>184</v>
      </c>
      <c r="F53" s="2" t="s">
        <v>20</v>
      </c>
      <c r="G53" s="2" t="s">
        <v>185</v>
      </c>
      <c r="H53" s="2" t="s">
        <v>188</v>
      </c>
      <c r="I53" s="2" t="s">
        <v>189</v>
      </c>
      <c r="J53" s="3">
        <v>4</v>
      </c>
      <c r="K53" s="2" t="s">
        <v>24</v>
      </c>
      <c r="L53" s="3">
        <v>4</v>
      </c>
      <c r="M53" s="11">
        <v>434199.99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46287</v>
      </c>
      <c r="B54" s="1">
        <v>46286</v>
      </c>
      <c r="C54" s="2" t="s">
        <v>183</v>
      </c>
      <c r="D54" s="2" t="s">
        <v>18</v>
      </c>
      <c r="E54" s="2" t="s">
        <v>184</v>
      </c>
      <c r="F54" s="2" t="s">
        <v>20</v>
      </c>
      <c r="G54" s="2" t="s">
        <v>185</v>
      </c>
      <c r="H54" s="2" t="s">
        <v>22</v>
      </c>
      <c r="I54" s="2" t="s">
        <v>23</v>
      </c>
      <c r="J54" s="3">
        <v>12</v>
      </c>
      <c r="K54" s="2" t="s">
        <v>24</v>
      </c>
      <c r="L54" s="3">
        <v>12</v>
      </c>
      <c r="M54" s="11">
        <v>1260000.07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46287</v>
      </c>
      <c r="B55" s="1">
        <v>46286</v>
      </c>
      <c r="C55" s="2" t="s">
        <v>190</v>
      </c>
      <c r="D55" s="2" t="s">
        <v>18</v>
      </c>
      <c r="E55" s="2" t="s">
        <v>191</v>
      </c>
      <c r="F55" s="2" t="s">
        <v>20</v>
      </c>
      <c r="G55" s="2" t="s">
        <v>21</v>
      </c>
      <c r="H55" s="2" t="s">
        <v>126</v>
      </c>
      <c r="I55" s="2" t="s">
        <v>127</v>
      </c>
      <c r="J55" s="3">
        <v>24</v>
      </c>
      <c r="K55" s="2" t="s">
        <v>24</v>
      </c>
      <c r="L55" s="3">
        <v>24</v>
      </c>
      <c r="M55" s="11">
        <v>1540800.06</v>
      </c>
      <c r="N55" s="3">
        <v>0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46287</v>
      </c>
      <c r="B56" s="1">
        <v>46286</v>
      </c>
      <c r="C56" s="2" t="s">
        <v>192</v>
      </c>
      <c r="D56" s="2" t="s">
        <v>18</v>
      </c>
      <c r="E56" s="2" t="s">
        <v>193</v>
      </c>
      <c r="F56" s="2" t="s">
        <v>44</v>
      </c>
      <c r="G56" s="2" t="s">
        <v>167</v>
      </c>
      <c r="H56" s="2" t="s">
        <v>194</v>
      </c>
      <c r="I56" s="2" t="s">
        <v>195</v>
      </c>
      <c r="J56" s="3">
        <v>60</v>
      </c>
      <c r="K56" s="2" t="s">
        <v>40</v>
      </c>
      <c r="L56" s="3">
        <v>60</v>
      </c>
      <c r="M56" s="11">
        <v>2177820</v>
      </c>
      <c r="N56" s="3">
        <v>0</v>
      </c>
      <c r="O56" s="2" t="s">
        <v>25</v>
      </c>
      <c r="P56" s="2" t="s">
        <v>26</v>
      </c>
      <c r="Q56" s="2" t="s">
        <v>34</v>
      </c>
    </row>
    <row r="57" spans="1:17" x14ac:dyDescent="0.25">
      <c r="A57" s="1">
        <v>46287</v>
      </c>
      <c r="B57" s="1">
        <v>46286</v>
      </c>
      <c r="C57" s="2" t="s">
        <v>196</v>
      </c>
      <c r="D57" s="2" t="s">
        <v>18</v>
      </c>
      <c r="E57" s="2" t="s">
        <v>197</v>
      </c>
      <c r="F57" s="2" t="s">
        <v>20</v>
      </c>
      <c r="G57" s="2" t="s">
        <v>198</v>
      </c>
      <c r="H57" s="2" t="s">
        <v>22</v>
      </c>
      <c r="I57" s="2" t="s">
        <v>23</v>
      </c>
      <c r="J57" s="3">
        <v>5</v>
      </c>
      <c r="K57" s="2" t="s">
        <v>24</v>
      </c>
      <c r="L57" s="3">
        <v>5</v>
      </c>
      <c r="M57" s="11">
        <v>577200</v>
      </c>
      <c r="N57" s="3">
        <v>0</v>
      </c>
      <c r="O57" s="2" t="s">
        <v>25</v>
      </c>
      <c r="P57" s="2" t="s">
        <v>26</v>
      </c>
      <c r="Q57" s="2" t="s">
        <v>34</v>
      </c>
    </row>
    <row r="58" spans="1:17" x14ac:dyDescent="0.25">
      <c r="A58" s="1">
        <v>46287</v>
      </c>
      <c r="B58" s="1">
        <v>46286</v>
      </c>
      <c r="C58" s="2" t="s">
        <v>196</v>
      </c>
      <c r="D58" s="2" t="s">
        <v>18</v>
      </c>
      <c r="E58" s="2" t="s">
        <v>197</v>
      </c>
      <c r="F58" s="2" t="s">
        <v>20</v>
      </c>
      <c r="G58" s="2" t="s">
        <v>198</v>
      </c>
      <c r="H58" s="2" t="s">
        <v>126</v>
      </c>
      <c r="I58" s="2" t="s">
        <v>127</v>
      </c>
      <c r="J58" s="3">
        <v>17</v>
      </c>
      <c r="K58" s="2" t="s">
        <v>24</v>
      </c>
      <c r="L58" s="3">
        <v>17</v>
      </c>
      <c r="M58" s="11">
        <v>1198245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46287</v>
      </c>
      <c r="B59" s="1">
        <v>46286</v>
      </c>
      <c r="C59" s="2" t="s">
        <v>196</v>
      </c>
      <c r="D59" s="2" t="s">
        <v>18</v>
      </c>
      <c r="E59" s="2" t="s">
        <v>197</v>
      </c>
      <c r="F59" s="2" t="s">
        <v>20</v>
      </c>
      <c r="G59" s="2" t="s">
        <v>198</v>
      </c>
      <c r="H59" s="2" t="s">
        <v>199</v>
      </c>
      <c r="I59" s="2" t="s">
        <v>200</v>
      </c>
      <c r="J59" s="3">
        <v>2</v>
      </c>
      <c r="K59" s="2" t="s">
        <v>24</v>
      </c>
      <c r="L59" s="3">
        <v>2</v>
      </c>
      <c r="M59" s="11">
        <v>148740</v>
      </c>
      <c r="N59" s="3">
        <v>0</v>
      </c>
      <c r="O59" s="2" t="s">
        <v>25</v>
      </c>
      <c r="P59" s="2" t="s">
        <v>26</v>
      </c>
      <c r="Q59" s="2" t="s">
        <v>34</v>
      </c>
    </row>
    <row r="60" spans="1:17" x14ac:dyDescent="0.25">
      <c r="A60" s="1">
        <v>46287</v>
      </c>
      <c r="B60" s="1">
        <v>46286</v>
      </c>
      <c r="C60" s="2" t="s">
        <v>201</v>
      </c>
      <c r="D60" s="2" t="s">
        <v>18</v>
      </c>
      <c r="E60" s="2" t="s">
        <v>202</v>
      </c>
      <c r="F60" s="2" t="s">
        <v>20</v>
      </c>
      <c r="G60" s="2" t="s">
        <v>21</v>
      </c>
      <c r="H60" s="2" t="s">
        <v>22</v>
      </c>
      <c r="I60" s="2" t="s">
        <v>23</v>
      </c>
      <c r="J60" s="3">
        <v>480</v>
      </c>
      <c r="K60" s="2" t="s">
        <v>24</v>
      </c>
      <c r="L60" s="3">
        <v>480</v>
      </c>
      <c r="M60" s="11">
        <v>47879999.689999998</v>
      </c>
      <c r="N60" s="3">
        <v>0</v>
      </c>
      <c r="O60" s="2" t="s">
        <v>25</v>
      </c>
      <c r="P60" s="2" t="s">
        <v>26</v>
      </c>
      <c r="Q60" s="2" t="s">
        <v>203</v>
      </c>
    </row>
    <row r="61" spans="1:17" x14ac:dyDescent="0.25">
      <c r="A61" s="1">
        <v>46287</v>
      </c>
      <c r="B61" s="1">
        <v>46286</v>
      </c>
      <c r="C61" s="2" t="s">
        <v>204</v>
      </c>
      <c r="D61" s="2" t="s">
        <v>18</v>
      </c>
      <c r="E61" s="2" t="s">
        <v>205</v>
      </c>
      <c r="F61" s="2" t="s">
        <v>20</v>
      </c>
      <c r="G61" s="2" t="s">
        <v>198</v>
      </c>
      <c r="H61" s="2" t="s">
        <v>206</v>
      </c>
      <c r="I61" s="2" t="s">
        <v>207</v>
      </c>
      <c r="J61" s="3">
        <v>12</v>
      </c>
      <c r="K61" s="2" t="s">
        <v>24</v>
      </c>
      <c r="L61" s="3">
        <v>12</v>
      </c>
      <c r="M61" s="11">
        <v>1050599.95</v>
      </c>
      <c r="N61" s="3">
        <v>0</v>
      </c>
      <c r="O61" s="2" t="s">
        <v>25</v>
      </c>
      <c r="P61" s="2" t="s">
        <v>26</v>
      </c>
      <c r="Q61" s="2" t="s">
        <v>208</v>
      </c>
    </row>
    <row r="62" spans="1:17" x14ac:dyDescent="0.25">
      <c r="A62" s="1">
        <v>46287</v>
      </c>
      <c r="B62" s="1">
        <v>46286</v>
      </c>
      <c r="C62" s="2" t="s">
        <v>209</v>
      </c>
      <c r="D62" s="2" t="s">
        <v>18</v>
      </c>
      <c r="E62" s="2" t="s">
        <v>210</v>
      </c>
      <c r="F62" s="2" t="s">
        <v>20</v>
      </c>
      <c r="G62" s="2" t="s">
        <v>185</v>
      </c>
      <c r="H62" s="2" t="s">
        <v>186</v>
      </c>
      <c r="I62" s="2" t="s">
        <v>187</v>
      </c>
      <c r="J62" s="3">
        <v>30</v>
      </c>
      <c r="K62" s="2" t="s">
        <v>24</v>
      </c>
      <c r="L62" s="3">
        <v>30</v>
      </c>
      <c r="M62" s="11">
        <v>1892999.97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46287</v>
      </c>
      <c r="B63" s="1">
        <v>46286</v>
      </c>
      <c r="C63" s="2" t="s">
        <v>209</v>
      </c>
      <c r="D63" s="2" t="s">
        <v>18</v>
      </c>
      <c r="E63" s="2" t="s">
        <v>210</v>
      </c>
      <c r="F63" s="2" t="s">
        <v>20</v>
      </c>
      <c r="G63" s="2" t="s">
        <v>185</v>
      </c>
      <c r="H63" s="2" t="s">
        <v>22</v>
      </c>
      <c r="I63" s="2" t="s">
        <v>23</v>
      </c>
      <c r="J63" s="3">
        <v>16</v>
      </c>
      <c r="K63" s="2" t="s">
        <v>24</v>
      </c>
      <c r="L63" s="3">
        <v>16</v>
      </c>
      <c r="M63" s="11">
        <v>1680000.1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46287</v>
      </c>
      <c r="B64" s="1">
        <v>46286</v>
      </c>
      <c r="C64" s="2" t="s">
        <v>211</v>
      </c>
      <c r="D64" s="2" t="s">
        <v>18</v>
      </c>
      <c r="E64" s="2" t="s">
        <v>212</v>
      </c>
      <c r="F64" s="2" t="s">
        <v>20</v>
      </c>
      <c r="G64" s="2" t="s">
        <v>185</v>
      </c>
      <c r="H64" s="2" t="s">
        <v>126</v>
      </c>
      <c r="I64" s="2" t="s">
        <v>127</v>
      </c>
      <c r="J64" s="3">
        <v>24</v>
      </c>
      <c r="K64" s="2" t="s">
        <v>24</v>
      </c>
      <c r="L64" s="3">
        <v>24</v>
      </c>
      <c r="M64" s="11">
        <v>1691640</v>
      </c>
      <c r="N64" s="3">
        <v>0</v>
      </c>
      <c r="O64" s="2" t="s">
        <v>25</v>
      </c>
      <c r="P64" s="2" t="s">
        <v>26</v>
      </c>
      <c r="Q64" s="2" t="s">
        <v>34</v>
      </c>
    </row>
    <row r="65" spans="1:17" x14ac:dyDescent="0.25">
      <c r="A65" s="1">
        <v>46287</v>
      </c>
      <c r="B65" s="1">
        <v>46286</v>
      </c>
      <c r="C65" s="2" t="s">
        <v>211</v>
      </c>
      <c r="D65" s="2" t="s">
        <v>18</v>
      </c>
      <c r="E65" s="2" t="s">
        <v>212</v>
      </c>
      <c r="F65" s="2" t="s">
        <v>20</v>
      </c>
      <c r="G65" s="2" t="s">
        <v>185</v>
      </c>
      <c r="H65" s="2" t="s">
        <v>213</v>
      </c>
      <c r="I65" s="2" t="s">
        <v>214</v>
      </c>
      <c r="J65" s="3">
        <v>24</v>
      </c>
      <c r="K65" s="2" t="s">
        <v>24</v>
      </c>
      <c r="L65" s="3">
        <v>24</v>
      </c>
      <c r="M65" s="11">
        <v>1425240</v>
      </c>
      <c r="N65" s="3">
        <v>0</v>
      </c>
      <c r="O65" s="2" t="s">
        <v>25</v>
      </c>
      <c r="P65" s="2" t="s">
        <v>26</v>
      </c>
      <c r="Q65" s="2" t="s">
        <v>34</v>
      </c>
    </row>
    <row r="66" spans="1:17" x14ac:dyDescent="0.25">
      <c r="A66" s="1">
        <v>46287</v>
      </c>
      <c r="B66" s="1">
        <v>46286</v>
      </c>
      <c r="C66" s="2" t="s">
        <v>215</v>
      </c>
      <c r="D66" s="2" t="s">
        <v>18</v>
      </c>
      <c r="E66" s="2" t="s">
        <v>216</v>
      </c>
      <c r="F66" s="2" t="s">
        <v>20</v>
      </c>
      <c r="G66" s="2" t="s">
        <v>185</v>
      </c>
      <c r="H66" s="2" t="s">
        <v>186</v>
      </c>
      <c r="I66" s="2" t="s">
        <v>187</v>
      </c>
      <c r="J66" s="3">
        <v>30</v>
      </c>
      <c r="K66" s="2" t="s">
        <v>24</v>
      </c>
      <c r="L66" s="3">
        <v>30</v>
      </c>
      <c r="M66" s="11">
        <v>2064600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46287</v>
      </c>
      <c r="B67" s="1">
        <v>46286</v>
      </c>
      <c r="C67" s="2" t="s">
        <v>217</v>
      </c>
      <c r="D67" s="2" t="s">
        <v>18</v>
      </c>
      <c r="E67" s="2" t="s">
        <v>218</v>
      </c>
      <c r="F67" s="2" t="s">
        <v>20</v>
      </c>
      <c r="G67" s="2" t="s">
        <v>185</v>
      </c>
      <c r="H67" s="2" t="s">
        <v>22</v>
      </c>
      <c r="I67" s="2" t="s">
        <v>23</v>
      </c>
      <c r="J67" s="3">
        <v>8</v>
      </c>
      <c r="K67" s="2" t="s">
        <v>24</v>
      </c>
      <c r="L67" s="3">
        <v>8</v>
      </c>
      <c r="M67" s="11">
        <v>840000.05</v>
      </c>
      <c r="N67" s="3">
        <v>0</v>
      </c>
      <c r="O67" s="2" t="s">
        <v>25</v>
      </c>
      <c r="P67" s="2" t="s">
        <v>26</v>
      </c>
      <c r="Q67" s="2" t="s">
        <v>34</v>
      </c>
    </row>
    <row r="68" spans="1:17" x14ac:dyDescent="0.25">
      <c r="A68" s="1">
        <v>46287</v>
      </c>
      <c r="B68" s="1">
        <v>46286</v>
      </c>
      <c r="C68" s="2" t="s">
        <v>217</v>
      </c>
      <c r="D68" s="2" t="s">
        <v>18</v>
      </c>
      <c r="E68" s="2" t="s">
        <v>218</v>
      </c>
      <c r="F68" s="2" t="s">
        <v>20</v>
      </c>
      <c r="G68" s="2" t="s">
        <v>185</v>
      </c>
      <c r="H68" s="2" t="s">
        <v>186</v>
      </c>
      <c r="I68" s="2" t="s">
        <v>187</v>
      </c>
      <c r="J68" s="3">
        <v>3</v>
      </c>
      <c r="K68" s="2" t="s">
        <v>24</v>
      </c>
      <c r="L68" s="3">
        <v>3</v>
      </c>
      <c r="M68" s="11">
        <v>189300</v>
      </c>
      <c r="N68" s="3">
        <v>0</v>
      </c>
      <c r="O68" s="2" t="s">
        <v>25</v>
      </c>
      <c r="P68" s="2" t="s">
        <v>26</v>
      </c>
      <c r="Q68" s="2" t="s">
        <v>34</v>
      </c>
    </row>
    <row r="69" spans="1:17" x14ac:dyDescent="0.25">
      <c r="A69" s="1">
        <v>46287</v>
      </c>
      <c r="B69" s="1">
        <v>46286</v>
      </c>
      <c r="C69" s="2" t="s">
        <v>217</v>
      </c>
      <c r="D69" s="2" t="s">
        <v>18</v>
      </c>
      <c r="E69" s="2" t="s">
        <v>218</v>
      </c>
      <c r="F69" s="2" t="s">
        <v>20</v>
      </c>
      <c r="G69" s="2" t="s">
        <v>185</v>
      </c>
      <c r="H69" s="2" t="s">
        <v>219</v>
      </c>
      <c r="I69" s="2" t="s">
        <v>220</v>
      </c>
      <c r="J69" s="3">
        <v>3</v>
      </c>
      <c r="K69" s="2" t="s">
        <v>24</v>
      </c>
      <c r="L69" s="3">
        <v>3</v>
      </c>
      <c r="M69" s="11">
        <v>161999.99</v>
      </c>
      <c r="N69" s="3">
        <v>0</v>
      </c>
      <c r="O69" s="2" t="s">
        <v>25</v>
      </c>
      <c r="P69" s="2" t="s">
        <v>26</v>
      </c>
      <c r="Q69" s="2" t="s">
        <v>34</v>
      </c>
    </row>
    <row r="70" spans="1:17" x14ac:dyDescent="0.25">
      <c r="A70" s="1">
        <v>46287</v>
      </c>
      <c r="B70" s="1">
        <v>46286</v>
      </c>
      <c r="C70" s="2" t="s">
        <v>217</v>
      </c>
      <c r="D70" s="2" t="s">
        <v>18</v>
      </c>
      <c r="E70" s="2" t="s">
        <v>218</v>
      </c>
      <c r="F70" s="2" t="s">
        <v>20</v>
      </c>
      <c r="G70" s="2" t="s">
        <v>185</v>
      </c>
      <c r="H70" s="2" t="s">
        <v>126</v>
      </c>
      <c r="I70" s="2" t="s">
        <v>127</v>
      </c>
      <c r="J70" s="3">
        <v>3</v>
      </c>
      <c r="K70" s="2" t="s">
        <v>24</v>
      </c>
      <c r="L70" s="3">
        <v>3</v>
      </c>
      <c r="M70" s="11">
        <v>192600.01</v>
      </c>
      <c r="N70" s="3">
        <v>0</v>
      </c>
      <c r="O70" s="2" t="s">
        <v>25</v>
      </c>
      <c r="P70" s="2" t="s">
        <v>26</v>
      </c>
      <c r="Q70" s="2" t="s">
        <v>34</v>
      </c>
    </row>
    <row r="71" spans="1:17" x14ac:dyDescent="0.25">
      <c r="A71" s="1">
        <v>46287</v>
      </c>
      <c r="B71" s="1">
        <v>46286</v>
      </c>
      <c r="C71" s="2" t="s">
        <v>217</v>
      </c>
      <c r="D71" s="2" t="s">
        <v>18</v>
      </c>
      <c r="E71" s="2" t="s">
        <v>218</v>
      </c>
      <c r="F71" s="2" t="s">
        <v>20</v>
      </c>
      <c r="G71" s="2" t="s">
        <v>185</v>
      </c>
      <c r="H71" s="2" t="s">
        <v>199</v>
      </c>
      <c r="I71" s="2" t="s">
        <v>200</v>
      </c>
      <c r="J71" s="3">
        <v>3</v>
      </c>
      <c r="K71" s="2" t="s">
        <v>24</v>
      </c>
      <c r="L71" s="3">
        <v>3</v>
      </c>
      <c r="M71" s="11">
        <v>204300</v>
      </c>
      <c r="N71" s="3">
        <v>0</v>
      </c>
      <c r="O71" s="2" t="s">
        <v>25</v>
      </c>
      <c r="P71" s="2" t="s">
        <v>26</v>
      </c>
      <c r="Q71" s="2" t="s">
        <v>34</v>
      </c>
    </row>
    <row r="72" spans="1:17" x14ac:dyDescent="0.25">
      <c r="A72" s="1">
        <v>46287</v>
      </c>
      <c r="B72" s="1">
        <v>46286</v>
      </c>
      <c r="C72" s="2" t="s">
        <v>217</v>
      </c>
      <c r="D72" s="2" t="s">
        <v>18</v>
      </c>
      <c r="E72" s="2" t="s">
        <v>218</v>
      </c>
      <c r="F72" s="2" t="s">
        <v>20</v>
      </c>
      <c r="G72" s="2" t="s">
        <v>185</v>
      </c>
      <c r="H72" s="2" t="s">
        <v>221</v>
      </c>
      <c r="I72" s="2" t="s">
        <v>222</v>
      </c>
      <c r="J72" s="3">
        <v>1</v>
      </c>
      <c r="K72" s="2" t="s">
        <v>24</v>
      </c>
      <c r="L72" s="3">
        <v>1</v>
      </c>
      <c r="M72" s="11">
        <v>54100</v>
      </c>
      <c r="N72" s="3">
        <v>0</v>
      </c>
      <c r="O72" s="2" t="s">
        <v>25</v>
      </c>
      <c r="P72" s="2" t="s">
        <v>26</v>
      </c>
      <c r="Q72" s="2" t="s">
        <v>34</v>
      </c>
    </row>
    <row r="73" spans="1:17" x14ac:dyDescent="0.25">
      <c r="A73" s="1">
        <v>46287</v>
      </c>
      <c r="B73" s="1">
        <v>46286</v>
      </c>
      <c r="C73" s="2" t="s">
        <v>223</v>
      </c>
      <c r="D73" s="2" t="s">
        <v>18</v>
      </c>
      <c r="E73" s="2" t="s">
        <v>224</v>
      </c>
      <c r="F73" s="2" t="s">
        <v>20</v>
      </c>
      <c r="G73" s="2" t="s">
        <v>77</v>
      </c>
      <c r="H73" s="2" t="s">
        <v>50</v>
      </c>
      <c r="I73" s="2" t="s">
        <v>51</v>
      </c>
      <c r="J73" s="3">
        <v>5</v>
      </c>
      <c r="K73" s="2" t="s">
        <v>33</v>
      </c>
      <c r="L73" s="3">
        <v>5</v>
      </c>
      <c r="M73" s="11">
        <v>1530000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46287</v>
      </c>
      <c r="B74" s="1">
        <v>46286</v>
      </c>
      <c r="C74" s="2" t="s">
        <v>225</v>
      </c>
      <c r="D74" s="2" t="s">
        <v>18</v>
      </c>
      <c r="E74" s="2" t="s">
        <v>226</v>
      </c>
      <c r="F74" s="2" t="s">
        <v>20</v>
      </c>
      <c r="G74" s="2" t="s">
        <v>113</v>
      </c>
      <c r="H74" s="2" t="s">
        <v>50</v>
      </c>
      <c r="I74" s="2" t="s">
        <v>51</v>
      </c>
      <c r="J74" s="3">
        <v>1</v>
      </c>
      <c r="K74" s="2" t="s">
        <v>33</v>
      </c>
      <c r="L74" s="3">
        <v>1</v>
      </c>
      <c r="M74" s="11">
        <v>285000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46287</v>
      </c>
      <c r="B75" s="1">
        <v>46286</v>
      </c>
      <c r="C75" s="2" t="s">
        <v>225</v>
      </c>
      <c r="D75" s="2" t="s">
        <v>18</v>
      </c>
      <c r="E75" s="2" t="s">
        <v>226</v>
      </c>
      <c r="F75" s="2" t="s">
        <v>20</v>
      </c>
      <c r="G75" s="2" t="s">
        <v>113</v>
      </c>
      <c r="H75" s="2" t="s">
        <v>227</v>
      </c>
      <c r="I75" s="2" t="s">
        <v>228</v>
      </c>
      <c r="J75" s="3">
        <v>1</v>
      </c>
      <c r="K75" s="2" t="s">
        <v>40</v>
      </c>
      <c r="L75" s="3">
        <v>1</v>
      </c>
      <c r="M75" s="11">
        <v>16650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46287</v>
      </c>
      <c r="B76" s="1">
        <v>46286</v>
      </c>
      <c r="C76" s="2" t="s">
        <v>229</v>
      </c>
      <c r="D76" s="2" t="s">
        <v>18</v>
      </c>
      <c r="E76" s="2" t="s">
        <v>230</v>
      </c>
      <c r="F76" s="2" t="s">
        <v>20</v>
      </c>
      <c r="G76" s="2" t="s">
        <v>58</v>
      </c>
      <c r="H76" s="2" t="s">
        <v>50</v>
      </c>
      <c r="I76" s="2" t="s">
        <v>51</v>
      </c>
      <c r="J76" s="3">
        <v>1</v>
      </c>
      <c r="K76" s="2" t="s">
        <v>33</v>
      </c>
      <c r="L76" s="3">
        <v>1</v>
      </c>
      <c r="M76" s="11">
        <v>327450</v>
      </c>
      <c r="N76" s="3">
        <v>0</v>
      </c>
      <c r="O76" s="2" t="s">
        <v>25</v>
      </c>
      <c r="P76" s="2" t="s">
        <v>26</v>
      </c>
      <c r="Q76" s="2" t="s">
        <v>231</v>
      </c>
    </row>
    <row r="77" spans="1:17" x14ac:dyDescent="0.25">
      <c r="A77" s="1">
        <v>46287</v>
      </c>
      <c r="B77" s="1">
        <v>46286</v>
      </c>
      <c r="C77" s="2" t="s">
        <v>232</v>
      </c>
      <c r="D77" s="2" t="s">
        <v>18</v>
      </c>
      <c r="E77" s="2" t="s">
        <v>233</v>
      </c>
      <c r="F77" s="2" t="s">
        <v>20</v>
      </c>
      <c r="G77" s="2" t="s">
        <v>45</v>
      </c>
      <c r="H77" s="2" t="s">
        <v>50</v>
      </c>
      <c r="I77" s="2" t="s">
        <v>51</v>
      </c>
      <c r="J77" s="3">
        <v>5</v>
      </c>
      <c r="K77" s="2" t="s">
        <v>33</v>
      </c>
      <c r="L77" s="3">
        <v>5</v>
      </c>
      <c r="M77" s="11">
        <v>1475000</v>
      </c>
      <c r="N77" s="3">
        <v>0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46287</v>
      </c>
      <c r="B78" s="1">
        <v>46286</v>
      </c>
      <c r="C78" s="2" t="s">
        <v>234</v>
      </c>
      <c r="D78" s="2" t="s">
        <v>18</v>
      </c>
      <c r="E78" s="2" t="s">
        <v>235</v>
      </c>
      <c r="F78" s="2" t="s">
        <v>44</v>
      </c>
      <c r="G78" s="2" t="s">
        <v>37</v>
      </c>
      <c r="H78" s="2" t="s">
        <v>236</v>
      </c>
      <c r="I78" s="2" t="s">
        <v>237</v>
      </c>
      <c r="J78" s="3">
        <v>12</v>
      </c>
      <c r="K78" s="2" t="s">
        <v>85</v>
      </c>
      <c r="L78" s="3">
        <v>12</v>
      </c>
      <c r="M78" s="11">
        <v>1176000.02</v>
      </c>
      <c r="N78" s="3">
        <v>0</v>
      </c>
      <c r="O78" s="2" t="s">
        <v>25</v>
      </c>
      <c r="P78" s="2" t="s">
        <v>26</v>
      </c>
      <c r="Q78" s="2" t="s">
        <v>34</v>
      </c>
    </row>
    <row r="79" spans="1:17" x14ac:dyDescent="0.25">
      <c r="A79" s="1">
        <v>46287</v>
      </c>
      <c r="B79" s="1">
        <v>46286</v>
      </c>
      <c r="C79" s="2" t="s">
        <v>238</v>
      </c>
      <c r="D79" s="2" t="s">
        <v>18</v>
      </c>
      <c r="E79" s="2" t="s">
        <v>239</v>
      </c>
      <c r="F79" s="2" t="s">
        <v>44</v>
      </c>
      <c r="G79" s="2" t="s">
        <v>167</v>
      </c>
      <c r="H79" s="2" t="s">
        <v>240</v>
      </c>
      <c r="I79" s="2" t="s">
        <v>241</v>
      </c>
      <c r="J79" s="3">
        <v>10</v>
      </c>
      <c r="K79" s="2" t="s">
        <v>40</v>
      </c>
      <c r="L79" s="3">
        <v>10</v>
      </c>
      <c r="M79" s="11">
        <v>327450</v>
      </c>
      <c r="N79" s="3">
        <v>0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46287</v>
      </c>
      <c r="B80" s="1">
        <v>46286</v>
      </c>
      <c r="C80" s="2" t="s">
        <v>242</v>
      </c>
      <c r="D80" s="2" t="s">
        <v>18</v>
      </c>
      <c r="E80" s="2" t="s">
        <v>243</v>
      </c>
      <c r="F80" s="2" t="s">
        <v>20</v>
      </c>
      <c r="G80" s="2" t="s">
        <v>82</v>
      </c>
      <c r="H80" s="2" t="s">
        <v>50</v>
      </c>
      <c r="I80" s="2" t="s">
        <v>51</v>
      </c>
      <c r="J80" s="3">
        <v>10</v>
      </c>
      <c r="K80" s="2" t="s">
        <v>33</v>
      </c>
      <c r="L80" s="3">
        <v>10</v>
      </c>
      <c r="M80" s="11">
        <v>2749999.99</v>
      </c>
      <c r="N80" s="3">
        <v>0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46287</v>
      </c>
      <c r="B81" s="1">
        <v>46286</v>
      </c>
      <c r="C81" s="2" t="s">
        <v>244</v>
      </c>
      <c r="D81" s="2" t="s">
        <v>18</v>
      </c>
      <c r="E81" s="2" t="s">
        <v>245</v>
      </c>
      <c r="F81" s="2" t="s">
        <v>20</v>
      </c>
      <c r="G81" s="2" t="s">
        <v>82</v>
      </c>
      <c r="H81" s="2" t="s">
        <v>78</v>
      </c>
      <c r="I81" s="2" t="s">
        <v>79</v>
      </c>
      <c r="J81" s="3">
        <v>6</v>
      </c>
      <c r="K81" s="2" t="s">
        <v>33</v>
      </c>
      <c r="L81" s="3">
        <v>6</v>
      </c>
      <c r="M81" s="11">
        <v>1800000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46287</v>
      </c>
      <c r="B82" s="1">
        <v>46286</v>
      </c>
      <c r="C82" s="2" t="s">
        <v>246</v>
      </c>
      <c r="D82" s="2" t="s">
        <v>18</v>
      </c>
      <c r="E82" s="2" t="s">
        <v>245</v>
      </c>
      <c r="F82" s="2" t="s">
        <v>20</v>
      </c>
      <c r="G82" s="2" t="s">
        <v>82</v>
      </c>
      <c r="H82" s="2" t="s">
        <v>247</v>
      </c>
      <c r="I82" s="2" t="s">
        <v>248</v>
      </c>
      <c r="J82" s="3">
        <v>4</v>
      </c>
      <c r="K82" s="2" t="s">
        <v>172</v>
      </c>
      <c r="L82" s="3">
        <v>4</v>
      </c>
      <c r="M82" s="11">
        <v>368000</v>
      </c>
      <c r="N82" s="3">
        <v>0</v>
      </c>
      <c r="O82" s="2" t="s">
        <v>25</v>
      </c>
      <c r="P82" s="2" t="s">
        <v>26</v>
      </c>
      <c r="Q82" s="2" t="s">
        <v>34</v>
      </c>
    </row>
    <row r="83" spans="1:17" x14ac:dyDescent="0.25">
      <c r="A83" s="1">
        <v>46287</v>
      </c>
      <c r="B83" s="1">
        <v>46286</v>
      </c>
      <c r="C83" s="2" t="s">
        <v>249</v>
      </c>
      <c r="D83" s="2" t="s">
        <v>18</v>
      </c>
      <c r="E83" s="2" t="s">
        <v>250</v>
      </c>
      <c r="F83" s="2" t="s">
        <v>20</v>
      </c>
      <c r="G83" s="2" t="s">
        <v>37</v>
      </c>
      <c r="H83" s="2" t="s">
        <v>240</v>
      </c>
      <c r="I83" s="2" t="s">
        <v>241</v>
      </c>
      <c r="J83" s="3">
        <v>50</v>
      </c>
      <c r="K83" s="2" t="s">
        <v>40</v>
      </c>
      <c r="L83" s="3">
        <v>50</v>
      </c>
      <c r="M83" s="11">
        <v>1500000.17</v>
      </c>
      <c r="N83" s="3">
        <v>0</v>
      </c>
      <c r="O83" s="2" t="s">
        <v>25</v>
      </c>
      <c r="P83" s="2" t="s">
        <v>26</v>
      </c>
      <c r="Q83" s="2" t="s">
        <v>251</v>
      </c>
    </row>
    <row r="84" spans="1:17" x14ac:dyDescent="0.25">
      <c r="A84" s="1">
        <v>46287</v>
      </c>
      <c r="B84" s="1">
        <v>46286</v>
      </c>
      <c r="C84" s="2" t="s">
        <v>252</v>
      </c>
      <c r="D84" s="2" t="s">
        <v>18</v>
      </c>
      <c r="E84" s="2" t="s">
        <v>253</v>
      </c>
      <c r="F84" s="2" t="s">
        <v>44</v>
      </c>
      <c r="G84" s="2" t="s">
        <v>82</v>
      </c>
      <c r="H84" s="2" t="s">
        <v>83</v>
      </c>
      <c r="I84" s="2" t="s">
        <v>84</v>
      </c>
      <c r="J84" s="3">
        <v>48</v>
      </c>
      <c r="K84" s="2" t="s">
        <v>85</v>
      </c>
      <c r="L84" s="3">
        <v>48</v>
      </c>
      <c r="M84" s="11">
        <v>2424240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46287</v>
      </c>
      <c r="B85" s="1">
        <v>46286</v>
      </c>
      <c r="C85" s="2" t="s">
        <v>254</v>
      </c>
      <c r="D85" s="2" t="s">
        <v>18</v>
      </c>
      <c r="E85" s="2" t="s">
        <v>255</v>
      </c>
      <c r="F85" s="2" t="s">
        <v>20</v>
      </c>
      <c r="G85" s="2" t="s">
        <v>82</v>
      </c>
      <c r="H85" s="2" t="s">
        <v>256</v>
      </c>
      <c r="I85" s="2" t="s">
        <v>257</v>
      </c>
      <c r="J85" s="3">
        <v>50</v>
      </c>
      <c r="K85" s="2" t="s">
        <v>40</v>
      </c>
      <c r="L85" s="3">
        <v>50.6</v>
      </c>
      <c r="M85" s="11">
        <v>5059999.99</v>
      </c>
      <c r="N85" s="3">
        <v>0.6</v>
      </c>
      <c r="O85" s="2" t="s">
        <v>25</v>
      </c>
      <c r="P85" s="2" t="s">
        <v>26</v>
      </c>
      <c r="Q85" s="2" t="s">
        <v>258</v>
      </c>
    </row>
    <row r="86" spans="1:17" x14ac:dyDescent="0.25">
      <c r="A86" s="1">
        <v>46287</v>
      </c>
      <c r="B86" s="1">
        <v>46286</v>
      </c>
      <c r="C86" s="2" t="s">
        <v>259</v>
      </c>
      <c r="D86" s="2" t="s">
        <v>18</v>
      </c>
      <c r="E86" s="2" t="s">
        <v>260</v>
      </c>
      <c r="F86" s="2" t="s">
        <v>20</v>
      </c>
      <c r="G86" s="2" t="s">
        <v>58</v>
      </c>
      <c r="H86" s="2" t="s">
        <v>194</v>
      </c>
      <c r="I86" s="2" t="s">
        <v>195</v>
      </c>
      <c r="J86" s="3">
        <v>10</v>
      </c>
      <c r="K86" s="2" t="s">
        <v>40</v>
      </c>
      <c r="L86" s="3">
        <v>10</v>
      </c>
      <c r="M86" s="11">
        <v>362970</v>
      </c>
      <c r="N86" s="3">
        <v>0</v>
      </c>
      <c r="O86" s="2" t="s">
        <v>25</v>
      </c>
      <c r="P86" s="2" t="s">
        <v>26</v>
      </c>
      <c r="Q86" s="2" t="s">
        <v>261</v>
      </c>
    </row>
    <row r="87" spans="1:17" x14ac:dyDescent="0.25">
      <c r="A87" s="1">
        <v>46287</v>
      </c>
      <c r="B87" s="1">
        <v>46286</v>
      </c>
      <c r="C87" s="2" t="s">
        <v>262</v>
      </c>
      <c r="D87" s="2" t="s">
        <v>18</v>
      </c>
      <c r="E87" s="2" t="s">
        <v>263</v>
      </c>
      <c r="F87" s="2" t="s">
        <v>20</v>
      </c>
      <c r="G87" s="2" t="s">
        <v>30</v>
      </c>
      <c r="H87" s="2" t="s">
        <v>50</v>
      </c>
      <c r="I87" s="2" t="s">
        <v>51</v>
      </c>
      <c r="J87" s="3">
        <v>3</v>
      </c>
      <c r="K87" s="2" t="s">
        <v>33</v>
      </c>
      <c r="L87" s="3">
        <v>3</v>
      </c>
      <c r="M87" s="11">
        <v>810000.02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46287</v>
      </c>
      <c r="B88" s="1">
        <v>46286</v>
      </c>
      <c r="C88" s="2" t="s">
        <v>264</v>
      </c>
      <c r="D88" s="2" t="s">
        <v>18</v>
      </c>
      <c r="E88" s="2" t="s">
        <v>265</v>
      </c>
      <c r="F88" s="2" t="s">
        <v>20</v>
      </c>
      <c r="G88" s="2" t="s">
        <v>266</v>
      </c>
      <c r="H88" s="2" t="s">
        <v>219</v>
      </c>
      <c r="I88" s="2" t="s">
        <v>220</v>
      </c>
      <c r="J88" s="3">
        <v>48</v>
      </c>
      <c r="K88" s="2" t="s">
        <v>24</v>
      </c>
      <c r="L88" s="3">
        <v>48</v>
      </c>
      <c r="M88" s="11">
        <v>2591999.96</v>
      </c>
      <c r="N88" s="3">
        <v>0</v>
      </c>
      <c r="O88" s="2" t="s">
        <v>25</v>
      </c>
      <c r="P88" s="2" t="s">
        <v>26</v>
      </c>
      <c r="Q88" s="2" t="s">
        <v>267</v>
      </c>
    </row>
    <row r="89" spans="1:17" x14ac:dyDescent="0.25">
      <c r="A89" s="1">
        <v>46287</v>
      </c>
      <c r="B89" s="1">
        <v>46286</v>
      </c>
      <c r="C89" s="2" t="s">
        <v>268</v>
      </c>
      <c r="D89" s="2" t="s">
        <v>18</v>
      </c>
      <c r="E89" s="2" t="s">
        <v>250</v>
      </c>
      <c r="F89" s="2" t="s">
        <v>20</v>
      </c>
      <c r="G89" s="2" t="s">
        <v>185</v>
      </c>
      <c r="H89" s="2" t="s">
        <v>221</v>
      </c>
      <c r="I89" s="2" t="s">
        <v>222</v>
      </c>
      <c r="J89" s="3">
        <v>20</v>
      </c>
      <c r="K89" s="2" t="s">
        <v>24</v>
      </c>
      <c r="L89" s="3">
        <v>20</v>
      </c>
      <c r="M89" s="11">
        <v>1187700</v>
      </c>
      <c r="N89" s="3">
        <v>0</v>
      </c>
      <c r="O89" s="2" t="s">
        <v>25</v>
      </c>
      <c r="P89" s="2" t="s">
        <v>26</v>
      </c>
      <c r="Q89" s="2" t="s">
        <v>269</v>
      </c>
    </row>
    <row r="90" spans="1:17" x14ac:dyDescent="0.25">
      <c r="A90" s="1">
        <v>46287</v>
      </c>
      <c r="B90" s="1">
        <v>46286</v>
      </c>
      <c r="C90" s="2" t="s">
        <v>270</v>
      </c>
      <c r="D90" s="2" t="s">
        <v>18</v>
      </c>
      <c r="E90" s="2" t="s">
        <v>135</v>
      </c>
      <c r="F90" s="2" t="s">
        <v>20</v>
      </c>
      <c r="G90" s="2" t="s">
        <v>58</v>
      </c>
      <c r="H90" s="2" t="s">
        <v>100</v>
      </c>
      <c r="I90" s="2" t="s">
        <v>101</v>
      </c>
      <c r="J90" s="3">
        <v>7</v>
      </c>
      <c r="K90" s="2" t="s">
        <v>40</v>
      </c>
      <c r="L90" s="3">
        <v>5.88</v>
      </c>
      <c r="M90" s="11">
        <v>3822000</v>
      </c>
      <c r="N90" s="3">
        <v>-1.1200000000000001</v>
      </c>
      <c r="O90" s="2" t="s">
        <v>25</v>
      </c>
      <c r="P90" s="2" t="s">
        <v>26</v>
      </c>
      <c r="Q90" s="2" t="s">
        <v>271</v>
      </c>
    </row>
    <row r="91" spans="1:17" x14ac:dyDescent="0.25">
      <c r="A91" s="1">
        <v>46287</v>
      </c>
      <c r="B91" s="1">
        <v>46286</v>
      </c>
      <c r="C91" s="2" t="s">
        <v>272</v>
      </c>
      <c r="D91" s="2" t="s">
        <v>18</v>
      </c>
      <c r="E91" s="2" t="s">
        <v>273</v>
      </c>
      <c r="F91" s="2" t="s">
        <v>44</v>
      </c>
      <c r="G91" s="2" t="s">
        <v>58</v>
      </c>
      <c r="H91" s="2" t="s">
        <v>274</v>
      </c>
      <c r="I91" s="2" t="s">
        <v>275</v>
      </c>
      <c r="J91" s="3">
        <v>2</v>
      </c>
      <c r="K91" s="2" t="s">
        <v>24</v>
      </c>
      <c r="L91" s="3">
        <v>2</v>
      </c>
      <c r="M91" s="11">
        <v>64000</v>
      </c>
      <c r="N91" s="3">
        <v>0</v>
      </c>
      <c r="O91" s="2" t="s">
        <v>25</v>
      </c>
      <c r="P91" s="2" t="s">
        <v>26</v>
      </c>
      <c r="Q91" s="2" t="s">
        <v>34</v>
      </c>
    </row>
    <row r="92" spans="1:17" x14ac:dyDescent="0.25">
      <c r="A92" s="1">
        <v>46287</v>
      </c>
      <c r="B92" s="1">
        <v>46286</v>
      </c>
      <c r="C92" s="2" t="s">
        <v>276</v>
      </c>
      <c r="D92" s="2" t="s">
        <v>18</v>
      </c>
      <c r="E92" s="2" t="s">
        <v>265</v>
      </c>
      <c r="F92" s="2" t="s">
        <v>20</v>
      </c>
      <c r="G92" s="2" t="s">
        <v>182</v>
      </c>
      <c r="H92" s="2" t="s">
        <v>277</v>
      </c>
      <c r="I92" s="2" t="s">
        <v>278</v>
      </c>
      <c r="J92" s="3">
        <v>360</v>
      </c>
      <c r="K92" s="2" t="s">
        <v>279</v>
      </c>
      <c r="L92" s="3">
        <v>360</v>
      </c>
      <c r="M92" s="11">
        <v>1598400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46287</v>
      </c>
      <c r="B93" s="1">
        <v>46286</v>
      </c>
      <c r="C93" s="2" t="s">
        <v>280</v>
      </c>
      <c r="D93" s="2" t="s">
        <v>18</v>
      </c>
      <c r="E93" s="2" t="s">
        <v>281</v>
      </c>
      <c r="F93" s="2" t="s">
        <v>44</v>
      </c>
      <c r="G93" s="2" t="s">
        <v>58</v>
      </c>
      <c r="H93" s="2" t="s">
        <v>282</v>
      </c>
      <c r="I93" s="2" t="s">
        <v>283</v>
      </c>
      <c r="J93" s="3">
        <v>12</v>
      </c>
      <c r="K93" s="2" t="s">
        <v>85</v>
      </c>
      <c r="L93" s="3">
        <v>12</v>
      </c>
      <c r="M93" s="11">
        <v>539460</v>
      </c>
      <c r="N93" s="3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46287</v>
      </c>
      <c r="B94" s="1">
        <v>46286</v>
      </c>
      <c r="C94" s="2" t="s">
        <v>280</v>
      </c>
      <c r="D94" s="2" t="s">
        <v>18</v>
      </c>
      <c r="E94" s="2" t="s">
        <v>281</v>
      </c>
      <c r="F94" s="2" t="s">
        <v>44</v>
      </c>
      <c r="G94" s="2" t="s">
        <v>58</v>
      </c>
      <c r="H94" s="2" t="s">
        <v>83</v>
      </c>
      <c r="I94" s="2" t="s">
        <v>84</v>
      </c>
      <c r="J94" s="3">
        <v>12</v>
      </c>
      <c r="K94" s="2" t="s">
        <v>85</v>
      </c>
      <c r="L94" s="3">
        <v>12</v>
      </c>
      <c r="M94" s="11">
        <v>606060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46287</v>
      </c>
      <c r="B95" s="1">
        <v>46286</v>
      </c>
      <c r="C95" s="2" t="s">
        <v>284</v>
      </c>
      <c r="D95" s="2" t="s">
        <v>18</v>
      </c>
      <c r="E95" s="2" t="s">
        <v>285</v>
      </c>
      <c r="F95" s="2" t="s">
        <v>44</v>
      </c>
      <c r="G95" s="2" t="s">
        <v>82</v>
      </c>
      <c r="H95" s="2" t="s">
        <v>83</v>
      </c>
      <c r="I95" s="2" t="s">
        <v>84</v>
      </c>
      <c r="J95" s="3">
        <v>4</v>
      </c>
      <c r="K95" s="2" t="s">
        <v>85</v>
      </c>
      <c r="L95" s="3">
        <v>4</v>
      </c>
      <c r="M95" s="11">
        <v>202020</v>
      </c>
      <c r="N95" s="3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46287</v>
      </c>
      <c r="B96" s="1">
        <v>46286</v>
      </c>
      <c r="C96" s="2" t="s">
        <v>286</v>
      </c>
      <c r="D96" s="2" t="s">
        <v>18</v>
      </c>
      <c r="E96" s="2" t="s">
        <v>287</v>
      </c>
      <c r="F96" s="2" t="s">
        <v>20</v>
      </c>
      <c r="G96" s="2" t="s">
        <v>21</v>
      </c>
      <c r="H96" s="2" t="s">
        <v>221</v>
      </c>
      <c r="I96" s="2" t="s">
        <v>222</v>
      </c>
      <c r="J96" s="3">
        <v>12</v>
      </c>
      <c r="K96" s="2" t="s">
        <v>24</v>
      </c>
      <c r="L96" s="3">
        <v>12</v>
      </c>
      <c r="M96" s="11">
        <v>649200.02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46287</v>
      </c>
      <c r="B97" s="1">
        <v>46286</v>
      </c>
      <c r="C97" s="2" t="s">
        <v>288</v>
      </c>
      <c r="D97" s="2" t="s">
        <v>18</v>
      </c>
      <c r="E97" s="2" t="s">
        <v>287</v>
      </c>
      <c r="F97" s="2" t="s">
        <v>20</v>
      </c>
      <c r="G97" s="2" t="s">
        <v>21</v>
      </c>
      <c r="H97" s="2" t="s">
        <v>213</v>
      </c>
      <c r="I97" s="2" t="s">
        <v>214</v>
      </c>
      <c r="J97" s="3">
        <v>12</v>
      </c>
      <c r="K97" s="2" t="s">
        <v>24</v>
      </c>
      <c r="L97" s="3">
        <v>12</v>
      </c>
      <c r="M97" s="11">
        <v>649200.02</v>
      </c>
      <c r="N97" s="3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46287</v>
      </c>
      <c r="B98" s="1">
        <v>46286</v>
      </c>
      <c r="C98" s="2" t="s">
        <v>288</v>
      </c>
      <c r="D98" s="2" t="s">
        <v>18</v>
      </c>
      <c r="E98" s="2" t="s">
        <v>287</v>
      </c>
      <c r="F98" s="2" t="s">
        <v>20</v>
      </c>
      <c r="G98" s="2" t="s">
        <v>21</v>
      </c>
      <c r="H98" s="2" t="s">
        <v>126</v>
      </c>
      <c r="I98" s="2" t="s">
        <v>127</v>
      </c>
      <c r="J98" s="3">
        <v>12</v>
      </c>
      <c r="K98" s="2" t="s">
        <v>24</v>
      </c>
      <c r="L98" s="3">
        <v>12</v>
      </c>
      <c r="M98" s="11">
        <v>770400.03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46287</v>
      </c>
      <c r="B99" s="1">
        <v>46286</v>
      </c>
      <c r="C99" s="2" t="s">
        <v>289</v>
      </c>
      <c r="D99" s="2" t="s">
        <v>18</v>
      </c>
      <c r="E99" s="2" t="s">
        <v>265</v>
      </c>
      <c r="F99" s="2" t="s">
        <v>20</v>
      </c>
      <c r="G99" s="2" t="s">
        <v>182</v>
      </c>
      <c r="H99" s="2" t="s">
        <v>31</v>
      </c>
      <c r="I99" s="2" t="s">
        <v>32</v>
      </c>
      <c r="J99" s="3">
        <v>3</v>
      </c>
      <c r="K99" s="2" t="s">
        <v>33</v>
      </c>
      <c r="L99" s="3">
        <v>3</v>
      </c>
      <c r="M99" s="11">
        <v>1680000</v>
      </c>
      <c r="N99" s="3">
        <v>0</v>
      </c>
      <c r="O99" s="2" t="s">
        <v>25</v>
      </c>
      <c r="P99" s="2" t="s">
        <v>26</v>
      </c>
      <c r="Q99" s="2" t="s">
        <v>290</v>
      </c>
    </row>
    <row r="100" spans="1:17" x14ac:dyDescent="0.25">
      <c r="A100" s="1">
        <v>46287</v>
      </c>
      <c r="B100" s="1">
        <v>46286</v>
      </c>
      <c r="C100" s="2" t="s">
        <v>289</v>
      </c>
      <c r="D100" s="2" t="s">
        <v>18</v>
      </c>
      <c r="E100" s="2" t="s">
        <v>265</v>
      </c>
      <c r="F100" s="2" t="s">
        <v>20</v>
      </c>
      <c r="G100" s="2" t="s">
        <v>182</v>
      </c>
      <c r="H100" s="2" t="s">
        <v>83</v>
      </c>
      <c r="I100" s="2" t="s">
        <v>84</v>
      </c>
      <c r="J100" s="3">
        <v>48</v>
      </c>
      <c r="K100" s="2" t="s">
        <v>85</v>
      </c>
      <c r="L100" s="3">
        <v>48</v>
      </c>
      <c r="M100" s="11">
        <v>2424240</v>
      </c>
      <c r="N100" s="3">
        <v>0</v>
      </c>
      <c r="O100" s="2" t="s">
        <v>25</v>
      </c>
      <c r="P100" s="2" t="s">
        <v>26</v>
      </c>
      <c r="Q100" s="2" t="s">
        <v>290</v>
      </c>
    </row>
    <row r="101" spans="1:17" x14ac:dyDescent="0.25">
      <c r="A101" s="1">
        <v>46287</v>
      </c>
      <c r="B101" s="1">
        <v>46286</v>
      </c>
      <c r="C101" s="2" t="s">
        <v>291</v>
      </c>
      <c r="D101" s="2" t="s">
        <v>18</v>
      </c>
      <c r="E101" s="2" t="s">
        <v>265</v>
      </c>
      <c r="F101" s="2" t="s">
        <v>20</v>
      </c>
      <c r="G101" s="2" t="s">
        <v>182</v>
      </c>
      <c r="H101" s="2" t="s">
        <v>292</v>
      </c>
      <c r="I101" s="2" t="s">
        <v>293</v>
      </c>
      <c r="J101" s="3">
        <v>12</v>
      </c>
      <c r="K101" s="2" t="s">
        <v>85</v>
      </c>
      <c r="L101" s="3">
        <v>12</v>
      </c>
      <c r="M101" s="11">
        <v>849600.08</v>
      </c>
      <c r="N101" s="3">
        <v>0</v>
      </c>
      <c r="O101" s="2" t="s">
        <v>25</v>
      </c>
      <c r="P101" s="2" t="s">
        <v>26</v>
      </c>
      <c r="Q101" s="2" t="s">
        <v>290</v>
      </c>
    </row>
    <row r="102" spans="1:17" x14ac:dyDescent="0.25">
      <c r="A102" s="1">
        <v>46287</v>
      </c>
      <c r="B102" s="1">
        <v>46286</v>
      </c>
      <c r="C102" s="2" t="s">
        <v>291</v>
      </c>
      <c r="D102" s="2" t="s">
        <v>18</v>
      </c>
      <c r="E102" s="2" t="s">
        <v>265</v>
      </c>
      <c r="F102" s="2" t="s">
        <v>20</v>
      </c>
      <c r="G102" s="2" t="s">
        <v>182</v>
      </c>
      <c r="H102" s="2" t="s">
        <v>88</v>
      </c>
      <c r="I102" s="2" t="s">
        <v>89</v>
      </c>
      <c r="J102" s="3">
        <v>25</v>
      </c>
      <c r="K102" s="2" t="s">
        <v>40</v>
      </c>
      <c r="L102" s="3">
        <v>25.27</v>
      </c>
      <c r="M102" s="11">
        <v>3259830</v>
      </c>
      <c r="N102" s="3">
        <v>0.27</v>
      </c>
      <c r="O102" s="2" t="s">
        <v>25</v>
      </c>
      <c r="P102" s="2" t="s">
        <v>26</v>
      </c>
      <c r="Q102" s="2" t="s">
        <v>290</v>
      </c>
    </row>
    <row r="103" spans="1:17" x14ac:dyDescent="0.25">
      <c r="A103" s="1">
        <v>46287</v>
      </c>
      <c r="B103" s="1">
        <v>46286</v>
      </c>
      <c r="C103" s="2" t="s">
        <v>294</v>
      </c>
      <c r="D103" s="2" t="s">
        <v>18</v>
      </c>
      <c r="E103" s="2" t="s">
        <v>287</v>
      </c>
      <c r="F103" s="2" t="s">
        <v>20</v>
      </c>
      <c r="G103" s="2" t="s">
        <v>72</v>
      </c>
      <c r="H103" s="2" t="s">
        <v>194</v>
      </c>
      <c r="I103" s="2" t="s">
        <v>195</v>
      </c>
      <c r="J103" s="3">
        <v>20</v>
      </c>
      <c r="K103" s="2" t="s">
        <v>40</v>
      </c>
      <c r="L103" s="3">
        <v>20</v>
      </c>
      <c r="M103" s="11">
        <v>725940</v>
      </c>
      <c r="N103" s="3">
        <v>0</v>
      </c>
      <c r="O103" s="2" t="s">
        <v>25</v>
      </c>
      <c r="P103" s="2" t="s">
        <v>26</v>
      </c>
      <c r="Q103" s="2" t="s">
        <v>34</v>
      </c>
    </row>
    <row r="104" spans="1:17" x14ac:dyDescent="0.25">
      <c r="A104" s="1">
        <v>46287</v>
      </c>
      <c r="B104" s="1">
        <v>46286</v>
      </c>
      <c r="C104" s="2" t="s">
        <v>295</v>
      </c>
      <c r="D104" s="2" t="s">
        <v>18</v>
      </c>
      <c r="E104" s="2" t="s">
        <v>296</v>
      </c>
      <c r="F104" s="2" t="s">
        <v>44</v>
      </c>
      <c r="G104" s="2" t="s">
        <v>77</v>
      </c>
      <c r="H104" s="2" t="s">
        <v>50</v>
      </c>
      <c r="I104" s="2" t="s">
        <v>51</v>
      </c>
      <c r="J104" s="3">
        <v>2</v>
      </c>
      <c r="K104" s="2" t="s">
        <v>33</v>
      </c>
      <c r="L104" s="3">
        <v>2</v>
      </c>
      <c r="M104" s="11">
        <v>620000</v>
      </c>
      <c r="N104" s="3">
        <v>0</v>
      </c>
      <c r="O104" s="2" t="s">
        <v>25</v>
      </c>
      <c r="P104" s="2" t="s">
        <v>26</v>
      </c>
      <c r="Q104" s="2" t="s">
        <v>34</v>
      </c>
    </row>
    <row r="105" spans="1:17" x14ac:dyDescent="0.25">
      <c r="A105" s="1">
        <v>46287</v>
      </c>
      <c r="B105" s="1">
        <v>46286</v>
      </c>
      <c r="C105" s="2" t="s">
        <v>297</v>
      </c>
      <c r="D105" s="2" t="s">
        <v>18</v>
      </c>
      <c r="E105" s="2" t="s">
        <v>298</v>
      </c>
      <c r="F105" s="2" t="s">
        <v>44</v>
      </c>
      <c r="G105" s="2" t="s">
        <v>58</v>
      </c>
      <c r="H105" s="2" t="s">
        <v>299</v>
      </c>
      <c r="I105" s="2" t="s">
        <v>300</v>
      </c>
      <c r="J105" s="3">
        <v>2</v>
      </c>
      <c r="K105" s="2" t="s">
        <v>85</v>
      </c>
      <c r="L105" s="3">
        <v>2</v>
      </c>
      <c r="M105" s="11">
        <v>449550</v>
      </c>
      <c r="N105" s="3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46287</v>
      </c>
      <c r="B106" s="1">
        <v>46286</v>
      </c>
      <c r="C106" s="2" t="s">
        <v>301</v>
      </c>
      <c r="D106" s="2" t="s">
        <v>18</v>
      </c>
      <c r="E106" s="2" t="s">
        <v>302</v>
      </c>
      <c r="F106" s="2" t="s">
        <v>20</v>
      </c>
      <c r="G106" s="2" t="s">
        <v>21</v>
      </c>
      <c r="H106" s="2" t="s">
        <v>303</v>
      </c>
      <c r="I106" s="2" t="s">
        <v>304</v>
      </c>
      <c r="J106" s="3">
        <v>12</v>
      </c>
      <c r="K106" s="2" t="s">
        <v>24</v>
      </c>
      <c r="L106" s="3">
        <v>12</v>
      </c>
      <c r="M106" s="11">
        <v>613200.05000000005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46287</v>
      </c>
      <c r="B107" s="1">
        <v>46286</v>
      </c>
      <c r="C107" s="2" t="s">
        <v>305</v>
      </c>
      <c r="D107" s="2" t="s">
        <v>18</v>
      </c>
      <c r="E107" s="2" t="s">
        <v>306</v>
      </c>
      <c r="F107" s="2" t="s">
        <v>20</v>
      </c>
      <c r="G107" s="2" t="s">
        <v>82</v>
      </c>
      <c r="H107" s="2" t="s">
        <v>50</v>
      </c>
      <c r="I107" s="2" t="s">
        <v>51</v>
      </c>
      <c r="J107" s="3">
        <v>2</v>
      </c>
      <c r="K107" s="2" t="s">
        <v>33</v>
      </c>
      <c r="L107" s="3">
        <v>2</v>
      </c>
      <c r="M107" s="11">
        <v>630000</v>
      </c>
      <c r="N107" s="3">
        <v>0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46287</v>
      </c>
      <c r="B108" s="1">
        <v>46286</v>
      </c>
      <c r="C108" s="2" t="s">
        <v>305</v>
      </c>
      <c r="D108" s="2" t="s">
        <v>18</v>
      </c>
      <c r="E108" s="2" t="s">
        <v>306</v>
      </c>
      <c r="F108" s="2" t="s">
        <v>20</v>
      </c>
      <c r="G108" s="2" t="s">
        <v>82</v>
      </c>
      <c r="H108" s="2" t="s">
        <v>156</v>
      </c>
      <c r="I108" s="2" t="s">
        <v>157</v>
      </c>
      <c r="J108" s="3">
        <v>1</v>
      </c>
      <c r="K108" s="2" t="s">
        <v>33</v>
      </c>
      <c r="L108" s="3">
        <v>1</v>
      </c>
      <c r="M108" s="11">
        <v>315000</v>
      </c>
      <c r="N108" s="3">
        <v>0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46287</v>
      </c>
      <c r="B109" s="1">
        <v>46286</v>
      </c>
      <c r="C109" s="2" t="s">
        <v>307</v>
      </c>
      <c r="D109" s="2" t="s">
        <v>18</v>
      </c>
      <c r="E109" s="2" t="s">
        <v>308</v>
      </c>
      <c r="F109" s="2" t="s">
        <v>20</v>
      </c>
      <c r="G109" s="2" t="s">
        <v>160</v>
      </c>
      <c r="H109" s="2" t="s">
        <v>46</v>
      </c>
      <c r="I109" s="2" t="s">
        <v>47</v>
      </c>
      <c r="J109" s="3">
        <v>5</v>
      </c>
      <c r="K109" s="2" t="s">
        <v>33</v>
      </c>
      <c r="L109" s="3">
        <v>5</v>
      </c>
      <c r="M109" s="11">
        <v>1776000</v>
      </c>
      <c r="N109" s="3">
        <v>0</v>
      </c>
      <c r="O109" s="2" t="s">
        <v>25</v>
      </c>
      <c r="P109" s="2" t="s">
        <v>26</v>
      </c>
      <c r="Q109" s="2" t="s">
        <v>34</v>
      </c>
    </row>
    <row r="110" spans="1:17" x14ac:dyDescent="0.25">
      <c r="A110" s="1">
        <v>46287</v>
      </c>
      <c r="B110" s="1">
        <v>46286</v>
      </c>
      <c r="C110" s="2" t="s">
        <v>309</v>
      </c>
      <c r="D110" s="2" t="s">
        <v>18</v>
      </c>
      <c r="E110" s="2" t="s">
        <v>310</v>
      </c>
      <c r="F110" s="2" t="s">
        <v>20</v>
      </c>
      <c r="G110" s="2" t="s">
        <v>123</v>
      </c>
      <c r="H110" s="2" t="s">
        <v>50</v>
      </c>
      <c r="I110" s="2" t="s">
        <v>51</v>
      </c>
      <c r="J110" s="3">
        <v>3</v>
      </c>
      <c r="K110" s="2" t="s">
        <v>33</v>
      </c>
      <c r="L110" s="3">
        <v>3</v>
      </c>
      <c r="M110" s="11">
        <v>912000</v>
      </c>
      <c r="N110" s="3">
        <v>0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46287</v>
      </c>
      <c r="B111" s="1">
        <v>46286</v>
      </c>
      <c r="C111" s="2" t="s">
        <v>311</v>
      </c>
      <c r="D111" s="2" t="s">
        <v>18</v>
      </c>
      <c r="E111" s="2" t="s">
        <v>310</v>
      </c>
      <c r="F111" s="2" t="s">
        <v>20</v>
      </c>
      <c r="G111" s="2" t="s">
        <v>123</v>
      </c>
      <c r="H111" s="2" t="s">
        <v>88</v>
      </c>
      <c r="I111" s="2" t="s">
        <v>89</v>
      </c>
      <c r="J111" s="3">
        <v>10</v>
      </c>
      <c r="K111" s="2" t="s">
        <v>40</v>
      </c>
      <c r="L111" s="3">
        <v>9.7100000000000009</v>
      </c>
      <c r="M111" s="11">
        <v>1456500</v>
      </c>
      <c r="N111" s="3">
        <v>-0.28999999999999998</v>
      </c>
      <c r="O111" s="2" t="s">
        <v>25</v>
      </c>
      <c r="P111" s="2" t="s">
        <v>26</v>
      </c>
      <c r="Q111" s="2" t="s">
        <v>34</v>
      </c>
    </row>
    <row r="112" spans="1:17" x14ac:dyDescent="0.25">
      <c r="A112" s="1">
        <v>46287</v>
      </c>
      <c r="B112" s="1">
        <v>46286</v>
      </c>
      <c r="C112" s="2" t="s">
        <v>312</v>
      </c>
      <c r="D112" s="2" t="s">
        <v>18</v>
      </c>
      <c r="E112" s="2" t="s">
        <v>313</v>
      </c>
      <c r="F112" s="2" t="s">
        <v>20</v>
      </c>
      <c r="G112" s="2" t="s">
        <v>113</v>
      </c>
      <c r="H112" s="2" t="s">
        <v>156</v>
      </c>
      <c r="I112" s="2" t="s">
        <v>157</v>
      </c>
      <c r="J112" s="3">
        <v>5</v>
      </c>
      <c r="K112" s="2" t="s">
        <v>33</v>
      </c>
      <c r="L112" s="3">
        <v>5</v>
      </c>
      <c r="M112" s="11">
        <v>1370000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46287</v>
      </c>
      <c r="B113" s="1">
        <v>46286</v>
      </c>
      <c r="C113" s="2" t="s">
        <v>314</v>
      </c>
      <c r="D113" s="2" t="s">
        <v>18</v>
      </c>
      <c r="E113" s="2" t="s">
        <v>315</v>
      </c>
      <c r="F113" s="2" t="s">
        <v>44</v>
      </c>
      <c r="G113" s="2" t="s">
        <v>72</v>
      </c>
      <c r="H113" s="2" t="s">
        <v>78</v>
      </c>
      <c r="I113" s="2" t="s">
        <v>79</v>
      </c>
      <c r="J113" s="3">
        <v>2</v>
      </c>
      <c r="K113" s="2" t="s">
        <v>33</v>
      </c>
      <c r="L113" s="3">
        <v>2</v>
      </c>
      <c r="M113" s="11">
        <v>552000</v>
      </c>
      <c r="N113" s="3">
        <v>0</v>
      </c>
      <c r="O113" s="2" t="s">
        <v>25</v>
      </c>
      <c r="P113" s="2" t="s">
        <v>26</v>
      </c>
      <c r="Q113" s="2" t="s">
        <v>316</v>
      </c>
    </row>
    <row r="114" spans="1:17" x14ac:dyDescent="0.25">
      <c r="A114" s="1">
        <v>46287</v>
      </c>
      <c r="B114" s="1">
        <v>46286</v>
      </c>
      <c r="C114" s="2" t="s">
        <v>314</v>
      </c>
      <c r="D114" s="2" t="s">
        <v>18</v>
      </c>
      <c r="E114" s="2" t="s">
        <v>315</v>
      </c>
      <c r="F114" s="2" t="s">
        <v>44</v>
      </c>
      <c r="G114" s="2" t="s">
        <v>72</v>
      </c>
      <c r="H114" s="2" t="s">
        <v>317</v>
      </c>
      <c r="I114" s="2" t="s">
        <v>318</v>
      </c>
      <c r="J114" s="3">
        <v>3</v>
      </c>
      <c r="K114" s="2" t="s">
        <v>40</v>
      </c>
      <c r="L114" s="3">
        <v>3</v>
      </c>
      <c r="M114" s="11">
        <v>123000.01</v>
      </c>
      <c r="N114" s="3">
        <v>0</v>
      </c>
      <c r="O114" s="2" t="s">
        <v>25</v>
      </c>
      <c r="P114" s="2" t="s">
        <v>26</v>
      </c>
      <c r="Q114" s="2" t="s">
        <v>316</v>
      </c>
    </row>
    <row r="115" spans="1:17" x14ac:dyDescent="0.25">
      <c r="A115" s="1">
        <v>46287</v>
      </c>
      <c r="B115" s="1">
        <v>46286</v>
      </c>
      <c r="C115" s="2" t="s">
        <v>319</v>
      </c>
      <c r="D115" s="2" t="s">
        <v>18</v>
      </c>
      <c r="E115" s="2" t="s">
        <v>320</v>
      </c>
      <c r="F115" s="2" t="s">
        <v>20</v>
      </c>
      <c r="G115" s="2" t="s">
        <v>72</v>
      </c>
      <c r="H115" s="2" t="s">
        <v>240</v>
      </c>
      <c r="I115" s="2" t="s">
        <v>241</v>
      </c>
      <c r="J115" s="3">
        <v>30</v>
      </c>
      <c r="K115" s="2" t="s">
        <v>40</v>
      </c>
      <c r="L115" s="3">
        <v>30</v>
      </c>
      <c r="M115" s="11">
        <v>900000.1</v>
      </c>
      <c r="N115" s="3">
        <v>0</v>
      </c>
      <c r="O115" s="2" t="s">
        <v>25</v>
      </c>
      <c r="P115" s="2" t="s">
        <v>26</v>
      </c>
      <c r="Q115" s="2" t="s">
        <v>321</v>
      </c>
    </row>
    <row r="116" spans="1:17" x14ac:dyDescent="0.25">
      <c r="A116" s="1">
        <v>46287</v>
      </c>
      <c r="B116" s="1">
        <v>46286</v>
      </c>
      <c r="C116" s="2" t="s">
        <v>322</v>
      </c>
      <c r="D116" s="2" t="s">
        <v>18</v>
      </c>
      <c r="E116" s="2" t="s">
        <v>323</v>
      </c>
      <c r="F116" s="2" t="s">
        <v>20</v>
      </c>
      <c r="G116" s="2" t="s">
        <v>45</v>
      </c>
      <c r="H116" s="2" t="s">
        <v>46</v>
      </c>
      <c r="I116" s="2" t="s">
        <v>47</v>
      </c>
      <c r="J116" s="3">
        <v>15</v>
      </c>
      <c r="K116" s="2" t="s">
        <v>33</v>
      </c>
      <c r="L116" s="3">
        <v>15</v>
      </c>
      <c r="M116" s="11">
        <v>4350000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46287</v>
      </c>
      <c r="B117" s="1">
        <v>46286</v>
      </c>
      <c r="C117" s="2" t="s">
        <v>324</v>
      </c>
      <c r="D117" s="2" t="s">
        <v>18</v>
      </c>
      <c r="E117" s="2" t="s">
        <v>325</v>
      </c>
      <c r="F117" s="2" t="s">
        <v>20</v>
      </c>
      <c r="G117" s="2" t="s">
        <v>21</v>
      </c>
      <c r="H117" s="2" t="s">
        <v>126</v>
      </c>
      <c r="I117" s="2" t="s">
        <v>127</v>
      </c>
      <c r="J117" s="3">
        <v>24</v>
      </c>
      <c r="K117" s="2" t="s">
        <v>24</v>
      </c>
      <c r="L117" s="3">
        <v>24</v>
      </c>
      <c r="M117" s="11">
        <v>1540800.06</v>
      </c>
      <c r="N117" s="3">
        <v>0</v>
      </c>
      <c r="O117" s="2" t="s">
        <v>25</v>
      </c>
      <c r="P117" s="2" t="s">
        <v>26</v>
      </c>
      <c r="Q117" s="2" t="s">
        <v>34</v>
      </c>
    </row>
    <row r="118" spans="1:17" x14ac:dyDescent="0.25">
      <c r="A118" s="1">
        <v>46287</v>
      </c>
      <c r="B118" s="1">
        <v>46286</v>
      </c>
      <c r="C118" s="2" t="s">
        <v>324</v>
      </c>
      <c r="D118" s="2" t="s">
        <v>18</v>
      </c>
      <c r="E118" s="2" t="s">
        <v>325</v>
      </c>
      <c r="F118" s="2" t="s">
        <v>20</v>
      </c>
      <c r="G118" s="2" t="s">
        <v>21</v>
      </c>
      <c r="H118" s="2" t="s">
        <v>199</v>
      </c>
      <c r="I118" s="2" t="s">
        <v>200</v>
      </c>
      <c r="J118" s="3">
        <v>16</v>
      </c>
      <c r="K118" s="2" t="s">
        <v>24</v>
      </c>
      <c r="L118" s="3">
        <v>16</v>
      </c>
      <c r="M118" s="11">
        <v>1089599.97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46287</v>
      </c>
      <c r="B119" s="1">
        <v>46286</v>
      </c>
      <c r="C119" s="2" t="s">
        <v>326</v>
      </c>
      <c r="D119" s="2" t="s">
        <v>18</v>
      </c>
      <c r="E119" s="2" t="s">
        <v>255</v>
      </c>
      <c r="F119" s="2" t="s">
        <v>20</v>
      </c>
      <c r="G119" s="2" t="s">
        <v>82</v>
      </c>
      <c r="H119" s="2" t="s">
        <v>256</v>
      </c>
      <c r="I119" s="2" t="s">
        <v>257</v>
      </c>
      <c r="J119" s="3">
        <v>80</v>
      </c>
      <c r="K119" s="2" t="s">
        <v>40</v>
      </c>
      <c r="L119" s="3">
        <v>80.5</v>
      </c>
      <c r="M119" s="11">
        <v>8050000</v>
      </c>
      <c r="N119" s="3">
        <v>0.5</v>
      </c>
      <c r="O119" s="2" t="s">
        <v>25</v>
      </c>
      <c r="P119" s="2" t="s">
        <v>26</v>
      </c>
      <c r="Q119" s="2" t="s">
        <v>327</v>
      </c>
    </row>
    <row r="120" spans="1:17" x14ac:dyDescent="0.25">
      <c r="A120" s="1">
        <v>46287</v>
      </c>
      <c r="B120" s="1">
        <v>46286</v>
      </c>
      <c r="C120" s="2" t="s">
        <v>326</v>
      </c>
      <c r="D120" s="2" t="s">
        <v>18</v>
      </c>
      <c r="E120" s="2" t="s">
        <v>255</v>
      </c>
      <c r="F120" s="2" t="s">
        <v>20</v>
      </c>
      <c r="G120" s="2" t="s">
        <v>82</v>
      </c>
      <c r="H120" s="2" t="s">
        <v>328</v>
      </c>
      <c r="I120" s="2" t="s">
        <v>329</v>
      </c>
      <c r="J120" s="3">
        <v>1</v>
      </c>
      <c r="K120" s="2" t="s">
        <v>24</v>
      </c>
      <c r="L120" s="3">
        <v>1</v>
      </c>
      <c r="M120" s="11">
        <v>115000</v>
      </c>
      <c r="N120" s="3">
        <v>0</v>
      </c>
      <c r="O120" s="2" t="s">
        <v>25</v>
      </c>
      <c r="P120" s="2" t="s">
        <v>26</v>
      </c>
      <c r="Q120" s="2" t="s">
        <v>327</v>
      </c>
    </row>
    <row r="121" spans="1:17" x14ac:dyDescent="0.25">
      <c r="A121" s="1">
        <v>46287</v>
      </c>
      <c r="B121" s="1">
        <v>46286</v>
      </c>
      <c r="C121" s="2" t="s">
        <v>330</v>
      </c>
      <c r="D121" s="2" t="s">
        <v>18</v>
      </c>
      <c r="E121" s="2" t="s">
        <v>331</v>
      </c>
      <c r="F121" s="2" t="s">
        <v>20</v>
      </c>
      <c r="G121" s="2" t="s">
        <v>58</v>
      </c>
      <c r="H121" s="2" t="s">
        <v>50</v>
      </c>
      <c r="I121" s="2" t="s">
        <v>51</v>
      </c>
      <c r="J121" s="3">
        <v>2</v>
      </c>
      <c r="K121" s="2" t="s">
        <v>33</v>
      </c>
      <c r="L121" s="3">
        <v>2</v>
      </c>
      <c r="M121" s="11">
        <v>580000</v>
      </c>
      <c r="N121" s="3">
        <v>0</v>
      </c>
      <c r="O121" s="2" t="s">
        <v>25</v>
      </c>
      <c r="P121" s="2" t="s">
        <v>26</v>
      </c>
      <c r="Q121" s="2" t="s">
        <v>332</v>
      </c>
    </row>
    <row r="122" spans="1:17" x14ac:dyDescent="0.25">
      <c r="A122" s="1">
        <v>46287</v>
      </c>
      <c r="B122" s="1">
        <v>46286</v>
      </c>
      <c r="C122" s="2" t="s">
        <v>330</v>
      </c>
      <c r="D122" s="2" t="s">
        <v>18</v>
      </c>
      <c r="E122" s="2" t="s">
        <v>331</v>
      </c>
      <c r="F122" s="2" t="s">
        <v>20</v>
      </c>
      <c r="G122" s="2" t="s">
        <v>58</v>
      </c>
      <c r="H122" s="2" t="s">
        <v>46</v>
      </c>
      <c r="I122" s="2" t="s">
        <v>47</v>
      </c>
      <c r="J122" s="3">
        <v>1</v>
      </c>
      <c r="K122" s="2" t="s">
        <v>33</v>
      </c>
      <c r="L122" s="3">
        <v>1</v>
      </c>
      <c r="M122" s="11">
        <v>310000</v>
      </c>
      <c r="N122" s="3">
        <v>0</v>
      </c>
      <c r="O122" s="2" t="s">
        <v>25</v>
      </c>
      <c r="P122" s="2" t="s">
        <v>26</v>
      </c>
      <c r="Q122" s="2" t="s">
        <v>332</v>
      </c>
    </row>
    <row r="123" spans="1:17" x14ac:dyDescent="0.25">
      <c r="A123" s="1">
        <v>46287</v>
      </c>
      <c r="B123" s="1">
        <v>46286</v>
      </c>
      <c r="C123" s="2" t="s">
        <v>333</v>
      </c>
      <c r="D123" s="2" t="s">
        <v>18</v>
      </c>
      <c r="E123" s="2" t="s">
        <v>255</v>
      </c>
      <c r="F123" s="2" t="s">
        <v>20</v>
      </c>
      <c r="G123" s="2" t="s">
        <v>82</v>
      </c>
      <c r="H123" s="2" t="s">
        <v>50</v>
      </c>
      <c r="I123" s="2" t="s">
        <v>51</v>
      </c>
      <c r="J123" s="3">
        <v>3</v>
      </c>
      <c r="K123" s="2" t="s">
        <v>33</v>
      </c>
      <c r="L123" s="3">
        <v>3</v>
      </c>
      <c r="M123" s="11">
        <v>822000.01</v>
      </c>
      <c r="N123" s="3">
        <v>0</v>
      </c>
      <c r="O123" s="2" t="s">
        <v>25</v>
      </c>
      <c r="P123" s="2" t="s">
        <v>26</v>
      </c>
      <c r="Q123" s="2" t="s">
        <v>334</v>
      </c>
    </row>
    <row r="124" spans="1:17" x14ac:dyDescent="0.25">
      <c r="A124" s="1">
        <v>46287</v>
      </c>
      <c r="B124" s="1">
        <v>46286</v>
      </c>
      <c r="C124" s="2" t="s">
        <v>333</v>
      </c>
      <c r="D124" s="2" t="s">
        <v>18</v>
      </c>
      <c r="E124" s="2" t="s">
        <v>255</v>
      </c>
      <c r="F124" s="2" t="s">
        <v>20</v>
      </c>
      <c r="G124" s="2" t="s">
        <v>82</v>
      </c>
      <c r="H124" s="2" t="s">
        <v>46</v>
      </c>
      <c r="I124" s="2" t="s">
        <v>47</v>
      </c>
      <c r="J124" s="3">
        <v>1</v>
      </c>
      <c r="K124" s="2" t="s">
        <v>33</v>
      </c>
      <c r="L124" s="3">
        <v>1</v>
      </c>
      <c r="M124" s="11">
        <v>278000.01</v>
      </c>
      <c r="N124" s="3">
        <v>0</v>
      </c>
      <c r="O124" s="2" t="s">
        <v>25</v>
      </c>
      <c r="P124" s="2" t="s">
        <v>26</v>
      </c>
      <c r="Q124" s="2" t="s">
        <v>334</v>
      </c>
    </row>
    <row r="125" spans="1:17" x14ac:dyDescent="0.25">
      <c r="A125" s="1">
        <v>46287</v>
      </c>
      <c r="B125" s="1">
        <v>46286</v>
      </c>
      <c r="C125" s="2" t="s">
        <v>335</v>
      </c>
      <c r="D125" s="2" t="s">
        <v>18</v>
      </c>
      <c r="E125" s="2" t="s">
        <v>336</v>
      </c>
      <c r="F125" s="2" t="s">
        <v>44</v>
      </c>
      <c r="G125" s="2" t="s">
        <v>45</v>
      </c>
      <c r="H125" s="2" t="s">
        <v>50</v>
      </c>
      <c r="I125" s="2" t="s">
        <v>51</v>
      </c>
      <c r="J125" s="3">
        <v>2</v>
      </c>
      <c r="K125" s="2" t="s">
        <v>33</v>
      </c>
      <c r="L125" s="3">
        <v>2</v>
      </c>
      <c r="M125" s="11">
        <v>560000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46287</v>
      </c>
      <c r="B126" s="1">
        <v>46286</v>
      </c>
      <c r="C126" s="2" t="s">
        <v>337</v>
      </c>
      <c r="D126" s="2" t="s">
        <v>18</v>
      </c>
      <c r="E126" s="2" t="s">
        <v>338</v>
      </c>
      <c r="F126" s="2" t="s">
        <v>20</v>
      </c>
      <c r="G126" s="2" t="s">
        <v>123</v>
      </c>
      <c r="H126" s="2" t="s">
        <v>339</v>
      </c>
      <c r="I126" s="2" t="s">
        <v>340</v>
      </c>
      <c r="J126" s="3">
        <v>2</v>
      </c>
      <c r="K126" s="2" t="s">
        <v>40</v>
      </c>
      <c r="L126" s="3">
        <v>2</v>
      </c>
      <c r="M126" s="11">
        <v>250000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46287</v>
      </c>
      <c r="B127" s="1">
        <v>46286</v>
      </c>
      <c r="C127" s="2" t="s">
        <v>341</v>
      </c>
      <c r="D127" s="2" t="s">
        <v>18</v>
      </c>
      <c r="E127" s="2" t="s">
        <v>342</v>
      </c>
      <c r="F127" s="2" t="s">
        <v>20</v>
      </c>
      <c r="G127" s="2" t="s">
        <v>45</v>
      </c>
      <c r="H127" s="2" t="s">
        <v>50</v>
      </c>
      <c r="I127" s="2" t="s">
        <v>51</v>
      </c>
      <c r="J127" s="3">
        <v>1</v>
      </c>
      <c r="K127" s="2" t="s">
        <v>33</v>
      </c>
      <c r="L127" s="3">
        <v>1</v>
      </c>
      <c r="M127" s="11">
        <v>300000.01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5">
      <c r="A128" s="1">
        <v>46287</v>
      </c>
      <c r="B128" s="1">
        <v>46286</v>
      </c>
      <c r="C128" s="2" t="s">
        <v>343</v>
      </c>
      <c r="D128" s="2" t="s">
        <v>18</v>
      </c>
      <c r="E128" s="2" t="s">
        <v>285</v>
      </c>
      <c r="F128" s="2" t="s">
        <v>44</v>
      </c>
      <c r="G128" s="2" t="s">
        <v>82</v>
      </c>
      <c r="H128" s="2" t="s">
        <v>317</v>
      </c>
      <c r="I128" s="2" t="s">
        <v>318</v>
      </c>
      <c r="J128" s="3">
        <v>6</v>
      </c>
      <c r="K128" s="2" t="s">
        <v>40</v>
      </c>
      <c r="L128" s="3">
        <v>6</v>
      </c>
      <c r="M128" s="11">
        <v>256410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46287</v>
      </c>
      <c r="B129" s="1">
        <v>46286</v>
      </c>
      <c r="C129" s="2" t="s">
        <v>344</v>
      </c>
      <c r="D129" s="2" t="s">
        <v>18</v>
      </c>
      <c r="E129" s="2" t="s">
        <v>345</v>
      </c>
      <c r="F129" s="2" t="s">
        <v>20</v>
      </c>
      <c r="G129" s="2" t="s">
        <v>123</v>
      </c>
      <c r="H129" s="2" t="s">
        <v>140</v>
      </c>
      <c r="I129" s="2" t="s">
        <v>141</v>
      </c>
      <c r="J129" s="3">
        <v>10</v>
      </c>
      <c r="K129" s="2" t="s">
        <v>40</v>
      </c>
      <c r="L129" s="3">
        <v>6.8</v>
      </c>
      <c r="M129" s="11">
        <v>1326000</v>
      </c>
      <c r="N129" s="3">
        <v>-3.2</v>
      </c>
      <c r="O129" s="2" t="s">
        <v>25</v>
      </c>
      <c r="P129" s="2" t="s">
        <v>26</v>
      </c>
      <c r="Q129" s="2" t="s">
        <v>346</v>
      </c>
    </row>
    <row r="130" spans="1:17" x14ac:dyDescent="0.25">
      <c r="A130" s="1">
        <v>46287</v>
      </c>
      <c r="B130" s="1">
        <v>46286</v>
      </c>
      <c r="C130" s="2" t="s">
        <v>347</v>
      </c>
      <c r="D130" s="2" t="s">
        <v>18</v>
      </c>
      <c r="E130" s="2" t="s">
        <v>348</v>
      </c>
      <c r="F130" s="2" t="s">
        <v>20</v>
      </c>
      <c r="G130" s="2" t="s">
        <v>58</v>
      </c>
      <c r="H130" s="2" t="s">
        <v>50</v>
      </c>
      <c r="I130" s="2" t="s">
        <v>51</v>
      </c>
      <c r="J130" s="3">
        <v>50</v>
      </c>
      <c r="K130" s="2" t="s">
        <v>33</v>
      </c>
      <c r="L130" s="3">
        <v>50</v>
      </c>
      <c r="M130" s="11">
        <v>13899999.98</v>
      </c>
      <c r="N130" s="3">
        <v>0</v>
      </c>
      <c r="O130" s="2" t="s">
        <v>25</v>
      </c>
      <c r="P130" s="2" t="s">
        <v>26</v>
      </c>
      <c r="Q130" s="2" t="s">
        <v>34</v>
      </c>
    </row>
    <row r="131" spans="1:17" x14ac:dyDescent="0.25">
      <c r="A131" s="1">
        <v>46287</v>
      </c>
      <c r="B131" s="1">
        <v>46286</v>
      </c>
      <c r="C131" s="2" t="s">
        <v>349</v>
      </c>
      <c r="D131" s="2" t="s">
        <v>18</v>
      </c>
      <c r="E131" s="2" t="s">
        <v>350</v>
      </c>
      <c r="F131" s="2" t="s">
        <v>44</v>
      </c>
      <c r="G131" s="2" t="s">
        <v>82</v>
      </c>
      <c r="H131" s="2" t="s">
        <v>109</v>
      </c>
      <c r="I131" s="2" t="s">
        <v>110</v>
      </c>
      <c r="J131" s="3">
        <v>4</v>
      </c>
      <c r="K131" s="2" t="s">
        <v>24</v>
      </c>
      <c r="L131" s="3">
        <v>4</v>
      </c>
      <c r="M131" s="11">
        <v>168720</v>
      </c>
      <c r="N131" s="3">
        <v>0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46287</v>
      </c>
      <c r="B132" s="1">
        <v>46286</v>
      </c>
      <c r="C132" s="2" t="s">
        <v>351</v>
      </c>
      <c r="D132" s="2" t="s">
        <v>18</v>
      </c>
      <c r="E132" s="2" t="s">
        <v>352</v>
      </c>
      <c r="F132" s="2" t="s">
        <v>20</v>
      </c>
      <c r="G132" s="2" t="s">
        <v>160</v>
      </c>
      <c r="H132" s="2" t="s">
        <v>83</v>
      </c>
      <c r="I132" s="2" t="s">
        <v>84</v>
      </c>
      <c r="J132" s="3">
        <v>12</v>
      </c>
      <c r="K132" s="2" t="s">
        <v>85</v>
      </c>
      <c r="L132" s="3">
        <v>12</v>
      </c>
      <c r="M132" s="11">
        <v>606060</v>
      </c>
      <c r="N132" s="3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46287</v>
      </c>
      <c r="B133" s="1">
        <v>46286</v>
      </c>
      <c r="C133" s="2" t="s">
        <v>353</v>
      </c>
      <c r="D133" s="2" t="s">
        <v>18</v>
      </c>
      <c r="E133" s="2" t="s">
        <v>354</v>
      </c>
      <c r="F133" s="2" t="s">
        <v>20</v>
      </c>
      <c r="G133" s="2" t="s">
        <v>113</v>
      </c>
      <c r="H133" s="2" t="s">
        <v>46</v>
      </c>
      <c r="I133" s="2" t="s">
        <v>47</v>
      </c>
      <c r="J133" s="3">
        <v>1</v>
      </c>
      <c r="K133" s="2" t="s">
        <v>33</v>
      </c>
      <c r="L133" s="3">
        <v>1</v>
      </c>
      <c r="M133" s="11">
        <v>300000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46287</v>
      </c>
      <c r="B134" s="1">
        <v>46286</v>
      </c>
      <c r="C134" s="2" t="s">
        <v>353</v>
      </c>
      <c r="D134" s="2" t="s">
        <v>18</v>
      </c>
      <c r="E134" s="2" t="s">
        <v>354</v>
      </c>
      <c r="F134" s="2" t="s">
        <v>20</v>
      </c>
      <c r="G134" s="2" t="s">
        <v>113</v>
      </c>
      <c r="H134" s="2" t="s">
        <v>156</v>
      </c>
      <c r="I134" s="2" t="s">
        <v>157</v>
      </c>
      <c r="J134" s="3">
        <v>1</v>
      </c>
      <c r="K134" s="2" t="s">
        <v>33</v>
      </c>
      <c r="L134" s="3">
        <v>1</v>
      </c>
      <c r="M134" s="11">
        <v>295000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46287</v>
      </c>
      <c r="B135" s="1">
        <v>46286</v>
      </c>
      <c r="C135" s="2" t="s">
        <v>355</v>
      </c>
      <c r="D135" s="2" t="s">
        <v>18</v>
      </c>
      <c r="E135" s="2" t="s">
        <v>356</v>
      </c>
      <c r="F135" s="2" t="s">
        <v>20</v>
      </c>
      <c r="G135" s="2" t="s">
        <v>72</v>
      </c>
      <c r="H135" s="2" t="s">
        <v>357</v>
      </c>
      <c r="I135" s="2" t="s">
        <v>358</v>
      </c>
      <c r="J135" s="3">
        <v>6</v>
      </c>
      <c r="K135" s="2" t="s">
        <v>40</v>
      </c>
      <c r="L135" s="3">
        <v>5.93</v>
      </c>
      <c r="M135" s="11">
        <v>800550</v>
      </c>
      <c r="N135" s="3">
        <v>-7.0000000000000007E-2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46287</v>
      </c>
      <c r="B136" s="1">
        <v>46286</v>
      </c>
      <c r="C136" s="2" t="s">
        <v>359</v>
      </c>
      <c r="D136" s="2" t="s">
        <v>18</v>
      </c>
      <c r="E136" s="2" t="s">
        <v>360</v>
      </c>
      <c r="F136" s="2" t="s">
        <v>20</v>
      </c>
      <c r="G136" s="2" t="s">
        <v>123</v>
      </c>
      <c r="H136" s="2" t="s">
        <v>282</v>
      </c>
      <c r="I136" s="2" t="s">
        <v>283</v>
      </c>
      <c r="J136" s="3">
        <v>12</v>
      </c>
      <c r="K136" s="2" t="s">
        <v>85</v>
      </c>
      <c r="L136" s="3">
        <v>12</v>
      </c>
      <c r="M136" s="11">
        <v>539460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46287</v>
      </c>
      <c r="B137" s="1">
        <v>46286</v>
      </c>
      <c r="C137" s="2" t="s">
        <v>359</v>
      </c>
      <c r="D137" s="2" t="s">
        <v>18</v>
      </c>
      <c r="E137" s="2" t="s">
        <v>360</v>
      </c>
      <c r="F137" s="2" t="s">
        <v>20</v>
      </c>
      <c r="G137" s="2" t="s">
        <v>123</v>
      </c>
      <c r="H137" s="2" t="s">
        <v>83</v>
      </c>
      <c r="I137" s="2" t="s">
        <v>84</v>
      </c>
      <c r="J137" s="3">
        <v>24</v>
      </c>
      <c r="K137" s="2" t="s">
        <v>85</v>
      </c>
      <c r="L137" s="3">
        <v>24</v>
      </c>
      <c r="M137" s="11">
        <v>1212120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46287</v>
      </c>
      <c r="B138" s="1">
        <v>46286</v>
      </c>
      <c r="C138" s="2" t="s">
        <v>361</v>
      </c>
      <c r="D138" s="2" t="s">
        <v>18</v>
      </c>
      <c r="E138" s="2" t="s">
        <v>362</v>
      </c>
      <c r="F138" s="2" t="s">
        <v>20</v>
      </c>
      <c r="G138" s="2" t="s">
        <v>30</v>
      </c>
      <c r="H138" s="2" t="s">
        <v>50</v>
      </c>
      <c r="I138" s="2" t="s">
        <v>51</v>
      </c>
      <c r="J138" s="3">
        <v>4</v>
      </c>
      <c r="K138" s="2" t="s">
        <v>33</v>
      </c>
      <c r="L138" s="3">
        <v>4</v>
      </c>
      <c r="M138" s="11">
        <v>1200000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46287</v>
      </c>
      <c r="B139" s="1">
        <v>46286</v>
      </c>
      <c r="C139" s="2" t="s">
        <v>363</v>
      </c>
      <c r="D139" s="2" t="s">
        <v>18</v>
      </c>
      <c r="E139" s="2" t="s">
        <v>364</v>
      </c>
      <c r="F139" s="2" t="s">
        <v>20</v>
      </c>
      <c r="G139" s="2" t="s">
        <v>160</v>
      </c>
      <c r="H139" s="2" t="s">
        <v>50</v>
      </c>
      <c r="I139" s="2" t="s">
        <v>51</v>
      </c>
      <c r="J139" s="3">
        <v>1</v>
      </c>
      <c r="K139" s="2" t="s">
        <v>33</v>
      </c>
      <c r="L139" s="3">
        <v>1</v>
      </c>
      <c r="M139" s="11">
        <v>280000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46287</v>
      </c>
      <c r="B140" s="1">
        <v>46286</v>
      </c>
      <c r="C140" s="2" t="s">
        <v>365</v>
      </c>
      <c r="D140" s="2" t="s">
        <v>18</v>
      </c>
      <c r="E140" s="2" t="s">
        <v>366</v>
      </c>
      <c r="F140" s="2" t="s">
        <v>20</v>
      </c>
      <c r="G140" s="2" t="s">
        <v>113</v>
      </c>
      <c r="H140" s="2" t="s">
        <v>194</v>
      </c>
      <c r="I140" s="2" t="s">
        <v>195</v>
      </c>
      <c r="J140" s="3">
        <v>20</v>
      </c>
      <c r="K140" s="2" t="s">
        <v>40</v>
      </c>
      <c r="L140" s="3">
        <v>20</v>
      </c>
      <c r="M140" s="11">
        <v>725940</v>
      </c>
      <c r="N140" s="3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46287</v>
      </c>
      <c r="B141" s="1">
        <v>46286</v>
      </c>
      <c r="C141" s="2" t="s">
        <v>367</v>
      </c>
      <c r="D141" s="2" t="s">
        <v>18</v>
      </c>
      <c r="E141" s="2" t="s">
        <v>368</v>
      </c>
      <c r="F141" s="2" t="s">
        <v>44</v>
      </c>
      <c r="G141" s="2" t="s">
        <v>123</v>
      </c>
      <c r="H141" s="2" t="s">
        <v>50</v>
      </c>
      <c r="I141" s="2" t="s">
        <v>51</v>
      </c>
      <c r="J141" s="3">
        <v>1</v>
      </c>
      <c r="K141" s="2" t="s">
        <v>33</v>
      </c>
      <c r="L141" s="3">
        <v>1</v>
      </c>
      <c r="M141" s="11">
        <v>320000</v>
      </c>
      <c r="N141" s="3">
        <v>0</v>
      </c>
      <c r="O141" s="2" t="s">
        <v>25</v>
      </c>
      <c r="P141" s="2" t="s">
        <v>26</v>
      </c>
      <c r="Q141" s="2" t="s">
        <v>369</v>
      </c>
    </row>
    <row r="142" spans="1:17" x14ac:dyDescent="0.25">
      <c r="A142" s="1">
        <v>46287</v>
      </c>
      <c r="B142" s="1">
        <v>46286</v>
      </c>
      <c r="C142" s="2" t="s">
        <v>370</v>
      </c>
      <c r="D142" s="2" t="s">
        <v>18</v>
      </c>
      <c r="E142" s="2" t="s">
        <v>368</v>
      </c>
      <c r="F142" s="2" t="s">
        <v>44</v>
      </c>
      <c r="G142" s="2" t="s">
        <v>123</v>
      </c>
      <c r="H142" s="2" t="s">
        <v>256</v>
      </c>
      <c r="I142" s="2" t="s">
        <v>257</v>
      </c>
      <c r="J142" s="3">
        <v>6.9</v>
      </c>
      <c r="K142" s="2" t="s">
        <v>40</v>
      </c>
      <c r="L142" s="3">
        <v>6.9</v>
      </c>
      <c r="M142" s="11">
        <v>745200.02</v>
      </c>
      <c r="N142" s="3">
        <v>0</v>
      </c>
      <c r="O142" s="2" t="s">
        <v>25</v>
      </c>
      <c r="P142" s="2" t="s">
        <v>26</v>
      </c>
      <c r="Q142" s="2" t="s">
        <v>369</v>
      </c>
    </row>
    <row r="143" spans="1:17" x14ac:dyDescent="0.25">
      <c r="A143" s="1">
        <v>46287</v>
      </c>
      <c r="B143" s="1">
        <v>46286</v>
      </c>
      <c r="C143" s="2" t="s">
        <v>371</v>
      </c>
      <c r="D143" s="2" t="s">
        <v>18</v>
      </c>
      <c r="E143" s="2" t="s">
        <v>372</v>
      </c>
      <c r="F143" s="2" t="s">
        <v>20</v>
      </c>
      <c r="G143" s="2" t="s">
        <v>113</v>
      </c>
      <c r="H143" s="2" t="s">
        <v>373</v>
      </c>
      <c r="I143" s="2" t="s">
        <v>374</v>
      </c>
      <c r="J143" s="3">
        <v>30</v>
      </c>
      <c r="K143" s="2" t="s">
        <v>40</v>
      </c>
      <c r="L143" s="3">
        <v>32.6599</v>
      </c>
      <c r="M143" s="11">
        <v>7185200</v>
      </c>
      <c r="N143" s="3">
        <v>2.6598999999999999</v>
      </c>
      <c r="O143" s="2" t="s">
        <v>25</v>
      </c>
      <c r="P143" s="2" t="s">
        <v>26</v>
      </c>
      <c r="Q143" s="2" t="s">
        <v>34</v>
      </c>
    </row>
    <row r="144" spans="1:17" x14ac:dyDescent="0.25">
      <c r="A144" s="1">
        <v>46287</v>
      </c>
      <c r="B144" s="1">
        <v>46286</v>
      </c>
      <c r="C144" s="2" t="s">
        <v>375</v>
      </c>
      <c r="D144" s="2" t="s">
        <v>18</v>
      </c>
      <c r="E144" s="2" t="s">
        <v>376</v>
      </c>
      <c r="F144" s="2" t="s">
        <v>20</v>
      </c>
      <c r="G144" s="2" t="s">
        <v>82</v>
      </c>
      <c r="H144" s="2" t="s">
        <v>194</v>
      </c>
      <c r="I144" s="2" t="s">
        <v>195</v>
      </c>
      <c r="J144" s="3">
        <v>10</v>
      </c>
      <c r="K144" s="2" t="s">
        <v>40</v>
      </c>
      <c r="L144" s="3">
        <v>10</v>
      </c>
      <c r="M144" s="11">
        <v>362970</v>
      </c>
      <c r="N144" s="3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46287</v>
      </c>
      <c r="B145" s="1">
        <v>46286</v>
      </c>
      <c r="C145" s="2" t="s">
        <v>377</v>
      </c>
      <c r="D145" s="2" t="s">
        <v>18</v>
      </c>
      <c r="E145" s="2" t="s">
        <v>378</v>
      </c>
      <c r="F145" s="2" t="s">
        <v>20</v>
      </c>
      <c r="G145" s="2" t="s">
        <v>30</v>
      </c>
      <c r="H145" s="2" t="s">
        <v>379</v>
      </c>
      <c r="I145" s="2" t="s">
        <v>380</v>
      </c>
      <c r="J145" s="3">
        <v>33</v>
      </c>
      <c r="K145" s="2" t="s">
        <v>40</v>
      </c>
      <c r="L145" s="3">
        <v>33.049900000000001</v>
      </c>
      <c r="M145" s="11">
        <v>11567500</v>
      </c>
      <c r="N145" s="3">
        <v>4.99E-2</v>
      </c>
      <c r="O145" s="2" t="s">
        <v>25</v>
      </c>
      <c r="P145" s="2" t="s">
        <v>26</v>
      </c>
      <c r="Q145" s="2" t="s">
        <v>381</v>
      </c>
    </row>
    <row r="146" spans="1:17" x14ac:dyDescent="0.25">
      <c r="A146" s="1">
        <v>46287</v>
      </c>
      <c r="B146" s="1">
        <v>46286</v>
      </c>
      <c r="C146" s="2" t="s">
        <v>377</v>
      </c>
      <c r="D146" s="2" t="s">
        <v>18</v>
      </c>
      <c r="E146" s="2" t="s">
        <v>378</v>
      </c>
      <c r="F146" s="2" t="s">
        <v>20</v>
      </c>
      <c r="G146" s="2" t="s">
        <v>30</v>
      </c>
      <c r="H146" s="2" t="s">
        <v>59</v>
      </c>
      <c r="I146" s="2" t="s">
        <v>60</v>
      </c>
      <c r="J146" s="3">
        <v>15</v>
      </c>
      <c r="K146" s="2" t="s">
        <v>40</v>
      </c>
      <c r="L146" s="3">
        <v>15</v>
      </c>
      <c r="M146" s="11">
        <v>1500000</v>
      </c>
      <c r="N146" s="3">
        <v>0</v>
      </c>
      <c r="O146" s="2" t="s">
        <v>25</v>
      </c>
      <c r="P146" s="2" t="s">
        <v>26</v>
      </c>
      <c r="Q146" s="2" t="s">
        <v>381</v>
      </c>
    </row>
    <row r="147" spans="1:17" x14ac:dyDescent="0.25">
      <c r="A147" s="1">
        <v>46287</v>
      </c>
      <c r="B147" s="1">
        <v>46286</v>
      </c>
      <c r="C147" s="2" t="s">
        <v>382</v>
      </c>
      <c r="D147" s="2" t="s">
        <v>18</v>
      </c>
      <c r="E147" s="2" t="s">
        <v>383</v>
      </c>
      <c r="F147" s="2" t="s">
        <v>20</v>
      </c>
      <c r="G147" s="2" t="s">
        <v>58</v>
      </c>
      <c r="H147" s="2" t="s">
        <v>50</v>
      </c>
      <c r="I147" s="2" t="s">
        <v>51</v>
      </c>
      <c r="J147" s="3">
        <v>1</v>
      </c>
      <c r="K147" s="2" t="s">
        <v>33</v>
      </c>
      <c r="L147" s="3">
        <v>1</v>
      </c>
      <c r="M147" s="11">
        <v>327450</v>
      </c>
      <c r="N147" s="3">
        <v>0</v>
      </c>
      <c r="O147" s="2" t="s">
        <v>25</v>
      </c>
      <c r="P147" s="2" t="s">
        <v>26</v>
      </c>
      <c r="Q147" s="2" t="s">
        <v>34</v>
      </c>
    </row>
    <row r="148" spans="1:17" x14ac:dyDescent="0.25">
      <c r="A148" s="1">
        <v>46287</v>
      </c>
      <c r="B148" s="1">
        <v>46286</v>
      </c>
      <c r="C148" s="2" t="s">
        <v>384</v>
      </c>
      <c r="D148" s="2" t="s">
        <v>18</v>
      </c>
      <c r="E148" s="2" t="s">
        <v>385</v>
      </c>
      <c r="F148" s="2" t="s">
        <v>20</v>
      </c>
      <c r="G148" s="2" t="s">
        <v>113</v>
      </c>
      <c r="H148" s="2" t="s">
        <v>78</v>
      </c>
      <c r="I148" s="2" t="s">
        <v>79</v>
      </c>
      <c r="J148" s="3">
        <v>3</v>
      </c>
      <c r="K148" s="2" t="s">
        <v>33</v>
      </c>
      <c r="L148" s="3">
        <v>3</v>
      </c>
      <c r="M148" s="11">
        <v>870000</v>
      </c>
      <c r="N148" s="3">
        <v>0</v>
      </c>
      <c r="O148" s="2" t="s">
        <v>25</v>
      </c>
      <c r="P148" s="2" t="s">
        <v>26</v>
      </c>
      <c r="Q148" s="2" t="s">
        <v>34</v>
      </c>
    </row>
    <row r="149" spans="1:17" x14ac:dyDescent="0.25">
      <c r="A149" s="1">
        <v>46287</v>
      </c>
      <c r="B149" s="1">
        <v>46286</v>
      </c>
      <c r="C149" s="2" t="s">
        <v>386</v>
      </c>
      <c r="D149" s="2" t="s">
        <v>18</v>
      </c>
      <c r="E149" s="2" t="s">
        <v>387</v>
      </c>
      <c r="F149" s="2" t="s">
        <v>20</v>
      </c>
      <c r="G149" s="2" t="s">
        <v>45</v>
      </c>
      <c r="H149" s="2" t="s">
        <v>156</v>
      </c>
      <c r="I149" s="2" t="s">
        <v>157</v>
      </c>
      <c r="J149" s="3">
        <v>1</v>
      </c>
      <c r="K149" s="2" t="s">
        <v>33</v>
      </c>
      <c r="L149" s="3">
        <v>1</v>
      </c>
      <c r="M149" s="11">
        <v>285000</v>
      </c>
      <c r="N149" s="3">
        <v>0</v>
      </c>
      <c r="O149" s="2" t="s">
        <v>25</v>
      </c>
      <c r="P149" s="2" t="s">
        <v>26</v>
      </c>
      <c r="Q149" s="2" t="s">
        <v>34</v>
      </c>
    </row>
    <row r="150" spans="1:17" x14ac:dyDescent="0.25">
      <c r="A150" s="1">
        <v>46287</v>
      </c>
      <c r="B150" s="1">
        <v>46286</v>
      </c>
      <c r="C150" s="2" t="s">
        <v>388</v>
      </c>
      <c r="D150" s="2" t="s">
        <v>18</v>
      </c>
      <c r="E150" s="2" t="s">
        <v>389</v>
      </c>
      <c r="F150" s="2" t="s">
        <v>20</v>
      </c>
      <c r="G150" s="2" t="s">
        <v>30</v>
      </c>
      <c r="H150" s="2" t="s">
        <v>50</v>
      </c>
      <c r="I150" s="2" t="s">
        <v>51</v>
      </c>
      <c r="J150" s="3">
        <v>1</v>
      </c>
      <c r="K150" s="2" t="s">
        <v>33</v>
      </c>
      <c r="L150" s="3">
        <v>1</v>
      </c>
      <c r="M150" s="11">
        <v>327450</v>
      </c>
      <c r="N150" s="3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46287</v>
      </c>
      <c r="B151" s="1">
        <v>46286</v>
      </c>
      <c r="C151" s="2" t="s">
        <v>390</v>
      </c>
      <c r="D151" s="2" t="s">
        <v>18</v>
      </c>
      <c r="E151" s="2" t="s">
        <v>91</v>
      </c>
      <c r="F151" s="2" t="s">
        <v>20</v>
      </c>
      <c r="G151" s="2" t="s">
        <v>82</v>
      </c>
      <c r="H151" s="2" t="s">
        <v>50</v>
      </c>
      <c r="I151" s="2" t="s">
        <v>51</v>
      </c>
      <c r="J151" s="3">
        <v>1</v>
      </c>
      <c r="K151" s="2" t="s">
        <v>33</v>
      </c>
      <c r="L151" s="3">
        <v>1</v>
      </c>
      <c r="M151" s="11">
        <v>327450</v>
      </c>
      <c r="N151" s="3">
        <v>0</v>
      </c>
      <c r="O151" s="2" t="s">
        <v>25</v>
      </c>
      <c r="P151" s="2" t="s">
        <v>26</v>
      </c>
      <c r="Q151" s="2" t="s">
        <v>34</v>
      </c>
    </row>
    <row r="152" spans="1:17" x14ac:dyDescent="0.25">
      <c r="A152" s="1">
        <v>46287</v>
      </c>
      <c r="B152" s="1">
        <v>46286</v>
      </c>
      <c r="C152" s="2" t="s">
        <v>391</v>
      </c>
      <c r="D152" s="2" t="s">
        <v>18</v>
      </c>
      <c r="E152" s="2" t="s">
        <v>392</v>
      </c>
      <c r="F152" s="2" t="s">
        <v>20</v>
      </c>
      <c r="G152" s="2" t="s">
        <v>30</v>
      </c>
      <c r="H152" s="2" t="s">
        <v>46</v>
      </c>
      <c r="I152" s="2" t="s">
        <v>47</v>
      </c>
      <c r="J152" s="3">
        <v>5</v>
      </c>
      <c r="K152" s="2" t="s">
        <v>33</v>
      </c>
      <c r="L152" s="3">
        <v>5</v>
      </c>
      <c r="M152" s="11">
        <v>1776000</v>
      </c>
      <c r="N152" s="3">
        <v>0</v>
      </c>
      <c r="O152" s="2" t="s">
        <v>25</v>
      </c>
      <c r="P152" s="2" t="s">
        <v>26</v>
      </c>
      <c r="Q152" s="2" t="s">
        <v>393</v>
      </c>
    </row>
    <row r="153" spans="1:17" x14ac:dyDescent="0.25">
      <c r="A153" s="1">
        <v>46287</v>
      </c>
      <c r="B153" s="1">
        <v>46286</v>
      </c>
      <c r="C153" s="2" t="s">
        <v>394</v>
      </c>
      <c r="D153" s="2" t="s">
        <v>18</v>
      </c>
      <c r="E153" s="2" t="s">
        <v>395</v>
      </c>
      <c r="F153" s="2" t="s">
        <v>20</v>
      </c>
      <c r="G153" s="2" t="s">
        <v>37</v>
      </c>
      <c r="H153" s="2" t="s">
        <v>163</v>
      </c>
      <c r="I153" s="2" t="s">
        <v>164</v>
      </c>
      <c r="J153" s="3">
        <v>12</v>
      </c>
      <c r="K153" s="2" t="s">
        <v>85</v>
      </c>
      <c r="L153" s="3">
        <v>12</v>
      </c>
      <c r="M153" s="11">
        <v>606060</v>
      </c>
      <c r="N153" s="3">
        <v>0</v>
      </c>
      <c r="O153" s="2" t="s">
        <v>25</v>
      </c>
      <c r="P153" s="2" t="s">
        <v>26</v>
      </c>
      <c r="Q153" s="2" t="s">
        <v>396</v>
      </c>
    </row>
    <row r="154" spans="1:17" x14ac:dyDescent="0.25">
      <c r="A154" s="1">
        <v>46287</v>
      </c>
      <c r="B154" s="1">
        <v>46286</v>
      </c>
      <c r="C154" s="2" t="s">
        <v>397</v>
      </c>
      <c r="D154" s="2" t="s">
        <v>18</v>
      </c>
      <c r="E154" s="2" t="s">
        <v>398</v>
      </c>
      <c r="F154" s="2" t="s">
        <v>20</v>
      </c>
      <c r="G154" s="2" t="s">
        <v>58</v>
      </c>
      <c r="H154" s="2" t="s">
        <v>83</v>
      </c>
      <c r="I154" s="2" t="s">
        <v>84</v>
      </c>
      <c r="J154" s="3">
        <v>12</v>
      </c>
      <c r="K154" s="2" t="s">
        <v>85</v>
      </c>
      <c r="L154" s="3">
        <v>12</v>
      </c>
      <c r="M154" s="11">
        <v>606060</v>
      </c>
      <c r="N154" s="3">
        <v>0</v>
      </c>
      <c r="O154" s="2" t="s">
        <v>25</v>
      </c>
      <c r="P154" s="2" t="s">
        <v>26</v>
      </c>
      <c r="Q154" s="2" t="s">
        <v>34</v>
      </c>
    </row>
    <row r="155" spans="1:17" x14ac:dyDescent="0.25">
      <c r="A155" s="1">
        <v>46287</v>
      </c>
      <c r="B155" s="1">
        <v>46286</v>
      </c>
      <c r="C155" s="2" t="s">
        <v>399</v>
      </c>
      <c r="D155" s="2" t="s">
        <v>18</v>
      </c>
      <c r="E155" s="2" t="s">
        <v>400</v>
      </c>
      <c r="F155" s="2" t="s">
        <v>20</v>
      </c>
      <c r="G155" s="2" t="s">
        <v>113</v>
      </c>
      <c r="H155" s="2" t="s">
        <v>140</v>
      </c>
      <c r="I155" s="2" t="s">
        <v>141</v>
      </c>
      <c r="J155" s="3">
        <v>4</v>
      </c>
      <c r="K155" s="2" t="s">
        <v>40</v>
      </c>
      <c r="L155" s="3">
        <v>3.66</v>
      </c>
      <c r="M155" s="11">
        <v>713700</v>
      </c>
      <c r="N155" s="3">
        <v>-0.34</v>
      </c>
      <c r="O155" s="2" t="s">
        <v>25</v>
      </c>
      <c r="P155" s="2" t="s">
        <v>26</v>
      </c>
      <c r="Q155" s="2" t="s">
        <v>34</v>
      </c>
    </row>
    <row r="156" spans="1:17" x14ac:dyDescent="0.25">
      <c r="A156" s="1">
        <v>46287</v>
      </c>
      <c r="B156" s="1">
        <v>46286</v>
      </c>
      <c r="C156" s="2" t="s">
        <v>401</v>
      </c>
      <c r="D156" s="2" t="s">
        <v>18</v>
      </c>
      <c r="E156" s="2" t="s">
        <v>402</v>
      </c>
      <c r="F156" s="2" t="s">
        <v>44</v>
      </c>
      <c r="G156" s="2" t="s">
        <v>185</v>
      </c>
      <c r="H156" s="2" t="s">
        <v>403</v>
      </c>
      <c r="I156" s="2" t="s">
        <v>404</v>
      </c>
      <c r="J156" s="3">
        <v>12</v>
      </c>
      <c r="K156" s="2" t="s">
        <v>24</v>
      </c>
      <c r="L156" s="3">
        <v>12</v>
      </c>
      <c r="M156" s="11">
        <v>849599.95</v>
      </c>
      <c r="N156" s="3">
        <v>0</v>
      </c>
      <c r="O156" s="2" t="s">
        <v>25</v>
      </c>
      <c r="P156" s="2" t="s">
        <v>26</v>
      </c>
      <c r="Q156" s="2" t="s">
        <v>405</v>
      </c>
    </row>
    <row r="157" spans="1:17" x14ac:dyDescent="0.25">
      <c r="A157" s="1">
        <v>46287</v>
      </c>
      <c r="B157" s="1">
        <v>46286</v>
      </c>
      <c r="C157" s="2" t="s">
        <v>406</v>
      </c>
      <c r="D157" s="2" t="s">
        <v>18</v>
      </c>
      <c r="E157" s="2" t="s">
        <v>407</v>
      </c>
      <c r="F157" s="2" t="s">
        <v>44</v>
      </c>
      <c r="G157" s="2" t="s">
        <v>198</v>
      </c>
      <c r="H157" s="2" t="s">
        <v>126</v>
      </c>
      <c r="I157" s="2" t="s">
        <v>127</v>
      </c>
      <c r="J157" s="3">
        <v>10</v>
      </c>
      <c r="K157" s="2" t="s">
        <v>24</v>
      </c>
      <c r="L157" s="3">
        <v>10</v>
      </c>
      <c r="M157" s="11">
        <v>642000.03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46287</v>
      </c>
      <c r="B158" s="1">
        <v>46286</v>
      </c>
      <c r="C158" s="2" t="s">
        <v>406</v>
      </c>
      <c r="D158" s="2" t="s">
        <v>18</v>
      </c>
      <c r="E158" s="2" t="s">
        <v>407</v>
      </c>
      <c r="F158" s="2" t="s">
        <v>44</v>
      </c>
      <c r="G158" s="2" t="s">
        <v>198</v>
      </c>
      <c r="H158" s="2" t="s">
        <v>221</v>
      </c>
      <c r="I158" s="2" t="s">
        <v>222</v>
      </c>
      <c r="J158" s="3">
        <v>10</v>
      </c>
      <c r="K158" s="2" t="s">
        <v>24</v>
      </c>
      <c r="L158" s="3">
        <v>10</v>
      </c>
      <c r="M158" s="11">
        <v>541000.01</v>
      </c>
      <c r="N158" s="3">
        <v>0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46287</v>
      </c>
      <c r="B159" s="1">
        <v>46286</v>
      </c>
      <c r="C159" s="2" t="s">
        <v>408</v>
      </c>
      <c r="D159" s="2" t="s">
        <v>18</v>
      </c>
      <c r="E159" s="2" t="s">
        <v>409</v>
      </c>
      <c r="F159" s="2" t="s">
        <v>44</v>
      </c>
      <c r="G159" s="2" t="s">
        <v>198</v>
      </c>
      <c r="H159" s="2" t="s">
        <v>22</v>
      </c>
      <c r="I159" s="2" t="s">
        <v>23</v>
      </c>
      <c r="J159" s="3">
        <v>5</v>
      </c>
      <c r="K159" s="2" t="s">
        <v>24</v>
      </c>
      <c r="L159" s="3">
        <v>5</v>
      </c>
      <c r="M159" s="11">
        <v>525000.03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46287</v>
      </c>
      <c r="B160" s="1">
        <v>46286</v>
      </c>
      <c r="C160" s="2" t="s">
        <v>410</v>
      </c>
      <c r="D160" s="2" t="s">
        <v>18</v>
      </c>
      <c r="E160" s="2" t="s">
        <v>411</v>
      </c>
      <c r="F160" s="2" t="s">
        <v>44</v>
      </c>
      <c r="G160" s="2" t="s">
        <v>198</v>
      </c>
      <c r="H160" s="2" t="s">
        <v>412</v>
      </c>
      <c r="I160" s="2" t="s">
        <v>413</v>
      </c>
      <c r="J160" s="3">
        <v>18</v>
      </c>
      <c r="K160" s="2" t="s">
        <v>414</v>
      </c>
      <c r="L160" s="3">
        <v>18</v>
      </c>
      <c r="M160" s="11">
        <v>1250100.05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46287</v>
      </c>
      <c r="B161" s="1">
        <v>46286</v>
      </c>
      <c r="C161" s="2" t="s">
        <v>415</v>
      </c>
      <c r="D161" s="2" t="s">
        <v>18</v>
      </c>
      <c r="E161" s="2" t="s">
        <v>416</v>
      </c>
      <c r="F161" s="2" t="s">
        <v>20</v>
      </c>
      <c r="G161" s="2" t="s">
        <v>417</v>
      </c>
      <c r="H161" s="2" t="s">
        <v>186</v>
      </c>
      <c r="I161" s="2" t="s">
        <v>187</v>
      </c>
      <c r="J161" s="3">
        <v>30</v>
      </c>
      <c r="K161" s="2" t="s">
        <v>24</v>
      </c>
      <c r="L161" s="3">
        <v>30</v>
      </c>
      <c r="M161" s="11">
        <v>2064600</v>
      </c>
      <c r="N161" s="3">
        <v>0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46287</v>
      </c>
      <c r="B162" s="1">
        <v>46286</v>
      </c>
      <c r="C162" s="2" t="s">
        <v>418</v>
      </c>
      <c r="D162" s="2" t="s">
        <v>18</v>
      </c>
      <c r="E162" s="2" t="s">
        <v>419</v>
      </c>
      <c r="F162" s="2" t="s">
        <v>44</v>
      </c>
      <c r="G162" s="2" t="s">
        <v>185</v>
      </c>
      <c r="H162" s="2" t="s">
        <v>420</v>
      </c>
      <c r="I162" s="2" t="s">
        <v>421</v>
      </c>
      <c r="J162" s="3">
        <v>16</v>
      </c>
      <c r="K162" s="2" t="s">
        <v>24</v>
      </c>
      <c r="L162" s="3">
        <v>16</v>
      </c>
      <c r="M162" s="11">
        <v>1424000</v>
      </c>
      <c r="N162" s="3">
        <v>0</v>
      </c>
      <c r="O162" s="2" t="s">
        <v>25</v>
      </c>
      <c r="P162" s="2" t="s">
        <v>26</v>
      </c>
      <c r="Q162" s="2" t="s">
        <v>34</v>
      </c>
    </row>
    <row r="163" spans="1:17" x14ac:dyDescent="0.25">
      <c r="A163" s="1">
        <v>46287</v>
      </c>
      <c r="B163" s="1">
        <v>46286</v>
      </c>
      <c r="C163" s="2" t="s">
        <v>418</v>
      </c>
      <c r="D163" s="2" t="s">
        <v>18</v>
      </c>
      <c r="E163" s="2" t="s">
        <v>419</v>
      </c>
      <c r="F163" s="2" t="s">
        <v>44</v>
      </c>
      <c r="G163" s="2" t="s">
        <v>185</v>
      </c>
      <c r="H163" s="2" t="s">
        <v>22</v>
      </c>
      <c r="I163" s="2" t="s">
        <v>23</v>
      </c>
      <c r="J163" s="3">
        <v>64</v>
      </c>
      <c r="K163" s="2" t="s">
        <v>24</v>
      </c>
      <c r="L163" s="3">
        <v>64</v>
      </c>
      <c r="M163" s="11">
        <v>6720000.3799999999</v>
      </c>
      <c r="N163" s="3">
        <v>0</v>
      </c>
      <c r="O163" s="2" t="s">
        <v>25</v>
      </c>
      <c r="P163" s="2" t="s">
        <v>26</v>
      </c>
      <c r="Q163" s="2" t="s">
        <v>34</v>
      </c>
    </row>
    <row r="164" spans="1:17" x14ac:dyDescent="0.25">
      <c r="A164" s="1">
        <v>46287</v>
      </c>
      <c r="B164" s="1">
        <v>46286</v>
      </c>
      <c r="C164" s="2" t="s">
        <v>422</v>
      </c>
      <c r="D164" s="2" t="s">
        <v>18</v>
      </c>
      <c r="E164" s="2" t="s">
        <v>423</v>
      </c>
      <c r="F164" s="2" t="s">
        <v>20</v>
      </c>
      <c r="G164" s="2" t="s">
        <v>113</v>
      </c>
      <c r="H164" s="2" t="s">
        <v>424</v>
      </c>
      <c r="I164" s="2" t="s">
        <v>425</v>
      </c>
      <c r="J164" s="3">
        <v>4</v>
      </c>
      <c r="K164" s="2" t="s">
        <v>33</v>
      </c>
      <c r="L164" s="3">
        <v>4</v>
      </c>
      <c r="M164" s="11">
        <v>983999.99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5">
      <c r="A165" s="1">
        <v>46287</v>
      </c>
      <c r="B165" s="1">
        <v>46286</v>
      </c>
      <c r="C165" s="2" t="s">
        <v>426</v>
      </c>
      <c r="D165" s="2" t="s">
        <v>18</v>
      </c>
      <c r="E165" s="2" t="s">
        <v>423</v>
      </c>
      <c r="F165" s="2" t="s">
        <v>20</v>
      </c>
      <c r="G165" s="2" t="s">
        <v>113</v>
      </c>
      <c r="H165" s="2" t="s">
        <v>256</v>
      </c>
      <c r="I165" s="2" t="s">
        <v>257</v>
      </c>
      <c r="J165" s="3">
        <v>11.5</v>
      </c>
      <c r="K165" s="2" t="s">
        <v>40</v>
      </c>
      <c r="L165" s="3">
        <v>11.5</v>
      </c>
      <c r="M165" s="11">
        <v>1150000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46287</v>
      </c>
      <c r="B166" s="1">
        <v>46286</v>
      </c>
      <c r="C166" s="2" t="s">
        <v>427</v>
      </c>
      <c r="D166" s="2" t="s">
        <v>18</v>
      </c>
      <c r="E166" s="2" t="s">
        <v>428</v>
      </c>
      <c r="F166" s="2" t="s">
        <v>20</v>
      </c>
      <c r="G166" s="2" t="s">
        <v>21</v>
      </c>
      <c r="H166" s="2" t="s">
        <v>199</v>
      </c>
      <c r="I166" s="2" t="s">
        <v>200</v>
      </c>
      <c r="J166" s="3">
        <v>16</v>
      </c>
      <c r="K166" s="2" t="s">
        <v>24</v>
      </c>
      <c r="L166" s="3">
        <v>16</v>
      </c>
      <c r="M166" s="11">
        <v>1089599.98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46287</v>
      </c>
      <c r="B167" s="1">
        <v>46286</v>
      </c>
      <c r="C167" s="2" t="s">
        <v>427</v>
      </c>
      <c r="D167" s="2" t="s">
        <v>18</v>
      </c>
      <c r="E167" s="2" t="s">
        <v>428</v>
      </c>
      <c r="F167" s="2" t="s">
        <v>20</v>
      </c>
      <c r="G167" s="2" t="s">
        <v>21</v>
      </c>
      <c r="H167" s="2" t="s">
        <v>303</v>
      </c>
      <c r="I167" s="2" t="s">
        <v>304</v>
      </c>
      <c r="J167" s="3">
        <v>12</v>
      </c>
      <c r="K167" s="2" t="s">
        <v>24</v>
      </c>
      <c r="L167" s="3">
        <v>12</v>
      </c>
      <c r="M167" s="11">
        <v>613200.05000000005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5">
      <c r="A168" s="1">
        <v>46287</v>
      </c>
      <c r="B168" s="1">
        <v>46286</v>
      </c>
      <c r="C168" s="2" t="s">
        <v>429</v>
      </c>
      <c r="D168" s="2" t="s">
        <v>18</v>
      </c>
      <c r="E168" s="2" t="s">
        <v>430</v>
      </c>
      <c r="F168" s="2" t="s">
        <v>20</v>
      </c>
      <c r="G168" s="2" t="s">
        <v>113</v>
      </c>
      <c r="H168" s="2" t="s">
        <v>50</v>
      </c>
      <c r="I168" s="2" t="s">
        <v>51</v>
      </c>
      <c r="J168" s="3">
        <v>1</v>
      </c>
      <c r="K168" s="2" t="s">
        <v>33</v>
      </c>
      <c r="L168" s="3">
        <v>1</v>
      </c>
      <c r="M168" s="11">
        <v>300000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46287</v>
      </c>
      <c r="B169" s="1">
        <v>46286</v>
      </c>
      <c r="C169" s="2" t="s">
        <v>429</v>
      </c>
      <c r="D169" s="2" t="s">
        <v>18</v>
      </c>
      <c r="E169" s="2" t="s">
        <v>430</v>
      </c>
      <c r="F169" s="2" t="s">
        <v>20</v>
      </c>
      <c r="G169" s="2" t="s">
        <v>113</v>
      </c>
      <c r="H169" s="2" t="s">
        <v>46</v>
      </c>
      <c r="I169" s="2" t="s">
        <v>47</v>
      </c>
      <c r="J169" s="3">
        <v>1</v>
      </c>
      <c r="K169" s="2" t="s">
        <v>33</v>
      </c>
      <c r="L169" s="3">
        <v>1</v>
      </c>
      <c r="M169" s="11">
        <v>304999.99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46287</v>
      </c>
      <c r="B170" s="1">
        <v>46286</v>
      </c>
      <c r="C170" s="2" t="s">
        <v>431</v>
      </c>
      <c r="D170" s="2" t="s">
        <v>18</v>
      </c>
      <c r="E170" s="2" t="s">
        <v>432</v>
      </c>
      <c r="F170" s="2" t="s">
        <v>20</v>
      </c>
      <c r="G170" s="2" t="s">
        <v>113</v>
      </c>
      <c r="H170" s="2" t="s">
        <v>50</v>
      </c>
      <c r="I170" s="2" t="s">
        <v>51</v>
      </c>
      <c r="J170" s="3">
        <v>1</v>
      </c>
      <c r="K170" s="2" t="s">
        <v>33</v>
      </c>
      <c r="L170" s="3">
        <v>1</v>
      </c>
      <c r="M170" s="11">
        <v>280000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46287</v>
      </c>
      <c r="B171" s="1">
        <v>46286</v>
      </c>
      <c r="C171" s="2" t="s">
        <v>433</v>
      </c>
      <c r="D171" s="2" t="s">
        <v>18</v>
      </c>
      <c r="E171" s="2" t="s">
        <v>434</v>
      </c>
      <c r="F171" s="2" t="s">
        <v>44</v>
      </c>
      <c r="G171" s="2" t="s">
        <v>82</v>
      </c>
      <c r="H171" s="2" t="s">
        <v>83</v>
      </c>
      <c r="I171" s="2" t="s">
        <v>84</v>
      </c>
      <c r="J171" s="3">
        <v>8</v>
      </c>
      <c r="K171" s="2" t="s">
        <v>85</v>
      </c>
      <c r="L171" s="3">
        <v>8</v>
      </c>
      <c r="M171" s="11">
        <v>404040</v>
      </c>
      <c r="N171" s="3">
        <v>0</v>
      </c>
      <c r="O171" s="2" t="s">
        <v>25</v>
      </c>
      <c r="P171" s="2" t="s">
        <v>26</v>
      </c>
      <c r="Q171" s="2" t="s">
        <v>435</v>
      </c>
    </row>
    <row r="172" spans="1:17" x14ac:dyDescent="0.25">
      <c r="A172" s="1">
        <v>46287</v>
      </c>
      <c r="B172" s="1">
        <v>46286</v>
      </c>
      <c r="C172" s="2" t="s">
        <v>433</v>
      </c>
      <c r="D172" s="2" t="s">
        <v>18</v>
      </c>
      <c r="E172" s="2" t="s">
        <v>434</v>
      </c>
      <c r="F172" s="2" t="s">
        <v>44</v>
      </c>
      <c r="G172" s="2" t="s">
        <v>82</v>
      </c>
      <c r="H172" s="2" t="s">
        <v>109</v>
      </c>
      <c r="I172" s="2" t="s">
        <v>110</v>
      </c>
      <c r="J172" s="3">
        <v>4</v>
      </c>
      <c r="K172" s="2" t="s">
        <v>24</v>
      </c>
      <c r="L172" s="3">
        <v>4</v>
      </c>
      <c r="M172" s="11">
        <v>168720</v>
      </c>
      <c r="N172" s="3">
        <v>0</v>
      </c>
      <c r="O172" s="2" t="s">
        <v>25</v>
      </c>
      <c r="P172" s="2" t="s">
        <v>26</v>
      </c>
      <c r="Q172" s="2" t="s">
        <v>435</v>
      </c>
    </row>
    <row r="173" spans="1:17" x14ac:dyDescent="0.25">
      <c r="A173" s="1">
        <v>46287</v>
      </c>
      <c r="B173" s="1">
        <v>46286</v>
      </c>
      <c r="C173" s="2" t="s">
        <v>436</v>
      </c>
      <c r="D173" s="2" t="s">
        <v>18</v>
      </c>
      <c r="E173" s="2" t="s">
        <v>437</v>
      </c>
      <c r="F173" s="2" t="s">
        <v>44</v>
      </c>
      <c r="G173" s="2" t="s">
        <v>182</v>
      </c>
      <c r="H173" s="2" t="s">
        <v>227</v>
      </c>
      <c r="I173" s="2" t="s">
        <v>228</v>
      </c>
      <c r="J173" s="3">
        <v>50</v>
      </c>
      <c r="K173" s="2" t="s">
        <v>40</v>
      </c>
      <c r="L173" s="3">
        <v>50</v>
      </c>
      <c r="M173" s="11">
        <v>799999.76</v>
      </c>
      <c r="N173" s="3">
        <v>0</v>
      </c>
      <c r="O173" s="2" t="s">
        <v>25</v>
      </c>
      <c r="P173" s="2" t="s">
        <v>26</v>
      </c>
      <c r="Q173" s="2" t="s">
        <v>34</v>
      </c>
    </row>
    <row r="174" spans="1:17" x14ac:dyDescent="0.25">
      <c r="A174" s="1">
        <v>46287</v>
      </c>
      <c r="B174" s="1">
        <v>46286</v>
      </c>
      <c r="C174" s="2" t="s">
        <v>438</v>
      </c>
      <c r="D174" s="2" t="s">
        <v>18</v>
      </c>
      <c r="E174" s="2" t="s">
        <v>439</v>
      </c>
      <c r="F174" s="2" t="s">
        <v>20</v>
      </c>
      <c r="G174" s="2" t="s">
        <v>58</v>
      </c>
      <c r="H174" s="2" t="s">
        <v>46</v>
      </c>
      <c r="I174" s="2" t="s">
        <v>47</v>
      </c>
      <c r="J174" s="3">
        <v>10</v>
      </c>
      <c r="K174" s="2" t="s">
        <v>33</v>
      </c>
      <c r="L174" s="3">
        <v>10</v>
      </c>
      <c r="M174" s="11">
        <v>3400000</v>
      </c>
      <c r="N174" s="3">
        <v>0</v>
      </c>
      <c r="O174" s="2" t="s">
        <v>25</v>
      </c>
      <c r="P174" s="2" t="s">
        <v>26</v>
      </c>
      <c r="Q174" s="2" t="s">
        <v>34</v>
      </c>
    </row>
    <row r="175" spans="1:17" x14ac:dyDescent="0.25">
      <c r="A175" s="1">
        <v>46287</v>
      </c>
      <c r="B175" s="1">
        <v>46286</v>
      </c>
      <c r="C175" s="2" t="s">
        <v>438</v>
      </c>
      <c r="D175" s="2" t="s">
        <v>18</v>
      </c>
      <c r="E175" s="2" t="s">
        <v>439</v>
      </c>
      <c r="F175" s="2" t="s">
        <v>20</v>
      </c>
      <c r="G175" s="2" t="s">
        <v>58</v>
      </c>
      <c r="H175" s="2" t="s">
        <v>50</v>
      </c>
      <c r="I175" s="2" t="s">
        <v>51</v>
      </c>
      <c r="J175" s="3">
        <v>4</v>
      </c>
      <c r="K175" s="2" t="s">
        <v>33</v>
      </c>
      <c r="L175" s="3">
        <v>4</v>
      </c>
      <c r="M175" s="11">
        <v>1300000</v>
      </c>
      <c r="N175" s="3">
        <v>0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46287</v>
      </c>
      <c r="B176" s="1">
        <v>46286</v>
      </c>
      <c r="C176" s="2" t="s">
        <v>440</v>
      </c>
      <c r="D176" s="2" t="s">
        <v>18</v>
      </c>
      <c r="E176" s="2" t="s">
        <v>441</v>
      </c>
      <c r="F176" s="2" t="s">
        <v>20</v>
      </c>
      <c r="G176" s="2" t="s">
        <v>160</v>
      </c>
      <c r="H176" s="2" t="s">
        <v>373</v>
      </c>
      <c r="I176" s="2" t="s">
        <v>374</v>
      </c>
      <c r="J176" s="3">
        <v>9</v>
      </c>
      <c r="K176" s="2" t="s">
        <v>40</v>
      </c>
      <c r="L176" s="3">
        <v>8.6098999999999997</v>
      </c>
      <c r="M176" s="11">
        <v>2066400</v>
      </c>
      <c r="N176" s="3">
        <v>-0.3901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46287</v>
      </c>
      <c r="B177" s="1">
        <v>46286</v>
      </c>
      <c r="C177" s="2" t="s">
        <v>442</v>
      </c>
      <c r="D177" s="2" t="s">
        <v>18</v>
      </c>
      <c r="E177" s="2" t="s">
        <v>443</v>
      </c>
      <c r="F177" s="2" t="s">
        <v>20</v>
      </c>
      <c r="G177" s="2" t="s">
        <v>113</v>
      </c>
      <c r="H177" s="2" t="s">
        <v>444</v>
      </c>
      <c r="I177" s="2" t="s">
        <v>445</v>
      </c>
      <c r="J177" s="3">
        <v>1</v>
      </c>
      <c r="K177" s="2" t="s">
        <v>279</v>
      </c>
      <c r="L177" s="3">
        <v>1</v>
      </c>
      <c r="M177" s="11">
        <v>13320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46287</v>
      </c>
      <c r="B178" s="1">
        <v>46286</v>
      </c>
      <c r="C178" s="2" t="s">
        <v>446</v>
      </c>
      <c r="D178" s="2" t="s">
        <v>18</v>
      </c>
      <c r="E178" s="2" t="s">
        <v>447</v>
      </c>
      <c r="F178" s="2" t="s">
        <v>44</v>
      </c>
      <c r="G178" s="2" t="s">
        <v>58</v>
      </c>
      <c r="H178" s="2" t="s">
        <v>424</v>
      </c>
      <c r="I178" s="2" t="s">
        <v>425</v>
      </c>
      <c r="J178" s="3">
        <v>1</v>
      </c>
      <c r="K178" s="2" t="s">
        <v>33</v>
      </c>
      <c r="L178" s="3">
        <v>1</v>
      </c>
      <c r="M178" s="11">
        <v>255300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46287</v>
      </c>
      <c r="B179" s="1">
        <v>46286</v>
      </c>
      <c r="C179" s="2" t="s">
        <v>448</v>
      </c>
      <c r="D179" s="2" t="s">
        <v>18</v>
      </c>
      <c r="E179" s="2" t="s">
        <v>441</v>
      </c>
      <c r="F179" s="2" t="s">
        <v>20</v>
      </c>
      <c r="G179" s="2" t="s">
        <v>160</v>
      </c>
      <c r="H179" s="2" t="s">
        <v>83</v>
      </c>
      <c r="I179" s="2" t="s">
        <v>84</v>
      </c>
      <c r="J179" s="3">
        <v>3</v>
      </c>
      <c r="K179" s="2" t="s">
        <v>85</v>
      </c>
      <c r="L179" s="3">
        <v>3</v>
      </c>
      <c r="M179" s="11">
        <v>151515</v>
      </c>
      <c r="N179" s="3">
        <v>0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46287</v>
      </c>
      <c r="B180" s="1">
        <v>46286</v>
      </c>
      <c r="C180" s="2" t="s">
        <v>449</v>
      </c>
      <c r="D180" s="2" t="s">
        <v>18</v>
      </c>
      <c r="E180" s="2" t="s">
        <v>450</v>
      </c>
      <c r="F180" s="2" t="s">
        <v>20</v>
      </c>
      <c r="G180" s="2" t="s">
        <v>160</v>
      </c>
      <c r="H180" s="2" t="s">
        <v>53</v>
      </c>
      <c r="I180" s="2" t="s">
        <v>54</v>
      </c>
      <c r="J180" s="3">
        <v>3</v>
      </c>
      <c r="K180" s="2" t="s">
        <v>40</v>
      </c>
      <c r="L180" s="3">
        <v>3.25</v>
      </c>
      <c r="M180" s="11">
        <v>438750</v>
      </c>
      <c r="N180" s="3">
        <v>0.25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46287</v>
      </c>
      <c r="B181" s="1">
        <v>46286</v>
      </c>
      <c r="C181" s="2" t="s">
        <v>451</v>
      </c>
      <c r="D181" s="2" t="s">
        <v>18</v>
      </c>
      <c r="E181" s="2" t="s">
        <v>452</v>
      </c>
      <c r="F181" s="2" t="s">
        <v>20</v>
      </c>
      <c r="G181" s="2" t="s">
        <v>198</v>
      </c>
      <c r="H181" s="2" t="s">
        <v>126</v>
      </c>
      <c r="I181" s="2" t="s">
        <v>127</v>
      </c>
      <c r="J181" s="3">
        <v>2</v>
      </c>
      <c r="K181" s="2" t="s">
        <v>24</v>
      </c>
      <c r="L181" s="3">
        <v>2</v>
      </c>
      <c r="M181" s="11">
        <v>140970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46287</v>
      </c>
      <c r="B182" s="1">
        <v>46286</v>
      </c>
      <c r="C182" s="2" t="s">
        <v>451</v>
      </c>
      <c r="D182" s="2" t="s">
        <v>18</v>
      </c>
      <c r="E182" s="2" t="s">
        <v>452</v>
      </c>
      <c r="F182" s="2" t="s">
        <v>20</v>
      </c>
      <c r="G182" s="2" t="s">
        <v>198</v>
      </c>
      <c r="H182" s="2" t="s">
        <v>303</v>
      </c>
      <c r="I182" s="2" t="s">
        <v>304</v>
      </c>
      <c r="J182" s="3">
        <v>6</v>
      </c>
      <c r="K182" s="2" t="s">
        <v>24</v>
      </c>
      <c r="L182" s="3">
        <v>6</v>
      </c>
      <c r="M182" s="11">
        <v>336330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46287</v>
      </c>
      <c r="B183" s="1">
        <v>46286</v>
      </c>
      <c r="C183" s="2" t="s">
        <v>453</v>
      </c>
      <c r="D183" s="2" t="s">
        <v>18</v>
      </c>
      <c r="E183" s="2" t="s">
        <v>454</v>
      </c>
      <c r="F183" s="2" t="s">
        <v>44</v>
      </c>
      <c r="G183" s="2" t="s">
        <v>77</v>
      </c>
      <c r="H183" s="2" t="s">
        <v>78</v>
      </c>
      <c r="I183" s="2" t="s">
        <v>79</v>
      </c>
      <c r="J183" s="3">
        <v>2</v>
      </c>
      <c r="K183" s="2" t="s">
        <v>33</v>
      </c>
      <c r="L183" s="3">
        <v>2</v>
      </c>
      <c r="M183" s="11">
        <v>570000.01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46287</v>
      </c>
      <c r="B184" s="1">
        <v>46286</v>
      </c>
      <c r="C184" s="2" t="s">
        <v>456</v>
      </c>
      <c r="D184" s="2" t="s">
        <v>18</v>
      </c>
      <c r="E184" s="2" t="s">
        <v>457</v>
      </c>
      <c r="F184" s="2" t="s">
        <v>20</v>
      </c>
      <c r="G184" s="2" t="s">
        <v>45</v>
      </c>
      <c r="H184" s="2" t="s">
        <v>50</v>
      </c>
      <c r="I184" s="2" t="s">
        <v>51</v>
      </c>
      <c r="J184" s="3">
        <v>6</v>
      </c>
      <c r="K184" s="2" t="s">
        <v>33</v>
      </c>
      <c r="L184" s="3">
        <v>6</v>
      </c>
      <c r="M184" s="11">
        <v>1800000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46287</v>
      </c>
      <c r="B185" s="1">
        <v>46286</v>
      </c>
      <c r="C185" s="2" t="s">
        <v>458</v>
      </c>
      <c r="D185" s="2" t="s">
        <v>18</v>
      </c>
      <c r="E185" s="2" t="s">
        <v>459</v>
      </c>
      <c r="F185" s="2" t="s">
        <v>20</v>
      </c>
      <c r="G185" s="2" t="s">
        <v>77</v>
      </c>
      <c r="H185" s="2" t="s">
        <v>256</v>
      </c>
      <c r="I185" s="2" t="s">
        <v>257</v>
      </c>
      <c r="J185" s="3">
        <v>101.2</v>
      </c>
      <c r="K185" s="2" t="s">
        <v>40</v>
      </c>
      <c r="L185" s="3">
        <v>101.2</v>
      </c>
      <c r="M185" s="11">
        <v>11039988.960000001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46287</v>
      </c>
      <c r="B186" s="1">
        <v>46286</v>
      </c>
      <c r="C186" s="2" t="s">
        <v>460</v>
      </c>
      <c r="D186" s="2" t="s">
        <v>18</v>
      </c>
      <c r="E186" s="2" t="s">
        <v>372</v>
      </c>
      <c r="F186" s="2" t="s">
        <v>20</v>
      </c>
      <c r="G186" s="2" t="s">
        <v>113</v>
      </c>
      <c r="H186" s="2" t="s">
        <v>282</v>
      </c>
      <c r="I186" s="2" t="s">
        <v>283</v>
      </c>
      <c r="J186" s="3">
        <v>8</v>
      </c>
      <c r="K186" s="2" t="s">
        <v>85</v>
      </c>
      <c r="L186" s="3">
        <v>8</v>
      </c>
      <c r="M186" s="11">
        <v>359640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46287</v>
      </c>
      <c r="B187" s="1">
        <v>46286</v>
      </c>
      <c r="C187" s="2" t="s">
        <v>460</v>
      </c>
      <c r="D187" s="2" t="s">
        <v>18</v>
      </c>
      <c r="E187" s="2" t="s">
        <v>372</v>
      </c>
      <c r="F187" s="2" t="s">
        <v>20</v>
      </c>
      <c r="G187" s="2" t="s">
        <v>113</v>
      </c>
      <c r="H187" s="2" t="s">
        <v>163</v>
      </c>
      <c r="I187" s="2" t="s">
        <v>164</v>
      </c>
      <c r="J187" s="3">
        <v>5</v>
      </c>
      <c r="K187" s="2" t="s">
        <v>85</v>
      </c>
      <c r="L187" s="3">
        <v>5</v>
      </c>
      <c r="M187" s="11">
        <v>252525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46287</v>
      </c>
      <c r="B188" s="1">
        <v>46286</v>
      </c>
      <c r="C188" s="2" t="s">
        <v>460</v>
      </c>
      <c r="D188" s="2" t="s">
        <v>18</v>
      </c>
      <c r="E188" s="2" t="s">
        <v>372</v>
      </c>
      <c r="F188" s="2" t="s">
        <v>20</v>
      </c>
      <c r="G188" s="2" t="s">
        <v>113</v>
      </c>
      <c r="H188" s="2" t="s">
        <v>83</v>
      </c>
      <c r="I188" s="2" t="s">
        <v>84</v>
      </c>
      <c r="J188" s="3">
        <v>5</v>
      </c>
      <c r="K188" s="2" t="s">
        <v>85</v>
      </c>
      <c r="L188" s="3">
        <v>5</v>
      </c>
      <c r="M188" s="11">
        <v>252525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46287</v>
      </c>
      <c r="B189" s="1">
        <v>46286</v>
      </c>
      <c r="C189" s="2" t="s">
        <v>461</v>
      </c>
      <c r="D189" s="2" t="s">
        <v>18</v>
      </c>
      <c r="E189" s="2" t="s">
        <v>462</v>
      </c>
      <c r="F189" s="2" t="s">
        <v>20</v>
      </c>
      <c r="G189" s="2" t="s">
        <v>160</v>
      </c>
      <c r="H189" s="2" t="s">
        <v>163</v>
      </c>
      <c r="I189" s="2" t="s">
        <v>164</v>
      </c>
      <c r="J189" s="3">
        <v>12</v>
      </c>
      <c r="K189" s="2" t="s">
        <v>85</v>
      </c>
      <c r="L189" s="3">
        <v>12</v>
      </c>
      <c r="M189" s="11">
        <v>606060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46287</v>
      </c>
      <c r="B190" s="1">
        <v>46286</v>
      </c>
      <c r="C190" s="2" t="s">
        <v>461</v>
      </c>
      <c r="D190" s="2" t="s">
        <v>18</v>
      </c>
      <c r="E190" s="2" t="s">
        <v>462</v>
      </c>
      <c r="F190" s="2" t="s">
        <v>20</v>
      </c>
      <c r="G190" s="2" t="s">
        <v>160</v>
      </c>
      <c r="H190" s="2" t="s">
        <v>83</v>
      </c>
      <c r="I190" s="2" t="s">
        <v>84</v>
      </c>
      <c r="J190" s="3">
        <v>12</v>
      </c>
      <c r="K190" s="2" t="s">
        <v>85</v>
      </c>
      <c r="L190" s="3">
        <v>12</v>
      </c>
      <c r="M190" s="11">
        <v>606060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46287</v>
      </c>
      <c r="B191" s="1">
        <v>46286</v>
      </c>
      <c r="C191" s="2" t="s">
        <v>463</v>
      </c>
      <c r="D191" s="2" t="s">
        <v>18</v>
      </c>
      <c r="E191" s="2" t="s">
        <v>464</v>
      </c>
      <c r="F191" s="2" t="s">
        <v>20</v>
      </c>
      <c r="G191" s="2" t="s">
        <v>37</v>
      </c>
      <c r="H191" s="2" t="s">
        <v>465</v>
      </c>
      <c r="I191" s="2" t="s">
        <v>466</v>
      </c>
      <c r="J191" s="3">
        <v>20</v>
      </c>
      <c r="K191" s="2" t="s">
        <v>40</v>
      </c>
      <c r="L191" s="3">
        <v>18.52</v>
      </c>
      <c r="M191" s="11">
        <v>2926160</v>
      </c>
      <c r="N191" s="3">
        <v>-1.48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46287</v>
      </c>
      <c r="B192" s="1">
        <v>46286</v>
      </c>
      <c r="C192" s="2" t="s">
        <v>467</v>
      </c>
      <c r="D192" s="2" t="s">
        <v>18</v>
      </c>
      <c r="E192" s="2" t="s">
        <v>468</v>
      </c>
      <c r="F192" s="2" t="s">
        <v>20</v>
      </c>
      <c r="G192" s="2" t="s">
        <v>113</v>
      </c>
      <c r="H192" s="2" t="s">
        <v>50</v>
      </c>
      <c r="I192" s="2" t="s">
        <v>51</v>
      </c>
      <c r="J192" s="3">
        <v>2</v>
      </c>
      <c r="K192" s="2" t="s">
        <v>33</v>
      </c>
      <c r="L192" s="3">
        <v>2</v>
      </c>
      <c r="M192" s="11">
        <v>654900</v>
      </c>
      <c r="N192" s="3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46287</v>
      </c>
      <c r="B193" s="1">
        <v>46286</v>
      </c>
      <c r="C193" s="2" t="s">
        <v>471</v>
      </c>
      <c r="D193" s="2" t="s">
        <v>18</v>
      </c>
      <c r="E193" s="2" t="s">
        <v>469</v>
      </c>
      <c r="F193" s="2" t="s">
        <v>44</v>
      </c>
      <c r="G193" s="2" t="s">
        <v>182</v>
      </c>
      <c r="H193" s="2" t="s">
        <v>256</v>
      </c>
      <c r="I193" s="2" t="s">
        <v>257</v>
      </c>
      <c r="J193" s="3">
        <v>9.1998999999999995</v>
      </c>
      <c r="K193" s="2" t="s">
        <v>40</v>
      </c>
      <c r="L193" s="3">
        <v>9.1998999999999995</v>
      </c>
      <c r="M193" s="11">
        <v>920000.1</v>
      </c>
      <c r="N193" s="3">
        <v>0</v>
      </c>
      <c r="O193" s="2" t="s">
        <v>25</v>
      </c>
      <c r="P193" s="2" t="s">
        <v>26</v>
      </c>
      <c r="Q193" s="2" t="s">
        <v>470</v>
      </c>
    </row>
    <row r="194" spans="1:17" x14ac:dyDescent="0.25">
      <c r="A194" s="1">
        <v>46287</v>
      </c>
      <c r="B194" s="1">
        <v>46286</v>
      </c>
      <c r="C194" s="2" t="s">
        <v>472</v>
      </c>
      <c r="D194" s="2" t="s">
        <v>18</v>
      </c>
      <c r="E194" s="2" t="s">
        <v>473</v>
      </c>
      <c r="F194" s="2" t="s">
        <v>20</v>
      </c>
      <c r="G194" s="2" t="s">
        <v>77</v>
      </c>
      <c r="H194" s="2" t="s">
        <v>147</v>
      </c>
      <c r="I194" s="2" t="s">
        <v>148</v>
      </c>
      <c r="J194" s="3">
        <v>12</v>
      </c>
      <c r="K194" s="2" t="s">
        <v>116</v>
      </c>
      <c r="L194" s="3">
        <v>12</v>
      </c>
      <c r="M194" s="11">
        <v>702000.1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46287</v>
      </c>
      <c r="B195" s="1">
        <v>46286</v>
      </c>
      <c r="C195" s="2" t="s">
        <v>474</v>
      </c>
      <c r="D195" s="2" t="s">
        <v>18</v>
      </c>
      <c r="E195" s="2" t="s">
        <v>475</v>
      </c>
      <c r="F195" s="2" t="s">
        <v>20</v>
      </c>
      <c r="G195" s="2" t="s">
        <v>82</v>
      </c>
      <c r="H195" s="2" t="s">
        <v>50</v>
      </c>
      <c r="I195" s="2" t="s">
        <v>51</v>
      </c>
      <c r="J195" s="3">
        <v>12</v>
      </c>
      <c r="K195" s="2" t="s">
        <v>33</v>
      </c>
      <c r="L195" s="3">
        <v>12</v>
      </c>
      <c r="M195" s="11">
        <v>3600000</v>
      </c>
      <c r="N195" s="3">
        <v>0</v>
      </c>
      <c r="O195" s="2" t="s">
        <v>25</v>
      </c>
      <c r="P195" s="2" t="s">
        <v>26</v>
      </c>
      <c r="Q195" s="2" t="s">
        <v>34</v>
      </c>
    </row>
    <row r="196" spans="1:17" x14ac:dyDescent="0.25">
      <c r="A196" s="1">
        <v>46287</v>
      </c>
      <c r="B196" s="1">
        <v>46286</v>
      </c>
      <c r="C196" s="2" t="s">
        <v>476</v>
      </c>
      <c r="D196" s="2" t="s">
        <v>18</v>
      </c>
      <c r="E196" s="2" t="s">
        <v>477</v>
      </c>
      <c r="F196" s="2" t="s">
        <v>20</v>
      </c>
      <c r="G196" s="2" t="s">
        <v>77</v>
      </c>
      <c r="H196" s="2" t="s">
        <v>147</v>
      </c>
      <c r="I196" s="2" t="s">
        <v>148</v>
      </c>
      <c r="J196" s="3">
        <v>12</v>
      </c>
      <c r="K196" s="2" t="s">
        <v>116</v>
      </c>
      <c r="L196" s="3">
        <v>12</v>
      </c>
      <c r="M196" s="11">
        <v>702000.1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46287</v>
      </c>
      <c r="B197" s="1">
        <v>46286</v>
      </c>
      <c r="C197" s="2" t="s">
        <v>478</v>
      </c>
      <c r="D197" s="2" t="s">
        <v>18</v>
      </c>
      <c r="E197" s="2" t="s">
        <v>479</v>
      </c>
      <c r="F197" s="2" t="s">
        <v>20</v>
      </c>
      <c r="G197" s="2" t="s">
        <v>77</v>
      </c>
      <c r="H197" s="2" t="s">
        <v>147</v>
      </c>
      <c r="I197" s="2" t="s">
        <v>148</v>
      </c>
      <c r="J197" s="3">
        <v>12</v>
      </c>
      <c r="K197" s="2" t="s">
        <v>116</v>
      </c>
      <c r="L197" s="3">
        <v>12</v>
      </c>
      <c r="M197" s="11">
        <v>702000.1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46287</v>
      </c>
      <c r="B198" s="1">
        <v>46286</v>
      </c>
      <c r="C198" s="2" t="s">
        <v>480</v>
      </c>
      <c r="D198" s="2" t="s">
        <v>18</v>
      </c>
      <c r="E198" s="2" t="s">
        <v>481</v>
      </c>
      <c r="F198" s="2" t="s">
        <v>20</v>
      </c>
      <c r="G198" s="2" t="s">
        <v>77</v>
      </c>
      <c r="H198" s="2" t="s">
        <v>147</v>
      </c>
      <c r="I198" s="2" t="s">
        <v>148</v>
      </c>
      <c r="J198" s="3">
        <v>12</v>
      </c>
      <c r="K198" s="2" t="s">
        <v>116</v>
      </c>
      <c r="L198" s="3">
        <v>12</v>
      </c>
      <c r="M198" s="11">
        <v>702000.1</v>
      </c>
      <c r="N198" s="3">
        <v>0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46287</v>
      </c>
      <c r="B199" s="1">
        <v>46286</v>
      </c>
      <c r="C199" s="2" t="s">
        <v>482</v>
      </c>
      <c r="D199" s="2" t="s">
        <v>18</v>
      </c>
      <c r="E199" s="2" t="s">
        <v>483</v>
      </c>
      <c r="F199" s="2" t="s">
        <v>20</v>
      </c>
      <c r="G199" s="2" t="s">
        <v>455</v>
      </c>
      <c r="H199" s="2" t="s">
        <v>484</v>
      </c>
      <c r="I199" s="2" t="s">
        <v>485</v>
      </c>
      <c r="J199" s="3">
        <v>10</v>
      </c>
      <c r="K199" s="2" t="s">
        <v>40</v>
      </c>
      <c r="L199" s="3">
        <v>10</v>
      </c>
      <c r="M199" s="11">
        <v>494949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46287</v>
      </c>
      <c r="B200" s="1">
        <v>46286</v>
      </c>
      <c r="C200" s="2" t="s">
        <v>482</v>
      </c>
      <c r="D200" s="2" t="s">
        <v>18</v>
      </c>
      <c r="E200" s="2" t="s">
        <v>483</v>
      </c>
      <c r="F200" s="2" t="s">
        <v>20</v>
      </c>
      <c r="G200" s="2" t="s">
        <v>455</v>
      </c>
      <c r="H200" s="2" t="s">
        <v>317</v>
      </c>
      <c r="I200" s="2" t="s">
        <v>318</v>
      </c>
      <c r="J200" s="3">
        <v>10</v>
      </c>
      <c r="K200" s="2" t="s">
        <v>40</v>
      </c>
      <c r="L200" s="3">
        <v>10</v>
      </c>
      <c r="M200" s="11">
        <v>418803</v>
      </c>
      <c r="N200" s="3">
        <v>0</v>
      </c>
      <c r="O200" s="2" t="s">
        <v>25</v>
      </c>
      <c r="P200" s="2" t="s">
        <v>26</v>
      </c>
      <c r="Q200" s="2" t="s">
        <v>34</v>
      </c>
    </row>
    <row r="201" spans="1:17" x14ac:dyDescent="0.25">
      <c r="A201" s="1">
        <v>46287</v>
      </c>
      <c r="B201" s="1">
        <v>46286</v>
      </c>
      <c r="C201" s="2" t="s">
        <v>486</v>
      </c>
      <c r="D201" s="2" t="s">
        <v>18</v>
      </c>
      <c r="E201" s="2" t="s">
        <v>487</v>
      </c>
      <c r="F201" s="2" t="s">
        <v>20</v>
      </c>
      <c r="G201" s="2" t="s">
        <v>58</v>
      </c>
      <c r="H201" s="2" t="s">
        <v>488</v>
      </c>
      <c r="I201" s="2" t="s">
        <v>489</v>
      </c>
      <c r="J201" s="3">
        <v>6</v>
      </c>
      <c r="K201" s="2" t="s">
        <v>33</v>
      </c>
      <c r="L201" s="3">
        <v>4</v>
      </c>
      <c r="M201" s="11">
        <v>880000.01</v>
      </c>
      <c r="N201" s="3">
        <v>-2</v>
      </c>
      <c r="O201" s="2" t="s">
        <v>25</v>
      </c>
      <c r="P201" s="2" t="s">
        <v>26</v>
      </c>
      <c r="Q201" s="2" t="s">
        <v>34</v>
      </c>
    </row>
    <row r="202" spans="1:17" x14ac:dyDescent="0.25">
      <c r="A202" s="1">
        <v>46287</v>
      </c>
      <c r="B202" s="1">
        <v>46286</v>
      </c>
      <c r="C202" s="2" t="s">
        <v>486</v>
      </c>
      <c r="D202" s="2" t="s">
        <v>18</v>
      </c>
      <c r="E202" s="2" t="s">
        <v>487</v>
      </c>
      <c r="F202" s="2" t="s">
        <v>20</v>
      </c>
      <c r="G202" s="2" t="s">
        <v>58</v>
      </c>
      <c r="H202" s="2" t="s">
        <v>424</v>
      </c>
      <c r="I202" s="2" t="s">
        <v>425</v>
      </c>
      <c r="J202" s="3">
        <v>1</v>
      </c>
      <c r="K202" s="2" t="s">
        <v>33</v>
      </c>
      <c r="L202" s="3">
        <v>1</v>
      </c>
      <c r="M202" s="11">
        <v>255000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46287</v>
      </c>
      <c r="B203" s="1">
        <v>46286</v>
      </c>
      <c r="C203" s="2" t="s">
        <v>486</v>
      </c>
      <c r="D203" s="2" t="s">
        <v>18</v>
      </c>
      <c r="E203" s="2" t="s">
        <v>487</v>
      </c>
      <c r="F203" s="2" t="s">
        <v>20</v>
      </c>
      <c r="G203" s="2" t="s">
        <v>58</v>
      </c>
      <c r="H203" s="2" t="s">
        <v>46</v>
      </c>
      <c r="I203" s="2" t="s">
        <v>47</v>
      </c>
      <c r="J203" s="3">
        <v>30</v>
      </c>
      <c r="K203" s="2" t="s">
        <v>33</v>
      </c>
      <c r="L203" s="3">
        <v>30</v>
      </c>
      <c r="M203" s="11">
        <v>9359999.9600000009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46287</v>
      </c>
      <c r="B204" s="1">
        <v>46286</v>
      </c>
      <c r="C204" s="2" t="s">
        <v>490</v>
      </c>
      <c r="D204" s="2" t="s">
        <v>18</v>
      </c>
      <c r="E204" s="2" t="s">
        <v>483</v>
      </c>
      <c r="F204" s="2" t="s">
        <v>20</v>
      </c>
      <c r="G204" s="2" t="s">
        <v>455</v>
      </c>
      <c r="H204" s="2" t="s">
        <v>317</v>
      </c>
      <c r="I204" s="2" t="s">
        <v>318</v>
      </c>
      <c r="J204" s="3">
        <v>20</v>
      </c>
      <c r="K204" s="2" t="s">
        <v>40</v>
      </c>
      <c r="L204" s="3">
        <v>20</v>
      </c>
      <c r="M204" s="11">
        <v>837606</v>
      </c>
      <c r="N204" s="3">
        <v>0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46287</v>
      </c>
      <c r="B205" s="1">
        <v>46286</v>
      </c>
      <c r="C205" s="2" t="s">
        <v>491</v>
      </c>
      <c r="D205" s="2" t="s">
        <v>18</v>
      </c>
      <c r="E205" s="2" t="s">
        <v>492</v>
      </c>
      <c r="F205" s="2" t="s">
        <v>44</v>
      </c>
      <c r="G205" s="2" t="s">
        <v>123</v>
      </c>
      <c r="H205" s="2" t="s">
        <v>493</v>
      </c>
      <c r="I205" s="2" t="s">
        <v>494</v>
      </c>
      <c r="J205" s="3">
        <v>1</v>
      </c>
      <c r="K205" s="2" t="s">
        <v>33</v>
      </c>
      <c r="L205" s="3">
        <v>1</v>
      </c>
      <c r="M205" s="11">
        <v>245000</v>
      </c>
      <c r="N205" s="3">
        <v>0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46287</v>
      </c>
      <c r="B206" s="1">
        <v>46286</v>
      </c>
      <c r="C206" s="2" t="s">
        <v>495</v>
      </c>
      <c r="D206" s="2" t="s">
        <v>18</v>
      </c>
      <c r="E206" s="2" t="s">
        <v>483</v>
      </c>
      <c r="F206" s="2" t="s">
        <v>20</v>
      </c>
      <c r="G206" s="2" t="s">
        <v>455</v>
      </c>
      <c r="H206" s="2" t="s">
        <v>496</v>
      </c>
      <c r="I206" s="2" t="s">
        <v>497</v>
      </c>
      <c r="J206" s="3">
        <v>20</v>
      </c>
      <c r="K206" s="2" t="s">
        <v>24</v>
      </c>
      <c r="L206" s="3">
        <v>20</v>
      </c>
      <c r="M206" s="11">
        <v>413364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5">
      <c r="A207" s="1">
        <v>46287</v>
      </c>
      <c r="B207" s="1">
        <v>46286</v>
      </c>
      <c r="C207" s="2" t="s">
        <v>498</v>
      </c>
      <c r="D207" s="2" t="s">
        <v>18</v>
      </c>
      <c r="E207" s="2" t="s">
        <v>499</v>
      </c>
      <c r="F207" s="2" t="s">
        <v>20</v>
      </c>
      <c r="G207" s="2" t="s">
        <v>160</v>
      </c>
      <c r="H207" s="2" t="s">
        <v>50</v>
      </c>
      <c r="I207" s="2" t="s">
        <v>51</v>
      </c>
      <c r="J207" s="3">
        <v>2</v>
      </c>
      <c r="K207" s="2" t="s">
        <v>33</v>
      </c>
      <c r="L207" s="3">
        <v>2</v>
      </c>
      <c r="M207" s="11">
        <v>654900</v>
      </c>
      <c r="N207" s="3">
        <v>0</v>
      </c>
      <c r="O207" s="2" t="s">
        <v>25</v>
      </c>
      <c r="P207" s="2" t="s">
        <v>26</v>
      </c>
      <c r="Q207" s="2" t="s">
        <v>34</v>
      </c>
    </row>
    <row r="208" spans="1:17" x14ac:dyDescent="0.25">
      <c r="A208" s="1">
        <v>46287</v>
      </c>
      <c r="B208" s="1">
        <v>46286</v>
      </c>
      <c r="C208" s="2" t="s">
        <v>500</v>
      </c>
      <c r="D208" s="2" t="s">
        <v>18</v>
      </c>
      <c r="E208" s="2" t="s">
        <v>501</v>
      </c>
      <c r="F208" s="2" t="s">
        <v>20</v>
      </c>
      <c r="G208" s="2" t="s">
        <v>123</v>
      </c>
      <c r="H208" s="2" t="s">
        <v>46</v>
      </c>
      <c r="I208" s="2" t="s">
        <v>47</v>
      </c>
      <c r="J208" s="3">
        <v>1</v>
      </c>
      <c r="K208" s="2" t="s">
        <v>33</v>
      </c>
      <c r="L208" s="3">
        <v>1</v>
      </c>
      <c r="M208" s="11">
        <v>355200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46287</v>
      </c>
      <c r="B209" s="1">
        <v>46286</v>
      </c>
      <c r="C209" s="2" t="s">
        <v>502</v>
      </c>
      <c r="D209" s="2" t="s">
        <v>18</v>
      </c>
      <c r="E209" s="2" t="s">
        <v>503</v>
      </c>
      <c r="F209" s="2" t="s">
        <v>44</v>
      </c>
      <c r="G209" s="2" t="s">
        <v>182</v>
      </c>
      <c r="H209" s="2" t="s">
        <v>227</v>
      </c>
      <c r="I209" s="2" t="s">
        <v>228</v>
      </c>
      <c r="J209" s="3">
        <v>100</v>
      </c>
      <c r="K209" s="2" t="s">
        <v>40</v>
      </c>
      <c r="L209" s="3">
        <v>100</v>
      </c>
      <c r="M209" s="11">
        <v>1549999.56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46287</v>
      </c>
      <c r="B210" s="1">
        <v>46286</v>
      </c>
      <c r="C210" s="2" t="s">
        <v>504</v>
      </c>
      <c r="D210" s="2" t="s">
        <v>18</v>
      </c>
      <c r="E210" s="2" t="s">
        <v>313</v>
      </c>
      <c r="F210" s="2" t="s">
        <v>20</v>
      </c>
      <c r="G210" s="2" t="s">
        <v>113</v>
      </c>
      <c r="H210" s="2" t="s">
        <v>292</v>
      </c>
      <c r="I210" s="2" t="s">
        <v>293</v>
      </c>
      <c r="J210" s="3">
        <v>2</v>
      </c>
      <c r="K210" s="2" t="s">
        <v>85</v>
      </c>
      <c r="L210" s="3">
        <v>2</v>
      </c>
      <c r="M210" s="11">
        <v>159840</v>
      </c>
      <c r="N210" s="3">
        <v>0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46287</v>
      </c>
      <c r="B211" s="1">
        <v>46286</v>
      </c>
      <c r="C211" s="2" t="s">
        <v>505</v>
      </c>
      <c r="D211" s="2" t="s">
        <v>18</v>
      </c>
      <c r="E211" s="2" t="s">
        <v>506</v>
      </c>
      <c r="F211" s="2" t="s">
        <v>20</v>
      </c>
      <c r="G211" s="2" t="s">
        <v>123</v>
      </c>
      <c r="H211" s="2" t="s">
        <v>46</v>
      </c>
      <c r="I211" s="2" t="s">
        <v>47</v>
      </c>
      <c r="J211" s="3">
        <v>2</v>
      </c>
      <c r="K211" s="2" t="s">
        <v>33</v>
      </c>
      <c r="L211" s="3">
        <v>2</v>
      </c>
      <c r="M211" s="11">
        <v>570000</v>
      </c>
      <c r="N211" s="3">
        <v>0</v>
      </c>
      <c r="O211" s="2" t="s">
        <v>25</v>
      </c>
      <c r="P211" s="2" t="s">
        <v>26</v>
      </c>
      <c r="Q211" s="2" t="s">
        <v>34</v>
      </c>
    </row>
    <row r="212" spans="1:17" x14ac:dyDescent="0.25">
      <c r="A212" s="1">
        <v>46287</v>
      </c>
      <c r="B212" s="1">
        <v>46286</v>
      </c>
      <c r="C212" s="2" t="s">
        <v>507</v>
      </c>
      <c r="D212" s="2" t="s">
        <v>18</v>
      </c>
      <c r="E212" s="2" t="s">
        <v>508</v>
      </c>
      <c r="F212" s="2" t="s">
        <v>44</v>
      </c>
      <c r="G212" s="2" t="s">
        <v>72</v>
      </c>
      <c r="H212" s="2" t="s">
        <v>256</v>
      </c>
      <c r="I212" s="2" t="s">
        <v>257</v>
      </c>
      <c r="J212" s="3">
        <v>2.2999999999999998</v>
      </c>
      <c r="K212" s="2" t="s">
        <v>40</v>
      </c>
      <c r="L212" s="3">
        <v>2.2999999999999998</v>
      </c>
      <c r="M212" s="11">
        <v>246100.01</v>
      </c>
      <c r="N212" s="3">
        <v>0</v>
      </c>
      <c r="O212" s="2" t="s">
        <v>25</v>
      </c>
      <c r="P212" s="2" t="s">
        <v>26</v>
      </c>
      <c r="Q212" s="2" t="s">
        <v>102</v>
      </c>
    </row>
    <row r="213" spans="1:17" x14ac:dyDescent="0.25">
      <c r="A213" s="1">
        <v>46287</v>
      </c>
      <c r="B213" s="1">
        <v>46286</v>
      </c>
      <c r="C213" s="2" t="s">
        <v>509</v>
      </c>
      <c r="D213" s="2" t="s">
        <v>18</v>
      </c>
      <c r="E213" s="2" t="s">
        <v>492</v>
      </c>
      <c r="F213" s="2" t="s">
        <v>44</v>
      </c>
      <c r="G213" s="2" t="s">
        <v>123</v>
      </c>
      <c r="H213" s="2" t="s">
        <v>510</v>
      </c>
      <c r="I213" s="2" t="s">
        <v>511</v>
      </c>
      <c r="J213" s="3">
        <v>2</v>
      </c>
      <c r="K213" s="2" t="s">
        <v>85</v>
      </c>
      <c r="L213" s="3">
        <v>2</v>
      </c>
      <c r="M213" s="11">
        <v>155400</v>
      </c>
      <c r="N213" s="3">
        <v>0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46287</v>
      </c>
      <c r="B214" s="1">
        <v>46286</v>
      </c>
      <c r="C214" s="2" t="s">
        <v>512</v>
      </c>
      <c r="D214" s="2" t="s">
        <v>18</v>
      </c>
      <c r="E214" s="2" t="s">
        <v>513</v>
      </c>
      <c r="F214" s="2" t="s">
        <v>20</v>
      </c>
      <c r="G214" s="2" t="s">
        <v>37</v>
      </c>
      <c r="H214" s="2" t="s">
        <v>465</v>
      </c>
      <c r="I214" s="2" t="s">
        <v>466</v>
      </c>
      <c r="J214" s="3">
        <v>5</v>
      </c>
      <c r="K214" s="2" t="s">
        <v>40</v>
      </c>
      <c r="L214" s="3">
        <v>3.44</v>
      </c>
      <c r="M214" s="11">
        <v>543520</v>
      </c>
      <c r="N214" s="3">
        <v>-1.56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46287</v>
      </c>
      <c r="B215" s="1">
        <v>46286</v>
      </c>
      <c r="C215" s="2" t="s">
        <v>512</v>
      </c>
      <c r="D215" s="2" t="s">
        <v>18</v>
      </c>
      <c r="E215" s="2" t="s">
        <v>513</v>
      </c>
      <c r="F215" s="2" t="s">
        <v>20</v>
      </c>
      <c r="G215" s="2" t="s">
        <v>37</v>
      </c>
      <c r="H215" s="2" t="s">
        <v>38</v>
      </c>
      <c r="I215" s="2" t="s">
        <v>39</v>
      </c>
      <c r="J215" s="3">
        <v>4</v>
      </c>
      <c r="K215" s="2" t="s">
        <v>40</v>
      </c>
      <c r="L215" s="3">
        <v>4.63</v>
      </c>
      <c r="M215" s="11">
        <v>1990900</v>
      </c>
      <c r="N215" s="3">
        <v>0.63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46287</v>
      </c>
      <c r="B216" s="1">
        <v>46286</v>
      </c>
      <c r="C216" s="2" t="s">
        <v>514</v>
      </c>
      <c r="D216" s="2" t="s">
        <v>18</v>
      </c>
      <c r="E216" s="2" t="s">
        <v>515</v>
      </c>
      <c r="F216" s="2" t="s">
        <v>20</v>
      </c>
      <c r="G216" s="2" t="s">
        <v>113</v>
      </c>
      <c r="H216" s="2" t="s">
        <v>516</v>
      </c>
      <c r="I216" s="2" t="s">
        <v>517</v>
      </c>
      <c r="J216" s="3">
        <v>4</v>
      </c>
      <c r="K216" s="2" t="s">
        <v>40</v>
      </c>
      <c r="L216" s="3">
        <v>2.81</v>
      </c>
      <c r="M216" s="11">
        <v>2174940</v>
      </c>
      <c r="N216" s="3">
        <v>-1.19</v>
      </c>
      <c r="O216" s="2" t="s">
        <v>25</v>
      </c>
      <c r="P216" s="2" t="s">
        <v>26</v>
      </c>
      <c r="Q216" s="2" t="s">
        <v>34</v>
      </c>
    </row>
    <row r="217" spans="1:17" x14ac:dyDescent="0.25">
      <c r="A217" s="1">
        <v>46287</v>
      </c>
      <c r="B217" s="1">
        <v>46286</v>
      </c>
      <c r="C217" s="2" t="s">
        <v>518</v>
      </c>
      <c r="D217" s="2" t="s">
        <v>18</v>
      </c>
      <c r="E217" s="2" t="s">
        <v>519</v>
      </c>
      <c r="F217" s="2" t="s">
        <v>44</v>
      </c>
      <c r="G217" s="2" t="s">
        <v>123</v>
      </c>
      <c r="H217" s="2" t="s">
        <v>520</v>
      </c>
      <c r="I217" s="2" t="s">
        <v>521</v>
      </c>
      <c r="J217" s="3">
        <v>2</v>
      </c>
      <c r="K217" s="2" t="s">
        <v>522</v>
      </c>
      <c r="L217" s="3">
        <v>2</v>
      </c>
      <c r="M217" s="11">
        <v>355200</v>
      </c>
      <c r="N217" s="3">
        <v>0</v>
      </c>
      <c r="O217" s="2" t="s">
        <v>25</v>
      </c>
      <c r="P217" s="2" t="s">
        <v>26</v>
      </c>
      <c r="Q217" s="2" t="s">
        <v>34</v>
      </c>
    </row>
    <row r="218" spans="1:17" x14ac:dyDescent="0.25">
      <c r="A218" s="1">
        <v>46287</v>
      </c>
      <c r="B218" s="1">
        <v>46286</v>
      </c>
      <c r="C218" s="2" t="s">
        <v>523</v>
      </c>
      <c r="D218" s="2" t="s">
        <v>18</v>
      </c>
      <c r="E218" s="2" t="s">
        <v>524</v>
      </c>
      <c r="F218" s="2" t="s">
        <v>20</v>
      </c>
      <c r="G218" s="2" t="s">
        <v>30</v>
      </c>
      <c r="H218" s="2" t="s">
        <v>46</v>
      </c>
      <c r="I218" s="2" t="s">
        <v>47</v>
      </c>
      <c r="J218" s="3">
        <v>8</v>
      </c>
      <c r="K218" s="2" t="s">
        <v>33</v>
      </c>
      <c r="L218" s="3">
        <v>8</v>
      </c>
      <c r="M218" s="11">
        <v>2841600</v>
      </c>
      <c r="N218" s="3">
        <v>0</v>
      </c>
      <c r="O218" s="2" t="s">
        <v>25</v>
      </c>
      <c r="P218" s="2" t="s">
        <v>26</v>
      </c>
      <c r="Q218" s="2" t="s">
        <v>34</v>
      </c>
    </row>
    <row r="219" spans="1:17" x14ac:dyDescent="0.25">
      <c r="A219" s="1">
        <v>46287</v>
      </c>
      <c r="B219" s="1">
        <v>46286</v>
      </c>
      <c r="C219" s="2" t="s">
        <v>525</v>
      </c>
      <c r="D219" s="2" t="s">
        <v>18</v>
      </c>
      <c r="E219" s="2" t="s">
        <v>526</v>
      </c>
      <c r="F219" s="2" t="s">
        <v>44</v>
      </c>
      <c r="G219" s="2" t="s">
        <v>182</v>
      </c>
      <c r="H219" s="2" t="s">
        <v>256</v>
      </c>
      <c r="I219" s="2" t="s">
        <v>257</v>
      </c>
      <c r="J219" s="3">
        <v>11.5</v>
      </c>
      <c r="K219" s="2" t="s">
        <v>40</v>
      </c>
      <c r="L219" s="3">
        <v>11.5</v>
      </c>
      <c r="M219" s="11">
        <v>1207500.07</v>
      </c>
      <c r="N219" s="3">
        <v>0</v>
      </c>
      <c r="O219" s="2" t="s">
        <v>25</v>
      </c>
      <c r="P219" s="2" t="s">
        <v>26</v>
      </c>
      <c r="Q219" s="2" t="s">
        <v>527</v>
      </c>
    </row>
    <row r="220" spans="1:17" x14ac:dyDescent="0.25">
      <c r="A220" s="1">
        <v>46287</v>
      </c>
      <c r="B220" s="1">
        <v>46286</v>
      </c>
      <c r="C220" s="2" t="s">
        <v>528</v>
      </c>
      <c r="D220" s="2" t="s">
        <v>18</v>
      </c>
      <c r="E220" s="2" t="s">
        <v>529</v>
      </c>
      <c r="F220" s="2" t="s">
        <v>20</v>
      </c>
      <c r="G220" s="2" t="s">
        <v>113</v>
      </c>
      <c r="H220" s="2" t="s">
        <v>156</v>
      </c>
      <c r="I220" s="2" t="s">
        <v>157</v>
      </c>
      <c r="J220" s="3">
        <v>1</v>
      </c>
      <c r="K220" s="2" t="s">
        <v>33</v>
      </c>
      <c r="L220" s="3">
        <v>1</v>
      </c>
      <c r="M220" s="11">
        <v>316350</v>
      </c>
      <c r="N220" s="3">
        <v>0</v>
      </c>
      <c r="O220" s="2" t="s">
        <v>25</v>
      </c>
      <c r="P220" s="2" t="s">
        <v>26</v>
      </c>
      <c r="Q220" s="2" t="s">
        <v>34</v>
      </c>
    </row>
    <row r="221" spans="1:17" x14ac:dyDescent="0.25">
      <c r="A221" s="1">
        <v>46287</v>
      </c>
      <c r="B221" s="1">
        <v>46286</v>
      </c>
      <c r="C221" s="2" t="s">
        <v>530</v>
      </c>
      <c r="D221" s="2" t="s">
        <v>18</v>
      </c>
      <c r="E221" s="2" t="s">
        <v>531</v>
      </c>
      <c r="F221" s="2" t="s">
        <v>20</v>
      </c>
      <c r="G221" s="2" t="s">
        <v>532</v>
      </c>
      <c r="H221" s="2" t="s">
        <v>50</v>
      </c>
      <c r="I221" s="2" t="s">
        <v>51</v>
      </c>
      <c r="J221" s="3">
        <v>4</v>
      </c>
      <c r="K221" s="2" t="s">
        <v>33</v>
      </c>
      <c r="L221" s="3">
        <v>4</v>
      </c>
      <c r="M221" s="11">
        <v>1088000</v>
      </c>
      <c r="N221" s="3">
        <v>0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46287</v>
      </c>
      <c r="B222" s="1">
        <v>46286</v>
      </c>
      <c r="C222" s="2" t="s">
        <v>533</v>
      </c>
      <c r="D222" s="2" t="s">
        <v>18</v>
      </c>
      <c r="E222" s="2" t="s">
        <v>531</v>
      </c>
      <c r="F222" s="2" t="s">
        <v>20</v>
      </c>
      <c r="G222" s="2" t="s">
        <v>532</v>
      </c>
      <c r="H222" s="2" t="s">
        <v>227</v>
      </c>
      <c r="I222" s="2" t="s">
        <v>228</v>
      </c>
      <c r="J222" s="3">
        <v>6</v>
      </c>
      <c r="K222" s="2" t="s">
        <v>40</v>
      </c>
      <c r="L222" s="3">
        <v>6</v>
      </c>
      <c r="M222" s="11">
        <v>89999.98</v>
      </c>
      <c r="N222" s="3">
        <v>0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46287</v>
      </c>
      <c r="B223" s="1">
        <v>46286</v>
      </c>
      <c r="C223" s="2" t="s">
        <v>534</v>
      </c>
      <c r="D223" s="2" t="s">
        <v>18</v>
      </c>
      <c r="E223" s="2" t="s">
        <v>531</v>
      </c>
      <c r="F223" s="2" t="s">
        <v>20</v>
      </c>
      <c r="G223" s="2" t="s">
        <v>532</v>
      </c>
      <c r="H223" s="2" t="s">
        <v>535</v>
      </c>
      <c r="I223" s="2" t="s">
        <v>536</v>
      </c>
      <c r="J223" s="3">
        <v>5</v>
      </c>
      <c r="K223" s="2" t="s">
        <v>40</v>
      </c>
      <c r="L223" s="3">
        <v>5</v>
      </c>
      <c r="M223" s="11">
        <v>612000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46287</v>
      </c>
      <c r="B224" s="1">
        <v>46286</v>
      </c>
      <c r="C224" s="2" t="s">
        <v>534</v>
      </c>
      <c r="D224" s="2" t="s">
        <v>18</v>
      </c>
      <c r="E224" s="2" t="s">
        <v>531</v>
      </c>
      <c r="F224" s="2" t="s">
        <v>20</v>
      </c>
      <c r="G224" s="2" t="s">
        <v>532</v>
      </c>
      <c r="H224" s="2" t="s">
        <v>465</v>
      </c>
      <c r="I224" s="2" t="s">
        <v>466</v>
      </c>
      <c r="J224" s="3">
        <v>6</v>
      </c>
      <c r="K224" s="2" t="s">
        <v>40</v>
      </c>
      <c r="L224" s="3">
        <v>5.32</v>
      </c>
      <c r="M224" s="11">
        <v>792680</v>
      </c>
      <c r="N224" s="3">
        <v>-0.68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46287</v>
      </c>
      <c r="B225" s="1">
        <v>46286</v>
      </c>
      <c r="C225" s="2" t="s">
        <v>538</v>
      </c>
      <c r="D225" s="2" t="s">
        <v>18</v>
      </c>
      <c r="E225" s="2" t="s">
        <v>539</v>
      </c>
      <c r="F225" s="2" t="s">
        <v>20</v>
      </c>
      <c r="G225" s="2" t="s">
        <v>160</v>
      </c>
      <c r="H225" s="2" t="s">
        <v>50</v>
      </c>
      <c r="I225" s="2" t="s">
        <v>51</v>
      </c>
      <c r="J225" s="3">
        <v>5</v>
      </c>
      <c r="K225" s="2" t="s">
        <v>33</v>
      </c>
      <c r="L225" s="3">
        <v>5</v>
      </c>
      <c r="M225" s="11">
        <v>1637250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46287</v>
      </c>
      <c r="B226" s="1">
        <v>46286</v>
      </c>
      <c r="C226" s="2" t="s">
        <v>540</v>
      </c>
      <c r="D226" s="2" t="s">
        <v>18</v>
      </c>
      <c r="E226" s="2" t="s">
        <v>541</v>
      </c>
      <c r="F226" s="2" t="s">
        <v>20</v>
      </c>
      <c r="G226" s="2" t="s">
        <v>182</v>
      </c>
      <c r="H226" s="2" t="s">
        <v>317</v>
      </c>
      <c r="I226" s="2" t="s">
        <v>318</v>
      </c>
      <c r="J226" s="3">
        <v>50</v>
      </c>
      <c r="K226" s="2" t="s">
        <v>40</v>
      </c>
      <c r="L226" s="3">
        <v>50</v>
      </c>
      <c r="M226" s="11">
        <v>2000000.22</v>
      </c>
      <c r="N226" s="3">
        <v>0</v>
      </c>
      <c r="O226" s="2" t="s">
        <v>25</v>
      </c>
      <c r="P226" s="2" t="s">
        <v>26</v>
      </c>
      <c r="Q226" s="2" t="s">
        <v>34</v>
      </c>
    </row>
    <row r="227" spans="1:17" x14ac:dyDescent="0.25">
      <c r="A227" s="1">
        <v>46287</v>
      </c>
      <c r="B227" s="1">
        <v>46286</v>
      </c>
      <c r="C227" s="2" t="s">
        <v>540</v>
      </c>
      <c r="D227" s="2" t="s">
        <v>18</v>
      </c>
      <c r="E227" s="2" t="s">
        <v>541</v>
      </c>
      <c r="F227" s="2" t="s">
        <v>20</v>
      </c>
      <c r="G227" s="2" t="s">
        <v>182</v>
      </c>
      <c r="H227" s="2" t="s">
        <v>542</v>
      </c>
      <c r="I227" s="2" t="s">
        <v>543</v>
      </c>
      <c r="J227" s="3">
        <v>10</v>
      </c>
      <c r="K227" s="2" t="s">
        <v>40</v>
      </c>
      <c r="L227" s="3">
        <v>10</v>
      </c>
      <c r="M227" s="11">
        <v>210000.01</v>
      </c>
      <c r="N227" s="3">
        <v>0</v>
      </c>
      <c r="O227" s="2" t="s">
        <v>25</v>
      </c>
      <c r="P227" s="2" t="s">
        <v>26</v>
      </c>
      <c r="Q227" s="2" t="s">
        <v>34</v>
      </c>
    </row>
    <row r="228" spans="1:17" x14ac:dyDescent="0.25">
      <c r="A228" s="1">
        <v>46287</v>
      </c>
      <c r="B228" s="1">
        <v>46286</v>
      </c>
      <c r="C228" s="2" t="s">
        <v>546</v>
      </c>
      <c r="D228" s="2" t="s">
        <v>18</v>
      </c>
      <c r="E228" s="2" t="s">
        <v>547</v>
      </c>
      <c r="F228" s="2" t="s">
        <v>20</v>
      </c>
      <c r="G228" s="2" t="s">
        <v>45</v>
      </c>
      <c r="H228" s="2" t="s">
        <v>50</v>
      </c>
      <c r="I228" s="2" t="s">
        <v>51</v>
      </c>
      <c r="J228" s="3">
        <v>3</v>
      </c>
      <c r="K228" s="2" t="s">
        <v>33</v>
      </c>
      <c r="L228" s="3">
        <v>3</v>
      </c>
      <c r="M228" s="11">
        <v>945000</v>
      </c>
      <c r="N228" s="3">
        <v>0</v>
      </c>
      <c r="O228" s="2" t="s">
        <v>25</v>
      </c>
      <c r="P228" s="2" t="s">
        <v>26</v>
      </c>
      <c r="Q228" s="2" t="s">
        <v>548</v>
      </c>
    </row>
    <row r="229" spans="1:17" x14ac:dyDescent="0.25">
      <c r="A229" s="1">
        <v>46287</v>
      </c>
      <c r="B229" s="1">
        <v>46286</v>
      </c>
      <c r="C229" s="2" t="s">
        <v>549</v>
      </c>
      <c r="D229" s="2" t="s">
        <v>550</v>
      </c>
      <c r="E229" s="2" t="s">
        <v>551</v>
      </c>
      <c r="F229" s="2" t="s">
        <v>44</v>
      </c>
      <c r="G229" s="2" t="s">
        <v>182</v>
      </c>
      <c r="H229" s="2" t="s">
        <v>552</v>
      </c>
      <c r="I229" s="2" t="s">
        <v>553</v>
      </c>
      <c r="J229" s="3">
        <v>3</v>
      </c>
      <c r="K229" s="2" t="s">
        <v>24</v>
      </c>
      <c r="L229" s="3">
        <v>3</v>
      </c>
      <c r="M229" s="11">
        <v>80475.009999999995</v>
      </c>
      <c r="N229" s="3">
        <v>0</v>
      </c>
      <c r="O229" s="2" t="s">
        <v>25</v>
      </c>
      <c r="P229" s="2" t="s">
        <v>26</v>
      </c>
      <c r="Q229" s="2" t="s">
        <v>34</v>
      </c>
    </row>
    <row r="230" spans="1:17" x14ac:dyDescent="0.25">
      <c r="A230" s="1">
        <v>46287</v>
      </c>
      <c r="B230" s="1">
        <v>46286</v>
      </c>
      <c r="C230" s="2" t="s">
        <v>549</v>
      </c>
      <c r="D230" s="2" t="s">
        <v>550</v>
      </c>
      <c r="E230" s="2" t="s">
        <v>551</v>
      </c>
      <c r="F230" s="2" t="s">
        <v>44</v>
      </c>
      <c r="G230" s="2" t="s">
        <v>182</v>
      </c>
      <c r="H230" s="2" t="s">
        <v>554</v>
      </c>
      <c r="I230" s="2" t="s">
        <v>555</v>
      </c>
      <c r="J230" s="3">
        <v>6</v>
      </c>
      <c r="K230" s="2" t="s">
        <v>414</v>
      </c>
      <c r="L230" s="3">
        <v>6</v>
      </c>
      <c r="M230" s="11">
        <v>660000.01</v>
      </c>
      <c r="N230" s="3">
        <v>0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46287</v>
      </c>
      <c r="B231" s="1">
        <v>46286</v>
      </c>
      <c r="C231" s="2" t="s">
        <v>549</v>
      </c>
      <c r="D231" s="2" t="s">
        <v>550</v>
      </c>
      <c r="E231" s="2" t="s">
        <v>551</v>
      </c>
      <c r="F231" s="2" t="s">
        <v>44</v>
      </c>
      <c r="G231" s="2" t="s">
        <v>182</v>
      </c>
      <c r="H231" s="2" t="s">
        <v>556</v>
      </c>
      <c r="I231" s="2" t="s">
        <v>557</v>
      </c>
      <c r="J231" s="3">
        <v>6</v>
      </c>
      <c r="K231" s="2" t="s">
        <v>414</v>
      </c>
      <c r="L231" s="3">
        <v>6</v>
      </c>
      <c r="M231" s="11">
        <v>610500</v>
      </c>
      <c r="N231" s="3">
        <v>0</v>
      </c>
      <c r="O231" s="2" t="s">
        <v>25</v>
      </c>
      <c r="P231" s="2" t="s">
        <v>26</v>
      </c>
      <c r="Q231" s="2" t="s">
        <v>34</v>
      </c>
    </row>
    <row r="232" spans="1:17" x14ac:dyDescent="0.25">
      <c r="A232" s="1">
        <v>46287</v>
      </c>
      <c r="B232" s="1">
        <v>46286</v>
      </c>
      <c r="C232" s="2" t="s">
        <v>549</v>
      </c>
      <c r="D232" s="2" t="s">
        <v>550</v>
      </c>
      <c r="E232" s="2" t="s">
        <v>551</v>
      </c>
      <c r="F232" s="2" t="s">
        <v>44</v>
      </c>
      <c r="G232" s="2" t="s">
        <v>182</v>
      </c>
      <c r="H232" s="2" t="s">
        <v>558</v>
      </c>
      <c r="I232" s="2" t="s">
        <v>559</v>
      </c>
      <c r="J232" s="3">
        <v>3</v>
      </c>
      <c r="K232" s="2" t="s">
        <v>414</v>
      </c>
      <c r="L232" s="3">
        <v>3</v>
      </c>
      <c r="M232" s="11">
        <v>305250</v>
      </c>
      <c r="N232" s="3">
        <v>0</v>
      </c>
      <c r="O232" s="2" t="s">
        <v>25</v>
      </c>
      <c r="P232" s="2" t="s">
        <v>26</v>
      </c>
      <c r="Q232" s="2" t="s">
        <v>34</v>
      </c>
    </row>
    <row r="233" spans="1:17" x14ac:dyDescent="0.25">
      <c r="A233" s="1">
        <v>46287</v>
      </c>
      <c r="B233" s="1">
        <v>46286</v>
      </c>
      <c r="C233" s="2" t="s">
        <v>560</v>
      </c>
      <c r="D233" s="2" t="s">
        <v>550</v>
      </c>
      <c r="E233" s="2" t="s">
        <v>561</v>
      </c>
      <c r="F233" s="2" t="s">
        <v>44</v>
      </c>
      <c r="G233" s="2" t="s">
        <v>72</v>
      </c>
      <c r="H233" s="2" t="s">
        <v>562</v>
      </c>
      <c r="I233" s="2" t="s">
        <v>563</v>
      </c>
      <c r="J233" s="3">
        <v>1</v>
      </c>
      <c r="K233" s="2" t="s">
        <v>149</v>
      </c>
      <c r="L233" s="3">
        <v>1</v>
      </c>
      <c r="M233" s="11">
        <v>350000.01</v>
      </c>
      <c r="N233" s="3">
        <v>0</v>
      </c>
      <c r="O233" s="2" t="s">
        <v>25</v>
      </c>
      <c r="P233" s="2" t="s">
        <v>26</v>
      </c>
      <c r="Q233" s="2" t="s">
        <v>564</v>
      </c>
    </row>
    <row r="234" spans="1:17" x14ac:dyDescent="0.25">
      <c r="A234" s="1">
        <v>46287</v>
      </c>
      <c r="B234" s="1">
        <v>46286</v>
      </c>
      <c r="C234" s="2" t="s">
        <v>565</v>
      </c>
      <c r="D234" s="2" t="s">
        <v>550</v>
      </c>
      <c r="E234" s="2" t="s">
        <v>566</v>
      </c>
      <c r="F234" s="2" t="s">
        <v>44</v>
      </c>
      <c r="G234" s="2" t="s">
        <v>72</v>
      </c>
      <c r="H234" s="2" t="s">
        <v>567</v>
      </c>
      <c r="I234" s="2" t="s">
        <v>568</v>
      </c>
      <c r="J234" s="3">
        <v>1</v>
      </c>
      <c r="K234" s="2" t="s">
        <v>149</v>
      </c>
      <c r="L234" s="3">
        <v>1</v>
      </c>
      <c r="M234" s="11">
        <v>350000.01</v>
      </c>
      <c r="N234" s="3">
        <v>0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46287</v>
      </c>
      <c r="B235" s="1">
        <v>46286</v>
      </c>
      <c r="C235" s="2" t="s">
        <v>569</v>
      </c>
      <c r="D235" s="2" t="s">
        <v>550</v>
      </c>
      <c r="E235" s="2" t="s">
        <v>570</v>
      </c>
      <c r="F235" s="2" t="s">
        <v>20</v>
      </c>
      <c r="G235" s="2" t="s">
        <v>30</v>
      </c>
      <c r="H235" s="2" t="s">
        <v>571</v>
      </c>
      <c r="I235" s="2" t="s">
        <v>572</v>
      </c>
      <c r="J235" s="3">
        <v>1</v>
      </c>
      <c r="K235" s="2" t="s">
        <v>573</v>
      </c>
      <c r="L235" s="3">
        <v>1</v>
      </c>
      <c r="M235" s="11">
        <v>640000</v>
      </c>
      <c r="N235" s="3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46287</v>
      </c>
      <c r="B236" s="1">
        <v>46286</v>
      </c>
      <c r="C236" s="2" t="s">
        <v>574</v>
      </c>
      <c r="D236" s="2" t="s">
        <v>550</v>
      </c>
      <c r="E236" s="2" t="s">
        <v>263</v>
      </c>
      <c r="F236" s="2" t="s">
        <v>20</v>
      </c>
      <c r="G236" s="2" t="s">
        <v>30</v>
      </c>
      <c r="H236" s="2" t="s">
        <v>571</v>
      </c>
      <c r="I236" s="2" t="s">
        <v>572</v>
      </c>
      <c r="J236" s="3">
        <v>2</v>
      </c>
      <c r="K236" s="2" t="s">
        <v>573</v>
      </c>
      <c r="L236" s="3">
        <v>2</v>
      </c>
      <c r="M236" s="11">
        <v>1280000.01</v>
      </c>
      <c r="N236" s="3">
        <v>0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46287</v>
      </c>
      <c r="B237" s="1">
        <v>46286</v>
      </c>
      <c r="C237" s="2" t="s">
        <v>575</v>
      </c>
      <c r="D237" s="2" t="s">
        <v>550</v>
      </c>
      <c r="E237" s="2" t="s">
        <v>395</v>
      </c>
      <c r="F237" s="2" t="s">
        <v>20</v>
      </c>
      <c r="G237" s="2" t="s">
        <v>37</v>
      </c>
      <c r="H237" s="2" t="s">
        <v>576</v>
      </c>
      <c r="I237" s="2" t="s">
        <v>577</v>
      </c>
      <c r="J237" s="3">
        <v>12</v>
      </c>
      <c r="K237" s="2" t="s">
        <v>578</v>
      </c>
      <c r="L237" s="3">
        <v>12</v>
      </c>
      <c r="M237" s="11">
        <v>772560</v>
      </c>
      <c r="N237" s="3">
        <v>0</v>
      </c>
      <c r="O237" s="2" t="s">
        <v>25</v>
      </c>
      <c r="P237" s="2" t="s">
        <v>26</v>
      </c>
      <c r="Q237" s="2" t="s">
        <v>579</v>
      </c>
    </row>
    <row r="238" spans="1:17" x14ac:dyDescent="0.25">
      <c r="A238" s="1">
        <v>46287</v>
      </c>
      <c r="B238" s="1">
        <v>46286</v>
      </c>
      <c r="C238" s="2" t="s">
        <v>580</v>
      </c>
      <c r="D238" s="2" t="s">
        <v>550</v>
      </c>
      <c r="E238" s="2" t="s">
        <v>581</v>
      </c>
      <c r="F238" s="2" t="s">
        <v>44</v>
      </c>
      <c r="G238" s="2" t="s">
        <v>77</v>
      </c>
      <c r="H238" s="2" t="s">
        <v>567</v>
      </c>
      <c r="I238" s="2" t="s">
        <v>568</v>
      </c>
      <c r="J238" s="3">
        <v>1</v>
      </c>
      <c r="K238" s="2" t="s">
        <v>149</v>
      </c>
      <c r="L238" s="3">
        <v>1</v>
      </c>
      <c r="M238" s="11">
        <v>350000.01</v>
      </c>
      <c r="N238" s="3">
        <v>0</v>
      </c>
      <c r="O238" s="2" t="s">
        <v>25</v>
      </c>
      <c r="P238" s="2" t="s">
        <v>26</v>
      </c>
      <c r="Q238" s="2" t="s">
        <v>34</v>
      </c>
    </row>
    <row r="239" spans="1:17" x14ac:dyDescent="0.25">
      <c r="A239" s="1">
        <v>46287</v>
      </c>
      <c r="B239" s="1">
        <v>46286</v>
      </c>
      <c r="C239" s="2" t="s">
        <v>582</v>
      </c>
      <c r="D239" s="2" t="s">
        <v>550</v>
      </c>
      <c r="E239" s="2" t="s">
        <v>583</v>
      </c>
      <c r="F239" s="2" t="s">
        <v>20</v>
      </c>
      <c r="G239" s="2" t="s">
        <v>77</v>
      </c>
      <c r="H239" s="2" t="s">
        <v>558</v>
      </c>
      <c r="I239" s="2" t="s">
        <v>559</v>
      </c>
      <c r="J239" s="3">
        <v>5</v>
      </c>
      <c r="K239" s="2" t="s">
        <v>414</v>
      </c>
      <c r="L239" s="3">
        <v>5</v>
      </c>
      <c r="M239" s="11">
        <v>550000</v>
      </c>
      <c r="N239" s="3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46287</v>
      </c>
      <c r="B240" s="1">
        <v>46286</v>
      </c>
      <c r="C240" s="2" t="s">
        <v>582</v>
      </c>
      <c r="D240" s="2" t="s">
        <v>550</v>
      </c>
      <c r="E240" s="2" t="s">
        <v>583</v>
      </c>
      <c r="F240" s="2" t="s">
        <v>20</v>
      </c>
      <c r="G240" s="2" t="s">
        <v>77</v>
      </c>
      <c r="H240" s="2" t="s">
        <v>584</v>
      </c>
      <c r="I240" s="2" t="s">
        <v>585</v>
      </c>
      <c r="J240" s="3">
        <v>5</v>
      </c>
      <c r="K240" s="2" t="s">
        <v>414</v>
      </c>
      <c r="L240" s="3">
        <v>5</v>
      </c>
      <c r="M240" s="11">
        <v>550000.01</v>
      </c>
      <c r="N240" s="3">
        <v>0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46287</v>
      </c>
      <c r="B241" s="1">
        <v>46286</v>
      </c>
      <c r="C241" s="2" t="s">
        <v>586</v>
      </c>
      <c r="D241" s="2" t="s">
        <v>550</v>
      </c>
      <c r="E241" s="2" t="s">
        <v>587</v>
      </c>
      <c r="F241" s="2" t="s">
        <v>20</v>
      </c>
      <c r="G241" s="2" t="s">
        <v>82</v>
      </c>
      <c r="H241" s="2" t="s">
        <v>588</v>
      </c>
      <c r="I241" s="2" t="s">
        <v>589</v>
      </c>
      <c r="J241" s="3">
        <v>6</v>
      </c>
      <c r="K241" s="2" t="s">
        <v>279</v>
      </c>
      <c r="L241" s="3">
        <v>6</v>
      </c>
      <c r="M241" s="11">
        <v>1590000</v>
      </c>
      <c r="N241" s="3">
        <v>0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46287</v>
      </c>
      <c r="B242" s="1">
        <v>46286</v>
      </c>
      <c r="C242" s="2" t="s">
        <v>590</v>
      </c>
      <c r="D242" s="2" t="s">
        <v>550</v>
      </c>
      <c r="E242" s="2" t="s">
        <v>591</v>
      </c>
      <c r="F242" s="2" t="s">
        <v>20</v>
      </c>
      <c r="G242" s="2" t="s">
        <v>82</v>
      </c>
      <c r="H242" s="2" t="s">
        <v>592</v>
      </c>
      <c r="I242" s="2" t="s">
        <v>593</v>
      </c>
      <c r="J242" s="3">
        <v>6</v>
      </c>
      <c r="K242" s="2" t="s">
        <v>279</v>
      </c>
      <c r="L242" s="3">
        <v>6</v>
      </c>
      <c r="M242" s="11">
        <v>510000.02</v>
      </c>
      <c r="N242" s="3">
        <v>0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46287</v>
      </c>
      <c r="B243" s="1">
        <v>46286</v>
      </c>
      <c r="C243" s="2" t="s">
        <v>594</v>
      </c>
      <c r="D243" s="2" t="s">
        <v>550</v>
      </c>
      <c r="E243" s="2" t="s">
        <v>501</v>
      </c>
      <c r="F243" s="2" t="s">
        <v>20</v>
      </c>
      <c r="G243" s="2" t="s">
        <v>123</v>
      </c>
      <c r="H243" s="2" t="s">
        <v>595</v>
      </c>
      <c r="I243" s="2" t="s">
        <v>596</v>
      </c>
      <c r="J243" s="3">
        <v>25</v>
      </c>
      <c r="K243" s="2" t="s">
        <v>40</v>
      </c>
      <c r="L243" s="3">
        <v>25</v>
      </c>
      <c r="M243" s="11">
        <v>4125000.04</v>
      </c>
      <c r="N243" s="3">
        <v>0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46287</v>
      </c>
      <c r="B244" s="1">
        <v>46286</v>
      </c>
      <c r="C244" s="2" t="s">
        <v>597</v>
      </c>
      <c r="D244" s="2" t="s">
        <v>550</v>
      </c>
      <c r="E244" s="2" t="s">
        <v>598</v>
      </c>
      <c r="F244" s="2" t="s">
        <v>44</v>
      </c>
      <c r="G244" s="2" t="s">
        <v>30</v>
      </c>
      <c r="H244" s="2" t="s">
        <v>552</v>
      </c>
      <c r="I244" s="2" t="s">
        <v>553</v>
      </c>
      <c r="J244" s="3">
        <v>12</v>
      </c>
      <c r="K244" s="2" t="s">
        <v>24</v>
      </c>
      <c r="L244" s="3">
        <v>12</v>
      </c>
      <c r="M244" s="11">
        <v>348000</v>
      </c>
      <c r="N244" s="3">
        <v>0</v>
      </c>
      <c r="O244" s="2" t="s">
        <v>25</v>
      </c>
      <c r="P244" s="2" t="s">
        <v>26</v>
      </c>
      <c r="Q244" s="2" t="s">
        <v>34</v>
      </c>
    </row>
    <row r="245" spans="1:17" x14ac:dyDescent="0.25">
      <c r="A245" s="1">
        <v>46287</v>
      </c>
      <c r="B245" s="1">
        <v>46286</v>
      </c>
      <c r="C245" s="2" t="s">
        <v>599</v>
      </c>
      <c r="D245" s="2" t="s">
        <v>550</v>
      </c>
      <c r="E245" s="2" t="s">
        <v>600</v>
      </c>
      <c r="F245" s="2" t="s">
        <v>20</v>
      </c>
      <c r="G245" s="2" t="s">
        <v>58</v>
      </c>
      <c r="H245" s="2" t="s">
        <v>601</v>
      </c>
      <c r="I245" s="2" t="s">
        <v>602</v>
      </c>
      <c r="J245" s="3">
        <v>20</v>
      </c>
      <c r="K245" s="2" t="s">
        <v>24</v>
      </c>
      <c r="L245" s="3">
        <v>20</v>
      </c>
      <c r="M245" s="11">
        <v>2550000.0099999998</v>
      </c>
      <c r="N245" s="3">
        <v>0</v>
      </c>
      <c r="O245" s="2" t="s">
        <v>25</v>
      </c>
      <c r="P245" s="2" t="s">
        <v>26</v>
      </c>
      <c r="Q245" s="2" t="s">
        <v>34</v>
      </c>
    </row>
    <row r="246" spans="1:17" x14ac:dyDescent="0.25">
      <c r="A246" s="1">
        <v>46287</v>
      </c>
      <c r="B246" s="1">
        <v>46286</v>
      </c>
      <c r="C246" s="2" t="s">
        <v>599</v>
      </c>
      <c r="D246" s="2" t="s">
        <v>550</v>
      </c>
      <c r="E246" s="2" t="s">
        <v>600</v>
      </c>
      <c r="F246" s="2" t="s">
        <v>20</v>
      </c>
      <c r="G246" s="2" t="s">
        <v>58</v>
      </c>
      <c r="H246" s="2" t="s">
        <v>603</v>
      </c>
      <c r="I246" s="2" t="s">
        <v>604</v>
      </c>
      <c r="J246" s="3">
        <v>6</v>
      </c>
      <c r="K246" s="2" t="s">
        <v>24</v>
      </c>
      <c r="L246" s="3">
        <v>6</v>
      </c>
      <c r="M246" s="11">
        <v>885000</v>
      </c>
      <c r="N246" s="3">
        <v>0</v>
      </c>
      <c r="O246" s="2" t="s">
        <v>25</v>
      </c>
      <c r="P246" s="2" t="s">
        <v>26</v>
      </c>
      <c r="Q246" s="2" t="s">
        <v>34</v>
      </c>
    </row>
    <row r="247" spans="1:17" x14ac:dyDescent="0.25">
      <c r="A247" s="1">
        <v>46287</v>
      </c>
      <c r="B247" s="1">
        <v>46286</v>
      </c>
      <c r="C247" s="2" t="s">
        <v>605</v>
      </c>
      <c r="D247" s="2" t="s">
        <v>550</v>
      </c>
      <c r="E247" s="2" t="s">
        <v>606</v>
      </c>
      <c r="F247" s="2" t="s">
        <v>20</v>
      </c>
      <c r="G247" s="2" t="s">
        <v>113</v>
      </c>
      <c r="H247" s="2" t="s">
        <v>607</v>
      </c>
      <c r="I247" s="2" t="s">
        <v>608</v>
      </c>
      <c r="J247" s="3">
        <v>2</v>
      </c>
      <c r="K247" s="2" t="s">
        <v>414</v>
      </c>
      <c r="L247" s="3">
        <v>2</v>
      </c>
      <c r="M247" s="11">
        <v>210000</v>
      </c>
      <c r="N247" s="3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46287</v>
      </c>
      <c r="B248" s="1">
        <v>46286</v>
      </c>
      <c r="C248" s="2" t="s">
        <v>605</v>
      </c>
      <c r="D248" s="2" t="s">
        <v>550</v>
      </c>
      <c r="E248" s="2" t="s">
        <v>606</v>
      </c>
      <c r="F248" s="2" t="s">
        <v>20</v>
      </c>
      <c r="G248" s="2" t="s">
        <v>113</v>
      </c>
      <c r="H248" s="2" t="s">
        <v>609</v>
      </c>
      <c r="I248" s="2" t="s">
        <v>610</v>
      </c>
      <c r="J248" s="3">
        <v>2</v>
      </c>
      <c r="K248" s="2" t="s">
        <v>414</v>
      </c>
      <c r="L248" s="3">
        <v>2</v>
      </c>
      <c r="M248" s="11">
        <v>210000</v>
      </c>
      <c r="N248" s="3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46287</v>
      </c>
      <c r="B249" s="1">
        <v>46286</v>
      </c>
      <c r="C249" s="2" t="s">
        <v>611</v>
      </c>
      <c r="D249" s="2" t="s">
        <v>550</v>
      </c>
      <c r="E249" s="2" t="s">
        <v>612</v>
      </c>
      <c r="F249" s="2" t="s">
        <v>20</v>
      </c>
      <c r="G249" s="2" t="s">
        <v>182</v>
      </c>
      <c r="H249" s="2" t="s">
        <v>613</v>
      </c>
      <c r="I249" s="2" t="s">
        <v>614</v>
      </c>
      <c r="J249" s="3">
        <v>260</v>
      </c>
      <c r="K249" s="2" t="s">
        <v>414</v>
      </c>
      <c r="L249" s="3">
        <v>260</v>
      </c>
      <c r="M249" s="11">
        <v>17549999.77</v>
      </c>
      <c r="N249" s="3">
        <v>0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46287</v>
      </c>
      <c r="B250" s="1">
        <v>46286</v>
      </c>
      <c r="C250" s="2" t="s">
        <v>611</v>
      </c>
      <c r="D250" s="2" t="s">
        <v>550</v>
      </c>
      <c r="E250" s="2" t="s">
        <v>612</v>
      </c>
      <c r="F250" s="2" t="s">
        <v>20</v>
      </c>
      <c r="G250" s="2" t="s">
        <v>182</v>
      </c>
      <c r="H250" s="2" t="s">
        <v>615</v>
      </c>
      <c r="I250" s="2" t="s">
        <v>616</v>
      </c>
      <c r="J250" s="3">
        <v>40</v>
      </c>
      <c r="K250" s="2" t="s">
        <v>414</v>
      </c>
      <c r="L250" s="3">
        <v>40</v>
      </c>
      <c r="M250" s="11">
        <v>2699999.96</v>
      </c>
      <c r="N250" s="3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46287</v>
      </c>
      <c r="B251" s="1">
        <v>46286</v>
      </c>
      <c r="C251" s="2" t="s">
        <v>611</v>
      </c>
      <c r="D251" s="2" t="s">
        <v>550</v>
      </c>
      <c r="E251" s="2" t="s">
        <v>612</v>
      </c>
      <c r="F251" s="2" t="s">
        <v>20</v>
      </c>
      <c r="G251" s="2" t="s">
        <v>182</v>
      </c>
      <c r="H251" s="2" t="s">
        <v>617</v>
      </c>
      <c r="I251" s="2" t="s">
        <v>618</v>
      </c>
      <c r="J251" s="3">
        <v>300</v>
      </c>
      <c r="K251" s="2" t="s">
        <v>414</v>
      </c>
      <c r="L251" s="3">
        <v>300</v>
      </c>
      <c r="M251" s="11">
        <v>20249999.73</v>
      </c>
      <c r="N251" s="3">
        <v>0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46287</v>
      </c>
      <c r="B252" s="1">
        <v>46286</v>
      </c>
      <c r="C252" s="2" t="s">
        <v>619</v>
      </c>
      <c r="D252" s="2" t="s">
        <v>550</v>
      </c>
      <c r="E252" s="2" t="s">
        <v>620</v>
      </c>
      <c r="F252" s="2" t="s">
        <v>44</v>
      </c>
      <c r="G252" s="2" t="s">
        <v>77</v>
      </c>
      <c r="H252" s="2" t="s">
        <v>621</v>
      </c>
      <c r="I252" s="2" t="s">
        <v>622</v>
      </c>
      <c r="J252" s="3">
        <v>1</v>
      </c>
      <c r="K252" s="2" t="s">
        <v>24</v>
      </c>
      <c r="L252" s="3">
        <v>1</v>
      </c>
      <c r="M252" s="11">
        <v>80475</v>
      </c>
      <c r="N252" s="3">
        <v>0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46287</v>
      </c>
      <c r="B253" s="1">
        <v>46286</v>
      </c>
      <c r="C253" s="2" t="s">
        <v>619</v>
      </c>
      <c r="D253" s="2" t="s">
        <v>550</v>
      </c>
      <c r="E253" s="2" t="s">
        <v>620</v>
      </c>
      <c r="F253" s="2" t="s">
        <v>44</v>
      </c>
      <c r="G253" s="2" t="s">
        <v>77</v>
      </c>
      <c r="H253" s="2" t="s">
        <v>623</v>
      </c>
      <c r="I253" s="2" t="s">
        <v>624</v>
      </c>
      <c r="J253" s="3">
        <v>1</v>
      </c>
      <c r="K253" s="2" t="s">
        <v>24</v>
      </c>
      <c r="L253" s="3">
        <v>1</v>
      </c>
      <c r="M253" s="11">
        <v>99345</v>
      </c>
      <c r="N253" s="3">
        <v>0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46287</v>
      </c>
      <c r="B254" s="1">
        <v>46286</v>
      </c>
      <c r="C254" s="2" t="s">
        <v>619</v>
      </c>
      <c r="D254" s="2" t="s">
        <v>550</v>
      </c>
      <c r="E254" s="2" t="s">
        <v>620</v>
      </c>
      <c r="F254" s="2" t="s">
        <v>44</v>
      </c>
      <c r="G254" s="2" t="s">
        <v>77</v>
      </c>
      <c r="H254" s="2" t="s">
        <v>625</v>
      </c>
      <c r="I254" s="2" t="s">
        <v>626</v>
      </c>
      <c r="J254" s="3">
        <v>1</v>
      </c>
      <c r="K254" s="2" t="s">
        <v>24</v>
      </c>
      <c r="L254" s="3">
        <v>1</v>
      </c>
      <c r="M254" s="11">
        <v>95800</v>
      </c>
      <c r="N254" s="3">
        <v>0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46287</v>
      </c>
      <c r="B255" s="1">
        <v>46286</v>
      </c>
      <c r="C255" s="2" t="s">
        <v>627</v>
      </c>
      <c r="D255" s="2" t="s">
        <v>550</v>
      </c>
      <c r="E255" s="2" t="s">
        <v>628</v>
      </c>
      <c r="F255" s="2" t="s">
        <v>44</v>
      </c>
      <c r="G255" s="2" t="s">
        <v>77</v>
      </c>
      <c r="H255" s="2" t="s">
        <v>629</v>
      </c>
      <c r="I255" s="2" t="s">
        <v>630</v>
      </c>
      <c r="J255" s="3">
        <v>2</v>
      </c>
      <c r="K255" s="2" t="s">
        <v>414</v>
      </c>
      <c r="L255" s="3">
        <v>2</v>
      </c>
      <c r="M255" s="11">
        <v>220000</v>
      </c>
      <c r="N255" s="3">
        <v>0</v>
      </c>
      <c r="O255" s="2" t="s">
        <v>25</v>
      </c>
      <c r="P255" s="2" t="s">
        <v>26</v>
      </c>
      <c r="Q255" s="2" t="s">
        <v>34</v>
      </c>
    </row>
    <row r="256" spans="1:17" x14ac:dyDescent="0.25">
      <c r="A256" s="1">
        <v>46287</v>
      </c>
      <c r="B256" s="1">
        <v>46286</v>
      </c>
      <c r="C256" s="2" t="s">
        <v>627</v>
      </c>
      <c r="D256" s="2" t="s">
        <v>550</v>
      </c>
      <c r="E256" s="2" t="s">
        <v>628</v>
      </c>
      <c r="F256" s="2" t="s">
        <v>44</v>
      </c>
      <c r="G256" s="2" t="s">
        <v>77</v>
      </c>
      <c r="H256" s="2" t="s">
        <v>556</v>
      </c>
      <c r="I256" s="2" t="s">
        <v>557</v>
      </c>
      <c r="J256" s="3">
        <v>2</v>
      </c>
      <c r="K256" s="2" t="s">
        <v>414</v>
      </c>
      <c r="L256" s="3">
        <v>2</v>
      </c>
      <c r="M256" s="11">
        <v>220000.01</v>
      </c>
      <c r="N256" s="3">
        <v>0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46287</v>
      </c>
      <c r="B257" s="1">
        <v>46286</v>
      </c>
      <c r="C257" s="2" t="s">
        <v>627</v>
      </c>
      <c r="D257" s="2" t="s">
        <v>550</v>
      </c>
      <c r="E257" s="2" t="s">
        <v>628</v>
      </c>
      <c r="F257" s="2" t="s">
        <v>44</v>
      </c>
      <c r="G257" s="2" t="s">
        <v>77</v>
      </c>
      <c r="H257" s="2" t="s">
        <v>554</v>
      </c>
      <c r="I257" s="2" t="s">
        <v>555</v>
      </c>
      <c r="J257" s="3">
        <v>2</v>
      </c>
      <c r="K257" s="2" t="s">
        <v>414</v>
      </c>
      <c r="L257" s="3">
        <v>2</v>
      </c>
      <c r="M257" s="11">
        <v>220000</v>
      </c>
      <c r="N257" s="3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46287</v>
      </c>
      <c r="B258" s="1">
        <v>46286</v>
      </c>
      <c r="C258" s="2" t="s">
        <v>631</v>
      </c>
      <c r="D258" s="2" t="s">
        <v>550</v>
      </c>
      <c r="E258" s="2" t="s">
        <v>632</v>
      </c>
      <c r="F258" s="2" t="s">
        <v>44</v>
      </c>
      <c r="G258" s="2" t="s">
        <v>77</v>
      </c>
      <c r="H258" s="2" t="s">
        <v>633</v>
      </c>
      <c r="I258" s="2" t="s">
        <v>634</v>
      </c>
      <c r="J258" s="3">
        <v>1</v>
      </c>
      <c r="K258" s="2" t="s">
        <v>116</v>
      </c>
      <c r="L258" s="3">
        <v>1</v>
      </c>
      <c r="M258" s="11">
        <v>168510</v>
      </c>
      <c r="N258" s="3">
        <v>0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46287</v>
      </c>
      <c r="B259" s="1">
        <v>46286</v>
      </c>
      <c r="C259" s="2" t="s">
        <v>635</v>
      </c>
      <c r="D259" s="2" t="s">
        <v>550</v>
      </c>
      <c r="E259" s="2" t="s">
        <v>153</v>
      </c>
      <c r="F259" s="2" t="s">
        <v>20</v>
      </c>
      <c r="G259" s="2" t="s">
        <v>123</v>
      </c>
      <c r="H259" s="2" t="s">
        <v>595</v>
      </c>
      <c r="I259" s="2" t="s">
        <v>596</v>
      </c>
      <c r="J259" s="3">
        <v>25</v>
      </c>
      <c r="K259" s="2" t="s">
        <v>40</v>
      </c>
      <c r="L259" s="3">
        <v>25</v>
      </c>
      <c r="M259" s="11">
        <v>4125000.04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46287</v>
      </c>
      <c r="B260" s="1">
        <v>46286</v>
      </c>
      <c r="C260" s="2" t="s">
        <v>636</v>
      </c>
      <c r="D260" s="2" t="s">
        <v>550</v>
      </c>
      <c r="E260" s="2" t="s">
        <v>637</v>
      </c>
      <c r="F260" s="2" t="s">
        <v>20</v>
      </c>
      <c r="G260" s="2" t="s">
        <v>30</v>
      </c>
      <c r="H260" s="2" t="s">
        <v>629</v>
      </c>
      <c r="I260" s="2" t="s">
        <v>630</v>
      </c>
      <c r="J260" s="3">
        <v>1</v>
      </c>
      <c r="K260" s="2" t="s">
        <v>414</v>
      </c>
      <c r="L260" s="3">
        <v>1</v>
      </c>
      <c r="M260" s="11">
        <v>99000</v>
      </c>
      <c r="N260" s="3">
        <v>0</v>
      </c>
      <c r="O260" s="2" t="s">
        <v>25</v>
      </c>
      <c r="P260" s="2" t="s">
        <v>26</v>
      </c>
      <c r="Q260" s="2" t="s">
        <v>34</v>
      </c>
    </row>
    <row r="261" spans="1:17" x14ac:dyDescent="0.25">
      <c r="A261" s="1">
        <v>46287</v>
      </c>
      <c r="B261" s="1">
        <v>46286</v>
      </c>
      <c r="C261" s="2" t="s">
        <v>636</v>
      </c>
      <c r="D261" s="2" t="s">
        <v>550</v>
      </c>
      <c r="E261" s="2" t="s">
        <v>637</v>
      </c>
      <c r="F261" s="2" t="s">
        <v>20</v>
      </c>
      <c r="G261" s="2" t="s">
        <v>30</v>
      </c>
      <c r="H261" s="2" t="s">
        <v>556</v>
      </c>
      <c r="I261" s="2" t="s">
        <v>557</v>
      </c>
      <c r="J261" s="3">
        <v>4</v>
      </c>
      <c r="K261" s="2" t="s">
        <v>414</v>
      </c>
      <c r="L261" s="3">
        <v>4</v>
      </c>
      <c r="M261" s="11">
        <v>396000</v>
      </c>
      <c r="N261" s="3">
        <v>0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46287</v>
      </c>
      <c r="B262" s="1">
        <v>46286</v>
      </c>
      <c r="C262" s="2" t="s">
        <v>636</v>
      </c>
      <c r="D262" s="2" t="s">
        <v>550</v>
      </c>
      <c r="E262" s="2" t="s">
        <v>637</v>
      </c>
      <c r="F262" s="2" t="s">
        <v>20</v>
      </c>
      <c r="G262" s="2" t="s">
        <v>30</v>
      </c>
      <c r="H262" s="2" t="s">
        <v>607</v>
      </c>
      <c r="I262" s="2" t="s">
        <v>608</v>
      </c>
      <c r="J262" s="3">
        <v>4</v>
      </c>
      <c r="K262" s="2" t="s">
        <v>414</v>
      </c>
      <c r="L262" s="3">
        <v>4</v>
      </c>
      <c r="M262" s="11">
        <v>396000</v>
      </c>
      <c r="N262" s="3">
        <v>0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46287</v>
      </c>
      <c r="B263" s="1">
        <v>46286</v>
      </c>
      <c r="C263" s="2" t="s">
        <v>636</v>
      </c>
      <c r="D263" s="2" t="s">
        <v>550</v>
      </c>
      <c r="E263" s="2" t="s">
        <v>637</v>
      </c>
      <c r="F263" s="2" t="s">
        <v>20</v>
      </c>
      <c r="G263" s="2" t="s">
        <v>30</v>
      </c>
      <c r="H263" s="2" t="s">
        <v>638</v>
      </c>
      <c r="I263" s="2" t="s">
        <v>639</v>
      </c>
      <c r="J263" s="3">
        <v>2</v>
      </c>
      <c r="K263" s="2" t="s">
        <v>414</v>
      </c>
      <c r="L263" s="3">
        <v>2</v>
      </c>
      <c r="M263" s="11">
        <v>198000.02</v>
      </c>
      <c r="N263" s="3">
        <v>0</v>
      </c>
      <c r="O263" s="2" t="s">
        <v>25</v>
      </c>
      <c r="P263" s="2" t="s">
        <v>26</v>
      </c>
      <c r="Q263" s="2" t="s">
        <v>34</v>
      </c>
    </row>
    <row r="264" spans="1:17" x14ac:dyDescent="0.25">
      <c r="A264" s="1">
        <v>46287</v>
      </c>
      <c r="B264" s="1">
        <v>46286</v>
      </c>
      <c r="C264" s="2" t="s">
        <v>636</v>
      </c>
      <c r="D264" s="2" t="s">
        <v>550</v>
      </c>
      <c r="E264" s="2" t="s">
        <v>637</v>
      </c>
      <c r="F264" s="2" t="s">
        <v>20</v>
      </c>
      <c r="G264" s="2" t="s">
        <v>30</v>
      </c>
      <c r="H264" s="2" t="s">
        <v>558</v>
      </c>
      <c r="I264" s="2" t="s">
        <v>559</v>
      </c>
      <c r="J264" s="3">
        <v>3</v>
      </c>
      <c r="K264" s="2" t="s">
        <v>414</v>
      </c>
      <c r="L264" s="3">
        <v>3</v>
      </c>
      <c r="M264" s="11">
        <v>297000</v>
      </c>
      <c r="N264" s="3">
        <v>0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46287</v>
      </c>
      <c r="B265" s="1">
        <v>46286</v>
      </c>
      <c r="C265" s="2" t="s">
        <v>636</v>
      </c>
      <c r="D265" s="2" t="s">
        <v>550</v>
      </c>
      <c r="E265" s="2" t="s">
        <v>637</v>
      </c>
      <c r="F265" s="2" t="s">
        <v>20</v>
      </c>
      <c r="G265" s="2" t="s">
        <v>30</v>
      </c>
      <c r="H265" s="2" t="s">
        <v>584</v>
      </c>
      <c r="I265" s="2" t="s">
        <v>585</v>
      </c>
      <c r="J265" s="3">
        <v>4</v>
      </c>
      <c r="K265" s="2" t="s">
        <v>414</v>
      </c>
      <c r="L265" s="3">
        <v>4</v>
      </c>
      <c r="M265" s="11">
        <v>396000</v>
      </c>
      <c r="N265" s="3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46287</v>
      </c>
      <c r="B266" s="1">
        <v>46286</v>
      </c>
      <c r="C266" s="2" t="s">
        <v>636</v>
      </c>
      <c r="D266" s="2" t="s">
        <v>550</v>
      </c>
      <c r="E266" s="2" t="s">
        <v>637</v>
      </c>
      <c r="F266" s="2" t="s">
        <v>20</v>
      </c>
      <c r="G266" s="2" t="s">
        <v>30</v>
      </c>
      <c r="H266" s="2" t="s">
        <v>640</v>
      </c>
      <c r="I266" s="2" t="s">
        <v>641</v>
      </c>
      <c r="J266" s="3">
        <v>3</v>
      </c>
      <c r="K266" s="2" t="s">
        <v>414</v>
      </c>
      <c r="L266" s="3">
        <v>3</v>
      </c>
      <c r="M266" s="11">
        <v>330000</v>
      </c>
      <c r="N266" s="3">
        <v>0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46287</v>
      </c>
      <c r="B267" s="1">
        <v>46286</v>
      </c>
      <c r="C267" s="2" t="s">
        <v>636</v>
      </c>
      <c r="D267" s="2" t="s">
        <v>550</v>
      </c>
      <c r="E267" s="2" t="s">
        <v>637</v>
      </c>
      <c r="F267" s="2" t="s">
        <v>20</v>
      </c>
      <c r="G267" s="2" t="s">
        <v>30</v>
      </c>
      <c r="H267" s="2" t="s">
        <v>554</v>
      </c>
      <c r="I267" s="2" t="s">
        <v>555</v>
      </c>
      <c r="J267" s="3">
        <v>5</v>
      </c>
      <c r="K267" s="2" t="s">
        <v>414</v>
      </c>
      <c r="L267" s="3">
        <v>5</v>
      </c>
      <c r="M267" s="11">
        <v>495000.01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46287</v>
      </c>
      <c r="B268" s="1">
        <v>46286</v>
      </c>
      <c r="C268" s="2" t="s">
        <v>636</v>
      </c>
      <c r="D268" s="2" t="s">
        <v>550</v>
      </c>
      <c r="E268" s="2" t="s">
        <v>637</v>
      </c>
      <c r="F268" s="2" t="s">
        <v>20</v>
      </c>
      <c r="G268" s="2" t="s">
        <v>30</v>
      </c>
      <c r="H268" s="2" t="s">
        <v>633</v>
      </c>
      <c r="I268" s="2" t="s">
        <v>634</v>
      </c>
      <c r="J268" s="3">
        <v>4</v>
      </c>
      <c r="K268" s="2" t="s">
        <v>116</v>
      </c>
      <c r="L268" s="3">
        <v>4</v>
      </c>
      <c r="M268" s="11">
        <v>606636</v>
      </c>
      <c r="N268" s="3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46287</v>
      </c>
      <c r="B269" s="1">
        <v>46286</v>
      </c>
      <c r="C269" s="2" t="s">
        <v>636</v>
      </c>
      <c r="D269" s="2" t="s">
        <v>550</v>
      </c>
      <c r="E269" s="2" t="s">
        <v>637</v>
      </c>
      <c r="F269" s="2" t="s">
        <v>20</v>
      </c>
      <c r="G269" s="2" t="s">
        <v>30</v>
      </c>
      <c r="H269" s="2" t="s">
        <v>642</v>
      </c>
      <c r="I269" s="2" t="s">
        <v>643</v>
      </c>
      <c r="J269" s="3">
        <v>3</v>
      </c>
      <c r="K269" s="2" t="s">
        <v>116</v>
      </c>
      <c r="L269" s="3">
        <v>3</v>
      </c>
      <c r="M269" s="11">
        <v>445054.5</v>
      </c>
      <c r="N269" s="3">
        <v>0</v>
      </c>
      <c r="O269" s="2" t="s">
        <v>25</v>
      </c>
      <c r="P269" s="2" t="s">
        <v>26</v>
      </c>
      <c r="Q269" s="2" t="s">
        <v>34</v>
      </c>
    </row>
    <row r="270" spans="1:17" x14ac:dyDescent="0.25">
      <c r="A270" s="1">
        <v>46287</v>
      </c>
      <c r="B270" s="1">
        <v>46286</v>
      </c>
      <c r="C270" s="2" t="s">
        <v>636</v>
      </c>
      <c r="D270" s="2" t="s">
        <v>550</v>
      </c>
      <c r="E270" s="2" t="s">
        <v>637</v>
      </c>
      <c r="F270" s="2" t="s">
        <v>20</v>
      </c>
      <c r="G270" s="2" t="s">
        <v>30</v>
      </c>
      <c r="H270" s="2" t="s">
        <v>644</v>
      </c>
      <c r="I270" s="2" t="s">
        <v>645</v>
      </c>
      <c r="J270" s="3">
        <v>4</v>
      </c>
      <c r="K270" s="2" t="s">
        <v>24</v>
      </c>
      <c r="L270" s="3">
        <v>4</v>
      </c>
      <c r="M270" s="11">
        <v>563436</v>
      </c>
      <c r="N270" s="3">
        <v>0</v>
      </c>
      <c r="O270" s="2" t="s">
        <v>25</v>
      </c>
      <c r="P270" s="2" t="s">
        <v>26</v>
      </c>
      <c r="Q270" s="2" t="s">
        <v>34</v>
      </c>
    </row>
    <row r="271" spans="1:17" x14ac:dyDescent="0.25">
      <c r="A271" s="1">
        <v>46287</v>
      </c>
      <c r="B271" s="1">
        <v>46286</v>
      </c>
      <c r="C271" s="2" t="s">
        <v>646</v>
      </c>
      <c r="D271" s="2" t="s">
        <v>550</v>
      </c>
      <c r="E271" s="2" t="s">
        <v>647</v>
      </c>
      <c r="F271" s="2" t="s">
        <v>20</v>
      </c>
      <c r="G271" s="2" t="s">
        <v>167</v>
      </c>
      <c r="H271" s="2" t="s">
        <v>648</v>
      </c>
      <c r="I271" s="2" t="s">
        <v>649</v>
      </c>
      <c r="J271" s="3">
        <v>4</v>
      </c>
      <c r="K271" s="2" t="s">
        <v>149</v>
      </c>
      <c r="L271" s="3">
        <v>4</v>
      </c>
      <c r="M271" s="11">
        <v>2000000</v>
      </c>
      <c r="N271" s="3">
        <v>0</v>
      </c>
      <c r="O271" s="2" t="s">
        <v>25</v>
      </c>
      <c r="P271" s="2" t="s">
        <v>26</v>
      </c>
      <c r="Q271" s="2" t="s">
        <v>34</v>
      </c>
    </row>
    <row r="272" spans="1:17" x14ac:dyDescent="0.25">
      <c r="A272" s="1">
        <v>46287</v>
      </c>
      <c r="B272" s="1">
        <v>46286</v>
      </c>
      <c r="C272" s="2" t="s">
        <v>650</v>
      </c>
      <c r="D272" s="2" t="s">
        <v>550</v>
      </c>
      <c r="E272" s="2" t="s">
        <v>651</v>
      </c>
      <c r="F272" s="2" t="s">
        <v>20</v>
      </c>
      <c r="G272" s="2" t="s">
        <v>77</v>
      </c>
      <c r="H272" s="2" t="s">
        <v>625</v>
      </c>
      <c r="I272" s="2" t="s">
        <v>626</v>
      </c>
      <c r="J272" s="3">
        <v>40</v>
      </c>
      <c r="K272" s="2" t="s">
        <v>24</v>
      </c>
      <c r="L272" s="3">
        <v>40</v>
      </c>
      <c r="M272" s="11">
        <v>3448800.15</v>
      </c>
      <c r="N272" s="3">
        <v>0</v>
      </c>
      <c r="O272" s="2" t="s">
        <v>25</v>
      </c>
      <c r="P272" s="2" t="s">
        <v>26</v>
      </c>
      <c r="Q272" s="2" t="s">
        <v>652</v>
      </c>
    </row>
    <row r="273" spans="1:17" x14ac:dyDescent="0.25">
      <c r="A273" s="1">
        <v>46287</v>
      </c>
      <c r="B273" s="1">
        <v>46286</v>
      </c>
      <c r="C273" s="2" t="s">
        <v>650</v>
      </c>
      <c r="D273" s="2" t="s">
        <v>550</v>
      </c>
      <c r="E273" s="2" t="s">
        <v>651</v>
      </c>
      <c r="F273" s="2" t="s">
        <v>20</v>
      </c>
      <c r="G273" s="2" t="s">
        <v>77</v>
      </c>
      <c r="H273" s="2" t="s">
        <v>584</v>
      </c>
      <c r="I273" s="2" t="s">
        <v>585</v>
      </c>
      <c r="J273" s="3">
        <v>2</v>
      </c>
      <c r="K273" s="2" t="s">
        <v>414</v>
      </c>
      <c r="L273" s="3">
        <v>2</v>
      </c>
      <c r="M273" s="11">
        <v>220000</v>
      </c>
      <c r="N273" s="3">
        <v>0</v>
      </c>
      <c r="O273" s="2" t="s">
        <v>25</v>
      </c>
      <c r="P273" s="2" t="s">
        <v>26</v>
      </c>
      <c r="Q273" s="2" t="s">
        <v>652</v>
      </c>
    </row>
    <row r="274" spans="1:17" x14ac:dyDescent="0.25">
      <c r="A274" s="1">
        <v>46287</v>
      </c>
      <c r="B274" s="1">
        <v>46286</v>
      </c>
      <c r="C274" s="2" t="s">
        <v>650</v>
      </c>
      <c r="D274" s="2" t="s">
        <v>550</v>
      </c>
      <c r="E274" s="2" t="s">
        <v>651</v>
      </c>
      <c r="F274" s="2" t="s">
        <v>20</v>
      </c>
      <c r="G274" s="2" t="s">
        <v>77</v>
      </c>
      <c r="H274" s="2" t="s">
        <v>653</v>
      </c>
      <c r="I274" s="2" t="s">
        <v>654</v>
      </c>
      <c r="J274" s="3">
        <v>10</v>
      </c>
      <c r="K274" s="2" t="s">
        <v>24</v>
      </c>
      <c r="L274" s="3">
        <v>10</v>
      </c>
      <c r="M274" s="11">
        <v>806985.01</v>
      </c>
      <c r="N274" s="3">
        <v>0</v>
      </c>
      <c r="O274" s="2" t="s">
        <v>25</v>
      </c>
      <c r="P274" s="2" t="s">
        <v>26</v>
      </c>
      <c r="Q274" s="2" t="s">
        <v>652</v>
      </c>
    </row>
    <row r="275" spans="1:17" x14ac:dyDescent="0.25">
      <c r="A275" s="1">
        <v>46287</v>
      </c>
      <c r="B275" s="1">
        <v>46286</v>
      </c>
      <c r="C275" s="2" t="s">
        <v>655</v>
      </c>
      <c r="D275" s="2" t="s">
        <v>550</v>
      </c>
      <c r="E275" s="2" t="s">
        <v>656</v>
      </c>
      <c r="F275" s="2" t="s">
        <v>44</v>
      </c>
      <c r="G275" s="2" t="s">
        <v>77</v>
      </c>
      <c r="H275" s="2" t="s">
        <v>633</v>
      </c>
      <c r="I275" s="2" t="s">
        <v>634</v>
      </c>
      <c r="J275" s="3">
        <v>4</v>
      </c>
      <c r="K275" s="2" t="s">
        <v>116</v>
      </c>
      <c r="L275" s="3">
        <v>4</v>
      </c>
      <c r="M275" s="11">
        <v>674040</v>
      </c>
      <c r="N275" s="3">
        <v>0</v>
      </c>
      <c r="O275" s="2" t="s">
        <v>25</v>
      </c>
      <c r="P275" s="2" t="s">
        <v>26</v>
      </c>
      <c r="Q275" s="2" t="s">
        <v>657</v>
      </c>
    </row>
    <row r="276" spans="1:17" x14ac:dyDescent="0.25">
      <c r="A276" s="1">
        <v>46287</v>
      </c>
      <c r="B276" s="1">
        <v>46286</v>
      </c>
      <c r="C276" s="2" t="s">
        <v>658</v>
      </c>
      <c r="D276" s="2" t="s">
        <v>550</v>
      </c>
      <c r="E276" s="2" t="s">
        <v>159</v>
      </c>
      <c r="F276" s="2" t="s">
        <v>20</v>
      </c>
      <c r="G276" s="2" t="s">
        <v>82</v>
      </c>
      <c r="H276" s="2" t="s">
        <v>592</v>
      </c>
      <c r="I276" s="2" t="s">
        <v>593</v>
      </c>
      <c r="J276" s="3">
        <v>30</v>
      </c>
      <c r="K276" s="2" t="s">
        <v>279</v>
      </c>
      <c r="L276" s="3">
        <v>30</v>
      </c>
      <c r="M276" s="11">
        <v>2609999.9900000002</v>
      </c>
      <c r="N276" s="3">
        <v>0</v>
      </c>
      <c r="O276" s="2" t="s">
        <v>25</v>
      </c>
      <c r="P276" s="2" t="s">
        <v>26</v>
      </c>
      <c r="Q276" s="2" t="s">
        <v>34</v>
      </c>
    </row>
    <row r="277" spans="1:17" x14ac:dyDescent="0.25">
      <c r="A277" s="1">
        <v>46287</v>
      </c>
      <c r="B277" s="1">
        <v>46286</v>
      </c>
      <c r="C277" s="2" t="s">
        <v>659</v>
      </c>
      <c r="D277" s="2" t="s">
        <v>550</v>
      </c>
      <c r="E277" s="2" t="s">
        <v>660</v>
      </c>
      <c r="F277" s="2" t="s">
        <v>44</v>
      </c>
      <c r="G277" s="2" t="s">
        <v>167</v>
      </c>
      <c r="H277" s="2" t="s">
        <v>648</v>
      </c>
      <c r="I277" s="2" t="s">
        <v>649</v>
      </c>
      <c r="J277" s="3">
        <v>3</v>
      </c>
      <c r="K277" s="2" t="s">
        <v>149</v>
      </c>
      <c r="L277" s="3">
        <v>3</v>
      </c>
      <c r="M277" s="11">
        <v>1650000.02</v>
      </c>
      <c r="N277" s="3">
        <v>0</v>
      </c>
      <c r="O277" s="2" t="s">
        <v>25</v>
      </c>
      <c r="P277" s="2" t="s">
        <v>26</v>
      </c>
      <c r="Q277" s="2" t="s">
        <v>34</v>
      </c>
    </row>
    <row r="278" spans="1:17" x14ac:dyDescent="0.25">
      <c r="A278" s="1">
        <v>46287</v>
      </c>
      <c r="B278" s="1">
        <v>46286</v>
      </c>
      <c r="C278" s="2" t="s">
        <v>661</v>
      </c>
      <c r="D278" s="2" t="s">
        <v>550</v>
      </c>
      <c r="E278" s="2" t="s">
        <v>662</v>
      </c>
      <c r="F278" s="2" t="s">
        <v>20</v>
      </c>
      <c r="G278" s="2" t="s">
        <v>160</v>
      </c>
      <c r="H278" s="2" t="s">
        <v>663</v>
      </c>
      <c r="I278" s="2" t="s">
        <v>664</v>
      </c>
      <c r="J278" s="3">
        <v>2</v>
      </c>
      <c r="K278" s="2" t="s">
        <v>24</v>
      </c>
      <c r="L278" s="3">
        <v>2</v>
      </c>
      <c r="M278" s="11">
        <v>236000</v>
      </c>
      <c r="N278" s="3">
        <v>0</v>
      </c>
      <c r="O278" s="2" t="s">
        <v>25</v>
      </c>
      <c r="P278" s="2" t="s">
        <v>26</v>
      </c>
      <c r="Q278" s="2" t="s">
        <v>34</v>
      </c>
    </row>
    <row r="279" spans="1:17" x14ac:dyDescent="0.25">
      <c r="A279" s="1">
        <v>46287</v>
      </c>
      <c r="B279" s="1">
        <v>46286</v>
      </c>
      <c r="C279" s="2" t="s">
        <v>661</v>
      </c>
      <c r="D279" s="2" t="s">
        <v>550</v>
      </c>
      <c r="E279" s="2" t="s">
        <v>662</v>
      </c>
      <c r="F279" s="2" t="s">
        <v>20</v>
      </c>
      <c r="G279" s="2" t="s">
        <v>160</v>
      </c>
      <c r="H279" s="2" t="s">
        <v>633</v>
      </c>
      <c r="I279" s="2" t="s">
        <v>634</v>
      </c>
      <c r="J279" s="3">
        <v>1</v>
      </c>
      <c r="K279" s="2" t="s">
        <v>116</v>
      </c>
      <c r="L279" s="3">
        <v>1</v>
      </c>
      <c r="M279" s="11">
        <v>168510</v>
      </c>
      <c r="N279" s="3">
        <v>0</v>
      </c>
      <c r="O279" s="2" t="s">
        <v>25</v>
      </c>
      <c r="P279" s="2" t="s">
        <v>26</v>
      </c>
      <c r="Q279" s="2" t="s">
        <v>34</v>
      </c>
    </row>
    <row r="280" spans="1:17" x14ac:dyDescent="0.25">
      <c r="A280" s="1">
        <v>46287</v>
      </c>
      <c r="B280" s="1">
        <v>46286</v>
      </c>
      <c r="C280" s="2" t="s">
        <v>665</v>
      </c>
      <c r="D280" s="2" t="s">
        <v>550</v>
      </c>
      <c r="E280" s="2" t="s">
        <v>666</v>
      </c>
      <c r="F280" s="2" t="s">
        <v>20</v>
      </c>
      <c r="G280" s="2" t="s">
        <v>113</v>
      </c>
      <c r="H280" s="2" t="s">
        <v>648</v>
      </c>
      <c r="I280" s="2" t="s">
        <v>649</v>
      </c>
      <c r="J280" s="3">
        <v>3</v>
      </c>
      <c r="K280" s="2" t="s">
        <v>149</v>
      </c>
      <c r="L280" s="3">
        <v>3</v>
      </c>
      <c r="M280" s="11">
        <v>1590000</v>
      </c>
      <c r="N280" s="3">
        <v>0</v>
      </c>
      <c r="O280" s="2" t="s">
        <v>25</v>
      </c>
      <c r="P280" s="2" t="s">
        <v>26</v>
      </c>
      <c r="Q280" s="2" t="s">
        <v>34</v>
      </c>
    </row>
    <row r="281" spans="1:17" x14ac:dyDescent="0.25">
      <c r="A281" s="1">
        <v>46287</v>
      </c>
      <c r="B281" s="1">
        <v>46286</v>
      </c>
      <c r="C281" s="2" t="s">
        <v>667</v>
      </c>
      <c r="D281" s="2" t="s">
        <v>550</v>
      </c>
      <c r="E281" s="2" t="s">
        <v>668</v>
      </c>
      <c r="F281" s="2" t="s">
        <v>44</v>
      </c>
      <c r="G281" s="2" t="s">
        <v>45</v>
      </c>
      <c r="H281" s="2" t="s">
        <v>633</v>
      </c>
      <c r="I281" s="2" t="s">
        <v>634</v>
      </c>
      <c r="J281" s="3">
        <v>2</v>
      </c>
      <c r="K281" s="2" t="s">
        <v>116</v>
      </c>
      <c r="L281" s="3">
        <v>2</v>
      </c>
      <c r="M281" s="11">
        <v>337020</v>
      </c>
      <c r="N281" s="3">
        <v>0</v>
      </c>
      <c r="O281" s="2" t="s">
        <v>25</v>
      </c>
      <c r="P281" s="2" t="s">
        <v>26</v>
      </c>
      <c r="Q281" s="2" t="s">
        <v>34</v>
      </c>
    </row>
    <row r="282" spans="1:17" x14ac:dyDescent="0.25">
      <c r="A282" s="1">
        <v>46287</v>
      </c>
      <c r="B282" s="1">
        <v>46286</v>
      </c>
      <c r="C282" s="2" t="s">
        <v>667</v>
      </c>
      <c r="D282" s="2" t="s">
        <v>550</v>
      </c>
      <c r="E282" s="2" t="s">
        <v>668</v>
      </c>
      <c r="F282" s="2" t="s">
        <v>44</v>
      </c>
      <c r="G282" s="2" t="s">
        <v>45</v>
      </c>
      <c r="H282" s="2" t="s">
        <v>642</v>
      </c>
      <c r="I282" s="2" t="s">
        <v>643</v>
      </c>
      <c r="J282" s="3">
        <v>1</v>
      </c>
      <c r="K282" s="2" t="s">
        <v>116</v>
      </c>
      <c r="L282" s="3">
        <v>1</v>
      </c>
      <c r="M282" s="11">
        <v>164835</v>
      </c>
      <c r="N282" s="3">
        <v>0</v>
      </c>
      <c r="O282" s="2" t="s">
        <v>25</v>
      </c>
      <c r="P282" s="2" t="s">
        <v>26</v>
      </c>
      <c r="Q282" s="2" t="s">
        <v>34</v>
      </c>
    </row>
    <row r="283" spans="1:17" x14ac:dyDescent="0.25">
      <c r="A283" s="1">
        <v>46287</v>
      </c>
      <c r="B283" s="1">
        <v>46286</v>
      </c>
      <c r="C283" s="2" t="s">
        <v>669</v>
      </c>
      <c r="D283" s="2" t="s">
        <v>550</v>
      </c>
      <c r="E283" s="2" t="s">
        <v>454</v>
      </c>
      <c r="F283" s="2" t="s">
        <v>44</v>
      </c>
      <c r="G283" s="2" t="s">
        <v>77</v>
      </c>
      <c r="H283" s="2" t="s">
        <v>633</v>
      </c>
      <c r="I283" s="2" t="s">
        <v>634</v>
      </c>
      <c r="J283" s="3">
        <v>1</v>
      </c>
      <c r="K283" s="2" t="s">
        <v>116</v>
      </c>
      <c r="L283" s="3">
        <v>1</v>
      </c>
      <c r="M283" s="11">
        <v>168510</v>
      </c>
      <c r="N283" s="3">
        <v>0</v>
      </c>
      <c r="O283" s="2" t="s">
        <v>25</v>
      </c>
      <c r="P283" s="2" t="s">
        <v>26</v>
      </c>
      <c r="Q283" s="2" t="s">
        <v>34</v>
      </c>
    </row>
    <row r="284" spans="1:17" x14ac:dyDescent="0.25">
      <c r="A284" s="1">
        <v>46287</v>
      </c>
      <c r="B284" s="1">
        <v>46286</v>
      </c>
      <c r="C284" s="2" t="s">
        <v>669</v>
      </c>
      <c r="D284" s="2" t="s">
        <v>550</v>
      </c>
      <c r="E284" s="2" t="s">
        <v>454</v>
      </c>
      <c r="F284" s="2" t="s">
        <v>44</v>
      </c>
      <c r="G284" s="2" t="s">
        <v>77</v>
      </c>
      <c r="H284" s="2" t="s">
        <v>642</v>
      </c>
      <c r="I284" s="2" t="s">
        <v>643</v>
      </c>
      <c r="J284" s="3">
        <v>1</v>
      </c>
      <c r="K284" s="2" t="s">
        <v>116</v>
      </c>
      <c r="L284" s="3">
        <v>1</v>
      </c>
      <c r="M284" s="11">
        <v>164835</v>
      </c>
      <c r="N284" s="3">
        <v>0</v>
      </c>
      <c r="O284" s="2" t="s">
        <v>25</v>
      </c>
      <c r="P284" s="2" t="s">
        <v>26</v>
      </c>
      <c r="Q284" s="2" t="s">
        <v>34</v>
      </c>
    </row>
    <row r="285" spans="1:17" x14ac:dyDescent="0.25">
      <c r="A285" s="1">
        <v>46287</v>
      </c>
      <c r="B285" s="1">
        <v>46286</v>
      </c>
      <c r="C285" s="2" t="s">
        <v>669</v>
      </c>
      <c r="D285" s="2" t="s">
        <v>550</v>
      </c>
      <c r="E285" s="2" t="s">
        <v>454</v>
      </c>
      <c r="F285" s="2" t="s">
        <v>44</v>
      </c>
      <c r="G285" s="2" t="s">
        <v>77</v>
      </c>
      <c r="H285" s="2" t="s">
        <v>607</v>
      </c>
      <c r="I285" s="2" t="s">
        <v>608</v>
      </c>
      <c r="J285" s="3">
        <v>1</v>
      </c>
      <c r="K285" s="2" t="s">
        <v>414</v>
      </c>
      <c r="L285" s="3">
        <v>1</v>
      </c>
      <c r="M285" s="11">
        <v>110000</v>
      </c>
      <c r="N285" s="3">
        <v>0</v>
      </c>
      <c r="O285" s="2" t="s">
        <v>25</v>
      </c>
      <c r="P285" s="2" t="s">
        <v>26</v>
      </c>
      <c r="Q285" s="2" t="s">
        <v>34</v>
      </c>
    </row>
    <row r="286" spans="1:17" x14ac:dyDescent="0.25">
      <c r="A286" s="1">
        <v>46287</v>
      </c>
      <c r="B286" s="1">
        <v>46286</v>
      </c>
      <c r="C286" s="2" t="s">
        <v>670</v>
      </c>
      <c r="D286" s="2" t="s">
        <v>550</v>
      </c>
      <c r="E286" s="2" t="s">
        <v>193</v>
      </c>
      <c r="F286" s="2" t="s">
        <v>44</v>
      </c>
      <c r="G286" s="2" t="s">
        <v>167</v>
      </c>
      <c r="H286" s="2" t="s">
        <v>648</v>
      </c>
      <c r="I286" s="2" t="s">
        <v>649</v>
      </c>
      <c r="J286" s="3">
        <v>5</v>
      </c>
      <c r="K286" s="2" t="s">
        <v>149</v>
      </c>
      <c r="L286" s="3">
        <v>5</v>
      </c>
      <c r="M286" s="11">
        <v>3100000.01</v>
      </c>
      <c r="N286" s="3">
        <v>0</v>
      </c>
      <c r="O286" s="2" t="s">
        <v>25</v>
      </c>
      <c r="P286" s="2" t="s">
        <v>26</v>
      </c>
      <c r="Q286" s="2" t="s">
        <v>34</v>
      </c>
    </row>
    <row r="287" spans="1:17" x14ac:dyDescent="0.25">
      <c r="A287" s="1">
        <v>46287</v>
      </c>
      <c r="B287" s="1">
        <v>46286</v>
      </c>
      <c r="C287" s="2" t="s">
        <v>671</v>
      </c>
      <c r="D287" s="2" t="s">
        <v>550</v>
      </c>
      <c r="E287" s="2" t="s">
        <v>537</v>
      </c>
      <c r="F287" s="2" t="s">
        <v>20</v>
      </c>
      <c r="G287" s="2" t="s">
        <v>58</v>
      </c>
      <c r="H287" s="2" t="s">
        <v>648</v>
      </c>
      <c r="I287" s="2" t="s">
        <v>649</v>
      </c>
      <c r="J287" s="3">
        <v>2</v>
      </c>
      <c r="K287" s="2" t="s">
        <v>149</v>
      </c>
      <c r="L287" s="3">
        <v>2</v>
      </c>
      <c r="M287" s="11">
        <v>959999.99</v>
      </c>
      <c r="N287" s="3">
        <v>0</v>
      </c>
      <c r="O287" s="2" t="s">
        <v>25</v>
      </c>
      <c r="P287" s="2" t="s">
        <v>26</v>
      </c>
      <c r="Q287" s="2" t="s">
        <v>672</v>
      </c>
    </row>
    <row r="288" spans="1:17" x14ac:dyDescent="0.25">
      <c r="A288" s="1">
        <v>46287</v>
      </c>
      <c r="B288" s="1">
        <v>46286</v>
      </c>
      <c r="C288" s="2" t="s">
        <v>673</v>
      </c>
      <c r="D288" s="2" t="s">
        <v>550</v>
      </c>
      <c r="E288" s="2" t="s">
        <v>674</v>
      </c>
      <c r="F288" s="2" t="s">
        <v>44</v>
      </c>
      <c r="G288" s="2" t="s">
        <v>37</v>
      </c>
      <c r="H288" s="2" t="s">
        <v>592</v>
      </c>
      <c r="I288" s="2" t="s">
        <v>593</v>
      </c>
      <c r="J288" s="3">
        <v>6</v>
      </c>
      <c r="K288" s="2" t="s">
        <v>279</v>
      </c>
      <c r="L288" s="3">
        <v>6</v>
      </c>
      <c r="M288" s="11">
        <v>570000</v>
      </c>
      <c r="N288" s="3">
        <v>0</v>
      </c>
      <c r="O288" s="2" t="s">
        <v>25</v>
      </c>
      <c r="P288" s="2" t="s">
        <v>26</v>
      </c>
      <c r="Q288" s="2" t="s">
        <v>34</v>
      </c>
    </row>
    <row r="289" spans="1:17" x14ac:dyDescent="0.25">
      <c r="A289" s="1">
        <v>46287</v>
      </c>
      <c r="B289" s="1">
        <v>46286</v>
      </c>
      <c r="C289" s="2" t="s">
        <v>675</v>
      </c>
      <c r="D289" s="2" t="s">
        <v>550</v>
      </c>
      <c r="E289" s="2" t="s">
        <v>676</v>
      </c>
      <c r="F289" s="2" t="s">
        <v>20</v>
      </c>
      <c r="G289" s="2" t="s">
        <v>677</v>
      </c>
      <c r="H289" s="2" t="s">
        <v>678</v>
      </c>
      <c r="I289" s="2" t="s">
        <v>679</v>
      </c>
      <c r="J289" s="3">
        <v>300</v>
      </c>
      <c r="K289" s="2" t="s">
        <v>40</v>
      </c>
      <c r="L289" s="3">
        <v>300.60000000000002</v>
      </c>
      <c r="M289" s="11">
        <v>34569000</v>
      </c>
      <c r="N289" s="3">
        <v>0.6</v>
      </c>
      <c r="O289" s="2" t="s">
        <v>25</v>
      </c>
      <c r="P289" s="2" t="s">
        <v>26</v>
      </c>
      <c r="Q289" s="2" t="s">
        <v>680</v>
      </c>
    </row>
    <row r="290" spans="1:17" x14ac:dyDescent="0.25">
      <c r="A290" s="1">
        <v>46287</v>
      </c>
      <c r="B290" s="1">
        <v>46286</v>
      </c>
      <c r="C290" s="2" t="s">
        <v>681</v>
      </c>
      <c r="D290" s="2" t="s">
        <v>550</v>
      </c>
      <c r="E290" s="2" t="s">
        <v>682</v>
      </c>
      <c r="F290" s="2" t="s">
        <v>44</v>
      </c>
      <c r="G290" s="2" t="s">
        <v>45</v>
      </c>
      <c r="H290" s="2" t="s">
        <v>683</v>
      </c>
      <c r="I290" s="2" t="s">
        <v>684</v>
      </c>
      <c r="J290" s="3">
        <v>4</v>
      </c>
      <c r="K290" s="2" t="s">
        <v>149</v>
      </c>
      <c r="L290" s="3">
        <v>4</v>
      </c>
      <c r="M290" s="11">
        <v>1360000.06</v>
      </c>
      <c r="N290" s="3">
        <v>0</v>
      </c>
      <c r="O290" s="2" t="s">
        <v>25</v>
      </c>
      <c r="P290" s="2" t="s">
        <v>26</v>
      </c>
      <c r="Q290" s="2" t="s">
        <v>34</v>
      </c>
    </row>
    <row r="291" spans="1:17" x14ac:dyDescent="0.25">
      <c r="A291" s="1">
        <v>46287</v>
      </c>
      <c r="B291" s="1">
        <v>46286</v>
      </c>
      <c r="C291" s="2" t="s">
        <v>685</v>
      </c>
      <c r="D291" s="2" t="s">
        <v>550</v>
      </c>
      <c r="E291" s="2" t="s">
        <v>686</v>
      </c>
      <c r="F291" s="2" t="s">
        <v>20</v>
      </c>
      <c r="G291" s="2" t="s">
        <v>160</v>
      </c>
      <c r="H291" s="2" t="s">
        <v>648</v>
      </c>
      <c r="I291" s="2" t="s">
        <v>649</v>
      </c>
      <c r="J291" s="3">
        <v>2</v>
      </c>
      <c r="K291" s="2" t="s">
        <v>149</v>
      </c>
      <c r="L291" s="3">
        <v>2</v>
      </c>
      <c r="M291" s="11">
        <v>1100000.01</v>
      </c>
      <c r="N291" s="3">
        <v>0</v>
      </c>
      <c r="O291" s="2" t="s">
        <v>25</v>
      </c>
      <c r="P291" s="2" t="s">
        <v>26</v>
      </c>
      <c r="Q291" s="2" t="s">
        <v>34</v>
      </c>
    </row>
    <row r="292" spans="1:17" x14ac:dyDescent="0.25">
      <c r="A292" s="1">
        <v>46287</v>
      </c>
      <c r="B292" s="1">
        <v>46286</v>
      </c>
      <c r="C292" s="2" t="s">
        <v>687</v>
      </c>
      <c r="D292" s="2" t="s">
        <v>550</v>
      </c>
      <c r="E292" s="2" t="s">
        <v>688</v>
      </c>
      <c r="F292" s="2" t="s">
        <v>20</v>
      </c>
      <c r="G292" s="2" t="s">
        <v>77</v>
      </c>
      <c r="H292" s="2" t="s">
        <v>689</v>
      </c>
      <c r="I292" s="2" t="s">
        <v>690</v>
      </c>
      <c r="J292" s="3">
        <v>6</v>
      </c>
      <c r="K292" s="2" t="s">
        <v>414</v>
      </c>
      <c r="L292" s="3">
        <v>6</v>
      </c>
      <c r="M292" s="11">
        <v>660000.01</v>
      </c>
      <c r="N292" s="3">
        <v>0</v>
      </c>
      <c r="O292" s="2" t="s">
        <v>25</v>
      </c>
      <c r="P292" s="2" t="s">
        <v>26</v>
      </c>
      <c r="Q292" s="2" t="s">
        <v>34</v>
      </c>
    </row>
    <row r="293" spans="1:17" x14ac:dyDescent="0.25">
      <c r="A293" s="1">
        <v>46287</v>
      </c>
      <c r="B293" s="1">
        <v>46286</v>
      </c>
      <c r="C293" s="2" t="s">
        <v>691</v>
      </c>
      <c r="D293" s="2" t="s">
        <v>550</v>
      </c>
      <c r="E293" s="2" t="s">
        <v>692</v>
      </c>
      <c r="F293" s="2" t="s">
        <v>20</v>
      </c>
      <c r="G293" s="2" t="s">
        <v>113</v>
      </c>
      <c r="H293" s="2" t="s">
        <v>648</v>
      </c>
      <c r="I293" s="2" t="s">
        <v>649</v>
      </c>
      <c r="J293" s="3">
        <v>2</v>
      </c>
      <c r="K293" s="2" t="s">
        <v>149</v>
      </c>
      <c r="L293" s="3">
        <v>2</v>
      </c>
      <c r="M293" s="11">
        <v>1100000.01</v>
      </c>
      <c r="N293" s="3">
        <v>0</v>
      </c>
      <c r="O293" s="2" t="s">
        <v>25</v>
      </c>
      <c r="P293" s="2" t="s">
        <v>26</v>
      </c>
      <c r="Q293" s="2" t="s">
        <v>34</v>
      </c>
    </row>
    <row r="294" spans="1:17" x14ac:dyDescent="0.25">
      <c r="A294" s="1">
        <v>46287</v>
      </c>
      <c r="B294" s="1">
        <v>46286</v>
      </c>
      <c r="C294" s="2" t="s">
        <v>693</v>
      </c>
      <c r="D294" s="2" t="s">
        <v>550</v>
      </c>
      <c r="E294" s="2" t="s">
        <v>694</v>
      </c>
      <c r="F294" s="2" t="s">
        <v>44</v>
      </c>
      <c r="G294" s="2" t="s">
        <v>37</v>
      </c>
      <c r="H294" s="2" t="s">
        <v>695</v>
      </c>
      <c r="I294" s="2" t="s">
        <v>696</v>
      </c>
      <c r="J294" s="3">
        <v>3</v>
      </c>
      <c r="K294" s="2" t="s">
        <v>24</v>
      </c>
      <c r="L294" s="3">
        <v>3</v>
      </c>
      <c r="M294" s="11">
        <v>465000</v>
      </c>
      <c r="N294" s="3">
        <v>0</v>
      </c>
      <c r="O294" s="2" t="s">
        <v>25</v>
      </c>
      <c r="P294" s="2" t="s">
        <v>26</v>
      </c>
      <c r="Q294" s="2" t="s">
        <v>697</v>
      </c>
    </row>
    <row r="295" spans="1:17" x14ac:dyDescent="0.25">
      <c r="A295" s="1">
        <v>46287</v>
      </c>
      <c r="B295" s="1">
        <v>46286</v>
      </c>
      <c r="C295" s="2" t="s">
        <v>693</v>
      </c>
      <c r="D295" s="2" t="s">
        <v>550</v>
      </c>
      <c r="E295" s="2" t="s">
        <v>694</v>
      </c>
      <c r="F295" s="2" t="s">
        <v>44</v>
      </c>
      <c r="G295" s="2" t="s">
        <v>37</v>
      </c>
      <c r="H295" s="2" t="s">
        <v>698</v>
      </c>
      <c r="I295" s="2" t="s">
        <v>699</v>
      </c>
      <c r="J295" s="3">
        <v>2</v>
      </c>
      <c r="K295" s="2" t="s">
        <v>24</v>
      </c>
      <c r="L295" s="3">
        <v>2</v>
      </c>
      <c r="M295" s="11">
        <v>150000.01</v>
      </c>
      <c r="N295" s="3">
        <v>0</v>
      </c>
      <c r="O295" s="2" t="s">
        <v>25</v>
      </c>
      <c r="P295" s="2" t="s">
        <v>26</v>
      </c>
      <c r="Q295" s="2" t="s">
        <v>697</v>
      </c>
    </row>
    <row r="296" spans="1:17" x14ac:dyDescent="0.25">
      <c r="A296" s="1">
        <v>46287</v>
      </c>
      <c r="B296" s="1">
        <v>46286</v>
      </c>
      <c r="C296" s="2" t="s">
        <v>700</v>
      </c>
      <c r="D296" s="2" t="s">
        <v>550</v>
      </c>
      <c r="E296" s="2" t="s">
        <v>250</v>
      </c>
      <c r="F296" s="2" t="s">
        <v>20</v>
      </c>
      <c r="G296" s="2" t="s">
        <v>37</v>
      </c>
      <c r="H296" s="2" t="s">
        <v>695</v>
      </c>
      <c r="I296" s="2" t="s">
        <v>696</v>
      </c>
      <c r="J296" s="3">
        <v>10</v>
      </c>
      <c r="K296" s="2" t="s">
        <v>24</v>
      </c>
      <c r="L296" s="3">
        <v>10</v>
      </c>
      <c r="M296" s="11">
        <v>1174999.99</v>
      </c>
      <c r="N296" s="3">
        <v>0</v>
      </c>
      <c r="O296" s="2" t="s">
        <v>25</v>
      </c>
      <c r="P296" s="2" t="s">
        <v>26</v>
      </c>
      <c r="Q296" s="2" t="s">
        <v>251</v>
      </c>
    </row>
    <row r="297" spans="1:17" x14ac:dyDescent="0.25">
      <c r="A297" s="1">
        <v>46287</v>
      </c>
      <c r="B297" s="1">
        <v>46286</v>
      </c>
      <c r="C297" s="2" t="s">
        <v>701</v>
      </c>
      <c r="D297" s="2" t="s">
        <v>550</v>
      </c>
      <c r="E297" s="2" t="s">
        <v>537</v>
      </c>
      <c r="F297" s="2" t="s">
        <v>20</v>
      </c>
      <c r="G297" s="2" t="s">
        <v>58</v>
      </c>
      <c r="H297" s="2" t="s">
        <v>702</v>
      </c>
      <c r="I297" s="2" t="s">
        <v>703</v>
      </c>
      <c r="J297" s="3">
        <v>2</v>
      </c>
      <c r="K297" s="2" t="s">
        <v>24</v>
      </c>
      <c r="L297" s="3">
        <v>2</v>
      </c>
      <c r="M297" s="11">
        <v>180000.02</v>
      </c>
      <c r="N297" s="3">
        <v>0</v>
      </c>
      <c r="O297" s="2" t="s">
        <v>25</v>
      </c>
      <c r="P297" s="2" t="s">
        <v>26</v>
      </c>
      <c r="Q297" s="2" t="s">
        <v>704</v>
      </c>
    </row>
    <row r="298" spans="1:17" x14ac:dyDescent="0.25">
      <c r="A298" s="1">
        <v>46287</v>
      </c>
      <c r="B298" s="1">
        <v>46286</v>
      </c>
      <c r="C298" s="2" t="s">
        <v>705</v>
      </c>
      <c r="D298" s="2" t="s">
        <v>550</v>
      </c>
      <c r="E298" s="2" t="s">
        <v>218</v>
      </c>
      <c r="F298" s="2" t="s">
        <v>20</v>
      </c>
      <c r="G298" s="2" t="s">
        <v>123</v>
      </c>
      <c r="H298" s="2" t="s">
        <v>592</v>
      </c>
      <c r="I298" s="2" t="s">
        <v>593</v>
      </c>
      <c r="J298" s="3">
        <v>3</v>
      </c>
      <c r="K298" s="2" t="s">
        <v>279</v>
      </c>
      <c r="L298" s="3">
        <v>3</v>
      </c>
      <c r="M298" s="11">
        <v>275999.99</v>
      </c>
      <c r="N298" s="3">
        <v>0</v>
      </c>
      <c r="O298" s="2" t="s">
        <v>25</v>
      </c>
      <c r="P298" s="2" t="s">
        <v>26</v>
      </c>
      <c r="Q298" s="2" t="s">
        <v>34</v>
      </c>
    </row>
    <row r="299" spans="1:17" x14ac:dyDescent="0.25">
      <c r="A299" s="1">
        <v>46287</v>
      </c>
      <c r="B299" s="1">
        <v>46286</v>
      </c>
      <c r="C299" s="2" t="s">
        <v>706</v>
      </c>
      <c r="D299" s="2" t="s">
        <v>550</v>
      </c>
      <c r="E299" s="2" t="s">
        <v>707</v>
      </c>
      <c r="F299" s="2" t="s">
        <v>44</v>
      </c>
      <c r="G299" s="2" t="s">
        <v>532</v>
      </c>
      <c r="H299" s="2" t="s">
        <v>708</v>
      </c>
      <c r="I299" s="2" t="s">
        <v>709</v>
      </c>
      <c r="J299" s="3">
        <v>1</v>
      </c>
      <c r="K299" s="2" t="s">
        <v>414</v>
      </c>
      <c r="L299" s="3">
        <v>1</v>
      </c>
      <c r="M299" s="11">
        <v>110000</v>
      </c>
      <c r="N299" s="3">
        <v>0</v>
      </c>
      <c r="O299" s="2" t="s">
        <v>25</v>
      </c>
      <c r="P299" s="2" t="s">
        <v>26</v>
      </c>
      <c r="Q299" s="2" t="s">
        <v>710</v>
      </c>
    </row>
    <row r="300" spans="1:17" x14ac:dyDescent="0.25">
      <c r="A300" s="1">
        <v>46287</v>
      </c>
      <c r="B300" s="1">
        <v>46286</v>
      </c>
      <c r="C300" s="2" t="s">
        <v>706</v>
      </c>
      <c r="D300" s="2" t="s">
        <v>550</v>
      </c>
      <c r="E300" s="2" t="s">
        <v>707</v>
      </c>
      <c r="F300" s="2" t="s">
        <v>44</v>
      </c>
      <c r="G300" s="2" t="s">
        <v>532</v>
      </c>
      <c r="H300" s="2" t="s">
        <v>711</v>
      </c>
      <c r="I300" s="2" t="s">
        <v>712</v>
      </c>
      <c r="J300" s="3">
        <v>1</v>
      </c>
      <c r="K300" s="2" t="s">
        <v>414</v>
      </c>
      <c r="L300" s="3">
        <v>1</v>
      </c>
      <c r="M300" s="11">
        <v>89874</v>
      </c>
      <c r="N300" s="3">
        <v>0</v>
      </c>
      <c r="O300" s="2" t="s">
        <v>25</v>
      </c>
      <c r="P300" s="2" t="s">
        <v>26</v>
      </c>
      <c r="Q300" s="2" t="s">
        <v>710</v>
      </c>
    </row>
    <row r="301" spans="1:17" x14ac:dyDescent="0.25">
      <c r="A301" s="1">
        <v>46287</v>
      </c>
      <c r="B301" s="1">
        <v>46286</v>
      </c>
      <c r="C301" s="2" t="s">
        <v>713</v>
      </c>
      <c r="D301" s="2" t="s">
        <v>550</v>
      </c>
      <c r="E301" s="2" t="s">
        <v>714</v>
      </c>
      <c r="F301" s="2" t="s">
        <v>44</v>
      </c>
      <c r="G301" s="2" t="s">
        <v>82</v>
      </c>
      <c r="H301" s="2" t="s">
        <v>715</v>
      </c>
      <c r="I301" s="2" t="s">
        <v>716</v>
      </c>
      <c r="J301" s="3">
        <v>1</v>
      </c>
      <c r="K301" s="2" t="s">
        <v>24</v>
      </c>
      <c r="L301" s="3">
        <v>1</v>
      </c>
      <c r="M301" s="11">
        <v>1148850</v>
      </c>
      <c r="N301" s="3">
        <v>0</v>
      </c>
      <c r="O301" s="2" t="s">
        <v>25</v>
      </c>
      <c r="P301" s="2" t="s">
        <v>26</v>
      </c>
      <c r="Q301" s="2" t="s">
        <v>34</v>
      </c>
    </row>
    <row r="302" spans="1:17" x14ac:dyDescent="0.25">
      <c r="A302" s="1">
        <v>46287</v>
      </c>
      <c r="B302" s="1">
        <v>46286</v>
      </c>
      <c r="C302" s="2" t="s">
        <v>717</v>
      </c>
      <c r="D302" s="2" t="s">
        <v>550</v>
      </c>
      <c r="E302" s="2" t="s">
        <v>718</v>
      </c>
      <c r="F302" s="2" t="s">
        <v>44</v>
      </c>
      <c r="G302" s="2" t="s">
        <v>82</v>
      </c>
      <c r="H302" s="2" t="s">
        <v>633</v>
      </c>
      <c r="I302" s="2" t="s">
        <v>634</v>
      </c>
      <c r="J302" s="3">
        <v>8</v>
      </c>
      <c r="K302" s="2" t="s">
        <v>116</v>
      </c>
      <c r="L302" s="3">
        <v>8</v>
      </c>
      <c r="M302" s="11">
        <v>1348079.99</v>
      </c>
      <c r="N302" s="3">
        <v>0</v>
      </c>
      <c r="O302" s="2" t="s">
        <v>25</v>
      </c>
      <c r="P302" s="2" t="s">
        <v>26</v>
      </c>
      <c r="Q302" s="2" t="s">
        <v>34</v>
      </c>
    </row>
    <row r="303" spans="1:17" x14ac:dyDescent="0.25">
      <c r="A303" s="1">
        <v>46287</v>
      </c>
      <c r="B303" s="1">
        <v>46286</v>
      </c>
      <c r="C303" s="2" t="s">
        <v>717</v>
      </c>
      <c r="D303" s="2" t="s">
        <v>550</v>
      </c>
      <c r="E303" s="2" t="s">
        <v>718</v>
      </c>
      <c r="F303" s="2" t="s">
        <v>44</v>
      </c>
      <c r="G303" s="2" t="s">
        <v>82</v>
      </c>
      <c r="H303" s="2" t="s">
        <v>642</v>
      </c>
      <c r="I303" s="2" t="s">
        <v>643</v>
      </c>
      <c r="J303" s="3">
        <v>5</v>
      </c>
      <c r="K303" s="2" t="s">
        <v>116</v>
      </c>
      <c r="L303" s="3">
        <v>5</v>
      </c>
      <c r="M303" s="11">
        <v>824175</v>
      </c>
      <c r="N303" s="3">
        <v>0</v>
      </c>
      <c r="O303" s="2" t="s">
        <v>25</v>
      </c>
      <c r="P303" s="2" t="s">
        <v>26</v>
      </c>
      <c r="Q303" s="2" t="s">
        <v>34</v>
      </c>
    </row>
    <row r="304" spans="1:17" x14ac:dyDescent="0.25">
      <c r="A304" s="1">
        <v>46287</v>
      </c>
      <c r="B304" s="1">
        <v>46286</v>
      </c>
      <c r="C304" s="2" t="s">
        <v>717</v>
      </c>
      <c r="D304" s="2" t="s">
        <v>550</v>
      </c>
      <c r="E304" s="2" t="s">
        <v>718</v>
      </c>
      <c r="F304" s="2" t="s">
        <v>44</v>
      </c>
      <c r="G304" s="2" t="s">
        <v>82</v>
      </c>
      <c r="H304" s="2" t="s">
        <v>719</v>
      </c>
      <c r="I304" s="2" t="s">
        <v>720</v>
      </c>
      <c r="J304" s="3">
        <v>5</v>
      </c>
      <c r="K304" s="2" t="s">
        <v>24</v>
      </c>
      <c r="L304" s="3">
        <v>5</v>
      </c>
      <c r="M304" s="11">
        <v>430125</v>
      </c>
      <c r="N304" s="3">
        <v>0</v>
      </c>
      <c r="O304" s="2" t="s">
        <v>25</v>
      </c>
      <c r="P304" s="2" t="s">
        <v>26</v>
      </c>
      <c r="Q304" s="2" t="s">
        <v>34</v>
      </c>
    </row>
    <row r="305" spans="1:17" x14ac:dyDescent="0.25">
      <c r="A305" s="1">
        <v>46287</v>
      </c>
      <c r="B305" s="1">
        <v>46286</v>
      </c>
      <c r="C305" s="2" t="s">
        <v>721</v>
      </c>
      <c r="D305" s="2" t="s">
        <v>550</v>
      </c>
      <c r="E305" s="2" t="s">
        <v>722</v>
      </c>
      <c r="F305" s="2" t="s">
        <v>20</v>
      </c>
      <c r="G305" s="2" t="s">
        <v>72</v>
      </c>
      <c r="H305" s="2" t="s">
        <v>723</v>
      </c>
      <c r="I305" s="2" t="s">
        <v>724</v>
      </c>
      <c r="J305" s="3">
        <v>10</v>
      </c>
      <c r="K305" s="2" t="s">
        <v>725</v>
      </c>
      <c r="L305" s="3">
        <v>10</v>
      </c>
      <c r="M305" s="11">
        <v>1065900.03</v>
      </c>
      <c r="N305" s="3">
        <v>0</v>
      </c>
      <c r="O305" s="2" t="s">
        <v>25</v>
      </c>
      <c r="P305" s="2" t="s">
        <v>26</v>
      </c>
      <c r="Q305" s="2" t="s">
        <v>34</v>
      </c>
    </row>
    <row r="306" spans="1:17" x14ac:dyDescent="0.25">
      <c r="A306" s="1">
        <v>46287</v>
      </c>
      <c r="B306" s="1">
        <v>46286</v>
      </c>
      <c r="C306" s="2" t="s">
        <v>721</v>
      </c>
      <c r="D306" s="2" t="s">
        <v>550</v>
      </c>
      <c r="E306" s="2" t="s">
        <v>722</v>
      </c>
      <c r="F306" s="2" t="s">
        <v>20</v>
      </c>
      <c r="G306" s="2" t="s">
        <v>72</v>
      </c>
      <c r="H306" s="2" t="s">
        <v>726</v>
      </c>
      <c r="I306" s="2" t="s">
        <v>727</v>
      </c>
      <c r="J306" s="3">
        <v>5</v>
      </c>
      <c r="K306" s="2" t="s">
        <v>725</v>
      </c>
      <c r="L306" s="3">
        <v>5</v>
      </c>
      <c r="M306" s="11">
        <v>589050.03</v>
      </c>
      <c r="N306" s="3">
        <v>0</v>
      </c>
      <c r="O306" s="2" t="s">
        <v>25</v>
      </c>
      <c r="P306" s="2" t="s">
        <v>26</v>
      </c>
      <c r="Q306" s="2" t="s">
        <v>34</v>
      </c>
    </row>
    <row r="307" spans="1:17" x14ac:dyDescent="0.25">
      <c r="A307" s="1">
        <v>46287</v>
      </c>
      <c r="B307" s="1">
        <v>46286</v>
      </c>
      <c r="C307" s="2" t="s">
        <v>728</v>
      </c>
      <c r="D307" s="2" t="s">
        <v>550</v>
      </c>
      <c r="E307" s="2" t="s">
        <v>273</v>
      </c>
      <c r="F307" s="2" t="s">
        <v>44</v>
      </c>
      <c r="G307" s="2" t="s">
        <v>58</v>
      </c>
      <c r="H307" s="2" t="s">
        <v>633</v>
      </c>
      <c r="I307" s="2" t="s">
        <v>634</v>
      </c>
      <c r="J307" s="3">
        <v>1</v>
      </c>
      <c r="K307" s="2" t="s">
        <v>116</v>
      </c>
      <c r="L307" s="3">
        <v>1</v>
      </c>
      <c r="M307" s="11">
        <v>168510</v>
      </c>
      <c r="N307" s="3">
        <v>0</v>
      </c>
      <c r="O307" s="2" t="s">
        <v>25</v>
      </c>
      <c r="P307" s="2" t="s">
        <v>26</v>
      </c>
      <c r="Q307" s="2" t="s">
        <v>34</v>
      </c>
    </row>
    <row r="308" spans="1:17" x14ac:dyDescent="0.25">
      <c r="A308" s="1">
        <v>46287</v>
      </c>
      <c r="B308" s="1">
        <v>46286</v>
      </c>
      <c r="C308" s="2" t="s">
        <v>728</v>
      </c>
      <c r="D308" s="2" t="s">
        <v>550</v>
      </c>
      <c r="E308" s="2" t="s">
        <v>273</v>
      </c>
      <c r="F308" s="2" t="s">
        <v>44</v>
      </c>
      <c r="G308" s="2" t="s">
        <v>58</v>
      </c>
      <c r="H308" s="2" t="s">
        <v>642</v>
      </c>
      <c r="I308" s="2" t="s">
        <v>643</v>
      </c>
      <c r="J308" s="3">
        <v>1</v>
      </c>
      <c r="K308" s="2" t="s">
        <v>116</v>
      </c>
      <c r="L308" s="3">
        <v>1</v>
      </c>
      <c r="M308" s="11">
        <v>164835</v>
      </c>
      <c r="N308" s="3">
        <v>0</v>
      </c>
      <c r="O308" s="2" t="s">
        <v>25</v>
      </c>
      <c r="P308" s="2" t="s">
        <v>26</v>
      </c>
      <c r="Q308" s="2" t="s">
        <v>34</v>
      </c>
    </row>
    <row r="309" spans="1:17" x14ac:dyDescent="0.25">
      <c r="A309" s="1">
        <v>46287</v>
      </c>
      <c r="B309" s="1">
        <v>46286</v>
      </c>
      <c r="C309" s="2" t="s">
        <v>729</v>
      </c>
      <c r="D309" s="2" t="s">
        <v>550</v>
      </c>
      <c r="E309" s="2" t="s">
        <v>69</v>
      </c>
      <c r="F309" s="2" t="s">
        <v>20</v>
      </c>
      <c r="G309" s="2" t="s">
        <v>37</v>
      </c>
      <c r="H309" s="2" t="s">
        <v>592</v>
      </c>
      <c r="I309" s="2" t="s">
        <v>593</v>
      </c>
      <c r="J309" s="3">
        <v>6</v>
      </c>
      <c r="K309" s="2" t="s">
        <v>279</v>
      </c>
      <c r="L309" s="3">
        <v>6</v>
      </c>
      <c r="M309" s="11">
        <v>480000</v>
      </c>
      <c r="N309" s="3">
        <v>0</v>
      </c>
      <c r="O309" s="2" t="s">
        <v>25</v>
      </c>
      <c r="P309" s="2" t="s">
        <v>26</v>
      </c>
      <c r="Q309" s="2" t="s">
        <v>34</v>
      </c>
    </row>
    <row r="310" spans="1:17" x14ac:dyDescent="0.25">
      <c r="A310" s="1">
        <v>46287</v>
      </c>
      <c r="B310" s="1">
        <v>46286</v>
      </c>
      <c r="C310" s="2" t="s">
        <v>730</v>
      </c>
      <c r="D310" s="2" t="s">
        <v>550</v>
      </c>
      <c r="E310" s="2" t="s">
        <v>265</v>
      </c>
      <c r="F310" s="2" t="s">
        <v>20</v>
      </c>
      <c r="G310" s="2" t="s">
        <v>182</v>
      </c>
      <c r="H310" s="2" t="s">
        <v>592</v>
      </c>
      <c r="I310" s="2" t="s">
        <v>593</v>
      </c>
      <c r="J310" s="3">
        <v>6</v>
      </c>
      <c r="K310" s="2" t="s">
        <v>279</v>
      </c>
      <c r="L310" s="3">
        <v>6</v>
      </c>
      <c r="M310" s="11">
        <v>450000.02</v>
      </c>
      <c r="N310" s="3">
        <v>0</v>
      </c>
      <c r="O310" s="2" t="s">
        <v>25</v>
      </c>
      <c r="P310" s="2" t="s">
        <v>26</v>
      </c>
      <c r="Q310" s="2" t="s">
        <v>290</v>
      </c>
    </row>
    <row r="311" spans="1:17" x14ac:dyDescent="0.25">
      <c r="A311" s="1">
        <v>46287</v>
      </c>
      <c r="B311" s="1">
        <v>46286</v>
      </c>
      <c r="C311" s="2" t="s">
        <v>730</v>
      </c>
      <c r="D311" s="2" t="s">
        <v>550</v>
      </c>
      <c r="E311" s="2" t="s">
        <v>265</v>
      </c>
      <c r="F311" s="2" t="s">
        <v>20</v>
      </c>
      <c r="G311" s="2" t="s">
        <v>182</v>
      </c>
      <c r="H311" s="2" t="s">
        <v>629</v>
      </c>
      <c r="I311" s="2" t="s">
        <v>630</v>
      </c>
      <c r="J311" s="3">
        <v>6</v>
      </c>
      <c r="K311" s="2" t="s">
        <v>414</v>
      </c>
      <c r="L311" s="3">
        <v>6</v>
      </c>
      <c r="M311" s="11">
        <v>586080</v>
      </c>
      <c r="N311" s="3">
        <v>0</v>
      </c>
      <c r="O311" s="2" t="s">
        <v>25</v>
      </c>
      <c r="P311" s="2" t="s">
        <v>26</v>
      </c>
      <c r="Q311" s="2" t="s">
        <v>290</v>
      </c>
    </row>
    <row r="312" spans="1:17" x14ac:dyDescent="0.25">
      <c r="A312" s="1">
        <v>46287</v>
      </c>
      <c r="B312" s="1">
        <v>46286</v>
      </c>
      <c r="C312" s="2" t="s">
        <v>730</v>
      </c>
      <c r="D312" s="2" t="s">
        <v>550</v>
      </c>
      <c r="E312" s="2" t="s">
        <v>265</v>
      </c>
      <c r="F312" s="2" t="s">
        <v>20</v>
      </c>
      <c r="G312" s="2" t="s">
        <v>182</v>
      </c>
      <c r="H312" s="2" t="s">
        <v>556</v>
      </c>
      <c r="I312" s="2" t="s">
        <v>557</v>
      </c>
      <c r="J312" s="3">
        <v>6</v>
      </c>
      <c r="K312" s="2" t="s">
        <v>414</v>
      </c>
      <c r="L312" s="3">
        <v>6</v>
      </c>
      <c r="M312" s="11">
        <v>586080</v>
      </c>
      <c r="N312" s="3">
        <v>0</v>
      </c>
      <c r="O312" s="2" t="s">
        <v>25</v>
      </c>
      <c r="P312" s="2" t="s">
        <v>26</v>
      </c>
      <c r="Q312" s="2" t="s">
        <v>290</v>
      </c>
    </row>
    <row r="313" spans="1:17" x14ac:dyDescent="0.25">
      <c r="A313" s="1">
        <v>46287</v>
      </c>
      <c r="B313" s="1">
        <v>46286</v>
      </c>
      <c r="C313" s="2" t="s">
        <v>730</v>
      </c>
      <c r="D313" s="2" t="s">
        <v>550</v>
      </c>
      <c r="E313" s="2" t="s">
        <v>265</v>
      </c>
      <c r="F313" s="2" t="s">
        <v>20</v>
      </c>
      <c r="G313" s="2" t="s">
        <v>182</v>
      </c>
      <c r="H313" s="2" t="s">
        <v>588</v>
      </c>
      <c r="I313" s="2" t="s">
        <v>589</v>
      </c>
      <c r="J313" s="3">
        <v>6</v>
      </c>
      <c r="K313" s="2" t="s">
        <v>279</v>
      </c>
      <c r="L313" s="3">
        <v>6</v>
      </c>
      <c r="M313" s="11">
        <v>1410000.05</v>
      </c>
      <c r="N313" s="3">
        <v>0</v>
      </c>
      <c r="O313" s="2" t="s">
        <v>25</v>
      </c>
      <c r="P313" s="2" t="s">
        <v>26</v>
      </c>
      <c r="Q313" s="2" t="s">
        <v>290</v>
      </c>
    </row>
    <row r="314" spans="1:17" x14ac:dyDescent="0.25">
      <c r="A314" s="1">
        <v>46287</v>
      </c>
      <c r="B314" s="1">
        <v>46286</v>
      </c>
      <c r="C314" s="2" t="s">
        <v>730</v>
      </c>
      <c r="D314" s="2" t="s">
        <v>550</v>
      </c>
      <c r="E314" s="2" t="s">
        <v>265</v>
      </c>
      <c r="F314" s="2" t="s">
        <v>20</v>
      </c>
      <c r="G314" s="2" t="s">
        <v>182</v>
      </c>
      <c r="H314" s="2" t="s">
        <v>731</v>
      </c>
      <c r="I314" s="2" t="s">
        <v>732</v>
      </c>
      <c r="J314" s="3">
        <v>24</v>
      </c>
      <c r="K314" s="2" t="s">
        <v>414</v>
      </c>
      <c r="L314" s="3">
        <v>24</v>
      </c>
      <c r="M314" s="11">
        <v>792000.01</v>
      </c>
      <c r="N314" s="3">
        <v>0</v>
      </c>
      <c r="O314" s="2" t="s">
        <v>25</v>
      </c>
      <c r="P314" s="2" t="s">
        <v>26</v>
      </c>
      <c r="Q314" s="2" t="s">
        <v>290</v>
      </c>
    </row>
    <row r="315" spans="1:17" x14ac:dyDescent="0.25">
      <c r="A315" s="1">
        <v>46287</v>
      </c>
      <c r="B315" s="1">
        <v>46286</v>
      </c>
      <c r="C315" s="2" t="s">
        <v>730</v>
      </c>
      <c r="D315" s="2" t="s">
        <v>550</v>
      </c>
      <c r="E315" s="2" t="s">
        <v>265</v>
      </c>
      <c r="F315" s="2" t="s">
        <v>20</v>
      </c>
      <c r="G315" s="2" t="s">
        <v>182</v>
      </c>
      <c r="H315" s="2" t="s">
        <v>733</v>
      </c>
      <c r="I315" s="2" t="s">
        <v>734</v>
      </c>
      <c r="J315" s="3">
        <v>24</v>
      </c>
      <c r="K315" s="2" t="s">
        <v>414</v>
      </c>
      <c r="L315" s="3">
        <v>24</v>
      </c>
      <c r="M315" s="11">
        <v>671999.86</v>
      </c>
      <c r="N315" s="3">
        <v>0</v>
      </c>
      <c r="O315" s="2" t="s">
        <v>25</v>
      </c>
      <c r="P315" s="2" t="s">
        <v>26</v>
      </c>
      <c r="Q315" s="2" t="s">
        <v>290</v>
      </c>
    </row>
    <row r="316" spans="1:17" x14ac:dyDescent="0.25">
      <c r="A316" s="1">
        <v>46287</v>
      </c>
      <c r="B316" s="1">
        <v>46286</v>
      </c>
      <c r="C316" s="2" t="s">
        <v>735</v>
      </c>
      <c r="D316" s="2" t="s">
        <v>550</v>
      </c>
      <c r="E316" s="2" t="s">
        <v>265</v>
      </c>
      <c r="F316" s="2" t="s">
        <v>20</v>
      </c>
      <c r="G316" s="2" t="s">
        <v>182</v>
      </c>
      <c r="H316" s="2" t="s">
        <v>702</v>
      </c>
      <c r="I316" s="2" t="s">
        <v>703</v>
      </c>
      <c r="J316" s="3">
        <v>20</v>
      </c>
      <c r="K316" s="2" t="s">
        <v>24</v>
      </c>
      <c r="L316" s="3">
        <v>20</v>
      </c>
      <c r="M316" s="11">
        <v>1299999.99</v>
      </c>
      <c r="N316" s="3">
        <v>0</v>
      </c>
      <c r="O316" s="2" t="s">
        <v>25</v>
      </c>
      <c r="P316" s="2" t="s">
        <v>26</v>
      </c>
      <c r="Q316" s="2" t="s">
        <v>290</v>
      </c>
    </row>
    <row r="317" spans="1:17" x14ac:dyDescent="0.25">
      <c r="A317" s="1">
        <v>46287</v>
      </c>
      <c r="B317" s="1">
        <v>46286</v>
      </c>
      <c r="C317" s="2" t="s">
        <v>735</v>
      </c>
      <c r="D317" s="2" t="s">
        <v>550</v>
      </c>
      <c r="E317" s="2" t="s">
        <v>265</v>
      </c>
      <c r="F317" s="2" t="s">
        <v>20</v>
      </c>
      <c r="G317" s="2" t="s">
        <v>182</v>
      </c>
      <c r="H317" s="2" t="s">
        <v>736</v>
      </c>
      <c r="I317" s="2" t="s">
        <v>737</v>
      </c>
      <c r="J317" s="3">
        <v>24</v>
      </c>
      <c r="K317" s="2" t="s">
        <v>24</v>
      </c>
      <c r="L317" s="3">
        <v>24</v>
      </c>
      <c r="M317" s="11">
        <v>1469999.99</v>
      </c>
      <c r="N317" s="3">
        <v>0</v>
      </c>
      <c r="O317" s="2" t="s">
        <v>25</v>
      </c>
      <c r="P317" s="2" t="s">
        <v>26</v>
      </c>
      <c r="Q317" s="2" t="s">
        <v>290</v>
      </c>
    </row>
    <row r="318" spans="1:17" x14ac:dyDescent="0.25">
      <c r="A318" s="1">
        <v>46287</v>
      </c>
      <c r="B318" s="1">
        <v>46286</v>
      </c>
      <c r="C318" s="2" t="s">
        <v>735</v>
      </c>
      <c r="D318" s="2" t="s">
        <v>550</v>
      </c>
      <c r="E318" s="2" t="s">
        <v>265</v>
      </c>
      <c r="F318" s="2" t="s">
        <v>20</v>
      </c>
      <c r="G318" s="2" t="s">
        <v>182</v>
      </c>
      <c r="H318" s="2" t="s">
        <v>695</v>
      </c>
      <c r="I318" s="2" t="s">
        <v>696</v>
      </c>
      <c r="J318" s="3">
        <v>24</v>
      </c>
      <c r="K318" s="2" t="s">
        <v>24</v>
      </c>
      <c r="L318" s="3">
        <v>24</v>
      </c>
      <c r="M318" s="11">
        <v>2519999.9900000002</v>
      </c>
      <c r="N318" s="3">
        <v>0</v>
      </c>
      <c r="O318" s="2" t="s">
        <v>25</v>
      </c>
      <c r="P318" s="2" t="s">
        <v>26</v>
      </c>
      <c r="Q318" s="2" t="s">
        <v>290</v>
      </c>
    </row>
    <row r="319" spans="1:17" x14ac:dyDescent="0.25">
      <c r="A319" s="1">
        <v>46287</v>
      </c>
      <c r="B319" s="1">
        <v>46286</v>
      </c>
      <c r="C319" s="2" t="s">
        <v>738</v>
      </c>
      <c r="D319" s="2" t="s">
        <v>550</v>
      </c>
      <c r="E319" s="2" t="s">
        <v>739</v>
      </c>
      <c r="F319" s="2" t="s">
        <v>20</v>
      </c>
      <c r="G319" s="2" t="s">
        <v>123</v>
      </c>
      <c r="H319" s="2" t="s">
        <v>588</v>
      </c>
      <c r="I319" s="2" t="s">
        <v>589</v>
      </c>
      <c r="J319" s="3">
        <v>2</v>
      </c>
      <c r="K319" s="2" t="s">
        <v>279</v>
      </c>
      <c r="L319" s="3">
        <v>2</v>
      </c>
      <c r="M319" s="11">
        <v>530000</v>
      </c>
      <c r="N319" s="3">
        <v>0</v>
      </c>
      <c r="O319" s="2" t="s">
        <v>25</v>
      </c>
      <c r="P319" s="2" t="s">
        <v>26</v>
      </c>
      <c r="Q319" s="2" t="s">
        <v>34</v>
      </c>
    </row>
    <row r="320" spans="1:17" x14ac:dyDescent="0.25">
      <c r="A320" s="1">
        <v>46287</v>
      </c>
      <c r="B320" s="1">
        <v>46286</v>
      </c>
      <c r="C320" s="2" t="s">
        <v>740</v>
      </c>
      <c r="D320" s="2" t="s">
        <v>550</v>
      </c>
      <c r="E320" s="2" t="s">
        <v>320</v>
      </c>
      <c r="F320" s="2" t="s">
        <v>20</v>
      </c>
      <c r="G320" s="2" t="s">
        <v>72</v>
      </c>
      <c r="H320" s="2" t="s">
        <v>741</v>
      </c>
      <c r="I320" s="2" t="s">
        <v>742</v>
      </c>
      <c r="J320" s="3">
        <v>1</v>
      </c>
      <c r="K320" s="2" t="s">
        <v>24</v>
      </c>
      <c r="L320" s="3">
        <v>1</v>
      </c>
      <c r="M320" s="11">
        <v>249750</v>
      </c>
      <c r="N320" s="3">
        <v>0</v>
      </c>
      <c r="O320" s="2" t="s">
        <v>25</v>
      </c>
      <c r="P320" s="2" t="s">
        <v>26</v>
      </c>
      <c r="Q320" s="2" t="s">
        <v>743</v>
      </c>
    </row>
    <row r="321" spans="1:17" x14ac:dyDescent="0.25">
      <c r="A321" s="1">
        <v>46287</v>
      </c>
      <c r="B321" s="1">
        <v>46286</v>
      </c>
      <c r="C321" s="2" t="s">
        <v>740</v>
      </c>
      <c r="D321" s="2" t="s">
        <v>550</v>
      </c>
      <c r="E321" s="2" t="s">
        <v>320</v>
      </c>
      <c r="F321" s="2" t="s">
        <v>20</v>
      </c>
      <c r="G321" s="2" t="s">
        <v>72</v>
      </c>
      <c r="H321" s="2" t="s">
        <v>744</v>
      </c>
      <c r="I321" s="2" t="s">
        <v>745</v>
      </c>
      <c r="J321" s="3">
        <v>1</v>
      </c>
      <c r="K321" s="2" t="s">
        <v>116</v>
      </c>
      <c r="L321" s="3">
        <v>1</v>
      </c>
      <c r="M321" s="11">
        <v>202020</v>
      </c>
      <c r="N321" s="3">
        <v>0</v>
      </c>
      <c r="O321" s="2" t="s">
        <v>25</v>
      </c>
      <c r="P321" s="2" t="s">
        <v>26</v>
      </c>
      <c r="Q321" s="2" t="s">
        <v>743</v>
      </c>
    </row>
    <row r="322" spans="1:17" x14ac:dyDescent="0.25">
      <c r="A322" s="1">
        <v>46287</v>
      </c>
      <c r="B322" s="1">
        <v>46286</v>
      </c>
      <c r="C322" s="2" t="s">
        <v>740</v>
      </c>
      <c r="D322" s="2" t="s">
        <v>550</v>
      </c>
      <c r="E322" s="2" t="s">
        <v>320</v>
      </c>
      <c r="F322" s="2" t="s">
        <v>20</v>
      </c>
      <c r="G322" s="2" t="s">
        <v>72</v>
      </c>
      <c r="H322" s="2" t="s">
        <v>746</v>
      </c>
      <c r="I322" s="2" t="s">
        <v>747</v>
      </c>
      <c r="J322" s="3">
        <v>2</v>
      </c>
      <c r="K322" s="2" t="s">
        <v>116</v>
      </c>
      <c r="L322" s="3">
        <v>2</v>
      </c>
      <c r="M322" s="11">
        <v>532800</v>
      </c>
      <c r="N322" s="3">
        <v>0</v>
      </c>
      <c r="O322" s="2" t="s">
        <v>25</v>
      </c>
      <c r="P322" s="2" t="s">
        <v>26</v>
      </c>
      <c r="Q322" s="2" t="s">
        <v>743</v>
      </c>
    </row>
    <row r="323" spans="1:17" x14ac:dyDescent="0.25">
      <c r="A323" s="1">
        <v>46287</v>
      </c>
      <c r="B323" s="1">
        <v>46286</v>
      </c>
      <c r="C323" s="2" t="s">
        <v>740</v>
      </c>
      <c r="D323" s="2" t="s">
        <v>550</v>
      </c>
      <c r="E323" s="2" t="s">
        <v>320</v>
      </c>
      <c r="F323" s="2" t="s">
        <v>20</v>
      </c>
      <c r="G323" s="2" t="s">
        <v>72</v>
      </c>
      <c r="H323" s="2" t="s">
        <v>748</v>
      </c>
      <c r="I323" s="2" t="s">
        <v>749</v>
      </c>
      <c r="J323" s="3">
        <v>1</v>
      </c>
      <c r="K323" s="2" t="s">
        <v>116</v>
      </c>
      <c r="L323" s="3">
        <v>1</v>
      </c>
      <c r="M323" s="11">
        <v>149850</v>
      </c>
      <c r="N323" s="3">
        <v>0</v>
      </c>
      <c r="O323" s="2" t="s">
        <v>25</v>
      </c>
      <c r="P323" s="2" t="s">
        <v>26</v>
      </c>
      <c r="Q323" s="2" t="s">
        <v>743</v>
      </c>
    </row>
    <row r="324" spans="1:17" x14ac:dyDescent="0.25">
      <c r="A324" s="1">
        <v>46287</v>
      </c>
      <c r="B324" s="1">
        <v>46286</v>
      </c>
      <c r="C324" s="2" t="s">
        <v>750</v>
      </c>
      <c r="D324" s="2" t="s">
        <v>550</v>
      </c>
      <c r="E324" s="2" t="s">
        <v>320</v>
      </c>
      <c r="F324" s="2" t="s">
        <v>20</v>
      </c>
      <c r="G324" s="2" t="s">
        <v>72</v>
      </c>
      <c r="H324" s="2" t="s">
        <v>751</v>
      </c>
      <c r="I324" s="2" t="s">
        <v>752</v>
      </c>
      <c r="J324" s="3">
        <v>4</v>
      </c>
      <c r="K324" s="2" t="s">
        <v>40</v>
      </c>
      <c r="L324" s="3">
        <v>4</v>
      </c>
      <c r="M324" s="11">
        <v>436000.01</v>
      </c>
      <c r="N324" s="3">
        <v>0</v>
      </c>
      <c r="O324" s="2" t="s">
        <v>25</v>
      </c>
      <c r="P324" s="2" t="s">
        <v>26</v>
      </c>
      <c r="Q324" s="2" t="s">
        <v>743</v>
      </c>
    </row>
    <row r="325" spans="1:17" x14ac:dyDescent="0.25">
      <c r="A325" s="1">
        <v>46287</v>
      </c>
      <c r="B325" s="1">
        <v>46286</v>
      </c>
      <c r="C325" s="2" t="s">
        <v>753</v>
      </c>
      <c r="D325" s="2" t="s">
        <v>550</v>
      </c>
      <c r="E325" s="2" t="s">
        <v>544</v>
      </c>
      <c r="F325" s="2" t="s">
        <v>20</v>
      </c>
      <c r="G325" s="2" t="s">
        <v>532</v>
      </c>
      <c r="H325" s="2" t="s">
        <v>571</v>
      </c>
      <c r="I325" s="2" t="s">
        <v>572</v>
      </c>
      <c r="J325" s="3">
        <v>3</v>
      </c>
      <c r="K325" s="2" t="s">
        <v>573</v>
      </c>
      <c r="L325" s="3">
        <v>3</v>
      </c>
      <c r="M325" s="11">
        <v>2507490</v>
      </c>
      <c r="N325" s="3">
        <v>0</v>
      </c>
      <c r="O325" s="2" t="s">
        <v>25</v>
      </c>
      <c r="P325" s="2" t="s">
        <v>26</v>
      </c>
      <c r="Q325" s="2" t="s">
        <v>754</v>
      </c>
    </row>
    <row r="326" spans="1:17" x14ac:dyDescent="0.25">
      <c r="A326" s="1">
        <v>46287</v>
      </c>
      <c r="B326" s="1">
        <v>46286</v>
      </c>
      <c r="C326" s="2" t="s">
        <v>755</v>
      </c>
      <c r="D326" s="2" t="s">
        <v>550</v>
      </c>
      <c r="E326" s="2" t="s">
        <v>756</v>
      </c>
      <c r="F326" s="2" t="s">
        <v>44</v>
      </c>
      <c r="G326" s="2" t="s">
        <v>77</v>
      </c>
      <c r="H326" s="2" t="s">
        <v>625</v>
      </c>
      <c r="I326" s="2" t="s">
        <v>626</v>
      </c>
      <c r="J326" s="3">
        <v>1</v>
      </c>
      <c r="K326" s="2" t="s">
        <v>24</v>
      </c>
      <c r="L326" s="3">
        <v>1</v>
      </c>
      <c r="M326" s="11">
        <v>95800</v>
      </c>
      <c r="N326" s="3">
        <v>0</v>
      </c>
      <c r="O326" s="2" t="s">
        <v>25</v>
      </c>
      <c r="P326" s="2" t="s">
        <v>26</v>
      </c>
      <c r="Q326" s="2" t="s">
        <v>34</v>
      </c>
    </row>
    <row r="327" spans="1:17" x14ac:dyDescent="0.25">
      <c r="A327" s="1">
        <v>46287</v>
      </c>
      <c r="B327" s="1">
        <v>46286</v>
      </c>
      <c r="C327" s="2" t="s">
        <v>755</v>
      </c>
      <c r="D327" s="2" t="s">
        <v>550</v>
      </c>
      <c r="E327" s="2" t="s">
        <v>756</v>
      </c>
      <c r="F327" s="2" t="s">
        <v>44</v>
      </c>
      <c r="G327" s="2" t="s">
        <v>77</v>
      </c>
      <c r="H327" s="2" t="s">
        <v>623</v>
      </c>
      <c r="I327" s="2" t="s">
        <v>624</v>
      </c>
      <c r="J327" s="3">
        <v>2</v>
      </c>
      <c r="K327" s="2" t="s">
        <v>24</v>
      </c>
      <c r="L327" s="3">
        <v>2</v>
      </c>
      <c r="M327" s="11">
        <v>198690</v>
      </c>
      <c r="N327" s="3">
        <v>0</v>
      </c>
      <c r="O327" s="2" t="s">
        <v>25</v>
      </c>
      <c r="P327" s="2" t="s">
        <v>26</v>
      </c>
      <c r="Q327" s="2" t="s">
        <v>34</v>
      </c>
    </row>
    <row r="328" spans="1:17" x14ac:dyDescent="0.25">
      <c r="A328" s="1">
        <v>46287</v>
      </c>
      <c r="B328" s="1">
        <v>46286</v>
      </c>
      <c r="C328" s="2" t="s">
        <v>755</v>
      </c>
      <c r="D328" s="2" t="s">
        <v>550</v>
      </c>
      <c r="E328" s="2" t="s">
        <v>756</v>
      </c>
      <c r="F328" s="2" t="s">
        <v>44</v>
      </c>
      <c r="G328" s="2" t="s">
        <v>77</v>
      </c>
      <c r="H328" s="2" t="s">
        <v>757</v>
      </c>
      <c r="I328" s="2" t="s">
        <v>758</v>
      </c>
      <c r="J328" s="3">
        <v>1</v>
      </c>
      <c r="K328" s="2" t="s">
        <v>414</v>
      </c>
      <c r="L328" s="3">
        <v>1</v>
      </c>
      <c r="M328" s="11">
        <v>89874.01</v>
      </c>
      <c r="N328" s="3">
        <v>0</v>
      </c>
      <c r="O328" s="2" t="s">
        <v>25</v>
      </c>
      <c r="P328" s="2" t="s">
        <v>26</v>
      </c>
      <c r="Q328" s="2" t="s">
        <v>34</v>
      </c>
    </row>
    <row r="329" spans="1:17" x14ac:dyDescent="0.25">
      <c r="A329" s="1">
        <v>46287</v>
      </c>
      <c r="B329" s="1">
        <v>46286</v>
      </c>
      <c r="C329" s="2" t="s">
        <v>759</v>
      </c>
      <c r="D329" s="2" t="s">
        <v>550</v>
      </c>
      <c r="E329" s="2" t="s">
        <v>760</v>
      </c>
      <c r="F329" s="2" t="s">
        <v>20</v>
      </c>
      <c r="G329" s="2" t="s">
        <v>113</v>
      </c>
      <c r="H329" s="2" t="s">
        <v>761</v>
      </c>
      <c r="I329" s="2" t="s">
        <v>762</v>
      </c>
      <c r="J329" s="3">
        <v>12</v>
      </c>
      <c r="K329" s="2" t="s">
        <v>24</v>
      </c>
      <c r="L329" s="3">
        <v>12</v>
      </c>
      <c r="M329" s="11">
        <v>3503160</v>
      </c>
      <c r="N329" s="3">
        <v>0</v>
      </c>
      <c r="O329" s="2" t="s">
        <v>25</v>
      </c>
      <c r="P329" s="2" t="s">
        <v>26</v>
      </c>
      <c r="Q329" s="2" t="s">
        <v>34</v>
      </c>
    </row>
    <row r="330" spans="1:17" x14ac:dyDescent="0.25">
      <c r="A330" s="1">
        <v>46287</v>
      </c>
      <c r="B330" s="1">
        <v>46286</v>
      </c>
      <c r="C330" s="2" t="s">
        <v>763</v>
      </c>
      <c r="D330" s="2" t="s">
        <v>550</v>
      </c>
      <c r="E330" s="2" t="s">
        <v>764</v>
      </c>
      <c r="F330" s="2" t="s">
        <v>44</v>
      </c>
      <c r="G330" s="2" t="s">
        <v>58</v>
      </c>
      <c r="H330" s="2" t="s">
        <v>765</v>
      </c>
      <c r="I330" s="2" t="s">
        <v>766</v>
      </c>
      <c r="J330" s="3">
        <v>2</v>
      </c>
      <c r="K330" s="2" t="s">
        <v>24</v>
      </c>
      <c r="L330" s="3">
        <v>2</v>
      </c>
      <c r="M330" s="11">
        <v>240000</v>
      </c>
      <c r="N330" s="3">
        <v>0</v>
      </c>
      <c r="O330" s="2" t="s">
        <v>25</v>
      </c>
      <c r="P330" s="2" t="s">
        <v>26</v>
      </c>
      <c r="Q330" s="2" t="s">
        <v>34</v>
      </c>
    </row>
    <row r="331" spans="1:17" x14ac:dyDescent="0.25">
      <c r="A331" s="1">
        <v>46287</v>
      </c>
      <c r="B331" s="1">
        <v>46286</v>
      </c>
      <c r="C331" s="2" t="s">
        <v>767</v>
      </c>
      <c r="D331" s="2" t="s">
        <v>550</v>
      </c>
      <c r="E331" s="2" t="s">
        <v>768</v>
      </c>
      <c r="F331" s="2" t="s">
        <v>20</v>
      </c>
      <c r="G331" s="2" t="s">
        <v>58</v>
      </c>
      <c r="H331" s="2" t="s">
        <v>601</v>
      </c>
      <c r="I331" s="2" t="s">
        <v>602</v>
      </c>
      <c r="J331" s="3">
        <v>10</v>
      </c>
      <c r="K331" s="2" t="s">
        <v>24</v>
      </c>
      <c r="L331" s="3">
        <v>10</v>
      </c>
      <c r="M331" s="11">
        <v>1425000.02</v>
      </c>
      <c r="N331" s="3">
        <v>0</v>
      </c>
      <c r="O331" s="2" t="s">
        <v>25</v>
      </c>
      <c r="P331" s="2" t="s">
        <v>26</v>
      </c>
      <c r="Q331" s="2" t="s">
        <v>34</v>
      </c>
    </row>
    <row r="332" spans="1:17" x14ac:dyDescent="0.25">
      <c r="A332" s="1">
        <v>46287</v>
      </c>
      <c r="B332" s="1">
        <v>46286</v>
      </c>
      <c r="C332" s="2" t="s">
        <v>769</v>
      </c>
      <c r="D332" s="2" t="s">
        <v>550</v>
      </c>
      <c r="E332" s="2" t="s">
        <v>770</v>
      </c>
      <c r="F332" s="2" t="s">
        <v>20</v>
      </c>
      <c r="G332" s="2" t="s">
        <v>113</v>
      </c>
      <c r="H332" s="2" t="s">
        <v>765</v>
      </c>
      <c r="I332" s="2" t="s">
        <v>766</v>
      </c>
      <c r="J332" s="3">
        <v>6</v>
      </c>
      <c r="K332" s="2" t="s">
        <v>24</v>
      </c>
      <c r="L332" s="3">
        <v>6</v>
      </c>
      <c r="M332" s="11">
        <v>825000.84</v>
      </c>
      <c r="N332" s="3">
        <v>0</v>
      </c>
      <c r="O332" s="2" t="s">
        <v>25</v>
      </c>
      <c r="P332" s="2" t="s">
        <v>26</v>
      </c>
      <c r="Q332" s="2" t="s">
        <v>34</v>
      </c>
    </row>
    <row r="333" spans="1:17" x14ac:dyDescent="0.25">
      <c r="A333" s="1">
        <v>46287</v>
      </c>
      <c r="B333" s="1">
        <v>46286</v>
      </c>
      <c r="C333" s="2" t="s">
        <v>771</v>
      </c>
      <c r="D333" s="2" t="s">
        <v>550</v>
      </c>
      <c r="E333" s="2" t="s">
        <v>772</v>
      </c>
      <c r="F333" s="2" t="s">
        <v>44</v>
      </c>
      <c r="G333" s="2" t="s">
        <v>37</v>
      </c>
      <c r="H333" s="2" t="s">
        <v>633</v>
      </c>
      <c r="I333" s="2" t="s">
        <v>634</v>
      </c>
      <c r="J333" s="3">
        <v>1</v>
      </c>
      <c r="K333" s="2" t="s">
        <v>116</v>
      </c>
      <c r="L333" s="3">
        <v>1</v>
      </c>
      <c r="M333" s="11">
        <v>168510</v>
      </c>
      <c r="N333" s="3">
        <v>0</v>
      </c>
      <c r="O333" s="2" t="s">
        <v>25</v>
      </c>
      <c r="P333" s="2" t="s">
        <v>26</v>
      </c>
      <c r="Q333" s="2" t="s">
        <v>34</v>
      </c>
    </row>
    <row r="334" spans="1:17" x14ac:dyDescent="0.25">
      <c r="A334" s="1">
        <v>46287</v>
      </c>
      <c r="B334" s="1">
        <v>46286</v>
      </c>
      <c r="C334" s="2" t="s">
        <v>771</v>
      </c>
      <c r="D334" s="2" t="s">
        <v>550</v>
      </c>
      <c r="E334" s="2" t="s">
        <v>772</v>
      </c>
      <c r="F334" s="2" t="s">
        <v>44</v>
      </c>
      <c r="G334" s="2" t="s">
        <v>37</v>
      </c>
      <c r="H334" s="2" t="s">
        <v>642</v>
      </c>
      <c r="I334" s="2" t="s">
        <v>643</v>
      </c>
      <c r="J334" s="3">
        <v>1</v>
      </c>
      <c r="K334" s="2" t="s">
        <v>116</v>
      </c>
      <c r="L334" s="3">
        <v>1</v>
      </c>
      <c r="M334" s="11">
        <v>164835</v>
      </c>
      <c r="N334" s="3">
        <v>0</v>
      </c>
      <c r="O334" s="2" t="s">
        <v>25</v>
      </c>
      <c r="P334" s="2" t="s">
        <v>26</v>
      </c>
      <c r="Q334" s="2" t="s">
        <v>34</v>
      </c>
    </row>
    <row r="335" spans="1:17" x14ac:dyDescent="0.25">
      <c r="A335" s="1">
        <v>46287</v>
      </c>
      <c r="B335" s="1">
        <v>46286</v>
      </c>
      <c r="C335" s="2" t="s">
        <v>773</v>
      </c>
      <c r="D335" s="2" t="s">
        <v>550</v>
      </c>
      <c r="E335" s="2" t="s">
        <v>774</v>
      </c>
      <c r="F335" s="2" t="s">
        <v>20</v>
      </c>
      <c r="G335" s="2" t="s">
        <v>113</v>
      </c>
      <c r="H335" s="2" t="s">
        <v>765</v>
      </c>
      <c r="I335" s="2" t="s">
        <v>766</v>
      </c>
      <c r="J335" s="3">
        <v>2</v>
      </c>
      <c r="K335" s="2" t="s">
        <v>24</v>
      </c>
      <c r="L335" s="3">
        <v>2</v>
      </c>
      <c r="M335" s="11">
        <v>310000</v>
      </c>
      <c r="N335" s="3">
        <v>0</v>
      </c>
      <c r="O335" s="2" t="s">
        <v>25</v>
      </c>
      <c r="P335" s="2" t="s">
        <v>26</v>
      </c>
      <c r="Q335" s="2" t="s">
        <v>34</v>
      </c>
    </row>
    <row r="336" spans="1:17" x14ac:dyDescent="0.25">
      <c r="A336" s="1">
        <v>46287</v>
      </c>
      <c r="B336" s="1">
        <v>46286</v>
      </c>
      <c r="C336" s="2" t="s">
        <v>775</v>
      </c>
      <c r="D336" s="2" t="s">
        <v>550</v>
      </c>
      <c r="E336" s="2" t="s">
        <v>774</v>
      </c>
      <c r="F336" s="2" t="s">
        <v>20</v>
      </c>
      <c r="G336" s="2" t="s">
        <v>113</v>
      </c>
      <c r="H336" s="2" t="s">
        <v>765</v>
      </c>
      <c r="I336" s="2" t="s">
        <v>766</v>
      </c>
      <c r="J336" s="3">
        <v>4</v>
      </c>
      <c r="K336" s="2" t="s">
        <v>24</v>
      </c>
      <c r="L336" s="3">
        <v>4</v>
      </c>
      <c r="M336" s="11">
        <v>620000</v>
      </c>
      <c r="N336" s="3">
        <v>0</v>
      </c>
      <c r="O336" s="2" t="s">
        <v>25</v>
      </c>
      <c r="P336" s="2" t="s">
        <v>26</v>
      </c>
      <c r="Q336" s="2" t="s">
        <v>34</v>
      </c>
    </row>
    <row r="337" spans="1:17" x14ac:dyDescent="0.25">
      <c r="A337" s="1">
        <v>46287</v>
      </c>
      <c r="B337" s="1">
        <v>46286</v>
      </c>
      <c r="C337" s="2" t="s">
        <v>776</v>
      </c>
      <c r="D337" s="2" t="s">
        <v>550</v>
      </c>
      <c r="E337" s="2" t="s">
        <v>777</v>
      </c>
      <c r="F337" s="2" t="s">
        <v>44</v>
      </c>
      <c r="G337" s="2" t="s">
        <v>37</v>
      </c>
      <c r="H337" s="2" t="s">
        <v>778</v>
      </c>
      <c r="I337" s="2" t="s">
        <v>779</v>
      </c>
      <c r="J337" s="3">
        <v>2</v>
      </c>
      <c r="K337" s="2" t="s">
        <v>414</v>
      </c>
      <c r="L337" s="3">
        <v>2</v>
      </c>
      <c r="M337" s="11">
        <v>220000</v>
      </c>
      <c r="N337" s="3">
        <v>0</v>
      </c>
      <c r="O337" s="2" t="s">
        <v>25</v>
      </c>
      <c r="P337" s="2" t="s">
        <v>26</v>
      </c>
      <c r="Q337" s="2" t="s">
        <v>34</v>
      </c>
    </row>
    <row r="338" spans="1:17" x14ac:dyDescent="0.25">
      <c r="A338" s="1">
        <v>46287</v>
      </c>
      <c r="B338" s="1">
        <v>46286</v>
      </c>
      <c r="C338" s="2" t="s">
        <v>776</v>
      </c>
      <c r="D338" s="2" t="s">
        <v>550</v>
      </c>
      <c r="E338" s="2" t="s">
        <v>777</v>
      </c>
      <c r="F338" s="2" t="s">
        <v>44</v>
      </c>
      <c r="G338" s="2" t="s">
        <v>37</v>
      </c>
      <c r="H338" s="2" t="s">
        <v>609</v>
      </c>
      <c r="I338" s="2" t="s">
        <v>610</v>
      </c>
      <c r="J338" s="3">
        <v>5</v>
      </c>
      <c r="K338" s="2" t="s">
        <v>414</v>
      </c>
      <c r="L338" s="3">
        <v>5</v>
      </c>
      <c r="M338" s="11">
        <v>550000.01</v>
      </c>
      <c r="N338" s="3">
        <v>0</v>
      </c>
      <c r="O338" s="2" t="s">
        <v>25</v>
      </c>
      <c r="P338" s="2" t="s">
        <v>26</v>
      </c>
      <c r="Q338" s="2" t="s">
        <v>34</v>
      </c>
    </row>
    <row r="339" spans="1:17" x14ac:dyDescent="0.25">
      <c r="A339" s="1">
        <v>46287</v>
      </c>
      <c r="B339" s="1">
        <v>46286</v>
      </c>
      <c r="C339" s="2" t="s">
        <v>780</v>
      </c>
      <c r="D339" s="2" t="s">
        <v>550</v>
      </c>
      <c r="E339" s="2" t="s">
        <v>285</v>
      </c>
      <c r="F339" s="2" t="s">
        <v>44</v>
      </c>
      <c r="G339" s="2" t="s">
        <v>82</v>
      </c>
      <c r="H339" s="2" t="s">
        <v>781</v>
      </c>
      <c r="I339" s="2" t="s">
        <v>782</v>
      </c>
      <c r="J339" s="3">
        <v>2</v>
      </c>
      <c r="K339" s="2" t="s">
        <v>40</v>
      </c>
      <c r="L339" s="3">
        <v>2</v>
      </c>
      <c r="M339" s="11">
        <v>220000</v>
      </c>
      <c r="N339" s="3">
        <v>0</v>
      </c>
      <c r="O339" s="2" t="s">
        <v>25</v>
      </c>
      <c r="P339" s="2" t="s">
        <v>26</v>
      </c>
      <c r="Q339" s="2" t="s">
        <v>34</v>
      </c>
    </row>
    <row r="340" spans="1:17" x14ac:dyDescent="0.25">
      <c r="A340" s="1">
        <v>46287</v>
      </c>
      <c r="B340" s="1">
        <v>46286</v>
      </c>
      <c r="C340" s="2" t="s">
        <v>783</v>
      </c>
      <c r="D340" s="2" t="s">
        <v>550</v>
      </c>
      <c r="E340" s="2" t="s">
        <v>784</v>
      </c>
      <c r="F340" s="2" t="s">
        <v>20</v>
      </c>
      <c r="G340" s="2" t="s">
        <v>123</v>
      </c>
      <c r="H340" s="2" t="s">
        <v>571</v>
      </c>
      <c r="I340" s="2" t="s">
        <v>572</v>
      </c>
      <c r="J340" s="3">
        <v>3</v>
      </c>
      <c r="K340" s="2" t="s">
        <v>573</v>
      </c>
      <c r="L340" s="3">
        <v>3</v>
      </c>
      <c r="M340" s="11">
        <v>1950000.01</v>
      </c>
      <c r="N340" s="3">
        <v>0</v>
      </c>
      <c r="O340" s="2" t="s">
        <v>25</v>
      </c>
      <c r="P340" s="2" t="s">
        <v>26</v>
      </c>
      <c r="Q340" s="2" t="s">
        <v>34</v>
      </c>
    </row>
    <row r="341" spans="1:17" x14ac:dyDescent="0.25">
      <c r="A341" s="1">
        <v>46287</v>
      </c>
      <c r="B341" s="1">
        <v>46286</v>
      </c>
      <c r="C341" s="2" t="s">
        <v>785</v>
      </c>
      <c r="D341" s="2" t="s">
        <v>550</v>
      </c>
      <c r="E341" s="2" t="s">
        <v>786</v>
      </c>
      <c r="F341" s="2" t="s">
        <v>44</v>
      </c>
      <c r="G341" s="2" t="s">
        <v>37</v>
      </c>
      <c r="H341" s="2" t="s">
        <v>562</v>
      </c>
      <c r="I341" s="2" t="s">
        <v>563</v>
      </c>
      <c r="J341" s="3">
        <v>1</v>
      </c>
      <c r="K341" s="2" t="s">
        <v>149</v>
      </c>
      <c r="L341" s="3">
        <v>1</v>
      </c>
      <c r="M341" s="11">
        <v>350000.01</v>
      </c>
      <c r="N341" s="3">
        <v>0</v>
      </c>
      <c r="O341" s="2" t="s">
        <v>25</v>
      </c>
      <c r="P341" s="2" t="s">
        <v>26</v>
      </c>
      <c r="Q341" s="2" t="s">
        <v>34</v>
      </c>
    </row>
    <row r="342" spans="1:17" x14ac:dyDescent="0.25">
      <c r="A342" s="1">
        <v>46287</v>
      </c>
      <c r="B342" s="1">
        <v>46286</v>
      </c>
      <c r="C342" s="2" t="s">
        <v>787</v>
      </c>
      <c r="D342" s="2" t="s">
        <v>550</v>
      </c>
      <c r="E342" s="2" t="s">
        <v>788</v>
      </c>
      <c r="F342" s="2" t="s">
        <v>44</v>
      </c>
      <c r="G342" s="2" t="s">
        <v>37</v>
      </c>
      <c r="H342" s="2" t="s">
        <v>789</v>
      </c>
      <c r="I342" s="2" t="s">
        <v>790</v>
      </c>
      <c r="J342" s="3">
        <v>4</v>
      </c>
      <c r="K342" s="2" t="s">
        <v>24</v>
      </c>
      <c r="L342" s="3">
        <v>4</v>
      </c>
      <c r="M342" s="11">
        <v>530000</v>
      </c>
      <c r="N342" s="3">
        <v>0</v>
      </c>
      <c r="O342" s="2" t="s">
        <v>25</v>
      </c>
      <c r="P342" s="2" t="s">
        <v>26</v>
      </c>
      <c r="Q342" s="2" t="s">
        <v>34</v>
      </c>
    </row>
    <row r="343" spans="1:17" x14ac:dyDescent="0.25">
      <c r="A343" s="1">
        <v>46287</v>
      </c>
      <c r="B343" s="1">
        <v>46286</v>
      </c>
      <c r="C343" s="2" t="s">
        <v>787</v>
      </c>
      <c r="D343" s="2" t="s">
        <v>550</v>
      </c>
      <c r="E343" s="2" t="s">
        <v>788</v>
      </c>
      <c r="F343" s="2" t="s">
        <v>44</v>
      </c>
      <c r="G343" s="2" t="s">
        <v>37</v>
      </c>
      <c r="H343" s="2" t="s">
        <v>702</v>
      </c>
      <c r="I343" s="2" t="s">
        <v>703</v>
      </c>
      <c r="J343" s="3">
        <v>4</v>
      </c>
      <c r="K343" s="2" t="s">
        <v>24</v>
      </c>
      <c r="L343" s="3">
        <v>4</v>
      </c>
      <c r="M343" s="11">
        <v>390000.01</v>
      </c>
      <c r="N343" s="3">
        <v>0</v>
      </c>
      <c r="O343" s="2" t="s">
        <v>25</v>
      </c>
      <c r="P343" s="2" t="s">
        <v>26</v>
      </c>
      <c r="Q343" s="2" t="s">
        <v>34</v>
      </c>
    </row>
    <row r="344" spans="1:17" x14ac:dyDescent="0.25">
      <c r="A344" s="1">
        <v>46287</v>
      </c>
      <c r="B344" s="1">
        <v>46286</v>
      </c>
      <c r="C344" s="2" t="s">
        <v>791</v>
      </c>
      <c r="D344" s="2" t="s">
        <v>550</v>
      </c>
      <c r="E344" s="2" t="s">
        <v>356</v>
      </c>
      <c r="F344" s="2" t="s">
        <v>20</v>
      </c>
      <c r="G344" s="2" t="s">
        <v>72</v>
      </c>
      <c r="H344" s="2" t="s">
        <v>792</v>
      </c>
      <c r="I344" s="2" t="s">
        <v>793</v>
      </c>
      <c r="J344" s="3">
        <v>16</v>
      </c>
      <c r="K344" s="2" t="s">
        <v>40</v>
      </c>
      <c r="L344" s="3">
        <v>14.91</v>
      </c>
      <c r="M344" s="11">
        <v>2534700</v>
      </c>
      <c r="N344" s="3">
        <v>-1.0900000000000001</v>
      </c>
      <c r="O344" s="2" t="s">
        <v>25</v>
      </c>
      <c r="P344" s="2" t="s">
        <v>26</v>
      </c>
      <c r="Q344" s="2" t="s">
        <v>34</v>
      </c>
    </row>
    <row r="345" spans="1:17" x14ac:dyDescent="0.25">
      <c r="A345" s="1">
        <v>46287</v>
      </c>
      <c r="B345" s="1">
        <v>46286</v>
      </c>
      <c r="C345" s="2" t="s">
        <v>794</v>
      </c>
      <c r="D345" s="2" t="s">
        <v>550</v>
      </c>
      <c r="E345" s="2" t="s">
        <v>350</v>
      </c>
      <c r="F345" s="2" t="s">
        <v>44</v>
      </c>
      <c r="G345" s="2" t="s">
        <v>82</v>
      </c>
      <c r="H345" s="2" t="s">
        <v>795</v>
      </c>
      <c r="I345" s="2" t="s">
        <v>796</v>
      </c>
      <c r="J345" s="3">
        <v>1</v>
      </c>
      <c r="K345" s="2" t="s">
        <v>24</v>
      </c>
      <c r="L345" s="3">
        <v>1</v>
      </c>
      <c r="M345" s="11">
        <v>528000</v>
      </c>
      <c r="N345" s="3">
        <v>0</v>
      </c>
      <c r="O345" s="2" t="s">
        <v>25</v>
      </c>
      <c r="P345" s="2" t="s">
        <v>26</v>
      </c>
      <c r="Q345" s="2" t="s">
        <v>34</v>
      </c>
    </row>
    <row r="346" spans="1:17" x14ac:dyDescent="0.25">
      <c r="A346" s="1">
        <v>46287</v>
      </c>
      <c r="B346" s="1">
        <v>46286</v>
      </c>
      <c r="C346" s="2" t="s">
        <v>797</v>
      </c>
      <c r="D346" s="2" t="s">
        <v>550</v>
      </c>
      <c r="E346" s="2" t="s">
        <v>798</v>
      </c>
      <c r="F346" s="2" t="s">
        <v>20</v>
      </c>
      <c r="G346" s="2" t="s">
        <v>160</v>
      </c>
      <c r="H346" s="2" t="s">
        <v>799</v>
      </c>
      <c r="I346" s="2" t="s">
        <v>800</v>
      </c>
      <c r="J346" s="3">
        <v>2</v>
      </c>
      <c r="K346" s="2" t="s">
        <v>725</v>
      </c>
      <c r="L346" s="3">
        <v>2</v>
      </c>
      <c r="M346" s="11">
        <v>95999.99</v>
      </c>
      <c r="N346" s="3">
        <v>0</v>
      </c>
      <c r="O346" s="2" t="s">
        <v>25</v>
      </c>
      <c r="P346" s="2" t="s">
        <v>26</v>
      </c>
      <c r="Q346" s="2" t="s">
        <v>34</v>
      </c>
    </row>
    <row r="347" spans="1:17" x14ac:dyDescent="0.25">
      <c r="A347" s="1">
        <v>46287</v>
      </c>
      <c r="B347" s="1">
        <v>46286</v>
      </c>
      <c r="C347" s="2" t="s">
        <v>801</v>
      </c>
      <c r="D347" s="2" t="s">
        <v>550</v>
      </c>
      <c r="E347" s="2" t="s">
        <v>313</v>
      </c>
      <c r="F347" s="2" t="s">
        <v>20</v>
      </c>
      <c r="G347" s="2" t="s">
        <v>113</v>
      </c>
      <c r="H347" s="2" t="s">
        <v>592</v>
      </c>
      <c r="I347" s="2" t="s">
        <v>593</v>
      </c>
      <c r="J347" s="3">
        <v>18</v>
      </c>
      <c r="K347" s="2" t="s">
        <v>279</v>
      </c>
      <c r="L347" s="3">
        <v>18</v>
      </c>
      <c r="M347" s="11">
        <v>1530000.07</v>
      </c>
      <c r="N347" s="3">
        <v>0</v>
      </c>
      <c r="O347" s="2" t="s">
        <v>25</v>
      </c>
      <c r="P347" s="2" t="s">
        <v>26</v>
      </c>
      <c r="Q347" s="2" t="s">
        <v>34</v>
      </c>
    </row>
    <row r="348" spans="1:17" x14ac:dyDescent="0.25">
      <c r="A348" s="1">
        <v>46287</v>
      </c>
      <c r="B348" s="1">
        <v>46286</v>
      </c>
      <c r="C348" s="2" t="s">
        <v>802</v>
      </c>
      <c r="D348" s="2" t="s">
        <v>550</v>
      </c>
      <c r="E348" s="2" t="s">
        <v>483</v>
      </c>
      <c r="F348" s="2" t="s">
        <v>20</v>
      </c>
      <c r="G348" s="2" t="s">
        <v>455</v>
      </c>
      <c r="H348" s="2" t="s">
        <v>803</v>
      </c>
      <c r="I348" s="2" t="s">
        <v>804</v>
      </c>
      <c r="J348" s="3">
        <v>24</v>
      </c>
      <c r="K348" s="2" t="s">
        <v>414</v>
      </c>
      <c r="L348" s="3">
        <v>24</v>
      </c>
      <c r="M348" s="11">
        <v>540959.98</v>
      </c>
      <c r="N348" s="3">
        <v>0</v>
      </c>
      <c r="O348" s="2" t="s">
        <v>25</v>
      </c>
      <c r="P348" s="2" t="s">
        <v>26</v>
      </c>
      <c r="Q348" s="2" t="s">
        <v>34</v>
      </c>
    </row>
    <row r="349" spans="1:17" x14ac:dyDescent="0.25">
      <c r="A349" s="1">
        <v>46287</v>
      </c>
      <c r="B349" s="1">
        <v>46286</v>
      </c>
      <c r="C349" s="2" t="s">
        <v>802</v>
      </c>
      <c r="D349" s="2" t="s">
        <v>550</v>
      </c>
      <c r="E349" s="2" t="s">
        <v>483</v>
      </c>
      <c r="F349" s="2" t="s">
        <v>20</v>
      </c>
      <c r="G349" s="2" t="s">
        <v>455</v>
      </c>
      <c r="H349" s="2" t="s">
        <v>805</v>
      </c>
      <c r="I349" s="2" t="s">
        <v>806</v>
      </c>
      <c r="J349" s="3">
        <v>15</v>
      </c>
      <c r="K349" s="2" t="s">
        <v>414</v>
      </c>
      <c r="L349" s="3">
        <v>15</v>
      </c>
      <c r="M349" s="11">
        <v>1297943.1000000001</v>
      </c>
      <c r="N349" s="3">
        <v>0</v>
      </c>
      <c r="O349" s="2" t="s">
        <v>25</v>
      </c>
      <c r="P349" s="2" t="s">
        <v>26</v>
      </c>
      <c r="Q349" s="2" t="s">
        <v>34</v>
      </c>
    </row>
    <row r="350" spans="1:17" x14ac:dyDescent="0.25">
      <c r="A350" s="1">
        <v>46287</v>
      </c>
      <c r="B350" s="1">
        <v>46286</v>
      </c>
      <c r="C350" s="2" t="s">
        <v>807</v>
      </c>
      <c r="D350" s="2" t="s">
        <v>550</v>
      </c>
      <c r="E350" s="2" t="s">
        <v>483</v>
      </c>
      <c r="F350" s="2" t="s">
        <v>20</v>
      </c>
      <c r="G350" s="2" t="s">
        <v>455</v>
      </c>
      <c r="H350" s="2" t="s">
        <v>808</v>
      </c>
      <c r="I350" s="2" t="s">
        <v>809</v>
      </c>
      <c r="J350" s="3">
        <v>6</v>
      </c>
      <c r="K350" s="2" t="s">
        <v>725</v>
      </c>
      <c r="L350" s="3">
        <v>6</v>
      </c>
      <c r="M350" s="11">
        <v>213374.15</v>
      </c>
      <c r="N350" s="3">
        <v>0</v>
      </c>
      <c r="O350" s="2" t="s">
        <v>25</v>
      </c>
      <c r="P350" s="2" t="s">
        <v>26</v>
      </c>
      <c r="Q350" s="2" t="s">
        <v>34</v>
      </c>
    </row>
    <row r="351" spans="1:17" x14ac:dyDescent="0.25">
      <c r="A351" s="1">
        <v>46287</v>
      </c>
      <c r="B351" s="1">
        <v>46286</v>
      </c>
      <c r="C351" s="2" t="s">
        <v>810</v>
      </c>
      <c r="D351" s="2" t="s">
        <v>550</v>
      </c>
      <c r="E351" s="2" t="s">
        <v>811</v>
      </c>
      <c r="F351" s="2" t="s">
        <v>20</v>
      </c>
      <c r="G351" s="2" t="s">
        <v>160</v>
      </c>
      <c r="H351" s="2" t="s">
        <v>812</v>
      </c>
      <c r="I351" s="2" t="s">
        <v>813</v>
      </c>
      <c r="J351" s="3">
        <v>1</v>
      </c>
      <c r="K351" s="2" t="s">
        <v>414</v>
      </c>
      <c r="L351" s="3">
        <v>1</v>
      </c>
      <c r="M351" s="11">
        <v>58000</v>
      </c>
      <c r="N351" s="3">
        <v>0</v>
      </c>
      <c r="O351" s="2" t="s">
        <v>25</v>
      </c>
      <c r="P351" s="2" t="s">
        <v>26</v>
      </c>
      <c r="Q351" s="2" t="s">
        <v>34</v>
      </c>
    </row>
    <row r="352" spans="1:17" x14ac:dyDescent="0.25">
      <c r="A352" s="1">
        <v>46287</v>
      </c>
      <c r="B352" s="1">
        <v>46286</v>
      </c>
      <c r="C352" s="2" t="s">
        <v>814</v>
      </c>
      <c r="D352" s="2" t="s">
        <v>550</v>
      </c>
      <c r="E352" s="2" t="s">
        <v>815</v>
      </c>
      <c r="F352" s="2" t="s">
        <v>20</v>
      </c>
      <c r="G352" s="2" t="s">
        <v>113</v>
      </c>
      <c r="H352" s="2" t="s">
        <v>816</v>
      </c>
      <c r="I352" s="2" t="s">
        <v>817</v>
      </c>
      <c r="J352" s="3">
        <v>24</v>
      </c>
      <c r="K352" s="2" t="s">
        <v>24</v>
      </c>
      <c r="L352" s="3">
        <v>24</v>
      </c>
      <c r="M352" s="11">
        <v>720000.08</v>
      </c>
      <c r="N352" s="3">
        <v>0</v>
      </c>
      <c r="O352" s="2" t="s">
        <v>25</v>
      </c>
      <c r="P352" s="2" t="s">
        <v>26</v>
      </c>
      <c r="Q352" s="2" t="s">
        <v>34</v>
      </c>
    </row>
    <row r="353" spans="1:17" x14ac:dyDescent="0.25">
      <c r="A353" s="1">
        <v>46287</v>
      </c>
      <c r="B353" s="1">
        <v>46286</v>
      </c>
      <c r="C353" s="2" t="s">
        <v>818</v>
      </c>
      <c r="D353" s="2" t="s">
        <v>550</v>
      </c>
      <c r="E353" s="2" t="s">
        <v>815</v>
      </c>
      <c r="F353" s="2" t="s">
        <v>20</v>
      </c>
      <c r="G353" s="2" t="s">
        <v>113</v>
      </c>
      <c r="H353" s="2" t="s">
        <v>819</v>
      </c>
      <c r="I353" s="2" t="s">
        <v>820</v>
      </c>
      <c r="J353" s="3">
        <v>2</v>
      </c>
      <c r="K353" s="2" t="s">
        <v>24</v>
      </c>
      <c r="L353" s="3">
        <v>2</v>
      </c>
      <c r="M353" s="11">
        <v>249999.99</v>
      </c>
      <c r="N353" s="3">
        <v>0</v>
      </c>
      <c r="O353" s="2" t="s">
        <v>25</v>
      </c>
      <c r="P353" s="2" t="s">
        <v>26</v>
      </c>
      <c r="Q353" s="2" t="s">
        <v>34</v>
      </c>
    </row>
    <row r="354" spans="1:17" x14ac:dyDescent="0.25">
      <c r="A354" s="1">
        <v>46287</v>
      </c>
      <c r="B354" s="1">
        <v>46286</v>
      </c>
      <c r="C354" s="2" t="s">
        <v>821</v>
      </c>
      <c r="D354" s="2" t="s">
        <v>550</v>
      </c>
      <c r="E354" s="2" t="s">
        <v>368</v>
      </c>
      <c r="F354" s="2" t="s">
        <v>44</v>
      </c>
      <c r="G354" s="2" t="s">
        <v>123</v>
      </c>
      <c r="H354" s="2" t="s">
        <v>781</v>
      </c>
      <c r="I354" s="2" t="s">
        <v>782</v>
      </c>
      <c r="J354" s="3">
        <v>3</v>
      </c>
      <c r="K354" s="2" t="s">
        <v>40</v>
      </c>
      <c r="L354" s="3">
        <v>3</v>
      </c>
      <c r="M354" s="11">
        <v>300000</v>
      </c>
      <c r="N354" s="3">
        <v>0</v>
      </c>
      <c r="O354" s="2" t="s">
        <v>25</v>
      </c>
      <c r="P354" s="2" t="s">
        <v>26</v>
      </c>
      <c r="Q354" s="2" t="s">
        <v>34</v>
      </c>
    </row>
    <row r="355" spans="1:17" x14ac:dyDescent="0.25">
      <c r="A355" s="1">
        <v>46287</v>
      </c>
      <c r="B355" s="1">
        <v>46286</v>
      </c>
      <c r="C355" s="2" t="s">
        <v>821</v>
      </c>
      <c r="D355" s="2" t="s">
        <v>550</v>
      </c>
      <c r="E355" s="2" t="s">
        <v>368</v>
      </c>
      <c r="F355" s="2" t="s">
        <v>44</v>
      </c>
      <c r="G355" s="2" t="s">
        <v>123</v>
      </c>
      <c r="H355" s="2" t="s">
        <v>567</v>
      </c>
      <c r="I355" s="2" t="s">
        <v>568</v>
      </c>
      <c r="J355" s="3">
        <v>1</v>
      </c>
      <c r="K355" s="2" t="s">
        <v>149</v>
      </c>
      <c r="L355" s="3">
        <v>1</v>
      </c>
      <c r="M355" s="11">
        <v>300000</v>
      </c>
      <c r="N355" s="3">
        <v>0</v>
      </c>
      <c r="O355" s="2" t="s">
        <v>25</v>
      </c>
      <c r="P355" s="2" t="s">
        <v>26</v>
      </c>
      <c r="Q355" s="2" t="s">
        <v>34</v>
      </c>
    </row>
    <row r="356" spans="1:17" x14ac:dyDescent="0.25">
      <c r="A356" s="1">
        <v>46287</v>
      </c>
      <c r="B356" s="1">
        <v>46286</v>
      </c>
      <c r="C356" s="2" t="s">
        <v>822</v>
      </c>
      <c r="D356" s="2" t="s">
        <v>550</v>
      </c>
      <c r="E356" s="2" t="s">
        <v>798</v>
      </c>
      <c r="F356" s="2" t="s">
        <v>20</v>
      </c>
      <c r="G356" s="2" t="s">
        <v>160</v>
      </c>
      <c r="H356" s="2" t="s">
        <v>799</v>
      </c>
      <c r="I356" s="2" t="s">
        <v>800</v>
      </c>
      <c r="J356" s="3">
        <v>20</v>
      </c>
      <c r="K356" s="2" t="s">
        <v>725</v>
      </c>
      <c r="L356" s="3">
        <v>20</v>
      </c>
      <c r="M356" s="11">
        <v>959999.93</v>
      </c>
      <c r="N356" s="3">
        <v>0</v>
      </c>
      <c r="O356" s="2" t="s">
        <v>25</v>
      </c>
      <c r="P356" s="2" t="s">
        <v>26</v>
      </c>
      <c r="Q356" s="2" t="s">
        <v>34</v>
      </c>
    </row>
    <row r="357" spans="1:17" x14ac:dyDescent="0.25">
      <c r="A357" s="1">
        <v>46287</v>
      </c>
      <c r="B357" s="1">
        <v>46286</v>
      </c>
      <c r="C357" s="2" t="s">
        <v>822</v>
      </c>
      <c r="D357" s="2" t="s">
        <v>550</v>
      </c>
      <c r="E357" s="2" t="s">
        <v>798</v>
      </c>
      <c r="F357" s="2" t="s">
        <v>20</v>
      </c>
      <c r="G357" s="2" t="s">
        <v>160</v>
      </c>
      <c r="H357" s="2" t="s">
        <v>823</v>
      </c>
      <c r="I357" s="2" t="s">
        <v>824</v>
      </c>
      <c r="J357" s="3">
        <v>20</v>
      </c>
      <c r="K357" s="2" t="s">
        <v>725</v>
      </c>
      <c r="L357" s="3">
        <v>11</v>
      </c>
      <c r="M357" s="11">
        <v>527999.96</v>
      </c>
      <c r="N357" s="3">
        <v>-9</v>
      </c>
      <c r="O357" s="2" t="s">
        <v>25</v>
      </c>
      <c r="P357" s="2" t="s">
        <v>26</v>
      </c>
      <c r="Q357" s="2" t="s">
        <v>34</v>
      </c>
    </row>
    <row r="358" spans="1:17" x14ac:dyDescent="0.25">
      <c r="A358" s="1">
        <v>46287</v>
      </c>
      <c r="B358" s="1">
        <v>46286</v>
      </c>
      <c r="C358" s="2" t="s">
        <v>825</v>
      </c>
      <c r="D358" s="2" t="s">
        <v>550</v>
      </c>
      <c r="E358" s="2" t="s">
        <v>826</v>
      </c>
      <c r="F358" s="2" t="s">
        <v>20</v>
      </c>
      <c r="G358" s="2" t="s">
        <v>160</v>
      </c>
      <c r="H358" s="2" t="s">
        <v>715</v>
      </c>
      <c r="I358" s="2" t="s">
        <v>716</v>
      </c>
      <c r="J358" s="3">
        <v>2</v>
      </c>
      <c r="K358" s="2" t="s">
        <v>24</v>
      </c>
      <c r="L358" s="3">
        <v>2</v>
      </c>
      <c r="M358" s="11">
        <v>1776000</v>
      </c>
      <c r="N358" s="3">
        <v>0</v>
      </c>
      <c r="O358" s="2" t="s">
        <v>25</v>
      </c>
      <c r="P358" s="2" t="s">
        <v>26</v>
      </c>
      <c r="Q358" s="2" t="s">
        <v>34</v>
      </c>
    </row>
    <row r="359" spans="1:17" x14ac:dyDescent="0.25">
      <c r="A359" s="1">
        <v>46287</v>
      </c>
      <c r="B359" s="1">
        <v>46286</v>
      </c>
      <c r="C359" s="2" t="s">
        <v>827</v>
      </c>
      <c r="D359" s="2" t="s">
        <v>550</v>
      </c>
      <c r="E359" s="2" t="s">
        <v>828</v>
      </c>
      <c r="F359" s="2" t="s">
        <v>20</v>
      </c>
      <c r="G359" s="2" t="s">
        <v>37</v>
      </c>
      <c r="H359" s="2" t="s">
        <v>695</v>
      </c>
      <c r="I359" s="2" t="s">
        <v>696</v>
      </c>
      <c r="J359" s="3">
        <v>2</v>
      </c>
      <c r="K359" s="2" t="s">
        <v>24</v>
      </c>
      <c r="L359" s="3">
        <v>2</v>
      </c>
      <c r="M359" s="11">
        <v>310000</v>
      </c>
      <c r="N359" s="3">
        <v>0</v>
      </c>
      <c r="O359" s="2" t="s">
        <v>25</v>
      </c>
      <c r="P359" s="2" t="s">
        <v>26</v>
      </c>
      <c r="Q359" s="2" t="s">
        <v>34</v>
      </c>
    </row>
    <row r="360" spans="1:17" x14ac:dyDescent="0.25">
      <c r="A360" s="1">
        <v>46287</v>
      </c>
      <c r="B360" s="1">
        <v>46286</v>
      </c>
      <c r="C360" s="2" t="s">
        <v>829</v>
      </c>
      <c r="D360" s="2" t="s">
        <v>550</v>
      </c>
      <c r="E360" s="2" t="s">
        <v>378</v>
      </c>
      <c r="F360" s="2" t="s">
        <v>20</v>
      </c>
      <c r="G360" s="2" t="s">
        <v>30</v>
      </c>
      <c r="H360" s="2" t="s">
        <v>571</v>
      </c>
      <c r="I360" s="2" t="s">
        <v>572</v>
      </c>
      <c r="J360" s="3">
        <v>2</v>
      </c>
      <c r="K360" s="2" t="s">
        <v>573</v>
      </c>
      <c r="L360" s="3">
        <v>2</v>
      </c>
      <c r="M360" s="11">
        <v>1950000</v>
      </c>
      <c r="N360" s="3">
        <v>0</v>
      </c>
      <c r="O360" s="2" t="s">
        <v>25</v>
      </c>
      <c r="P360" s="2" t="s">
        <v>26</v>
      </c>
      <c r="Q360" s="2" t="s">
        <v>830</v>
      </c>
    </row>
    <row r="361" spans="1:17" x14ac:dyDescent="0.25">
      <c r="A361" s="1">
        <v>46287</v>
      </c>
      <c r="B361" s="1">
        <v>46286</v>
      </c>
      <c r="C361" s="2" t="s">
        <v>831</v>
      </c>
      <c r="D361" s="2" t="s">
        <v>550</v>
      </c>
      <c r="E361" s="2" t="s">
        <v>139</v>
      </c>
      <c r="F361" s="2" t="s">
        <v>20</v>
      </c>
      <c r="G361" s="2" t="s">
        <v>123</v>
      </c>
      <c r="H361" s="2" t="s">
        <v>832</v>
      </c>
      <c r="I361" s="2" t="s">
        <v>833</v>
      </c>
      <c r="J361" s="3">
        <v>9.1998999999999995</v>
      </c>
      <c r="K361" s="2" t="s">
        <v>40</v>
      </c>
      <c r="L361" s="3">
        <v>8.73</v>
      </c>
      <c r="M361" s="11">
        <v>829350.04</v>
      </c>
      <c r="N361" s="3">
        <v>-0.46989999999999998</v>
      </c>
      <c r="O361" s="2" t="s">
        <v>25</v>
      </c>
      <c r="P361" s="2" t="s">
        <v>26</v>
      </c>
      <c r="Q361" s="2" t="s">
        <v>834</v>
      </c>
    </row>
    <row r="362" spans="1:17" x14ac:dyDescent="0.25">
      <c r="A362" s="1">
        <v>46287</v>
      </c>
      <c r="B362" s="1">
        <v>46286</v>
      </c>
      <c r="C362" s="2" t="s">
        <v>835</v>
      </c>
      <c r="D362" s="2" t="s">
        <v>550</v>
      </c>
      <c r="E362" s="2" t="s">
        <v>836</v>
      </c>
      <c r="F362" s="2" t="s">
        <v>20</v>
      </c>
      <c r="G362" s="2" t="s">
        <v>37</v>
      </c>
      <c r="H362" s="2" t="s">
        <v>592</v>
      </c>
      <c r="I362" s="2" t="s">
        <v>593</v>
      </c>
      <c r="J362" s="3">
        <v>6</v>
      </c>
      <c r="K362" s="2" t="s">
        <v>279</v>
      </c>
      <c r="L362" s="3">
        <v>6</v>
      </c>
      <c r="M362" s="11">
        <v>510000.02</v>
      </c>
      <c r="N362" s="3">
        <v>0</v>
      </c>
      <c r="O362" s="2" t="s">
        <v>25</v>
      </c>
      <c r="P362" s="2" t="s">
        <v>26</v>
      </c>
      <c r="Q362" s="2" t="s">
        <v>837</v>
      </c>
    </row>
    <row r="363" spans="1:17" x14ac:dyDescent="0.25">
      <c r="A363" s="1">
        <v>46287</v>
      </c>
      <c r="B363" s="1">
        <v>46286</v>
      </c>
      <c r="C363" s="2" t="s">
        <v>838</v>
      </c>
      <c r="D363" s="2" t="s">
        <v>550</v>
      </c>
      <c r="E363" s="2" t="s">
        <v>839</v>
      </c>
      <c r="F363" s="2" t="s">
        <v>20</v>
      </c>
      <c r="G363" s="2" t="s">
        <v>160</v>
      </c>
      <c r="H363" s="2" t="s">
        <v>595</v>
      </c>
      <c r="I363" s="2" t="s">
        <v>596</v>
      </c>
      <c r="J363" s="3">
        <v>25</v>
      </c>
      <c r="K363" s="2" t="s">
        <v>40</v>
      </c>
      <c r="L363" s="3">
        <v>25</v>
      </c>
      <c r="M363" s="11">
        <v>4124995.6</v>
      </c>
      <c r="N363" s="3">
        <v>0</v>
      </c>
      <c r="O363" s="2" t="s">
        <v>25</v>
      </c>
      <c r="P363" s="2" t="s">
        <v>26</v>
      </c>
      <c r="Q363" s="2" t="s">
        <v>34</v>
      </c>
    </row>
    <row r="364" spans="1:17" x14ac:dyDescent="0.25">
      <c r="A364" s="1">
        <v>46287</v>
      </c>
      <c r="B364" s="1">
        <v>46286</v>
      </c>
      <c r="C364" s="2" t="s">
        <v>840</v>
      </c>
      <c r="D364" s="2" t="s">
        <v>550</v>
      </c>
      <c r="E364" s="2" t="s">
        <v>841</v>
      </c>
      <c r="F364" s="2" t="s">
        <v>44</v>
      </c>
      <c r="G364" s="2" t="s">
        <v>72</v>
      </c>
      <c r="H364" s="2" t="s">
        <v>842</v>
      </c>
      <c r="I364" s="2" t="s">
        <v>843</v>
      </c>
      <c r="J364" s="3">
        <v>4.5999999999999996</v>
      </c>
      <c r="K364" s="2" t="s">
        <v>40</v>
      </c>
      <c r="L364" s="3">
        <v>4.3600000000000003</v>
      </c>
      <c r="M364" s="11">
        <v>457800.03</v>
      </c>
      <c r="N364" s="3">
        <v>-0.24</v>
      </c>
      <c r="O364" s="2" t="s">
        <v>25</v>
      </c>
      <c r="P364" s="2" t="s">
        <v>26</v>
      </c>
      <c r="Q364" s="2" t="s">
        <v>844</v>
      </c>
    </row>
    <row r="365" spans="1:17" x14ac:dyDescent="0.25">
      <c r="A365" s="1">
        <v>46287</v>
      </c>
      <c r="B365" s="1">
        <v>46286</v>
      </c>
      <c r="C365" s="2" t="s">
        <v>845</v>
      </c>
      <c r="D365" s="2" t="s">
        <v>550</v>
      </c>
      <c r="E365" s="2" t="s">
        <v>352</v>
      </c>
      <c r="F365" s="2" t="s">
        <v>20</v>
      </c>
      <c r="G365" s="2" t="s">
        <v>160</v>
      </c>
      <c r="H365" s="2" t="s">
        <v>846</v>
      </c>
      <c r="I365" s="2" t="s">
        <v>847</v>
      </c>
      <c r="J365" s="3">
        <v>3</v>
      </c>
      <c r="K365" s="2" t="s">
        <v>40</v>
      </c>
      <c r="L365" s="3">
        <v>3</v>
      </c>
      <c r="M365" s="11">
        <v>330000</v>
      </c>
      <c r="N365" s="3">
        <v>0</v>
      </c>
      <c r="O365" s="2" t="s">
        <v>25</v>
      </c>
      <c r="P365" s="2" t="s">
        <v>26</v>
      </c>
      <c r="Q365" s="2" t="s">
        <v>34</v>
      </c>
    </row>
    <row r="366" spans="1:17" x14ac:dyDescent="0.25">
      <c r="A366" s="1">
        <v>46287</v>
      </c>
      <c r="B366" s="1">
        <v>46286</v>
      </c>
      <c r="C366" s="2" t="s">
        <v>848</v>
      </c>
      <c r="D366" s="2" t="s">
        <v>550</v>
      </c>
      <c r="E366" s="2" t="s">
        <v>218</v>
      </c>
      <c r="F366" s="2" t="s">
        <v>20</v>
      </c>
      <c r="G366" s="2" t="s">
        <v>123</v>
      </c>
      <c r="H366" s="2" t="s">
        <v>683</v>
      </c>
      <c r="I366" s="2" t="s">
        <v>684</v>
      </c>
      <c r="J366" s="3">
        <v>2</v>
      </c>
      <c r="K366" s="2" t="s">
        <v>149</v>
      </c>
      <c r="L366" s="3">
        <v>2</v>
      </c>
      <c r="M366" s="11">
        <v>600000</v>
      </c>
      <c r="N366" s="3">
        <v>0</v>
      </c>
      <c r="O366" s="2" t="s">
        <v>25</v>
      </c>
      <c r="P366" s="2" t="s">
        <v>26</v>
      </c>
      <c r="Q366" s="2" t="s">
        <v>34</v>
      </c>
    </row>
    <row r="367" spans="1:17" x14ac:dyDescent="0.25">
      <c r="A367" s="1">
        <v>46287</v>
      </c>
      <c r="B367" s="1">
        <v>46286</v>
      </c>
      <c r="C367" s="2" t="s">
        <v>849</v>
      </c>
      <c r="D367" s="2" t="s">
        <v>550</v>
      </c>
      <c r="E367" s="2" t="s">
        <v>850</v>
      </c>
      <c r="F367" s="2" t="s">
        <v>20</v>
      </c>
      <c r="G367" s="2" t="s">
        <v>37</v>
      </c>
      <c r="H367" s="2" t="s">
        <v>683</v>
      </c>
      <c r="I367" s="2" t="s">
        <v>684</v>
      </c>
      <c r="J367" s="3">
        <v>1</v>
      </c>
      <c r="K367" s="2" t="s">
        <v>149</v>
      </c>
      <c r="L367" s="3">
        <v>1</v>
      </c>
      <c r="M367" s="11">
        <v>390000</v>
      </c>
      <c r="N367" s="3">
        <v>0</v>
      </c>
      <c r="O367" s="2" t="s">
        <v>25</v>
      </c>
      <c r="P367" s="2" t="s">
        <v>26</v>
      </c>
      <c r="Q367" s="2" t="s">
        <v>34</v>
      </c>
    </row>
    <row r="368" spans="1:17" x14ac:dyDescent="0.25">
      <c r="A368" s="1">
        <v>46287</v>
      </c>
      <c r="B368" s="1">
        <v>46286</v>
      </c>
      <c r="C368" s="2" t="s">
        <v>851</v>
      </c>
      <c r="D368" s="2" t="s">
        <v>550</v>
      </c>
      <c r="E368" s="2" t="s">
        <v>545</v>
      </c>
      <c r="F368" s="2" t="s">
        <v>20</v>
      </c>
      <c r="G368" s="2" t="s">
        <v>123</v>
      </c>
      <c r="H368" s="2" t="s">
        <v>795</v>
      </c>
      <c r="I368" s="2" t="s">
        <v>796</v>
      </c>
      <c r="J368" s="3">
        <v>1</v>
      </c>
      <c r="K368" s="2" t="s">
        <v>24</v>
      </c>
      <c r="L368" s="3">
        <v>1</v>
      </c>
      <c r="M368" s="11">
        <v>528000</v>
      </c>
      <c r="N368" s="3">
        <v>0</v>
      </c>
      <c r="O368" s="2" t="s">
        <v>25</v>
      </c>
      <c r="P368" s="2" t="s">
        <v>26</v>
      </c>
      <c r="Q368" s="2" t="s">
        <v>852</v>
      </c>
    </row>
    <row r="369" spans="1:17" x14ac:dyDescent="0.25">
      <c r="A369" s="1">
        <v>46287</v>
      </c>
      <c r="B369" s="1">
        <v>46286</v>
      </c>
      <c r="C369" s="2" t="s">
        <v>853</v>
      </c>
      <c r="D369" s="2" t="s">
        <v>550</v>
      </c>
      <c r="E369" s="2" t="s">
        <v>400</v>
      </c>
      <c r="F369" s="2" t="s">
        <v>20</v>
      </c>
      <c r="G369" s="2" t="s">
        <v>113</v>
      </c>
      <c r="H369" s="2" t="s">
        <v>854</v>
      </c>
      <c r="I369" s="2" t="s">
        <v>855</v>
      </c>
      <c r="J369" s="3">
        <v>2</v>
      </c>
      <c r="K369" s="2" t="s">
        <v>149</v>
      </c>
      <c r="L369" s="3">
        <v>2</v>
      </c>
      <c r="M369" s="11">
        <v>1200000</v>
      </c>
      <c r="N369" s="3">
        <v>0</v>
      </c>
      <c r="O369" s="2" t="s">
        <v>25</v>
      </c>
      <c r="P369" s="2" t="s">
        <v>26</v>
      </c>
      <c r="Q369" s="2" t="s">
        <v>34</v>
      </c>
    </row>
    <row r="370" spans="1:17" x14ac:dyDescent="0.25">
      <c r="A370" s="1">
        <v>46287</v>
      </c>
      <c r="B370" s="1">
        <v>46286</v>
      </c>
      <c r="C370" s="2" t="s">
        <v>856</v>
      </c>
      <c r="D370" s="2" t="s">
        <v>550</v>
      </c>
      <c r="E370" s="2" t="s">
        <v>400</v>
      </c>
      <c r="F370" s="2" t="s">
        <v>20</v>
      </c>
      <c r="G370" s="2" t="s">
        <v>113</v>
      </c>
      <c r="H370" s="2" t="s">
        <v>857</v>
      </c>
      <c r="I370" s="2" t="s">
        <v>858</v>
      </c>
      <c r="J370" s="3">
        <v>2</v>
      </c>
      <c r="K370" s="2" t="s">
        <v>149</v>
      </c>
      <c r="L370" s="3">
        <v>2</v>
      </c>
      <c r="M370" s="11">
        <v>1200000</v>
      </c>
      <c r="N370" s="3">
        <v>0</v>
      </c>
      <c r="O370" s="2" t="s">
        <v>25</v>
      </c>
      <c r="P370" s="2" t="s">
        <v>26</v>
      </c>
      <c r="Q370" s="2" t="s">
        <v>34</v>
      </c>
    </row>
    <row r="371" spans="1:17" x14ac:dyDescent="0.25">
      <c r="A371" s="1">
        <v>46287</v>
      </c>
      <c r="B371" s="1">
        <v>46286</v>
      </c>
      <c r="C371" s="2" t="s">
        <v>859</v>
      </c>
      <c r="D371" s="2" t="s">
        <v>550</v>
      </c>
      <c r="E371" s="2" t="s">
        <v>443</v>
      </c>
      <c r="F371" s="2" t="s">
        <v>20</v>
      </c>
      <c r="G371" s="2" t="s">
        <v>113</v>
      </c>
      <c r="H371" s="2" t="s">
        <v>846</v>
      </c>
      <c r="I371" s="2" t="s">
        <v>847</v>
      </c>
      <c r="J371" s="3">
        <v>3</v>
      </c>
      <c r="K371" s="2" t="s">
        <v>40</v>
      </c>
      <c r="L371" s="3">
        <v>3</v>
      </c>
      <c r="M371" s="11">
        <v>338999.99</v>
      </c>
      <c r="N371" s="3">
        <v>0</v>
      </c>
      <c r="O371" s="2" t="s">
        <v>25</v>
      </c>
      <c r="P371" s="2" t="s">
        <v>26</v>
      </c>
      <c r="Q371" s="2" t="s">
        <v>34</v>
      </c>
    </row>
    <row r="372" spans="1:17" x14ac:dyDescent="0.25">
      <c r="A372" s="1">
        <v>46287</v>
      </c>
      <c r="B372" s="1">
        <v>46286</v>
      </c>
      <c r="C372" s="2" t="s">
        <v>860</v>
      </c>
      <c r="D372" s="2" t="s">
        <v>550</v>
      </c>
      <c r="E372" s="2" t="s">
        <v>443</v>
      </c>
      <c r="F372" s="2" t="s">
        <v>20</v>
      </c>
      <c r="G372" s="2" t="s">
        <v>113</v>
      </c>
      <c r="H372" s="2" t="s">
        <v>846</v>
      </c>
      <c r="I372" s="2" t="s">
        <v>847</v>
      </c>
      <c r="J372" s="3">
        <v>3</v>
      </c>
      <c r="K372" s="2" t="s">
        <v>40</v>
      </c>
      <c r="L372" s="3">
        <v>3</v>
      </c>
      <c r="M372" s="11">
        <v>338999.99</v>
      </c>
      <c r="N372" s="3">
        <v>0</v>
      </c>
      <c r="O372" s="2" t="s">
        <v>25</v>
      </c>
      <c r="P372" s="2" t="s">
        <v>26</v>
      </c>
      <c r="Q372" s="2" t="s">
        <v>34</v>
      </c>
    </row>
    <row r="373" spans="1:17" x14ac:dyDescent="0.25">
      <c r="A373" s="1">
        <v>46287</v>
      </c>
      <c r="B373" s="1">
        <v>46286</v>
      </c>
      <c r="C373" s="2" t="s">
        <v>861</v>
      </c>
      <c r="D373" s="2" t="s">
        <v>550</v>
      </c>
      <c r="E373" s="2" t="s">
        <v>443</v>
      </c>
      <c r="F373" s="2" t="s">
        <v>20</v>
      </c>
      <c r="G373" s="2" t="s">
        <v>113</v>
      </c>
      <c r="H373" s="2" t="s">
        <v>592</v>
      </c>
      <c r="I373" s="2" t="s">
        <v>593</v>
      </c>
      <c r="J373" s="3">
        <v>6</v>
      </c>
      <c r="K373" s="2" t="s">
        <v>279</v>
      </c>
      <c r="L373" s="3">
        <v>6</v>
      </c>
      <c r="M373" s="11">
        <v>480000.05</v>
      </c>
      <c r="N373" s="3">
        <v>0</v>
      </c>
      <c r="O373" s="2" t="s">
        <v>25</v>
      </c>
      <c r="P373" s="2" t="s">
        <v>26</v>
      </c>
      <c r="Q373" s="2" t="s">
        <v>34</v>
      </c>
    </row>
    <row r="374" spans="1:17" x14ac:dyDescent="0.25">
      <c r="A374" s="1">
        <v>46287</v>
      </c>
      <c r="B374" s="1">
        <v>46286</v>
      </c>
      <c r="C374" s="2" t="s">
        <v>862</v>
      </c>
      <c r="D374" s="2" t="s">
        <v>550</v>
      </c>
      <c r="E374" s="2" t="s">
        <v>443</v>
      </c>
      <c r="F374" s="2" t="s">
        <v>20</v>
      </c>
      <c r="G374" s="2" t="s">
        <v>113</v>
      </c>
      <c r="H374" s="2" t="s">
        <v>592</v>
      </c>
      <c r="I374" s="2" t="s">
        <v>593</v>
      </c>
      <c r="J374" s="3">
        <v>3</v>
      </c>
      <c r="K374" s="2" t="s">
        <v>279</v>
      </c>
      <c r="L374" s="3">
        <v>3</v>
      </c>
      <c r="M374" s="11">
        <v>240000.03</v>
      </c>
      <c r="N374" s="3">
        <v>0</v>
      </c>
      <c r="O374" s="2" t="s">
        <v>25</v>
      </c>
      <c r="P374" s="2" t="s">
        <v>26</v>
      </c>
      <c r="Q374" s="2" t="s">
        <v>34</v>
      </c>
    </row>
    <row r="375" spans="1:17" x14ac:dyDescent="0.25">
      <c r="A375" s="1">
        <v>46287</v>
      </c>
      <c r="B375" s="1">
        <v>46286</v>
      </c>
      <c r="C375" s="2" t="s">
        <v>863</v>
      </c>
      <c r="D375" s="2" t="s">
        <v>550</v>
      </c>
      <c r="E375" s="2" t="s">
        <v>443</v>
      </c>
      <c r="F375" s="2" t="s">
        <v>20</v>
      </c>
      <c r="G375" s="2" t="s">
        <v>113</v>
      </c>
      <c r="H375" s="2" t="s">
        <v>846</v>
      </c>
      <c r="I375" s="2" t="s">
        <v>847</v>
      </c>
      <c r="J375" s="3">
        <v>1.5</v>
      </c>
      <c r="K375" s="2" t="s">
        <v>40</v>
      </c>
      <c r="L375" s="3">
        <v>1.5</v>
      </c>
      <c r="M375" s="11">
        <v>169500</v>
      </c>
      <c r="N375" s="3">
        <v>0</v>
      </c>
      <c r="O375" s="2" t="s">
        <v>25</v>
      </c>
      <c r="P375" s="2" t="s">
        <v>26</v>
      </c>
      <c r="Q375" s="2" t="s">
        <v>34</v>
      </c>
    </row>
    <row r="376" spans="1:17" x14ac:dyDescent="0.25">
      <c r="A376" s="1">
        <v>46287</v>
      </c>
      <c r="B376" s="1">
        <v>46286</v>
      </c>
      <c r="C376" s="2" t="s">
        <v>864</v>
      </c>
      <c r="D376" s="2" t="s">
        <v>550</v>
      </c>
      <c r="E376" s="2" t="s">
        <v>443</v>
      </c>
      <c r="F376" s="2" t="s">
        <v>20</v>
      </c>
      <c r="G376" s="2" t="s">
        <v>113</v>
      </c>
      <c r="H376" s="2" t="s">
        <v>846</v>
      </c>
      <c r="I376" s="2" t="s">
        <v>847</v>
      </c>
      <c r="J376" s="3">
        <v>15</v>
      </c>
      <c r="K376" s="2" t="s">
        <v>40</v>
      </c>
      <c r="L376" s="3">
        <v>15</v>
      </c>
      <c r="M376" s="11">
        <v>1694999.97</v>
      </c>
      <c r="N376" s="3">
        <v>0</v>
      </c>
      <c r="O376" s="2" t="s">
        <v>25</v>
      </c>
      <c r="P376" s="2" t="s">
        <v>26</v>
      </c>
      <c r="Q376" s="2" t="s">
        <v>34</v>
      </c>
    </row>
    <row r="377" spans="1:17" x14ac:dyDescent="0.25">
      <c r="A377" s="1">
        <v>46287</v>
      </c>
      <c r="B377" s="1">
        <v>46286</v>
      </c>
      <c r="C377" s="2" t="s">
        <v>865</v>
      </c>
      <c r="D377" s="2" t="s">
        <v>550</v>
      </c>
      <c r="E377" s="2" t="s">
        <v>443</v>
      </c>
      <c r="F377" s="2" t="s">
        <v>20</v>
      </c>
      <c r="G377" s="2" t="s">
        <v>113</v>
      </c>
      <c r="H377" s="2" t="s">
        <v>846</v>
      </c>
      <c r="I377" s="2" t="s">
        <v>847</v>
      </c>
      <c r="J377" s="3">
        <v>6</v>
      </c>
      <c r="K377" s="2" t="s">
        <v>40</v>
      </c>
      <c r="L377" s="3">
        <v>6</v>
      </c>
      <c r="M377" s="11">
        <v>677999.99</v>
      </c>
      <c r="N377" s="3">
        <v>0</v>
      </c>
      <c r="O377" s="2" t="s">
        <v>25</v>
      </c>
      <c r="P377" s="2" t="s">
        <v>26</v>
      </c>
      <c r="Q377" s="2" t="s">
        <v>34</v>
      </c>
    </row>
    <row r="378" spans="1:17" x14ac:dyDescent="0.25">
      <c r="A378" s="1">
        <v>46287</v>
      </c>
      <c r="B378" s="1">
        <v>46286</v>
      </c>
      <c r="C378" s="2" t="s">
        <v>866</v>
      </c>
      <c r="D378" s="2" t="s">
        <v>550</v>
      </c>
      <c r="E378" s="2" t="s">
        <v>443</v>
      </c>
      <c r="F378" s="2" t="s">
        <v>20</v>
      </c>
      <c r="G378" s="2" t="s">
        <v>113</v>
      </c>
      <c r="H378" s="2" t="s">
        <v>592</v>
      </c>
      <c r="I378" s="2" t="s">
        <v>593</v>
      </c>
      <c r="J378" s="3">
        <v>2</v>
      </c>
      <c r="K378" s="2" t="s">
        <v>279</v>
      </c>
      <c r="L378" s="3">
        <v>2</v>
      </c>
      <c r="M378" s="11">
        <v>160000.01999999999</v>
      </c>
      <c r="N378" s="3">
        <v>0</v>
      </c>
      <c r="O378" s="2" t="s">
        <v>25</v>
      </c>
      <c r="P378" s="2" t="s">
        <v>26</v>
      </c>
      <c r="Q378" s="2" t="s">
        <v>34</v>
      </c>
    </row>
    <row r="379" spans="1:17" x14ac:dyDescent="0.25">
      <c r="A379" s="1">
        <v>46287</v>
      </c>
      <c r="B379" s="1">
        <v>46286</v>
      </c>
      <c r="C379" s="2" t="s">
        <v>867</v>
      </c>
      <c r="D379" s="2" t="s">
        <v>550</v>
      </c>
      <c r="E379" s="2" t="s">
        <v>868</v>
      </c>
      <c r="F379" s="2" t="s">
        <v>20</v>
      </c>
      <c r="G379" s="2" t="s">
        <v>58</v>
      </c>
      <c r="H379" s="2" t="s">
        <v>842</v>
      </c>
      <c r="I379" s="2" t="s">
        <v>843</v>
      </c>
      <c r="J379" s="3">
        <v>6.9</v>
      </c>
      <c r="K379" s="2" t="s">
        <v>40</v>
      </c>
      <c r="L379" s="3">
        <v>6.57</v>
      </c>
      <c r="M379" s="11">
        <v>624150.04</v>
      </c>
      <c r="N379" s="3">
        <v>-0.33</v>
      </c>
      <c r="O379" s="2" t="s">
        <v>25</v>
      </c>
      <c r="P379" s="2" t="s">
        <v>26</v>
      </c>
      <c r="Q379" s="2" t="s">
        <v>869</v>
      </c>
    </row>
    <row r="380" spans="1:17" x14ac:dyDescent="0.25">
      <c r="A380" s="1">
        <v>46287</v>
      </c>
      <c r="B380" s="1">
        <v>46286</v>
      </c>
      <c r="C380" s="2" t="s">
        <v>870</v>
      </c>
      <c r="D380" s="2" t="s">
        <v>550</v>
      </c>
      <c r="E380" s="2" t="s">
        <v>443</v>
      </c>
      <c r="F380" s="2" t="s">
        <v>20</v>
      </c>
      <c r="G380" s="2" t="s">
        <v>113</v>
      </c>
      <c r="H380" s="2" t="s">
        <v>592</v>
      </c>
      <c r="I380" s="2" t="s">
        <v>593</v>
      </c>
      <c r="J380" s="3">
        <v>1</v>
      </c>
      <c r="K380" s="2" t="s">
        <v>279</v>
      </c>
      <c r="L380" s="3">
        <v>1</v>
      </c>
      <c r="M380" s="11">
        <v>80000.009999999995</v>
      </c>
      <c r="N380" s="3">
        <v>0</v>
      </c>
      <c r="O380" s="2" t="s">
        <v>25</v>
      </c>
      <c r="P380" s="2" t="s">
        <v>26</v>
      </c>
      <c r="Q380" s="2" t="s">
        <v>34</v>
      </c>
    </row>
    <row r="381" spans="1:17" x14ac:dyDescent="0.25">
      <c r="A381" s="1">
        <v>46287</v>
      </c>
      <c r="B381" s="1">
        <v>46286</v>
      </c>
      <c r="C381" s="2" t="s">
        <v>871</v>
      </c>
      <c r="D381" s="2" t="s">
        <v>550</v>
      </c>
      <c r="E381" s="2" t="s">
        <v>443</v>
      </c>
      <c r="F381" s="2" t="s">
        <v>20</v>
      </c>
      <c r="G381" s="2" t="s">
        <v>113</v>
      </c>
      <c r="H381" s="2" t="s">
        <v>592</v>
      </c>
      <c r="I381" s="2" t="s">
        <v>593</v>
      </c>
      <c r="J381" s="3">
        <v>1</v>
      </c>
      <c r="K381" s="2" t="s">
        <v>279</v>
      </c>
      <c r="L381" s="3">
        <v>1</v>
      </c>
      <c r="M381" s="11">
        <v>80000.009999999995</v>
      </c>
      <c r="N381" s="3">
        <v>0</v>
      </c>
      <c r="O381" s="2" t="s">
        <v>25</v>
      </c>
      <c r="P381" s="2" t="s">
        <v>26</v>
      </c>
      <c r="Q381" s="2" t="s">
        <v>34</v>
      </c>
    </row>
    <row r="382" spans="1:17" x14ac:dyDescent="0.25">
      <c r="A382" s="1">
        <v>46287</v>
      </c>
      <c r="B382" s="1">
        <v>46286</v>
      </c>
      <c r="C382" s="2" t="s">
        <v>872</v>
      </c>
      <c r="D382" s="2" t="s">
        <v>550</v>
      </c>
      <c r="E382" s="2" t="s">
        <v>570</v>
      </c>
      <c r="F382" s="2" t="s">
        <v>20</v>
      </c>
      <c r="G382" s="2" t="s">
        <v>30</v>
      </c>
      <c r="H382" s="2" t="s">
        <v>571</v>
      </c>
      <c r="I382" s="2" t="s">
        <v>572</v>
      </c>
      <c r="J382" s="3">
        <v>1</v>
      </c>
      <c r="K382" s="2" t="s">
        <v>573</v>
      </c>
      <c r="L382" s="3">
        <v>1</v>
      </c>
      <c r="M382" s="11">
        <v>640000</v>
      </c>
      <c r="N382" s="3">
        <v>0</v>
      </c>
      <c r="O382" s="2" t="s">
        <v>25</v>
      </c>
      <c r="P382" s="2" t="s">
        <v>26</v>
      </c>
      <c r="Q382" s="2" t="s">
        <v>873</v>
      </c>
    </row>
    <row r="383" spans="1:17" x14ac:dyDescent="0.25">
      <c r="A383" s="1">
        <v>46287</v>
      </c>
      <c r="B383" s="1">
        <v>46286</v>
      </c>
      <c r="C383" s="2" t="s">
        <v>874</v>
      </c>
      <c r="D383" s="2" t="s">
        <v>550</v>
      </c>
      <c r="E383" s="2" t="s">
        <v>492</v>
      </c>
      <c r="F383" s="2" t="s">
        <v>44</v>
      </c>
      <c r="G383" s="2" t="s">
        <v>123</v>
      </c>
      <c r="H383" s="2" t="s">
        <v>571</v>
      </c>
      <c r="I383" s="2" t="s">
        <v>572</v>
      </c>
      <c r="J383" s="3">
        <v>1</v>
      </c>
      <c r="K383" s="2" t="s">
        <v>573</v>
      </c>
      <c r="L383" s="3">
        <v>1</v>
      </c>
      <c r="M383" s="11">
        <v>900000.01</v>
      </c>
      <c r="N383" s="3">
        <v>0</v>
      </c>
      <c r="O383" s="2" t="s">
        <v>25</v>
      </c>
      <c r="P383" s="2" t="s">
        <v>26</v>
      </c>
      <c r="Q383" s="2" t="s">
        <v>34</v>
      </c>
    </row>
    <row r="384" spans="1:17" x14ac:dyDescent="0.25">
      <c r="A384" s="1">
        <v>46287</v>
      </c>
      <c r="B384" s="1">
        <v>46286</v>
      </c>
      <c r="C384" s="2" t="s">
        <v>875</v>
      </c>
      <c r="D384" s="2" t="s">
        <v>550</v>
      </c>
      <c r="E384" s="2" t="s">
        <v>876</v>
      </c>
      <c r="F384" s="2" t="s">
        <v>44</v>
      </c>
      <c r="G384" s="2" t="s">
        <v>82</v>
      </c>
      <c r="H384" s="2" t="s">
        <v>558</v>
      </c>
      <c r="I384" s="2" t="s">
        <v>559</v>
      </c>
      <c r="J384" s="3">
        <v>1</v>
      </c>
      <c r="K384" s="2" t="s">
        <v>414</v>
      </c>
      <c r="L384" s="3">
        <v>1</v>
      </c>
      <c r="M384" s="11">
        <v>110000</v>
      </c>
      <c r="N384" s="3">
        <v>0</v>
      </c>
      <c r="O384" s="2" t="s">
        <v>25</v>
      </c>
      <c r="P384" s="2" t="s">
        <v>26</v>
      </c>
      <c r="Q384" s="2" t="s">
        <v>877</v>
      </c>
    </row>
    <row r="385" spans="1:17" x14ac:dyDescent="0.25">
      <c r="A385" s="1">
        <v>46287</v>
      </c>
      <c r="B385" s="1">
        <v>46286</v>
      </c>
      <c r="C385" s="2" t="s">
        <v>875</v>
      </c>
      <c r="D385" s="2" t="s">
        <v>550</v>
      </c>
      <c r="E385" s="2" t="s">
        <v>876</v>
      </c>
      <c r="F385" s="2" t="s">
        <v>44</v>
      </c>
      <c r="G385" s="2" t="s">
        <v>82</v>
      </c>
      <c r="H385" s="2" t="s">
        <v>552</v>
      </c>
      <c r="I385" s="2" t="s">
        <v>553</v>
      </c>
      <c r="J385" s="3">
        <v>1</v>
      </c>
      <c r="K385" s="2" t="s">
        <v>24</v>
      </c>
      <c r="L385" s="3">
        <v>1</v>
      </c>
      <c r="M385" s="11">
        <v>29000</v>
      </c>
      <c r="N385" s="3">
        <v>0</v>
      </c>
      <c r="O385" s="2" t="s">
        <v>25</v>
      </c>
      <c r="P385" s="2" t="s">
        <v>26</v>
      </c>
      <c r="Q385" s="2" t="s">
        <v>877</v>
      </c>
    </row>
    <row r="386" spans="1:17" x14ac:dyDescent="0.25">
      <c r="A386" s="1">
        <v>46287</v>
      </c>
      <c r="B386" s="1">
        <v>46286</v>
      </c>
      <c r="C386" s="2" t="s">
        <v>875</v>
      </c>
      <c r="D386" s="2" t="s">
        <v>550</v>
      </c>
      <c r="E386" s="2" t="s">
        <v>876</v>
      </c>
      <c r="F386" s="2" t="s">
        <v>44</v>
      </c>
      <c r="G386" s="2" t="s">
        <v>82</v>
      </c>
      <c r="H386" s="2" t="s">
        <v>878</v>
      </c>
      <c r="I386" s="2" t="s">
        <v>879</v>
      </c>
      <c r="J386" s="3">
        <v>1</v>
      </c>
      <c r="K386" s="2" t="s">
        <v>116</v>
      </c>
      <c r="L386" s="3">
        <v>1</v>
      </c>
      <c r="M386" s="11">
        <v>156510</v>
      </c>
      <c r="N386" s="3">
        <v>0</v>
      </c>
      <c r="O386" s="2" t="s">
        <v>25</v>
      </c>
      <c r="P386" s="2" t="s">
        <v>26</v>
      </c>
      <c r="Q386" s="2" t="s">
        <v>877</v>
      </c>
    </row>
    <row r="387" spans="1:17" x14ac:dyDescent="0.25">
      <c r="A387" s="1">
        <v>46287</v>
      </c>
      <c r="B387" s="1">
        <v>46286</v>
      </c>
      <c r="C387" s="2" t="s">
        <v>875</v>
      </c>
      <c r="D387" s="2" t="s">
        <v>550</v>
      </c>
      <c r="E387" s="2" t="s">
        <v>876</v>
      </c>
      <c r="F387" s="2" t="s">
        <v>44</v>
      </c>
      <c r="G387" s="2" t="s">
        <v>82</v>
      </c>
      <c r="H387" s="2" t="s">
        <v>642</v>
      </c>
      <c r="I387" s="2" t="s">
        <v>643</v>
      </c>
      <c r="J387" s="3">
        <v>1</v>
      </c>
      <c r="K387" s="2" t="s">
        <v>116</v>
      </c>
      <c r="L387" s="3">
        <v>1</v>
      </c>
      <c r="M387" s="11">
        <v>164835</v>
      </c>
      <c r="N387" s="3">
        <v>0</v>
      </c>
      <c r="O387" s="2" t="s">
        <v>25</v>
      </c>
      <c r="P387" s="2" t="s">
        <v>26</v>
      </c>
      <c r="Q387" s="2" t="s">
        <v>877</v>
      </c>
    </row>
    <row r="388" spans="1:17" x14ac:dyDescent="0.25">
      <c r="A388" s="1">
        <v>46287</v>
      </c>
      <c r="B388" s="1">
        <v>46286</v>
      </c>
      <c r="C388" s="2" t="s">
        <v>875</v>
      </c>
      <c r="D388" s="2" t="s">
        <v>550</v>
      </c>
      <c r="E388" s="2" t="s">
        <v>876</v>
      </c>
      <c r="F388" s="2" t="s">
        <v>44</v>
      </c>
      <c r="G388" s="2" t="s">
        <v>82</v>
      </c>
      <c r="H388" s="2" t="s">
        <v>633</v>
      </c>
      <c r="I388" s="2" t="s">
        <v>634</v>
      </c>
      <c r="J388" s="3">
        <v>1</v>
      </c>
      <c r="K388" s="2" t="s">
        <v>116</v>
      </c>
      <c r="L388" s="3">
        <v>1</v>
      </c>
      <c r="M388" s="11">
        <v>168510</v>
      </c>
      <c r="N388" s="3">
        <v>0</v>
      </c>
      <c r="O388" s="2" t="s">
        <v>25</v>
      </c>
      <c r="P388" s="2" t="s">
        <v>26</v>
      </c>
      <c r="Q388" s="2" t="s">
        <v>877</v>
      </c>
    </row>
    <row r="389" spans="1:17" x14ac:dyDescent="0.25">
      <c r="A389" s="1">
        <v>46287</v>
      </c>
      <c r="B389" s="1">
        <v>46286</v>
      </c>
      <c r="C389" s="2" t="s">
        <v>880</v>
      </c>
      <c r="D389" s="2" t="s">
        <v>550</v>
      </c>
      <c r="E389" s="2" t="s">
        <v>508</v>
      </c>
      <c r="F389" s="2" t="s">
        <v>44</v>
      </c>
      <c r="G389" s="2" t="s">
        <v>72</v>
      </c>
      <c r="H389" s="2" t="s">
        <v>592</v>
      </c>
      <c r="I389" s="2" t="s">
        <v>593</v>
      </c>
      <c r="J389" s="3">
        <v>1</v>
      </c>
      <c r="K389" s="2" t="s">
        <v>279</v>
      </c>
      <c r="L389" s="3">
        <v>1</v>
      </c>
      <c r="M389" s="11">
        <v>95000</v>
      </c>
      <c r="N389" s="3">
        <v>0</v>
      </c>
      <c r="O389" s="2" t="s">
        <v>25</v>
      </c>
      <c r="P389" s="2" t="s">
        <v>26</v>
      </c>
      <c r="Q389" s="2" t="s">
        <v>34</v>
      </c>
    </row>
    <row r="390" spans="1:17" x14ac:dyDescent="0.25">
      <c r="A390" s="1">
        <v>46287</v>
      </c>
      <c r="B390" s="1">
        <v>46286</v>
      </c>
      <c r="C390" s="2" t="s">
        <v>880</v>
      </c>
      <c r="D390" s="2" t="s">
        <v>550</v>
      </c>
      <c r="E390" s="2" t="s">
        <v>508</v>
      </c>
      <c r="F390" s="2" t="s">
        <v>44</v>
      </c>
      <c r="G390" s="2" t="s">
        <v>72</v>
      </c>
      <c r="H390" s="2" t="s">
        <v>881</v>
      </c>
      <c r="I390" s="2" t="s">
        <v>882</v>
      </c>
      <c r="J390" s="3">
        <v>1</v>
      </c>
      <c r="K390" s="2" t="s">
        <v>279</v>
      </c>
      <c r="L390" s="3">
        <v>1</v>
      </c>
      <c r="M390" s="11">
        <v>145000</v>
      </c>
      <c r="N390" s="3">
        <v>0</v>
      </c>
      <c r="O390" s="2" t="s">
        <v>25</v>
      </c>
      <c r="P390" s="2" t="s">
        <v>26</v>
      </c>
      <c r="Q390" s="2" t="s">
        <v>34</v>
      </c>
    </row>
    <row r="391" spans="1:17" x14ac:dyDescent="0.25">
      <c r="A391" s="1">
        <v>46287</v>
      </c>
      <c r="B391" s="1">
        <v>46286</v>
      </c>
      <c r="C391" s="2" t="s">
        <v>883</v>
      </c>
      <c r="D391" s="2" t="s">
        <v>550</v>
      </c>
      <c r="E391" s="2" t="s">
        <v>884</v>
      </c>
      <c r="F391" s="2" t="s">
        <v>44</v>
      </c>
      <c r="G391" s="2" t="s">
        <v>77</v>
      </c>
      <c r="H391" s="2" t="s">
        <v>885</v>
      </c>
      <c r="I391" s="2" t="s">
        <v>886</v>
      </c>
      <c r="J391" s="3">
        <v>1</v>
      </c>
      <c r="K391" s="2" t="s">
        <v>24</v>
      </c>
      <c r="L391" s="3">
        <v>1</v>
      </c>
      <c r="M391" s="11">
        <v>66600</v>
      </c>
      <c r="N391" s="3">
        <v>0</v>
      </c>
      <c r="O391" s="2" t="s">
        <v>25</v>
      </c>
      <c r="P391" s="2" t="s">
        <v>26</v>
      </c>
      <c r="Q391" s="2" t="s">
        <v>34</v>
      </c>
    </row>
    <row r="392" spans="1:17" x14ac:dyDescent="0.25">
      <c r="A392" s="1">
        <v>46287</v>
      </c>
      <c r="B392" s="1">
        <v>46286</v>
      </c>
      <c r="C392" s="2" t="s">
        <v>883</v>
      </c>
      <c r="D392" s="2" t="s">
        <v>550</v>
      </c>
      <c r="E392" s="2" t="s">
        <v>884</v>
      </c>
      <c r="F392" s="2" t="s">
        <v>44</v>
      </c>
      <c r="G392" s="2" t="s">
        <v>77</v>
      </c>
      <c r="H392" s="2" t="s">
        <v>887</v>
      </c>
      <c r="I392" s="2" t="s">
        <v>888</v>
      </c>
      <c r="J392" s="3">
        <v>1</v>
      </c>
      <c r="K392" s="2" t="s">
        <v>24</v>
      </c>
      <c r="L392" s="3">
        <v>1</v>
      </c>
      <c r="M392" s="11">
        <v>86025</v>
      </c>
      <c r="N392" s="3">
        <v>0</v>
      </c>
      <c r="O392" s="2" t="s">
        <v>25</v>
      </c>
      <c r="P392" s="2" t="s">
        <v>26</v>
      </c>
      <c r="Q392" s="2" t="s">
        <v>34</v>
      </c>
    </row>
    <row r="393" spans="1:17" x14ac:dyDescent="0.25">
      <c r="A393" s="1">
        <v>46287</v>
      </c>
      <c r="B393" s="1">
        <v>46286</v>
      </c>
      <c r="C393" s="2" t="s">
        <v>883</v>
      </c>
      <c r="D393" s="2" t="s">
        <v>550</v>
      </c>
      <c r="E393" s="2" t="s">
        <v>884</v>
      </c>
      <c r="F393" s="2" t="s">
        <v>44</v>
      </c>
      <c r="G393" s="2" t="s">
        <v>77</v>
      </c>
      <c r="H393" s="2" t="s">
        <v>889</v>
      </c>
      <c r="I393" s="2" t="s">
        <v>890</v>
      </c>
      <c r="J393" s="3">
        <v>1</v>
      </c>
      <c r="K393" s="2" t="s">
        <v>24</v>
      </c>
      <c r="L393" s="3">
        <v>1</v>
      </c>
      <c r="M393" s="11">
        <v>71595</v>
      </c>
      <c r="N393" s="3">
        <v>0</v>
      </c>
      <c r="O393" s="2" t="s">
        <v>25</v>
      </c>
      <c r="P393" s="2" t="s">
        <v>26</v>
      </c>
      <c r="Q393" s="2" t="s">
        <v>34</v>
      </c>
    </row>
    <row r="394" spans="1:17" x14ac:dyDescent="0.25">
      <c r="A394" s="1">
        <v>46287</v>
      </c>
      <c r="B394" s="1">
        <v>46286</v>
      </c>
      <c r="C394" s="2" t="s">
        <v>891</v>
      </c>
      <c r="D394" s="2" t="s">
        <v>550</v>
      </c>
      <c r="E394" s="2" t="s">
        <v>892</v>
      </c>
      <c r="F394" s="2" t="s">
        <v>20</v>
      </c>
      <c r="G394" s="2" t="s">
        <v>160</v>
      </c>
      <c r="H394" s="2" t="s">
        <v>633</v>
      </c>
      <c r="I394" s="2" t="s">
        <v>634</v>
      </c>
      <c r="J394" s="3">
        <v>5</v>
      </c>
      <c r="K394" s="2" t="s">
        <v>116</v>
      </c>
      <c r="L394" s="3">
        <v>5</v>
      </c>
      <c r="M394" s="11">
        <v>842549.99</v>
      </c>
      <c r="N394" s="3">
        <v>0</v>
      </c>
      <c r="O394" s="2" t="s">
        <v>25</v>
      </c>
      <c r="P394" s="2" t="s">
        <v>26</v>
      </c>
      <c r="Q394" s="2" t="s">
        <v>34</v>
      </c>
    </row>
    <row r="395" spans="1:17" x14ac:dyDescent="0.25">
      <c r="A395" s="1">
        <v>46287</v>
      </c>
      <c r="B395" s="1">
        <v>46286</v>
      </c>
      <c r="C395" s="2" t="s">
        <v>891</v>
      </c>
      <c r="D395" s="2" t="s">
        <v>550</v>
      </c>
      <c r="E395" s="2" t="s">
        <v>892</v>
      </c>
      <c r="F395" s="2" t="s">
        <v>20</v>
      </c>
      <c r="G395" s="2" t="s">
        <v>160</v>
      </c>
      <c r="H395" s="2" t="s">
        <v>893</v>
      </c>
      <c r="I395" s="2" t="s">
        <v>894</v>
      </c>
      <c r="J395" s="3">
        <v>2</v>
      </c>
      <c r="K395" s="2" t="s">
        <v>24</v>
      </c>
      <c r="L395" s="3">
        <v>2</v>
      </c>
      <c r="M395" s="11">
        <v>313020</v>
      </c>
      <c r="N395" s="3">
        <v>0</v>
      </c>
      <c r="O395" s="2" t="s">
        <v>25</v>
      </c>
      <c r="P395" s="2" t="s">
        <v>26</v>
      </c>
      <c r="Q395" s="2" t="s">
        <v>34</v>
      </c>
    </row>
    <row r="396" spans="1:17" x14ac:dyDescent="0.25">
      <c r="A396" s="1">
        <v>46287</v>
      </c>
      <c r="B396" s="1">
        <v>46286</v>
      </c>
      <c r="C396" s="2" t="s">
        <v>891</v>
      </c>
      <c r="D396" s="2" t="s">
        <v>550</v>
      </c>
      <c r="E396" s="2" t="s">
        <v>892</v>
      </c>
      <c r="F396" s="2" t="s">
        <v>20</v>
      </c>
      <c r="G396" s="2" t="s">
        <v>160</v>
      </c>
      <c r="H396" s="2" t="s">
        <v>895</v>
      </c>
      <c r="I396" s="2" t="s">
        <v>896</v>
      </c>
      <c r="J396" s="3">
        <v>3</v>
      </c>
      <c r="K396" s="2" t="s">
        <v>24</v>
      </c>
      <c r="L396" s="3">
        <v>3</v>
      </c>
      <c r="M396" s="11">
        <v>240000.01</v>
      </c>
      <c r="N396" s="3">
        <v>0</v>
      </c>
      <c r="O396" s="2" t="s">
        <v>25</v>
      </c>
      <c r="P396" s="2" t="s">
        <v>26</v>
      </c>
      <c r="Q396" s="2" t="s">
        <v>34</v>
      </c>
    </row>
    <row r="397" spans="1:17" x14ac:dyDescent="0.25">
      <c r="A397" s="1">
        <v>46287</v>
      </c>
      <c r="B397" s="1">
        <v>46286</v>
      </c>
      <c r="C397" s="2" t="s">
        <v>891</v>
      </c>
      <c r="D397" s="2" t="s">
        <v>550</v>
      </c>
      <c r="E397" s="2" t="s">
        <v>892</v>
      </c>
      <c r="F397" s="2" t="s">
        <v>20</v>
      </c>
      <c r="G397" s="2" t="s">
        <v>160</v>
      </c>
      <c r="H397" s="2" t="s">
        <v>897</v>
      </c>
      <c r="I397" s="2" t="s">
        <v>898</v>
      </c>
      <c r="J397" s="3">
        <v>3</v>
      </c>
      <c r="K397" s="2" t="s">
        <v>24</v>
      </c>
      <c r="L397" s="3">
        <v>3</v>
      </c>
      <c r="M397" s="11">
        <v>285000</v>
      </c>
      <c r="N397" s="3">
        <v>0</v>
      </c>
      <c r="O397" s="2" t="s">
        <v>25</v>
      </c>
      <c r="P397" s="2" t="s">
        <v>26</v>
      </c>
      <c r="Q397" s="2" t="s">
        <v>34</v>
      </c>
    </row>
    <row r="398" spans="1:17" x14ac:dyDescent="0.25">
      <c r="A398" s="1">
        <v>46287</v>
      </c>
      <c r="B398" s="1">
        <v>46286</v>
      </c>
      <c r="C398" s="2" t="s">
        <v>899</v>
      </c>
      <c r="D398" s="2" t="s">
        <v>550</v>
      </c>
      <c r="E398" s="2" t="s">
        <v>372</v>
      </c>
      <c r="F398" s="2" t="s">
        <v>20</v>
      </c>
      <c r="G398" s="2" t="s">
        <v>113</v>
      </c>
      <c r="H398" s="2" t="s">
        <v>900</v>
      </c>
      <c r="I398" s="2" t="s">
        <v>901</v>
      </c>
      <c r="J398" s="3">
        <v>6</v>
      </c>
      <c r="K398" s="2" t="s">
        <v>24</v>
      </c>
      <c r="L398" s="3">
        <v>6</v>
      </c>
      <c r="M398" s="11">
        <v>2664000</v>
      </c>
      <c r="N398" s="3">
        <v>0</v>
      </c>
      <c r="O398" s="2" t="s">
        <v>25</v>
      </c>
      <c r="P398" s="2" t="s">
        <v>26</v>
      </c>
      <c r="Q398" s="2" t="s">
        <v>34</v>
      </c>
    </row>
    <row r="399" spans="1:17" x14ac:dyDescent="0.25">
      <c r="A399" s="1">
        <v>46287</v>
      </c>
      <c r="B399" s="1">
        <v>46286</v>
      </c>
      <c r="C399" s="2" t="s">
        <v>902</v>
      </c>
      <c r="D399" s="2" t="s">
        <v>550</v>
      </c>
      <c r="E399" s="2" t="s">
        <v>526</v>
      </c>
      <c r="F399" s="2" t="s">
        <v>44</v>
      </c>
      <c r="G399" s="2" t="s">
        <v>182</v>
      </c>
      <c r="H399" s="2" t="s">
        <v>567</v>
      </c>
      <c r="I399" s="2" t="s">
        <v>568</v>
      </c>
      <c r="J399" s="3">
        <v>1</v>
      </c>
      <c r="K399" s="2" t="s">
        <v>149</v>
      </c>
      <c r="L399" s="3">
        <v>1</v>
      </c>
      <c r="M399" s="11">
        <v>275000</v>
      </c>
      <c r="N399" s="3">
        <v>0</v>
      </c>
      <c r="O399" s="2" t="s">
        <v>25</v>
      </c>
      <c r="P399" s="2" t="s">
        <v>26</v>
      </c>
      <c r="Q399" s="2" t="s">
        <v>34</v>
      </c>
    </row>
    <row r="400" spans="1:17" x14ac:dyDescent="0.25">
      <c r="A400" s="1">
        <v>46287</v>
      </c>
      <c r="B400" s="1">
        <v>46286</v>
      </c>
      <c r="C400" s="2" t="s">
        <v>903</v>
      </c>
      <c r="D400" s="2" t="s">
        <v>550</v>
      </c>
      <c r="E400" s="2" t="s">
        <v>904</v>
      </c>
      <c r="F400" s="2" t="s">
        <v>20</v>
      </c>
      <c r="G400" s="2" t="s">
        <v>113</v>
      </c>
      <c r="H400" s="2" t="s">
        <v>900</v>
      </c>
      <c r="I400" s="2" t="s">
        <v>901</v>
      </c>
      <c r="J400" s="3">
        <v>4</v>
      </c>
      <c r="K400" s="2" t="s">
        <v>24</v>
      </c>
      <c r="L400" s="3">
        <v>4</v>
      </c>
      <c r="M400" s="11">
        <v>1720000.01</v>
      </c>
      <c r="N400" s="3">
        <v>0</v>
      </c>
      <c r="O400" s="2" t="s">
        <v>25</v>
      </c>
      <c r="P400" s="2" t="s">
        <v>26</v>
      </c>
      <c r="Q400" s="2" t="s">
        <v>34</v>
      </c>
    </row>
    <row r="401" spans="1:17" x14ac:dyDescent="0.25">
      <c r="A401" s="1">
        <v>46287</v>
      </c>
      <c r="B401" s="1">
        <v>46286</v>
      </c>
      <c r="C401" s="2" t="s">
        <v>905</v>
      </c>
      <c r="D401" s="2" t="s">
        <v>550</v>
      </c>
      <c r="E401" s="2" t="s">
        <v>906</v>
      </c>
      <c r="F401" s="2" t="s">
        <v>20</v>
      </c>
      <c r="G401" s="2" t="s">
        <v>37</v>
      </c>
      <c r="H401" s="2" t="s">
        <v>592</v>
      </c>
      <c r="I401" s="2" t="s">
        <v>593</v>
      </c>
      <c r="J401" s="3">
        <v>4</v>
      </c>
      <c r="K401" s="2" t="s">
        <v>279</v>
      </c>
      <c r="L401" s="3">
        <v>4</v>
      </c>
      <c r="M401" s="11">
        <v>376000</v>
      </c>
      <c r="N401" s="3">
        <v>0</v>
      </c>
      <c r="O401" s="2" t="s">
        <v>25</v>
      </c>
      <c r="P401" s="2" t="s">
        <v>26</v>
      </c>
      <c r="Q401" s="2" t="s">
        <v>34</v>
      </c>
    </row>
    <row r="402" spans="1:17" x14ac:dyDescent="0.25">
      <c r="A402" s="1">
        <v>46287</v>
      </c>
      <c r="B402" s="1">
        <v>46286</v>
      </c>
      <c r="C402" s="2" t="s">
        <v>907</v>
      </c>
      <c r="D402" s="2" t="s">
        <v>550</v>
      </c>
      <c r="E402" s="2" t="s">
        <v>908</v>
      </c>
      <c r="F402" s="2" t="s">
        <v>20</v>
      </c>
      <c r="G402" s="2" t="s">
        <v>113</v>
      </c>
      <c r="H402" s="2" t="s">
        <v>846</v>
      </c>
      <c r="I402" s="2" t="s">
        <v>847</v>
      </c>
      <c r="J402" s="3">
        <v>2</v>
      </c>
      <c r="K402" s="2" t="s">
        <v>40</v>
      </c>
      <c r="L402" s="3">
        <v>1.5</v>
      </c>
      <c r="M402" s="11">
        <v>165000</v>
      </c>
      <c r="N402" s="3">
        <v>-0.5</v>
      </c>
      <c r="O402" s="2" t="s">
        <v>25</v>
      </c>
      <c r="P402" s="2" t="s">
        <v>26</v>
      </c>
      <c r="Q402" s="2" t="s">
        <v>34</v>
      </c>
    </row>
    <row r="403" spans="1:17" x14ac:dyDescent="0.25">
      <c r="A403" s="1">
        <v>46287</v>
      </c>
      <c r="B403" s="1">
        <v>46286</v>
      </c>
      <c r="C403" s="2" t="s">
        <v>909</v>
      </c>
      <c r="D403" s="2" t="s">
        <v>550</v>
      </c>
      <c r="E403" s="2" t="s">
        <v>400</v>
      </c>
      <c r="F403" s="2" t="s">
        <v>20</v>
      </c>
      <c r="G403" s="2" t="s">
        <v>113</v>
      </c>
      <c r="H403" s="2" t="s">
        <v>910</v>
      </c>
      <c r="I403" s="2" t="s">
        <v>911</v>
      </c>
      <c r="J403" s="3">
        <v>6</v>
      </c>
      <c r="K403" s="2" t="s">
        <v>578</v>
      </c>
      <c r="L403" s="3">
        <v>6</v>
      </c>
      <c r="M403" s="11">
        <v>390000</v>
      </c>
      <c r="N403" s="3">
        <v>0</v>
      </c>
      <c r="O403" s="2" t="s">
        <v>25</v>
      </c>
      <c r="P403" s="2" t="s">
        <v>26</v>
      </c>
      <c r="Q403" s="2" t="s">
        <v>34</v>
      </c>
    </row>
    <row r="404" spans="1:17" x14ac:dyDescent="0.25">
      <c r="A404" s="1">
        <v>46287</v>
      </c>
      <c r="B404" s="1">
        <v>46286</v>
      </c>
      <c r="C404" s="2" t="s">
        <v>912</v>
      </c>
      <c r="D404" s="2" t="s">
        <v>550</v>
      </c>
      <c r="E404" s="2" t="s">
        <v>531</v>
      </c>
      <c r="F404" s="2" t="s">
        <v>20</v>
      </c>
      <c r="G404" s="2" t="s">
        <v>532</v>
      </c>
      <c r="H404" s="2" t="s">
        <v>910</v>
      </c>
      <c r="I404" s="2" t="s">
        <v>911</v>
      </c>
      <c r="J404" s="3">
        <v>10</v>
      </c>
      <c r="K404" s="2" t="s">
        <v>578</v>
      </c>
      <c r="L404" s="3">
        <v>10</v>
      </c>
      <c r="M404" s="11">
        <v>543900</v>
      </c>
      <c r="N404" s="3">
        <v>0</v>
      </c>
      <c r="O404" s="2" t="s">
        <v>25</v>
      </c>
      <c r="P404" s="2" t="s">
        <v>26</v>
      </c>
      <c r="Q404" s="2" t="s">
        <v>34</v>
      </c>
    </row>
    <row r="405" spans="1:17" x14ac:dyDescent="0.25">
      <c r="A405" s="1">
        <v>46287</v>
      </c>
      <c r="B405" s="1">
        <v>46286</v>
      </c>
      <c r="C405" s="2" t="s">
        <v>912</v>
      </c>
      <c r="D405" s="2" t="s">
        <v>550</v>
      </c>
      <c r="E405" s="2" t="s">
        <v>531</v>
      </c>
      <c r="F405" s="2" t="s">
        <v>20</v>
      </c>
      <c r="G405" s="2" t="s">
        <v>532</v>
      </c>
      <c r="H405" s="2" t="s">
        <v>592</v>
      </c>
      <c r="I405" s="2" t="s">
        <v>593</v>
      </c>
      <c r="J405" s="3">
        <v>2</v>
      </c>
      <c r="K405" s="2" t="s">
        <v>279</v>
      </c>
      <c r="L405" s="3">
        <v>2</v>
      </c>
      <c r="M405" s="11">
        <v>134310</v>
      </c>
      <c r="N405" s="3">
        <v>0</v>
      </c>
      <c r="O405" s="2" t="s">
        <v>25</v>
      </c>
      <c r="P405" s="2" t="s">
        <v>26</v>
      </c>
      <c r="Q405" s="2" t="s">
        <v>34</v>
      </c>
    </row>
    <row r="406" spans="1:17" x14ac:dyDescent="0.25">
      <c r="A406" s="1">
        <v>46287</v>
      </c>
      <c r="B406" s="1">
        <v>46286</v>
      </c>
      <c r="C406" s="2" t="s">
        <v>912</v>
      </c>
      <c r="D406" s="2" t="s">
        <v>550</v>
      </c>
      <c r="E406" s="2" t="s">
        <v>531</v>
      </c>
      <c r="F406" s="2" t="s">
        <v>20</v>
      </c>
      <c r="G406" s="2" t="s">
        <v>532</v>
      </c>
      <c r="H406" s="2" t="s">
        <v>881</v>
      </c>
      <c r="I406" s="2" t="s">
        <v>882</v>
      </c>
      <c r="J406" s="3">
        <v>2</v>
      </c>
      <c r="K406" s="2" t="s">
        <v>279</v>
      </c>
      <c r="L406" s="3">
        <v>2</v>
      </c>
      <c r="M406" s="11">
        <v>214230</v>
      </c>
      <c r="N406" s="3">
        <v>0</v>
      </c>
      <c r="O406" s="2" t="s">
        <v>25</v>
      </c>
      <c r="P406" s="2" t="s">
        <v>26</v>
      </c>
      <c r="Q406" s="2" t="s">
        <v>34</v>
      </c>
    </row>
    <row r="407" spans="1:17" x14ac:dyDescent="0.25">
      <c r="A407" s="1">
        <v>46287</v>
      </c>
      <c r="B407" s="1">
        <v>46286</v>
      </c>
      <c r="C407" s="2" t="s">
        <v>913</v>
      </c>
      <c r="D407" s="2" t="s">
        <v>550</v>
      </c>
      <c r="E407" s="2" t="s">
        <v>531</v>
      </c>
      <c r="F407" s="2" t="s">
        <v>20</v>
      </c>
      <c r="G407" s="2" t="s">
        <v>532</v>
      </c>
      <c r="H407" s="2" t="s">
        <v>914</v>
      </c>
      <c r="I407" s="2" t="s">
        <v>915</v>
      </c>
      <c r="J407" s="3">
        <v>1</v>
      </c>
      <c r="K407" s="2" t="s">
        <v>149</v>
      </c>
      <c r="L407" s="3">
        <v>1</v>
      </c>
      <c r="M407" s="11">
        <v>425000</v>
      </c>
      <c r="N407" s="3">
        <v>0</v>
      </c>
      <c r="O407" s="2" t="s">
        <v>25</v>
      </c>
      <c r="P407" s="2" t="s">
        <v>26</v>
      </c>
      <c r="Q407" s="2" t="s">
        <v>34</v>
      </c>
    </row>
    <row r="408" spans="1:17" x14ac:dyDescent="0.25">
      <c r="M408" s="12">
        <f>SUM(M2:M407)</f>
        <v>527041755.18999976</v>
      </c>
    </row>
  </sheetData>
  <autoFilter ref="A1:Q228" xr:uid="{00000000-0009-0000-0000-000000000000}"/>
  <pageMargins left="0.7" right="0.7" top="0.75" bottom="0.75" header="0.3" footer="0.3"/>
  <ignoredErrors>
    <ignoredError sqref="A1:Q33 A193:Q218 A183:Q183 A153:Q153 A151:Q152 A93:Q134 A34:Q35 A228:Q228 A225:Q227 A222:Q224 A220:Q221 A219:Q219 A184:Q192 A154:Q182 A135:Q150 A82:Q92 A79:Q81 A78:Q78 A52:Q77 A51:Q51 A47:Q50 A46:Q46 A45:Q45 A43:Q44 A40:Q42 A38:Q39 A37:Q37 A36:Q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2026-09-22T00:36:45Z</dcterms:created>
  <dcterms:modified xsi:type="dcterms:W3CDTF">2026-09-22T00:44:11Z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