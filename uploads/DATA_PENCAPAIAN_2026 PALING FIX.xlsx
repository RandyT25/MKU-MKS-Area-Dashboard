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 PENCAPAIAN\"/>
    </mc:Choice>
  </mc:AlternateContent>
  <bookViews>
    <workbookView xWindow="0" yWindow="0" windowWidth="20490" windowHeight="7755" tabRatio="500" activeTab="6"/>
  </bookViews>
  <sheets>
    <sheet name="HOW TO USE" sheetId="1" r:id="rId1"/>
    <sheet name="TARGETS" sheetId="2" r:id="rId2"/>
    <sheet name="JAN" sheetId="3" r:id="rId3"/>
    <sheet name="FEB" sheetId="4" r:id="rId4"/>
    <sheet name="MAR" sheetId="5" r:id="rId5"/>
    <sheet name="APR" sheetId="6" r:id="rId6"/>
    <sheet name="MEI" sheetId="7" r:id="rId7"/>
    <sheet name="JUN" sheetId="8" r:id="rId8"/>
    <sheet name="JUL" sheetId="9" r:id="rId9"/>
    <sheet name="AGU" sheetId="10" r:id="rId10"/>
    <sheet name="SEP" sheetId="11" r:id="rId11"/>
    <sheet name="OKT" sheetId="12" r:id="rId12"/>
    <sheet name="NOV" sheetId="13" r:id="rId13"/>
    <sheet name="DES" sheetId="14" r:id="rId1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2" i="7" l="1"/>
  <c r="D83" i="7"/>
  <c r="D75" i="7"/>
  <c r="D81" i="7"/>
  <c r="D80" i="7"/>
  <c r="D79" i="7"/>
  <c r="D78" i="7"/>
  <c r="D77" i="7"/>
  <c r="D76" i="7"/>
  <c r="D74" i="7"/>
  <c r="D73" i="7"/>
  <c r="D72" i="7"/>
  <c r="D71" i="7"/>
  <c r="D70" i="7"/>
  <c r="D70" i="6"/>
  <c r="D79" i="6"/>
  <c r="E3" i="14" l="1"/>
  <c r="C3" i="14"/>
  <c r="E3" i="13"/>
  <c r="C3" i="13"/>
  <c r="E3" i="12"/>
  <c r="C3" i="12"/>
  <c r="E3" i="11"/>
  <c r="C3" i="11"/>
  <c r="E3" i="10"/>
  <c r="C3" i="10"/>
  <c r="E3" i="9"/>
  <c r="C3" i="9"/>
  <c r="E3" i="8"/>
  <c r="C3" i="8"/>
  <c r="E3" i="6"/>
  <c r="C3" i="6"/>
  <c r="E3" i="5"/>
  <c r="C3" i="5"/>
  <c r="E3" i="4"/>
  <c r="C3" i="4"/>
  <c r="E3" i="3"/>
  <c r="C3" i="3"/>
  <c r="E3" i="7"/>
  <c r="C3" i="7"/>
  <c r="N19" i="7"/>
  <c r="D93" i="14" l="1"/>
  <c r="D92" i="14"/>
  <c r="D91" i="14"/>
  <c r="D90" i="14"/>
  <c r="D89" i="14"/>
  <c r="D45" i="14"/>
  <c r="D43" i="14"/>
  <c r="D64" i="14"/>
  <c r="D63" i="14"/>
  <c r="D62" i="14"/>
  <c r="D61" i="14"/>
  <c r="D60" i="14"/>
  <c r="D59" i="14"/>
  <c r="D58" i="14"/>
  <c r="F58" i="14" s="1"/>
  <c r="D57" i="14"/>
  <c r="D56" i="14"/>
  <c r="D55" i="14"/>
  <c r="D54" i="14"/>
  <c r="D53" i="14"/>
  <c r="D52" i="14"/>
  <c r="D51" i="14"/>
  <c r="F41" i="14"/>
  <c r="D93" i="13"/>
  <c r="D92" i="13"/>
  <c r="D91" i="13"/>
  <c r="D90" i="13"/>
  <c r="D89" i="13"/>
  <c r="D45" i="13"/>
  <c r="D44" i="13"/>
  <c r="D43" i="13"/>
  <c r="D46" i="13" s="1"/>
  <c r="E64" i="13"/>
  <c r="E63" i="13"/>
  <c r="E62" i="13"/>
  <c r="E61" i="13"/>
  <c r="E60" i="13"/>
  <c r="E59" i="13"/>
  <c r="E58" i="13"/>
  <c r="E57" i="13"/>
  <c r="E65" i="13" s="1"/>
  <c r="E56" i="13"/>
  <c r="E55" i="13"/>
  <c r="E54" i="13"/>
  <c r="E53" i="13"/>
  <c r="E52" i="13"/>
  <c r="E51" i="13"/>
  <c r="D64" i="13"/>
  <c r="D63" i="13"/>
  <c r="F63" i="13" s="1"/>
  <c r="D62" i="13"/>
  <c r="D61" i="13"/>
  <c r="D60" i="13"/>
  <c r="D59" i="13"/>
  <c r="D58" i="13"/>
  <c r="D57" i="13"/>
  <c r="D56" i="13"/>
  <c r="D55" i="13"/>
  <c r="F55" i="13" s="1"/>
  <c r="D54" i="13"/>
  <c r="D53" i="13"/>
  <c r="D52" i="13"/>
  <c r="D51" i="13"/>
  <c r="F41" i="13"/>
  <c r="D93" i="12"/>
  <c r="D92" i="12"/>
  <c r="D91" i="12"/>
  <c r="D90" i="12"/>
  <c r="D89" i="12"/>
  <c r="D45" i="12"/>
  <c r="D44" i="12"/>
  <c r="D43" i="12"/>
  <c r="E64" i="12"/>
  <c r="E63" i="12"/>
  <c r="E62" i="12"/>
  <c r="E61" i="12"/>
  <c r="E60" i="12"/>
  <c r="E59" i="12"/>
  <c r="E58" i="12"/>
  <c r="E57" i="12"/>
  <c r="E56" i="12"/>
  <c r="E55" i="12"/>
  <c r="E54" i="12"/>
  <c r="E65" i="12" s="1"/>
  <c r="E53" i="12"/>
  <c r="E52" i="12"/>
  <c r="E51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65" i="12" s="1"/>
  <c r="D51" i="12"/>
  <c r="F41" i="12"/>
  <c r="D93" i="11"/>
  <c r="D92" i="11"/>
  <c r="D91" i="11"/>
  <c r="D90" i="11"/>
  <c r="D89" i="11"/>
  <c r="D45" i="11"/>
  <c r="D44" i="11"/>
  <c r="D43" i="11"/>
  <c r="D46" i="11" s="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F51" i="11" s="1"/>
  <c r="D64" i="11"/>
  <c r="D63" i="11"/>
  <c r="D62" i="11"/>
  <c r="D61" i="11"/>
  <c r="D60" i="11"/>
  <c r="D59" i="11"/>
  <c r="D58" i="11"/>
  <c r="D57" i="11"/>
  <c r="F57" i="11" s="1"/>
  <c r="D56" i="11"/>
  <c r="D55" i="11"/>
  <c r="F55" i="11" s="1"/>
  <c r="D54" i="11"/>
  <c r="D53" i="11"/>
  <c r="D52" i="11"/>
  <c r="D51" i="11"/>
  <c r="F41" i="11"/>
  <c r="D93" i="10"/>
  <c r="D92" i="10"/>
  <c r="D91" i="10"/>
  <c r="D90" i="10"/>
  <c r="D89" i="10"/>
  <c r="D45" i="10"/>
  <c r="D44" i="10"/>
  <c r="D43" i="10"/>
  <c r="E64" i="10"/>
  <c r="F64" i="10" s="1"/>
  <c r="E63" i="10"/>
  <c r="E62" i="10"/>
  <c r="E61" i="10"/>
  <c r="E60" i="10"/>
  <c r="E59" i="10"/>
  <c r="E58" i="10"/>
  <c r="E57" i="10"/>
  <c r="F57" i="10" s="1"/>
  <c r="E56" i="10"/>
  <c r="F56" i="10" s="1"/>
  <c r="E55" i="10"/>
  <c r="E54" i="10"/>
  <c r="E65" i="10" s="1"/>
  <c r="E53" i="10"/>
  <c r="E52" i="10"/>
  <c r="E51" i="10"/>
  <c r="D64" i="10"/>
  <c r="D63" i="10"/>
  <c r="F63" i="10" s="1"/>
  <c r="D62" i="10"/>
  <c r="F62" i="10" s="1"/>
  <c r="D61" i="10"/>
  <c r="D60" i="10"/>
  <c r="D59" i="10"/>
  <c r="D58" i="10"/>
  <c r="D57" i="10"/>
  <c r="D56" i="10"/>
  <c r="D55" i="10"/>
  <c r="D54" i="10"/>
  <c r="D53" i="10"/>
  <c r="D52" i="10"/>
  <c r="D65" i="10" s="1"/>
  <c r="D51" i="10"/>
  <c r="F41" i="10"/>
  <c r="D93" i="9"/>
  <c r="D92" i="9"/>
  <c r="D91" i="9"/>
  <c r="D90" i="9"/>
  <c r="D94" i="9" s="1"/>
  <c r="D89" i="9"/>
  <c r="D45" i="9"/>
  <c r="D46" i="9" s="1"/>
  <c r="D44" i="9"/>
  <c r="D43" i="9"/>
  <c r="E64" i="9"/>
  <c r="E63" i="9"/>
  <c r="E62" i="9"/>
  <c r="F62" i="9" s="1"/>
  <c r="E61" i="9"/>
  <c r="F61" i="9" s="1"/>
  <c r="E60" i="9"/>
  <c r="E59" i="9"/>
  <c r="E58" i="9"/>
  <c r="E57" i="9"/>
  <c r="E56" i="9"/>
  <c r="E55" i="9"/>
  <c r="E54" i="9"/>
  <c r="E53" i="9"/>
  <c r="E52" i="9"/>
  <c r="E51" i="9"/>
  <c r="D64" i="9"/>
  <c r="D63" i="9"/>
  <c r="D62" i="9"/>
  <c r="D61" i="9"/>
  <c r="D60" i="9"/>
  <c r="F60" i="9" s="1"/>
  <c r="D59" i="9"/>
  <c r="D58" i="9"/>
  <c r="D57" i="9"/>
  <c r="F57" i="9" s="1"/>
  <c r="D56" i="9"/>
  <c r="D55" i="9"/>
  <c r="D54" i="9"/>
  <c r="D53" i="9"/>
  <c r="D52" i="9"/>
  <c r="D51" i="9"/>
  <c r="F51" i="9" s="1"/>
  <c r="F41" i="9"/>
  <c r="D93" i="8"/>
  <c r="F93" i="8" s="1"/>
  <c r="D92" i="8"/>
  <c r="D91" i="8"/>
  <c r="D90" i="8"/>
  <c r="D89" i="8"/>
  <c r="D45" i="8"/>
  <c r="D44" i="8"/>
  <c r="D43" i="8"/>
  <c r="E64" i="8"/>
  <c r="E63" i="8"/>
  <c r="E62" i="8"/>
  <c r="E61" i="8"/>
  <c r="E60" i="8"/>
  <c r="E59" i="8"/>
  <c r="E58" i="8"/>
  <c r="E57" i="8"/>
  <c r="F57" i="8" s="1"/>
  <c r="E56" i="8"/>
  <c r="E65" i="8" s="1"/>
  <c r="E55" i="8"/>
  <c r="E54" i="8"/>
  <c r="E53" i="8"/>
  <c r="E52" i="8"/>
  <c r="E51" i="8"/>
  <c r="D64" i="8"/>
  <c r="D63" i="8"/>
  <c r="D62" i="8"/>
  <c r="F62" i="8" s="1"/>
  <c r="D61" i="8"/>
  <c r="D60" i="8"/>
  <c r="D59" i="8"/>
  <c r="D58" i="8"/>
  <c r="D57" i="8"/>
  <c r="D56" i="8"/>
  <c r="F56" i="8" s="1"/>
  <c r="D55" i="8"/>
  <c r="F55" i="8" s="1"/>
  <c r="D54" i="8"/>
  <c r="F54" i="8" s="1"/>
  <c r="D53" i="8"/>
  <c r="D52" i="8"/>
  <c r="D51" i="8"/>
  <c r="F41" i="8"/>
  <c r="D93" i="7"/>
  <c r="D92" i="7"/>
  <c r="D91" i="7"/>
  <c r="D90" i="7"/>
  <c r="D89" i="7"/>
  <c r="D45" i="7"/>
  <c r="D44" i="7"/>
  <c r="D43" i="7"/>
  <c r="E64" i="7"/>
  <c r="E63" i="7"/>
  <c r="F63" i="7" s="1"/>
  <c r="E62" i="7"/>
  <c r="E61" i="7"/>
  <c r="E60" i="7"/>
  <c r="E59" i="7"/>
  <c r="E58" i="7"/>
  <c r="E57" i="7"/>
  <c r="E56" i="7"/>
  <c r="E55" i="7"/>
  <c r="F55" i="7" s="1"/>
  <c r="E54" i="7"/>
  <c r="E53" i="7"/>
  <c r="E52" i="7"/>
  <c r="E51" i="7"/>
  <c r="D64" i="7"/>
  <c r="D63" i="7"/>
  <c r="D62" i="7"/>
  <c r="D61" i="7"/>
  <c r="F61" i="7" s="1"/>
  <c r="D60" i="7"/>
  <c r="F60" i="7" s="1"/>
  <c r="D59" i="7"/>
  <c r="D58" i="7"/>
  <c r="D57" i="7"/>
  <c r="D56" i="7"/>
  <c r="D55" i="7"/>
  <c r="D54" i="7"/>
  <c r="D53" i="7"/>
  <c r="F53" i="7" s="1"/>
  <c r="D52" i="7"/>
  <c r="F52" i="7" s="1"/>
  <c r="D51" i="7"/>
  <c r="F41" i="7"/>
  <c r="D94" i="14"/>
  <c r="E93" i="14"/>
  <c r="F93" i="14" s="1"/>
  <c r="E92" i="14"/>
  <c r="F92" i="14" s="1"/>
  <c r="G90" i="14"/>
  <c r="F90" i="14"/>
  <c r="E90" i="14"/>
  <c r="E89" i="14"/>
  <c r="F89" i="14" s="1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E65" i="14"/>
  <c r="D65" i="14"/>
  <c r="F64" i="14"/>
  <c r="F63" i="14"/>
  <c r="F62" i="14"/>
  <c r="F61" i="14"/>
  <c r="F60" i="14"/>
  <c r="H59" i="14"/>
  <c r="L59" i="14" s="1"/>
  <c r="G59" i="14"/>
  <c r="K59" i="14" s="1"/>
  <c r="F59" i="14"/>
  <c r="F57" i="14"/>
  <c r="F56" i="14"/>
  <c r="F55" i="14"/>
  <c r="F54" i="14"/>
  <c r="H53" i="14"/>
  <c r="L53" i="14" s="1"/>
  <c r="G53" i="14"/>
  <c r="K53" i="14" s="1"/>
  <c r="F53" i="14"/>
  <c r="F52" i="14"/>
  <c r="F51" i="14"/>
  <c r="D46" i="14"/>
  <c r="M20" i="14"/>
  <c r="M21" i="14" s="1"/>
  <c r="N19" i="14"/>
  <c r="H64" i="14" s="1"/>
  <c r="L64" i="14" s="1"/>
  <c r="M19" i="14"/>
  <c r="G64" i="14" s="1"/>
  <c r="N18" i="14"/>
  <c r="H63" i="14" s="1"/>
  <c r="L63" i="14" s="1"/>
  <c r="M18" i="14"/>
  <c r="G63" i="14" s="1"/>
  <c r="K63" i="14" s="1"/>
  <c r="N17" i="14"/>
  <c r="H62" i="14" s="1"/>
  <c r="L62" i="14" s="1"/>
  <c r="M17" i="14"/>
  <c r="G62" i="14" s="1"/>
  <c r="N16" i="14"/>
  <c r="H61" i="14" s="1"/>
  <c r="L61" i="14" s="1"/>
  <c r="M16" i="14"/>
  <c r="G61" i="14" s="1"/>
  <c r="N15" i="14"/>
  <c r="H60" i="14" s="1"/>
  <c r="L60" i="14" s="1"/>
  <c r="M15" i="14"/>
  <c r="G60" i="14" s="1"/>
  <c r="N14" i="14"/>
  <c r="H58" i="14" s="1"/>
  <c r="L58" i="14" s="1"/>
  <c r="M14" i="14"/>
  <c r="G58" i="14" s="1"/>
  <c r="N13" i="14"/>
  <c r="H57" i="14" s="1"/>
  <c r="L57" i="14" s="1"/>
  <c r="M13" i="14"/>
  <c r="G57" i="14" s="1"/>
  <c r="N12" i="14"/>
  <c r="H56" i="14" s="1"/>
  <c r="L56" i="14" s="1"/>
  <c r="M12" i="14"/>
  <c r="G56" i="14" s="1"/>
  <c r="N11" i="14"/>
  <c r="H55" i="14" s="1"/>
  <c r="L55" i="14" s="1"/>
  <c r="M11" i="14"/>
  <c r="G55" i="14" s="1"/>
  <c r="K55" i="14" s="1"/>
  <c r="N10" i="14"/>
  <c r="H54" i="14" s="1"/>
  <c r="L54" i="14" s="1"/>
  <c r="M10" i="14"/>
  <c r="G54" i="14" s="1"/>
  <c r="N9" i="14"/>
  <c r="H52" i="14" s="1"/>
  <c r="L52" i="14" s="1"/>
  <c r="M9" i="14"/>
  <c r="G52" i="14" s="1"/>
  <c r="N8" i="14"/>
  <c r="M8" i="14"/>
  <c r="G51" i="14" s="1"/>
  <c r="N7" i="14"/>
  <c r="M7" i="14"/>
  <c r="D94" i="13"/>
  <c r="E93" i="13"/>
  <c r="G93" i="13" s="1"/>
  <c r="E92" i="13"/>
  <c r="E90" i="13"/>
  <c r="E89" i="13"/>
  <c r="F89" i="13" s="1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5" i="13"/>
  <c r="F64" i="13"/>
  <c r="F62" i="13"/>
  <c r="F61" i="13"/>
  <c r="F60" i="13"/>
  <c r="H59" i="13"/>
  <c r="L59" i="13" s="1"/>
  <c r="G59" i="13"/>
  <c r="F59" i="13"/>
  <c r="F58" i="13"/>
  <c r="F57" i="13"/>
  <c r="F56" i="13"/>
  <c r="F54" i="13"/>
  <c r="H53" i="13"/>
  <c r="L53" i="13" s="1"/>
  <c r="G53" i="13"/>
  <c r="F53" i="13"/>
  <c r="F52" i="13"/>
  <c r="F51" i="13"/>
  <c r="M20" i="13"/>
  <c r="M21" i="13" s="1"/>
  <c r="E45" i="13" s="1"/>
  <c r="N19" i="13"/>
  <c r="H64" i="13" s="1"/>
  <c r="L64" i="13" s="1"/>
  <c r="M19" i="13"/>
  <c r="G64" i="13" s="1"/>
  <c r="N18" i="13"/>
  <c r="H63" i="13" s="1"/>
  <c r="L63" i="13" s="1"/>
  <c r="M18" i="13"/>
  <c r="G63" i="13" s="1"/>
  <c r="N17" i="13"/>
  <c r="H62" i="13" s="1"/>
  <c r="L62" i="13" s="1"/>
  <c r="M17" i="13"/>
  <c r="G62" i="13" s="1"/>
  <c r="N16" i="13"/>
  <c r="H61" i="13" s="1"/>
  <c r="L61" i="13" s="1"/>
  <c r="M16" i="13"/>
  <c r="G61" i="13" s="1"/>
  <c r="N15" i="13"/>
  <c r="H60" i="13" s="1"/>
  <c r="M15" i="13"/>
  <c r="G60" i="13" s="1"/>
  <c r="K60" i="13" s="1"/>
  <c r="N14" i="13"/>
  <c r="H58" i="13" s="1"/>
  <c r="L58" i="13" s="1"/>
  <c r="M14" i="13"/>
  <c r="G58" i="13" s="1"/>
  <c r="N13" i="13"/>
  <c r="H57" i="13" s="1"/>
  <c r="L57" i="13" s="1"/>
  <c r="M13" i="13"/>
  <c r="G57" i="13" s="1"/>
  <c r="N12" i="13"/>
  <c r="H56" i="13" s="1"/>
  <c r="L56" i="13" s="1"/>
  <c r="M12" i="13"/>
  <c r="G56" i="13" s="1"/>
  <c r="N11" i="13"/>
  <c r="H55" i="13" s="1"/>
  <c r="L55" i="13" s="1"/>
  <c r="M11" i="13"/>
  <c r="G55" i="13" s="1"/>
  <c r="N10" i="13"/>
  <c r="H54" i="13" s="1"/>
  <c r="L54" i="13" s="1"/>
  <c r="M10" i="13"/>
  <c r="G54" i="13" s="1"/>
  <c r="N9" i="13"/>
  <c r="H52" i="13" s="1"/>
  <c r="L52" i="13" s="1"/>
  <c r="M9" i="13"/>
  <c r="G52" i="13" s="1"/>
  <c r="N8" i="13"/>
  <c r="H51" i="13" s="1"/>
  <c r="M8" i="13"/>
  <c r="G51" i="13" s="1"/>
  <c r="N7" i="13"/>
  <c r="M7" i="13"/>
  <c r="D94" i="12"/>
  <c r="E93" i="12"/>
  <c r="F93" i="12" s="1"/>
  <c r="E92" i="12"/>
  <c r="G92" i="12" s="1"/>
  <c r="E90" i="12"/>
  <c r="G90" i="12" s="1"/>
  <c r="E89" i="12"/>
  <c r="F89" i="12" s="1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F64" i="12"/>
  <c r="F63" i="12"/>
  <c r="F62" i="12"/>
  <c r="F61" i="12"/>
  <c r="F60" i="12"/>
  <c r="H59" i="12"/>
  <c r="L59" i="12" s="1"/>
  <c r="G59" i="12"/>
  <c r="F59" i="12"/>
  <c r="F58" i="12"/>
  <c r="F57" i="12"/>
  <c r="F56" i="12"/>
  <c r="F55" i="12"/>
  <c r="F54" i="12"/>
  <c r="H53" i="12"/>
  <c r="L53" i="12" s="1"/>
  <c r="G53" i="12"/>
  <c r="K53" i="12" s="1"/>
  <c r="F53" i="12"/>
  <c r="F51" i="12"/>
  <c r="D46" i="12"/>
  <c r="M20" i="12"/>
  <c r="M21" i="12" s="1"/>
  <c r="N19" i="12"/>
  <c r="H64" i="12" s="1"/>
  <c r="L64" i="12" s="1"/>
  <c r="M19" i="12"/>
  <c r="G64" i="12" s="1"/>
  <c r="K64" i="12" s="1"/>
  <c r="N18" i="12"/>
  <c r="H63" i="12" s="1"/>
  <c r="L63" i="12" s="1"/>
  <c r="M18" i="12"/>
  <c r="G63" i="12" s="1"/>
  <c r="N17" i="12"/>
  <c r="H62" i="12" s="1"/>
  <c r="M17" i="12"/>
  <c r="G62" i="12" s="1"/>
  <c r="N16" i="12"/>
  <c r="H61" i="12" s="1"/>
  <c r="L61" i="12" s="1"/>
  <c r="M16" i="12"/>
  <c r="G61" i="12" s="1"/>
  <c r="K61" i="12" s="1"/>
  <c r="N15" i="12"/>
  <c r="H60" i="12" s="1"/>
  <c r="L60" i="12" s="1"/>
  <c r="M15" i="12"/>
  <c r="G60" i="12" s="1"/>
  <c r="N14" i="12"/>
  <c r="H58" i="12" s="1"/>
  <c r="M14" i="12"/>
  <c r="G58" i="12" s="1"/>
  <c r="K58" i="12" s="1"/>
  <c r="N13" i="12"/>
  <c r="H57" i="12" s="1"/>
  <c r="L57" i="12" s="1"/>
  <c r="M13" i="12"/>
  <c r="G57" i="12" s="1"/>
  <c r="N12" i="12"/>
  <c r="H56" i="12" s="1"/>
  <c r="L56" i="12" s="1"/>
  <c r="M12" i="12"/>
  <c r="G56" i="12" s="1"/>
  <c r="K56" i="12" s="1"/>
  <c r="N11" i="12"/>
  <c r="H55" i="12" s="1"/>
  <c r="L55" i="12" s="1"/>
  <c r="M11" i="12"/>
  <c r="G55" i="12" s="1"/>
  <c r="K55" i="12" s="1"/>
  <c r="N10" i="12"/>
  <c r="M10" i="12"/>
  <c r="G54" i="12" s="1"/>
  <c r="N9" i="12"/>
  <c r="H52" i="12" s="1"/>
  <c r="L52" i="12" s="1"/>
  <c r="M9" i="12"/>
  <c r="G52" i="12" s="1"/>
  <c r="N8" i="12"/>
  <c r="H51" i="12" s="1"/>
  <c r="L51" i="12" s="1"/>
  <c r="M8" i="12"/>
  <c r="G51" i="12" s="1"/>
  <c r="N7" i="12"/>
  <c r="M7" i="12"/>
  <c r="D94" i="11"/>
  <c r="E93" i="11"/>
  <c r="E92" i="11"/>
  <c r="G92" i="11" s="1"/>
  <c r="E90" i="11"/>
  <c r="F90" i="11" s="1"/>
  <c r="E89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E65" i="11"/>
  <c r="D65" i="11"/>
  <c r="F64" i="11"/>
  <c r="F63" i="11"/>
  <c r="F62" i="11"/>
  <c r="F61" i="11"/>
  <c r="F60" i="11"/>
  <c r="H59" i="11"/>
  <c r="G59" i="11"/>
  <c r="K59" i="11" s="1"/>
  <c r="F59" i="11"/>
  <c r="F58" i="11"/>
  <c r="F56" i="11"/>
  <c r="F54" i="11"/>
  <c r="H53" i="11"/>
  <c r="L53" i="11" s="1"/>
  <c r="G53" i="11"/>
  <c r="F53" i="11"/>
  <c r="F52" i="11"/>
  <c r="M20" i="11"/>
  <c r="M21" i="11" s="1"/>
  <c r="N19" i="11"/>
  <c r="H64" i="11" s="1"/>
  <c r="L64" i="11" s="1"/>
  <c r="M19" i="11"/>
  <c r="G64" i="11" s="1"/>
  <c r="N18" i="11"/>
  <c r="H63" i="11" s="1"/>
  <c r="L63" i="11" s="1"/>
  <c r="M18" i="11"/>
  <c r="G63" i="11" s="1"/>
  <c r="K63" i="11" s="1"/>
  <c r="N17" i="11"/>
  <c r="H62" i="11" s="1"/>
  <c r="L62" i="11" s="1"/>
  <c r="M17" i="11"/>
  <c r="G62" i="11" s="1"/>
  <c r="K62" i="11" s="1"/>
  <c r="N16" i="11"/>
  <c r="H61" i="11" s="1"/>
  <c r="L61" i="11" s="1"/>
  <c r="M16" i="11"/>
  <c r="G61" i="11" s="1"/>
  <c r="N15" i="11"/>
  <c r="H60" i="11" s="1"/>
  <c r="L60" i="11" s="1"/>
  <c r="M15" i="11"/>
  <c r="G60" i="11" s="1"/>
  <c r="N14" i="11"/>
  <c r="H58" i="11" s="1"/>
  <c r="L58" i="11" s="1"/>
  <c r="M14" i="11"/>
  <c r="G58" i="11" s="1"/>
  <c r="K58" i="11" s="1"/>
  <c r="N13" i="11"/>
  <c r="H57" i="11" s="1"/>
  <c r="L57" i="11" s="1"/>
  <c r="M13" i="11"/>
  <c r="G57" i="11" s="1"/>
  <c r="N12" i="11"/>
  <c r="H56" i="11" s="1"/>
  <c r="L56" i="11" s="1"/>
  <c r="M12" i="11"/>
  <c r="G56" i="11" s="1"/>
  <c r="N11" i="11"/>
  <c r="H55" i="11" s="1"/>
  <c r="L55" i="11" s="1"/>
  <c r="M11" i="11"/>
  <c r="G55" i="11" s="1"/>
  <c r="N10" i="11"/>
  <c r="H54" i="11" s="1"/>
  <c r="L54" i="11" s="1"/>
  <c r="M10" i="11"/>
  <c r="G54" i="11" s="1"/>
  <c r="K54" i="11" s="1"/>
  <c r="N9" i="11"/>
  <c r="H52" i="11" s="1"/>
  <c r="L52" i="11" s="1"/>
  <c r="M9" i="11"/>
  <c r="G52" i="11" s="1"/>
  <c r="N8" i="11"/>
  <c r="M8" i="11"/>
  <c r="G51" i="11" s="1"/>
  <c r="N7" i="11"/>
  <c r="M7" i="11"/>
  <c r="D94" i="10"/>
  <c r="E93" i="10"/>
  <c r="G93" i="10" s="1"/>
  <c r="E92" i="10"/>
  <c r="E90" i="10"/>
  <c r="G90" i="10" s="1"/>
  <c r="E89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F61" i="10"/>
  <c r="F60" i="10"/>
  <c r="H59" i="10"/>
  <c r="L59" i="10" s="1"/>
  <c r="G59" i="10"/>
  <c r="F59" i="10"/>
  <c r="F58" i="10"/>
  <c r="F55" i="10"/>
  <c r="F54" i="10"/>
  <c r="H53" i="10"/>
  <c r="L53" i="10" s="1"/>
  <c r="G53" i="10"/>
  <c r="K53" i="10" s="1"/>
  <c r="F53" i="10"/>
  <c r="F51" i="10"/>
  <c r="D46" i="10"/>
  <c r="M20" i="10"/>
  <c r="M21" i="10" s="1"/>
  <c r="E45" i="10" s="1"/>
  <c r="F45" i="10" s="1"/>
  <c r="N19" i="10"/>
  <c r="H64" i="10" s="1"/>
  <c r="L64" i="10" s="1"/>
  <c r="M19" i="10"/>
  <c r="G64" i="10" s="1"/>
  <c r="K64" i="10" s="1"/>
  <c r="N18" i="10"/>
  <c r="H63" i="10" s="1"/>
  <c r="L63" i="10" s="1"/>
  <c r="M18" i="10"/>
  <c r="G63" i="10" s="1"/>
  <c r="N17" i="10"/>
  <c r="H62" i="10" s="1"/>
  <c r="M17" i="10"/>
  <c r="G62" i="10" s="1"/>
  <c r="N16" i="10"/>
  <c r="H61" i="10" s="1"/>
  <c r="L61" i="10" s="1"/>
  <c r="M16" i="10"/>
  <c r="G61" i="10" s="1"/>
  <c r="N15" i="10"/>
  <c r="H60" i="10" s="1"/>
  <c r="L60" i="10" s="1"/>
  <c r="M15" i="10"/>
  <c r="G60" i="10" s="1"/>
  <c r="N14" i="10"/>
  <c r="H58" i="10" s="1"/>
  <c r="L58" i="10" s="1"/>
  <c r="M14" i="10"/>
  <c r="G58" i="10" s="1"/>
  <c r="N13" i="10"/>
  <c r="H57" i="10" s="1"/>
  <c r="M13" i="10"/>
  <c r="G57" i="10" s="1"/>
  <c r="N12" i="10"/>
  <c r="H56" i="10" s="1"/>
  <c r="L56" i="10" s="1"/>
  <c r="M12" i="10"/>
  <c r="G56" i="10" s="1"/>
  <c r="N11" i="10"/>
  <c r="H55" i="10" s="1"/>
  <c r="L55" i="10" s="1"/>
  <c r="M11" i="10"/>
  <c r="G55" i="10" s="1"/>
  <c r="N10" i="10"/>
  <c r="H54" i="10" s="1"/>
  <c r="M10" i="10"/>
  <c r="G54" i="10" s="1"/>
  <c r="N9" i="10"/>
  <c r="H52" i="10" s="1"/>
  <c r="L52" i="10" s="1"/>
  <c r="M9" i="10"/>
  <c r="G52" i="10" s="1"/>
  <c r="N8" i="10"/>
  <c r="M8" i="10"/>
  <c r="G51" i="10" s="1"/>
  <c r="N7" i="10"/>
  <c r="M7" i="10"/>
  <c r="E93" i="9"/>
  <c r="G93" i="9" s="1"/>
  <c r="E92" i="9"/>
  <c r="G92" i="9" s="1"/>
  <c r="E90" i="9"/>
  <c r="G90" i="9" s="1"/>
  <c r="E89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E65" i="9"/>
  <c r="D65" i="9"/>
  <c r="F64" i="9"/>
  <c r="F63" i="9"/>
  <c r="H59" i="9"/>
  <c r="G59" i="9"/>
  <c r="K59" i="9" s="1"/>
  <c r="F59" i="9"/>
  <c r="F58" i="9"/>
  <c r="F56" i="9"/>
  <c r="F55" i="9"/>
  <c r="F54" i="9"/>
  <c r="H53" i="9"/>
  <c r="L53" i="9" s="1"/>
  <c r="G53" i="9"/>
  <c r="F53" i="9"/>
  <c r="F52" i="9"/>
  <c r="M20" i="9"/>
  <c r="M21" i="9" s="1"/>
  <c r="E45" i="9" s="1"/>
  <c r="N19" i="9"/>
  <c r="H64" i="9" s="1"/>
  <c r="L64" i="9" s="1"/>
  <c r="M19" i="9"/>
  <c r="G64" i="9" s="1"/>
  <c r="K64" i="9" s="1"/>
  <c r="N18" i="9"/>
  <c r="H63" i="9" s="1"/>
  <c r="L63" i="9" s="1"/>
  <c r="M18" i="9"/>
  <c r="G63" i="9" s="1"/>
  <c r="N17" i="9"/>
  <c r="H62" i="9" s="1"/>
  <c r="M17" i="9"/>
  <c r="G62" i="9" s="1"/>
  <c r="N16" i="9"/>
  <c r="H61" i="9" s="1"/>
  <c r="M16" i="9"/>
  <c r="G61" i="9" s="1"/>
  <c r="N15" i="9"/>
  <c r="H60" i="9" s="1"/>
  <c r="L60" i="9" s="1"/>
  <c r="M15" i="9"/>
  <c r="G60" i="9" s="1"/>
  <c r="N14" i="9"/>
  <c r="H58" i="9" s="1"/>
  <c r="L58" i="9" s="1"/>
  <c r="M14" i="9"/>
  <c r="G58" i="9" s="1"/>
  <c r="K58" i="9" s="1"/>
  <c r="N13" i="9"/>
  <c r="H57" i="9" s="1"/>
  <c r="L57" i="9" s="1"/>
  <c r="M13" i="9"/>
  <c r="G57" i="9" s="1"/>
  <c r="N12" i="9"/>
  <c r="H56" i="9" s="1"/>
  <c r="L56" i="9" s="1"/>
  <c r="M12" i="9"/>
  <c r="G56" i="9" s="1"/>
  <c r="N11" i="9"/>
  <c r="H55" i="9" s="1"/>
  <c r="L55" i="9" s="1"/>
  <c r="M11" i="9"/>
  <c r="G55" i="9" s="1"/>
  <c r="K55" i="9" s="1"/>
  <c r="N10" i="9"/>
  <c r="H54" i="9" s="1"/>
  <c r="L54" i="9" s="1"/>
  <c r="M10" i="9"/>
  <c r="G54" i="9" s="1"/>
  <c r="N9" i="9"/>
  <c r="M9" i="9"/>
  <c r="G52" i="9" s="1"/>
  <c r="N8" i="9"/>
  <c r="H51" i="9" s="1"/>
  <c r="L51" i="9" s="1"/>
  <c r="M8" i="9"/>
  <c r="G51" i="9" s="1"/>
  <c r="N7" i="9"/>
  <c r="M7" i="9"/>
  <c r="D94" i="8"/>
  <c r="E93" i="8"/>
  <c r="E92" i="8"/>
  <c r="G92" i="8" s="1"/>
  <c r="E90" i="8"/>
  <c r="G90" i="8" s="1"/>
  <c r="E89" i="8"/>
  <c r="G89" i="8" s="1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F64" i="8"/>
  <c r="F63" i="8"/>
  <c r="F61" i="8"/>
  <c r="F60" i="8"/>
  <c r="H59" i="8"/>
  <c r="G59" i="8"/>
  <c r="K59" i="8" s="1"/>
  <c r="F59" i="8"/>
  <c r="F58" i="8"/>
  <c r="K57" i="8"/>
  <c r="H53" i="8"/>
  <c r="L53" i="8" s="1"/>
  <c r="G53" i="8"/>
  <c r="F53" i="8"/>
  <c r="F52" i="8"/>
  <c r="F51" i="8"/>
  <c r="M20" i="8"/>
  <c r="M21" i="8" s="1"/>
  <c r="E45" i="8" s="1"/>
  <c r="F45" i="8" s="1"/>
  <c r="N19" i="8"/>
  <c r="H64" i="8" s="1"/>
  <c r="M19" i="8"/>
  <c r="G64" i="8" s="1"/>
  <c r="N18" i="8"/>
  <c r="H63" i="8" s="1"/>
  <c r="L63" i="8" s="1"/>
  <c r="M18" i="8"/>
  <c r="G63" i="8" s="1"/>
  <c r="N17" i="8"/>
  <c r="H62" i="8" s="1"/>
  <c r="L62" i="8" s="1"/>
  <c r="M17" i="8"/>
  <c r="G62" i="8" s="1"/>
  <c r="K62" i="8" s="1"/>
  <c r="N16" i="8"/>
  <c r="H61" i="8" s="1"/>
  <c r="L61" i="8" s="1"/>
  <c r="M16" i="8"/>
  <c r="G61" i="8" s="1"/>
  <c r="K61" i="8" s="1"/>
  <c r="N15" i="8"/>
  <c r="H60" i="8" s="1"/>
  <c r="L60" i="8" s="1"/>
  <c r="M15" i="8"/>
  <c r="G60" i="8" s="1"/>
  <c r="N14" i="8"/>
  <c r="H58" i="8" s="1"/>
  <c r="M14" i="8"/>
  <c r="G58" i="8" s="1"/>
  <c r="K58" i="8" s="1"/>
  <c r="N13" i="8"/>
  <c r="H57" i="8" s="1"/>
  <c r="M13" i="8"/>
  <c r="G57" i="8" s="1"/>
  <c r="N12" i="8"/>
  <c r="H56" i="8" s="1"/>
  <c r="L56" i="8" s="1"/>
  <c r="M12" i="8"/>
  <c r="G56" i="8" s="1"/>
  <c r="N11" i="8"/>
  <c r="H55" i="8" s="1"/>
  <c r="L55" i="8" s="1"/>
  <c r="M11" i="8"/>
  <c r="G55" i="8" s="1"/>
  <c r="N10" i="8"/>
  <c r="H54" i="8" s="1"/>
  <c r="L54" i="8" s="1"/>
  <c r="M10" i="8"/>
  <c r="G54" i="8" s="1"/>
  <c r="N9" i="8"/>
  <c r="M9" i="8"/>
  <c r="G52" i="8" s="1"/>
  <c r="N8" i="8"/>
  <c r="H51" i="8" s="1"/>
  <c r="M8" i="8"/>
  <c r="G51" i="8" s="1"/>
  <c r="N7" i="8"/>
  <c r="M7" i="8"/>
  <c r="E93" i="7"/>
  <c r="G92" i="7"/>
  <c r="E92" i="7"/>
  <c r="F92" i="7" s="1"/>
  <c r="E90" i="7"/>
  <c r="F90" i="7" s="1"/>
  <c r="E89" i="7"/>
  <c r="H59" i="7"/>
  <c r="G59" i="7"/>
  <c r="F59" i="7"/>
  <c r="F58" i="7"/>
  <c r="H53" i="7"/>
  <c r="G53" i="7"/>
  <c r="K53" i="7" s="1"/>
  <c r="M20" i="7"/>
  <c r="M21" i="7" s="1"/>
  <c r="E45" i="7" s="1"/>
  <c r="H64" i="7"/>
  <c r="M19" i="7"/>
  <c r="G64" i="7" s="1"/>
  <c r="N18" i="7"/>
  <c r="H63" i="7" s="1"/>
  <c r="M18" i="7"/>
  <c r="G63" i="7" s="1"/>
  <c r="K63" i="7" s="1"/>
  <c r="N17" i="7"/>
  <c r="H62" i="7" s="1"/>
  <c r="L62" i="7" s="1"/>
  <c r="M17" i="7"/>
  <c r="G62" i="7" s="1"/>
  <c r="K62" i="7" s="1"/>
  <c r="N16" i="7"/>
  <c r="H61" i="7" s="1"/>
  <c r="M16" i="7"/>
  <c r="G61" i="7" s="1"/>
  <c r="N15" i="7"/>
  <c r="H60" i="7" s="1"/>
  <c r="M15" i="7"/>
  <c r="G60" i="7" s="1"/>
  <c r="N14" i="7"/>
  <c r="H58" i="7" s="1"/>
  <c r="M14" i="7"/>
  <c r="G58" i="7" s="1"/>
  <c r="N13" i="7"/>
  <c r="H57" i="7" s="1"/>
  <c r="L57" i="7" s="1"/>
  <c r="M13" i="7"/>
  <c r="G57" i="7" s="1"/>
  <c r="N12" i="7"/>
  <c r="H56" i="7" s="1"/>
  <c r="M12" i="7"/>
  <c r="G56" i="7" s="1"/>
  <c r="N11" i="7"/>
  <c r="M11" i="7"/>
  <c r="G55" i="7" s="1"/>
  <c r="K55" i="7" s="1"/>
  <c r="N10" i="7"/>
  <c r="H54" i="7" s="1"/>
  <c r="M10" i="7"/>
  <c r="G54" i="7" s="1"/>
  <c r="N9" i="7"/>
  <c r="H52" i="7" s="1"/>
  <c r="L52" i="7" s="1"/>
  <c r="M9" i="7"/>
  <c r="G52" i="7" s="1"/>
  <c r="N8" i="7"/>
  <c r="M8" i="7"/>
  <c r="G51" i="7" s="1"/>
  <c r="N7" i="7"/>
  <c r="M7" i="7"/>
  <c r="G59" i="6"/>
  <c r="G53" i="6"/>
  <c r="D78" i="6"/>
  <c r="D72" i="6"/>
  <c r="H59" i="6"/>
  <c r="H53" i="6"/>
  <c r="D59" i="6"/>
  <c r="D53" i="6"/>
  <c r="D43" i="6"/>
  <c r="D44" i="6"/>
  <c r="D83" i="6"/>
  <c r="D82" i="6"/>
  <c r="D81" i="6"/>
  <c r="D80" i="6"/>
  <c r="D77" i="6"/>
  <c r="D76" i="6"/>
  <c r="D74" i="6"/>
  <c r="D73" i="6"/>
  <c r="D71" i="6"/>
  <c r="E59" i="6"/>
  <c r="E53" i="6"/>
  <c r="D66" i="4"/>
  <c r="D67" i="4"/>
  <c r="D68" i="4"/>
  <c r="D69" i="4"/>
  <c r="D65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E49" i="4"/>
  <c r="D49" i="4"/>
  <c r="D43" i="4"/>
  <c r="D42" i="4"/>
  <c r="D41" i="4"/>
  <c r="D66" i="3"/>
  <c r="D67" i="3"/>
  <c r="D68" i="3"/>
  <c r="D69" i="3"/>
  <c r="D65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E49" i="3"/>
  <c r="D49" i="3"/>
  <c r="D43" i="3"/>
  <c r="D42" i="3"/>
  <c r="D41" i="3"/>
  <c r="E69" i="3"/>
  <c r="E68" i="3"/>
  <c r="E66" i="3"/>
  <c r="E65" i="3"/>
  <c r="G65" i="3" s="1"/>
  <c r="G57" i="3"/>
  <c r="P20" i="3"/>
  <c r="P21" i="3" s="1"/>
  <c r="Q19" i="3"/>
  <c r="H60" i="3" s="1"/>
  <c r="P19" i="3"/>
  <c r="G60" i="3" s="1"/>
  <c r="Q18" i="3"/>
  <c r="H59" i="3" s="1"/>
  <c r="L59" i="3" s="1"/>
  <c r="P18" i="3"/>
  <c r="G59" i="3" s="1"/>
  <c r="Q17" i="3"/>
  <c r="H58" i="3" s="1"/>
  <c r="P17" i="3"/>
  <c r="G58" i="3" s="1"/>
  <c r="Q16" i="3"/>
  <c r="H57" i="3" s="1"/>
  <c r="P16" i="3"/>
  <c r="Q15" i="3"/>
  <c r="H56" i="3" s="1"/>
  <c r="P15" i="3"/>
  <c r="G56" i="3" s="1"/>
  <c r="Q14" i="3"/>
  <c r="H55" i="3" s="1"/>
  <c r="P14" i="3"/>
  <c r="G55" i="3" s="1"/>
  <c r="Q13" i="3"/>
  <c r="H54" i="3" s="1"/>
  <c r="P13" i="3"/>
  <c r="G54" i="3" s="1"/>
  <c r="Q12" i="3"/>
  <c r="H53" i="3" s="1"/>
  <c r="P12" i="3"/>
  <c r="G53" i="3" s="1"/>
  <c r="Q11" i="3"/>
  <c r="H52" i="3" s="1"/>
  <c r="P11" i="3"/>
  <c r="G52" i="3" s="1"/>
  <c r="Q10" i="3"/>
  <c r="H51" i="3" s="1"/>
  <c r="L51" i="3" s="1"/>
  <c r="P10" i="3"/>
  <c r="G51" i="3" s="1"/>
  <c r="Q9" i="3"/>
  <c r="H50" i="3" s="1"/>
  <c r="P9" i="3"/>
  <c r="G50" i="3" s="1"/>
  <c r="Q8" i="3"/>
  <c r="H49" i="3" s="1"/>
  <c r="P8" i="3"/>
  <c r="G49" i="3" s="1"/>
  <c r="Q7" i="3"/>
  <c r="P7" i="3"/>
  <c r="D46" i="8" l="1"/>
  <c r="D65" i="8"/>
  <c r="K63" i="8"/>
  <c r="L59" i="9"/>
  <c r="K62" i="10"/>
  <c r="G90" i="11"/>
  <c r="K55" i="13"/>
  <c r="G89" i="13"/>
  <c r="F62" i="7"/>
  <c r="L59" i="8"/>
  <c r="L61" i="9"/>
  <c r="L57" i="10"/>
  <c r="F52" i="12"/>
  <c r="G92" i="14"/>
  <c r="H92" i="14" s="1"/>
  <c r="G65" i="7"/>
  <c r="E43" i="7" s="1"/>
  <c r="G43" i="7" s="1"/>
  <c r="H43" i="7" s="1"/>
  <c r="K64" i="8"/>
  <c r="F93" i="9"/>
  <c r="K54" i="8"/>
  <c r="F89" i="8"/>
  <c r="K52" i="10"/>
  <c r="L59" i="11"/>
  <c r="F54" i="7"/>
  <c r="L52" i="3"/>
  <c r="G93" i="7"/>
  <c r="L58" i="8"/>
  <c r="L62" i="10"/>
  <c r="F52" i="10"/>
  <c r="L62" i="12"/>
  <c r="K58" i="3"/>
  <c r="F54" i="3"/>
  <c r="L61" i="7"/>
  <c r="L64" i="8"/>
  <c r="G93" i="8"/>
  <c r="L62" i="9"/>
  <c r="L54" i="10"/>
  <c r="G89" i="12"/>
  <c r="F57" i="7"/>
  <c r="K56" i="8"/>
  <c r="I54" i="9"/>
  <c r="J54" i="9" s="1"/>
  <c r="I63" i="9"/>
  <c r="J63" i="9" s="1"/>
  <c r="I55" i="10"/>
  <c r="J55" i="10" s="1"/>
  <c r="I60" i="10"/>
  <c r="J60" i="10" s="1"/>
  <c r="L53" i="7"/>
  <c r="G93" i="12"/>
  <c r="H93" i="12" s="1"/>
  <c r="F68" i="3"/>
  <c r="F60" i="3"/>
  <c r="L54" i="7"/>
  <c r="L63" i="7"/>
  <c r="G66" i="3"/>
  <c r="H66" i="3" s="1"/>
  <c r="K60" i="7"/>
  <c r="K59" i="6"/>
  <c r="L60" i="7"/>
  <c r="L64" i="7"/>
  <c r="I62" i="9"/>
  <c r="M62" i="9" s="1"/>
  <c r="K60" i="10"/>
  <c r="F65" i="14"/>
  <c r="E65" i="7"/>
  <c r="I51" i="13"/>
  <c r="I61" i="13"/>
  <c r="D94" i="7"/>
  <c r="I55" i="8"/>
  <c r="M55" i="8" s="1"/>
  <c r="F92" i="12"/>
  <c r="F65" i="13"/>
  <c r="K63" i="9"/>
  <c r="F90" i="8"/>
  <c r="I56" i="9"/>
  <c r="F92" i="11"/>
  <c r="I59" i="14"/>
  <c r="M59" i="14" s="1"/>
  <c r="N59" i="14" s="1"/>
  <c r="E44" i="10"/>
  <c r="G44" i="10" s="1"/>
  <c r="H44" i="10" s="1"/>
  <c r="E44" i="14"/>
  <c r="G44" i="14" s="1"/>
  <c r="H44" i="14" s="1"/>
  <c r="F56" i="7"/>
  <c r="F64" i="7"/>
  <c r="D84" i="7"/>
  <c r="H55" i="7"/>
  <c r="L55" i="7" s="1"/>
  <c r="E44" i="7"/>
  <c r="I54" i="7"/>
  <c r="J54" i="7" s="1"/>
  <c r="I52" i="7"/>
  <c r="M52" i="7" s="1"/>
  <c r="N52" i="7" s="1"/>
  <c r="I61" i="7"/>
  <c r="J61" i="7" s="1"/>
  <c r="G90" i="7"/>
  <c r="H90" i="7" s="1"/>
  <c r="L59" i="7"/>
  <c r="F89" i="7"/>
  <c r="D46" i="7"/>
  <c r="D65" i="7"/>
  <c r="K56" i="7"/>
  <c r="F51" i="7"/>
  <c r="L58" i="7"/>
  <c r="K64" i="7"/>
  <c r="K57" i="7"/>
  <c r="H90" i="12"/>
  <c r="L60" i="13"/>
  <c r="I60" i="13"/>
  <c r="J60" i="13" s="1"/>
  <c r="I55" i="11"/>
  <c r="K55" i="11"/>
  <c r="K51" i="9"/>
  <c r="I51" i="9"/>
  <c r="G45" i="9"/>
  <c r="H45" i="9" s="1"/>
  <c r="F45" i="9"/>
  <c r="I53" i="7"/>
  <c r="J53" i="7" s="1"/>
  <c r="K54" i="7"/>
  <c r="D84" i="8"/>
  <c r="H51" i="10"/>
  <c r="L51" i="10" s="1"/>
  <c r="L65" i="10" s="1"/>
  <c r="E44" i="13"/>
  <c r="G44" i="13" s="1"/>
  <c r="H44" i="13" s="1"/>
  <c r="K50" i="3"/>
  <c r="K49" i="3"/>
  <c r="I62" i="7"/>
  <c r="J62" i="7" s="1"/>
  <c r="E44" i="8"/>
  <c r="G44" i="8" s="1"/>
  <c r="H44" i="8" s="1"/>
  <c r="E91" i="9"/>
  <c r="F91" i="9" s="1"/>
  <c r="I55" i="9"/>
  <c r="J55" i="9" s="1"/>
  <c r="I64" i="9"/>
  <c r="M64" i="9" s="1"/>
  <c r="N64" i="9" s="1"/>
  <c r="F65" i="10"/>
  <c r="F93" i="10"/>
  <c r="I59" i="11"/>
  <c r="J59" i="11" s="1"/>
  <c r="I63" i="11"/>
  <c r="I53" i="14"/>
  <c r="M53" i="14" s="1"/>
  <c r="N53" i="14" s="1"/>
  <c r="H93" i="13"/>
  <c r="F66" i="3"/>
  <c r="K57" i="3"/>
  <c r="I56" i="10"/>
  <c r="J56" i="10" s="1"/>
  <c r="I59" i="12"/>
  <c r="J59" i="12" s="1"/>
  <c r="K53" i="3"/>
  <c r="I64" i="11"/>
  <c r="J64" i="11" s="1"/>
  <c r="D84" i="14"/>
  <c r="H92" i="11"/>
  <c r="F92" i="8"/>
  <c r="I59" i="9"/>
  <c r="J59" i="9" s="1"/>
  <c r="I57" i="10"/>
  <c r="J57" i="10" s="1"/>
  <c r="G45" i="10"/>
  <c r="I58" i="11"/>
  <c r="M58" i="11" s="1"/>
  <c r="N58" i="11" s="1"/>
  <c r="D84" i="11"/>
  <c r="I53" i="12"/>
  <c r="M53" i="12" s="1"/>
  <c r="N53" i="12" s="1"/>
  <c r="F93" i="13"/>
  <c r="H93" i="10"/>
  <c r="I63" i="7"/>
  <c r="M63" i="7" s="1"/>
  <c r="N63" i="7" s="1"/>
  <c r="K54" i="9"/>
  <c r="F90" i="12"/>
  <c r="H90" i="9"/>
  <c r="I56" i="8"/>
  <c r="J56" i="8" s="1"/>
  <c r="H52" i="8"/>
  <c r="L52" i="8" s="1"/>
  <c r="E44" i="12"/>
  <c r="D84" i="13"/>
  <c r="H92" i="8"/>
  <c r="I53" i="6"/>
  <c r="G45" i="8"/>
  <c r="I53" i="10"/>
  <c r="K56" i="10"/>
  <c r="D84" i="10"/>
  <c r="H54" i="12"/>
  <c r="L54" i="12" s="1"/>
  <c r="D84" i="12"/>
  <c r="H93" i="7"/>
  <c r="H93" i="9"/>
  <c r="L53" i="6"/>
  <c r="L59" i="6"/>
  <c r="H89" i="13"/>
  <c r="D84" i="6"/>
  <c r="H92" i="7"/>
  <c r="N62" i="9"/>
  <c r="H92" i="9"/>
  <c r="H90" i="11"/>
  <c r="N55" i="8"/>
  <c r="H89" i="8"/>
  <c r="H93" i="8"/>
  <c r="H45" i="8"/>
  <c r="H90" i="8"/>
  <c r="H45" i="10"/>
  <c r="H90" i="10"/>
  <c r="H89" i="12"/>
  <c r="H92" i="12"/>
  <c r="H90" i="14"/>
  <c r="L57" i="8"/>
  <c r="I57" i="8"/>
  <c r="L56" i="7"/>
  <c r="I56" i="7"/>
  <c r="J56" i="7" s="1"/>
  <c r="G45" i="7"/>
  <c r="H45" i="7" s="1"/>
  <c r="F45" i="7"/>
  <c r="F44" i="8"/>
  <c r="K60" i="8"/>
  <c r="I60" i="8"/>
  <c r="J60" i="8" s="1"/>
  <c r="K57" i="9"/>
  <c r="I57" i="9"/>
  <c r="J57" i="9" s="1"/>
  <c r="K52" i="7"/>
  <c r="I57" i="7"/>
  <c r="J57" i="7" s="1"/>
  <c r="I59" i="7"/>
  <c r="J59" i="7" s="1"/>
  <c r="K59" i="7"/>
  <c r="I61" i="9"/>
  <c r="J61" i="9" s="1"/>
  <c r="K61" i="9"/>
  <c r="I52" i="12"/>
  <c r="J52" i="12" s="1"/>
  <c r="K52" i="12"/>
  <c r="G65" i="12"/>
  <c r="E43" i="12" s="1"/>
  <c r="L51" i="8"/>
  <c r="I62" i="8"/>
  <c r="I58" i="9"/>
  <c r="J58" i="9" s="1"/>
  <c r="K61" i="10"/>
  <c r="I61" i="10"/>
  <c r="M57" i="10"/>
  <c r="N57" i="10" s="1"/>
  <c r="E44" i="11"/>
  <c r="H51" i="11"/>
  <c r="E45" i="11"/>
  <c r="E91" i="11"/>
  <c r="E94" i="11" s="1"/>
  <c r="F94" i="11" s="1"/>
  <c r="M51" i="13"/>
  <c r="J51" i="13"/>
  <c r="I52" i="11"/>
  <c r="K52" i="11"/>
  <c r="G65" i="14"/>
  <c r="E43" i="14" s="1"/>
  <c r="K51" i="14"/>
  <c r="I56" i="14"/>
  <c r="J56" i="14" s="1"/>
  <c r="K56" i="14"/>
  <c r="K61" i="14"/>
  <c r="I61" i="14"/>
  <c r="E91" i="14"/>
  <c r="E45" i="14"/>
  <c r="I64" i="8"/>
  <c r="J64" i="8" s="1"/>
  <c r="H51" i="7"/>
  <c r="I51" i="7" s="1"/>
  <c r="K52" i="8"/>
  <c r="I52" i="8"/>
  <c r="J52" i="8" s="1"/>
  <c r="I61" i="8"/>
  <c r="J61" i="8" s="1"/>
  <c r="K60" i="9"/>
  <c r="I60" i="9"/>
  <c r="J60" i="9" s="1"/>
  <c r="M61" i="9"/>
  <c r="N61" i="9" s="1"/>
  <c r="F44" i="10"/>
  <c r="G89" i="9"/>
  <c r="K57" i="12"/>
  <c r="I57" i="12"/>
  <c r="F93" i="7"/>
  <c r="F65" i="8"/>
  <c r="I58" i="8"/>
  <c r="J58" i="8" s="1"/>
  <c r="M56" i="9"/>
  <c r="N56" i="9" s="1"/>
  <c r="J56" i="9"/>
  <c r="K54" i="10"/>
  <c r="I54" i="10"/>
  <c r="J54" i="10" s="1"/>
  <c r="K58" i="10"/>
  <c r="I58" i="10"/>
  <c r="K63" i="10"/>
  <c r="I63" i="10"/>
  <c r="J63" i="10" s="1"/>
  <c r="I52" i="10"/>
  <c r="J52" i="10" s="1"/>
  <c r="I64" i="10"/>
  <c r="J64" i="10" s="1"/>
  <c r="K57" i="13"/>
  <c r="I57" i="13"/>
  <c r="I62" i="13"/>
  <c r="J62" i="13" s="1"/>
  <c r="K62" i="13"/>
  <c r="I57" i="11"/>
  <c r="J57" i="11" s="1"/>
  <c r="K57" i="11"/>
  <c r="F89" i="9"/>
  <c r="K55" i="8"/>
  <c r="F65" i="9"/>
  <c r="K59" i="10"/>
  <c r="I59" i="10"/>
  <c r="J59" i="10" s="1"/>
  <c r="K62" i="12"/>
  <c r="I62" i="12"/>
  <c r="E91" i="7"/>
  <c r="E94" i="7" s="1"/>
  <c r="F94" i="7" s="1"/>
  <c r="G65" i="8"/>
  <c r="E43" i="8" s="1"/>
  <c r="K51" i="8"/>
  <c r="I63" i="8"/>
  <c r="J63" i="8" s="1"/>
  <c r="I53" i="9"/>
  <c r="J53" i="9" s="1"/>
  <c r="K53" i="9"/>
  <c r="M59" i="9"/>
  <c r="N59" i="9" s="1"/>
  <c r="J62" i="9"/>
  <c r="M55" i="10"/>
  <c r="N55" i="10" s="1"/>
  <c r="M63" i="11"/>
  <c r="N63" i="11" s="1"/>
  <c r="J63" i="11"/>
  <c r="D84" i="9"/>
  <c r="K51" i="7"/>
  <c r="K58" i="7"/>
  <c r="I58" i="7"/>
  <c r="M56" i="8"/>
  <c r="N56" i="8" s="1"/>
  <c r="E91" i="8"/>
  <c r="E94" i="8" s="1"/>
  <c r="F94" i="8" s="1"/>
  <c r="K52" i="9"/>
  <c r="K62" i="9"/>
  <c r="G91" i="9"/>
  <c r="H91" i="9" s="1"/>
  <c r="G89" i="10"/>
  <c r="F89" i="10"/>
  <c r="I60" i="7"/>
  <c r="K61" i="7"/>
  <c r="I64" i="7"/>
  <c r="G89" i="7"/>
  <c r="I54" i="8"/>
  <c r="J54" i="8" s="1"/>
  <c r="I51" i="8"/>
  <c r="M51" i="8" s="1"/>
  <c r="I53" i="8"/>
  <c r="K53" i="8"/>
  <c r="I59" i="8"/>
  <c r="J59" i="8" s="1"/>
  <c r="E44" i="9"/>
  <c r="H52" i="9"/>
  <c r="G65" i="10"/>
  <c r="E43" i="10" s="1"/>
  <c r="K51" i="10"/>
  <c r="K55" i="10"/>
  <c r="I62" i="10"/>
  <c r="J62" i="10" s="1"/>
  <c r="K61" i="11"/>
  <c r="I61" i="11"/>
  <c r="J61" i="11" s="1"/>
  <c r="K56" i="9"/>
  <c r="K57" i="10"/>
  <c r="M64" i="10"/>
  <c r="N64" i="10" s="1"/>
  <c r="G92" i="10"/>
  <c r="H92" i="10" s="1"/>
  <c r="F92" i="10"/>
  <c r="K56" i="11"/>
  <c r="I56" i="11"/>
  <c r="J56" i="11" s="1"/>
  <c r="K51" i="13"/>
  <c r="G65" i="13"/>
  <c r="E43" i="13" s="1"/>
  <c r="I53" i="13"/>
  <c r="K53" i="13"/>
  <c r="G92" i="13"/>
  <c r="H92" i="13" s="1"/>
  <c r="F92" i="13"/>
  <c r="F65" i="11"/>
  <c r="G93" i="11"/>
  <c r="H93" i="11" s="1"/>
  <c r="F93" i="11"/>
  <c r="L58" i="12"/>
  <c r="I58" i="12"/>
  <c r="J58" i="12" s="1"/>
  <c r="G65" i="11"/>
  <c r="E43" i="11" s="1"/>
  <c r="K51" i="11"/>
  <c r="I51" i="11"/>
  <c r="K53" i="11"/>
  <c r="I53" i="11"/>
  <c r="J53" i="11" s="1"/>
  <c r="I60" i="11"/>
  <c r="K60" i="11"/>
  <c r="K63" i="12"/>
  <c r="I63" i="12"/>
  <c r="K52" i="13"/>
  <c r="I52" i="13"/>
  <c r="J52" i="13" s="1"/>
  <c r="I54" i="13"/>
  <c r="J54" i="13" s="1"/>
  <c r="K54" i="13"/>
  <c r="M63" i="13"/>
  <c r="N63" i="13" s="1"/>
  <c r="K52" i="14"/>
  <c r="I52" i="14"/>
  <c r="J52" i="14" s="1"/>
  <c r="I57" i="14"/>
  <c r="K57" i="14"/>
  <c r="K62" i="14"/>
  <c r="I62" i="14"/>
  <c r="J62" i="14" s="1"/>
  <c r="I62" i="11"/>
  <c r="G65" i="9"/>
  <c r="E43" i="9" s="1"/>
  <c r="E91" i="10"/>
  <c r="E94" i="10" s="1"/>
  <c r="F94" i="10" s="1"/>
  <c r="M59" i="11"/>
  <c r="N59" i="11" s="1"/>
  <c r="I58" i="13"/>
  <c r="J58" i="13" s="1"/>
  <c r="K58" i="13"/>
  <c r="K63" i="13"/>
  <c r="I63" i="13"/>
  <c r="J63" i="13" s="1"/>
  <c r="F45" i="13"/>
  <c r="G45" i="13"/>
  <c r="H45" i="13" s="1"/>
  <c r="K59" i="13"/>
  <c r="I59" i="13"/>
  <c r="M57" i="11"/>
  <c r="N57" i="11" s="1"/>
  <c r="K59" i="12"/>
  <c r="I61" i="12"/>
  <c r="J61" i="12" s="1"/>
  <c r="M60" i="10"/>
  <c r="N60" i="10" s="1"/>
  <c r="K64" i="11"/>
  <c r="F89" i="11"/>
  <c r="G89" i="11"/>
  <c r="I51" i="12"/>
  <c r="K51" i="12"/>
  <c r="I56" i="12"/>
  <c r="J56" i="12" s="1"/>
  <c r="E91" i="12"/>
  <c r="E45" i="12"/>
  <c r="M59" i="12"/>
  <c r="N59" i="12" s="1"/>
  <c r="M64" i="11"/>
  <c r="N64" i="11" s="1"/>
  <c r="F65" i="12"/>
  <c r="K64" i="13"/>
  <c r="I64" i="13"/>
  <c r="J61" i="13"/>
  <c r="M61" i="13"/>
  <c r="N61" i="13" s="1"/>
  <c r="F90" i="10"/>
  <c r="I54" i="11"/>
  <c r="K54" i="12"/>
  <c r="I55" i="12"/>
  <c r="I60" i="12"/>
  <c r="J60" i="12" s="1"/>
  <c r="K60" i="12"/>
  <c r="G90" i="13"/>
  <c r="F90" i="13"/>
  <c r="K54" i="14"/>
  <c r="I54" i="14"/>
  <c r="J54" i="14" s="1"/>
  <c r="K58" i="14"/>
  <c r="I58" i="14"/>
  <c r="E94" i="14"/>
  <c r="F94" i="14" s="1"/>
  <c r="F90" i="9"/>
  <c r="F92" i="9"/>
  <c r="K56" i="13"/>
  <c r="I56" i="13"/>
  <c r="E91" i="13"/>
  <c r="I55" i="13"/>
  <c r="K61" i="13"/>
  <c r="M62" i="14"/>
  <c r="N62" i="14" s="1"/>
  <c r="I64" i="12"/>
  <c r="J64" i="12" s="1"/>
  <c r="L51" i="13"/>
  <c r="L65" i="13" s="1"/>
  <c r="H65" i="13"/>
  <c r="M60" i="13"/>
  <c r="N60" i="13" s="1"/>
  <c r="K60" i="14"/>
  <c r="I60" i="14"/>
  <c r="J60" i="14" s="1"/>
  <c r="I64" i="14"/>
  <c r="J64" i="14" s="1"/>
  <c r="K64" i="14"/>
  <c r="H51" i="14"/>
  <c r="I51" i="14" s="1"/>
  <c r="G89" i="14"/>
  <c r="G93" i="14"/>
  <c r="H93" i="14" s="1"/>
  <c r="J59" i="14"/>
  <c r="J53" i="14"/>
  <c r="I55" i="14"/>
  <c r="I63" i="14"/>
  <c r="K53" i="6"/>
  <c r="F53" i="6"/>
  <c r="M53" i="6" s="1"/>
  <c r="I59" i="6"/>
  <c r="F59" i="6"/>
  <c r="F53" i="3"/>
  <c r="L50" i="3"/>
  <c r="L54" i="3"/>
  <c r="F59" i="3"/>
  <c r="L58" i="3"/>
  <c r="F52" i="3"/>
  <c r="F55" i="3"/>
  <c r="I58" i="3"/>
  <c r="F57" i="3"/>
  <c r="L60" i="3"/>
  <c r="E41" i="3"/>
  <c r="F41" i="3" s="1"/>
  <c r="E67" i="3"/>
  <c r="F67" i="3" s="1"/>
  <c r="G69" i="3"/>
  <c r="H69" i="3" s="1"/>
  <c r="E43" i="3"/>
  <c r="F43" i="3" s="1"/>
  <c r="G68" i="3"/>
  <c r="H68" i="3" s="1"/>
  <c r="E61" i="3"/>
  <c r="F56" i="3"/>
  <c r="I51" i="3"/>
  <c r="I59" i="3"/>
  <c r="F51" i="3"/>
  <c r="F69" i="3"/>
  <c r="L53" i="3"/>
  <c r="L57" i="3"/>
  <c r="D61" i="3"/>
  <c r="D44" i="3"/>
  <c r="I49" i="3"/>
  <c r="I54" i="3"/>
  <c r="J54" i="3" s="1"/>
  <c r="K54" i="3"/>
  <c r="I57" i="3"/>
  <c r="G61" i="3"/>
  <c r="H65" i="3"/>
  <c r="I52" i="3"/>
  <c r="K52" i="3"/>
  <c r="K56" i="3"/>
  <c r="I56" i="3"/>
  <c r="I60" i="3"/>
  <c r="J60" i="3" s="1"/>
  <c r="K60" i="3"/>
  <c r="H61" i="3"/>
  <c r="L49" i="3"/>
  <c r="I55" i="3"/>
  <c r="K55" i="3"/>
  <c r="I50" i="3"/>
  <c r="F65" i="3"/>
  <c r="F50" i="3"/>
  <c r="K51" i="3"/>
  <c r="L56" i="3"/>
  <c r="F58" i="3"/>
  <c r="M58" i="3" s="1"/>
  <c r="N58" i="3" s="1"/>
  <c r="K59" i="3"/>
  <c r="D70" i="3"/>
  <c r="I53" i="3"/>
  <c r="E42" i="3"/>
  <c r="F42" i="3" s="1"/>
  <c r="F49" i="3"/>
  <c r="L55" i="3"/>
  <c r="J52" i="7" l="1"/>
  <c r="G42" i="3"/>
  <c r="H42" i="3" s="1"/>
  <c r="M52" i="10"/>
  <c r="N52" i="10" s="1"/>
  <c r="M52" i="13"/>
  <c r="N52" i="13" s="1"/>
  <c r="M60" i="14"/>
  <c r="N60" i="14" s="1"/>
  <c r="M59" i="10"/>
  <c r="N59" i="10" s="1"/>
  <c r="L65" i="12"/>
  <c r="F65" i="7"/>
  <c r="M63" i="9"/>
  <c r="N63" i="9" s="1"/>
  <c r="M64" i="8"/>
  <c r="N64" i="8" s="1"/>
  <c r="I51" i="10"/>
  <c r="M51" i="10" s="1"/>
  <c r="H65" i="10"/>
  <c r="M54" i="9"/>
  <c r="N54" i="9" s="1"/>
  <c r="M53" i="3"/>
  <c r="N53" i="3" s="1"/>
  <c r="M60" i="8"/>
  <c r="N60" i="8" s="1"/>
  <c r="J55" i="8"/>
  <c r="J53" i="12"/>
  <c r="H65" i="8"/>
  <c r="M51" i="3"/>
  <c r="N51" i="3" s="1"/>
  <c r="F44" i="14"/>
  <c r="M59" i="3"/>
  <c r="N59" i="3" s="1"/>
  <c r="F44" i="13"/>
  <c r="I54" i="12"/>
  <c r="M54" i="12" s="1"/>
  <c r="N54" i="12" s="1"/>
  <c r="M52" i="12"/>
  <c r="N52" i="12" s="1"/>
  <c r="J64" i="9"/>
  <c r="K65" i="9"/>
  <c r="H65" i="12"/>
  <c r="M63" i="8"/>
  <c r="N63" i="8" s="1"/>
  <c r="M55" i="9"/>
  <c r="N55" i="9" s="1"/>
  <c r="M62" i="13"/>
  <c r="N62" i="13" s="1"/>
  <c r="E70" i="3"/>
  <c r="J53" i="3"/>
  <c r="J64" i="7"/>
  <c r="M61" i="7"/>
  <c r="N61" i="7" s="1"/>
  <c r="L65" i="8"/>
  <c r="I55" i="7"/>
  <c r="J55" i="7" s="1"/>
  <c r="M54" i="7"/>
  <c r="N54" i="7" s="1"/>
  <c r="F43" i="7"/>
  <c r="M59" i="7"/>
  <c r="N59" i="7" s="1"/>
  <c r="J63" i="7"/>
  <c r="H65" i="7"/>
  <c r="M53" i="7"/>
  <c r="N53" i="7" s="1"/>
  <c r="J51" i="9"/>
  <c r="M51" i="9"/>
  <c r="N51" i="9" s="1"/>
  <c r="J58" i="11"/>
  <c r="M62" i="7"/>
  <c r="N62" i="7" s="1"/>
  <c r="M56" i="10"/>
  <c r="N56" i="10" s="1"/>
  <c r="M56" i="12"/>
  <c r="N56" i="12" s="1"/>
  <c r="M62" i="10"/>
  <c r="N62" i="10" s="1"/>
  <c r="F44" i="12"/>
  <c r="G44" i="12"/>
  <c r="H44" i="12" s="1"/>
  <c r="G41" i="3"/>
  <c r="M50" i="3"/>
  <c r="N50" i="3" s="1"/>
  <c r="M58" i="13"/>
  <c r="N58" i="13" s="1"/>
  <c r="J55" i="11"/>
  <c r="M55" i="11"/>
  <c r="N55" i="11" s="1"/>
  <c r="G67" i="3"/>
  <c r="H67" i="3" s="1"/>
  <c r="M58" i="9"/>
  <c r="N58" i="9" s="1"/>
  <c r="M59" i="8"/>
  <c r="N59" i="8" s="1"/>
  <c r="M57" i="9"/>
  <c r="N57" i="9" s="1"/>
  <c r="M56" i="7"/>
  <c r="N56" i="7" s="1"/>
  <c r="J53" i="10"/>
  <c r="M53" i="10"/>
  <c r="N53" i="10" s="1"/>
  <c r="M63" i="10"/>
  <c r="N63" i="10" s="1"/>
  <c r="E94" i="9"/>
  <c r="F94" i="9" s="1"/>
  <c r="M59" i="6"/>
  <c r="N51" i="8"/>
  <c r="M51" i="14"/>
  <c r="J51" i="14"/>
  <c r="I65" i="14"/>
  <c r="J65" i="14" s="1"/>
  <c r="M58" i="14"/>
  <c r="N58" i="14" s="1"/>
  <c r="J58" i="14"/>
  <c r="E46" i="9"/>
  <c r="F46" i="9" s="1"/>
  <c r="G43" i="9"/>
  <c r="F43" i="9"/>
  <c r="M56" i="11"/>
  <c r="N56" i="11" s="1"/>
  <c r="H89" i="14"/>
  <c r="M54" i="13"/>
  <c r="N54" i="13" s="1"/>
  <c r="G91" i="13"/>
  <c r="H91" i="13" s="1"/>
  <c r="F91" i="13"/>
  <c r="F45" i="12"/>
  <c r="G45" i="12"/>
  <c r="H45" i="12" s="1"/>
  <c r="E46" i="8"/>
  <c r="F46" i="8" s="1"/>
  <c r="G43" i="8"/>
  <c r="F43" i="8"/>
  <c r="M58" i="10"/>
  <c r="N58" i="10" s="1"/>
  <c r="J58" i="10"/>
  <c r="L51" i="7"/>
  <c r="L65" i="7" s="1"/>
  <c r="M58" i="8"/>
  <c r="N58" i="8" s="1"/>
  <c r="M57" i="7"/>
  <c r="N57" i="7" s="1"/>
  <c r="G91" i="7"/>
  <c r="H91" i="7" s="1"/>
  <c r="F91" i="7"/>
  <c r="M57" i="13"/>
  <c r="N57" i="13" s="1"/>
  <c r="J57" i="13"/>
  <c r="F44" i="7"/>
  <c r="G44" i="7"/>
  <c r="H44" i="7" s="1"/>
  <c r="J64" i="13"/>
  <c r="M64" i="13"/>
  <c r="N64" i="13" s="1"/>
  <c r="J51" i="11"/>
  <c r="I65" i="11"/>
  <c r="J65" i="11" s="1"/>
  <c r="J53" i="13"/>
  <c r="M53" i="13"/>
  <c r="N53" i="13" s="1"/>
  <c r="G44" i="9"/>
  <c r="H44" i="9" s="1"/>
  <c r="F44" i="9"/>
  <c r="H89" i="7"/>
  <c r="N51" i="10"/>
  <c r="J58" i="7"/>
  <c r="M58" i="7"/>
  <c r="N58" i="7" s="1"/>
  <c r="M58" i="12"/>
  <c r="N58" i="12" s="1"/>
  <c r="N51" i="13"/>
  <c r="M54" i="8"/>
  <c r="N54" i="8" s="1"/>
  <c r="H89" i="10"/>
  <c r="J63" i="14"/>
  <c r="M63" i="14"/>
  <c r="N63" i="14" s="1"/>
  <c r="M59" i="13"/>
  <c r="N59" i="13" s="1"/>
  <c r="J59" i="13"/>
  <c r="M51" i="11"/>
  <c r="K65" i="11"/>
  <c r="F43" i="13"/>
  <c r="E46" i="13"/>
  <c r="F46" i="13" s="1"/>
  <c r="G43" i="13"/>
  <c r="I65" i="13"/>
  <c r="J65" i="13" s="1"/>
  <c r="E46" i="12"/>
  <c r="F46" i="12" s="1"/>
  <c r="F43" i="12"/>
  <c r="G43" i="12"/>
  <c r="M55" i="12"/>
  <c r="N55" i="12" s="1"/>
  <c r="J55" i="12"/>
  <c r="M64" i="7"/>
  <c r="N64" i="7" s="1"/>
  <c r="J57" i="12"/>
  <c r="M57" i="12"/>
  <c r="N57" i="12" s="1"/>
  <c r="M61" i="10"/>
  <c r="N61" i="10" s="1"/>
  <c r="J61" i="10"/>
  <c r="J55" i="14"/>
  <c r="M55" i="14"/>
  <c r="N55" i="14" s="1"/>
  <c r="M61" i="11"/>
  <c r="N61" i="11" s="1"/>
  <c r="E94" i="13"/>
  <c r="F94" i="13" s="1"/>
  <c r="J54" i="11"/>
  <c r="M54" i="11"/>
  <c r="N54" i="11" s="1"/>
  <c r="M60" i="12"/>
  <c r="N60" i="12" s="1"/>
  <c r="J51" i="12"/>
  <c r="I65" i="12"/>
  <c r="J65" i="12" s="1"/>
  <c r="M51" i="12"/>
  <c r="M61" i="12"/>
  <c r="N61" i="12" s="1"/>
  <c r="M64" i="14"/>
  <c r="N64" i="14" s="1"/>
  <c r="E46" i="11"/>
  <c r="F46" i="11" s="1"/>
  <c r="G43" i="11"/>
  <c r="F43" i="11"/>
  <c r="K65" i="13"/>
  <c r="I65" i="10"/>
  <c r="J65" i="10" s="1"/>
  <c r="J51" i="10"/>
  <c r="K65" i="7"/>
  <c r="M62" i="12"/>
  <c r="N62" i="12" s="1"/>
  <c r="J62" i="12"/>
  <c r="M54" i="10"/>
  <c r="N54" i="10" s="1"/>
  <c r="M53" i="9"/>
  <c r="N53" i="9" s="1"/>
  <c r="K65" i="14"/>
  <c r="F91" i="11"/>
  <c r="G91" i="11"/>
  <c r="H91" i="11" s="1"/>
  <c r="H65" i="9"/>
  <c r="L52" i="9"/>
  <c r="L65" i="9" s="1"/>
  <c r="J51" i="7"/>
  <c r="M51" i="7"/>
  <c r="H89" i="9"/>
  <c r="G94" i="9"/>
  <c r="H94" i="9" s="1"/>
  <c r="G45" i="14"/>
  <c r="H45" i="14" s="1"/>
  <c r="F45" i="14"/>
  <c r="G43" i="14"/>
  <c r="F43" i="14"/>
  <c r="E46" i="14"/>
  <c r="F46" i="14" s="1"/>
  <c r="G45" i="11"/>
  <c r="H45" i="11" s="1"/>
  <c r="F45" i="11"/>
  <c r="E46" i="7"/>
  <c r="F46" i="7" s="1"/>
  <c r="M62" i="11"/>
  <c r="N62" i="11" s="1"/>
  <c r="J62" i="11"/>
  <c r="M57" i="14"/>
  <c r="N57" i="14" s="1"/>
  <c r="J57" i="14"/>
  <c r="M63" i="12"/>
  <c r="N63" i="12" s="1"/>
  <c r="J63" i="12"/>
  <c r="K65" i="12"/>
  <c r="H90" i="13"/>
  <c r="G94" i="11"/>
  <c r="H94" i="11" s="1"/>
  <c r="H89" i="11"/>
  <c r="M64" i="12"/>
  <c r="N64" i="12" s="1"/>
  <c r="M60" i="11"/>
  <c r="N60" i="11" s="1"/>
  <c r="J60" i="11"/>
  <c r="K65" i="10"/>
  <c r="I52" i="9"/>
  <c r="M52" i="14"/>
  <c r="N52" i="14" s="1"/>
  <c r="G91" i="10"/>
  <c r="H91" i="10" s="1"/>
  <c r="F91" i="10"/>
  <c r="M54" i="14"/>
  <c r="N54" i="14" s="1"/>
  <c r="M56" i="14"/>
  <c r="N56" i="14" s="1"/>
  <c r="F43" i="10"/>
  <c r="E46" i="10"/>
  <c r="F46" i="10" s="1"/>
  <c r="G43" i="10"/>
  <c r="J53" i="8"/>
  <c r="M53" i="8"/>
  <c r="N53" i="8" s="1"/>
  <c r="J60" i="7"/>
  <c r="M60" i="7"/>
  <c r="N60" i="7" s="1"/>
  <c r="F91" i="14"/>
  <c r="G91" i="14"/>
  <c r="H91" i="14" s="1"/>
  <c r="L51" i="11"/>
  <c r="L65" i="11" s="1"/>
  <c r="H65" i="11"/>
  <c r="M62" i="8"/>
  <c r="N62" i="8" s="1"/>
  <c r="J62" i="8"/>
  <c r="M52" i="8"/>
  <c r="N52" i="8" s="1"/>
  <c r="M57" i="8"/>
  <c r="N57" i="8" s="1"/>
  <c r="J57" i="8"/>
  <c r="L51" i="14"/>
  <c r="L65" i="14" s="1"/>
  <c r="H65" i="14"/>
  <c r="M56" i="13"/>
  <c r="N56" i="13" s="1"/>
  <c r="J56" i="13"/>
  <c r="G91" i="12"/>
  <c r="E94" i="12"/>
  <c r="F94" i="12" s="1"/>
  <c r="F91" i="12"/>
  <c r="J55" i="13"/>
  <c r="M55" i="13"/>
  <c r="N55" i="13" s="1"/>
  <c r="M53" i="11"/>
  <c r="N53" i="11" s="1"/>
  <c r="M60" i="9"/>
  <c r="N60" i="9" s="1"/>
  <c r="I65" i="8"/>
  <c r="J65" i="8" s="1"/>
  <c r="J51" i="8"/>
  <c r="G91" i="8"/>
  <c r="F91" i="8"/>
  <c r="K65" i="8"/>
  <c r="M61" i="14"/>
  <c r="N61" i="14" s="1"/>
  <c r="J61" i="14"/>
  <c r="J52" i="11"/>
  <c r="M52" i="11"/>
  <c r="N52" i="11" s="1"/>
  <c r="F44" i="11"/>
  <c r="G44" i="11"/>
  <c r="H44" i="11" s="1"/>
  <c r="M61" i="8"/>
  <c r="N61" i="8" s="1"/>
  <c r="J59" i="6"/>
  <c r="J53" i="6"/>
  <c r="J51" i="3"/>
  <c r="J56" i="3"/>
  <c r="J57" i="3"/>
  <c r="J55" i="3"/>
  <c r="J52" i="3"/>
  <c r="G43" i="3"/>
  <c r="H43" i="3" s="1"/>
  <c r="J59" i="3"/>
  <c r="M55" i="3"/>
  <c r="N55" i="3" s="1"/>
  <c r="M57" i="3"/>
  <c r="N57" i="3" s="1"/>
  <c r="M54" i="3"/>
  <c r="N54" i="3" s="1"/>
  <c r="M52" i="3"/>
  <c r="N52" i="3" s="1"/>
  <c r="F70" i="3"/>
  <c r="K61" i="3"/>
  <c r="G70" i="3"/>
  <c r="H70" i="3" s="1"/>
  <c r="F61" i="3"/>
  <c r="M49" i="3"/>
  <c r="M60" i="3"/>
  <c r="N60" i="3" s="1"/>
  <c r="J49" i="3"/>
  <c r="I61" i="3"/>
  <c r="J50" i="3"/>
  <c r="L61" i="3"/>
  <c r="H41" i="3"/>
  <c r="M56" i="3"/>
  <c r="N56" i="3" s="1"/>
  <c r="J58" i="3"/>
  <c r="E44" i="3"/>
  <c r="F44" i="3" s="1"/>
  <c r="G46" i="7" l="1"/>
  <c r="H46" i="7" s="1"/>
  <c r="J54" i="12"/>
  <c r="M55" i="7"/>
  <c r="N55" i="7" s="1"/>
  <c r="G94" i="13"/>
  <c r="H94" i="13" s="1"/>
  <c r="I65" i="7"/>
  <c r="J65" i="7" s="1"/>
  <c r="G44" i="3"/>
  <c r="H44" i="3" s="1"/>
  <c r="G46" i="10"/>
  <c r="H46" i="10" s="1"/>
  <c r="H43" i="10"/>
  <c r="H91" i="12"/>
  <c r="G94" i="12"/>
  <c r="H94" i="12" s="1"/>
  <c r="G46" i="13"/>
  <c r="H46" i="13" s="1"/>
  <c r="H43" i="13"/>
  <c r="N51" i="12"/>
  <c r="M65" i="12"/>
  <c r="N65" i="12" s="1"/>
  <c r="M65" i="10"/>
  <c r="N65" i="10" s="1"/>
  <c r="N51" i="7"/>
  <c r="M65" i="7"/>
  <c r="N65" i="7" s="1"/>
  <c r="G46" i="12"/>
  <c r="H46" i="12" s="1"/>
  <c r="H43" i="12"/>
  <c r="M65" i="11"/>
  <c r="N65" i="11" s="1"/>
  <c r="N51" i="11"/>
  <c r="G94" i="10"/>
  <c r="H94" i="10" s="1"/>
  <c r="G46" i="8"/>
  <c r="H46" i="8" s="1"/>
  <c r="H43" i="8"/>
  <c r="G94" i="14"/>
  <c r="H94" i="14" s="1"/>
  <c r="G94" i="7"/>
  <c r="H94" i="7" s="1"/>
  <c r="N51" i="14"/>
  <c r="M65" i="14"/>
  <c r="N65" i="14" s="1"/>
  <c r="M65" i="13"/>
  <c r="N65" i="13" s="1"/>
  <c r="J52" i="9"/>
  <c r="I65" i="9"/>
  <c r="J65" i="9" s="1"/>
  <c r="M52" i="9"/>
  <c r="H91" i="8"/>
  <c r="G94" i="8"/>
  <c r="H94" i="8" s="1"/>
  <c r="G46" i="14"/>
  <c r="H46" i="14" s="1"/>
  <c r="H43" i="14"/>
  <c r="H43" i="11"/>
  <c r="G46" i="11"/>
  <c r="H46" i="11" s="1"/>
  <c r="G46" i="9"/>
  <c r="H46" i="9" s="1"/>
  <c r="H43" i="9"/>
  <c r="M65" i="8"/>
  <c r="N65" i="8" s="1"/>
  <c r="J61" i="3"/>
  <c r="N49" i="3"/>
  <c r="M61" i="3"/>
  <c r="N61" i="3" s="1"/>
  <c r="N52" i="9" l="1"/>
  <c r="M65" i="9"/>
  <c r="N65" i="9" s="1"/>
  <c r="E69" i="4"/>
  <c r="F69" i="4" s="1"/>
  <c r="E68" i="4"/>
  <c r="F68" i="4" s="1"/>
  <c r="G68" i="4"/>
  <c r="E66" i="4"/>
  <c r="F66" i="4" s="1"/>
  <c r="E65" i="4"/>
  <c r="G65" i="4" s="1"/>
  <c r="F60" i="4"/>
  <c r="F59" i="4"/>
  <c r="F58" i="4"/>
  <c r="F57" i="4"/>
  <c r="F56" i="4"/>
  <c r="F55" i="4"/>
  <c r="F54" i="4"/>
  <c r="F53" i="4"/>
  <c r="F52" i="4"/>
  <c r="F51" i="4"/>
  <c r="F50" i="4"/>
  <c r="E61" i="4"/>
  <c r="D61" i="4"/>
  <c r="D44" i="4"/>
  <c r="P20" i="4"/>
  <c r="P21" i="4" s="1"/>
  <c r="Q19" i="4"/>
  <c r="H60" i="4" s="1"/>
  <c r="L60" i="4" s="1"/>
  <c r="P19" i="4"/>
  <c r="G60" i="4" s="1"/>
  <c r="Q18" i="4"/>
  <c r="H59" i="4" s="1"/>
  <c r="L59" i="4" s="1"/>
  <c r="P18" i="4"/>
  <c r="G59" i="4" s="1"/>
  <c r="Q17" i="4"/>
  <c r="H58" i="4" s="1"/>
  <c r="L58" i="4" s="1"/>
  <c r="P17" i="4"/>
  <c r="G58" i="4" s="1"/>
  <c r="I58" i="4" s="1"/>
  <c r="Q16" i="4"/>
  <c r="H57" i="4" s="1"/>
  <c r="L57" i="4" s="1"/>
  <c r="P16" i="4"/>
  <c r="G57" i="4" s="1"/>
  <c r="Q15" i="4"/>
  <c r="H56" i="4" s="1"/>
  <c r="P15" i="4"/>
  <c r="G56" i="4" s="1"/>
  <c r="Q14" i="4"/>
  <c r="H55" i="4" s="1"/>
  <c r="L55" i="4" s="1"/>
  <c r="P14" i="4"/>
  <c r="G55" i="4" s="1"/>
  <c r="Q13" i="4"/>
  <c r="H54" i="4" s="1"/>
  <c r="L54" i="4" s="1"/>
  <c r="P13" i="4"/>
  <c r="G54" i="4" s="1"/>
  <c r="I54" i="4" s="1"/>
  <c r="Q12" i="4"/>
  <c r="H53" i="4" s="1"/>
  <c r="L53" i="4" s="1"/>
  <c r="P12" i="4"/>
  <c r="G53" i="4" s="1"/>
  <c r="K53" i="4" s="1"/>
  <c r="Q11" i="4"/>
  <c r="H52" i="4" s="1"/>
  <c r="L52" i="4" s="1"/>
  <c r="P11" i="4"/>
  <c r="G52" i="4" s="1"/>
  <c r="Q10" i="4"/>
  <c r="H51" i="4" s="1"/>
  <c r="L51" i="4" s="1"/>
  <c r="P10" i="4"/>
  <c r="G51" i="4" s="1"/>
  <c r="Q9" i="4"/>
  <c r="H50" i="4" s="1"/>
  <c r="L50" i="4" s="1"/>
  <c r="P9" i="4"/>
  <c r="Q8" i="4"/>
  <c r="H49" i="4" s="1"/>
  <c r="P8" i="4"/>
  <c r="G49" i="4" s="1"/>
  <c r="Q7" i="4"/>
  <c r="P7" i="4"/>
  <c r="N7" i="6"/>
  <c r="M7" i="6"/>
  <c r="D45" i="6"/>
  <c r="D46" i="6" s="1"/>
  <c r="E92" i="6"/>
  <c r="D92" i="6"/>
  <c r="M8" i="6"/>
  <c r="G51" i="6" s="1"/>
  <c r="N8" i="6"/>
  <c r="H51" i="6" s="1"/>
  <c r="M9" i="6"/>
  <c r="G52" i="6" s="1"/>
  <c r="N9" i="6"/>
  <c r="H52" i="6" s="1"/>
  <c r="M10" i="6"/>
  <c r="G54" i="6" s="1"/>
  <c r="N10" i="6"/>
  <c r="H54" i="6" s="1"/>
  <c r="M11" i="6"/>
  <c r="G55" i="6" s="1"/>
  <c r="N11" i="6"/>
  <c r="H55" i="6" s="1"/>
  <c r="M12" i="6"/>
  <c r="G56" i="6" s="1"/>
  <c r="N12" i="6"/>
  <c r="H56" i="6" s="1"/>
  <c r="M13" i="6"/>
  <c r="G57" i="6" s="1"/>
  <c r="N13" i="6"/>
  <c r="H57" i="6" s="1"/>
  <c r="M14" i="6"/>
  <c r="G58" i="6" s="1"/>
  <c r="N14" i="6"/>
  <c r="H58" i="6" s="1"/>
  <c r="M15" i="6"/>
  <c r="G60" i="6" s="1"/>
  <c r="N15" i="6"/>
  <c r="H60" i="6" s="1"/>
  <c r="M16" i="6"/>
  <c r="G61" i="6" s="1"/>
  <c r="N16" i="6"/>
  <c r="H61" i="6" s="1"/>
  <c r="M17" i="6"/>
  <c r="G62" i="6" s="1"/>
  <c r="N17" i="6"/>
  <c r="H62" i="6" s="1"/>
  <c r="M18" i="6"/>
  <c r="G63" i="6" s="1"/>
  <c r="N18" i="6"/>
  <c r="H63" i="6" s="1"/>
  <c r="M19" i="6"/>
  <c r="G64" i="6" s="1"/>
  <c r="N19" i="6"/>
  <c r="H64" i="6" s="1"/>
  <c r="M20" i="6"/>
  <c r="M21" i="6" s="1"/>
  <c r="E45" i="6" s="1"/>
  <c r="D51" i="6"/>
  <c r="E51" i="6"/>
  <c r="D52" i="6"/>
  <c r="E52" i="6"/>
  <c r="D54" i="6"/>
  <c r="E54" i="6"/>
  <c r="D55" i="6"/>
  <c r="E55" i="6"/>
  <c r="D56" i="6"/>
  <c r="E56" i="6"/>
  <c r="D57" i="6"/>
  <c r="E57" i="6"/>
  <c r="D58" i="6"/>
  <c r="E58" i="6"/>
  <c r="D60" i="6"/>
  <c r="E60" i="6"/>
  <c r="D61" i="6"/>
  <c r="E61" i="6"/>
  <c r="D62" i="6"/>
  <c r="E62" i="6"/>
  <c r="D63" i="6"/>
  <c r="E63" i="6"/>
  <c r="D64" i="6"/>
  <c r="E64" i="6"/>
  <c r="D89" i="6"/>
  <c r="E89" i="6"/>
  <c r="D90" i="6"/>
  <c r="E90" i="6"/>
  <c r="D91" i="6"/>
  <c r="D93" i="6"/>
  <c r="E93" i="6"/>
  <c r="Q8" i="5"/>
  <c r="H49" i="5" s="1"/>
  <c r="Q7" i="5"/>
  <c r="P7" i="5"/>
  <c r="P13" i="5"/>
  <c r="G54" i="5" s="1"/>
  <c r="P12" i="5"/>
  <c r="G53" i="5" s="1"/>
  <c r="P11" i="5"/>
  <c r="G52" i="5" s="1"/>
  <c r="P10" i="5"/>
  <c r="G51" i="5" s="1"/>
  <c r="P9" i="5"/>
  <c r="G50" i="5" s="1"/>
  <c r="P8" i="5"/>
  <c r="P15" i="5"/>
  <c r="Q15" i="5"/>
  <c r="H56" i="5" s="1"/>
  <c r="Q12" i="5"/>
  <c r="E69" i="5"/>
  <c r="D69" i="5"/>
  <c r="E68" i="5"/>
  <c r="D68" i="5"/>
  <c r="D67" i="5"/>
  <c r="E66" i="5"/>
  <c r="D66" i="5"/>
  <c r="E65" i="5"/>
  <c r="D65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D43" i="5"/>
  <c r="D42" i="5"/>
  <c r="D41" i="5"/>
  <c r="P20" i="5"/>
  <c r="P21" i="5" s="1"/>
  <c r="Q19" i="5"/>
  <c r="H60" i="5" s="1"/>
  <c r="P19" i="5"/>
  <c r="G60" i="5" s="1"/>
  <c r="Q18" i="5"/>
  <c r="H59" i="5" s="1"/>
  <c r="P18" i="5"/>
  <c r="G59" i="5" s="1"/>
  <c r="Q17" i="5"/>
  <c r="H58" i="5" s="1"/>
  <c r="P17" i="5"/>
  <c r="G58" i="5" s="1"/>
  <c r="Q16" i="5"/>
  <c r="H57" i="5" s="1"/>
  <c r="P16" i="5"/>
  <c r="G57" i="5" s="1"/>
  <c r="G56" i="5"/>
  <c r="Q14" i="5"/>
  <c r="H55" i="5" s="1"/>
  <c r="P14" i="5"/>
  <c r="G55" i="5" s="1"/>
  <c r="Q13" i="5"/>
  <c r="H54" i="5" s="1"/>
  <c r="H53" i="5"/>
  <c r="Q11" i="5"/>
  <c r="H52" i="5" s="1"/>
  <c r="Q10" i="5"/>
  <c r="H51" i="5" s="1"/>
  <c r="Q9" i="5"/>
  <c r="H50" i="5" s="1"/>
  <c r="E67" i="5" l="1"/>
  <c r="E67" i="4"/>
  <c r="F67" i="4" s="1"/>
  <c r="E43" i="5"/>
  <c r="E41" i="4"/>
  <c r="F41" i="4" s="1"/>
  <c r="G66" i="4"/>
  <c r="H66" i="4" s="1"/>
  <c r="E70" i="5"/>
  <c r="M54" i="4"/>
  <c r="G50" i="4"/>
  <c r="I50" i="4" s="1"/>
  <c r="J50" i="4" s="1"/>
  <c r="K54" i="6"/>
  <c r="I58" i="6"/>
  <c r="E65" i="6"/>
  <c r="D65" i="6"/>
  <c r="G65" i="6"/>
  <c r="E43" i="6" s="1"/>
  <c r="H65" i="6"/>
  <c r="G92" i="6"/>
  <c r="H92" i="6" s="1"/>
  <c r="N53" i="6"/>
  <c r="N59" i="6"/>
  <c r="F58" i="6"/>
  <c r="F52" i="6"/>
  <c r="F93" i="6"/>
  <c r="G93" i="6"/>
  <c r="H93" i="6" s="1"/>
  <c r="K58" i="4"/>
  <c r="E41" i="5"/>
  <c r="G41" i="5" s="1"/>
  <c r="M50" i="4"/>
  <c r="N50" i="4" s="1"/>
  <c r="M58" i="4"/>
  <c r="N58" i="4" s="1"/>
  <c r="G67" i="4"/>
  <c r="E43" i="4"/>
  <c r="I56" i="4"/>
  <c r="J56" i="4" s="1"/>
  <c r="G69" i="4"/>
  <c r="H69" i="4" s="1"/>
  <c r="F89" i="6"/>
  <c r="F90" i="6"/>
  <c r="F62" i="6"/>
  <c r="F61" i="6"/>
  <c r="F56" i="6"/>
  <c r="L64" i="6"/>
  <c r="E91" i="6"/>
  <c r="F91" i="6" s="1"/>
  <c r="J58" i="4"/>
  <c r="N54" i="4"/>
  <c r="H67" i="4"/>
  <c r="H68" i="4"/>
  <c r="I51" i="4"/>
  <c r="J51" i="4" s="1"/>
  <c r="K55" i="4"/>
  <c r="I55" i="4"/>
  <c r="J55" i="4" s="1"/>
  <c r="I59" i="4"/>
  <c r="J59" i="4" s="1"/>
  <c r="M56" i="4"/>
  <c r="N56" i="4" s="1"/>
  <c r="K60" i="4"/>
  <c r="I60" i="4"/>
  <c r="J60" i="4" s="1"/>
  <c r="E70" i="4"/>
  <c r="K57" i="4"/>
  <c r="I57" i="4"/>
  <c r="J57" i="4" s="1"/>
  <c r="H65" i="4"/>
  <c r="H61" i="4"/>
  <c r="L49" i="4"/>
  <c r="L61" i="4" s="1"/>
  <c r="G41" i="4"/>
  <c r="J54" i="4"/>
  <c r="K52" i="4"/>
  <c r="I52" i="4"/>
  <c r="J52" i="4" s="1"/>
  <c r="K49" i="4"/>
  <c r="I49" i="4"/>
  <c r="K56" i="4"/>
  <c r="K51" i="4"/>
  <c r="L56" i="4"/>
  <c r="K59" i="4"/>
  <c r="K54" i="4"/>
  <c r="D70" i="4"/>
  <c r="I53" i="4"/>
  <c r="J53" i="4" s="1"/>
  <c r="F65" i="4"/>
  <c r="E42" i="4"/>
  <c r="F42" i="4" s="1"/>
  <c r="F49" i="4"/>
  <c r="F55" i="6"/>
  <c r="L63" i="6"/>
  <c r="L54" i="6"/>
  <c r="F51" i="6"/>
  <c r="F92" i="6"/>
  <c r="F64" i="6"/>
  <c r="F57" i="6"/>
  <c r="L57" i="6"/>
  <c r="I61" i="6"/>
  <c r="I64" i="6"/>
  <c r="L61" i="6"/>
  <c r="I51" i="6"/>
  <c r="I63" i="6"/>
  <c r="L56" i="6"/>
  <c r="I62" i="6"/>
  <c r="K56" i="6"/>
  <c r="K52" i="6"/>
  <c r="L55" i="6"/>
  <c r="I55" i="6"/>
  <c r="L58" i="6"/>
  <c r="L51" i="6"/>
  <c r="L62" i="6"/>
  <c r="I54" i="6"/>
  <c r="K62" i="6"/>
  <c r="I60" i="6"/>
  <c r="L52" i="6"/>
  <c r="E44" i="6"/>
  <c r="G44" i="6" s="1"/>
  <c r="H44" i="6" s="1"/>
  <c r="K61" i="6"/>
  <c r="L60" i="6"/>
  <c r="K60" i="6"/>
  <c r="I56" i="6"/>
  <c r="K51" i="6"/>
  <c r="K58" i="6"/>
  <c r="K63" i="6"/>
  <c r="F45" i="6"/>
  <c r="K57" i="6"/>
  <c r="I57" i="6"/>
  <c r="D94" i="6"/>
  <c r="K64" i="6"/>
  <c r="F63" i="6"/>
  <c r="K55" i="6"/>
  <c r="F54" i="6"/>
  <c r="I52" i="6"/>
  <c r="G90" i="6"/>
  <c r="H90" i="6" s="1"/>
  <c r="F60" i="6"/>
  <c r="G89" i="6"/>
  <c r="E42" i="5"/>
  <c r="D70" i="5"/>
  <c r="I57" i="5"/>
  <c r="L57" i="5"/>
  <c r="F58" i="5"/>
  <c r="K59" i="5"/>
  <c r="F69" i="5"/>
  <c r="L52" i="5"/>
  <c r="L60" i="5"/>
  <c r="F43" i="5"/>
  <c r="K60" i="5"/>
  <c r="F51" i="5"/>
  <c r="K51" i="5"/>
  <c r="D44" i="5"/>
  <c r="F59" i="5"/>
  <c r="F66" i="5"/>
  <c r="F52" i="5"/>
  <c r="F56" i="5"/>
  <c r="F60" i="5"/>
  <c r="G68" i="5"/>
  <c r="H68" i="5" s="1"/>
  <c r="I50" i="5"/>
  <c r="I54" i="5"/>
  <c r="I58" i="5"/>
  <c r="I52" i="5"/>
  <c r="L58" i="5"/>
  <c r="K50" i="5"/>
  <c r="H61" i="5"/>
  <c r="L56" i="5"/>
  <c r="I51" i="5"/>
  <c r="K58" i="5"/>
  <c r="L50" i="5"/>
  <c r="K54" i="5"/>
  <c r="F68" i="5"/>
  <c r="L55" i="5"/>
  <c r="L54" i="5"/>
  <c r="F65" i="5"/>
  <c r="G69" i="5"/>
  <c r="H69" i="5" s="1"/>
  <c r="K53" i="5"/>
  <c r="I53" i="5"/>
  <c r="G43" i="5"/>
  <c r="H43" i="5" s="1"/>
  <c r="F55" i="5"/>
  <c r="K55" i="5"/>
  <c r="D61" i="5"/>
  <c r="L49" i="5"/>
  <c r="K56" i="5"/>
  <c r="F49" i="5"/>
  <c r="K52" i="5"/>
  <c r="F54" i="5"/>
  <c r="K57" i="5"/>
  <c r="F57" i="5"/>
  <c r="G65" i="5"/>
  <c r="F50" i="5"/>
  <c r="I60" i="5"/>
  <c r="I56" i="5"/>
  <c r="G49" i="5"/>
  <c r="I59" i="5"/>
  <c r="E61" i="5"/>
  <c r="L53" i="5"/>
  <c r="F53" i="5"/>
  <c r="L51" i="5"/>
  <c r="G66" i="5"/>
  <c r="H66" i="5" s="1"/>
  <c r="I55" i="5"/>
  <c r="L59" i="5"/>
  <c r="G61" i="4" l="1"/>
  <c r="M60" i="4"/>
  <c r="N60" i="4" s="1"/>
  <c r="E44" i="5"/>
  <c r="G42" i="4"/>
  <c r="H42" i="4" s="1"/>
  <c r="F42" i="5"/>
  <c r="E44" i="4"/>
  <c r="F44" i="4" s="1"/>
  <c r="K50" i="4"/>
  <c r="K61" i="4" s="1"/>
  <c r="M53" i="4"/>
  <c r="N53" i="4" s="1"/>
  <c r="E46" i="6"/>
  <c r="F46" i="6" s="1"/>
  <c r="J52" i="6"/>
  <c r="L65" i="6"/>
  <c r="I65" i="6"/>
  <c r="K65" i="6"/>
  <c r="F65" i="6"/>
  <c r="J58" i="6"/>
  <c r="G70" i="4"/>
  <c r="H70" i="4" s="1"/>
  <c r="M61" i="6"/>
  <c r="N61" i="6" s="1"/>
  <c r="J56" i="6"/>
  <c r="J64" i="6"/>
  <c r="J57" i="6"/>
  <c r="F43" i="4"/>
  <c r="G43" i="4"/>
  <c r="H43" i="4" s="1"/>
  <c r="J51" i="6"/>
  <c r="M51" i="4"/>
  <c r="N51" i="4" s="1"/>
  <c r="J55" i="6"/>
  <c r="M55" i="4"/>
  <c r="N55" i="4" s="1"/>
  <c r="M59" i="4"/>
  <c r="N59" i="4" s="1"/>
  <c r="J62" i="6"/>
  <c r="H41" i="4"/>
  <c r="F70" i="4"/>
  <c r="M52" i="4"/>
  <c r="N52" i="4" s="1"/>
  <c r="I61" i="4"/>
  <c r="J49" i="4"/>
  <c r="M49" i="4"/>
  <c r="F61" i="4"/>
  <c r="M57" i="4"/>
  <c r="N57" i="4" s="1"/>
  <c r="J61" i="6"/>
  <c r="M56" i="6"/>
  <c r="N56" i="6" s="1"/>
  <c r="M62" i="6"/>
  <c r="N62" i="6" s="1"/>
  <c r="M64" i="6"/>
  <c r="N64" i="6" s="1"/>
  <c r="M51" i="6"/>
  <c r="J63" i="6"/>
  <c r="M58" i="6"/>
  <c r="F44" i="6"/>
  <c r="M63" i="6"/>
  <c r="N63" i="6" s="1"/>
  <c r="M60" i="6"/>
  <c r="N60" i="6" s="1"/>
  <c r="G45" i="6"/>
  <c r="H45" i="6" s="1"/>
  <c r="G43" i="6"/>
  <c r="H43" i="6" s="1"/>
  <c r="M57" i="6"/>
  <c r="N57" i="6" s="1"/>
  <c r="M55" i="6"/>
  <c r="N55" i="6" s="1"/>
  <c r="F43" i="6"/>
  <c r="M54" i="6"/>
  <c r="N54" i="6" s="1"/>
  <c r="G91" i="6"/>
  <c r="H91" i="6" s="1"/>
  <c r="J54" i="6"/>
  <c r="H89" i="6"/>
  <c r="M52" i="6"/>
  <c r="N52" i="6" s="1"/>
  <c r="E94" i="6"/>
  <c r="F94" i="6" s="1"/>
  <c r="J60" i="6"/>
  <c r="M57" i="5"/>
  <c r="N57" i="5" s="1"/>
  <c r="M54" i="5"/>
  <c r="N54" i="5" s="1"/>
  <c r="M58" i="5"/>
  <c r="N58" i="5" s="1"/>
  <c r="M53" i="5"/>
  <c r="N53" i="5" s="1"/>
  <c r="M52" i="5"/>
  <c r="N52" i="5" s="1"/>
  <c r="M59" i="5"/>
  <c r="N59" i="5" s="1"/>
  <c r="M50" i="5"/>
  <c r="N50" i="5" s="1"/>
  <c r="J58" i="5"/>
  <c r="J56" i="5"/>
  <c r="J59" i="5"/>
  <c r="J51" i="5"/>
  <c r="J55" i="5"/>
  <c r="J50" i="5"/>
  <c r="J52" i="5"/>
  <c r="J60" i="5"/>
  <c r="G42" i="5"/>
  <c r="H42" i="5" s="1"/>
  <c r="M51" i="5"/>
  <c r="N51" i="5" s="1"/>
  <c r="G61" i="5"/>
  <c r="K49" i="5"/>
  <c r="K61" i="5" s="1"/>
  <c r="I49" i="5"/>
  <c r="M49" i="5" s="1"/>
  <c r="N49" i="5" s="1"/>
  <c r="F67" i="5"/>
  <c r="G67" i="5"/>
  <c r="H67" i="5" s="1"/>
  <c r="F70" i="5"/>
  <c r="M60" i="5"/>
  <c r="N60" i="5" s="1"/>
  <c r="J57" i="5"/>
  <c r="J53" i="5"/>
  <c r="M55" i="5"/>
  <c r="N55" i="5" s="1"/>
  <c r="L61" i="5"/>
  <c r="F61" i="5"/>
  <c r="M56" i="5"/>
  <c r="N56" i="5" s="1"/>
  <c r="H41" i="5"/>
  <c r="J54" i="5"/>
  <c r="H65" i="5"/>
  <c r="F41" i="5"/>
  <c r="F44" i="5"/>
  <c r="N51" i="6" l="1"/>
  <c r="M65" i="6"/>
  <c r="N65" i="6" s="1"/>
  <c r="J65" i="6"/>
  <c r="N58" i="6"/>
  <c r="J61" i="4"/>
  <c r="G44" i="4"/>
  <c r="H44" i="4" s="1"/>
  <c r="N49" i="4"/>
  <c r="M61" i="4"/>
  <c r="N61" i="4" s="1"/>
  <c r="G46" i="6"/>
  <c r="H46" i="6" s="1"/>
  <c r="G94" i="6"/>
  <c r="H94" i="6" s="1"/>
  <c r="G44" i="5"/>
  <c r="H44" i="5" s="1"/>
  <c r="G70" i="5"/>
  <c r="H70" i="5" s="1"/>
  <c r="M61" i="5"/>
  <c r="N61" i="5" s="1"/>
  <c r="J49" i="5"/>
  <c r="I61" i="5"/>
  <c r="J61" i="5" s="1"/>
</calcChain>
</file>

<file path=xl/sharedStrings.xml><?xml version="1.0" encoding="utf-8"?>
<sst xmlns="http://schemas.openxmlformats.org/spreadsheetml/2006/main" count="1873" uniqueCount="185">
  <si>
    <t>📊  PANDUAN PENGGUNAAN — DATA PENCAPAIAN 2026</t>
  </si>
  <si>
    <t>CARA PENGGUNAAN HARIAN</t>
  </si>
  <si>
    <t>LANGKAH 1</t>
  </si>
  <si>
    <t>Buka sheet bulan yang aktif (JAN / FEB / MAR / dst.)</t>
  </si>
  <si>
    <t>LANGKAH 2</t>
  </si>
  <si>
    <t>Pergi ke bagian INPUT DATA (sel berwarna kuning).</t>
  </si>
  <si>
    <t>LANGKAH 3</t>
  </si>
  <si>
    <t>Drop / paste data dari file DATA MKS hari ini ke tabel INPUT MKS.</t>
  </si>
  <si>
    <t>LANGKAH 4</t>
  </si>
  <si>
    <t>Drop / paste data dari file DATA NESTLE hari ini ke tabel INPUT NESTLE.</t>
  </si>
  <si>
    <t>LANGKAH 5</t>
  </si>
  <si>
    <t>Update sel HARI TERSISA (kuning) dengan jumlah hari kerja yang tersisa di bulan ini.</t>
  </si>
  <si>
    <t>LANGKAH 6</t>
  </si>
  <si>
    <t>Semua tabel FOOD &amp; BEVERAGES dan NESTLE akan ter-update otomatis.</t>
  </si>
  <si>
    <t>⚠  CATATAN PENTING</t>
  </si>
  <si>
    <t>MKS - Penggabungan</t>
  </si>
  <si>
    <t>I MADE LUIH + I Made Luih (Sanur) → digabung menjadi DENPASAR - SANUR</t>
  </si>
  <si>
    <t>Ni Ketut Sriasih (GT) + Ni Ketut Sriasih (MT) → digabung menjadi MODERN TRADE + GT</t>
  </si>
  <si>
    <t>MKS - Dikecualikan</t>
  </si>
  <si>
    <t>Management Bali → TIDAK dihitung dalam total</t>
  </si>
  <si>
    <t>KA → dipindahkan ke perhitungan NESTLE (NP5)</t>
  </si>
  <si>
    <t>NESTLE - NP5</t>
  </si>
  <si>
    <t>NP5 = nilai baris kosong (nama kosong) + KA dari MKS + NP5 raw</t>
  </si>
  <si>
    <t>NESTLE - NP3</t>
  </si>
  <si>
    <t>NP3 final = NP3 raw + NP4 + NP5 (yang sudah dihitung di atas)</t>
  </si>
  <si>
    <t>TARGETS</t>
  </si>
  <si>
    <t>Target per sales per bulan diatur di sheet TARGETS — update di sana jika ada perubahan.</t>
  </si>
  <si>
    <t>TARGET BULANAN — FOOD &amp; BEVERAGES + NESTLE</t>
  </si>
  <si>
    <t>FOOD &amp; BEVERAGES TARGETS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</si>
  <si>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</si>
  <si>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</si>
  <si>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</si>
  <si>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</si>
  <si>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</si>
  <si>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</si>
  <si>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</si>
  <si>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</si>
  <si>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</si>
  <si>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</si>
  <si>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</si>
  <si>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</si>
  <si>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AREA</t>
  </si>
  <si>
    <t>SALES</t>
  </si>
  <si>
    <t>JAN FOOD</t>
  </si>
  <si>
    <t>JAN BEV</t>
  </si>
  <si>
    <t>FEB FOOD</t>
  </si>
  <si>
    <t>FEB BEV</t>
  </si>
  <si>
    <t>MAR FOOD</t>
  </si>
  <si>
    <t>MAR BEV</t>
  </si>
  <si>
    <t>APR FOOD</t>
  </si>
  <si>
    <t>APR BEV</t>
  </si>
  <si>
    <t>MEI FOOD</t>
  </si>
  <si>
    <t>MEI BEV</t>
  </si>
  <si>
    <t>JUN FOOD</t>
  </si>
  <si>
    <t>JUN BEV</t>
  </si>
  <si>
    <t>JUL FOOD</t>
  </si>
  <si>
    <t>JUL BEV</t>
  </si>
  <si>
    <t>AGU FOOD</t>
  </si>
  <si>
    <t>AGU BEV</t>
  </si>
  <si>
    <t>SEP FOOD</t>
  </si>
  <si>
    <t>SEP BEV</t>
  </si>
  <si>
    <t>OKT FOOD</t>
  </si>
  <si>
    <t>OKT BEV</t>
  </si>
  <si>
    <t>NOV FOOD</t>
  </si>
  <si>
    <t>NOV BEV</t>
  </si>
  <si>
    <t>DES FOOD</t>
  </si>
  <si>
    <t>DES BEV</t>
  </si>
  <si>
    <t>UBUD</t>
  </si>
  <si>
    <t>PICROM</t>
  </si>
  <si>
    <t>DENPASAR - SANUR</t>
  </si>
  <si>
    <t>I MADE LUIH</t>
  </si>
  <si>
    <t>KUTA SELATAN - ULUWATU</t>
  </si>
  <si>
    <t>JUNI</t>
  </si>
  <si>
    <t>KUTA - INDUSTRI</t>
  </si>
  <si>
    <t>LANI</t>
  </si>
  <si>
    <t>KUTA - HOTEL</t>
  </si>
  <si>
    <t>KUTA SELATAN - NUSA DUA (HOTEL)</t>
  </si>
  <si>
    <t>MONICA</t>
  </si>
  <si>
    <t>SEMINYAK</t>
  </si>
  <si>
    <t>SUJANA</t>
  </si>
  <si>
    <t>KUTA - LEGIAN</t>
  </si>
  <si>
    <t>EKA</t>
  </si>
  <si>
    <t>CANGGU 1</t>
  </si>
  <si>
    <t>TAUFIK</t>
  </si>
  <si>
    <t>CANGGU 2</t>
  </si>
  <si>
    <t>DEWI KRISTIANI</t>
  </si>
  <si>
    <t>GT + FOODY</t>
  </si>
  <si>
    <t>WIRA</t>
  </si>
  <si>
    <t>MODERN TRADE + GENERAL TRADE</t>
  </si>
  <si>
    <t>SRIASIH</t>
  </si>
  <si>
    <t>NESTLE TARGETS</t>
  </si>
  <si>
    <t>CHANNEL</t>
  </si>
  <si>
    <t>NP - 1</t>
  </si>
  <si>
    <t>RIDWAN</t>
  </si>
  <si>
    <t>NP - 2</t>
  </si>
  <si>
    <t>REDI</t>
  </si>
  <si>
    <t>NP - 3</t>
  </si>
  <si>
    <t>GEK MAS</t>
  </si>
  <si>
    <t>NP - 4</t>
  </si>
  <si>
    <t>VACANT</t>
  </si>
  <si>
    <t>NP - 5</t>
  </si>
  <si>
    <t>-</t>
  </si>
  <si>
    <t>💡 Sel berwarna KUNING dapat diubah untuk memperbarui target. Angka biru = input manual.</t>
  </si>
  <si>
    <t>HARI TERSISA (auto):</t>
  </si>
  <si>
    <t>Hari kerja tersisa bulan ini (Sab s/d akhir bulan) — otomatis</t>
  </si>
  <si>
    <t>📥  INPUT DATA HARIAN — Paste dari file sistem di sini</t>
  </si>
  <si>
    <t>FOOD_ACHIV (calc)</t>
  </si>
  <si>
    <t>BEV_ACHIV (calc)</t>
  </si>
  <si>
    <t>INPUT: DATA MKS (FOOD &amp; BEVERAGES)</t>
  </si>
  <si>
    <t>Nama_Kry</t>
  </si>
  <si>
    <t>GLOBAL (Food)</t>
  </si>
  <si>
    <t>BEVERAGE</t>
  </si>
  <si>
    <t>Grand Total</t>
  </si>
  <si>
    <t>Dewi Kristiani</t>
  </si>
  <si>
    <t>Eka</t>
  </si>
  <si>
    <t>I Made Luih (Sanur)</t>
  </si>
  <si>
    <t>Juni</t>
  </si>
  <si>
    <t>KA</t>
  </si>
  <si>
    <t>Lani P</t>
  </si>
  <si>
    <t>Management Bali</t>
  </si>
  <si>
    <t>NP5_calc</t>
  </si>
  <si>
    <t>Monica</t>
  </si>
  <si>
    <t>NP3_final</t>
  </si>
  <si>
    <t>Ni Ketut Sriasih (GT)</t>
  </si>
  <si>
    <t>Ni Ketut Sriasih (MT)</t>
  </si>
  <si>
    <t>Picrom Stalyon</t>
  </si>
  <si>
    <t>Sujana</t>
  </si>
  <si>
    <t>Taufik</t>
  </si>
  <si>
    <t>Wira</t>
  </si>
  <si>
    <t>INPUT: DATA NESTLE</t>
  </si>
  <si>
    <t>Nama Kry</t>
  </si>
  <si>
    <t>Total</t>
  </si>
  <si>
    <t>NP1</t>
  </si>
  <si>
    <t>NP2</t>
  </si>
  <si>
    <t>NP3</t>
  </si>
  <si>
    <t>NP4</t>
  </si>
  <si>
    <t>NP5</t>
  </si>
  <si>
    <t>KATAGORI</t>
  </si>
  <si>
    <t>TARGET</t>
  </si>
  <si>
    <t>ACHIEVEMENT</t>
  </si>
  <si>
    <t>%</t>
  </si>
  <si>
    <t>SELISIH</t>
  </si>
  <si>
    <t>PER HARI</t>
  </si>
  <si>
    <t>FOOD</t>
  </si>
  <si>
    <t>HORECA, GT, MT</t>
  </si>
  <si>
    <t>NESTLE</t>
  </si>
  <si>
    <t>TOTAL</t>
  </si>
  <si>
    <t>FOOD &amp; BEVERAGES</t>
  </si>
  <si>
    <t>SELISIH (Target - Achiv)</t>
  </si>
  <si>
    <t>PER HARI
(sisa hari)</t>
  </si>
  <si>
    <t>Food</t>
  </si>
  <si>
    <t>Beverage</t>
  </si>
  <si>
    <t>GRAND TOTAL</t>
  </si>
  <si>
    <t>CHANNEL / AREA</t>
  </si>
  <si>
    <t>DATA PENCAPAIAN — MARET 2026</t>
  </si>
  <si>
    <t>DATA PENCAPAIAN — GLOBAL — MARET 2026</t>
  </si>
  <si>
    <t>DATA PENCAPAIAN — APRIL 2026</t>
  </si>
  <si>
    <t>DATA PENCAPAIAN — GLOBAL — APRIL 2026</t>
  </si>
  <si>
    <t>DATA PENCAPAIAN — MEI 2026</t>
  </si>
  <si>
    <t>DATA PENCAPAIAN — JUNI 2026</t>
  </si>
  <si>
    <t>DATA PENCAPAIAN — GLOBAL — JUNI 2026</t>
  </si>
  <si>
    <t>DATA PENCAPAIAN — JULI 2026</t>
  </si>
  <si>
    <t>DATA PENCAPAIAN — AGUSTUS 2026</t>
  </si>
  <si>
    <t>DATA PENCAPAIAN — GLOBAL — AGUSTUS 2026</t>
  </si>
  <si>
    <t>DATA PENCAPAIAN — SEPTEMBER 2026</t>
  </si>
  <si>
    <t>DATA PENCAPAIAN — GLOBAL — SEPTEMBER 2026</t>
  </si>
  <si>
    <t>DATA PENCAPAIAN — OKTOBER 2026</t>
  </si>
  <si>
    <t>DATA PENCAPAIAN — GLOBAL — OKTOBER 2026</t>
  </si>
  <si>
    <t>DATA PENCAPAIAN — NOVEMBER 2026</t>
  </si>
  <si>
    <t/>
  </si>
  <si>
    <t>ANGELIA</t>
  </si>
  <si>
    <t>DATA PENCAPAIAN — FEBRUARY 2026</t>
  </si>
  <si>
    <t>Balian</t>
  </si>
  <si>
    <t>NN Made Luih</t>
  </si>
  <si>
    <t>NN Sujana</t>
  </si>
  <si>
    <t>BALIAN</t>
  </si>
  <si>
    <t>NAUGHTY NURIS</t>
  </si>
  <si>
    <t>NN MADE LUIH</t>
  </si>
  <si>
    <t>NN SUJANA</t>
  </si>
  <si>
    <t>DATA PENCAPAIAN — GLOBAL — JULI 2026</t>
  </si>
  <si>
    <t>DATA PENCAPAIAN — GLOBAL — NOVEMBER 2026</t>
  </si>
  <si>
    <t>DATA PENCAPAIAN — DESEMBER 2026</t>
  </si>
  <si>
    <t>DATA PENCAPAIAN — GLOBAL — DESEMBER 2026</t>
  </si>
  <si>
    <t>DATA PENCAPAIAN — GLOBAL — 30 APRIL 2026</t>
  </si>
  <si>
    <t>DATA PENCAPAIAN — GLOBAL — 13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</si>
</sst>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#,##0.#0"/>
  </numFmts>
  <fonts count="4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b/>
      <sz val="15"/>
      <color rgb="FFFFFFFF"/>
      <name val="Arial"/>
      <family val="2"/>
    </font>
    <font>
      <b/>
      <sz val="12"/>
      <color rgb="FF375623"/>
      <name val="Arial"/>
      <family val="2"/>
    </font>
    <font>
      <i/>
      <sz val="8"/>
      <color rgb="FF595959"/>
      <name val="Arial"/>
      <family val="2"/>
    </font>
    <font>
      <i/>
      <sz val="8"/>
      <color rgb="FF999999"/>
      <name val="Arial"/>
      <family val="2"/>
    </font>
    <font>
      <b/>
      <sz val="10"/>
      <color rgb="FF1F3864"/>
      <name val="Arial"/>
      <family val="2"/>
    </font>
    <font>
      <i/>
      <sz val="8"/>
      <name val="Arial"/>
      <family val="2"/>
    </font>
    <font>
      <b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name val="Calibri"/>
      <family val="2"/>
      <charset val="1"/>
    </font>
    <font>
      <b/>
      <sz val="14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2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i/>
      <sz val="11"/>
      <color rgb="FF000000"/>
      <name val="Calibri"/>
      <family val="2"/>
      <charset val="1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C6EFCE"/>
      </patternFill>
    </fill>
    <fill>
      <patternFill patternType="solid">
        <fgColor rgb="FFF4B942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theme="0" tint="-4.9989318521683403E-2"/>
        <bgColor rgb="FF2F5496"/>
      </patternFill>
    </fill>
    <fill>
      <patternFill patternType="solid">
        <fgColor rgb="FFFFC000"/>
        <bgColor rgb="FF2F5496"/>
      </patternFill>
    </fill>
    <fill>
      <patternFill patternType="solid">
        <fgColor rgb="FF7030A0"/>
        <bgColor rgb="FF1F3864"/>
      </patternFill>
    </fill>
    <fill>
      <patternFill patternType="solid">
        <fgColor rgb="FFFFFF00"/>
        <bgColor rgb="FF2F5496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theme="9" tint="0.39997558519241921"/>
        <bgColor rgb="FFFAFAFA"/>
      </patternFill>
    </fill>
    <fill>
      <patternFill patternType="solid">
        <fgColor rgb="FF7131A1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B7F"/>
        <bgColor rgb="FFFAFAFA"/>
      </patternFill>
    </fill>
    <fill>
      <patternFill patternType="solid">
        <fgColor rgb="FFF2FB7F"/>
        <bgColor indexed="64"/>
      </patternFill>
    </fill>
    <fill>
      <patternFill patternType="solid">
        <fgColor theme="0"/>
        <bgColor rgb="FFFAFAFA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1" fillId="0" borderId="0" applyFont="0" applyFill="0" applyBorder="0" applyAlignment="0" applyProtection="0"/>
  </cellStyleXfs>
  <cellXfs count="248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right" vertical="center"/>
    </xf>
    <xf numFmtId="1" fontId="13" fillId="9" borderId="1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0" fontId="15" fillId="0" borderId="0" xfId="0" applyFont="1"/>
    <xf numFmtId="3" fontId="0" fillId="0" borderId="0" xfId="0" applyNumberFormat="1"/>
    <xf numFmtId="0" fontId="8" fillId="1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/>
    </xf>
    <xf numFmtId="3" fontId="17" fillId="0" borderId="0" xfId="0" applyNumberFormat="1" applyFont="1"/>
    <xf numFmtId="164" fontId="0" fillId="0" borderId="4" xfId="0" applyNumberFormat="1" applyBorder="1" applyAlignment="1">
      <alignment vertical="center"/>
    </xf>
    <xf numFmtId="0" fontId="16" fillId="4" borderId="5" xfId="0" applyFont="1" applyFill="1" applyBorder="1" applyAlignment="1">
      <alignment horizontal="centerContinuous" vertical="center" wrapText="1"/>
    </xf>
    <xf numFmtId="0" fontId="6" fillId="3" borderId="5" xfId="0" applyFont="1" applyFill="1" applyBorder="1" applyAlignment="1">
      <alignment horizontal="centerContinuous" vertical="center" wrapText="1"/>
    </xf>
    <xf numFmtId="0" fontId="6" fillId="3" borderId="0" xfId="0" applyFont="1" applyFill="1" applyAlignment="1">
      <alignment horizontal="centerContinuous" vertical="center" wrapText="1"/>
    </xf>
    <xf numFmtId="0" fontId="3" fillId="3" borderId="0" xfId="0" applyFont="1" applyFill="1" applyAlignment="1">
      <alignment horizontal="centerContinuous" vertical="center" wrapText="1"/>
    </xf>
    <xf numFmtId="0" fontId="7" fillId="2" borderId="0" xfId="0" applyFont="1" applyFill="1" applyAlignment="1">
      <alignment horizontal="centerContinuous" vertical="center" wrapText="1"/>
    </xf>
    <xf numFmtId="0" fontId="12" fillId="2" borderId="0" xfId="0" applyFont="1" applyFill="1" applyAlignment="1">
      <alignment horizontal="centerContinuous" vertical="center" wrapText="1"/>
    </xf>
    <xf numFmtId="0" fontId="6" fillId="8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/>
    <xf numFmtId="0" fontId="19" fillId="12" borderId="1" xfId="0" applyFont="1" applyFill="1" applyBorder="1" applyAlignment="1">
      <alignment horizontal="left" vertical="center"/>
    </xf>
    <xf numFmtId="3" fontId="19" fillId="12" borderId="1" xfId="0" applyNumberFormat="1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8" fillId="17" borderId="1" xfId="0" applyFont="1" applyFill="1" applyBorder="1" applyAlignment="1">
      <alignment horizontal="centerContinuous" vertical="center" wrapText="1"/>
    </xf>
    <xf numFmtId="0" fontId="21" fillId="18" borderId="1" xfId="0" applyFont="1" applyFill="1" applyBorder="1" applyAlignment="1">
      <alignment horizontal="center" vertical="center" wrapText="1"/>
    </xf>
    <xf numFmtId="3" fontId="21" fillId="16" borderId="1" xfId="0" applyNumberFormat="1" applyFont="1" applyFill="1" applyBorder="1" applyAlignment="1">
      <alignment horizontal="right" vertical="center"/>
    </xf>
    <xf numFmtId="9" fontId="21" fillId="16" borderId="1" xfId="0" applyNumberFormat="1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Continuous" vertical="center" wrapText="1"/>
    </xf>
    <xf numFmtId="3" fontId="22" fillId="16" borderId="1" xfId="0" applyNumberFormat="1" applyFont="1" applyFill="1" applyBorder="1" applyAlignment="1">
      <alignment horizontal="right" vertical="center"/>
    </xf>
    <xf numFmtId="0" fontId="24" fillId="13" borderId="2" xfId="0" applyFont="1" applyFill="1" applyBorder="1" applyAlignment="1">
      <alignment horizontal="centerContinuous" vertical="center" wrapText="1"/>
    </xf>
    <xf numFmtId="0" fontId="24" fillId="13" borderId="6" xfId="0" applyFont="1" applyFill="1" applyBorder="1" applyAlignment="1">
      <alignment horizontal="centerContinuous" vertical="center" wrapText="1"/>
    </xf>
    <xf numFmtId="0" fontId="24" fillId="13" borderId="3" xfId="0" applyFont="1" applyFill="1" applyBorder="1" applyAlignment="1">
      <alignment horizontal="centerContinuous" vertical="center" wrapText="1"/>
    </xf>
    <xf numFmtId="0" fontId="25" fillId="19" borderId="1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center" vertical="center" wrapText="1"/>
    </xf>
    <xf numFmtId="3" fontId="26" fillId="0" borderId="1" xfId="0" applyNumberFormat="1" applyFont="1" applyBorder="1" applyAlignment="1">
      <alignment horizontal="right" vertical="center"/>
    </xf>
    <xf numFmtId="9" fontId="22" fillId="16" borderId="1" xfId="0" applyNumberFormat="1" applyFont="1" applyFill="1" applyBorder="1" applyAlignment="1">
      <alignment horizontal="center" vertical="center" wrapText="1"/>
    </xf>
    <xf numFmtId="9" fontId="25" fillId="21" borderId="1" xfId="0" applyNumberFormat="1" applyFont="1" applyFill="1" applyBorder="1" applyAlignment="1">
      <alignment horizontal="center" vertical="center" wrapText="1"/>
    </xf>
    <xf numFmtId="3" fontId="26" fillId="20" borderId="1" xfId="0" applyNumberFormat="1" applyFont="1" applyFill="1" applyBorder="1" applyAlignment="1">
      <alignment horizontal="center" vertical="center"/>
    </xf>
    <xf numFmtId="3" fontId="26" fillId="21" borderId="1" xfId="0" applyNumberFormat="1" applyFont="1" applyFill="1" applyBorder="1" applyAlignment="1">
      <alignment horizontal="center" vertical="center"/>
    </xf>
    <xf numFmtId="3" fontId="22" fillId="16" borderId="1" xfId="0" applyNumberFormat="1" applyFont="1" applyFill="1" applyBorder="1" applyAlignment="1">
      <alignment horizontal="center" vertical="center"/>
    </xf>
    <xf numFmtId="0" fontId="27" fillId="20" borderId="0" xfId="0" applyFont="1" applyFill="1"/>
    <xf numFmtId="0" fontId="28" fillId="18" borderId="1" xfId="0" applyFont="1" applyFill="1" applyBorder="1" applyAlignment="1">
      <alignment horizontal="centerContinuous" vertical="center" wrapText="1"/>
    </xf>
    <xf numFmtId="0" fontId="26" fillId="12" borderId="1" xfId="0" applyFont="1" applyFill="1" applyBorder="1" applyAlignment="1">
      <alignment horizontal="left" vertical="center"/>
    </xf>
    <xf numFmtId="3" fontId="26" fillId="12" borderId="1" xfId="0" applyNumberFormat="1" applyFont="1" applyFill="1" applyBorder="1" applyAlignment="1">
      <alignment horizontal="right" vertical="center"/>
    </xf>
    <xf numFmtId="3" fontId="26" fillId="24" borderId="1" xfId="0" applyNumberFormat="1" applyFont="1" applyFill="1" applyBorder="1" applyAlignment="1">
      <alignment horizontal="right" vertical="center"/>
    </xf>
    <xf numFmtId="0" fontId="26" fillId="10" borderId="1" xfId="0" applyFont="1" applyFill="1" applyBorder="1" applyAlignment="1">
      <alignment horizontal="left" vertical="center"/>
    </xf>
    <xf numFmtId="3" fontId="26" fillId="10" borderId="1" xfId="0" applyNumberFormat="1" applyFont="1" applyFill="1" applyBorder="1" applyAlignment="1">
      <alignment horizontal="right" vertical="center"/>
    </xf>
    <xf numFmtId="0" fontId="26" fillId="12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centerContinuous" vertical="center" wrapText="1"/>
    </xf>
    <xf numFmtId="0" fontId="23" fillId="16" borderId="1" xfId="0" applyFont="1" applyFill="1" applyBorder="1" applyAlignment="1">
      <alignment horizontal="centerContinuous"/>
    </xf>
    <xf numFmtId="0" fontId="21" fillId="16" borderId="1" xfId="0" applyFont="1" applyFill="1" applyBorder="1" applyAlignment="1">
      <alignment horizontal="centerContinuous" vertical="center" wrapText="1"/>
    </xf>
    <xf numFmtId="0" fontId="24" fillId="18" borderId="1" xfId="0" applyFont="1" applyFill="1" applyBorder="1" applyAlignment="1">
      <alignment horizontal="centerContinuous" vertical="center" wrapText="1"/>
    </xf>
    <xf numFmtId="9" fontId="25" fillId="24" borderId="1" xfId="0" applyNumberFormat="1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wrapText="1"/>
    </xf>
    <xf numFmtId="3" fontId="22" fillId="17" borderId="1" xfId="0" applyNumberFormat="1" applyFont="1" applyFill="1" applyBorder="1" applyAlignment="1">
      <alignment horizontal="right" vertical="center"/>
    </xf>
    <xf numFmtId="3" fontId="21" fillId="17" borderId="1" xfId="0" applyNumberFormat="1" applyFont="1" applyFill="1" applyBorder="1" applyAlignment="1">
      <alignment horizontal="right" vertical="center"/>
    </xf>
    <xf numFmtId="0" fontId="24" fillId="14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0" fontId="29" fillId="25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Continuous" vertical="center" wrapText="1"/>
    </xf>
    <xf numFmtId="0" fontId="29" fillId="22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9" fontId="24" fillId="14" borderId="1" xfId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9" fillId="15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1" fontId="13" fillId="9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16" fillId="4" borderId="5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3" fontId="10" fillId="6" borderId="1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Continuous" vertical="center"/>
    </xf>
    <xf numFmtId="0" fontId="24" fillId="13" borderId="2" xfId="0" applyFont="1" applyFill="1" applyBorder="1" applyAlignment="1">
      <alignment horizontal="centerContinuous" vertical="center"/>
    </xf>
    <xf numFmtId="0" fontId="24" fillId="13" borderId="6" xfId="0" applyFont="1" applyFill="1" applyBorder="1" applyAlignment="1">
      <alignment horizontal="centerContinuous" vertical="center"/>
    </xf>
    <xf numFmtId="0" fontId="24" fillId="13" borderId="3" xfId="0" applyFont="1" applyFill="1" applyBorder="1" applyAlignment="1">
      <alignment horizontal="centerContinuous" vertical="center"/>
    </xf>
    <xf numFmtId="0" fontId="24" fillId="14" borderId="1" xfId="0" applyFont="1" applyFill="1" applyBorder="1" applyAlignment="1">
      <alignment horizontal="center" vertical="center"/>
    </xf>
    <xf numFmtId="9" fontId="24" fillId="14" borderId="1" xfId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Continuous" vertical="center"/>
    </xf>
    <xf numFmtId="0" fontId="30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center" vertical="center"/>
    </xf>
    <xf numFmtId="9" fontId="25" fillId="21" borderId="1" xfId="0" applyNumberFormat="1" applyFont="1" applyFill="1" applyBorder="1" applyAlignment="1">
      <alignment horizontal="center" vertical="center"/>
    </xf>
    <xf numFmtId="9" fontId="22" fillId="16" borderId="1" xfId="0" applyNumberFormat="1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Continuous" vertical="center"/>
    </xf>
    <xf numFmtId="0" fontId="29" fillId="15" borderId="1" xfId="0" applyFont="1" applyFill="1" applyBorder="1" applyAlignment="1">
      <alignment horizontal="centerContinuous" vertical="center"/>
    </xf>
    <xf numFmtId="0" fontId="22" fillId="18" borderId="1" xfId="0" applyFont="1" applyFill="1" applyBorder="1" applyAlignment="1">
      <alignment horizontal="centerContinuous" vertical="center"/>
    </xf>
    <xf numFmtId="0" fontId="29" fillId="22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9" fontId="25" fillId="24" borderId="1" xfId="0" applyNumberFormat="1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Continuous" vertical="center"/>
    </xf>
    <xf numFmtId="0" fontId="24" fillId="18" borderId="1" xfId="0" applyFont="1" applyFill="1" applyBorder="1" applyAlignment="1">
      <alignment horizontal="centerContinuous" vertical="center"/>
    </xf>
    <xf numFmtId="0" fontId="30" fillId="15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centerContinuous" vertical="center"/>
    </xf>
    <xf numFmtId="9" fontId="21" fillId="16" borderId="1" xfId="0" applyNumberFormat="1" applyFont="1" applyFill="1" applyBorder="1" applyAlignment="1">
      <alignment horizontal="center" vertical="center"/>
    </xf>
    <xf numFmtId="41" fontId="0" fillId="0" borderId="4" xfId="0" applyNumberFormat="1" applyBorder="1" applyAlignment="1">
      <alignment vertical="center"/>
    </xf>
    <xf numFmtId="0" fontId="32" fillId="12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41" fontId="12" fillId="2" borderId="0" xfId="0" applyNumberFormat="1" applyFont="1" applyFill="1" applyAlignment="1">
      <alignment horizontal="centerContinuous" vertical="center"/>
    </xf>
    <xf numFmtId="41" fontId="0" fillId="0" borderId="0" xfId="0" applyNumberFormat="1"/>
    <xf numFmtId="41" fontId="18" fillId="17" borderId="1" xfId="0" applyNumberFormat="1" applyFont="1" applyFill="1" applyBorder="1" applyAlignment="1">
      <alignment horizontal="centerContinuous" vertical="center" wrapText="1"/>
    </xf>
    <xf numFmtId="41" fontId="26" fillId="0" borderId="1" xfId="0" applyNumberFormat="1" applyFont="1" applyBorder="1" applyAlignment="1">
      <alignment horizontal="right" vertical="center"/>
    </xf>
    <xf numFmtId="41" fontId="22" fillId="17" borderId="1" xfId="0" applyNumberFormat="1" applyFont="1" applyFill="1" applyBorder="1" applyAlignment="1">
      <alignment horizontal="right" vertical="center"/>
    </xf>
    <xf numFmtId="41" fontId="29" fillId="15" borderId="1" xfId="0" applyNumberFormat="1" applyFont="1" applyFill="1" applyBorder="1" applyAlignment="1">
      <alignment horizontal="centerContinuous" vertical="center" wrapText="1"/>
    </xf>
    <xf numFmtId="41" fontId="29" fillId="22" borderId="1" xfId="0" applyNumberFormat="1" applyFont="1" applyFill="1" applyBorder="1" applyAlignment="1">
      <alignment horizontal="center" vertical="center" wrapText="1"/>
    </xf>
    <xf numFmtId="41" fontId="26" fillId="24" borderId="1" xfId="0" applyNumberFormat="1" applyFont="1" applyFill="1" applyBorder="1" applyAlignment="1">
      <alignment horizontal="right" vertical="center"/>
    </xf>
    <xf numFmtId="41" fontId="22" fillId="16" borderId="1" xfId="0" applyNumberFormat="1" applyFont="1" applyFill="1" applyBorder="1" applyAlignment="1">
      <alignment horizontal="right" vertical="center"/>
    </xf>
    <xf numFmtId="41" fontId="24" fillId="18" borderId="1" xfId="0" applyNumberFormat="1" applyFont="1" applyFill="1" applyBorder="1" applyAlignment="1">
      <alignment horizontal="centerContinuous" vertical="center" wrapText="1"/>
    </xf>
    <xf numFmtId="41" fontId="26" fillId="12" borderId="1" xfId="0" applyNumberFormat="1" applyFont="1" applyFill="1" applyBorder="1" applyAlignment="1">
      <alignment horizontal="right" vertical="center"/>
    </xf>
    <xf numFmtId="41" fontId="26" fillId="10" borderId="1" xfId="0" applyNumberFormat="1" applyFont="1" applyFill="1" applyBorder="1" applyAlignment="1">
      <alignment horizontal="right" vertical="center"/>
    </xf>
    <xf numFmtId="41" fontId="26" fillId="12" borderId="1" xfId="0" applyNumberFormat="1" applyFont="1" applyFill="1" applyBorder="1" applyAlignment="1">
      <alignment horizontal="center" vertical="center"/>
    </xf>
    <xf numFmtId="41" fontId="26" fillId="10" borderId="1" xfId="0" applyNumberFormat="1" applyFont="1" applyFill="1" applyBorder="1" applyAlignment="1">
      <alignment horizontal="center" vertical="center"/>
    </xf>
    <xf numFmtId="41" fontId="22" fillId="16" borderId="1" xfId="0" applyNumberFormat="1" applyFont="1" applyFill="1" applyBorder="1" applyAlignment="1">
      <alignment horizontal="center" vertical="center"/>
    </xf>
    <xf numFmtId="41" fontId="33" fillId="18" borderId="1" xfId="0" applyNumberFormat="1" applyFont="1" applyFill="1" applyBorder="1" applyAlignment="1">
      <alignment horizontal="center" vertical="center" wrapText="1"/>
    </xf>
    <xf numFmtId="41" fontId="22" fillId="18" borderId="1" xfId="0" applyNumberFormat="1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Continuous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Continuous" vertical="center" wrapText="1"/>
    </xf>
    <xf numFmtId="0" fontId="28" fillId="18" borderId="6" xfId="0" applyFont="1" applyFill="1" applyBorder="1" applyAlignment="1">
      <alignment horizontal="centerContinuous" vertical="center" wrapText="1"/>
    </xf>
    <xf numFmtId="0" fontId="28" fillId="18" borderId="3" xfId="0" applyFont="1" applyFill="1" applyBorder="1" applyAlignment="1">
      <alignment horizontal="centerContinuous" vertical="center" wrapText="1"/>
    </xf>
    <xf numFmtId="3" fontId="10" fillId="6" borderId="3" xfId="0" applyNumberFormat="1" applyFont="1" applyFill="1" applyBorder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3" fontId="10" fillId="6" borderId="7" xfId="0" applyNumberFormat="1" applyFont="1" applyFill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3" fontId="10" fillId="6" borderId="8" xfId="0" applyNumberFormat="1" applyFont="1" applyFill="1" applyBorder="1" applyAlignment="1">
      <alignment horizontal="right" vertical="center"/>
    </xf>
    <xf numFmtId="0" fontId="9" fillId="26" borderId="4" xfId="0" applyFont="1" applyFill="1" applyBorder="1" applyAlignment="1">
      <alignment horizontal="left" vertical="center"/>
    </xf>
    <xf numFmtId="0" fontId="9" fillId="26" borderId="4" xfId="0" applyFont="1" applyFill="1" applyBorder="1" applyAlignment="1">
      <alignment horizontal="center" vertical="center" wrapText="1"/>
    </xf>
    <xf numFmtId="3" fontId="10" fillId="26" borderId="4" xfId="0" applyNumberFormat="1" applyFont="1" applyFill="1" applyBorder="1" applyAlignment="1">
      <alignment horizontal="right" vertical="center"/>
    </xf>
    <xf numFmtId="41" fontId="26" fillId="27" borderId="1" xfId="0" applyNumberFormat="1" applyFont="1" applyFill="1" applyBorder="1" applyAlignment="1">
      <alignment horizontal="center" vertical="center"/>
    </xf>
    <xf numFmtId="41" fontId="26" fillId="28" borderId="1" xfId="0" applyNumberFormat="1" applyFont="1" applyFill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41" fontId="22" fillId="26" borderId="1" xfId="0" applyNumberFormat="1" applyFont="1" applyFill="1" applyBorder="1" applyAlignment="1">
      <alignment horizontal="center" vertical="center"/>
    </xf>
    <xf numFmtId="41" fontId="22" fillId="26" borderId="1" xfId="0" applyNumberFormat="1" applyFont="1" applyFill="1" applyBorder="1" applyAlignment="1">
      <alignment horizontal="right" vertical="center"/>
    </xf>
    <xf numFmtId="9" fontId="22" fillId="26" borderId="1" xfId="0" applyNumberFormat="1" applyFont="1" applyFill="1" applyBorder="1" applyAlignment="1">
      <alignment horizontal="center" vertical="center" wrapText="1"/>
    </xf>
    <xf numFmtId="3" fontId="22" fillId="26" borderId="1" xfId="0" applyNumberFormat="1" applyFont="1" applyFill="1" applyBorder="1" applyAlignment="1">
      <alignment horizontal="right" vertical="center"/>
    </xf>
    <xf numFmtId="0" fontId="26" fillId="29" borderId="1" xfId="0" applyFont="1" applyFill="1" applyBorder="1" applyAlignment="1">
      <alignment horizontal="left" vertical="center"/>
    </xf>
    <xf numFmtId="0" fontId="26" fillId="29" borderId="1" xfId="0" applyFont="1" applyFill="1" applyBorder="1" applyAlignment="1">
      <alignment horizontal="left" vertical="center" wrapText="1"/>
    </xf>
    <xf numFmtId="41" fontId="26" fillId="30" borderId="1" xfId="0" applyNumberFormat="1" applyFont="1" applyFill="1" applyBorder="1" applyAlignment="1">
      <alignment horizontal="center" vertical="center"/>
    </xf>
    <xf numFmtId="0" fontId="36" fillId="0" borderId="0" xfId="0" applyFont="1"/>
    <xf numFmtId="41" fontId="37" fillId="15" borderId="1" xfId="0" applyNumberFormat="1" applyFont="1" applyFill="1" applyBorder="1" applyAlignment="1">
      <alignment horizontal="centerContinuous" vertical="center" wrapText="1"/>
    </xf>
    <xf numFmtId="0" fontId="35" fillId="18" borderId="1" xfId="0" applyFont="1" applyFill="1" applyBorder="1" applyAlignment="1">
      <alignment horizontal="centerContinuous" vertical="center" wrapText="1"/>
    </xf>
    <xf numFmtId="0" fontId="37" fillId="22" borderId="1" xfId="0" applyFont="1" applyFill="1" applyBorder="1" applyAlignment="1">
      <alignment horizontal="center" vertical="center" wrapText="1"/>
    </xf>
    <xf numFmtId="41" fontId="37" fillId="22" borderId="1" xfId="0" applyNumberFormat="1" applyFont="1" applyFill="1" applyBorder="1" applyAlignment="1">
      <alignment horizontal="center" vertical="center" wrapText="1"/>
    </xf>
    <xf numFmtId="0" fontId="35" fillId="23" borderId="1" xfId="0" applyFont="1" applyFill="1" applyBorder="1" applyAlignment="1">
      <alignment horizontal="center" vertical="center" wrapText="1"/>
    </xf>
    <xf numFmtId="3" fontId="38" fillId="12" borderId="1" xfId="0" applyNumberFormat="1" applyFont="1" applyFill="1" applyBorder="1" applyAlignment="1">
      <alignment horizontal="right" vertical="center"/>
    </xf>
    <xf numFmtId="3" fontId="38" fillId="10" borderId="1" xfId="0" applyNumberFormat="1" applyFont="1" applyFill="1" applyBorder="1" applyAlignment="1">
      <alignment horizontal="right" vertical="center"/>
    </xf>
    <xf numFmtId="3" fontId="35" fillId="26" borderId="1" xfId="0" applyNumberFormat="1" applyFont="1" applyFill="1" applyBorder="1" applyAlignment="1">
      <alignment horizontal="right" vertical="center"/>
    </xf>
    <xf numFmtId="41" fontId="35" fillId="18" borderId="1" xfId="0" applyNumberFormat="1" applyFont="1" applyFill="1" applyBorder="1" applyAlignment="1">
      <alignment horizontal="centerContinuous" vertical="center" wrapText="1"/>
    </xf>
    <xf numFmtId="41" fontId="36" fillId="0" borderId="0" xfId="0" applyNumberFormat="1" applyFont="1"/>
    <xf numFmtId="0" fontId="37" fillId="15" borderId="1" xfId="0" applyFont="1" applyFill="1" applyBorder="1" applyAlignment="1">
      <alignment horizontal="center" vertical="center" wrapText="1"/>
    </xf>
    <xf numFmtId="41" fontId="35" fillId="18" borderId="1" xfId="0" applyNumberFormat="1" applyFont="1" applyFill="1" applyBorder="1" applyAlignment="1">
      <alignment horizontal="center" vertical="center" wrapText="1"/>
    </xf>
    <xf numFmtId="41" fontId="38" fillId="12" borderId="1" xfId="0" applyNumberFormat="1" applyFont="1" applyFill="1" applyBorder="1" applyAlignment="1">
      <alignment horizontal="right" vertical="center"/>
    </xf>
    <xf numFmtId="41" fontId="38" fillId="10" borderId="1" xfId="0" applyNumberFormat="1" applyFont="1" applyFill="1" applyBorder="1" applyAlignment="1">
      <alignment horizontal="right" vertical="center"/>
    </xf>
    <xf numFmtId="41" fontId="35" fillId="17" borderId="1" xfId="0" applyNumberFormat="1" applyFont="1" applyFill="1" applyBorder="1" applyAlignment="1">
      <alignment horizontal="right" vertical="center"/>
    </xf>
    <xf numFmtId="9" fontId="34" fillId="16" borderId="1" xfId="0" applyNumberFormat="1" applyFont="1" applyFill="1" applyBorder="1" applyAlignment="1">
      <alignment horizontal="center" vertical="center" wrapText="1"/>
    </xf>
    <xf numFmtId="41" fontId="39" fillId="12" borderId="1" xfId="0" applyNumberFormat="1" applyFont="1" applyFill="1" applyBorder="1" applyAlignment="1">
      <alignment horizontal="center" vertical="center"/>
    </xf>
    <xf numFmtId="41" fontId="39" fillId="24" borderId="1" xfId="0" applyNumberFormat="1" applyFont="1" applyFill="1" applyBorder="1" applyAlignment="1">
      <alignment horizontal="right" vertical="center"/>
    </xf>
    <xf numFmtId="9" fontId="40" fillId="24" borderId="1" xfId="0" applyNumberFormat="1" applyFont="1" applyFill="1" applyBorder="1" applyAlignment="1">
      <alignment horizontal="center" vertical="center" wrapText="1"/>
    </xf>
    <xf numFmtId="41" fontId="39" fillId="10" borderId="1" xfId="0" applyNumberFormat="1" applyFont="1" applyFill="1" applyBorder="1" applyAlignment="1">
      <alignment horizontal="center" vertical="center"/>
    </xf>
    <xf numFmtId="41" fontId="39" fillId="30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right" vertical="center"/>
    </xf>
    <xf numFmtId="9" fontId="34" fillId="26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left" vertical="center"/>
    </xf>
    <xf numFmtId="0" fontId="39" fillId="12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left" vertical="center"/>
    </xf>
    <xf numFmtId="0" fontId="39" fillId="10" borderId="1" xfId="0" applyFont="1" applyFill="1" applyBorder="1" applyAlignment="1">
      <alignment horizontal="left" vertical="center" wrapText="1"/>
    </xf>
    <xf numFmtId="0" fontId="39" fillId="29" borderId="1" xfId="0" applyFont="1" applyFill="1" applyBorder="1" applyAlignment="1">
      <alignment horizontal="left" vertical="center"/>
    </xf>
    <xf numFmtId="0" fontId="39" fillId="29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centerContinuous" vertical="center" wrapText="1"/>
    </xf>
    <xf numFmtId="0" fontId="41" fillId="16" borderId="1" xfId="0" applyFont="1" applyFill="1" applyBorder="1" applyAlignment="1">
      <alignment horizontal="centerContinuous"/>
    </xf>
    <xf numFmtId="41" fontId="39" fillId="27" borderId="1" xfId="0" applyNumberFormat="1" applyFont="1" applyFill="1" applyBorder="1" applyAlignment="1">
      <alignment horizontal="center" vertical="center"/>
    </xf>
    <xf numFmtId="41" fontId="39" fillId="28" borderId="1" xfId="0" applyNumberFormat="1" applyFont="1" applyFill="1" applyBorder="1" applyAlignment="1">
      <alignment horizontal="center" vertical="center"/>
    </xf>
    <xf numFmtId="41" fontId="34" fillId="16" borderId="1" xfId="0" applyNumberFormat="1" applyFont="1" applyFill="1" applyBorder="1" applyAlignment="1">
      <alignment horizontal="center" vertical="center"/>
    </xf>
    <xf numFmtId="41" fontId="39" fillId="12" borderId="1" xfId="0" applyNumberFormat="1" applyFont="1" applyFill="1" applyBorder="1" applyAlignment="1">
      <alignment horizontal="right" vertical="center"/>
    </xf>
    <xf numFmtId="41" fontId="39" fillId="10" borderId="1" xfId="0" applyNumberFormat="1" applyFont="1" applyFill="1" applyBorder="1" applyAlignment="1">
      <alignment horizontal="right" vertical="center"/>
    </xf>
    <xf numFmtId="0" fontId="42" fillId="12" borderId="1" xfId="0" applyFont="1" applyFill="1" applyBorder="1" applyAlignment="1">
      <alignment horizontal="left" vertical="center" wrapText="1"/>
    </xf>
    <xf numFmtId="41" fontId="34" fillId="16" borderId="1" xfId="0" applyNumberFormat="1" applyFont="1" applyFill="1" applyBorder="1" applyAlignment="1">
      <alignment horizontal="right" vertical="center"/>
    </xf>
    <xf numFmtId="0" fontId="39" fillId="31" borderId="1" xfId="0" applyFont="1" applyFill="1" applyBorder="1" applyAlignment="1">
      <alignment horizontal="left" vertical="center"/>
    </xf>
    <xf numFmtId="0" fontId="39" fillId="31" borderId="1" xfId="0" applyFont="1" applyFill="1" applyBorder="1" applyAlignment="1">
      <alignment horizontal="left" vertical="center" wrapText="1"/>
    </xf>
    <xf numFmtId="41" fontId="39" fillId="31" borderId="1" xfId="0" applyNumberFormat="1" applyFont="1" applyFill="1" applyBorder="1" applyAlignment="1">
      <alignment horizontal="right" vertical="center"/>
    </xf>
    <xf numFmtId="0" fontId="26" fillId="31" borderId="1" xfId="0" applyFont="1" applyFill="1" applyBorder="1" applyAlignment="1">
      <alignment horizontal="left" vertical="center"/>
    </xf>
    <xf numFmtId="0" fontId="26" fillId="31" borderId="1" xfId="0" applyFont="1" applyFill="1" applyBorder="1" applyAlignment="1">
      <alignment horizontal="left" vertical="center" wrapText="1"/>
    </xf>
    <xf numFmtId="41" fontId="26" fillId="31" borderId="1" xfId="0" applyNumberFormat="1" applyFont="1" applyFill="1" applyBorder="1" applyAlignment="1">
      <alignment horizontal="right" vertical="center"/>
    </xf>
    <xf numFmtId="41" fontId="26" fillId="31" borderId="1" xfId="0" applyNumberFormat="1" applyFont="1" applyFill="1" applyBorder="1" applyAlignment="1">
      <alignment horizontal="center" vertical="center"/>
    </xf>
    <xf numFmtId="164" fontId="0" fillId="0" borderId="4" xfId="0" applyNumberFormat="1" applyFont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22" fillId="18" borderId="1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/>
    </xf>
    <xf numFmtId="0" fontId="29" fillId="15" borderId="3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9" fillId="15" borderId="6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35" fillId="18" borderId="1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 wrapText="1"/>
    </xf>
    <xf numFmtId="0" fontId="28" fillId="18" borderId="6" xfId="0" applyFont="1" applyFill="1" applyBorder="1" applyAlignment="1">
      <alignment horizontal="center" vertical="center" wrapText="1"/>
    </xf>
    <xf numFmtId="0" fontId="28" fillId="18" borderId="3" xfId="0" applyFont="1" applyFill="1" applyBorder="1" applyAlignment="1">
      <alignment horizontal="center" vertical="center" wrapText="1"/>
    </xf>
    <xf numFmtId="0" fontId="37" fillId="15" borderId="2" xfId="0" applyFont="1" applyFill="1" applyBorder="1" applyAlignment="1">
      <alignment horizontal="center" vertical="center" wrapText="1"/>
    </xf>
    <xf numFmtId="0" fontId="37" fillId="15" borderId="6" xfId="0" applyFont="1" applyFill="1" applyBorder="1" applyAlignment="1">
      <alignment horizontal="center" vertical="center" wrapText="1"/>
    </xf>
    <xf numFmtId="0" fontId="37" fillId="15" borderId="3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35" fillId="18" borderId="2" xfId="0" applyFont="1" applyFill="1" applyBorder="1" applyAlignment="1">
      <alignment horizontal="center" vertical="center" wrapText="1"/>
    </xf>
    <xf numFmtId="0" fontId="35" fillId="18" borderId="6" xfId="0" applyFont="1" applyFill="1" applyBorder="1" applyAlignment="1">
      <alignment horizontal="center" vertical="center" wrapText="1"/>
    </xf>
    <xf numFmtId="0" fontId="35" fillId="18" borderId="3" xfId="0" applyFont="1" applyFill="1" applyBorder="1" applyAlignment="1">
      <alignment horizontal="center" vertical="center" wrapText="1"/>
    </xf>
    <xf numFmtId="0" fontId="24" fillId="18" borderId="2" xfId="0" applyFont="1" applyFill="1" applyBorder="1" applyAlignment="1">
      <alignment horizontal="center" vertical="center" wrapText="1"/>
    </xf>
    <xf numFmtId="0" fontId="24" fillId="18" borderId="6" xfId="0" applyFont="1" applyFill="1" applyBorder="1" applyAlignment="1">
      <alignment horizontal="center" vertical="center" wrapText="1"/>
    </xf>
    <xf numFmtId="0" fontId="24" fillId="18" borderId="3" xfId="0" applyFont="1" applyFill="1" applyBorder="1" applyAlignment="1">
      <alignment horizontal="center" vertical="center" wrapText="1"/>
    </xf>
    <xf numFmtId="0" fontId="34" fillId="18" borderId="2" xfId="0" applyFont="1" applyFill="1" applyBorder="1" applyAlignment="1">
      <alignment horizontal="center" vertical="center" wrapText="1"/>
    </xf>
    <xf numFmtId="0" fontId="34" fillId="18" borderId="6" xfId="0" applyFont="1" applyFill="1" applyBorder="1" applyAlignment="1">
      <alignment horizontal="center" vertical="center" wrapText="1"/>
    </xf>
    <xf numFmtId="0" fontId="34" fillId="18" borderId="3" xfId="0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24" fillId="17" borderId="6" xfId="0" applyFont="1" applyFill="1" applyBorder="1" applyAlignment="1">
      <alignment horizontal="center" vertical="center" wrapText="1"/>
    </xf>
    <xf numFmtId="0" fontId="24" fillId="17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B7F"/>
      <color rgb="FFFCEF70"/>
      <color rgb="FFFFCC7E"/>
      <color rgb="FFFFF97D"/>
      <color rgb="FF7131A1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5347C9-9345-C04D-B717-D6DB29D115E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bded4d1-05cb-4774-8e53-89592971fa9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8"/>
  <sheetViews>
    <sheetView showGridLines="0" topLeftCell="A4" zoomScale="171" zoomScaleNormal="110" workbookViewId="0">
      <selection activeCell="C15" sqref="C15"/>
    </sheetView>
  </sheetViews>
  <sheetFormatPr defaultColWidth="8.7109375" defaultRowHeight="15" x14ac:dyDescent="0.25"/>
  <cols>
    <col min="1" max="1" width="3" customWidth="1"/>
    <col min="2" max="2" width="17.42578125" bestFit="1" customWidth="1"/>
    <col min="3" max="3" width="64.85546875" bestFit="1" customWidth="1"/>
  </cols>
  <sheetData>
    <row r="1" spans="2:3" ht="18" x14ac:dyDescent="0.25">
      <c r="B1" s="206" t="s">
        <v>0</v>
      </c>
      <c r="C1" s="206"/>
    </row>
    <row r="3" spans="2:3" x14ac:dyDescent="0.25">
      <c r="B3" s="207" t="s">
        <v>1</v>
      </c>
      <c r="C3" s="207"/>
    </row>
    <row r="4" spans="2:3" x14ac:dyDescent="0.25">
      <c r="B4" s="1" t="s">
        <v>2</v>
      </c>
      <c r="C4" s="2" t="s">
        <v>3</v>
      </c>
    </row>
    <row r="5" spans="2:3" x14ac:dyDescent="0.25">
      <c r="B5" s="1" t="s">
        <v>4</v>
      </c>
      <c r="C5" s="2" t="s">
        <v>5</v>
      </c>
    </row>
    <row r="6" spans="2:3" x14ac:dyDescent="0.25">
      <c r="B6" s="1" t="s">
        <v>6</v>
      </c>
      <c r="C6" s="2" t="s">
        <v>7</v>
      </c>
    </row>
    <row r="7" spans="2:3" x14ac:dyDescent="0.25">
      <c r="B7" s="1" t="s">
        <v>8</v>
      </c>
      <c r="C7" s="2" t="s">
        <v>9</v>
      </c>
    </row>
    <row r="8" spans="2:3" x14ac:dyDescent="0.25">
      <c r="B8" s="1" t="s">
        <v>10</v>
      </c>
      <c r="C8" s="2" t="s">
        <v>11</v>
      </c>
    </row>
    <row r="9" spans="2:3" x14ac:dyDescent="0.25">
      <c r="B9" s="1" t="s">
        <v>12</v>
      </c>
      <c r="C9" s="2" t="s">
        <v>13</v>
      </c>
    </row>
    <row r="11" spans="2:3" x14ac:dyDescent="0.25">
      <c r="B11" s="208" t="s">
        <v>14</v>
      </c>
      <c r="C11" s="208"/>
    </row>
    <row r="12" spans="2:3" ht="24" x14ac:dyDescent="0.25">
      <c r="B12" s="1" t="s">
        <v>15</v>
      </c>
      <c r="C12" s="2" t="s">
        <v>16</v>
      </c>
    </row>
    <row r="13" spans="2:3" ht="24" x14ac:dyDescent="0.25">
      <c r="B13" s="1" t="s">
        <v>15</v>
      </c>
      <c r="C13" s="2" t="s">
        <v>17</v>
      </c>
    </row>
    <row r="14" spans="2:3" x14ac:dyDescent="0.25">
      <c r="B14" s="1" t="s">
        <v>18</v>
      </c>
      <c r="C14" s="2" t="s">
        <v>19</v>
      </c>
    </row>
    <row r="15" spans="2:3" x14ac:dyDescent="0.25">
      <c r="B15" s="1" t="s">
        <v>18</v>
      </c>
      <c r="C15" s="2" t="s">
        <v>20</v>
      </c>
    </row>
    <row r="16" spans="2:3" x14ac:dyDescent="0.25">
      <c r="B16" s="1" t="s">
        <v>21</v>
      </c>
      <c r="C16" s="2" t="s">
        <v>22</v>
      </c>
    </row>
    <row r="17" spans="2:3" x14ac:dyDescent="0.25">
      <c r="B17" s="1" t="s">
        <v>23</v>
      </c>
      <c r="C17" s="2" t="s">
        <v>24</v>
      </c>
    </row>
    <row r="18" spans="2:3" x14ac:dyDescent="0.25">
      <c r="B18" s="1" t="s">
        <v>25</v>
      </c>
      <c r="C18" s="2" t="s">
        <v>26</v>
      </c>
    </row>
  </sheetData>
  <mergeCells count="3">
    <mergeCell ref="B1:C1"/>
    <mergeCell ref="B3:C3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9"/>
  <sheetViews>
    <sheetView showGridLines="0" topLeftCell="E4" zoomScale="165" zoomScaleNormal="100" workbookViewId="0">
      <selection activeCell="L19" sqref="L19"/>
    </sheetView>
  </sheetViews>
  <sheetFormatPr defaultColWidth="8.7109375" defaultRowHeight="15" x14ac:dyDescent="0.25"/>
  <cols>
    <col min="1" max="1" width="2" customWidth="1"/>
    <col min="2" max="2" width="32" customWidth="1"/>
    <col min="3" max="3" width="14.28515625" bestFit="1" customWidth="1"/>
    <col min="4" max="6" width="12.7109375" bestFit="1" customWidth="1"/>
    <col min="7" max="7" width="12.85546875" bestFit="1" customWidth="1"/>
    <col min="8" max="8" width="12.7109375" bestFit="1" customWidth="1"/>
    <col min="9" max="9" width="11.140625" bestFit="1" customWidth="1"/>
    <col min="10" max="11" width="11.28515625" bestFit="1" customWidth="1"/>
    <col min="12" max="13" width="11.140625" bestFit="1" customWidth="1"/>
    <col min="14" max="14" width="9.85546875" bestFit="1" customWidth="1"/>
    <col min="15" max="15" width="8.42578125" bestFit="1" customWidth="1"/>
    <col min="16" max="16" width="9.7109375" bestFit="1" customWidth="1"/>
    <col min="17" max="17" width="8.28515625" bestFit="1" customWidth="1"/>
    <col min="18" max="18" width="10.28515625" bestFit="1" customWidth="1"/>
    <col min="19" max="19" width="8.85546875" bestFit="1" customWidth="1"/>
    <col min="20" max="20" width="10" bestFit="1" customWidth="1"/>
    <col min="22" max="22" width="10.140625" bestFit="1" customWidth="1"/>
    <col min="24" max="24" width="10.140625" bestFit="1" customWidth="1"/>
    <col min="25" max="25" width="8.85546875" bestFit="1" customWidth="1"/>
    <col min="26" max="26" width="10" bestFit="1" customWidth="1"/>
  </cols>
  <sheetData>
    <row r="1" spans="2:27" ht="16.5" x14ac:dyDescent="0.25">
      <c r="B1" s="20" t="s">
        <v>27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3" spans="2:27" x14ac:dyDescent="0.25">
      <c r="B3" s="207" t="s">
        <v>28</v>
      </c>
      <c r="C3" s="207"/>
      <c r="D3" s="17" t="s">
        <v>29</v>
      </c>
      <c r="E3" s="17"/>
      <c r="F3" s="17" t="s">
        <v>30</v>
      </c>
      <c r="G3" s="17"/>
      <c r="H3" s="17" t="s">
        <v>31</v>
      </c>
      <c r="I3" s="17"/>
      <c r="J3" s="17" t="s">
        <v>32</v>
      </c>
      <c r="K3" s="17"/>
      <c r="L3" s="17" t="s">
        <v>33</v>
      </c>
      <c r="M3" s="17"/>
      <c r="N3" s="17" t="s">
        <v>34</v>
      </c>
      <c r="O3" s="17"/>
      <c r="P3" s="17" t="s">
        <v>35</v>
      </c>
      <c r="Q3" s="17"/>
      <c r="R3" s="17" t="s">
        <v>36</v>
      </c>
      <c r="S3" s="17"/>
      <c r="T3" s="17" t="s">
        <v>37</v>
      </c>
      <c r="U3" s="17"/>
      <c r="V3" s="17" t="s">
        <v>38</v>
      </c>
      <c r="W3" s="17"/>
      <c r="X3" s="17" t="s">
        <v>39</v>
      </c>
      <c r="Y3" s="17"/>
      <c r="Z3" s="17" t="s">
        <v>40</v>
      </c>
      <c r="AA3" s="17"/>
    </row>
    <row r="4" spans="2:27" ht="25.5" x14ac:dyDescent="0.25">
      <c r="B4" s="3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52</v>
      </c>
      <c r="N4" s="4" t="s">
        <v>53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65</v>
      </c>
      <c r="AA4" s="4" t="s">
        <v>66</v>
      </c>
    </row>
    <row r="5" spans="2:27" x14ac:dyDescent="0.25">
      <c r="B5" s="5" t="s">
        <v>67</v>
      </c>
      <c r="C5" s="6" t="s">
        <v>68</v>
      </c>
      <c r="D5" s="7">
        <v>341958382</v>
      </c>
      <c r="E5" s="7">
        <v>50089195</v>
      </c>
      <c r="F5" s="7">
        <v>321645623</v>
      </c>
      <c r="G5" s="7">
        <v>42789365</v>
      </c>
      <c r="H5" s="7">
        <v>317433802</v>
      </c>
      <c r="I5" s="7">
        <v>49588709</v>
      </c>
      <c r="J5" s="7">
        <v>396683478.3262167</v>
      </c>
      <c r="K5" s="7">
        <v>49588709</v>
      </c>
      <c r="L5" s="7">
        <v>416683478</v>
      </c>
      <c r="M5" s="7">
        <v>68270401.220654309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</row>
    <row r="6" spans="2:27" x14ac:dyDescent="0.25">
      <c r="B6" s="139" t="s">
        <v>69</v>
      </c>
      <c r="C6" s="140" t="s">
        <v>70</v>
      </c>
      <c r="D6" s="141">
        <v>1058997546</v>
      </c>
      <c r="E6" s="141">
        <v>173866062</v>
      </c>
      <c r="F6" s="141">
        <v>1018372028</v>
      </c>
      <c r="G6" s="141">
        <v>159266402</v>
      </c>
      <c r="H6" s="141">
        <v>1009948386</v>
      </c>
      <c r="I6" s="141">
        <v>172865092</v>
      </c>
      <c r="J6" s="141">
        <v>535182371</v>
      </c>
      <c r="K6" s="141">
        <v>172865092</v>
      </c>
      <c r="L6" s="7">
        <v>555182371</v>
      </c>
      <c r="M6" s="7">
        <v>191546784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</row>
    <row r="7" spans="2:27" x14ac:dyDescent="0.25">
      <c r="B7" s="145" t="s">
        <v>176</v>
      </c>
      <c r="C7" s="146" t="s">
        <v>177</v>
      </c>
      <c r="D7" s="147">
        <v>241473268</v>
      </c>
      <c r="E7" s="147">
        <v>0</v>
      </c>
      <c r="F7" s="147">
        <v>0</v>
      </c>
      <c r="G7" s="147">
        <v>0</v>
      </c>
      <c r="H7" s="147">
        <v>0</v>
      </c>
      <c r="I7" s="147">
        <v>0</v>
      </c>
      <c r="J7" s="147">
        <v>241473268</v>
      </c>
      <c r="K7" s="147">
        <v>0</v>
      </c>
      <c r="L7" s="138">
        <v>241473268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2:27" x14ac:dyDescent="0.25">
      <c r="B8" s="142" t="s">
        <v>71</v>
      </c>
      <c r="C8" s="143" t="s">
        <v>72</v>
      </c>
      <c r="D8" s="144">
        <v>491334077</v>
      </c>
      <c r="E8" s="144">
        <v>28700620</v>
      </c>
      <c r="F8" s="144">
        <v>471021318</v>
      </c>
      <c r="G8" s="144">
        <v>21400790</v>
      </c>
      <c r="H8" s="144">
        <v>466809497</v>
      </c>
      <c r="I8" s="144">
        <v>28200135</v>
      </c>
      <c r="J8" s="144">
        <v>590712471.92289722</v>
      </c>
      <c r="K8" s="144">
        <v>28200135</v>
      </c>
      <c r="L8" s="7">
        <v>610712472</v>
      </c>
      <c r="M8" s="7">
        <v>46881826.81733489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</row>
    <row r="9" spans="2:27" x14ac:dyDescent="0.25">
      <c r="B9" s="5" t="s">
        <v>73</v>
      </c>
      <c r="C9" s="6" t="s">
        <v>74</v>
      </c>
      <c r="D9" s="7">
        <v>475292301</v>
      </c>
      <c r="E9" s="7">
        <v>74028954</v>
      </c>
      <c r="F9" s="7">
        <v>454979542</v>
      </c>
      <c r="G9" s="7">
        <v>66729124</v>
      </c>
      <c r="H9" s="7">
        <v>450767722</v>
      </c>
      <c r="I9" s="7">
        <v>73528469</v>
      </c>
      <c r="J9" s="7">
        <v>395063284.19152415</v>
      </c>
      <c r="K9" s="7">
        <v>73528469</v>
      </c>
      <c r="L9" s="7">
        <v>405063284</v>
      </c>
      <c r="M9" s="7">
        <v>82869315.191524148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</row>
    <row r="10" spans="2:27" x14ac:dyDescent="0.25">
      <c r="B10" s="5" t="s">
        <v>75</v>
      </c>
      <c r="C10" s="6" t="s">
        <v>74</v>
      </c>
      <c r="D10" s="7">
        <v>519152974</v>
      </c>
      <c r="E10" s="7">
        <v>72399034</v>
      </c>
      <c r="F10" s="7">
        <v>498840215</v>
      </c>
      <c r="G10" s="7">
        <v>65099204</v>
      </c>
      <c r="H10" s="7">
        <v>494628394</v>
      </c>
      <c r="I10" s="7">
        <v>71898548</v>
      </c>
      <c r="J10" s="7">
        <v>463918832.1226536</v>
      </c>
      <c r="K10" s="7">
        <v>71898548</v>
      </c>
      <c r="L10" s="7">
        <v>473918832</v>
      </c>
      <c r="M10" s="7">
        <v>81239394.122653604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</row>
    <row r="11" spans="2:27" x14ac:dyDescent="0.25">
      <c r="B11" s="5" t="s">
        <v>76</v>
      </c>
      <c r="C11" s="6" t="s">
        <v>77</v>
      </c>
      <c r="D11" s="7">
        <v>919556575</v>
      </c>
      <c r="E11" s="7">
        <v>73747369</v>
      </c>
      <c r="F11" s="7">
        <v>899243816</v>
      </c>
      <c r="G11" s="7">
        <v>66447539</v>
      </c>
      <c r="H11" s="7">
        <v>895031995</v>
      </c>
      <c r="I11" s="7">
        <v>73246884</v>
      </c>
      <c r="J11" s="7">
        <v>941758345.44471872</v>
      </c>
      <c r="K11" s="7">
        <v>73246884</v>
      </c>
      <c r="L11" s="7">
        <v>961758345</v>
      </c>
      <c r="M11" s="7">
        <v>91928576.339156389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</row>
    <row r="12" spans="2:27" x14ac:dyDescent="0.25">
      <c r="B12" s="139" t="s">
        <v>78</v>
      </c>
      <c r="C12" s="140" t="s">
        <v>79</v>
      </c>
      <c r="D12" s="141">
        <v>988070138</v>
      </c>
      <c r="E12" s="141">
        <v>45600197</v>
      </c>
      <c r="F12" s="141">
        <v>967757378</v>
      </c>
      <c r="G12" s="141">
        <v>38300367</v>
      </c>
      <c r="H12" s="141">
        <v>963545558</v>
      </c>
      <c r="I12" s="141">
        <v>45099712</v>
      </c>
      <c r="J12" s="141">
        <v>485287059</v>
      </c>
      <c r="K12" s="141">
        <v>45099712</v>
      </c>
      <c r="L12" s="7">
        <v>505287059</v>
      </c>
      <c r="M12" s="7">
        <v>63781404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</row>
    <row r="13" spans="2:27" x14ac:dyDescent="0.25">
      <c r="B13" s="145" t="s">
        <v>176</v>
      </c>
      <c r="C13" s="146" t="s">
        <v>178</v>
      </c>
      <c r="D13" s="147">
        <v>404133664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404133664</v>
      </c>
      <c r="K13" s="147">
        <v>0</v>
      </c>
      <c r="L13" s="138">
        <v>404133664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2:27" x14ac:dyDescent="0.25">
      <c r="B14" s="142" t="s">
        <v>80</v>
      </c>
      <c r="C14" s="143" t="s">
        <v>81</v>
      </c>
      <c r="D14" s="144">
        <v>479914486</v>
      </c>
      <c r="E14" s="144">
        <v>120283183</v>
      </c>
      <c r="F14" s="144">
        <v>459601727</v>
      </c>
      <c r="G14" s="144">
        <v>112983353</v>
      </c>
      <c r="H14" s="144">
        <v>455389906</v>
      </c>
      <c r="I14" s="144">
        <v>119782698</v>
      </c>
      <c r="J14" s="144">
        <v>384017309.32355773</v>
      </c>
      <c r="K14" s="144">
        <v>119782698</v>
      </c>
      <c r="L14" s="7">
        <v>404017309</v>
      </c>
      <c r="M14" s="7">
        <v>138464390.21799541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</row>
    <row r="15" spans="2:27" x14ac:dyDescent="0.25">
      <c r="B15" s="5" t="s">
        <v>82</v>
      </c>
      <c r="C15" s="6" t="s">
        <v>83</v>
      </c>
      <c r="D15" s="7">
        <v>564064928</v>
      </c>
      <c r="E15" s="7">
        <v>40560395</v>
      </c>
      <c r="F15" s="7">
        <v>543752169</v>
      </c>
      <c r="G15" s="7">
        <v>33260564</v>
      </c>
      <c r="H15" s="7">
        <v>539540348</v>
      </c>
      <c r="I15" s="7">
        <v>40059909</v>
      </c>
      <c r="J15" s="7">
        <v>611629595.7161876</v>
      </c>
      <c r="K15" s="7">
        <v>40059909</v>
      </c>
      <c r="L15" s="7">
        <v>631629596</v>
      </c>
      <c r="M15" s="7">
        <v>58741600.610625267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</row>
    <row r="16" spans="2:27" ht="25.5" x14ac:dyDescent="0.25">
      <c r="B16" s="5" t="s">
        <v>84</v>
      </c>
      <c r="C16" s="6" t="s">
        <v>85</v>
      </c>
      <c r="D16" s="7">
        <v>365124134</v>
      </c>
      <c r="E16" s="7">
        <v>45582949</v>
      </c>
      <c r="F16" s="7">
        <v>344811375</v>
      </c>
      <c r="G16" s="7">
        <v>38283119</v>
      </c>
      <c r="H16" s="7">
        <v>340599555</v>
      </c>
      <c r="I16" s="7">
        <v>45082463</v>
      </c>
      <c r="J16" s="7">
        <v>366543022.9053762</v>
      </c>
      <c r="K16" s="7">
        <v>45082463</v>
      </c>
      <c r="L16" s="7">
        <v>386543023</v>
      </c>
      <c r="M16" s="7">
        <v>63764154.799813807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</row>
    <row r="17" spans="2:27" x14ac:dyDescent="0.25">
      <c r="B17" s="5" t="s">
        <v>86</v>
      </c>
      <c r="C17" s="6" t="s">
        <v>87</v>
      </c>
      <c r="D17" s="7">
        <v>533473768</v>
      </c>
      <c r="E17" s="7">
        <v>311625739</v>
      </c>
      <c r="F17" s="7">
        <v>513161009</v>
      </c>
      <c r="G17" s="7">
        <v>304325909</v>
      </c>
      <c r="H17" s="7">
        <v>508949188</v>
      </c>
      <c r="I17" s="7">
        <v>311125253</v>
      </c>
      <c r="J17" s="7">
        <v>563350942.09827971</v>
      </c>
      <c r="K17" s="7">
        <v>311125253</v>
      </c>
      <c r="L17" s="7">
        <v>583350942</v>
      </c>
      <c r="M17" s="7">
        <v>329806944.99271739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</row>
    <row r="18" spans="2:27" x14ac:dyDescent="0.25">
      <c r="B18" s="5" t="s">
        <v>88</v>
      </c>
      <c r="C18" s="6" t="s">
        <v>89</v>
      </c>
      <c r="D18" s="7">
        <v>332561215</v>
      </c>
      <c r="E18" s="7">
        <v>240289310</v>
      </c>
      <c r="F18" s="7">
        <v>291935697</v>
      </c>
      <c r="G18" s="7">
        <v>225689650</v>
      </c>
      <c r="H18" s="7">
        <v>283512056</v>
      </c>
      <c r="I18" s="7">
        <v>239288340</v>
      </c>
      <c r="J18" s="7">
        <v>239525689.01344877</v>
      </c>
      <c r="K18" s="7">
        <v>239288340</v>
      </c>
      <c r="L18" s="7">
        <v>259525689</v>
      </c>
      <c r="M18" s="7">
        <v>257970031.90788639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</row>
    <row r="20" spans="2:27" x14ac:dyDescent="0.25">
      <c r="B20" s="19" t="s">
        <v>90</v>
      </c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2:27" x14ac:dyDescent="0.25">
      <c r="B21" s="3" t="s">
        <v>91</v>
      </c>
      <c r="C21" s="3" t="s">
        <v>42</v>
      </c>
      <c r="D21" s="4" t="s">
        <v>29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37</v>
      </c>
      <c r="M21" s="4" t="s">
        <v>38</v>
      </c>
      <c r="N21" s="4" t="s">
        <v>39</v>
      </c>
      <c r="O21" s="4" t="s">
        <v>40</v>
      </c>
    </row>
    <row r="22" spans="2:27" x14ac:dyDescent="0.25">
      <c r="B22" s="5" t="s">
        <v>92</v>
      </c>
      <c r="C22" s="6" t="s">
        <v>93</v>
      </c>
      <c r="D22" s="7">
        <v>333545989</v>
      </c>
      <c r="E22" s="7">
        <v>332600635</v>
      </c>
      <c r="F22" s="7">
        <v>323873505</v>
      </c>
      <c r="G22" s="7">
        <v>279391895.3166402</v>
      </c>
      <c r="H22" s="7">
        <v>278064617.90420955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</row>
    <row r="23" spans="2:27" x14ac:dyDescent="0.25">
      <c r="B23" s="5" t="s">
        <v>94</v>
      </c>
      <c r="C23" s="6" t="s">
        <v>95</v>
      </c>
      <c r="D23" s="7">
        <v>439764978</v>
      </c>
      <c r="E23" s="7">
        <v>467649702</v>
      </c>
      <c r="F23" s="7">
        <v>455379010</v>
      </c>
      <c r="G23" s="7">
        <v>419611959.16831887</v>
      </c>
      <c r="H23" s="7">
        <v>417618553.18652159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</row>
    <row r="24" spans="2:27" x14ac:dyDescent="0.25">
      <c r="B24" s="5" t="s">
        <v>96</v>
      </c>
      <c r="C24" s="6" t="s">
        <v>97</v>
      </c>
      <c r="D24" s="7">
        <v>403437384</v>
      </c>
      <c r="E24" s="7">
        <v>1016486951</v>
      </c>
      <c r="F24" s="7">
        <v>989815282</v>
      </c>
      <c r="G24" s="7">
        <v>1092485507.2171693</v>
      </c>
      <c r="H24" s="7">
        <v>1087295552.3135247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</row>
    <row r="25" spans="2:27" x14ac:dyDescent="0.25">
      <c r="B25" s="5" t="s">
        <v>98</v>
      </c>
      <c r="C25" s="6" t="s">
        <v>99</v>
      </c>
      <c r="D25" s="7">
        <v>490272925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</row>
    <row r="26" spans="2:27" x14ac:dyDescent="0.25">
      <c r="B26" s="5" t="s">
        <v>100</v>
      </c>
      <c r="C26" s="6" t="s">
        <v>101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</row>
    <row r="29" spans="2:27" x14ac:dyDescent="0.25">
      <c r="B29" s="209" t="s">
        <v>102</v>
      </c>
      <c r="C29" s="209"/>
      <c r="D29" s="209"/>
      <c r="E29" s="209"/>
      <c r="F29" s="209"/>
    </row>
  </sheetData>
  <mergeCells count="2">
    <mergeCell ref="B3:C3"/>
    <mergeCell ref="B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Normal="100" workbookViewId="0">
      <selection activeCell="C3" sqref="C3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6" width="12.7109375" bestFit="1" customWidth="1"/>
    <col min="7" max="7" width="13.7109375" bestFit="1" customWidth="1"/>
    <col min="8" max="8" width="9" bestFit="1" customWidth="1"/>
    <col min="9" max="9" width="4.85546875" bestFit="1" customWidth="1"/>
    <col min="10" max="10" width="3.42578125" bestFit="1" customWidth="1"/>
    <col min="11" max="13" width="12.7109375" bestFit="1" customWidth="1"/>
    <col min="14" max="14" width="8.140625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f ca="1">MAX(0,NETWORKDAYS.INTL(MAX(TODAY(),DATE(YEAR(TODAY()),1,1)),EOMONTH(DATE(YEAR(TODAY()),1,1),0),11))</f>
        <v>0</v>
      </c>
      <c r="D3" s="79" t="s">
        <v>104</v>
      </c>
      <c r="E3" s="80">
        <f ca="1">DAY(EOMONTH(DATE(YEAR(TODAY()),1,1),0))</f>
        <v>31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SUM(TARGETS!D5:D18)</f>
        <v>7715107456</v>
      </c>
      <c r="E41" s="46">
        <f>P8+P9+P10+P11+P12+P13+P14+P15+P16+P17+P18+P19</f>
        <v>0</v>
      </c>
      <c r="F41" s="98">
        <f>IFERROR(E41/D41,0)</f>
        <v>0</v>
      </c>
      <c r="G41" s="42">
        <f>D41-E41</f>
        <v>7715107456</v>
      </c>
      <c r="H41" s="42">
        <f ca="1"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SUM(TARGETS!E5:E18)</f>
        <v>1276773007</v>
      </c>
      <c r="E42" s="46">
        <f>Q8+Q9+Q10+Q11+Q12+Q13+Q14+Q15+Q16+Q17+Q18+Q19</f>
        <v>0</v>
      </c>
      <c r="F42" s="98">
        <f>IFERROR(E42/D42,0)</f>
        <v>0</v>
      </c>
      <c r="G42" s="42">
        <f>D42-E42</f>
        <v>1276773007</v>
      </c>
      <c r="H42" s="42">
        <f ca="1"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SUM(TARGETS!D22:D26)</f>
        <v>1667021276</v>
      </c>
      <c r="E43" s="46">
        <f>IFERROR(C30,0)+IFERROR(C31,0)+P21+E9</f>
        <v>0</v>
      </c>
      <c r="F43" s="98">
        <f>IFERROR(E43/D43,0)</f>
        <v>0</v>
      </c>
      <c r="G43" s="42">
        <f>D43-E43</f>
        <v>1667021276</v>
      </c>
      <c r="H43" s="42">
        <f ca="1">IFERROR(G43/C3,0)</f>
        <v>0</v>
      </c>
    </row>
    <row r="44" spans="2:14" x14ac:dyDescent="0.25">
      <c r="B44" s="211" t="s">
        <v>146</v>
      </c>
      <c r="C44" s="212"/>
      <c r="D44" s="47">
        <f>D41+D42+D43</f>
        <v>10658901739</v>
      </c>
      <c r="E44" s="47">
        <f>E41+E42+E43</f>
        <v>0</v>
      </c>
      <c r="F44" s="99">
        <f>IFERROR(E44/D44,0)</f>
        <v>0</v>
      </c>
      <c r="G44" s="65">
        <f>G41+G42+G43</f>
        <v>10658901739</v>
      </c>
      <c r="H44" s="65">
        <f ca="1"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3" t="s">
        <v>41</v>
      </c>
      <c r="C47" s="213" t="s">
        <v>42</v>
      </c>
      <c r="D47" s="214" t="s">
        <v>138</v>
      </c>
      <c r="E47" s="215"/>
      <c r="F47" s="216"/>
      <c r="G47" s="101" t="s">
        <v>139</v>
      </c>
      <c r="H47" s="101"/>
      <c r="I47" s="101"/>
      <c r="J47" s="213" t="s">
        <v>140</v>
      </c>
      <c r="K47" s="102" t="s">
        <v>148</v>
      </c>
      <c r="L47" s="102"/>
      <c r="M47" s="102"/>
      <c r="N47" s="210" t="s">
        <v>149</v>
      </c>
    </row>
    <row r="48" spans="2:14" ht="15.75" x14ac:dyDescent="0.25">
      <c r="B48" s="213"/>
      <c r="C48" s="213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3"/>
      <c r="K48" s="104" t="s">
        <v>143</v>
      </c>
      <c r="L48" s="104" t="s">
        <v>111</v>
      </c>
      <c r="M48" s="104" t="s">
        <v>146</v>
      </c>
      <c r="N48" s="210"/>
    </row>
    <row r="49" spans="2:14" x14ac:dyDescent="0.25">
      <c r="B49" s="50" t="s">
        <v>67</v>
      </c>
      <c r="C49" s="50" t="s">
        <v>68</v>
      </c>
      <c r="D49" s="51">
        <f>TARGETS!D5</f>
        <v>341958382</v>
      </c>
      <c r="E49" s="51">
        <f>TARGETS!E5</f>
        <v>50089195</v>
      </c>
      <c r="F49" s="51">
        <f t="shared" ref="F49:F60" si="0">D49+E49</f>
        <v>392047577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341958382</v>
      </c>
      <c r="L49" s="26">
        <f t="shared" si="5"/>
        <v>50089195</v>
      </c>
      <c r="M49" s="26">
        <f t="shared" si="5"/>
        <v>392047577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TARGETS!D6</f>
        <v>1058997546</v>
      </c>
      <c r="E50" s="51">
        <f>TARGETS!E6</f>
        <v>173866062</v>
      </c>
      <c r="F50" s="54">
        <f t="shared" si="0"/>
        <v>1232863608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1058997546</v>
      </c>
      <c r="L50" s="28">
        <f t="shared" si="5"/>
        <v>173866062</v>
      </c>
      <c r="M50" s="28">
        <f t="shared" si="5"/>
        <v>1232863608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TARGETS!D8</f>
        <v>491334077</v>
      </c>
      <c r="E51" s="51">
        <f>TARGETS!E8</f>
        <v>28700620</v>
      </c>
      <c r="F51" s="51">
        <f t="shared" si="0"/>
        <v>520034697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491334077</v>
      </c>
      <c r="L51" s="26">
        <f t="shared" si="5"/>
        <v>28700620</v>
      </c>
      <c r="M51" s="26">
        <f t="shared" si="5"/>
        <v>520034697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TARGETS!D9</f>
        <v>475292301</v>
      </c>
      <c r="E52" s="51">
        <f>TARGETS!E9</f>
        <v>74028954</v>
      </c>
      <c r="F52" s="54">
        <f t="shared" si="0"/>
        <v>549321255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475292301</v>
      </c>
      <c r="L52" s="28">
        <f t="shared" si="5"/>
        <v>74028954</v>
      </c>
      <c r="M52" s="28">
        <f t="shared" si="5"/>
        <v>549321255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TARGETS!D10</f>
        <v>519152974</v>
      </c>
      <c r="E53" s="51">
        <f>TARGETS!E10</f>
        <v>72399034</v>
      </c>
      <c r="F53" s="51">
        <f t="shared" si="0"/>
        <v>591552008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519152974</v>
      </c>
      <c r="L53" s="26">
        <f t="shared" si="5"/>
        <v>72399034</v>
      </c>
      <c r="M53" s="26">
        <f t="shared" si="5"/>
        <v>591552008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TARGETS!D11</f>
        <v>919556575</v>
      </c>
      <c r="E54" s="51">
        <f>TARGETS!E11</f>
        <v>73747369</v>
      </c>
      <c r="F54" s="54">
        <f t="shared" si="0"/>
        <v>993303944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919556575</v>
      </c>
      <c r="L54" s="28">
        <f t="shared" si="5"/>
        <v>73747369</v>
      </c>
      <c r="M54" s="28">
        <f t="shared" si="5"/>
        <v>993303944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TARGETS!D12</f>
        <v>988070138</v>
      </c>
      <c r="E55" s="51">
        <f>TARGETS!E12</f>
        <v>45600197</v>
      </c>
      <c r="F55" s="51">
        <f t="shared" si="0"/>
        <v>1033670335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988070138</v>
      </c>
      <c r="L55" s="26">
        <f t="shared" si="5"/>
        <v>45600197</v>
      </c>
      <c r="M55" s="26">
        <f t="shared" si="5"/>
        <v>1033670335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TARGETS!D14</f>
        <v>479914486</v>
      </c>
      <c r="E56" s="51">
        <f>TARGETS!E14</f>
        <v>120283183</v>
      </c>
      <c r="F56" s="54">
        <f t="shared" si="0"/>
        <v>600197669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479914486</v>
      </c>
      <c r="L56" s="28">
        <f t="shared" si="5"/>
        <v>120283183</v>
      </c>
      <c r="M56" s="28">
        <f t="shared" si="5"/>
        <v>600197669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TARGETS!D15</f>
        <v>564064928</v>
      </c>
      <c r="E57" s="51">
        <f>TARGETS!E15</f>
        <v>40560395</v>
      </c>
      <c r="F57" s="51">
        <f t="shared" si="0"/>
        <v>604625323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564064928</v>
      </c>
      <c r="L57" s="26">
        <f t="shared" si="5"/>
        <v>40560395</v>
      </c>
      <c r="M57" s="26">
        <f t="shared" si="5"/>
        <v>604625323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TARGETS!D16</f>
        <v>365124134</v>
      </c>
      <c r="E58" s="51">
        <f>TARGETS!E16</f>
        <v>45582949</v>
      </c>
      <c r="F58" s="54">
        <f t="shared" si="0"/>
        <v>410707083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365124134</v>
      </c>
      <c r="L58" s="28">
        <f t="shared" si="5"/>
        <v>45582949</v>
      </c>
      <c r="M58" s="28">
        <f t="shared" si="5"/>
        <v>410707083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TARGETS!D17</f>
        <v>533473768</v>
      </c>
      <c r="E59" s="51">
        <f>TARGETS!E17</f>
        <v>311625739</v>
      </c>
      <c r="F59" s="51">
        <f t="shared" si="0"/>
        <v>845099507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533473768</v>
      </c>
      <c r="L59" s="26">
        <f t="shared" si="5"/>
        <v>311625739</v>
      </c>
      <c r="M59" s="26">
        <f t="shared" si="5"/>
        <v>845099507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TARGETS!D18</f>
        <v>332561215</v>
      </c>
      <c r="E60" s="51">
        <f>TARGETS!E18</f>
        <v>240289310</v>
      </c>
      <c r="F60" s="54">
        <f t="shared" si="0"/>
        <v>572850525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332561215</v>
      </c>
      <c r="L60" s="28">
        <f t="shared" si="5"/>
        <v>240289310</v>
      </c>
      <c r="M60" s="28">
        <f t="shared" si="5"/>
        <v>572850525</v>
      </c>
      <c r="N60" s="28">
        <f ca="1"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7069500524</v>
      </c>
      <c r="E61" s="36">
        <f t="shared" si="6"/>
        <v>1276773007</v>
      </c>
      <c r="F61" s="36">
        <f t="shared" si="6"/>
        <v>8346273531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7069500524</v>
      </c>
      <c r="L61" s="65">
        <f>SUM(L49:L60)</f>
        <v>1276773007</v>
      </c>
      <c r="M61" s="65">
        <f>SUM(M49:M60)</f>
        <v>8346273531</v>
      </c>
      <c r="N61" s="66">
        <f ca="1"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TARGETS!D22</f>
        <v>333545989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333545989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TARGETS!D23</f>
        <v>439764978</v>
      </c>
      <c r="E66" s="52">
        <f>IFERROR(C31,0)</f>
        <v>0</v>
      </c>
      <c r="F66" s="105">
        <f t="shared" si="7"/>
        <v>0</v>
      </c>
      <c r="G66" s="28">
        <f>D66-E66</f>
        <v>439764978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TARGETS!D24</f>
        <v>403437384</v>
      </c>
      <c r="E67" s="52">
        <f>P21+P7</f>
        <v>0</v>
      </c>
      <c r="F67" s="105">
        <f t="shared" si="7"/>
        <v>0</v>
      </c>
      <c r="G67" s="26">
        <f>D67-E67</f>
        <v>403437384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TARGETS!D25</f>
        <v>490272925</v>
      </c>
      <c r="E68" s="52">
        <f>0</f>
        <v>0</v>
      </c>
      <c r="F68" s="105">
        <f t="shared" si="7"/>
        <v>0</v>
      </c>
      <c r="G68" s="28">
        <f>D68-E68</f>
        <v>490272925</v>
      </c>
      <c r="H68" s="28">
        <f ca="1"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TARGETS!D26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10" t="s">
        <v>152</v>
      </c>
      <c r="C70" s="58"/>
      <c r="D70" s="36">
        <f>SUM(D65:D69)</f>
        <v>1667021276</v>
      </c>
      <c r="E70" s="36">
        <f>SUM(E65:E69)</f>
        <v>0</v>
      </c>
      <c r="F70" s="111">
        <f t="shared" si="7"/>
        <v>0</v>
      </c>
      <c r="G70" s="36">
        <f>SUM(G65:G69)</f>
        <v>1667021276</v>
      </c>
      <c r="H70" s="32">
        <f ca="1"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44" priority="1">
      <formula>F41&gt;=$F$40</formula>
    </cfRule>
  </conditionalFormatting>
  <conditionalFormatting sqref="F41:F43">
    <cfRule type="expression" dxfId="43" priority="2">
      <formula>AND(F41&gt;=$F$40-0.2,F41&lt;$F$40)</formula>
    </cfRule>
    <cfRule type="expression" dxfId="42" priority="3">
      <formula>F41&lt;$F$40-0.2</formula>
    </cfRule>
  </conditionalFormatting>
  <conditionalFormatting sqref="J49:J60">
    <cfRule type="expression" dxfId="41" priority="4">
      <formula>J49&gt;=$F$40-0.05</formula>
    </cfRule>
    <cfRule type="expression" dxfId="40" priority="5">
      <formula>AND(J49&gt;=$F$40-0.2,J49&lt;$F$40-0.05)</formula>
    </cfRule>
    <cfRule type="expression" dxfId="39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85" zoomScaleNormal="100" workbookViewId="0">
      <selection activeCell="D35" sqref="D35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4.140625" bestFit="1" customWidth="1"/>
    <col min="4" max="4" width="38.28515625" bestFit="1" customWidth="1"/>
    <col min="5" max="7" width="12.7109375" bestFit="1" customWidth="1"/>
    <col min="8" max="8" width="9.140625" bestFit="1" customWidth="1"/>
    <col min="9" max="9" width="5.28515625" bestFit="1" customWidth="1"/>
    <col min="10" max="10" width="3.7109375" bestFit="1" customWidth="1"/>
    <col min="11" max="13" width="12.7109375" bestFit="1" customWidth="1"/>
    <col min="14" max="14" width="8.28515625" bestFit="1" customWidth="1"/>
    <col min="16" max="16" width="14.140625" bestFit="1" customWidth="1"/>
    <col min="17" max="17" width="13.28515625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f ca="1">MAX(0,NETWORKDAYS.INTL(MAX(TODAY(),DATE(YEAR(TODAY()),2,1)),EOMONTH(DATE(YEAR(TODAY()),2,1),0),11))</f>
        <v>0</v>
      </c>
      <c r="D3" s="79" t="s">
        <v>104</v>
      </c>
      <c r="E3" s="80">
        <f ca="1">DAY(EOMONTH(DATE(YEAR(TODAY()),2,1),0))</f>
        <v>28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SUM(TARGETS!F5:F18)</f>
        <v>6785121897</v>
      </c>
      <c r="E41" s="46">
        <f>P8+P9+P10+P11+P12+P13+P14+P15+P16+P17+P18+P19</f>
        <v>0</v>
      </c>
      <c r="F41" s="98">
        <f>IFERROR(E41/D41,0)</f>
        <v>0</v>
      </c>
      <c r="G41" s="42">
        <f>D41-E41</f>
        <v>6785121897</v>
      </c>
      <c r="H41" s="42">
        <f ca="1"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SUM(TARGETS!G5:G18)</f>
        <v>1174575386</v>
      </c>
      <c r="E42" s="46">
        <f>Q8+Q9+Q10+Q11+Q12+Q13+Q14+Q15+Q16+Q17+Q18+Q19</f>
        <v>0</v>
      </c>
      <c r="F42" s="98">
        <f>IFERROR(E42/D42,0)</f>
        <v>0</v>
      </c>
      <c r="G42" s="42">
        <f>D42-E42</f>
        <v>1174575386</v>
      </c>
      <c r="H42" s="42">
        <f ca="1"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SUM(TARGETS!E22:E26)</f>
        <v>1816737288</v>
      </c>
      <c r="E43" s="46">
        <f>IFERROR(C30,0)+IFERROR(C31,0)+P21+E9</f>
        <v>0</v>
      </c>
      <c r="F43" s="98">
        <f>IFERROR(E43/D43,0)</f>
        <v>0</v>
      </c>
      <c r="G43" s="42">
        <f>D43-E43</f>
        <v>1816737288</v>
      </c>
      <c r="H43" s="42">
        <f ca="1">IFERROR(G43/C3,0)</f>
        <v>0</v>
      </c>
    </row>
    <row r="44" spans="2:14" x14ac:dyDescent="0.25">
      <c r="B44" s="211" t="s">
        <v>146</v>
      </c>
      <c r="C44" s="212"/>
      <c r="D44" s="47">
        <f>D41+D42+D43</f>
        <v>9776434571</v>
      </c>
      <c r="E44" s="47">
        <f>E41+E42+E43</f>
        <v>0</v>
      </c>
      <c r="F44" s="99">
        <f>IFERROR(E44/D44,0)</f>
        <v>0</v>
      </c>
      <c r="G44" s="65">
        <f>G41+G42+G43</f>
        <v>9776434571</v>
      </c>
      <c r="H44" s="65">
        <f ca="1"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3" t="s">
        <v>41</v>
      </c>
      <c r="C47" s="213" t="s">
        <v>42</v>
      </c>
      <c r="D47" s="214" t="s">
        <v>138</v>
      </c>
      <c r="E47" s="215"/>
      <c r="F47" s="216"/>
      <c r="G47" s="101" t="s">
        <v>139</v>
      </c>
      <c r="H47" s="101"/>
      <c r="I47" s="101"/>
      <c r="J47" s="213" t="s">
        <v>140</v>
      </c>
      <c r="K47" s="102" t="s">
        <v>148</v>
      </c>
      <c r="L47" s="102"/>
      <c r="M47" s="102"/>
      <c r="N47" s="210" t="s">
        <v>149</v>
      </c>
    </row>
    <row r="48" spans="2:14" ht="15.75" x14ac:dyDescent="0.25">
      <c r="B48" s="213"/>
      <c r="C48" s="213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3"/>
      <c r="K48" s="104" t="s">
        <v>143</v>
      </c>
      <c r="L48" s="104" t="s">
        <v>111</v>
      </c>
      <c r="M48" s="104" t="s">
        <v>146</v>
      </c>
      <c r="N48" s="210"/>
    </row>
    <row r="49" spans="2:14" x14ac:dyDescent="0.25">
      <c r="B49" s="50" t="s">
        <v>67</v>
      </c>
      <c r="C49" s="50" t="s">
        <v>68</v>
      </c>
      <c r="D49" s="51">
        <f>TARGETS!F5</f>
        <v>321645623</v>
      </c>
      <c r="E49" s="51">
        <f>TARGETS!G5</f>
        <v>42789365</v>
      </c>
      <c r="F49" s="51">
        <f t="shared" ref="F49:F60" si="0">D49+E49</f>
        <v>364434988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321645623</v>
      </c>
      <c r="L49" s="26">
        <f t="shared" si="5"/>
        <v>42789365</v>
      </c>
      <c r="M49" s="26">
        <f t="shared" si="5"/>
        <v>364434988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TARGETS!F6</f>
        <v>1018372028</v>
      </c>
      <c r="E50" s="51">
        <f>TARGETS!G6</f>
        <v>159266402</v>
      </c>
      <c r="F50" s="54">
        <f t="shared" si="0"/>
        <v>1177638430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1018372028</v>
      </c>
      <c r="L50" s="28">
        <f t="shared" si="5"/>
        <v>159266402</v>
      </c>
      <c r="M50" s="28">
        <f t="shared" si="5"/>
        <v>1177638430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TARGETS!F8</f>
        <v>471021318</v>
      </c>
      <c r="E51" s="51">
        <f>TARGETS!G8</f>
        <v>21400790</v>
      </c>
      <c r="F51" s="51">
        <f t="shared" si="0"/>
        <v>492422108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471021318</v>
      </c>
      <c r="L51" s="26">
        <f t="shared" si="5"/>
        <v>21400790</v>
      </c>
      <c r="M51" s="26">
        <f t="shared" si="5"/>
        <v>492422108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TARGETS!F9</f>
        <v>454979542</v>
      </c>
      <c r="E52" s="51">
        <f>TARGETS!G9</f>
        <v>66729124</v>
      </c>
      <c r="F52" s="54">
        <f t="shared" si="0"/>
        <v>521708666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454979542</v>
      </c>
      <c r="L52" s="28">
        <f t="shared" si="5"/>
        <v>66729124</v>
      </c>
      <c r="M52" s="28">
        <f t="shared" si="5"/>
        <v>521708666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TARGETS!F10</f>
        <v>498840215</v>
      </c>
      <c r="E53" s="51">
        <f>TARGETS!G10</f>
        <v>65099204</v>
      </c>
      <c r="F53" s="51">
        <f t="shared" si="0"/>
        <v>563939419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498840215</v>
      </c>
      <c r="L53" s="26">
        <f t="shared" si="5"/>
        <v>65099204</v>
      </c>
      <c r="M53" s="26">
        <f t="shared" si="5"/>
        <v>563939419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TARGETS!F11</f>
        <v>899243816</v>
      </c>
      <c r="E54" s="51">
        <f>TARGETS!G11</f>
        <v>66447539</v>
      </c>
      <c r="F54" s="54">
        <f t="shared" si="0"/>
        <v>965691355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899243816</v>
      </c>
      <c r="L54" s="28">
        <f t="shared" si="5"/>
        <v>66447539</v>
      </c>
      <c r="M54" s="28">
        <f t="shared" si="5"/>
        <v>965691355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TARGETS!F12</f>
        <v>967757378</v>
      </c>
      <c r="E55" s="51">
        <f>TARGETS!G12</f>
        <v>38300367</v>
      </c>
      <c r="F55" s="51">
        <f t="shared" si="0"/>
        <v>1006057745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967757378</v>
      </c>
      <c r="L55" s="26">
        <f t="shared" si="5"/>
        <v>38300367</v>
      </c>
      <c r="M55" s="26">
        <f t="shared" si="5"/>
        <v>1006057745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TARGETS!F14</f>
        <v>459601727</v>
      </c>
      <c r="E56" s="51">
        <f>TARGETS!G14</f>
        <v>112983353</v>
      </c>
      <c r="F56" s="54">
        <f t="shared" si="0"/>
        <v>572585080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459601727</v>
      </c>
      <c r="L56" s="28">
        <f t="shared" si="5"/>
        <v>112983353</v>
      </c>
      <c r="M56" s="28">
        <f t="shared" si="5"/>
        <v>572585080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TARGETS!F15</f>
        <v>543752169</v>
      </c>
      <c r="E57" s="51">
        <f>TARGETS!G15</f>
        <v>33260564</v>
      </c>
      <c r="F57" s="51">
        <f t="shared" si="0"/>
        <v>577012733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543752169</v>
      </c>
      <c r="L57" s="26">
        <f t="shared" si="5"/>
        <v>33260564</v>
      </c>
      <c r="M57" s="26">
        <f t="shared" si="5"/>
        <v>577012733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TARGETS!F16</f>
        <v>344811375</v>
      </c>
      <c r="E58" s="51">
        <f>TARGETS!G16</f>
        <v>38283119</v>
      </c>
      <c r="F58" s="54">
        <f t="shared" si="0"/>
        <v>383094494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344811375</v>
      </c>
      <c r="L58" s="28">
        <f t="shared" si="5"/>
        <v>38283119</v>
      </c>
      <c r="M58" s="28">
        <f t="shared" si="5"/>
        <v>383094494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TARGETS!F17</f>
        <v>513161009</v>
      </c>
      <c r="E59" s="51">
        <f>TARGETS!G17</f>
        <v>304325909</v>
      </c>
      <c r="F59" s="51">
        <f t="shared" si="0"/>
        <v>817486918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513161009</v>
      </c>
      <c r="L59" s="26">
        <f t="shared" si="5"/>
        <v>304325909</v>
      </c>
      <c r="M59" s="26">
        <f t="shared" si="5"/>
        <v>817486918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TARGETS!F18</f>
        <v>291935697</v>
      </c>
      <c r="E60" s="51">
        <f>TARGETS!G18</f>
        <v>225689650</v>
      </c>
      <c r="F60" s="54">
        <f t="shared" si="0"/>
        <v>517625347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291935697</v>
      </c>
      <c r="L60" s="28">
        <f t="shared" si="5"/>
        <v>225689650</v>
      </c>
      <c r="M60" s="28">
        <f t="shared" si="5"/>
        <v>517625347</v>
      </c>
      <c r="N60" s="28">
        <f ca="1"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6785121897</v>
      </c>
      <c r="E61" s="36">
        <f t="shared" si="6"/>
        <v>1174575386</v>
      </c>
      <c r="F61" s="36">
        <f t="shared" si="6"/>
        <v>7959697283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6785121897</v>
      </c>
      <c r="L61" s="65">
        <f>SUM(L49:L60)</f>
        <v>1174575386</v>
      </c>
      <c r="M61" s="65">
        <f>SUM(M49:M60)</f>
        <v>7959697283</v>
      </c>
      <c r="N61" s="66">
        <f ca="1"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TARGETS!E22</f>
        <v>332600635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332600635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TARGETS!E23</f>
        <v>467649702</v>
      </c>
      <c r="E66" s="52">
        <f>IFERROR(C31,0)</f>
        <v>0</v>
      </c>
      <c r="F66" s="105">
        <f t="shared" si="7"/>
        <v>0</v>
      </c>
      <c r="G66" s="28">
        <f>D66-E66</f>
        <v>467649702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TARGETS!E24</f>
        <v>1016486951</v>
      </c>
      <c r="E67" s="52">
        <f>P21+P7</f>
        <v>0</v>
      </c>
      <c r="F67" s="105">
        <f t="shared" si="7"/>
        <v>0</v>
      </c>
      <c r="G67" s="26">
        <f>D67-E67</f>
        <v>1016486951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TARGETS!E25</f>
        <v>0</v>
      </c>
      <c r="E68" s="52">
        <f>0</f>
        <v>0</v>
      </c>
      <c r="F68" s="105">
        <f t="shared" si="7"/>
        <v>0</v>
      </c>
      <c r="G68" s="28">
        <f>D68-E68</f>
        <v>0</v>
      </c>
      <c r="H68" s="28">
        <f ca="1"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TARGETS!E26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10" t="s">
        <v>152</v>
      </c>
      <c r="C70" s="58"/>
      <c r="D70" s="36">
        <f>SUM(D65:D69)</f>
        <v>1816737288</v>
      </c>
      <c r="E70" s="36">
        <f>SUM(E65:E69)</f>
        <v>0</v>
      </c>
      <c r="F70" s="111">
        <f t="shared" si="7"/>
        <v>0</v>
      </c>
      <c r="G70" s="36">
        <f>SUM(G65:G69)</f>
        <v>1816737288</v>
      </c>
      <c r="H70" s="32">
        <f ca="1"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38" priority="1">
      <formula>F41&gt;=$F$40</formula>
    </cfRule>
  </conditionalFormatting>
  <conditionalFormatting sqref="F41:F43">
    <cfRule type="expression" dxfId="37" priority="2">
      <formula>AND(F41&gt;=$F$40-0.2,F41&lt;$F$40)</formula>
    </cfRule>
    <cfRule type="expression" dxfId="36" priority="3">
      <formula>F41&lt;$F$40-0.2</formula>
    </cfRule>
  </conditionalFormatting>
  <conditionalFormatting sqref="J49:J60">
    <cfRule type="expression" dxfId="35" priority="4">
      <formula>J49&gt;=$F$40-0.05</formula>
    </cfRule>
    <cfRule type="expression" dxfId="34" priority="5">
      <formula>AND(J49&gt;=$F$40-0.2,J49&lt;$F$40-0.05)</formula>
    </cfRule>
    <cfRule type="expression" dxfId="33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108" zoomScaleNormal="100" workbookViewId="0">
      <selection activeCell="D41" sqref="D41"/>
    </sheetView>
  </sheetViews>
  <sheetFormatPr defaultColWidth="8.7109375" defaultRowHeight="15" x14ac:dyDescent="0.25"/>
  <cols>
    <col min="1" max="1" width="2" customWidth="1"/>
    <col min="2" max="2" width="29.85546875" bestFit="1" customWidth="1"/>
    <col min="3" max="3" width="17.28515625" bestFit="1" customWidth="1"/>
    <col min="4" max="4" width="22.42578125" customWidth="1"/>
    <col min="5" max="5" width="16.42578125" bestFit="1" customWidth="1"/>
    <col min="6" max="7" width="15.42578125" bestFit="1" customWidth="1"/>
    <col min="8" max="8" width="13.42578125" bestFit="1" customWidth="1"/>
    <col min="9" max="9" width="15.42578125" bestFit="1" customWidth="1"/>
    <col min="10" max="10" width="7.140625" bestFit="1" customWidth="1"/>
    <col min="11" max="11" width="15.42578125" bestFit="1" customWidth="1"/>
    <col min="12" max="12" width="13.42578125" bestFit="1" customWidth="1"/>
    <col min="13" max="13" width="15.425781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21" t="s">
        <v>154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2:17" ht="15.75" x14ac:dyDescent="0.25">
      <c r="B3" s="22" t="s">
        <v>103</v>
      </c>
      <c r="C3" s="8">
        <f ca="1">MAX(0,NETWORKDAYS.INTL(MAX(TODAY(),DATE(YEAR(TODAY()),3,1)),EOMONTH(DATE(YEAR(TODAY()),3,1),0),11))</f>
        <v>0</v>
      </c>
      <c r="D3" s="23" t="s">
        <v>104</v>
      </c>
      <c r="E3" s="9">
        <f ca="1">DAY(EOMONTH(DATE(YEAR(TODAY()),3,1),0))</f>
        <v>31</v>
      </c>
    </row>
    <row r="6" spans="2:17" x14ac:dyDescent="0.25">
      <c r="B6" s="81" t="s">
        <v>105</v>
      </c>
      <c r="C6" s="19"/>
      <c r="D6" s="19"/>
      <c r="E6" s="19"/>
      <c r="P6" s="10" t="s">
        <v>106</v>
      </c>
      <c r="Q6" s="10" t="s">
        <v>107</v>
      </c>
    </row>
    <row r="7" spans="2:17" x14ac:dyDescent="0.25">
      <c r="B7" s="82" t="s">
        <v>108</v>
      </c>
      <c r="C7" s="16"/>
      <c r="D7" s="16"/>
      <c r="E7" s="16"/>
      <c r="P7" s="11">
        <f>C9</f>
        <v>188107.92</v>
      </c>
      <c r="Q7" s="11">
        <f>D9</f>
        <v>0</v>
      </c>
    </row>
    <row r="8" spans="2:17" ht="18.75" customHeight="1" x14ac:dyDescent="0.25">
      <c r="B8" s="12" t="s">
        <v>109</v>
      </c>
      <c r="C8" s="12" t="s">
        <v>110</v>
      </c>
      <c r="D8" s="12" t="s">
        <v>111</v>
      </c>
      <c r="E8" s="12" t="s">
        <v>112</v>
      </c>
      <c r="P8" s="11">
        <f>C22</f>
        <v>256161734.12700599</v>
      </c>
      <c r="Q8" s="11">
        <f>D22</f>
        <v>33244869.869984999</v>
      </c>
    </row>
    <row r="9" spans="2:17" x14ac:dyDescent="0.25">
      <c r="B9" s="74" t="s">
        <v>170</v>
      </c>
      <c r="C9" s="15">
        <v>188107.92</v>
      </c>
      <c r="D9" s="15">
        <v>0</v>
      </c>
      <c r="E9" s="15">
        <v>188107.92</v>
      </c>
      <c r="P9" s="11">
        <f>C12+C13</f>
        <v>400984402.696913</v>
      </c>
      <c r="Q9" s="11">
        <f>D12+D13</f>
        <v>97493652.199712008</v>
      </c>
    </row>
    <row r="10" spans="2:17" x14ac:dyDescent="0.25">
      <c r="B10" s="74" t="s">
        <v>113</v>
      </c>
      <c r="C10" s="15">
        <v>241793045.71565101</v>
      </c>
      <c r="D10" s="15">
        <v>27052168.832586002</v>
      </c>
      <c r="E10" s="15">
        <v>268845214.54823703</v>
      </c>
      <c r="P10" s="11">
        <f>C14</f>
        <v>448951742.09189999</v>
      </c>
      <c r="Q10" s="11">
        <f>D14</f>
        <v>25395524.711111002</v>
      </c>
    </row>
    <row r="11" spans="2:17" x14ac:dyDescent="0.25">
      <c r="B11" s="74" t="s">
        <v>114</v>
      </c>
      <c r="C11" s="15">
        <v>275248888.35849398</v>
      </c>
      <c r="D11" s="15">
        <v>67651088.793151006</v>
      </c>
      <c r="E11" s="15">
        <v>342899977.151645</v>
      </c>
      <c r="P11" s="11">
        <f>C17</f>
        <v>273574319.61999798</v>
      </c>
      <c r="Q11" s="11">
        <f>D17</f>
        <v>65561081.340000004</v>
      </c>
    </row>
    <row r="12" spans="2:17" x14ac:dyDescent="0.25">
      <c r="B12" s="74" t="s">
        <v>70</v>
      </c>
      <c r="C12" s="15">
        <v>183664720.92077899</v>
      </c>
      <c r="D12" s="15">
        <v>65497607.699864</v>
      </c>
      <c r="E12" s="15">
        <v>249162328.62064299</v>
      </c>
      <c r="P12" s="11">
        <f>C16</f>
        <v>341533847.53484899</v>
      </c>
      <c r="Q12" s="11">
        <f>D16</f>
        <v>55146186.678345002</v>
      </c>
    </row>
    <row r="13" spans="2:17" x14ac:dyDescent="0.25">
      <c r="B13" s="74" t="s">
        <v>115</v>
      </c>
      <c r="C13" s="15">
        <v>217319681.77613401</v>
      </c>
      <c r="D13" s="15">
        <v>31996044.499848001</v>
      </c>
      <c r="E13" s="15">
        <v>249315726.27598199</v>
      </c>
      <c r="P13" s="11">
        <f>C19</f>
        <v>724996117.09832895</v>
      </c>
      <c r="Q13" s="11">
        <f>D19</f>
        <v>66333665.719774999</v>
      </c>
    </row>
    <row r="14" spans="2:17" x14ac:dyDescent="0.25">
      <c r="B14" s="74" t="s">
        <v>116</v>
      </c>
      <c r="C14" s="15">
        <v>448951742.09189999</v>
      </c>
      <c r="D14" s="15">
        <v>25395524.711111002</v>
      </c>
      <c r="E14" s="15">
        <v>474347266.803011</v>
      </c>
      <c r="P14" s="11">
        <f>C23</f>
        <v>474026345.59516603</v>
      </c>
      <c r="Q14" s="11">
        <f>D23</f>
        <v>42452264.089906998</v>
      </c>
    </row>
    <row r="15" spans="2:17" x14ac:dyDescent="0.25">
      <c r="B15" s="74" t="s">
        <v>117</v>
      </c>
      <c r="C15" s="15">
        <v>282161.88</v>
      </c>
      <c r="D15" s="15" t="s">
        <v>169</v>
      </c>
      <c r="E15" s="15">
        <v>282161.88</v>
      </c>
      <c r="P15" s="11">
        <f>C11</f>
        <v>275248888.35849398</v>
      </c>
      <c r="Q15" s="11">
        <f>D11</f>
        <v>67651088.793151006</v>
      </c>
    </row>
    <row r="16" spans="2:17" x14ac:dyDescent="0.25">
      <c r="B16" s="74" t="s">
        <v>74</v>
      </c>
      <c r="C16" s="15">
        <v>341533847.53484899</v>
      </c>
      <c r="D16" s="15">
        <v>55146186.678345002</v>
      </c>
      <c r="E16" s="15">
        <v>396680034.21319401</v>
      </c>
      <c r="P16" s="11">
        <f>C24</f>
        <v>391231932.82522798</v>
      </c>
      <c r="Q16" s="11">
        <f>D24</f>
        <v>47651172.919932999</v>
      </c>
    </row>
    <row r="17" spans="2:17" x14ac:dyDescent="0.25">
      <c r="B17" s="74" t="s">
        <v>118</v>
      </c>
      <c r="C17" s="15">
        <v>273574319.61999798</v>
      </c>
      <c r="D17" s="15">
        <v>65561081.340000004</v>
      </c>
      <c r="E17" s="15">
        <v>339135400.95999801</v>
      </c>
      <c r="P17" s="11">
        <f>C10</f>
        <v>241793045.71565101</v>
      </c>
      <c r="Q17" s="11">
        <f>D10</f>
        <v>27052168.832586002</v>
      </c>
    </row>
    <row r="18" spans="2:17" x14ac:dyDescent="0.25">
      <c r="B18" s="74" t="s">
        <v>119</v>
      </c>
      <c r="C18" s="15">
        <v>1454580886.419594</v>
      </c>
      <c r="D18" s="15">
        <v>24019255.831693001</v>
      </c>
      <c r="E18" s="15">
        <v>1478600142.251287</v>
      </c>
      <c r="P18" s="11">
        <f>C25</f>
        <v>551773262.08326495</v>
      </c>
      <c r="Q18" s="11">
        <f>D25</f>
        <v>176031889.35981199</v>
      </c>
    </row>
    <row r="19" spans="2:17" x14ac:dyDescent="0.25">
      <c r="B19" s="74" t="s">
        <v>121</v>
      </c>
      <c r="C19" s="15">
        <v>724996117.09832895</v>
      </c>
      <c r="D19" s="15">
        <v>66333665.719774999</v>
      </c>
      <c r="E19" s="15">
        <v>791329782.81810403</v>
      </c>
      <c r="P19" s="11">
        <f>C20+C21</f>
        <v>185682375.568874</v>
      </c>
      <c r="Q19" s="11">
        <f>D20+D21</f>
        <v>146484460.668556</v>
      </c>
    </row>
    <row r="20" spans="2:17" x14ac:dyDescent="0.25">
      <c r="B20" s="74" t="s">
        <v>123</v>
      </c>
      <c r="C20" s="15">
        <v>143180643.568874</v>
      </c>
      <c r="D20" s="15">
        <v>24973220.609751999</v>
      </c>
      <c r="E20" s="15">
        <v>168153864.178626</v>
      </c>
      <c r="P20" s="14">
        <f>IFERROR(C29,0)+IFERROR(C15,0)+IFERROR(C34,0)</f>
        <v>11690499.349904999</v>
      </c>
      <c r="Q20" s="10" t="s">
        <v>120</v>
      </c>
    </row>
    <row r="21" spans="2:17" x14ac:dyDescent="0.25">
      <c r="B21" s="74" t="s">
        <v>124</v>
      </c>
      <c r="C21" s="15">
        <v>42501732</v>
      </c>
      <c r="D21" s="15">
        <v>121511240.05880401</v>
      </c>
      <c r="E21" s="15">
        <v>164012972.05880401</v>
      </c>
      <c r="P21" s="14">
        <f>IFERROR(C32,0)+IFERROR(C33,0)+P20</f>
        <v>687378203.87655902</v>
      </c>
      <c r="Q21" s="10" t="s">
        <v>122</v>
      </c>
    </row>
    <row r="22" spans="2:17" x14ac:dyDescent="0.25">
      <c r="B22" s="74" t="s">
        <v>125</v>
      </c>
      <c r="C22" s="15">
        <v>256161734.12700599</v>
      </c>
      <c r="D22" s="15">
        <v>33244869.869984999</v>
      </c>
      <c r="E22" s="15">
        <v>289406603.99699098</v>
      </c>
    </row>
    <row r="23" spans="2:17" x14ac:dyDescent="0.25">
      <c r="B23" s="74" t="s">
        <v>126</v>
      </c>
      <c r="C23" s="15">
        <v>474026345.59516603</v>
      </c>
      <c r="D23" s="15">
        <v>42452264.089906998</v>
      </c>
      <c r="E23" s="15">
        <v>516478609.68507302</v>
      </c>
    </row>
    <row r="24" spans="2:17" x14ac:dyDescent="0.25">
      <c r="B24" s="74" t="s">
        <v>127</v>
      </c>
      <c r="C24" s="15">
        <v>391231932.82522798</v>
      </c>
      <c r="D24" s="15">
        <v>47651172.919932999</v>
      </c>
      <c r="E24" s="15">
        <v>438883105.745161</v>
      </c>
    </row>
    <row r="25" spans="2:17" x14ac:dyDescent="0.25">
      <c r="B25" s="74" t="s">
        <v>128</v>
      </c>
      <c r="C25" s="15">
        <v>551773262.08326495</v>
      </c>
      <c r="D25" s="15">
        <v>176031889.35981199</v>
      </c>
      <c r="E25" s="15">
        <v>727805151.44307697</v>
      </c>
    </row>
    <row r="27" spans="2:17" x14ac:dyDescent="0.25">
      <c r="B27" s="82" t="s">
        <v>129</v>
      </c>
      <c r="C27" s="16"/>
    </row>
    <row r="28" spans="2:17" x14ac:dyDescent="0.25">
      <c r="B28" s="12" t="s">
        <v>130</v>
      </c>
      <c r="C28" s="12" t="s">
        <v>131</v>
      </c>
    </row>
    <row r="29" spans="2:17" x14ac:dyDescent="0.25">
      <c r="B29" s="74" t="s">
        <v>169</v>
      </c>
      <c r="C29" s="15">
        <v>3087270.2699850001</v>
      </c>
    </row>
    <row r="30" spans="2:17" x14ac:dyDescent="0.25">
      <c r="B30" s="74" t="s">
        <v>132</v>
      </c>
      <c r="C30" s="15">
        <v>174213927.33888301</v>
      </c>
    </row>
    <row r="31" spans="2:17" x14ac:dyDescent="0.25">
      <c r="B31" s="74" t="s">
        <v>133</v>
      </c>
      <c r="C31" s="15">
        <v>309778739.936719</v>
      </c>
    </row>
    <row r="32" spans="2:17" x14ac:dyDescent="0.25">
      <c r="B32" s="74" t="s">
        <v>134</v>
      </c>
      <c r="C32" s="15">
        <v>276397406.795636</v>
      </c>
    </row>
    <row r="33" spans="2:17" x14ac:dyDescent="0.25">
      <c r="B33" s="74" t="s">
        <v>135</v>
      </c>
      <c r="C33" s="15">
        <v>399290297.73101801</v>
      </c>
    </row>
    <row r="34" spans="2:17" x14ac:dyDescent="0.25">
      <c r="B34" s="74" t="s">
        <v>136</v>
      </c>
      <c r="C34" s="15">
        <v>8321067.1999199996</v>
      </c>
    </row>
    <row r="35" spans="2:17" x14ac:dyDescent="0.25">
      <c r="B35" s="13"/>
      <c r="C35" s="15"/>
    </row>
    <row r="36" spans="2:17" x14ac:dyDescent="0.25">
      <c r="B36" s="13"/>
      <c r="C36" s="15"/>
    </row>
    <row r="38" spans="2:17" ht="29.25" customHeight="1" x14ac:dyDescent="0.25">
      <c r="E38" s="29"/>
    </row>
    <row r="39" spans="2:17" ht="24.75" customHeight="1" x14ac:dyDescent="0.25">
      <c r="B39" s="37" t="s">
        <v>155</v>
      </c>
      <c r="C39" s="38"/>
      <c r="D39" s="39"/>
      <c r="E39" s="67" t="s">
        <v>138</v>
      </c>
      <c r="F39" s="73">
        <v>1</v>
      </c>
      <c r="G39" s="30"/>
      <c r="H39" s="30"/>
      <c r="I39" s="24"/>
      <c r="J39" s="24"/>
      <c r="K39" s="24"/>
      <c r="L39" s="24"/>
      <c r="M39" s="24"/>
      <c r="N39" s="24"/>
    </row>
    <row r="40" spans="2:17" ht="15.75" x14ac:dyDescent="0.25">
      <c r="B40" s="68" t="s">
        <v>137</v>
      </c>
      <c r="C40" s="68" t="s">
        <v>41</v>
      </c>
      <c r="D40" s="68" t="s">
        <v>138</v>
      </c>
      <c r="E40" s="68" t="s">
        <v>139</v>
      </c>
      <c r="F40" s="69"/>
      <c r="G40" s="31" t="s">
        <v>141</v>
      </c>
      <c r="H40" s="31" t="s">
        <v>142</v>
      </c>
      <c r="I40" s="24"/>
      <c r="J40" s="24"/>
      <c r="K40" s="24"/>
      <c r="L40" s="24"/>
      <c r="M40" s="24"/>
      <c r="N40" s="24"/>
    </row>
    <row r="41" spans="2:17" x14ac:dyDescent="0.25">
      <c r="B41" s="40" t="s">
        <v>143</v>
      </c>
      <c r="C41" s="41" t="s">
        <v>144</v>
      </c>
      <c r="D41" s="45">
        <f>SUM(TARGETS!H5:H18)</f>
        <v>6726156407</v>
      </c>
      <c r="E41" s="46">
        <f>P8+P9+P10+P11+P12+P13+P14+P15+P16+P17+P18+P19</f>
        <v>4565958013.3156729</v>
      </c>
      <c r="F41" s="44">
        <f>IFERROR(E41/D41,0)</f>
        <v>0.67883613419453348</v>
      </c>
      <c r="G41" s="42">
        <f>D41-E41</f>
        <v>2160198393.6843271</v>
      </c>
      <c r="H41" s="42">
        <f ca="1">IFERROR(G41/C3,0)</f>
        <v>0</v>
      </c>
      <c r="I41" s="24"/>
      <c r="J41" s="24"/>
      <c r="K41" s="24"/>
      <c r="L41" s="24"/>
      <c r="M41" s="24"/>
      <c r="N41" s="24"/>
    </row>
    <row r="42" spans="2:17" x14ac:dyDescent="0.25">
      <c r="B42" s="40" t="s">
        <v>111</v>
      </c>
      <c r="C42" s="41" t="s">
        <v>144</v>
      </c>
      <c r="D42" s="45">
        <f>SUM(TARGETS!I5:I18)</f>
        <v>1269766212</v>
      </c>
      <c r="E42" s="46">
        <f>Q7+Q8+Q9+Q10+Q11+Q12+Q13+Q14+Q15+Q16+Q17+Q18+Q19</f>
        <v>850498025.18287301</v>
      </c>
      <c r="F42" s="44">
        <f>IFERROR(E42/D42,0)</f>
        <v>0.66980678580449815</v>
      </c>
      <c r="G42" s="42">
        <f>D42-E42</f>
        <v>419268186.81712699</v>
      </c>
      <c r="H42" s="42">
        <f ca="1">IFERROR(G42/C3,0)</f>
        <v>0</v>
      </c>
      <c r="I42" s="24"/>
      <c r="J42" s="24"/>
      <c r="K42" s="24"/>
      <c r="L42" s="24"/>
      <c r="M42" s="24"/>
      <c r="N42" s="24"/>
    </row>
    <row r="43" spans="2:17" x14ac:dyDescent="0.25">
      <c r="B43" s="40" t="s">
        <v>145</v>
      </c>
      <c r="C43" s="41" t="s">
        <v>144</v>
      </c>
      <c r="D43" s="45">
        <f>SUM(TARGETS!F22:F26)</f>
        <v>1769067797</v>
      </c>
      <c r="E43" s="46">
        <f>IFERROR(C30,0)+IFERROR(C31,0)+P21+E9</f>
        <v>1171558979.0721612</v>
      </c>
      <c r="F43" s="44">
        <f>IFERROR(E43/D43,0)</f>
        <v>0.66224651257509792</v>
      </c>
      <c r="G43" s="42">
        <f>D43-E43</f>
        <v>597508817.9278388</v>
      </c>
      <c r="H43" s="42">
        <f ca="1">IFERROR(G43/C3,0)</f>
        <v>0</v>
      </c>
      <c r="I43" s="24"/>
      <c r="J43" s="24"/>
      <c r="K43" s="24"/>
      <c r="L43" s="24"/>
      <c r="M43" s="24"/>
      <c r="N43" s="24"/>
    </row>
    <row r="44" spans="2:17" x14ac:dyDescent="0.25">
      <c r="B44" s="221" t="s">
        <v>146</v>
      </c>
      <c r="C44" s="222"/>
      <c r="D44" s="47">
        <f>D41+D42+D43</f>
        <v>9764990416</v>
      </c>
      <c r="E44" s="47">
        <f>E41+E42+E43</f>
        <v>6588015017.5707073</v>
      </c>
      <c r="F44" s="43">
        <f>IFERROR(E44/D44,0)</f>
        <v>0.67465657792927292</v>
      </c>
      <c r="G44" s="65">
        <f>G41+G42+G43</f>
        <v>3176975398.4292932</v>
      </c>
      <c r="H44" s="65">
        <f ca="1">IFERROR(G44/C3,0)</f>
        <v>0</v>
      </c>
      <c r="I44" s="24"/>
      <c r="J44" s="24"/>
      <c r="K44" s="24"/>
      <c r="L44" s="24"/>
      <c r="M44" s="24"/>
      <c r="N44" s="24"/>
    </row>
    <row r="45" spans="2:17" s="48" customFormat="1" ht="24.95" customHeight="1" x14ac:dyDescent="0.3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P45"/>
      <c r="Q45"/>
    </row>
    <row r="46" spans="2:17" ht="15" customHeight="1" x14ac:dyDescent="0.3">
      <c r="B46" s="49" t="s">
        <v>147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P46" s="48"/>
      <c r="Q46" s="48"/>
    </row>
    <row r="47" spans="2:17" ht="18" customHeight="1" x14ac:dyDescent="0.25">
      <c r="B47" s="223" t="s">
        <v>41</v>
      </c>
      <c r="C47" s="223" t="s">
        <v>42</v>
      </c>
      <c r="D47" s="218" t="s">
        <v>138</v>
      </c>
      <c r="E47" s="219"/>
      <c r="F47" s="220"/>
      <c r="G47" s="70" t="s">
        <v>139</v>
      </c>
      <c r="H47" s="70"/>
      <c r="I47" s="70"/>
      <c r="J47" s="223" t="s">
        <v>140</v>
      </c>
      <c r="K47" s="35" t="s">
        <v>148</v>
      </c>
      <c r="L47" s="35"/>
      <c r="M47" s="35"/>
      <c r="N47" s="217" t="s">
        <v>149</v>
      </c>
    </row>
    <row r="48" spans="2:17" ht="15.75" x14ac:dyDescent="0.25">
      <c r="B48" s="223"/>
      <c r="C48" s="223"/>
      <c r="D48" s="71" t="s">
        <v>150</v>
      </c>
      <c r="E48" s="71" t="s">
        <v>151</v>
      </c>
      <c r="F48" s="71" t="s">
        <v>131</v>
      </c>
      <c r="G48" s="71" t="s">
        <v>150</v>
      </c>
      <c r="H48" s="71" t="s">
        <v>151</v>
      </c>
      <c r="I48" s="71" t="s">
        <v>131</v>
      </c>
      <c r="J48" s="223"/>
      <c r="K48" s="34" t="s">
        <v>143</v>
      </c>
      <c r="L48" s="34" t="s">
        <v>111</v>
      </c>
      <c r="M48" s="34" t="s">
        <v>146</v>
      </c>
      <c r="N48" s="217"/>
    </row>
    <row r="49" spans="2:14" x14ac:dyDescent="0.25">
      <c r="B49" s="50" t="s">
        <v>67</v>
      </c>
      <c r="C49" s="55" t="s">
        <v>68</v>
      </c>
      <c r="D49" s="51">
        <f>TARGETS!H5</f>
        <v>317433802</v>
      </c>
      <c r="E49" s="51">
        <f>TARGETS!I5</f>
        <v>49588709</v>
      </c>
      <c r="F49" s="51">
        <f t="shared" ref="F49:F60" si="0">D49+E49</f>
        <v>367022511</v>
      </c>
      <c r="G49" s="52">
        <f t="shared" ref="G49:H56" si="1">P8</f>
        <v>256161734.12700599</v>
      </c>
      <c r="H49" s="52">
        <f t="shared" si="1"/>
        <v>33244869.869984999</v>
      </c>
      <c r="I49" s="52">
        <f t="shared" ref="I49:I60" si="2">G49+H49</f>
        <v>289406603.99699098</v>
      </c>
      <c r="J49" s="61">
        <f t="shared" ref="J49:J61" si="3">IFERROR(I49/F49,0)</f>
        <v>0.78852548637538744</v>
      </c>
      <c r="K49" s="26">
        <f t="shared" ref="K49:K60" si="4">D49-G49</f>
        <v>61272067.872994006</v>
      </c>
      <c r="L49" s="26">
        <f t="shared" ref="L49:L60" si="5">E49-H49</f>
        <v>16343839.130015001</v>
      </c>
      <c r="M49" s="26">
        <f t="shared" ref="M49:M60" si="6">F49-I49</f>
        <v>77615907.003009021</v>
      </c>
      <c r="N49" s="26">
        <f ca="1">IFERROR(M49/C3,0)</f>
        <v>0</v>
      </c>
    </row>
    <row r="50" spans="2:14" x14ac:dyDescent="0.25">
      <c r="B50" s="53" t="s">
        <v>69</v>
      </c>
      <c r="C50" s="56" t="s">
        <v>70</v>
      </c>
      <c r="D50" s="54">
        <f>TARGETS!H6</f>
        <v>1009948386</v>
      </c>
      <c r="E50" s="54">
        <f>TARGETS!I6</f>
        <v>172865092</v>
      </c>
      <c r="F50" s="54">
        <f t="shared" si="0"/>
        <v>1182813478</v>
      </c>
      <c r="G50" s="52">
        <f t="shared" si="1"/>
        <v>400984402.696913</v>
      </c>
      <c r="H50" s="52">
        <f t="shared" si="1"/>
        <v>97493652.199712008</v>
      </c>
      <c r="I50" s="52">
        <f t="shared" si="2"/>
        <v>498478054.89662504</v>
      </c>
      <c r="J50" s="61">
        <f t="shared" si="3"/>
        <v>0.42143420257561948</v>
      </c>
      <c r="K50" s="28">
        <f t="shared" si="4"/>
        <v>608963983.303087</v>
      </c>
      <c r="L50" s="28">
        <f t="shared" si="5"/>
        <v>75371439.800287992</v>
      </c>
      <c r="M50" s="28">
        <f t="shared" si="6"/>
        <v>684335423.10337496</v>
      </c>
      <c r="N50" s="28">
        <f ca="1">IFERROR(M50/C3,0)</f>
        <v>0</v>
      </c>
    </row>
    <row r="51" spans="2:14" x14ac:dyDescent="0.25">
      <c r="B51" s="50" t="s">
        <v>71</v>
      </c>
      <c r="C51" s="55" t="s">
        <v>72</v>
      </c>
      <c r="D51" s="51">
        <f>TARGETS!H8</f>
        <v>466809497</v>
      </c>
      <c r="E51" s="51">
        <f>TARGETS!I8</f>
        <v>28200135</v>
      </c>
      <c r="F51" s="51">
        <f t="shared" si="0"/>
        <v>495009632</v>
      </c>
      <c r="G51" s="52">
        <f t="shared" si="1"/>
        <v>448951742.09189999</v>
      </c>
      <c r="H51" s="52">
        <f t="shared" si="1"/>
        <v>25395524.711111002</v>
      </c>
      <c r="I51" s="52">
        <f t="shared" si="2"/>
        <v>474347266.803011</v>
      </c>
      <c r="J51" s="61">
        <f t="shared" si="3"/>
        <v>0.95825866031433304</v>
      </c>
      <c r="K51" s="26">
        <f t="shared" si="4"/>
        <v>17857754.908100009</v>
      </c>
      <c r="L51" s="26">
        <f t="shared" si="5"/>
        <v>2804610.2888889983</v>
      </c>
      <c r="M51" s="26">
        <f t="shared" si="6"/>
        <v>20662365.196989</v>
      </c>
      <c r="N51" s="26">
        <f ca="1">IFERROR(M51/C3,0)</f>
        <v>0</v>
      </c>
    </row>
    <row r="52" spans="2:14" x14ac:dyDescent="0.25">
      <c r="B52" s="53" t="s">
        <v>73</v>
      </c>
      <c r="C52" s="56" t="s">
        <v>74</v>
      </c>
      <c r="D52" s="54">
        <f>TARGETS!H9</f>
        <v>450767722</v>
      </c>
      <c r="E52" s="54">
        <f>TARGETS!I9</f>
        <v>73528469</v>
      </c>
      <c r="F52" s="54">
        <f t="shared" si="0"/>
        <v>524296191</v>
      </c>
      <c r="G52" s="52">
        <f t="shared" si="1"/>
        <v>273574319.61999798</v>
      </c>
      <c r="H52" s="52">
        <f t="shared" si="1"/>
        <v>65561081.340000004</v>
      </c>
      <c r="I52" s="52">
        <f t="shared" si="2"/>
        <v>339135400.95999801</v>
      </c>
      <c r="J52" s="61">
        <f t="shared" si="3"/>
        <v>0.64683933772846736</v>
      </c>
      <c r="K52" s="28">
        <f t="shared" si="4"/>
        <v>177193402.38000202</v>
      </c>
      <c r="L52" s="28">
        <f t="shared" si="5"/>
        <v>7967387.6599999964</v>
      </c>
      <c r="M52" s="28">
        <f t="shared" si="6"/>
        <v>185160790.04000199</v>
      </c>
      <c r="N52" s="28">
        <f ca="1">IFERROR(M52/C3,0)</f>
        <v>0</v>
      </c>
    </row>
    <row r="53" spans="2:14" x14ac:dyDescent="0.25">
      <c r="B53" s="50" t="s">
        <v>75</v>
      </c>
      <c r="C53" s="55" t="s">
        <v>74</v>
      </c>
      <c r="D53" s="51">
        <f>TARGETS!H10</f>
        <v>494628394</v>
      </c>
      <c r="E53" s="51">
        <f>TARGETS!I10</f>
        <v>71898548</v>
      </c>
      <c r="F53" s="51">
        <f t="shared" si="0"/>
        <v>566526942</v>
      </c>
      <c r="G53" s="52">
        <f t="shared" si="1"/>
        <v>341533847.53484899</v>
      </c>
      <c r="H53" s="52">
        <f t="shared" si="1"/>
        <v>55146186.678345002</v>
      </c>
      <c r="I53" s="52">
        <f t="shared" si="2"/>
        <v>396680034.21319401</v>
      </c>
      <c r="J53" s="61">
        <f t="shared" si="3"/>
        <v>0.70019623923409813</v>
      </c>
      <c r="K53" s="26">
        <f t="shared" si="4"/>
        <v>153094546.46515101</v>
      </c>
      <c r="L53" s="26">
        <f t="shared" si="5"/>
        <v>16752361.321654998</v>
      </c>
      <c r="M53" s="26">
        <f t="shared" si="6"/>
        <v>169846907.78680599</v>
      </c>
      <c r="N53" s="26">
        <f ca="1">IFERROR(M53/C3,0)</f>
        <v>0</v>
      </c>
    </row>
    <row r="54" spans="2:14" x14ac:dyDescent="0.25">
      <c r="B54" s="53" t="s">
        <v>76</v>
      </c>
      <c r="C54" s="56" t="s">
        <v>77</v>
      </c>
      <c r="D54" s="54">
        <f>TARGETS!H11</f>
        <v>895031995</v>
      </c>
      <c r="E54" s="54">
        <f>TARGETS!I11</f>
        <v>73246884</v>
      </c>
      <c r="F54" s="54">
        <f t="shared" si="0"/>
        <v>968278879</v>
      </c>
      <c r="G54" s="52">
        <f t="shared" si="1"/>
        <v>724996117.09832895</v>
      </c>
      <c r="H54" s="52">
        <f t="shared" si="1"/>
        <v>66333665.719774999</v>
      </c>
      <c r="I54" s="52">
        <f t="shared" si="2"/>
        <v>791329782.81810391</v>
      </c>
      <c r="J54" s="61">
        <f t="shared" si="3"/>
        <v>0.81725399570354973</v>
      </c>
      <c r="K54" s="28">
        <f t="shared" si="4"/>
        <v>170035877.90167105</v>
      </c>
      <c r="L54" s="28">
        <f t="shared" si="5"/>
        <v>6913218.2802250013</v>
      </c>
      <c r="M54" s="28">
        <f t="shared" si="6"/>
        <v>176949096.18189609</v>
      </c>
      <c r="N54" s="28">
        <f ca="1">IFERROR(M54/C3,0)</f>
        <v>0</v>
      </c>
    </row>
    <row r="55" spans="2:14" x14ac:dyDescent="0.25">
      <c r="B55" s="50" t="s">
        <v>78</v>
      </c>
      <c r="C55" s="55" t="s">
        <v>79</v>
      </c>
      <c r="D55" s="51">
        <f>TARGETS!H12</f>
        <v>963545558</v>
      </c>
      <c r="E55" s="51">
        <f>TARGETS!I12</f>
        <v>45099712</v>
      </c>
      <c r="F55" s="51">
        <f t="shared" si="0"/>
        <v>1008645270</v>
      </c>
      <c r="G55" s="52">
        <f t="shared" si="1"/>
        <v>474026345.59516603</v>
      </c>
      <c r="H55" s="52">
        <f t="shared" si="1"/>
        <v>42452264.089906998</v>
      </c>
      <c r="I55" s="52">
        <f t="shared" si="2"/>
        <v>516478609.68507302</v>
      </c>
      <c r="J55" s="61">
        <f t="shared" si="3"/>
        <v>0.51205178376048199</v>
      </c>
      <c r="K55" s="26">
        <f t="shared" si="4"/>
        <v>489519212.40483397</v>
      </c>
      <c r="L55" s="26">
        <f t="shared" si="5"/>
        <v>2647447.910093002</v>
      </c>
      <c r="M55" s="26">
        <f t="shared" si="6"/>
        <v>492166660.31492698</v>
      </c>
      <c r="N55" s="26">
        <f ca="1">IFERROR(M55/C3,0)</f>
        <v>0</v>
      </c>
    </row>
    <row r="56" spans="2:14" x14ac:dyDescent="0.25">
      <c r="B56" s="53" t="s">
        <v>80</v>
      </c>
      <c r="C56" s="56" t="s">
        <v>81</v>
      </c>
      <c r="D56" s="54">
        <f>TARGETS!H14</f>
        <v>455389906</v>
      </c>
      <c r="E56" s="54">
        <f>TARGETS!I14</f>
        <v>119782698</v>
      </c>
      <c r="F56" s="54">
        <f t="shared" si="0"/>
        <v>575172604</v>
      </c>
      <c r="G56" s="52">
        <f t="shared" si="1"/>
        <v>275248888.35849398</v>
      </c>
      <c r="H56" s="52">
        <f t="shared" si="1"/>
        <v>67651088.793151006</v>
      </c>
      <c r="I56" s="52">
        <f t="shared" si="2"/>
        <v>342899977.151645</v>
      </c>
      <c r="J56" s="61">
        <f t="shared" si="3"/>
        <v>0.59616882787352821</v>
      </c>
      <c r="K56" s="28">
        <f t="shared" si="4"/>
        <v>180141017.64150602</v>
      </c>
      <c r="L56" s="28">
        <f t="shared" si="5"/>
        <v>52131609.206848994</v>
      </c>
      <c r="M56" s="28">
        <f t="shared" si="6"/>
        <v>232272626.848355</v>
      </c>
      <c r="N56" s="28">
        <f ca="1">IFERROR(M56/C3,0)</f>
        <v>0</v>
      </c>
    </row>
    <row r="57" spans="2:14" x14ac:dyDescent="0.25">
      <c r="B57" s="50" t="s">
        <v>82</v>
      </c>
      <c r="C57" s="55" t="s">
        <v>83</v>
      </c>
      <c r="D57" s="51">
        <f>TARGETS!H15</f>
        <v>539540348</v>
      </c>
      <c r="E57" s="51">
        <f>TARGETS!I15</f>
        <v>40059909</v>
      </c>
      <c r="F57" s="51">
        <f t="shared" si="0"/>
        <v>579600257</v>
      </c>
      <c r="G57" s="52">
        <f t="shared" ref="G57:G60" si="7">P16</f>
        <v>391231932.82522798</v>
      </c>
      <c r="H57" s="52">
        <f t="shared" ref="H57:H60" si="8">Q16</f>
        <v>47651172.919932999</v>
      </c>
      <c r="I57" s="52">
        <f t="shared" si="2"/>
        <v>438883105.745161</v>
      </c>
      <c r="J57" s="61">
        <f t="shared" si="3"/>
        <v>0.75721689292687977</v>
      </c>
      <c r="K57" s="26">
        <f t="shared" si="4"/>
        <v>148308415.17477202</v>
      </c>
      <c r="L57" s="26">
        <f t="shared" si="5"/>
        <v>-7591263.9199329987</v>
      </c>
      <c r="M57" s="26">
        <f t="shared" si="6"/>
        <v>140717151.254839</v>
      </c>
      <c r="N57" s="26">
        <f ca="1">IFERROR(M57/C3,0)</f>
        <v>0</v>
      </c>
    </row>
    <row r="58" spans="2:14" x14ac:dyDescent="0.25">
      <c r="B58" s="53" t="s">
        <v>84</v>
      </c>
      <c r="C58" s="56" t="s">
        <v>85</v>
      </c>
      <c r="D58" s="54">
        <f>TARGETS!H16</f>
        <v>340599555</v>
      </c>
      <c r="E58" s="54">
        <f>TARGETS!I16</f>
        <v>45082463</v>
      </c>
      <c r="F58" s="54">
        <f t="shared" si="0"/>
        <v>385682018</v>
      </c>
      <c r="G58" s="52">
        <f t="shared" si="7"/>
        <v>241793045.71565101</v>
      </c>
      <c r="H58" s="52">
        <f t="shared" si="8"/>
        <v>27052168.832586002</v>
      </c>
      <c r="I58" s="52">
        <f t="shared" si="2"/>
        <v>268845214.54823703</v>
      </c>
      <c r="J58" s="61">
        <f t="shared" si="3"/>
        <v>0.69706442613624009</v>
      </c>
      <c r="K58" s="28">
        <f t="shared" si="4"/>
        <v>98806509.284348994</v>
      </c>
      <c r="L58" s="28">
        <f t="shared" si="5"/>
        <v>18030294.167413998</v>
      </c>
      <c r="M58" s="28">
        <f t="shared" si="6"/>
        <v>116836803.45176297</v>
      </c>
      <c r="N58" s="28">
        <f ca="1">IFERROR(M58/C3,0)</f>
        <v>0</v>
      </c>
    </row>
    <row r="59" spans="2:14" x14ac:dyDescent="0.25">
      <c r="B59" s="50" t="s">
        <v>86</v>
      </c>
      <c r="C59" s="55" t="s">
        <v>87</v>
      </c>
      <c r="D59" s="51">
        <f>TARGETS!H17</f>
        <v>508949188</v>
      </c>
      <c r="E59" s="51">
        <f>TARGETS!I17</f>
        <v>311125253</v>
      </c>
      <c r="F59" s="51">
        <f t="shared" si="0"/>
        <v>820074441</v>
      </c>
      <c r="G59" s="52">
        <f t="shared" si="7"/>
        <v>551773262.08326495</v>
      </c>
      <c r="H59" s="52">
        <f t="shared" si="8"/>
        <v>176031889.35981199</v>
      </c>
      <c r="I59" s="52">
        <f t="shared" si="2"/>
        <v>727805151.44307697</v>
      </c>
      <c r="J59" s="61">
        <f t="shared" si="3"/>
        <v>0.88748669030044425</v>
      </c>
      <c r="K59" s="26">
        <f t="shared" si="4"/>
        <v>-42824074.083264947</v>
      </c>
      <c r="L59" s="26">
        <f t="shared" si="5"/>
        <v>135093363.64018801</v>
      </c>
      <c r="M59" s="26">
        <f t="shared" si="6"/>
        <v>92269289.556923032</v>
      </c>
      <c r="N59" s="26">
        <f ca="1">IFERROR(M59/C3,0)</f>
        <v>0</v>
      </c>
    </row>
    <row r="60" spans="2:14" x14ac:dyDescent="0.25">
      <c r="B60" s="53" t="s">
        <v>88</v>
      </c>
      <c r="C60" s="56" t="s">
        <v>89</v>
      </c>
      <c r="D60" s="54">
        <f>TARGETS!H18</f>
        <v>283512056</v>
      </c>
      <c r="E60" s="54">
        <f>TARGETS!I18</f>
        <v>239288340</v>
      </c>
      <c r="F60" s="54">
        <f t="shared" si="0"/>
        <v>522800396</v>
      </c>
      <c r="G60" s="52">
        <f t="shared" si="7"/>
        <v>185682375.568874</v>
      </c>
      <c r="H60" s="52">
        <f t="shared" si="8"/>
        <v>146484460.668556</v>
      </c>
      <c r="I60" s="52">
        <f t="shared" si="2"/>
        <v>332166836.23742998</v>
      </c>
      <c r="J60" s="61">
        <f t="shared" si="3"/>
        <v>0.63536072041810387</v>
      </c>
      <c r="K60" s="28">
        <f t="shared" si="4"/>
        <v>97829680.431125998</v>
      </c>
      <c r="L60" s="28">
        <f t="shared" si="5"/>
        <v>92803879.331443995</v>
      </c>
      <c r="M60" s="28">
        <f t="shared" si="6"/>
        <v>190633559.76257002</v>
      </c>
      <c r="N60" s="28">
        <f ca="1">IFERROR(M60/C3,0)</f>
        <v>0</v>
      </c>
    </row>
    <row r="61" spans="2:14" x14ac:dyDescent="0.25">
      <c r="B61" s="57" t="s">
        <v>152</v>
      </c>
      <c r="C61" s="58"/>
      <c r="D61" s="36">
        <f t="shared" ref="D61:I61" si="9">SUM(D49:D60)</f>
        <v>6726156407</v>
      </c>
      <c r="E61" s="36">
        <f t="shared" si="9"/>
        <v>1269766212</v>
      </c>
      <c r="F61" s="36">
        <f t="shared" si="9"/>
        <v>7995922619</v>
      </c>
      <c r="G61" s="36">
        <f t="shared" si="9"/>
        <v>4565958013.3156729</v>
      </c>
      <c r="H61" s="36">
        <f t="shared" si="9"/>
        <v>850498025.18287301</v>
      </c>
      <c r="I61" s="36">
        <f t="shared" si="9"/>
        <v>5416456038.4985456</v>
      </c>
      <c r="J61" s="43">
        <f t="shared" si="3"/>
        <v>0.67740225819943567</v>
      </c>
      <c r="K61" s="65">
        <f>SUM(K49:K60)</f>
        <v>2160198393.6843271</v>
      </c>
      <c r="L61" s="65">
        <f>SUM(L49:L60)</f>
        <v>419268186.81712699</v>
      </c>
      <c r="M61" s="65">
        <f>SUM(M49:M60)</f>
        <v>2579466580.5014544</v>
      </c>
      <c r="N61" s="66">
        <f ca="1">IFERROR(M61/C3,0)</f>
        <v>0</v>
      </c>
    </row>
    <row r="62" spans="2:14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2:14" ht="28.5" customHeight="1" x14ac:dyDescent="0.25">
      <c r="B63" s="60" t="s">
        <v>145</v>
      </c>
      <c r="C63" s="60"/>
      <c r="D63" s="60"/>
      <c r="E63" s="60"/>
      <c r="F63" s="60"/>
      <c r="G63" s="60"/>
      <c r="H63" s="60"/>
      <c r="I63" s="24"/>
      <c r="J63" s="24"/>
      <c r="K63" s="24"/>
      <c r="L63" s="24"/>
      <c r="M63" s="24"/>
      <c r="N63" s="24"/>
    </row>
    <row r="64" spans="2:14" x14ac:dyDescent="0.25">
      <c r="B64" s="72" t="s">
        <v>153</v>
      </c>
      <c r="C64" s="72" t="s">
        <v>42</v>
      </c>
      <c r="D64" s="72" t="s">
        <v>138</v>
      </c>
      <c r="E64" s="72" t="s">
        <v>139</v>
      </c>
      <c r="F64" s="72" t="s">
        <v>140</v>
      </c>
      <c r="G64" s="72" t="s">
        <v>141</v>
      </c>
      <c r="H64" s="72" t="s">
        <v>142</v>
      </c>
      <c r="I64" s="24"/>
      <c r="J64" s="24"/>
      <c r="K64" s="24"/>
      <c r="L64" s="24"/>
      <c r="M64" s="24"/>
      <c r="N64" s="24"/>
    </row>
    <row r="65" spans="2:14" x14ac:dyDescent="0.25">
      <c r="B65" s="25" t="s">
        <v>92</v>
      </c>
      <c r="C65" s="62" t="s">
        <v>93</v>
      </c>
      <c r="D65" s="51">
        <f>TARGETS!F22</f>
        <v>323873505</v>
      </c>
      <c r="E65" s="52">
        <f>IFERROR(C30,0)</f>
        <v>174213927.33888301</v>
      </c>
      <c r="F65" s="61">
        <f t="shared" ref="F65:F70" si="10">IFERROR(E65/D65,0)</f>
        <v>0.53790731458222563</v>
      </c>
      <c r="G65" s="26">
        <f>D65-E65</f>
        <v>149659577.66111699</v>
      </c>
      <c r="H65" s="26">
        <f ca="1">IFERROR(G65/C3,0)</f>
        <v>0</v>
      </c>
      <c r="I65" s="24"/>
      <c r="J65" s="24"/>
      <c r="K65" s="24"/>
      <c r="L65" s="24"/>
      <c r="M65" s="24"/>
      <c r="N65" s="24"/>
    </row>
    <row r="66" spans="2:14" x14ac:dyDescent="0.25">
      <c r="B66" s="27" t="s">
        <v>94</v>
      </c>
      <c r="C66" s="63" t="s">
        <v>95</v>
      </c>
      <c r="D66" s="54">
        <f>TARGETS!F23</f>
        <v>455379010</v>
      </c>
      <c r="E66" s="52">
        <f>IFERROR(C31,0)</f>
        <v>309778739.936719</v>
      </c>
      <c r="F66" s="61">
        <f t="shared" si="10"/>
        <v>0.68026574157802966</v>
      </c>
      <c r="G66" s="28">
        <f>D66-E66</f>
        <v>145600270.063281</v>
      </c>
      <c r="H66" s="28">
        <f ca="1">IFERROR(G66/C3,0)</f>
        <v>0</v>
      </c>
      <c r="I66" s="24"/>
      <c r="J66" s="24"/>
      <c r="K66" s="24"/>
      <c r="L66" s="24"/>
      <c r="M66" s="24"/>
      <c r="N66" s="24"/>
    </row>
    <row r="67" spans="2:14" x14ac:dyDescent="0.25">
      <c r="B67" s="25" t="s">
        <v>96</v>
      </c>
      <c r="C67" s="62" t="s">
        <v>97</v>
      </c>
      <c r="D67" s="51">
        <f>TARGETS!F24</f>
        <v>989815282</v>
      </c>
      <c r="E67" s="52">
        <f>P21+P7</f>
        <v>687566311.79655898</v>
      </c>
      <c r="F67" s="61">
        <f t="shared" si="10"/>
        <v>0.69464103484771111</v>
      </c>
      <c r="G67" s="26">
        <f>D67-E67</f>
        <v>302248970.20344102</v>
      </c>
      <c r="H67" s="26">
        <f ca="1">IFERROR(G67/C3,0)</f>
        <v>0</v>
      </c>
      <c r="I67" s="24"/>
      <c r="J67" s="24"/>
      <c r="K67" s="24"/>
      <c r="L67" s="24"/>
      <c r="M67" s="24"/>
      <c r="N67" s="24"/>
    </row>
    <row r="68" spans="2:14" x14ac:dyDescent="0.25">
      <c r="B68" s="27" t="s">
        <v>98</v>
      </c>
      <c r="C68" s="63" t="s">
        <v>99</v>
      </c>
      <c r="D68" s="54">
        <f>TARGETS!F25</f>
        <v>0</v>
      </c>
      <c r="E68" s="52">
        <f>0</f>
        <v>0</v>
      </c>
      <c r="F68" s="61">
        <f t="shared" si="10"/>
        <v>0</v>
      </c>
      <c r="G68" s="28">
        <f>D68-E68</f>
        <v>0</v>
      </c>
      <c r="H68" s="28">
        <f ca="1">IFERROR(G68/C3,0)</f>
        <v>0</v>
      </c>
      <c r="I68" s="24"/>
      <c r="J68" s="24"/>
      <c r="K68" s="24"/>
      <c r="L68" s="24"/>
      <c r="M68" s="24"/>
      <c r="N68" s="24"/>
    </row>
    <row r="69" spans="2:14" x14ac:dyDescent="0.25">
      <c r="B69" s="25" t="s">
        <v>100</v>
      </c>
      <c r="C69" s="64" t="s">
        <v>101</v>
      </c>
      <c r="D69" s="51">
        <f>TARGETS!F26</f>
        <v>0</v>
      </c>
      <c r="E69" s="52">
        <f>0</f>
        <v>0</v>
      </c>
      <c r="F69" s="61">
        <f t="shared" si="10"/>
        <v>0</v>
      </c>
      <c r="G69" s="26">
        <f>D69-E69</f>
        <v>0</v>
      </c>
      <c r="H69" s="26">
        <f ca="1">IFERROR(G69/C3,0)</f>
        <v>0</v>
      </c>
      <c r="I69" s="24"/>
      <c r="J69" s="24"/>
      <c r="K69" s="24"/>
      <c r="L69" s="24"/>
      <c r="M69" s="24"/>
      <c r="N69" s="24"/>
    </row>
    <row r="70" spans="2:14" x14ac:dyDescent="0.25">
      <c r="B70" s="59" t="s">
        <v>152</v>
      </c>
      <c r="C70" s="58"/>
      <c r="D70" s="36">
        <f>SUM(D65:D69)</f>
        <v>1769067797</v>
      </c>
      <c r="E70" s="36">
        <f>SUM(E65:E69)</f>
        <v>1171558979.072161</v>
      </c>
      <c r="F70" s="33">
        <f t="shared" si="10"/>
        <v>0.6622465125750977</v>
      </c>
      <c r="G70" s="36">
        <f>SUM(G65:G69)</f>
        <v>597508817.92783904</v>
      </c>
      <c r="H70" s="32">
        <f ca="1">IFERROR(G70/C3,0)</f>
        <v>0</v>
      </c>
      <c r="I70" s="24"/>
      <c r="J70" s="24"/>
      <c r="K70" s="24"/>
      <c r="L70" s="24"/>
      <c r="M70" s="24"/>
      <c r="N70" s="24"/>
    </row>
  </sheetData>
  <dataConsolidate/>
  <mergeCells count="6">
    <mergeCell ref="N47:N48"/>
    <mergeCell ref="D47:F47"/>
    <mergeCell ref="B44:C44"/>
    <mergeCell ref="B47:B48"/>
    <mergeCell ref="C47:C48"/>
    <mergeCell ref="J47:J48"/>
  </mergeCells>
  <conditionalFormatting sqref="F41:F43 F65:F67">
    <cfRule type="expression" dxfId="32" priority="3">
      <formula>F41&lt;$F$39-0.2</formula>
    </cfRule>
  </conditionalFormatting>
  <conditionalFormatting sqref="F41:F43">
    <cfRule type="expression" dxfId="31" priority="1">
      <formula>F41&gt;=$F$39</formula>
    </cfRule>
    <cfRule type="expression" dxfId="30" priority="2">
      <formula>AND(F41&gt;=$F$39-0.2,F41&lt;$F$39)</formula>
    </cfRule>
  </conditionalFormatting>
  <conditionalFormatting sqref="J49:J60">
    <cfRule type="expression" dxfId="29" priority="4">
      <formula>J49&gt;=$F$39-0.05</formula>
    </cfRule>
    <cfRule type="expression" dxfId="28" priority="5">
      <formula>AND(J49&gt;=$F$39-0.2,J49&lt;$F$39-0.05)</formula>
    </cfRule>
    <cfRule type="expression" dxfId="27" priority="6">
      <formula>J49&lt;$F$39-0.2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94"/>
  <sheetViews>
    <sheetView showGridLines="0" topLeftCell="A65" zoomScaleNormal="100" workbookViewId="0">
      <selection activeCell="D70" sqref="D70:D83"/>
    </sheetView>
  </sheetViews>
  <sheetFormatPr defaultColWidth="8.7109375" defaultRowHeight="15" x14ac:dyDescent="0.25"/>
  <cols>
    <col min="1" max="1" width="2" customWidth="1"/>
    <col min="2" max="2" width="33.7109375" customWidth="1"/>
    <col min="3" max="3" width="17" customWidth="1"/>
    <col min="4" max="4" width="15.85546875" customWidth="1"/>
    <col min="5" max="5" width="15.42578125" customWidth="1"/>
    <col min="6" max="6" width="15.7109375" bestFit="1" customWidth="1"/>
    <col min="7" max="7" width="15.7109375" style="116" bestFit="1" customWidth="1"/>
    <col min="8" max="8" width="14" style="116" bestFit="1" customWidth="1"/>
    <col min="9" max="9" width="15.7109375" style="116" bestFit="1" customWidth="1"/>
    <col min="10" max="10" width="9.42578125" customWidth="1"/>
    <col min="11" max="11" width="14.28515625" bestFit="1" customWidth="1"/>
    <col min="12" max="12" width="12.140625" customWidth="1"/>
    <col min="13" max="13" width="14.28515625" bestFit="1" customWidth="1"/>
    <col min="14" max="14" width="12.42578125" bestFit="1" customWidth="1"/>
    <col min="16" max="16" width="13.28515625" bestFit="1" customWidth="1"/>
    <col min="17" max="17" width="12.140625" bestFit="1" customWidth="1"/>
    <col min="18" max="18" width="13.28515625" bestFit="1" customWidth="1"/>
  </cols>
  <sheetData>
    <row r="1" spans="2:14" ht="19.5" x14ac:dyDescent="0.25">
      <c r="B1" s="86" t="s">
        <v>156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3" spans="2:14" ht="15.75" x14ac:dyDescent="0.25">
      <c r="B3" s="77" t="s">
        <v>103</v>
      </c>
      <c r="C3" s="78">
        <f ca="1">MAX(0,NETWORKDAYS.INTL(MAX(TODAY(),DATE(YEAR(TODAY()),4,1)),EOMONTH(DATE(YEAR(TODAY()),4,1),0),11))</f>
        <v>0</v>
      </c>
      <c r="D3" s="79" t="s">
        <v>104</v>
      </c>
      <c r="E3" s="80">
        <f ca="1">DAY(EOMONTH(DATE(YEAR(TODAY()),4,1),0))</f>
        <v>30</v>
      </c>
    </row>
    <row r="6" spans="2:14" x14ac:dyDescent="0.25">
      <c r="B6" s="81" t="s">
        <v>105</v>
      </c>
      <c r="C6" s="81"/>
      <c r="D6" s="81"/>
      <c r="E6" s="81"/>
      <c r="F6" s="81"/>
      <c r="G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G7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G8"/>
      <c r="J8" s="116"/>
      <c r="M8" s="11">
        <f>C24</f>
        <v>299770568.60838997</v>
      </c>
      <c r="N8" s="11">
        <f>D24</f>
        <v>45375105.343964003</v>
      </c>
    </row>
    <row r="9" spans="2:14" x14ac:dyDescent="0.25">
      <c r="B9" s="84"/>
      <c r="C9" s="85">
        <v>0</v>
      </c>
      <c r="D9" s="85">
        <v>0</v>
      </c>
      <c r="E9" s="85">
        <v>0</v>
      </c>
      <c r="F9" s="85"/>
      <c r="G9"/>
      <c r="J9" s="116"/>
      <c r="M9" s="11">
        <f>C12+C13</f>
        <v>491669786.60148901</v>
      </c>
      <c r="N9" s="11">
        <f>D12+D13</f>
        <v>120248212.43861198</v>
      </c>
    </row>
    <row r="10" spans="2:14" x14ac:dyDescent="0.25">
      <c r="B10" s="74" t="s">
        <v>113</v>
      </c>
      <c r="C10" s="15">
        <v>303439555.68576801</v>
      </c>
      <c r="D10" s="15">
        <v>28364314.698472001</v>
      </c>
      <c r="E10" s="15">
        <v>61031205.54998</v>
      </c>
      <c r="F10" s="15">
        <v>392835075.93422002</v>
      </c>
      <c r="G10"/>
      <c r="J10" s="116"/>
      <c r="M10" s="11">
        <f>C14</f>
        <v>537997275.46389103</v>
      </c>
      <c r="N10" s="11">
        <f>D14</f>
        <v>21205741.099730998</v>
      </c>
    </row>
    <row r="11" spans="2:14" x14ac:dyDescent="0.25">
      <c r="B11" s="74" t="s">
        <v>114</v>
      </c>
      <c r="C11" s="15">
        <v>304137742.30899602</v>
      </c>
      <c r="D11" s="15">
        <v>119707150.766315</v>
      </c>
      <c r="E11" s="15">
        <v>34053355</v>
      </c>
      <c r="F11" s="15">
        <v>457898248.07531101</v>
      </c>
      <c r="G11"/>
      <c r="J11" s="116"/>
      <c r="M11" s="11">
        <f>C17</f>
        <v>355626119.92999297</v>
      </c>
      <c r="N11" s="11">
        <f>D17</f>
        <v>44657675.509999998</v>
      </c>
    </row>
    <row r="12" spans="2:14" x14ac:dyDescent="0.25">
      <c r="B12" s="74" t="s">
        <v>70</v>
      </c>
      <c r="C12" s="15">
        <v>255272238.70392501</v>
      </c>
      <c r="D12" s="15">
        <v>80101515.078845993</v>
      </c>
      <c r="E12" s="15">
        <v>71143242</v>
      </c>
      <c r="F12" s="15">
        <v>406516995.78277099</v>
      </c>
      <c r="G12"/>
      <c r="J12" s="116"/>
      <c r="M12" s="11">
        <f>C16</f>
        <v>449682614.319305</v>
      </c>
      <c r="N12" s="11">
        <f>D16</f>
        <v>60505589.095815003</v>
      </c>
    </row>
    <row r="13" spans="2:14" x14ac:dyDescent="0.25">
      <c r="B13" s="74" t="s">
        <v>115</v>
      </c>
      <c r="C13" s="15">
        <v>236397547.89756399</v>
      </c>
      <c r="D13" s="15">
        <v>40146697.359765999</v>
      </c>
      <c r="E13" s="15">
        <v>10759098.960000001</v>
      </c>
      <c r="F13" s="15">
        <v>287303344.21732998</v>
      </c>
      <c r="G13"/>
      <c r="J13" s="116"/>
      <c r="M13" s="11">
        <f>C19</f>
        <v>1030915377.322188</v>
      </c>
      <c r="N13" s="11">
        <f>D19</f>
        <v>59498535.799857996</v>
      </c>
    </row>
    <row r="14" spans="2:14" x14ac:dyDescent="0.25">
      <c r="B14" s="74" t="s">
        <v>116</v>
      </c>
      <c r="C14" s="15">
        <v>537997275.46389103</v>
      </c>
      <c r="D14" s="15">
        <v>21205741.099730998</v>
      </c>
      <c r="E14" s="15">
        <v>66130323.599985003</v>
      </c>
      <c r="F14" s="15">
        <v>625333340.163607</v>
      </c>
      <c r="G14"/>
      <c r="J14" s="116"/>
      <c r="M14" s="11">
        <f>C25</f>
        <v>378754537.60554802</v>
      </c>
      <c r="N14" s="11">
        <f>D25</f>
        <v>62284984.519973002</v>
      </c>
    </row>
    <row r="15" spans="2:14" x14ac:dyDescent="0.25">
      <c r="B15" s="84" t="s">
        <v>117</v>
      </c>
      <c r="C15" s="150"/>
      <c r="D15" s="150" t="s">
        <v>169</v>
      </c>
      <c r="E15" s="150"/>
      <c r="F15" s="150"/>
      <c r="G15"/>
      <c r="J15" s="116"/>
      <c r="M15" s="11">
        <f>C11</f>
        <v>304137742.30899602</v>
      </c>
      <c r="N15" s="11">
        <f>D11</f>
        <v>119707150.766315</v>
      </c>
    </row>
    <row r="16" spans="2:14" x14ac:dyDescent="0.25">
      <c r="B16" s="74" t="s">
        <v>74</v>
      </c>
      <c r="C16" s="15">
        <v>449682614.319305</v>
      </c>
      <c r="D16" s="15">
        <v>60505589.095815003</v>
      </c>
      <c r="E16" s="15">
        <v>2883783.76</v>
      </c>
      <c r="F16" s="15">
        <v>513071987.17512</v>
      </c>
      <c r="G16"/>
      <c r="J16" s="116"/>
      <c r="M16" s="11">
        <f>C26</f>
        <v>479291727.990435</v>
      </c>
      <c r="N16" s="11">
        <f>D26</f>
        <v>61629599.543938003</v>
      </c>
    </row>
    <row r="17" spans="2:18" x14ac:dyDescent="0.25">
      <c r="B17" s="74" t="s">
        <v>118</v>
      </c>
      <c r="C17" s="15">
        <v>355626119.92999297</v>
      </c>
      <c r="D17" s="15">
        <v>44657675.509999998</v>
      </c>
      <c r="E17" s="15" t="s">
        <v>169</v>
      </c>
      <c r="F17" s="15">
        <v>400283795.43999302</v>
      </c>
      <c r="G17"/>
      <c r="J17" s="116"/>
      <c r="M17" s="11">
        <f>C10</f>
        <v>303439555.68576801</v>
      </c>
      <c r="N17" s="11">
        <f>D10</f>
        <v>28364314.698472001</v>
      </c>
    </row>
    <row r="18" spans="2:18" x14ac:dyDescent="0.25">
      <c r="B18" s="74" t="s">
        <v>119</v>
      </c>
      <c r="C18" s="15">
        <v>1267577083.8097451</v>
      </c>
      <c r="D18" s="15">
        <v>9652531.8548969999</v>
      </c>
      <c r="E18" s="15">
        <v>3932432.4</v>
      </c>
      <c r="F18" s="15">
        <v>1281162048.064642</v>
      </c>
      <c r="G18"/>
      <c r="J18" s="116"/>
      <c r="M18" s="11">
        <f>C27</f>
        <v>663559823.79009497</v>
      </c>
      <c r="N18" s="11">
        <f>D27</f>
        <v>200253231.98958299</v>
      </c>
    </row>
    <row r="19" spans="2:18" x14ac:dyDescent="0.25">
      <c r="B19" s="74" t="s">
        <v>121</v>
      </c>
      <c r="C19" s="15">
        <v>1030915377.322188</v>
      </c>
      <c r="D19" s="15">
        <v>59498535.799857996</v>
      </c>
      <c r="E19" s="15">
        <v>287203621.35000002</v>
      </c>
      <c r="F19" s="15">
        <v>1377617534.4720459</v>
      </c>
      <c r="G19"/>
      <c r="J19" s="116"/>
      <c r="M19" s="11">
        <f>C20+C21</f>
        <v>162674997.04759601</v>
      </c>
      <c r="N19" s="11">
        <f>D20+D21</f>
        <v>152708112.726924</v>
      </c>
    </row>
    <row r="20" spans="2:18" x14ac:dyDescent="0.25">
      <c r="B20" s="74" t="s">
        <v>123</v>
      </c>
      <c r="C20" s="15">
        <v>105315057.62759601</v>
      </c>
      <c r="D20" s="15">
        <v>16467727.799813</v>
      </c>
      <c r="E20" s="15" t="s">
        <v>169</v>
      </c>
      <c r="F20" s="15">
        <v>121782785.42740899</v>
      </c>
      <c r="G20"/>
      <c r="J20" s="116"/>
      <c r="M20" s="14">
        <f>IFERROR(C31,0)+IFERROR(C15,0)+IFERROR(C36,0)</f>
        <v>311290805.19997603</v>
      </c>
      <c r="N20" s="10" t="s">
        <v>120</v>
      </c>
    </row>
    <row r="21" spans="2:18" x14ac:dyDescent="0.25">
      <c r="B21" s="74" t="s">
        <v>124</v>
      </c>
      <c r="C21" s="15">
        <v>57359939.420000002</v>
      </c>
      <c r="D21" s="15">
        <v>136240384.927111</v>
      </c>
      <c r="E21" s="15" t="s">
        <v>169</v>
      </c>
      <c r="F21" s="15">
        <v>193600324.34711099</v>
      </c>
      <c r="G21"/>
      <c r="J21" s="116"/>
      <c r="M21" s="14">
        <f>IFERROR(C34,0)+IFERROR(C35,0)+M20</f>
        <v>897130483.57328391</v>
      </c>
      <c r="N21" s="10" t="s">
        <v>122</v>
      </c>
    </row>
    <row r="22" spans="2:18" x14ac:dyDescent="0.25">
      <c r="B22" s="74" t="s">
        <v>173</v>
      </c>
      <c r="C22" s="15">
        <v>38884328.600000001</v>
      </c>
      <c r="D22" s="15" t="s">
        <v>169</v>
      </c>
      <c r="E22" s="15">
        <v>12315315.119999999</v>
      </c>
      <c r="F22" s="15">
        <v>51199643.719999999</v>
      </c>
      <c r="G22"/>
      <c r="J22" s="116"/>
      <c r="Q22" s="14"/>
      <c r="R22" s="10"/>
    </row>
    <row r="23" spans="2:18" x14ac:dyDescent="0.25">
      <c r="B23" s="74" t="s">
        <v>174</v>
      </c>
      <c r="C23" s="15">
        <v>120550492.72</v>
      </c>
      <c r="D23" s="15" t="s">
        <v>169</v>
      </c>
      <c r="E23" s="15">
        <v>17151621.32</v>
      </c>
      <c r="F23" s="15">
        <v>137702114.03999999</v>
      </c>
      <c r="G23"/>
      <c r="J23" s="116"/>
      <c r="Q23" s="14"/>
      <c r="R23" s="10"/>
    </row>
    <row r="24" spans="2:18" x14ac:dyDescent="0.25">
      <c r="B24" s="74" t="s">
        <v>125</v>
      </c>
      <c r="C24" s="15">
        <v>299770568.60838997</v>
      </c>
      <c r="D24" s="15">
        <v>45375105.343964003</v>
      </c>
      <c r="E24" s="15">
        <v>24325368.979991999</v>
      </c>
      <c r="F24" s="15">
        <v>369471042.93234599</v>
      </c>
      <c r="G24"/>
      <c r="J24" s="116"/>
    </row>
    <row r="25" spans="2:18" x14ac:dyDescent="0.25">
      <c r="B25" s="74" t="s">
        <v>126</v>
      </c>
      <c r="C25" s="15">
        <v>378754537.60554802</v>
      </c>
      <c r="D25" s="15">
        <v>62284984.519973002</v>
      </c>
      <c r="E25" s="15">
        <v>26407801.439994998</v>
      </c>
      <c r="F25" s="15">
        <v>467447323.565516</v>
      </c>
      <c r="G25"/>
      <c r="J25" s="116"/>
    </row>
    <row r="26" spans="2:18" x14ac:dyDescent="0.25">
      <c r="B26" s="74" t="s">
        <v>127</v>
      </c>
      <c r="C26" s="15">
        <v>479291727.990435</v>
      </c>
      <c r="D26" s="15">
        <v>61629599.543938003</v>
      </c>
      <c r="E26" s="15">
        <v>112736039.39988001</v>
      </c>
      <c r="F26" s="15">
        <v>653657366.93425298</v>
      </c>
      <c r="G26"/>
      <c r="J26" s="116"/>
    </row>
    <row r="27" spans="2:18" x14ac:dyDescent="0.25">
      <c r="B27" s="74" t="s">
        <v>128</v>
      </c>
      <c r="C27" s="15">
        <v>663559823.79009497</v>
      </c>
      <c r="D27" s="15">
        <v>200253231.98958299</v>
      </c>
      <c r="E27" s="15" t="s">
        <v>169</v>
      </c>
      <c r="F27" s="15">
        <v>863813055.77967799</v>
      </c>
      <c r="G27"/>
      <c r="J27" s="116"/>
    </row>
    <row r="29" spans="2:18" x14ac:dyDescent="0.25">
      <c r="B29" s="82" t="s">
        <v>129</v>
      </c>
      <c r="C29" s="82"/>
    </row>
    <row r="30" spans="2:18" x14ac:dyDescent="0.25">
      <c r="B30" s="83" t="s">
        <v>130</v>
      </c>
      <c r="C30" s="83" t="s">
        <v>131</v>
      </c>
    </row>
    <row r="31" spans="2:18" x14ac:dyDescent="0.25">
      <c r="B31" s="76"/>
      <c r="C31" s="15"/>
    </row>
    <row r="32" spans="2:18" x14ac:dyDescent="0.25">
      <c r="B32" s="84" t="s">
        <v>132</v>
      </c>
      <c r="C32" s="15">
        <v>240237597.65824801</v>
      </c>
    </row>
    <row r="33" spans="2:14" x14ac:dyDescent="0.25">
      <c r="B33" s="84" t="s">
        <v>133</v>
      </c>
      <c r="C33" s="15">
        <v>449933743.924721</v>
      </c>
    </row>
    <row r="34" spans="2:14" x14ac:dyDescent="0.25">
      <c r="B34" s="84" t="s">
        <v>134</v>
      </c>
      <c r="C34" s="15">
        <v>318278585.086043</v>
      </c>
    </row>
    <row r="35" spans="2:14" x14ac:dyDescent="0.25">
      <c r="B35" s="84" t="s">
        <v>135</v>
      </c>
      <c r="C35" s="15">
        <v>267561093.287265</v>
      </c>
    </row>
    <row r="36" spans="2:14" x14ac:dyDescent="0.25">
      <c r="B36" s="84" t="s">
        <v>136</v>
      </c>
      <c r="C36" s="15">
        <v>311290805.19997603</v>
      </c>
    </row>
    <row r="37" spans="2:14" x14ac:dyDescent="0.25">
      <c r="B37" s="84"/>
      <c r="C37" s="85"/>
    </row>
    <row r="38" spans="2:14" x14ac:dyDescent="0.25">
      <c r="B38" s="76"/>
      <c r="C38" s="85"/>
    </row>
    <row r="41" spans="2:14" ht="20.100000000000001" customHeight="1" x14ac:dyDescent="0.25">
      <c r="B41" s="224" t="s">
        <v>183</v>
      </c>
      <c r="C41" s="225"/>
      <c r="D41" s="226"/>
      <c r="E41" s="67" t="s">
        <v>138</v>
      </c>
      <c r="F41" s="73">
        <v>1</v>
      </c>
      <c r="G41" s="117"/>
      <c r="H41" s="117"/>
    </row>
    <row r="42" spans="2:14" ht="20.100000000000001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</row>
    <row r="43" spans="2:14" ht="20.100000000000001" customHeight="1" x14ac:dyDescent="0.25">
      <c r="B43" s="114" t="s">
        <v>143</v>
      </c>
      <c r="C43" s="41" t="s">
        <v>144</v>
      </c>
      <c r="D43" s="45">
        <f>SUM(TARGETS!J5:J7,TARGETS!J8:J13,TARGETS!J14:J18)</f>
        <v>6619279333.0648613</v>
      </c>
      <c r="E43" s="46">
        <f>G65</f>
        <v>5616954947.9936943</v>
      </c>
      <c r="F43" s="44">
        <f>IFERROR(E43/D43,0)</f>
        <v>0.84857499817777438</v>
      </c>
      <c r="G43" s="118">
        <f>D43-E43</f>
        <v>1002324385.071167</v>
      </c>
      <c r="H43" s="118">
        <f ca="1">IFERROR(G43/C3,0)</f>
        <v>0</v>
      </c>
    </row>
    <row r="44" spans="2:14" ht="20.100000000000001" customHeight="1" x14ac:dyDescent="0.25">
      <c r="B44" s="114" t="s">
        <v>111</v>
      </c>
      <c r="C44" s="41" t="s">
        <v>144</v>
      </c>
      <c r="D44" s="45">
        <f>SUM(TARGETS!K5:K6,TARGETS!K8:K12,TARGETS!K14:K18)</f>
        <v>1269766212</v>
      </c>
      <c r="E44" s="46">
        <f>N8+N9+N10+N11+N12+N13+N14+N15+N16+N17+N18+N19</f>
        <v>976438253.53318501</v>
      </c>
      <c r="F44" s="44">
        <f>IFERROR(E44/D44,0)</f>
        <v>0.76899057819092842</v>
      </c>
      <c r="G44" s="118">
        <f>D44-E44</f>
        <v>293327958.46681499</v>
      </c>
      <c r="H44" s="118">
        <f ca="1">IFERROR(G44/C3,0)</f>
        <v>0</v>
      </c>
    </row>
    <row r="45" spans="2:14" ht="20.100000000000001" customHeight="1" x14ac:dyDescent="0.25">
      <c r="B45" s="114" t="s">
        <v>145</v>
      </c>
      <c r="C45" s="41" t="s">
        <v>144</v>
      </c>
      <c r="D45" s="45">
        <f>SUM(TARGETS!G22:G26)</f>
        <v>1791489361.7021284</v>
      </c>
      <c r="E45" s="46">
        <f>IFERROR(C32,0)+IFERROR(C33,0)+M21+F9</f>
        <v>1587301825.1562529</v>
      </c>
      <c r="F45" s="44">
        <f>IFERROR(E45/D45,0)</f>
        <v>0.88602358411334747</v>
      </c>
      <c r="G45" s="118">
        <f>D45-E45</f>
        <v>204187536.54587555</v>
      </c>
      <c r="H45" s="118">
        <f ca="1">IFERROR(G45/C3,0)</f>
        <v>0</v>
      </c>
    </row>
    <row r="46" spans="2:14" ht="20.100000000000001" customHeight="1" x14ac:dyDescent="0.25">
      <c r="B46" s="221" t="s">
        <v>146</v>
      </c>
      <c r="C46" s="222"/>
      <c r="D46" s="47">
        <f>D43+D44+D45</f>
        <v>9680534906.7669907</v>
      </c>
      <c r="E46" s="47">
        <f>E43+E44+E45</f>
        <v>8180695026.6831322</v>
      </c>
      <c r="F46" s="43">
        <f>IFERROR(E46/D46,0)</f>
        <v>0.84506642509646601</v>
      </c>
      <c r="G46" s="119">
        <f>G43+G44+G45</f>
        <v>1499839880.0838575</v>
      </c>
      <c r="H46" s="119">
        <f ca="1">IFERROR(G46/C3,0)</f>
        <v>0</v>
      </c>
    </row>
    <row r="48" spans="2:14" s="158" customFormat="1" ht="20.100000000000001" customHeight="1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35"/>
      <c r="L48" s="236"/>
      <c r="M48" s="236"/>
      <c r="N48" s="237"/>
    </row>
    <row r="49" spans="2:14" s="158" customFormat="1" ht="20.100000000000001" customHeight="1" x14ac:dyDescent="0.25">
      <c r="B49" s="234" t="s">
        <v>41</v>
      </c>
      <c r="C49" s="234" t="s">
        <v>42</v>
      </c>
      <c r="D49" s="231" t="s">
        <v>138</v>
      </c>
      <c r="E49" s="232"/>
      <c r="F49" s="233"/>
      <c r="G49" s="159" t="s">
        <v>139</v>
      </c>
      <c r="H49" s="159"/>
      <c r="I49" s="159"/>
      <c r="J49" s="234" t="s">
        <v>140</v>
      </c>
      <c r="K49" s="160" t="s">
        <v>148</v>
      </c>
      <c r="L49" s="160"/>
      <c r="M49" s="160"/>
      <c r="N49" s="227" t="s">
        <v>149</v>
      </c>
    </row>
    <row r="50" spans="2:14" s="158" customFormat="1" ht="20.100000000000001" customHeight="1" x14ac:dyDescent="0.25">
      <c r="B50" s="234"/>
      <c r="C50" s="234"/>
      <c r="D50" s="161" t="s">
        <v>150</v>
      </c>
      <c r="E50" s="161" t="s">
        <v>151</v>
      </c>
      <c r="F50" s="161" t="s">
        <v>131</v>
      </c>
      <c r="G50" s="162" t="s">
        <v>150</v>
      </c>
      <c r="H50" s="162" t="s">
        <v>151</v>
      </c>
      <c r="I50" s="162" t="s">
        <v>131</v>
      </c>
      <c r="J50" s="234"/>
      <c r="K50" s="163" t="s">
        <v>143</v>
      </c>
      <c r="L50" s="163" t="s">
        <v>111</v>
      </c>
      <c r="M50" s="163" t="s">
        <v>146</v>
      </c>
      <c r="N50" s="227"/>
    </row>
    <row r="51" spans="2:14" s="158" customFormat="1" ht="20.100000000000001" customHeight="1" x14ac:dyDescent="0.25">
      <c r="B51" s="183" t="s">
        <v>67</v>
      </c>
      <c r="C51" s="184" t="s">
        <v>68</v>
      </c>
      <c r="D51" s="175">
        <f>TARGETS!J5</f>
        <v>396683478.3262167</v>
      </c>
      <c r="E51" s="175">
        <f>TARGETS!K5</f>
        <v>49588709</v>
      </c>
      <c r="F51" s="175">
        <f t="shared" ref="F51:F64" si="0">D51+E51</f>
        <v>446272187.3262167</v>
      </c>
      <c r="G51" s="176">
        <f>M8</f>
        <v>299770568.60838997</v>
      </c>
      <c r="H51" s="176">
        <f>N8</f>
        <v>45375105.343964003</v>
      </c>
      <c r="I51" s="176">
        <f t="shared" ref="I51:I64" si="1">G51+H51</f>
        <v>345145673.95235395</v>
      </c>
      <c r="J51" s="177">
        <f t="shared" ref="J51:J64" si="2">IFERROR(I51/F51,0)</f>
        <v>0.77339723100435753</v>
      </c>
      <c r="K51" s="164">
        <f t="shared" ref="K51:K64" si="3">D51-G51</f>
        <v>96912909.717826724</v>
      </c>
      <c r="L51" s="164">
        <f t="shared" ref="L51:L64" si="4">E51-H51</f>
        <v>4213603.656035997</v>
      </c>
      <c r="M51" s="164">
        <f t="shared" ref="M51:M64" si="5">F51-I51</f>
        <v>101126513.37386274</v>
      </c>
      <c r="N51" s="164">
        <f ca="1">IFERROR(M51/C3,0)</f>
        <v>0</v>
      </c>
    </row>
    <row r="52" spans="2:14" s="158" customFormat="1" ht="20.100000000000001" customHeight="1" x14ac:dyDescent="0.25">
      <c r="B52" s="185" t="s">
        <v>69</v>
      </c>
      <c r="C52" s="186" t="s">
        <v>70</v>
      </c>
      <c r="D52" s="178">
        <f>TARGETS!J6</f>
        <v>535182371</v>
      </c>
      <c r="E52" s="178">
        <f>TARGETS!K6</f>
        <v>172865092</v>
      </c>
      <c r="F52" s="178">
        <f t="shared" si="0"/>
        <v>708047463</v>
      </c>
      <c r="G52" s="176">
        <f>M9</f>
        <v>491669786.60148901</v>
      </c>
      <c r="H52" s="176">
        <f>N9</f>
        <v>120248212.43861198</v>
      </c>
      <c r="I52" s="176">
        <f t="shared" si="1"/>
        <v>611917999.04010105</v>
      </c>
      <c r="J52" s="177">
        <f t="shared" si="2"/>
        <v>0.86423302252563972</v>
      </c>
      <c r="K52" s="165">
        <f t="shared" si="3"/>
        <v>43512584.398510993</v>
      </c>
      <c r="L52" s="165">
        <f t="shared" si="4"/>
        <v>52616879.561388016</v>
      </c>
      <c r="M52" s="165">
        <f t="shared" si="5"/>
        <v>96129463.959898949</v>
      </c>
      <c r="N52" s="165">
        <f ca="1">IFERROR(M52/C3,0)</f>
        <v>0</v>
      </c>
    </row>
    <row r="53" spans="2:14" s="158" customFormat="1" ht="20.100000000000001" customHeight="1" x14ac:dyDescent="0.25">
      <c r="B53" s="187" t="s">
        <v>176</v>
      </c>
      <c r="C53" s="188" t="s">
        <v>177</v>
      </c>
      <c r="D53" s="179">
        <f>TARGETS!J7</f>
        <v>241473268</v>
      </c>
      <c r="E53" s="179">
        <f>TARGETS!K7</f>
        <v>0</v>
      </c>
      <c r="F53" s="179">
        <f>D53+E53</f>
        <v>241473268</v>
      </c>
      <c r="G53" s="176">
        <f>C22</f>
        <v>38884328.600000001</v>
      </c>
      <c r="H53" s="176">
        <f>IF(D22="",0,D22)</f>
        <v>0</v>
      </c>
      <c r="I53" s="176">
        <f>G53+H53</f>
        <v>38884328.600000001</v>
      </c>
      <c r="J53" s="177">
        <f>IFERROR(I53/F53,0)</f>
        <v>0.1610295372322538</v>
      </c>
      <c r="K53" s="165">
        <f>D53-G53</f>
        <v>202588939.40000001</v>
      </c>
      <c r="L53" s="165">
        <f>E53-H53</f>
        <v>0</v>
      </c>
      <c r="M53" s="165">
        <f>F53-I53</f>
        <v>202588939.40000001</v>
      </c>
      <c r="N53" s="165">
        <f ca="1">IFERROR(M53/C3,0)</f>
        <v>0</v>
      </c>
    </row>
    <row r="54" spans="2:14" s="158" customFormat="1" ht="20.100000000000001" customHeight="1" x14ac:dyDescent="0.25">
      <c r="B54" s="185" t="s">
        <v>71</v>
      </c>
      <c r="C54" s="186" t="s">
        <v>72</v>
      </c>
      <c r="D54" s="178">
        <f>TARGETS!J8</f>
        <v>590712471.92289722</v>
      </c>
      <c r="E54" s="178">
        <f>TARGETS!K8</f>
        <v>28200135</v>
      </c>
      <c r="F54" s="178">
        <f t="shared" si="0"/>
        <v>618912606.92289722</v>
      </c>
      <c r="G54" s="176">
        <f>M10</f>
        <v>537997275.46389103</v>
      </c>
      <c r="H54" s="176">
        <f t="shared" ref="H54:H58" si="6">N10</f>
        <v>21205741.099730998</v>
      </c>
      <c r="I54" s="176">
        <f t="shared" si="1"/>
        <v>559203016.563622</v>
      </c>
      <c r="J54" s="177">
        <f t="shared" si="2"/>
        <v>0.90352500548318337</v>
      </c>
      <c r="K54" s="165">
        <f>D54-G54</f>
        <v>52715196.45900619</v>
      </c>
      <c r="L54" s="165">
        <f t="shared" si="4"/>
        <v>6994393.9002690017</v>
      </c>
      <c r="M54" s="165">
        <f t="shared" si="5"/>
        <v>59709590.359275222</v>
      </c>
      <c r="N54" s="165">
        <f ca="1">IFERROR(M54/C3,0)</f>
        <v>0</v>
      </c>
    </row>
    <row r="55" spans="2:14" s="158" customFormat="1" ht="20.100000000000001" customHeight="1" x14ac:dyDescent="0.25">
      <c r="B55" s="183" t="s">
        <v>73</v>
      </c>
      <c r="C55" s="184" t="s">
        <v>74</v>
      </c>
      <c r="D55" s="175">
        <f>TARGETS!J9</f>
        <v>395063284.19152415</v>
      </c>
      <c r="E55" s="175">
        <f>TARGETS!K9</f>
        <v>73528469</v>
      </c>
      <c r="F55" s="175">
        <f t="shared" si="0"/>
        <v>468591753.19152415</v>
      </c>
      <c r="G55" s="176">
        <f>M11</f>
        <v>355626119.92999297</v>
      </c>
      <c r="H55" s="176">
        <f t="shared" si="6"/>
        <v>44657675.509999998</v>
      </c>
      <c r="I55" s="176">
        <f t="shared" si="1"/>
        <v>400283795.43999296</v>
      </c>
      <c r="J55" s="177">
        <f t="shared" si="2"/>
        <v>0.85422714487334961</v>
      </c>
      <c r="K55" s="165">
        <f t="shared" si="3"/>
        <v>39437164.261531174</v>
      </c>
      <c r="L55" s="165">
        <f t="shared" si="4"/>
        <v>28870793.490000002</v>
      </c>
      <c r="M55" s="165">
        <f t="shared" si="5"/>
        <v>68307957.751531184</v>
      </c>
      <c r="N55" s="165">
        <f ca="1">IFERROR(M55/C3,0)</f>
        <v>0</v>
      </c>
    </row>
    <row r="56" spans="2:14" s="158" customFormat="1" ht="20.100000000000001" customHeight="1" x14ac:dyDescent="0.25">
      <c r="B56" s="185" t="s">
        <v>75</v>
      </c>
      <c r="C56" s="186" t="s">
        <v>74</v>
      </c>
      <c r="D56" s="178">
        <f>TARGETS!J10</f>
        <v>463918832.1226536</v>
      </c>
      <c r="E56" s="178">
        <f>TARGETS!K10</f>
        <v>71898548</v>
      </c>
      <c r="F56" s="178">
        <f t="shared" si="0"/>
        <v>535817380.1226536</v>
      </c>
      <c r="G56" s="176">
        <f>M12</f>
        <v>449682614.319305</v>
      </c>
      <c r="H56" s="176">
        <f t="shared" si="6"/>
        <v>60505589.095815003</v>
      </c>
      <c r="I56" s="176">
        <f t="shared" si="1"/>
        <v>510188203.41512001</v>
      </c>
      <c r="J56" s="177">
        <f t="shared" si="2"/>
        <v>0.95216807506007584</v>
      </c>
      <c r="K56" s="165">
        <f t="shared" si="3"/>
        <v>14236217.803348601</v>
      </c>
      <c r="L56" s="165">
        <f t="shared" si="4"/>
        <v>11392958.904184997</v>
      </c>
      <c r="M56" s="165">
        <f t="shared" si="5"/>
        <v>25629176.707533598</v>
      </c>
      <c r="N56" s="165">
        <f ca="1">IFERROR(M56/C3,0)</f>
        <v>0</v>
      </c>
    </row>
    <row r="57" spans="2:14" s="158" customFormat="1" ht="20.100000000000001" customHeight="1" x14ac:dyDescent="0.25">
      <c r="B57" s="183" t="s">
        <v>76</v>
      </c>
      <c r="C57" s="184" t="s">
        <v>77</v>
      </c>
      <c r="D57" s="175">
        <f>TARGETS!J11</f>
        <v>941758345.44471872</v>
      </c>
      <c r="E57" s="175">
        <f>TARGETS!K11</f>
        <v>73246884</v>
      </c>
      <c r="F57" s="175">
        <f t="shared" si="0"/>
        <v>1015005229.4447187</v>
      </c>
      <c r="G57" s="176">
        <f>M13</f>
        <v>1030915377.322188</v>
      </c>
      <c r="H57" s="176">
        <f t="shared" si="6"/>
        <v>59498535.799857996</v>
      </c>
      <c r="I57" s="176">
        <f t="shared" si="1"/>
        <v>1090413913.122046</v>
      </c>
      <c r="J57" s="177">
        <f t="shared" si="2"/>
        <v>1.0742938868586729</v>
      </c>
      <c r="K57" s="165">
        <f t="shared" si="3"/>
        <v>-89157031.877469301</v>
      </c>
      <c r="L57" s="165">
        <f t="shared" si="4"/>
        <v>13748348.200142004</v>
      </c>
      <c r="M57" s="165">
        <f t="shared" si="5"/>
        <v>-75408683.677327275</v>
      </c>
      <c r="N57" s="165">
        <f ca="1">IFERROR(M57/C3,0)</f>
        <v>0</v>
      </c>
    </row>
    <row r="58" spans="2:14" s="158" customFormat="1" ht="20.100000000000001" customHeight="1" x14ac:dyDescent="0.25">
      <c r="B58" s="185" t="s">
        <v>78</v>
      </c>
      <c r="C58" s="186" t="s">
        <v>79</v>
      </c>
      <c r="D58" s="178">
        <f>TARGETS!J12</f>
        <v>485287059</v>
      </c>
      <c r="E58" s="178">
        <f>TARGETS!K12</f>
        <v>45099712</v>
      </c>
      <c r="F58" s="178">
        <f t="shared" si="0"/>
        <v>530386771</v>
      </c>
      <c r="G58" s="176">
        <f>M14</f>
        <v>378754537.60554802</v>
      </c>
      <c r="H58" s="176">
        <f t="shared" si="6"/>
        <v>62284984.519973002</v>
      </c>
      <c r="I58" s="176">
        <f>G58+H58</f>
        <v>441039522.125521</v>
      </c>
      <c r="J58" s="177">
        <f>IFERROR(I58/F58,0)</f>
        <v>0.83154321759190519</v>
      </c>
      <c r="K58" s="165">
        <f t="shared" si="3"/>
        <v>106532521.39445198</v>
      </c>
      <c r="L58" s="165">
        <f t="shared" si="4"/>
        <v>-17185272.519973002</v>
      </c>
      <c r="M58" s="165">
        <f t="shared" si="5"/>
        <v>89347248.874478996</v>
      </c>
      <c r="N58" s="165">
        <f ca="1">IFERROR(M58/C3,0)</f>
        <v>0</v>
      </c>
    </row>
    <row r="59" spans="2:14" s="158" customFormat="1" ht="20.100000000000001" customHeight="1" x14ac:dyDescent="0.25">
      <c r="B59" s="187" t="s">
        <v>176</v>
      </c>
      <c r="C59" s="188" t="s">
        <v>178</v>
      </c>
      <c r="D59" s="179">
        <f>TARGETS!J13</f>
        <v>404133664</v>
      </c>
      <c r="E59" s="179">
        <f>TARGETS!K13</f>
        <v>0</v>
      </c>
      <c r="F59" s="179">
        <f>D59+E59</f>
        <v>404133664</v>
      </c>
      <c r="G59" s="176">
        <f>C23</f>
        <v>120550492.72</v>
      </c>
      <c r="H59" s="176">
        <f>IF(D23="",0,D23)</f>
        <v>0</v>
      </c>
      <c r="I59" s="176">
        <f>G59+H59</f>
        <v>120550492.72</v>
      </c>
      <c r="J59" s="177">
        <f>IFERROR(I59/F59,0)</f>
        <v>0.29829361782640307</v>
      </c>
      <c r="K59" s="165">
        <f>D59-G59</f>
        <v>283583171.27999997</v>
      </c>
      <c r="L59" s="165">
        <f>E59-H59</f>
        <v>0</v>
      </c>
      <c r="M59" s="165">
        <f>F59-I59</f>
        <v>283583171.27999997</v>
      </c>
      <c r="N59" s="165">
        <f ca="1">IFERROR(M59/C3,0)</f>
        <v>0</v>
      </c>
    </row>
    <row r="60" spans="2:14" s="158" customFormat="1" ht="20.100000000000001" customHeight="1" x14ac:dyDescent="0.25">
      <c r="B60" s="185" t="s">
        <v>80</v>
      </c>
      <c r="C60" s="186" t="s">
        <v>81</v>
      </c>
      <c r="D60" s="178">
        <f>TARGETS!J14</f>
        <v>384017309.32355773</v>
      </c>
      <c r="E60" s="178">
        <f>TARGETS!K14</f>
        <v>119782698</v>
      </c>
      <c r="F60" s="178">
        <f t="shared" si="0"/>
        <v>503800007.32355773</v>
      </c>
      <c r="G60" s="176">
        <f>M15</f>
        <v>304137742.30899602</v>
      </c>
      <c r="H60" s="176">
        <f t="shared" ref="H60:H64" si="7">N15</f>
        <v>119707150.766315</v>
      </c>
      <c r="I60" s="176">
        <f t="shared" si="1"/>
        <v>423844893.07531101</v>
      </c>
      <c r="J60" s="177">
        <f t="shared" si="2"/>
        <v>0.84129592479958659</v>
      </c>
      <c r="K60" s="165">
        <f t="shared" si="3"/>
        <v>79879567.014561713</v>
      </c>
      <c r="L60" s="165">
        <f t="shared" si="4"/>
        <v>75547.233685001731</v>
      </c>
      <c r="M60" s="165">
        <f t="shared" si="5"/>
        <v>79955114.248246729</v>
      </c>
      <c r="N60" s="165">
        <f ca="1">IFERROR(M60/C3,0)</f>
        <v>0</v>
      </c>
    </row>
    <row r="61" spans="2:14" s="158" customFormat="1" ht="20.100000000000001" customHeight="1" x14ac:dyDescent="0.25">
      <c r="B61" s="183" t="s">
        <v>82</v>
      </c>
      <c r="C61" s="184" t="s">
        <v>83</v>
      </c>
      <c r="D61" s="175">
        <f>TARGETS!J15</f>
        <v>611629595.7161876</v>
      </c>
      <c r="E61" s="175">
        <f>TARGETS!K15</f>
        <v>40059909</v>
      </c>
      <c r="F61" s="175">
        <f t="shared" si="0"/>
        <v>651689504.7161876</v>
      </c>
      <c r="G61" s="176">
        <f>M16</f>
        <v>479291727.990435</v>
      </c>
      <c r="H61" s="176">
        <f t="shared" si="7"/>
        <v>61629599.543938003</v>
      </c>
      <c r="I61" s="176">
        <f t="shared" si="1"/>
        <v>540921327.53437304</v>
      </c>
      <c r="J61" s="177">
        <f t="shared" si="2"/>
        <v>0.8300292142497302</v>
      </c>
      <c r="K61" s="165">
        <f t="shared" si="3"/>
        <v>132337867.72575259</v>
      </c>
      <c r="L61" s="165">
        <f t="shared" si="4"/>
        <v>-21569690.543938003</v>
      </c>
      <c r="M61" s="165">
        <f t="shared" si="5"/>
        <v>110768177.18181455</v>
      </c>
      <c r="N61" s="165">
        <f ca="1">IFERROR(M61/C3,0)</f>
        <v>0</v>
      </c>
    </row>
    <row r="62" spans="2:14" s="158" customFormat="1" ht="20.100000000000001" customHeight="1" x14ac:dyDescent="0.25">
      <c r="B62" s="185" t="s">
        <v>84</v>
      </c>
      <c r="C62" s="186" t="s">
        <v>85</v>
      </c>
      <c r="D62" s="178">
        <f>TARGETS!J16</f>
        <v>366543022.9053762</v>
      </c>
      <c r="E62" s="178">
        <f>TARGETS!K16</f>
        <v>45082463</v>
      </c>
      <c r="F62" s="178">
        <f t="shared" si="0"/>
        <v>411625485.9053762</v>
      </c>
      <c r="G62" s="176">
        <f>M17</f>
        <v>303439555.68576801</v>
      </c>
      <c r="H62" s="176">
        <f t="shared" si="7"/>
        <v>28364314.698472001</v>
      </c>
      <c r="I62" s="176">
        <f t="shared" si="1"/>
        <v>331803870.38424003</v>
      </c>
      <c r="J62" s="177">
        <f t="shared" si="2"/>
        <v>0.80608194036973346</v>
      </c>
      <c r="K62" s="165">
        <f t="shared" si="3"/>
        <v>63103467.219608188</v>
      </c>
      <c r="L62" s="165">
        <f t="shared" si="4"/>
        <v>16718148.301527999</v>
      </c>
      <c r="M62" s="165">
        <f t="shared" si="5"/>
        <v>79821615.521136165</v>
      </c>
      <c r="N62" s="165">
        <f ca="1">IFERROR(M62/C3,0)</f>
        <v>0</v>
      </c>
    </row>
    <row r="63" spans="2:14" s="158" customFormat="1" ht="20.100000000000001" customHeight="1" x14ac:dyDescent="0.25">
      <c r="B63" s="183" t="s">
        <v>86</v>
      </c>
      <c r="C63" s="184" t="s">
        <v>87</v>
      </c>
      <c r="D63" s="175">
        <f>TARGETS!J17</f>
        <v>563350942.09827971</v>
      </c>
      <c r="E63" s="175">
        <f>TARGETS!K17</f>
        <v>311125253</v>
      </c>
      <c r="F63" s="175">
        <f t="shared" si="0"/>
        <v>874476195.09827971</v>
      </c>
      <c r="G63" s="176">
        <f>M18</f>
        <v>663559823.79009497</v>
      </c>
      <c r="H63" s="176">
        <f t="shared" si="7"/>
        <v>200253231.98958299</v>
      </c>
      <c r="I63" s="176">
        <f t="shared" si="1"/>
        <v>863813055.77967799</v>
      </c>
      <c r="J63" s="177">
        <f t="shared" si="2"/>
        <v>0.98780625547227918</v>
      </c>
      <c r="K63" s="165">
        <f t="shared" si="3"/>
        <v>-100208881.69181526</v>
      </c>
      <c r="L63" s="165">
        <f t="shared" si="4"/>
        <v>110872021.01041701</v>
      </c>
      <c r="M63" s="165">
        <f t="shared" si="5"/>
        <v>10663139.318601727</v>
      </c>
      <c r="N63" s="165">
        <f ca="1">IFERROR(M63/C3,0)</f>
        <v>0</v>
      </c>
    </row>
    <row r="64" spans="2:14" s="158" customFormat="1" ht="20.100000000000001" customHeight="1" x14ac:dyDescent="0.25">
      <c r="B64" s="185" t="s">
        <v>88</v>
      </c>
      <c r="C64" s="186" t="s">
        <v>89</v>
      </c>
      <c r="D64" s="178">
        <f>TARGETS!J18</f>
        <v>239525689.01344877</v>
      </c>
      <c r="E64" s="178">
        <f>TARGETS!K18</f>
        <v>239288340</v>
      </c>
      <c r="F64" s="178">
        <f t="shared" si="0"/>
        <v>478814029.01344877</v>
      </c>
      <c r="G64" s="176">
        <f>M19</f>
        <v>162674997.04759601</v>
      </c>
      <c r="H64" s="176">
        <f t="shared" si="7"/>
        <v>152708112.726924</v>
      </c>
      <c r="I64" s="176">
        <f t="shared" si="1"/>
        <v>315383109.77452004</v>
      </c>
      <c r="J64" s="177">
        <f t="shared" si="2"/>
        <v>0.65867558313681251</v>
      </c>
      <c r="K64" s="165">
        <f t="shared" si="3"/>
        <v>76850691.965852767</v>
      </c>
      <c r="L64" s="165">
        <f t="shared" si="4"/>
        <v>86580227.273075998</v>
      </c>
      <c r="M64" s="165">
        <f t="shared" si="5"/>
        <v>163430919.23892874</v>
      </c>
      <c r="N64" s="165">
        <f ca="1">IFERROR(M64/C3,0)</f>
        <v>0</v>
      </c>
    </row>
    <row r="65" spans="2:14" s="158" customFormat="1" ht="20.100000000000001" customHeight="1" x14ac:dyDescent="0.25">
      <c r="B65" s="189" t="s">
        <v>152</v>
      </c>
      <c r="C65" s="190"/>
      <c r="D65" s="180">
        <f>SUM(D51:D64)</f>
        <v>6619279333.0648613</v>
      </c>
      <c r="E65" s="180">
        <f t="shared" ref="E65" si="8">SUM(E51:E52,E54:E58,E60:E64)</f>
        <v>1269766212</v>
      </c>
      <c r="F65" s="180">
        <f>SUM(F51:F64)</f>
        <v>7889045545.0648613</v>
      </c>
      <c r="G65" s="181">
        <f>SUM(G51:G64)</f>
        <v>5616954947.9936943</v>
      </c>
      <c r="H65" s="181">
        <f>SUM(H51:H64)</f>
        <v>976438253.53318501</v>
      </c>
      <c r="I65" s="181">
        <f>SUM(I51:I64)</f>
        <v>6593393201.5268793</v>
      </c>
      <c r="J65" s="182">
        <f>IFERROR(I65/F65,0)</f>
        <v>0.83576564032533673</v>
      </c>
      <c r="K65" s="166">
        <f>SUM(K51:K64)</f>
        <v>1002324385.0711663</v>
      </c>
      <c r="L65" s="166">
        <f>SUM(L51:L64)</f>
        <v>293327958.46681499</v>
      </c>
      <c r="M65" s="166">
        <f>SUM(M51:M64)</f>
        <v>1295652343.537981</v>
      </c>
      <c r="N65" s="166">
        <f ca="1">IFERROR(M65/C3,0)</f>
        <v>0</v>
      </c>
    </row>
    <row r="67" spans="2:14" ht="20.100000000000001" customHeight="1" x14ac:dyDescent="0.25">
      <c r="B67" s="135" t="s">
        <v>175</v>
      </c>
      <c r="C67" s="136"/>
      <c r="D67" s="137"/>
      <c r="G67"/>
      <c r="H67"/>
      <c r="I67"/>
    </row>
    <row r="68" spans="2:14" ht="20.100000000000001" customHeight="1" x14ac:dyDescent="0.25">
      <c r="B68" s="223" t="s">
        <v>41</v>
      </c>
      <c r="C68" s="223" t="s">
        <v>42</v>
      </c>
      <c r="D68" s="134" t="s">
        <v>139</v>
      </c>
      <c r="G68"/>
      <c r="H68"/>
      <c r="I68"/>
    </row>
    <row r="69" spans="2:14" ht="20.100000000000001" customHeight="1" x14ac:dyDescent="0.25">
      <c r="B69" s="223"/>
      <c r="C69" s="223"/>
      <c r="D69" s="71" t="s">
        <v>172</v>
      </c>
      <c r="G69"/>
      <c r="H69"/>
      <c r="I69"/>
    </row>
    <row r="70" spans="2:14" s="158" customFormat="1" ht="20.100000000000001" customHeight="1" x14ac:dyDescent="0.25">
      <c r="B70" s="183" t="s">
        <v>67</v>
      </c>
      <c r="C70" s="184" t="s">
        <v>68</v>
      </c>
      <c r="D70" s="191">
        <f>IF(E24="",0,E24)</f>
        <v>24325368.979991999</v>
      </c>
    </row>
    <row r="71" spans="2:14" s="158" customFormat="1" ht="20.100000000000001" customHeight="1" x14ac:dyDescent="0.25">
      <c r="B71" s="185" t="s">
        <v>69</v>
      </c>
      <c r="C71" s="186" t="s">
        <v>70</v>
      </c>
      <c r="D71" s="192">
        <f>IF(E12="",0,E12)+IF(E13="",0,E13)</f>
        <v>81902340.960000008</v>
      </c>
    </row>
    <row r="72" spans="2:14" s="158" customFormat="1" ht="20.100000000000001" customHeight="1" x14ac:dyDescent="0.25">
      <c r="B72" s="185" t="s">
        <v>176</v>
      </c>
      <c r="C72" s="186" t="s">
        <v>177</v>
      </c>
      <c r="D72" s="192">
        <f>IF(E22="",0,E22)</f>
        <v>12315315.119999999</v>
      </c>
    </row>
    <row r="73" spans="2:14" s="158" customFormat="1" ht="20.100000000000001" customHeight="1" x14ac:dyDescent="0.25">
      <c r="B73" s="183" t="s">
        <v>71</v>
      </c>
      <c r="C73" s="184" t="s">
        <v>72</v>
      </c>
      <c r="D73" s="191">
        <f>IF(E14="",0,E14)</f>
        <v>66130323.599985003</v>
      </c>
    </row>
    <row r="74" spans="2:14" s="158" customFormat="1" ht="20.100000000000001" customHeight="1" x14ac:dyDescent="0.25">
      <c r="B74" s="185" t="s">
        <v>73</v>
      </c>
      <c r="C74" s="186" t="s">
        <v>74</v>
      </c>
      <c r="D74" s="192">
        <f>0</f>
        <v>0</v>
      </c>
    </row>
    <row r="75" spans="2:14" s="158" customFormat="1" ht="20.100000000000001" customHeight="1" x14ac:dyDescent="0.25">
      <c r="B75" s="183" t="s">
        <v>75</v>
      </c>
      <c r="C75" s="184" t="s">
        <v>74</v>
      </c>
      <c r="D75" s="191">
        <v>2883783.76</v>
      </c>
    </row>
    <row r="76" spans="2:14" s="158" customFormat="1" ht="20.100000000000001" customHeight="1" x14ac:dyDescent="0.25">
      <c r="B76" s="185" t="s">
        <v>76</v>
      </c>
      <c r="C76" s="186" t="s">
        <v>77</v>
      </c>
      <c r="D76" s="192">
        <f>IF(E19="",0,E19)</f>
        <v>287203621.35000002</v>
      </c>
    </row>
    <row r="77" spans="2:14" s="158" customFormat="1" ht="20.100000000000001" customHeight="1" x14ac:dyDescent="0.25">
      <c r="B77" s="183" t="s">
        <v>78</v>
      </c>
      <c r="C77" s="184" t="s">
        <v>79</v>
      </c>
      <c r="D77" s="191">
        <f>IF(E25="",0,E25)</f>
        <v>26407801.439994998</v>
      </c>
    </row>
    <row r="78" spans="2:14" s="158" customFormat="1" ht="20.100000000000001" customHeight="1" x14ac:dyDescent="0.25">
      <c r="B78" s="185" t="s">
        <v>176</v>
      </c>
      <c r="C78" s="186" t="s">
        <v>178</v>
      </c>
      <c r="D78" s="192">
        <f>IF(E23="",0,E23)</f>
        <v>17151621.32</v>
      </c>
    </row>
    <row r="79" spans="2:14" s="158" customFormat="1" ht="20.100000000000001" customHeight="1" x14ac:dyDescent="0.25">
      <c r="B79" s="185" t="s">
        <v>80</v>
      </c>
      <c r="C79" s="186" t="s">
        <v>81</v>
      </c>
      <c r="D79" s="192">
        <f>IF(E11="",0,E11)</f>
        <v>34053355</v>
      </c>
    </row>
    <row r="80" spans="2:14" s="158" customFormat="1" ht="20.100000000000001" customHeight="1" x14ac:dyDescent="0.25">
      <c r="B80" s="183" t="s">
        <v>82</v>
      </c>
      <c r="C80" s="184" t="s">
        <v>83</v>
      </c>
      <c r="D80" s="191">
        <f>IF(E26="",0,E26)</f>
        <v>112736039.39988001</v>
      </c>
    </row>
    <row r="81" spans="2:9" s="158" customFormat="1" ht="20.100000000000001" customHeight="1" x14ac:dyDescent="0.25">
      <c r="B81" s="185" t="s">
        <v>84</v>
      </c>
      <c r="C81" s="186" t="s">
        <v>85</v>
      </c>
      <c r="D81" s="192">
        <f>IF(E10="",0,E10)</f>
        <v>61031205.54998</v>
      </c>
    </row>
    <row r="82" spans="2:9" s="158" customFormat="1" ht="20.100000000000001" customHeight="1" x14ac:dyDescent="0.25">
      <c r="B82" s="183" t="s">
        <v>86</v>
      </c>
      <c r="C82" s="184" t="s">
        <v>87</v>
      </c>
      <c r="D82" s="191">
        <f>0</f>
        <v>0</v>
      </c>
    </row>
    <row r="83" spans="2:9" s="158" customFormat="1" ht="20.100000000000001" customHeight="1" x14ac:dyDescent="0.25">
      <c r="B83" s="185" t="s">
        <v>88</v>
      </c>
      <c r="C83" s="186" t="s">
        <v>89</v>
      </c>
      <c r="D83" s="192">
        <f>0</f>
        <v>0</v>
      </c>
    </row>
    <row r="84" spans="2:9" s="158" customFormat="1" ht="20.100000000000001" customHeight="1" x14ac:dyDescent="0.25">
      <c r="B84" s="189" t="s">
        <v>152</v>
      </c>
      <c r="C84" s="190"/>
      <c r="D84" s="193">
        <f>SUM(D70:D83)</f>
        <v>726140776.47983217</v>
      </c>
    </row>
    <row r="87" spans="2:9" s="158" customFormat="1" ht="20.100000000000001" customHeight="1" x14ac:dyDescent="0.25">
      <c r="B87" s="228" t="s">
        <v>145</v>
      </c>
      <c r="C87" s="229"/>
      <c r="D87" s="229"/>
      <c r="E87" s="229"/>
      <c r="F87" s="230"/>
      <c r="G87" s="167"/>
      <c r="H87" s="167"/>
      <c r="I87" s="168"/>
    </row>
    <row r="88" spans="2:9" s="158" customFormat="1" ht="20.100000000000001" customHeight="1" x14ac:dyDescent="0.25">
      <c r="B88" s="169" t="s">
        <v>153</v>
      </c>
      <c r="C88" s="169" t="s">
        <v>42</v>
      </c>
      <c r="D88" s="169" t="s">
        <v>138</v>
      </c>
      <c r="E88" s="169" t="s">
        <v>139</v>
      </c>
      <c r="F88" s="169" t="s">
        <v>140</v>
      </c>
      <c r="G88" s="170" t="s">
        <v>141</v>
      </c>
      <c r="H88" s="170" t="s">
        <v>142</v>
      </c>
      <c r="I88" s="168"/>
    </row>
    <row r="89" spans="2:9" s="158" customFormat="1" ht="20.100000000000001" customHeight="1" x14ac:dyDescent="0.25">
      <c r="B89" s="183" t="s">
        <v>92</v>
      </c>
      <c r="C89" s="184" t="s">
        <v>93</v>
      </c>
      <c r="D89" s="194">
        <f>TARGETS!G22</f>
        <v>279391895.3166402</v>
      </c>
      <c r="E89" s="176">
        <f>IFERROR(C32,0)</f>
        <v>240237597.65824801</v>
      </c>
      <c r="F89" s="177">
        <f t="shared" ref="F89:F94" si="9">IFERROR(E89/D89,0)</f>
        <v>0.85985886378694742</v>
      </c>
      <c r="G89" s="171">
        <f>D89-E89</f>
        <v>39154297.658392191</v>
      </c>
      <c r="H89" s="171">
        <f ca="1">IFERROR(G89/C3,0)</f>
        <v>0</v>
      </c>
      <c r="I89" s="168"/>
    </row>
    <row r="90" spans="2:9" s="158" customFormat="1" ht="20.100000000000001" customHeight="1" x14ac:dyDescent="0.25">
      <c r="B90" s="198" t="s">
        <v>94</v>
      </c>
      <c r="C90" s="199" t="s">
        <v>95</v>
      </c>
      <c r="D90" s="200">
        <f>TARGETS!G23</f>
        <v>419611959.16831887</v>
      </c>
      <c r="E90" s="176">
        <f>IFERROR(C33,0)</f>
        <v>449933743.924721</v>
      </c>
      <c r="F90" s="177">
        <f t="shared" si="9"/>
        <v>1.0722614884868884</v>
      </c>
      <c r="G90" s="172">
        <f>D90-E90</f>
        <v>-30321784.756402135</v>
      </c>
      <c r="H90" s="172">
        <f ca="1">IFERROR(G90/C3,0)</f>
        <v>0</v>
      </c>
      <c r="I90" s="168"/>
    </row>
    <row r="91" spans="2:9" s="158" customFormat="1" ht="20.100000000000001" customHeight="1" x14ac:dyDescent="0.25">
      <c r="B91" s="183" t="s">
        <v>96</v>
      </c>
      <c r="C91" s="184" t="s">
        <v>97</v>
      </c>
      <c r="D91" s="194">
        <f>TARGETS!G24</f>
        <v>1092485507.2171693</v>
      </c>
      <c r="E91" s="176">
        <f>M21+M7</f>
        <v>897130483.57328391</v>
      </c>
      <c r="F91" s="177">
        <f t="shared" si="9"/>
        <v>0.82118296091496634</v>
      </c>
      <c r="G91" s="171">
        <f>D91-E91</f>
        <v>195355023.64388537</v>
      </c>
      <c r="H91" s="171">
        <f ca="1">IFERROR(G91/C3,0)</f>
        <v>0</v>
      </c>
      <c r="I91" s="168"/>
    </row>
    <row r="92" spans="2:9" s="158" customFormat="1" ht="20.100000000000001" hidden="1" customHeight="1" x14ac:dyDescent="0.25">
      <c r="B92" s="185" t="s">
        <v>98</v>
      </c>
      <c r="C92" s="186" t="s">
        <v>99</v>
      </c>
      <c r="D92" s="195">
        <f>TARGETS!G25</f>
        <v>0</v>
      </c>
      <c r="E92" s="176">
        <f>0</f>
        <v>0</v>
      </c>
      <c r="F92" s="177">
        <f t="shared" si="9"/>
        <v>0</v>
      </c>
      <c r="G92" s="172">
        <f>D92-E92</f>
        <v>0</v>
      </c>
      <c r="H92" s="172">
        <f ca="1">IFERROR(G92/C3,0)</f>
        <v>0</v>
      </c>
      <c r="I92" s="168"/>
    </row>
    <row r="93" spans="2:9" s="158" customFormat="1" ht="20.100000000000001" hidden="1" customHeight="1" x14ac:dyDescent="0.25">
      <c r="B93" s="183" t="s">
        <v>100</v>
      </c>
      <c r="C93" s="196" t="s">
        <v>101</v>
      </c>
      <c r="D93" s="194">
        <f>TARGETS!G26</f>
        <v>0</v>
      </c>
      <c r="E93" s="176">
        <f>0</f>
        <v>0</v>
      </c>
      <c r="F93" s="177">
        <f t="shared" si="9"/>
        <v>0</v>
      </c>
      <c r="G93" s="171">
        <f>D93-E93</f>
        <v>0</v>
      </c>
      <c r="H93" s="171">
        <f ca="1">IFERROR(G93/C3,0)</f>
        <v>0</v>
      </c>
      <c r="I93" s="168"/>
    </row>
    <row r="94" spans="2:9" s="158" customFormat="1" ht="20.100000000000001" customHeight="1" x14ac:dyDescent="0.25">
      <c r="B94" s="189" t="s">
        <v>152</v>
      </c>
      <c r="C94" s="190"/>
      <c r="D94" s="197">
        <f>SUM(D89:D93)</f>
        <v>1791489361.7021284</v>
      </c>
      <c r="E94" s="197">
        <f>SUM(E89:E93)</f>
        <v>1587301825.1562529</v>
      </c>
      <c r="F94" s="174">
        <f t="shared" si="9"/>
        <v>0.88602358411334747</v>
      </c>
      <c r="G94" s="173">
        <f>SUM(G89:G93)</f>
        <v>204187536.54587543</v>
      </c>
      <c r="H94" s="173">
        <f ca="1">IFERROR(G94/C3,0)</f>
        <v>0</v>
      </c>
      <c r="I94" s="168"/>
    </row>
  </sheetData>
  <mergeCells count="12">
    <mergeCell ref="B41:D41"/>
    <mergeCell ref="N49:N50"/>
    <mergeCell ref="B48:J48"/>
    <mergeCell ref="B87:F87"/>
    <mergeCell ref="D49:F49"/>
    <mergeCell ref="B46:C46"/>
    <mergeCell ref="B49:B50"/>
    <mergeCell ref="C49:C50"/>
    <mergeCell ref="J49:J50"/>
    <mergeCell ref="K48:N48"/>
    <mergeCell ref="B68:B69"/>
    <mergeCell ref="C68:C69"/>
  </mergeCells>
  <conditionalFormatting sqref="J51:J64">
    <cfRule type="expression" dxfId="26" priority="8">
      <formula>J51&gt;=$F$42-0.05</formula>
    </cfRule>
    <cfRule type="expression" dxfId="25" priority="9">
      <formula>AND(J51&gt;=$F$42-0.2,J51&lt;$F$42-0.05)</formula>
    </cfRule>
    <cfRule type="expression" dxfId="24" priority="10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abSelected="1" topLeftCell="A76" zoomScaleNormal="100" workbookViewId="0">
      <selection activeCell="B87" sqref="B87:F94"/>
    </sheetView>
  </sheetViews>
  <sheetFormatPr defaultColWidth="8.7109375" defaultRowHeight="15" x14ac:dyDescent="0.25"/>
  <cols>
    <col min="1" max="1" width="2" customWidth="1"/>
    <col min="2" max="2" width="31.42578125" customWidth="1"/>
    <col min="3" max="3" width="16.140625" customWidth="1"/>
    <col min="4" max="4" width="17.42578125" customWidth="1"/>
    <col min="5" max="5" width="16.85546875" customWidth="1"/>
    <col min="6" max="6" width="15.140625" customWidth="1"/>
    <col min="7" max="7" width="16" customWidth="1"/>
    <col min="8" max="8" width="14.42578125" customWidth="1"/>
    <col min="9" max="9" width="15.42578125" customWidth="1"/>
    <col min="10" max="10" width="10" customWidth="1"/>
    <col min="11" max="12" width="12.710937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NETWORKDAYS.INTL(TODAY(),EOMONTH(TODAY(),0),11)</f>
        <v>16</v>
      </c>
      <c r="D3" s="79" t="s">
        <v>104</v>
      </c>
      <c r="E3" s="80">
        <f ca="1">DAY(EOMONTH(TODAY(),0))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108588298.21425501</v>
      </c>
      <c r="N8" s="11">
        <f>D24</f>
        <v>23449774.658475999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211455372.182446</v>
      </c>
      <c r="N9" s="11">
        <f>D12+D13</f>
        <v>37296204.955218002</v>
      </c>
    </row>
    <row r="10" spans="2:14" x14ac:dyDescent="0.25">
      <c r="B10" s="74" t="s">
        <v>113</v>
      </c>
      <c r="C10" s="205">
        <v>103984940.496453</v>
      </c>
      <c r="D10" s="205">
        <v>12673421.249368001</v>
      </c>
      <c r="E10" s="205">
        <v>78971132.979999006</v>
      </c>
      <c r="F10" s="205">
        <v>195629494.72582</v>
      </c>
      <c r="H10" s="116"/>
      <c r="I10" s="116"/>
      <c r="J10" s="116"/>
      <c r="M10" s="11">
        <f>C14</f>
        <v>278295259.98765397</v>
      </c>
      <c r="N10" s="11">
        <f>D14</f>
        <v>12746861.503951</v>
      </c>
    </row>
    <row r="11" spans="2:14" x14ac:dyDescent="0.25">
      <c r="B11" s="74" t="s">
        <v>114</v>
      </c>
      <c r="C11" s="205">
        <v>145740880.02613801</v>
      </c>
      <c r="D11" s="205">
        <v>44273362.988243997</v>
      </c>
      <c r="E11" s="205">
        <v>26756757</v>
      </c>
      <c r="F11" s="205">
        <v>216771000.014382</v>
      </c>
      <c r="H11" s="116"/>
      <c r="I11" s="116"/>
      <c r="J11" s="116"/>
      <c r="M11" s="11">
        <f>C17</f>
        <v>114350700.78</v>
      </c>
      <c r="N11" s="11">
        <f>D17</f>
        <v>18496237.719999999</v>
      </c>
    </row>
    <row r="12" spans="2:14" x14ac:dyDescent="0.25">
      <c r="B12" s="74" t="s">
        <v>70</v>
      </c>
      <c r="C12" s="205">
        <v>109320324.307954</v>
      </c>
      <c r="D12" s="205">
        <v>25244024.915282</v>
      </c>
      <c r="E12" s="205">
        <v>14414414</v>
      </c>
      <c r="F12" s="205">
        <v>148978763.22323599</v>
      </c>
      <c r="H12" s="116"/>
      <c r="I12" s="116"/>
      <c r="J12" s="116"/>
      <c r="M12" s="11">
        <f>C16</f>
        <v>177279599.43619901</v>
      </c>
      <c r="N12" s="11">
        <f>D16</f>
        <v>31462475.871842999</v>
      </c>
    </row>
    <row r="13" spans="2:14" x14ac:dyDescent="0.25">
      <c r="B13" s="74" t="s">
        <v>115</v>
      </c>
      <c r="C13" s="205">
        <v>102135047.874492</v>
      </c>
      <c r="D13" s="205">
        <v>12052180.039936</v>
      </c>
      <c r="E13" s="205">
        <v>15484684.5</v>
      </c>
      <c r="F13" s="205">
        <v>129671912.414428</v>
      </c>
      <c r="H13" s="116"/>
      <c r="I13" s="116"/>
      <c r="J13" s="116"/>
      <c r="M13" s="11">
        <f>C19</f>
        <v>361205958.21223497</v>
      </c>
      <c r="N13" s="11">
        <f>D19</f>
        <v>35226083.359916002</v>
      </c>
    </row>
    <row r="14" spans="2:14" x14ac:dyDescent="0.25">
      <c r="B14" s="74" t="s">
        <v>116</v>
      </c>
      <c r="C14" s="205">
        <v>278295259.98765397</v>
      </c>
      <c r="D14" s="205">
        <v>12746861.503951</v>
      </c>
      <c r="E14" s="205">
        <v>37754954.579999998</v>
      </c>
      <c r="F14" s="205">
        <v>328797076.07160503</v>
      </c>
      <c r="H14" s="116"/>
      <c r="I14" s="116"/>
      <c r="J14" s="116"/>
      <c r="M14" s="11">
        <f>C25</f>
        <v>178577467.89227399</v>
      </c>
      <c r="N14" s="11">
        <f>D25</f>
        <v>31815003.599858999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145740880.02613801</v>
      </c>
      <c r="N15" s="11">
        <f>D11</f>
        <v>44273362.988243997</v>
      </c>
    </row>
    <row r="16" spans="2:14" x14ac:dyDescent="0.25">
      <c r="B16" s="74" t="s">
        <v>74</v>
      </c>
      <c r="C16" s="205">
        <v>177279599.43619901</v>
      </c>
      <c r="D16" s="205">
        <v>31462475.871842999</v>
      </c>
      <c r="E16" s="205">
        <v>7175675.5999999996</v>
      </c>
      <c r="F16" s="205">
        <v>215917750.90804201</v>
      </c>
      <c r="H16" s="116"/>
      <c r="I16" s="116"/>
      <c r="J16" s="116"/>
      <c r="M16" s="11">
        <f>C26</f>
        <v>174840756.867461</v>
      </c>
      <c r="N16" s="11">
        <f>D26</f>
        <v>28126087.389970999</v>
      </c>
    </row>
    <row r="17" spans="2:14" x14ac:dyDescent="0.25">
      <c r="B17" s="74" t="s">
        <v>118</v>
      </c>
      <c r="C17" s="205">
        <v>114350700.78</v>
      </c>
      <c r="D17" s="205">
        <v>18496237.719999999</v>
      </c>
      <c r="E17" s="205" t="s">
        <v>169</v>
      </c>
      <c r="F17" s="205">
        <v>132846938.5</v>
      </c>
      <c r="H17" s="116"/>
      <c r="I17" s="116"/>
      <c r="J17" s="116"/>
      <c r="M17" s="11">
        <f>C10</f>
        <v>103984940.496453</v>
      </c>
      <c r="N17" s="11">
        <f>D10</f>
        <v>12673421.249368001</v>
      </c>
    </row>
    <row r="18" spans="2:14" x14ac:dyDescent="0.25">
      <c r="B18" s="74" t="s">
        <v>119</v>
      </c>
      <c r="C18" s="205">
        <v>492501763.66396397</v>
      </c>
      <c r="D18" s="205">
        <v>6945438.6219769996</v>
      </c>
      <c r="E18" s="205">
        <v>4043243.2</v>
      </c>
      <c r="F18" s="205">
        <v>503490445.48594099</v>
      </c>
      <c r="H18" s="116"/>
      <c r="I18" s="116"/>
      <c r="J18" s="116"/>
      <c r="M18" s="11">
        <f>C27</f>
        <v>316286996.25792998</v>
      </c>
      <c r="N18" s="11">
        <f>D27</f>
        <v>120738972.897843</v>
      </c>
    </row>
    <row r="19" spans="2:14" x14ac:dyDescent="0.25">
      <c r="B19" s="74" t="s">
        <v>121</v>
      </c>
      <c r="C19" s="205">
        <v>361205958.21223497</v>
      </c>
      <c r="D19" s="205">
        <v>35226083.359916002</v>
      </c>
      <c r="E19" s="205">
        <v>363632453.23994797</v>
      </c>
      <c r="F19" s="205">
        <v>760064494.81209898</v>
      </c>
      <c r="H19" s="116"/>
      <c r="I19" s="116"/>
      <c r="J19" s="116"/>
      <c r="M19" s="11">
        <f>C20+C21</f>
        <v>103058427.764208</v>
      </c>
      <c r="N19" s="11">
        <f>D20+D21</f>
        <v>67033906.121087</v>
      </c>
    </row>
    <row r="20" spans="2:14" x14ac:dyDescent="0.25">
      <c r="B20" s="74" t="s">
        <v>123</v>
      </c>
      <c r="C20" s="205">
        <v>78468207.764208004</v>
      </c>
      <c r="D20" s="205">
        <v>16789142.409896001</v>
      </c>
      <c r="E20" s="205" t="s">
        <v>169</v>
      </c>
      <c r="F20" s="205">
        <v>95257350.174104005</v>
      </c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205">
        <v>24590220</v>
      </c>
      <c r="D21" s="205">
        <v>50244763.711190999</v>
      </c>
      <c r="E21" s="205">
        <v>24237838.32</v>
      </c>
      <c r="F21" s="205">
        <v>99072822.031191006</v>
      </c>
      <c r="H21" s="116"/>
      <c r="I21" s="116"/>
      <c r="J21" s="116"/>
      <c r="M21" s="14">
        <f>IFERROR(C34,0)+IFERROR(C35,0)+M20</f>
        <v>271938496.11745</v>
      </c>
      <c r="N21" s="10" t="s">
        <v>122</v>
      </c>
    </row>
    <row r="22" spans="2:14" x14ac:dyDescent="0.25">
      <c r="B22" s="74" t="s">
        <v>173</v>
      </c>
      <c r="C22" s="205">
        <v>26150129.100000001</v>
      </c>
      <c r="D22" s="205" t="s">
        <v>169</v>
      </c>
      <c r="E22" s="205">
        <v>4036035.92</v>
      </c>
      <c r="F22" s="205">
        <v>30186165.02</v>
      </c>
      <c r="H22" s="116"/>
      <c r="I22" s="116"/>
      <c r="J22" s="116"/>
    </row>
    <row r="23" spans="2:14" x14ac:dyDescent="0.25">
      <c r="B23" s="74" t="s">
        <v>174</v>
      </c>
      <c r="C23" s="205">
        <v>96669418.049974993</v>
      </c>
      <c r="D23" s="205" t="s">
        <v>169</v>
      </c>
      <c r="E23" s="205">
        <v>5693693.54</v>
      </c>
      <c r="F23" s="205">
        <v>102363111.589975</v>
      </c>
      <c r="H23" s="116"/>
      <c r="I23" s="116"/>
      <c r="J23" s="116"/>
    </row>
    <row r="24" spans="2:14" x14ac:dyDescent="0.25">
      <c r="B24" s="74" t="s">
        <v>125</v>
      </c>
      <c r="C24" s="205">
        <v>108588298.21425501</v>
      </c>
      <c r="D24" s="205">
        <v>23449774.658475999</v>
      </c>
      <c r="E24" s="205">
        <v>50597476.740000002</v>
      </c>
      <c r="F24" s="205">
        <v>182635549.61273101</v>
      </c>
      <c r="H24" s="116"/>
      <c r="I24" s="116"/>
      <c r="J24" s="116"/>
    </row>
    <row r="25" spans="2:14" x14ac:dyDescent="0.25">
      <c r="B25" s="74" t="s">
        <v>126</v>
      </c>
      <c r="C25" s="205">
        <v>178577467.89227399</v>
      </c>
      <c r="D25" s="205">
        <v>31815003.599858999</v>
      </c>
      <c r="E25" s="205">
        <v>73579278.560000002</v>
      </c>
      <c r="F25" s="205">
        <v>283971750.05213302</v>
      </c>
      <c r="H25" s="116"/>
      <c r="I25" s="116"/>
      <c r="J25" s="116"/>
    </row>
    <row r="26" spans="2:14" x14ac:dyDescent="0.25">
      <c r="B26" s="74" t="s">
        <v>127</v>
      </c>
      <c r="C26" s="205">
        <v>174840756.867461</v>
      </c>
      <c r="D26" s="205">
        <v>28126087.389970999</v>
      </c>
      <c r="E26" s="205">
        <v>147207205.819971</v>
      </c>
      <c r="F26" s="205">
        <v>350174050.07740301</v>
      </c>
      <c r="H26" s="116"/>
      <c r="I26" s="116"/>
      <c r="J26" s="116"/>
    </row>
    <row r="27" spans="2:14" x14ac:dyDescent="0.25">
      <c r="B27" s="74" t="s">
        <v>128</v>
      </c>
      <c r="C27" s="205">
        <v>316286996.25792998</v>
      </c>
      <c r="D27" s="205">
        <v>120738972.897843</v>
      </c>
      <c r="E27" s="205">
        <v>4259459.54</v>
      </c>
      <c r="F27" s="205">
        <v>441285428.69577301</v>
      </c>
      <c r="H27" s="116"/>
      <c r="I27" s="116"/>
      <c r="J27" s="116"/>
    </row>
    <row r="28" spans="2:14" x14ac:dyDescent="0.25">
      <c r="C28" s="15"/>
      <c r="D28" s="15"/>
      <c r="E28" s="15"/>
      <c r="F28" s="15"/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205">
        <v>123426802.015412</v>
      </c>
      <c r="G32" s="116"/>
      <c r="H32" s="116"/>
      <c r="I32" s="116"/>
    </row>
    <row r="33" spans="2:14" x14ac:dyDescent="0.25">
      <c r="B33" s="84" t="s">
        <v>133</v>
      </c>
      <c r="C33" s="205">
        <v>149621486.20594001</v>
      </c>
      <c r="G33" s="116"/>
      <c r="H33" s="116"/>
      <c r="I33" s="116"/>
    </row>
    <row r="34" spans="2:14" x14ac:dyDescent="0.25">
      <c r="B34" s="84" t="s">
        <v>134</v>
      </c>
      <c r="C34" s="205">
        <v>135350068.01896101</v>
      </c>
      <c r="G34" s="116"/>
      <c r="H34" s="116"/>
      <c r="I34" s="116"/>
    </row>
    <row r="35" spans="2:14" x14ac:dyDescent="0.25">
      <c r="B35" s="84" t="s">
        <v>135</v>
      </c>
      <c r="C35" s="205">
        <v>136588428.09848899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24" customHeight="1" x14ac:dyDescent="0.25">
      <c r="B41" s="245" t="s">
        <v>184</v>
      </c>
      <c r="C41" s="246"/>
      <c r="D41" s="247"/>
      <c r="E41" s="67" t="s">
        <v>138</v>
      </c>
      <c r="F41" s="73">
        <f ca="1">IF(MONTH(TODAY())=5,DAY(TODAY())/DAY(EOMONTH(TODAY(),0)),IF(MONTH(TODAY())&gt;5,1,0))</f>
        <v>0.41935483870967744</v>
      </c>
      <c r="G41" s="117"/>
      <c r="H41" s="117"/>
      <c r="I41" s="116"/>
    </row>
    <row r="42" spans="2:14" ht="18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20.100000000000001" customHeight="1" x14ac:dyDescent="0.25">
      <c r="B43" s="114" t="s">
        <v>143</v>
      </c>
      <c r="C43" s="41" t="s">
        <v>144</v>
      </c>
      <c r="D43" s="45">
        <f>SUM(TARGETS!L5:L7,TARGETS!L8:L13,TARGETS!L14:L18)</f>
        <v>6839279332</v>
      </c>
      <c r="E43" s="46">
        <f>G65</f>
        <v>2396484205.2672276</v>
      </c>
      <c r="F43" s="44">
        <f>IFERROR(E43/D43,0)</f>
        <v>0.35040010634664742</v>
      </c>
      <c r="G43" s="118">
        <f>D43-E43</f>
        <v>4442795126.7327728</v>
      </c>
      <c r="H43" s="118">
        <f ca="1">IFERROR(G43/C3,0)</f>
        <v>277674695.4207983</v>
      </c>
      <c r="I43" s="116"/>
    </row>
    <row r="44" spans="2:14" ht="20.100000000000001" customHeight="1" x14ac:dyDescent="0.25">
      <c r="B44" s="114" t="s">
        <v>111</v>
      </c>
      <c r="C44" s="41" t="s">
        <v>144</v>
      </c>
      <c r="D44" s="45">
        <f>SUM(TARGETS!M5:M6,TARGETS!M8:M12,TARGETS!M14:M18)</f>
        <v>1475264824.2203617</v>
      </c>
      <c r="E44" s="46">
        <f>N8+N9+N10+N11+N12+N13+N14+N15+N16+N17+N18+N19</f>
        <v>463338392.31577599</v>
      </c>
      <c r="F44" s="44">
        <f>IFERROR(E44/D44,0)</f>
        <v>0.31407133465724574</v>
      </c>
      <c r="G44" s="118">
        <f>D44-E44</f>
        <v>1011926431.9045857</v>
      </c>
      <c r="H44" s="118">
        <f ca="1">IFERROR(G44/C3,0)</f>
        <v>63245401.994036607</v>
      </c>
      <c r="I44" s="116"/>
    </row>
    <row r="45" spans="2:14" ht="20.100000000000001" customHeight="1" x14ac:dyDescent="0.25">
      <c r="B45" s="114" t="s">
        <v>145</v>
      </c>
      <c r="C45" s="41" t="s">
        <v>144</v>
      </c>
      <c r="D45" s="45">
        <f>SUM(TARGETS!H22:H26)</f>
        <v>1782978723.4042559</v>
      </c>
      <c r="E45" s="46">
        <f>IFERROR(C32,0)+IFERROR(C33,0)+M21+F9</f>
        <v>544986784.33880198</v>
      </c>
      <c r="F45" s="44">
        <f>IFERROR(E45/D45,0)</f>
        <v>0.30566084563154755</v>
      </c>
      <c r="G45" s="118">
        <f>D45-E45</f>
        <v>1237991939.065454</v>
      </c>
      <c r="H45" s="118">
        <f ca="1">IFERROR(G45/C3,0)</f>
        <v>77374496.191590875</v>
      </c>
      <c r="I45" s="116"/>
    </row>
    <row r="46" spans="2:14" ht="18.75" customHeight="1" x14ac:dyDescent="0.25">
      <c r="B46" s="221" t="s">
        <v>146</v>
      </c>
      <c r="C46" s="222"/>
      <c r="D46" s="47">
        <f>D43+D44+D45</f>
        <v>10097522879.624619</v>
      </c>
      <c r="E46" s="47">
        <f>E43+E44+E45</f>
        <v>3404809381.9218054</v>
      </c>
      <c r="F46" s="43">
        <f>IFERROR(E46/D46,0)</f>
        <v>0.33719253944868322</v>
      </c>
      <c r="G46" s="119">
        <f>G43+G44+G45</f>
        <v>6692713497.7028122</v>
      </c>
      <c r="H46" s="119">
        <f ca="1">IFERROR(G46/C3,0)</f>
        <v>418294593.60642576</v>
      </c>
      <c r="I46" s="116"/>
    </row>
    <row r="47" spans="2:14" x14ac:dyDescent="0.25">
      <c r="G47" s="116"/>
      <c r="H47" s="116"/>
      <c r="I47" s="116"/>
    </row>
    <row r="48" spans="2:14" ht="25.5" customHeight="1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20.100000000000001" customHeight="1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22.5" customHeight="1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ht="20.100000000000001" customHeight="1" x14ac:dyDescent="0.25">
      <c r="B51" s="201" t="s">
        <v>67</v>
      </c>
      <c r="C51" s="202" t="s">
        <v>68</v>
      </c>
      <c r="D51" s="204">
        <f>TARGETS!L5</f>
        <v>416683478</v>
      </c>
      <c r="E51" s="204">
        <f>TARGETS!M5</f>
        <v>68270401.220654309</v>
      </c>
      <c r="F51" s="204">
        <f t="shared" ref="F51:F64" si="0">D51+E51</f>
        <v>484953879.22065431</v>
      </c>
      <c r="G51" s="122">
        <f>M8</f>
        <v>108588298.21425501</v>
      </c>
      <c r="H51" s="122">
        <f>N8</f>
        <v>23449774.658475999</v>
      </c>
      <c r="I51" s="122">
        <f t="shared" ref="I51:I64" si="1">G51+H51</f>
        <v>132038072.872731</v>
      </c>
      <c r="J51" s="61">
        <f t="shared" ref="J51:J64" si="2">IFERROR(I51/F51,0)</f>
        <v>0.27226934050908702</v>
      </c>
      <c r="K51" s="51">
        <f t="shared" ref="K51:M64" si="3">D51-G51</f>
        <v>308095179.78574502</v>
      </c>
      <c r="L51" s="51">
        <f t="shared" si="3"/>
        <v>44820626.562178314</v>
      </c>
      <c r="M51" s="51">
        <f t="shared" si="3"/>
        <v>352915806.34792328</v>
      </c>
      <c r="N51" s="51">
        <f ca="1">IFERROR(M51/C3,0)</f>
        <v>22057237.896745205</v>
      </c>
    </row>
    <row r="52" spans="2:14" ht="20.100000000000001" customHeight="1" x14ac:dyDescent="0.25">
      <c r="B52" s="201" t="s">
        <v>69</v>
      </c>
      <c r="C52" s="202" t="s">
        <v>70</v>
      </c>
      <c r="D52" s="204">
        <f>TARGETS!L6</f>
        <v>555182371</v>
      </c>
      <c r="E52" s="204">
        <f>TARGETS!M6</f>
        <v>191546784</v>
      </c>
      <c r="F52" s="204">
        <f t="shared" si="0"/>
        <v>746729155</v>
      </c>
      <c r="G52" s="122">
        <f>M9</f>
        <v>211455372.182446</v>
      </c>
      <c r="H52" s="122">
        <f>N9</f>
        <v>37296204.955218002</v>
      </c>
      <c r="I52" s="122">
        <f t="shared" si="1"/>
        <v>248751577.13766402</v>
      </c>
      <c r="J52" s="61">
        <f t="shared" si="2"/>
        <v>0.33312155481282102</v>
      </c>
      <c r="K52" s="54">
        <f t="shared" si="3"/>
        <v>343726998.817554</v>
      </c>
      <c r="L52" s="54">
        <f t="shared" si="3"/>
        <v>154250579.04478198</v>
      </c>
      <c r="M52" s="54">
        <f t="shared" si="3"/>
        <v>497977577.86233598</v>
      </c>
      <c r="N52" s="54">
        <f ca="1">IFERROR(M52/C3,0)</f>
        <v>31123598.616395999</v>
      </c>
    </row>
    <row r="53" spans="2:14" ht="20.100000000000001" customHeight="1" x14ac:dyDescent="0.25">
      <c r="B53" s="155" t="s">
        <v>176</v>
      </c>
      <c r="C53" s="156" t="s">
        <v>177</v>
      </c>
      <c r="D53" s="157">
        <f>TARGETS!L7</f>
        <v>241473268</v>
      </c>
      <c r="E53" s="157">
        <f>TARGETS!M7</f>
        <v>0</v>
      </c>
      <c r="F53" s="157">
        <f>D53+E53</f>
        <v>241473268</v>
      </c>
      <c r="G53" s="122">
        <f>C22</f>
        <v>26150129.100000001</v>
      </c>
      <c r="H53" s="122">
        <f>IF(D22="",0,D22)</f>
        <v>0</v>
      </c>
      <c r="I53" s="122">
        <f>G53+H53</f>
        <v>26150129.100000001</v>
      </c>
      <c r="J53" s="61">
        <f>IFERROR(I53/F53,0)</f>
        <v>0.10829409531161852</v>
      </c>
      <c r="K53" s="54">
        <f>D53-G53</f>
        <v>215323138.90000001</v>
      </c>
      <c r="L53" s="54">
        <f>E53-H53</f>
        <v>0</v>
      </c>
      <c r="M53" s="54">
        <f>F53-I53</f>
        <v>215323138.90000001</v>
      </c>
      <c r="N53" s="54">
        <f ca="1">IFERROR(M53/C3,0)</f>
        <v>13457696.18125</v>
      </c>
    </row>
    <row r="54" spans="2:14" ht="20.100000000000001" customHeight="1" x14ac:dyDescent="0.25">
      <c r="B54" s="201" t="s">
        <v>71</v>
      </c>
      <c r="C54" s="202" t="s">
        <v>72</v>
      </c>
      <c r="D54" s="204">
        <f>TARGETS!L8</f>
        <v>610712472</v>
      </c>
      <c r="E54" s="204">
        <f>TARGETS!M8</f>
        <v>46881826.81733489</v>
      </c>
      <c r="F54" s="204">
        <f t="shared" si="0"/>
        <v>657594298.81733489</v>
      </c>
      <c r="G54" s="122">
        <f>M10</f>
        <v>278295259.98765397</v>
      </c>
      <c r="H54" s="122">
        <f t="shared" ref="H54:H58" si="4">N10</f>
        <v>12746861.503951</v>
      </c>
      <c r="I54" s="122">
        <f t="shared" si="1"/>
        <v>291042121.49160498</v>
      </c>
      <c r="J54" s="61">
        <f t="shared" si="2"/>
        <v>0.44258613861926138</v>
      </c>
      <c r="K54" s="54">
        <f>D54-G54</f>
        <v>332417212.01234603</v>
      </c>
      <c r="L54" s="54">
        <f t="shared" si="3"/>
        <v>34134965.313383892</v>
      </c>
      <c r="M54" s="54">
        <f t="shared" si="3"/>
        <v>366552177.32572991</v>
      </c>
      <c r="N54" s="54">
        <f ca="1">IFERROR(M54/C3,0)</f>
        <v>22909511.082858119</v>
      </c>
    </row>
    <row r="55" spans="2:14" ht="20.100000000000001" customHeight="1" x14ac:dyDescent="0.25">
      <c r="B55" s="201" t="s">
        <v>73</v>
      </c>
      <c r="C55" s="202" t="s">
        <v>74</v>
      </c>
      <c r="D55" s="204">
        <f>TARGETS!L9</f>
        <v>405063284</v>
      </c>
      <c r="E55" s="204">
        <f>TARGETS!M9</f>
        <v>82869315.191524148</v>
      </c>
      <c r="F55" s="204">
        <f t="shared" si="0"/>
        <v>487932599.19152415</v>
      </c>
      <c r="G55" s="122">
        <f>M11</f>
        <v>114350700.78</v>
      </c>
      <c r="H55" s="122">
        <f t="shared" si="4"/>
        <v>18496237.719999999</v>
      </c>
      <c r="I55" s="122">
        <f t="shared" si="1"/>
        <v>132846938.5</v>
      </c>
      <c r="J55" s="61">
        <f t="shared" si="2"/>
        <v>0.27226493724772566</v>
      </c>
      <c r="K55" s="54">
        <f t="shared" si="3"/>
        <v>290712583.22000003</v>
      </c>
      <c r="L55" s="54">
        <f t="shared" si="3"/>
        <v>64373077.471524149</v>
      </c>
      <c r="M55" s="54">
        <f t="shared" si="3"/>
        <v>355085660.69152415</v>
      </c>
      <c r="N55" s="54">
        <f ca="1">IFERROR(M55/C3,0)</f>
        <v>22192853.793220259</v>
      </c>
    </row>
    <row r="56" spans="2:14" ht="20.100000000000001" customHeight="1" x14ac:dyDescent="0.25">
      <c r="B56" s="201" t="s">
        <v>75</v>
      </c>
      <c r="C56" s="202" t="s">
        <v>74</v>
      </c>
      <c r="D56" s="204">
        <f>TARGETS!L10</f>
        <v>473918832</v>
      </c>
      <c r="E56" s="204">
        <f>TARGETS!M10</f>
        <v>81239394.122653604</v>
      </c>
      <c r="F56" s="204">
        <f t="shared" si="0"/>
        <v>555158226.1226536</v>
      </c>
      <c r="G56" s="122">
        <f>M12</f>
        <v>177279599.43619901</v>
      </c>
      <c r="H56" s="122">
        <f t="shared" si="4"/>
        <v>31462475.871842999</v>
      </c>
      <c r="I56" s="122">
        <f t="shared" si="1"/>
        <v>208742075.30804202</v>
      </c>
      <c r="J56" s="61">
        <f t="shared" si="2"/>
        <v>0.37600465144134188</v>
      </c>
      <c r="K56" s="54">
        <f t="shared" si="3"/>
        <v>296639232.56380099</v>
      </c>
      <c r="L56" s="54">
        <f t="shared" si="3"/>
        <v>49776918.250810608</v>
      </c>
      <c r="M56" s="54">
        <f t="shared" si="3"/>
        <v>346416150.81461155</v>
      </c>
      <c r="N56" s="54">
        <f ca="1">IFERROR(M56/C3,0)</f>
        <v>21651009.425913222</v>
      </c>
    </row>
    <row r="57" spans="2:14" ht="20.100000000000001" customHeight="1" x14ac:dyDescent="0.25">
      <c r="B57" s="201" t="s">
        <v>76</v>
      </c>
      <c r="C57" s="202" t="s">
        <v>77</v>
      </c>
      <c r="D57" s="204">
        <f>TARGETS!L11</f>
        <v>961758345</v>
      </c>
      <c r="E57" s="204">
        <f>TARGETS!M11</f>
        <v>91928576.339156389</v>
      </c>
      <c r="F57" s="204">
        <f t="shared" si="0"/>
        <v>1053686921.3391564</v>
      </c>
      <c r="G57" s="122">
        <f>M13</f>
        <v>361205958.21223497</v>
      </c>
      <c r="H57" s="122">
        <f t="shared" si="4"/>
        <v>35226083.359916002</v>
      </c>
      <c r="I57" s="122">
        <f t="shared" si="1"/>
        <v>396432041.57215095</v>
      </c>
      <c r="J57" s="61">
        <f t="shared" si="2"/>
        <v>0.37623323735319386</v>
      </c>
      <c r="K57" s="54">
        <f t="shared" si="3"/>
        <v>600552386.78776503</v>
      </c>
      <c r="L57" s="54">
        <f t="shared" si="3"/>
        <v>56702492.979240388</v>
      </c>
      <c r="M57" s="54">
        <f t="shared" si="3"/>
        <v>657254879.76700544</v>
      </c>
      <c r="N57" s="54">
        <f ca="1">IFERROR(M57/C3,0)</f>
        <v>41078429.98543784</v>
      </c>
    </row>
    <row r="58" spans="2:14" ht="20.100000000000001" customHeight="1" x14ac:dyDescent="0.25">
      <c r="B58" s="201" t="s">
        <v>78</v>
      </c>
      <c r="C58" s="202" t="s">
        <v>79</v>
      </c>
      <c r="D58" s="204">
        <f>TARGETS!L12</f>
        <v>505287059</v>
      </c>
      <c r="E58" s="204">
        <f>TARGETS!M12</f>
        <v>63781404</v>
      </c>
      <c r="F58" s="204">
        <f t="shared" si="0"/>
        <v>569068463</v>
      </c>
      <c r="G58" s="122">
        <f>M14</f>
        <v>178577467.89227399</v>
      </c>
      <c r="H58" s="122">
        <f t="shared" si="4"/>
        <v>31815003.599858999</v>
      </c>
      <c r="I58" s="122">
        <f>G58+H58</f>
        <v>210392471.49213299</v>
      </c>
      <c r="J58" s="61">
        <f>IFERROR(I58/F58,0)</f>
        <v>0.36971381331341319</v>
      </c>
      <c r="K58" s="54">
        <f t="shared" si="3"/>
        <v>326709591.10772598</v>
      </c>
      <c r="L58" s="54">
        <f t="shared" si="3"/>
        <v>31966400.400141001</v>
      </c>
      <c r="M58" s="54">
        <f t="shared" si="3"/>
        <v>358675991.50786698</v>
      </c>
      <c r="N58" s="54">
        <f ca="1">IFERROR(M58/C3,0)</f>
        <v>22417249.469241686</v>
      </c>
    </row>
    <row r="59" spans="2:14" ht="20.100000000000001" customHeight="1" x14ac:dyDescent="0.25">
      <c r="B59" s="155" t="s">
        <v>176</v>
      </c>
      <c r="C59" s="156" t="s">
        <v>178</v>
      </c>
      <c r="D59" s="157">
        <f>TARGETS!L13</f>
        <v>404133664</v>
      </c>
      <c r="E59" s="157">
        <f>TARGETS!M13</f>
        <v>0</v>
      </c>
      <c r="F59" s="157">
        <f>D59+E59</f>
        <v>404133664</v>
      </c>
      <c r="G59" s="122">
        <f>C23</f>
        <v>96669418.049974993</v>
      </c>
      <c r="H59" s="122">
        <f>IF(D23="",0,D23)</f>
        <v>0</v>
      </c>
      <c r="I59" s="122">
        <f>G59+H59</f>
        <v>96669418.049974993</v>
      </c>
      <c r="J59" s="61">
        <f>IFERROR(I59/F59,0)</f>
        <v>0.23920159754366563</v>
      </c>
      <c r="K59" s="54">
        <f>D59-G59</f>
        <v>307464245.95002502</v>
      </c>
      <c r="L59" s="54">
        <f>E59-H59</f>
        <v>0</v>
      </c>
      <c r="M59" s="54">
        <f>F59-I59</f>
        <v>307464245.95002502</v>
      </c>
      <c r="N59" s="54">
        <f ca="1">IFERROR(M59/C3,0)</f>
        <v>19216515.371876564</v>
      </c>
    </row>
    <row r="60" spans="2:14" ht="20.100000000000001" customHeight="1" x14ac:dyDescent="0.25">
      <c r="B60" s="201" t="s">
        <v>80</v>
      </c>
      <c r="C60" s="202" t="s">
        <v>81</v>
      </c>
      <c r="D60" s="204">
        <f>TARGETS!L14</f>
        <v>404017309</v>
      </c>
      <c r="E60" s="204">
        <f>TARGETS!M14</f>
        <v>138464390.21799541</v>
      </c>
      <c r="F60" s="204">
        <f t="shared" si="0"/>
        <v>542481699.21799541</v>
      </c>
      <c r="G60" s="122">
        <f>M15</f>
        <v>145740880.02613801</v>
      </c>
      <c r="H60" s="122">
        <f t="shared" ref="H60:H64" si="5">N15</f>
        <v>44273362.988243997</v>
      </c>
      <c r="I60" s="122">
        <f t="shared" si="1"/>
        <v>190014243.014382</v>
      </c>
      <c r="J60" s="61">
        <f t="shared" si="2"/>
        <v>0.35026848516418818</v>
      </c>
      <c r="K60" s="54">
        <f t="shared" si="3"/>
        <v>258276428.97386199</v>
      </c>
      <c r="L60" s="54">
        <f t="shared" si="3"/>
        <v>94191027.229751408</v>
      </c>
      <c r="M60" s="54">
        <f t="shared" si="3"/>
        <v>352467456.2036134</v>
      </c>
      <c r="N60" s="54">
        <f ca="1">IFERROR(M60/C3,0)</f>
        <v>22029216.012725838</v>
      </c>
    </row>
    <row r="61" spans="2:14" ht="20.100000000000001" customHeight="1" x14ac:dyDescent="0.25">
      <c r="B61" s="201" t="s">
        <v>82</v>
      </c>
      <c r="C61" s="202" t="s">
        <v>83</v>
      </c>
      <c r="D61" s="204">
        <f>TARGETS!L15</f>
        <v>631629596</v>
      </c>
      <c r="E61" s="204">
        <f>TARGETS!M15</f>
        <v>58741600.610625267</v>
      </c>
      <c r="F61" s="204">
        <f t="shared" si="0"/>
        <v>690371196.61062527</v>
      </c>
      <c r="G61" s="122">
        <f>M16</f>
        <v>174840756.867461</v>
      </c>
      <c r="H61" s="122">
        <f t="shared" si="5"/>
        <v>28126087.389970999</v>
      </c>
      <c r="I61" s="122">
        <f t="shared" si="1"/>
        <v>202966844.25743198</v>
      </c>
      <c r="J61" s="61">
        <f t="shared" si="2"/>
        <v>0.29399668649836047</v>
      </c>
      <c r="K61" s="54">
        <f t="shared" si="3"/>
        <v>456788839.13253903</v>
      </c>
      <c r="L61" s="54">
        <f t="shared" si="3"/>
        <v>30615513.220654268</v>
      </c>
      <c r="M61" s="54">
        <f t="shared" si="3"/>
        <v>487404352.35319328</v>
      </c>
      <c r="N61" s="54">
        <f ca="1">IFERROR(M61/C3,0)</f>
        <v>30462772.02207458</v>
      </c>
    </row>
    <row r="62" spans="2:14" ht="20.100000000000001" customHeight="1" x14ac:dyDescent="0.25">
      <c r="B62" s="201" t="s">
        <v>84</v>
      </c>
      <c r="C62" s="202" t="s">
        <v>85</v>
      </c>
      <c r="D62" s="204">
        <f>TARGETS!L16</f>
        <v>386543023</v>
      </c>
      <c r="E62" s="204">
        <f>TARGETS!M16</f>
        <v>63764154.799813807</v>
      </c>
      <c r="F62" s="204">
        <f t="shared" si="0"/>
        <v>450307177.79981381</v>
      </c>
      <c r="G62" s="122">
        <f>M17</f>
        <v>103984940.496453</v>
      </c>
      <c r="H62" s="122">
        <f t="shared" si="5"/>
        <v>12673421.249368001</v>
      </c>
      <c r="I62" s="122">
        <f t="shared" si="1"/>
        <v>116658361.745821</v>
      </c>
      <c r="J62" s="61">
        <f t="shared" si="2"/>
        <v>0.25906396232858192</v>
      </c>
      <c r="K62" s="54">
        <f t="shared" si="3"/>
        <v>282558082.50354701</v>
      </c>
      <c r="L62" s="54">
        <f t="shared" si="3"/>
        <v>51090733.55044581</v>
      </c>
      <c r="M62" s="54">
        <f t="shared" si="3"/>
        <v>333648816.05399281</v>
      </c>
      <c r="N62" s="54">
        <f ca="1">IFERROR(M62/C3,0)</f>
        <v>20853051.00337455</v>
      </c>
    </row>
    <row r="63" spans="2:14" ht="20.100000000000001" customHeight="1" x14ac:dyDescent="0.25">
      <c r="B63" s="201" t="s">
        <v>86</v>
      </c>
      <c r="C63" s="202" t="s">
        <v>87</v>
      </c>
      <c r="D63" s="204">
        <f>TARGETS!L17</f>
        <v>583350942</v>
      </c>
      <c r="E63" s="204">
        <f>TARGETS!M17</f>
        <v>329806944.99271739</v>
      </c>
      <c r="F63" s="204">
        <f t="shared" si="0"/>
        <v>913157886.99271739</v>
      </c>
      <c r="G63" s="122">
        <f>M18</f>
        <v>316286996.25792998</v>
      </c>
      <c r="H63" s="122">
        <f t="shared" si="5"/>
        <v>120738972.897843</v>
      </c>
      <c r="I63" s="122">
        <f t="shared" si="1"/>
        <v>437025969.15577298</v>
      </c>
      <c r="J63" s="61">
        <f t="shared" si="2"/>
        <v>0.47858752071344518</v>
      </c>
      <c r="K63" s="54">
        <f t="shared" si="3"/>
        <v>267063945.74207002</v>
      </c>
      <c r="L63" s="54">
        <f t="shared" si="3"/>
        <v>209067972.09487438</v>
      </c>
      <c r="M63" s="54">
        <f t="shared" si="3"/>
        <v>476131917.8369444</v>
      </c>
      <c r="N63" s="54">
        <f ca="1">IFERROR(M63/C3,0)</f>
        <v>29758244.864809025</v>
      </c>
    </row>
    <row r="64" spans="2:14" ht="20.100000000000001" customHeight="1" x14ac:dyDescent="0.25">
      <c r="B64" s="201" t="s">
        <v>88</v>
      </c>
      <c r="C64" s="202" t="s">
        <v>89</v>
      </c>
      <c r="D64" s="204">
        <f>TARGETS!L18</f>
        <v>259525689</v>
      </c>
      <c r="E64" s="204">
        <f>TARGETS!M18</f>
        <v>257970031.90788639</v>
      </c>
      <c r="F64" s="204">
        <f t="shared" si="0"/>
        <v>517495720.90788639</v>
      </c>
      <c r="G64" s="122">
        <f>M19</f>
        <v>103058427.764208</v>
      </c>
      <c r="H64" s="122">
        <f t="shared" si="5"/>
        <v>67033906.121087</v>
      </c>
      <c r="I64" s="122">
        <f t="shared" si="1"/>
        <v>170092333.885295</v>
      </c>
      <c r="J64" s="61">
        <f t="shared" si="2"/>
        <v>0.32868355623673118</v>
      </c>
      <c r="K64" s="54">
        <f t="shared" si="3"/>
        <v>156467261.23579198</v>
      </c>
      <c r="L64" s="54">
        <f t="shared" si="3"/>
        <v>190936125.78679937</v>
      </c>
      <c r="M64" s="54">
        <f t="shared" si="3"/>
        <v>347403387.02259135</v>
      </c>
      <c r="N64" s="54">
        <f ca="1">IFERROR(M64/C3,0)</f>
        <v>21712711.68891196</v>
      </c>
    </row>
    <row r="65" spans="2:14" ht="20.100000000000001" customHeight="1" x14ac:dyDescent="0.25">
      <c r="B65" s="57" t="s">
        <v>152</v>
      </c>
      <c r="C65" s="58"/>
      <c r="D65" s="151">
        <f>SUM(D51:D64)</f>
        <v>6839279332</v>
      </c>
      <c r="E65" s="151">
        <f t="shared" ref="E65" si="6">SUM(E51:E52,E54:E58,E60:E64)</f>
        <v>1475264824.2203617</v>
      </c>
      <c r="F65" s="151">
        <f>SUM(F51:F64)</f>
        <v>8314544156.2203627</v>
      </c>
      <c r="G65" s="152">
        <f>SUM(G51:G64)</f>
        <v>2396484205.2672276</v>
      </c>
      <c r="H65" s="152">
        <f>SUM(H51:H64)</f>
        <v>463338392.31577599</v>
      </c>
      <c r="I65" s="152">
        <f>SUM(I51:I64)</f>
        <v>2859822597.583004</v>
      </c>
      <c r="J65" s="153">
        <f>IFERROR(I65/F65,0)</f>
        <v>0.34395422573388873</v>
      </c>
      <c r="K65" s="154">
        <f>SUM(K51:K64)</f>
        <v>4442795126.7327728</v>
      </c>
      <c r="L65" s="154">
        <f>SUM(L51:L64)</f>
        <v>1011926431.9045856</v>
      </c>
      <c r="M65" s="154">
        <f>SUM(M51:M64)</f>
        <v>5454721558.6373587</v>
      </c>
      <c r="N65" s="154">
        <f ca="1">IFERROR(M65/C3,0)</f>
        <v>340920097.41483492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8.75" customHeight="1" x14ac:dyDescent="0.25">
      <c r="B68" s="223" t="s">
        <v>41</v>
      </c>
      <c r="C68" s="223" t="s">
        <v>42</v>
      </c>
      <c r="D68" s="134" t="s">
        <v>139</v>
      </c>
    </row>
    <row r="69" spans="2:14" ht="18" customHeight="1" x14ac:dyDescent="0.25">
      <c r="B69" s="223"/>
      <c r="C69" s="223"/>
      <c r="D69" s="71" t="s">
        <v>172</v>
      </c>
    </row>
    <row r="70" spans="2:14" ht="20.100000000000001" customHeight="1" x14ac:dyDescent="0.25">
      <c r="B70" s="201" t="s">
        <v>67</v>
      </c>
      <c r="C70" s="202" t="s">
        <v>68</v>
      </c>
      <c r="D70" s="191">
        <f>IF(E24="",0,E24)</f>
        <v>50597476.740000002</v>
      </c>
    </row>
    <row r="71" spans="2:14" ht="20.100000000000001" customHeight="1" x14ac:dyDescent="0.25">
      <c r="B71" s="201" t="s">
        <v>69</v>
      </c>
      <c r="C71" s="202" t="s">
        <v>70</v>
      </c>
      <c r="D71" s="192">
        <f>IF(E12="",0,E12)+IF(E13="",0,E13)</f>
        <v>29899098.5</v>
      </c>
    </row>
    <row r="72" spans="2:14" ht="20.100000000000001" customHeight="1" x14ac:dyDescent="0.25">
      <c r="B72" s="201" t="s">
        <v>176</v>
      </c>
      <c r="C72" s="202" t="s">
        <v>177</v>
      </c>
      <c r="D72" s="192">
        <f>IF(E22="",0,E22)</f>
        <v>4036035.92</v>
      </c>
    </row>
    <row r="73" spans="2:14" ht="20.100000000000001" customHeight="1" x14ac:dyDescent="0.25">
      <c r="B73" s="201" t="s">
        <v>71</v>
      </c>
      <c r="C73" s="202" t="s">
        <v>72</v>
      </c>
      <c r="D73" s="191">
        <f>IF(E14="",0,E14)</f>
        <v>37754954.579999998</v>
      </c>
    </row>
    <row r="74" spans="2:14" ht="20.100000000000001" customHeight="1" x14ac:dyDescent="0.25">
      <c r="B74" s="201" t="s">
        <v>73</v>
      </c>
      <c r="C74" s="202" t="s">
        <v>74</v>
      </c>
      <c r="D74" s="192">
        <f>0</f>
        <v>0</v>
      </c>
    </row>
    <row r="75" spans="2:14" ht="20.100000000000001" customHeight="1" x14ac:dyDescent="0.25">
      <c r="B75" s="201" t="s">
        <v>75</v>
      </c>
      <c r="C75" s="202" t="s">
        <v>74</v>
      </c>
      <c r="D75" s="192">
        <f>IF(E16="",0,E16)</f>
        <v>7175675.5999999996</v>
      </c>
    </row>
    <row r="76" spans="2:14" ht="20.100000000000001" customHeight="1" x14ac:dyDescent="0.25">
      <c r="B76" s="201" t="s">
        <v>76</v>
      </c>
      <c r="C76" s="202" t="s">
        <v>77</v>
      </c>
      <c r="D76" s="192">
        <f>IF(E19="",0,E19)</f>
        <v>363632453.23994797</v>
      </c>
    </row>
    <row r="77" spans="2:14" ht="20.100000000000001" customHeight="1" x14ac:dyDescent="0.25">
      <c r="B77" s="201" t="s">
        <v>78</v>
      </c>
      <c r="C77" s="202" t="s">
        <v>79</v>
      </c>
      <c r="D77" s="191">
        <f>IF(E25="",0,E25)</f>
        <v>73579278.560000002</v>
      </c>
    </row>
    <row r="78" spans="2:14" ht="20.100000000000001" customHeight="1" x14ac:dyDescent="0.25">
      <c r="B78" s="201" t="s">
        <v>176</v>
      </c>
      <c r="C78" s="202" t="s">
        <v>178</v>
      </c>
      <c r="D78" s="192">
        <f>IF(E23="",0,E23)</f>
        <v>5693693.54</v>
      </c>
    </row>
    <row r="79" spans="2:14" ht="20.100000000000001" customHeight="1" x14ac:dyDescent="0.25">
      <c r="B79" s="201" t="s">
        <v>80</v>
      </c>
      <c r="C79" s="202" t="s">
        <v>81</v>
      </c>
      <c r="D79" s="192">
        <f>IF(E11="",0,E11)</f>
        <v>26756757</v>
      </c>
    </row>
    <row r="80" spans="2:14" ht="20.100000000000001" customHeight="1" x14ac:dyDescent="0.25">
      <c r="B80" s="201" t="s">
        <v>82</v>
      </c>
      <c r="C80" s="202" t="s">
        <v>83</v>
      </c>
      <c r="D80" s="191">
        <f>IF(E26="",0,E26)</f>
        <v>147207205.819971</v>
      </c>
    </row>
    <row r="81" spans="2:9" ht="20.100000000000001" customHeight="1" x14ac:dyDescent="0.25">
      <c r="B81" s="201" t="s">
        <v>84</v>
      </c>
      <c r="C81" s="202" t="s">
        <v>85</v>
      </c>
      <c r="D81" s="192">
        <f>IF(E10="",0,E10)</f>
        <v>78971132.979999006</v>
      </c>
    </row>
    <row r="82" spans="2:9" ht="20.100000000000001" customHeight="1" x14ac:dyDescent="0.25">
      <c r="B82" s="201" t="s">
        <v>86</v>
      </c>
      <c r="C82" s="202" t="s">
        <v>87</v>
      </c>
      <c r="D82" s="192">
        <f>IF(E27="",0,E27)</f>
        <v>4259459.54</v>
      </c>
    </row>
    <row r="83" spans="2:9" ht="20.100000000000001" customHeight="1" x14ac:dyDescent="0.25">
      <c r="B83" s="201" t="s">
        <v>88</v>
      </c>
      <c r="C83" s="202" t="s">
        <v>89</v>
      </c>
      <c r="D83" s="192">
        <f>IF(E20="",0,E20)+IF(E21="",0,E21)</f>
        <v>24237838.32</v>
      </c>
    </row>
    <row r="84" spans="2:9" ht="20.100000000000001" customHeight="1" x14ac:dyDescent="0.25">
      <c r="B84" s="57" t="s">
        <v>152</v>
      </c>
      <c r="C84" s="58"/>
      <c r="D84" s="129">
        <f>SUM(D70:D83)</f>
        <v>853801060.33991778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18" customHeight="1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ht="20.100000000000001" customHeight="1" x14ac:dyDescent="0.25">
      <c r="B89" s="201" t="s">
        <v>92</v>
      </c>
      <c r="C89" s="202" t="s">
        <v>93</v>
      </c>
      <c r="D89" s="203">
        <f>TARGETS!H22</f>
        <v>278064617.90420955</v>
      </c>
      <c r="E89" s="122">
        <f>IFERROR(C32,0)</f>
        <v>123426802.015412</v>
      </c>
      <c r="F89" s="61">
        <f t="shared" ref="F89:F94" si="7">IFERROR(E89/D89,0)</f>
        <v>0.44387812784556174</v>
      </c>
      <c r="G89" s="125">
        <f>D89-E89</f>
        <v>154637815.88879755</v>
      </c>
      <c r="H89" s="125">
        <f ca="1">IFERROR(G89/C3,0)</f>
        <v>9664863.493049847</v>
      </c>
      <c r="I89" s="116"/>
    </row>
    <row r="90" spans="2:9" ht="20.100000000000001" customHeight="1" x14ac:dyDescent="0.25">
      <c r="B90" s="201" t="s">
        <v>94</v>
      </c>
      <c r="C90" s="202" t="s">
        <v>95</v>
      </c>
      <c r="D90" s="203">
        <f>TARGETS!H23</f>
        <v>417618553.18652159</v>
      </c>
      <c r="E90" s="122">
        <f>IFERROR(C33,0)</f>
        <v>149621486.20594001</v>
      </c>
      <c r="F90" s="61">
        <f t="shared" si="7"/>
        <v>0.35827308213271442</v>
      </c>
      <c r="G90" s="126">
        <f>D90-E90</f>
        <v>267997066.98058158</v>
      </c>
      <c r="H90" s="126">
        <f ca="1">IFERROR(G90/C3,0)</f>
        <v>16749816.686286349</v>
      </c>
      <c r="I90" s="116"/>
    </row>
    <row r="91" spans="2:9" ht="20.100000000000001" customHeight="1" x14ac:dyDescent="0.25">
      <c r="B91" s="201" t="s">
        <v>96</v>
      </c>
      <c r="C91" s="202" t="s">
        <v>97</v>
      </c>
      <c r="D91" s="203">
        <f>TARGETS!H24</f>
        <v>1087295552.3135247</v>
      </c>
      <c r="E91" s="122">
        <f>M21+M7</f>
        <v>271938496.11745</v>
      </c>
      <c r="F91" s="61">
        <f t="shared" si="7"/>
        <v>0.25010540651879332</v>
      </c>
      <c r="G91" s="125">
        <f>D91-E91</f>
        <v>815357056.19607472</v>
      </c>
      <c r="H91" s="125">
        <f ca="1">IFERROR(G91/C3,0)</f>
        <v>50959816.01225467</v>
      </c>
      <c r="I91" s="116"/>
    </row>
    <row r="92" spans="2:9" ht="20.100000000000001" hidden="1" customHeight="1" x14ac:dyDescent="0.25">
      <c r="B92" s="53" t="s">
        <v>98</v>
      </c>
      <c r="C92" s="56" t="s">
        <v>99</v>
      </c>
      <c r="D92" s="126">
        <f>TARGETS!H25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ht="20.100000000000001" hidden="1" customHeight="1" x14ac:dyDescent="0.25">
      <c r="B93" s="50" t="s">
        <v>100</v>
      </c>
      <c r="C93" s="113" t="s">
        <v>101</v>
      </c>
      <c r="D93" s="125">
        <f>TARGETS!H26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ht="20.100000000000001" customHeight="1" x14ac:dyDescent="0.25">
      <c r="B94" s="57" t="s">
        <v>152</v>
      </c>
      <c r="C94" s="58"/>
      <c r="D94" s="123">
        <f>SUM(D89:D93)</f>
        <v>1782978723.4042559</v>
      </c>
      <c r="E94" s="123">
        <f>SUM(E89:E93)</f>
        <v>544986784.33880198</v>
      </c>
      <c r="F94" s="43">
        <f t="shared" si="7"/>
        <v>0.30566084563154755</v>
      </c>
      <c r="G94" s="119">
        <f>SUM(G89:G93)</f>
        <v>1237991939.065454</v>
      </c>
      <c r="H94" s="119">
        <f ca="1">IFERROR(G94/C3,0)</f>
        <v>77374496.191590875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23" priority="1">
      <formula>J51&gt;=$F$42-0.05</formula>
    </cfRule>
    <cfRule type="expression" dxfId="22" priority="2">
      <formula>AND(J51&gt;=$F$42-0.2,J51&lt;$F$42-0.05)</formula>
    </cfRule>
    <cfRule type="expression" dxfId="21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opLeftCell="A50" zoomScaleNormal="100" workbookViewId="0">
      <selection activeCell="D70" sqref="D70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159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MAX(0,NETWORKDAYS.INTL(MAX(TODAY(),DATE(YEAR(TODAY()),6,1)),EOMONTH(DATE(YEAR(TODAY()),6,1),0),11))</f>
        <v>26</v>
      </c>
      <c r="D3" s="79" t="s">
        <v>104</v>
      </c>
      <c r="E3" s="80">
        <f ca="1">DAY(EOMONTH(DATE(YEAR(TODAY()),6,1),0))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160</v>
      </c>
      <c r="C41" s="225"/>
      <c r="D41" s="226"/>
      <c r="E41" s="67" t="s">
        <v>138</v>
      </c>
      <c r="F41" s="73">
        <f ca="1">IF(MONTH(TODAY())=6,DAY(TODAY())/DAY(EOMONTH(TODAY(),0)),IF(MONTH(TODAY())&gt;6,1,0))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SUM(TARGETS!N5:N7,TARGETS!N8:N13,TARGETS!N14:N18)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SUM(TARGETS!O5:O6,TARGETS!O8:O12,TARGETS!O14:O18)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SUM(TARGETS!I22:I26)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TARGETS!N5</f>
        <v>0</v>
      </c>
      <c r="E51" s="127">
        <f>TARGETS!O5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TARGETS!N6</f>
        <v>0</v>
      </c>
      <c r="E52" s="128">
        <f>TARGETS!O6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TARGETS!N7</f>
        <v>0</v>
      </c>
      <c r="E53" s="157">
        <f>TARGETS!O7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TARGETS!N8</f>
        <v>0</v>
      </c>
      <c r="E54" s="128">
        <f>TARGETS!O8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TARGETS!N9</f>
        <v>0</v>
      </c>
      <c r="E55" s="127">
        <f>TARGETS!O9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TARGETS!N10</f>
        <v>0</v>
      </c>
      <c r="E56" s="128">
        <f>TARGETS!O10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TARGETS!N11</f>
        <v>0</v>
      </c>
      <c r="E57" s="127">
        <f>TARGETS!O11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TARGETS!N12</f>
        <v>0</v>
      </c>
      <c r="E58" s="128">
        <f>TARGETS!O12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TARGETS!N13</f>
        <v>0</v>
      </c>
      <c r="E59" s="157">
        <f>TARGETS!O13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TARGETS!N14</f>
        <v>0</v>
      </c>
      <c r="E60" s="128">
        <f>TARGETS!O14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TARGETS!N15</f>
        <v>0</v>
      </c>
      <c r="E61" s="127">
        <f>TARGETS!O15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TARGETS!N16</f>
        <v>0</v>
      </c>
      <c r="E62" s="128">
        <f>TARGETS!O16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TARGETS!N17</f>
        <v>0</v>
      </c>
      <c r="E63" s="127">
        <f>TARGETS!O17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TARGETS!N18</f>
        <v>0</v>
      </c>
      <c r="E64" s="128">
        <f>TARGETS!O18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TARGETS!I22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TARGETS!I23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TARGETS!I24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TARGETS!I25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TARGETS!I26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20" priority="1">
      <formula>J51&gt;=$F$42-0.05</formula>
    </cfRule>
    <cfRule type="expression" dxfId="19" priority="2">
      <formula>AND(J51&gt;=$F$42-0.2,J51&lt;$F$42-0.05)</formula>
    </cfRule>
    <cfRule type="expression" dxfId="18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MAX(0,NETWORKDAYS.INTL(MAX(TODAY(),DATE(YEAR(TODAY()),7,1)),EOMONTH(DATE(YEAR(TODAY()),7,1),0),11))</f>
        <v>27</v>
      </c>
      <c r="D3" s="79" t="s">
        <v>104</v>
      </c>
      <c r="E3" s="80">
        <f ca="1">DAY(EOMONTH(DATE(YEAR(TODAY()),7,1),0))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179</v>
      </c>
      <c r="C41" s="225"/>
      <c r="D41" s="226"/>
      <c r="E41" s="67" t="s">
        <v>138</v>
      </c>
      <c r="F41" s="73">
        <f ca="1">IF(MONTH(TODAY())=7,DAY(TODAY())/DAY(EOMONTH(TODAY(),0)),IF(MONTH(TODAY())&gt;7,1,0))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SUM(TARGETS!P5:P7,TARGETS!P8:P13,TARGETS!P14:P18)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SUM(TARGETS!Q5:Q6,TARGETS!Q8:Q12,TARGETS!Q14:Q18)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SUM(TARGETS!J22:J26)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TARGETS!P5</f>
        <v>0</v>
      </c>
      <c r="E51" s="127">
        <f>TARGETS!Q5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TARGETS!P6</f>
        <v>0</v>
      </c>
      <c r="E52" s="128">
        <f>TARGETS!Q6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TARGETS!P7</f>
        <v>0</v>
      </c>
      <c r="E53" s="157">
        <f>TARGETS!Q7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TARGETS!P8</f>
        <v>0</v>
      </c>
      <c r="E54" s="128">
        <f>TARGETS!Q8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TARGETS!P9</f>
        <v>0</v>
      </c>
      <c r="E55" s="127">
        <f>TARGETS!Q9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TARGETS!P10</f>
        <v>0</v>
      </c>
      <c r="E56" s="128">
        <f>TARGETS!Q10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TARGETS!P11</f>
        <v>0</v>
      </c>
      <c r="E57" s="127">
        <f>TARGETS!Q11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TARGETS!P12</f>
        <v>0</v>
      </c>
      <c r="E58" s="128">
        <f>TARGETS!Q12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TARGETS!P13</f>
        <v>0</v>
      </c>
      <c r="E59" s="157">
        <f>TARGETS!Q13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TARGETS!P14</f>
        <v>0</v>
      </c>
      <c r="E60" s="128">
        <f>TARGETS!Q14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TARGETS!P15</f>
        <v>0</v>
      </c>
      <c r="E61" s="127">
        <f>TARGETS!Q15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TARGETS!P16</f>
        <v>0</v>
      </c>
      <c r="E62" s="128">
        <f>TARGETS!Q16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TARGETS!P17</f>
        <v>0</v>
      </c>
      <c r="E63" s="127">
        <f>TARGETS!Q17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TARGETS!P18</f>
        <v>0</v>
      </c>
      <c r="E64" s="128">
        <f>TARGETS!Q18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TARGETS!J22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TARGETS!J23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TARGETS!J24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TARGETS!J25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TARGETS!J26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17" priority="1">
      <formula>J51&gt;=$F$42-0.05</formula>
    </cfRule>
    <cfRule type="expression" dxfId="16" priority="2">
      <formula>AND(J51&gt;=$F$42-0.2,J51&lt;$F$42-0.05)</formula>
    </cfRule>
    <cfRule type="expression" dxfId="15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162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MAX(0,NETWORKDAYS.INTL(MAX(TODAY(),DATE(YEAR(TODAY()),8,1)),EOMONTH(DATE(YEAR(TODAY()),8,1),0),11))</f>
        <v>26</v>
      </c>
      <c r="D3" s="79" t="s">
        <v>104</v>
      </c>
      <c r="E3" s="80">
        <f ca="1">DAY(EOMONTH(DATE(YEAR(TODAY()),8,1),0))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163</v>
      </c>
      <c r="C41" s="225"/>
      <c r="D41" s="226"/>
      <c r="E41" s="67" t="s">
        <v>138</v>
      </c>
      <c r="F41" s="73">
        <f ca="1">IF(MONTH(TODAY())=8,DAY(TODAY())/DAY(EOMONTH(TODAY(),0)),IF(MONTH(TODAY())&gt;8,1,0))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SUM(TARGETS!R5:R7,TARGETS!R8:R13,TARGETS!R14:R18)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SUM(TARGETS!S5:S6,TARGETS!S8:S12,TARGETS!S14:S18)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SUM(TARGETS!K22:K26)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TARGETS!R5</f>
        <v>0</v>
      </c>
      <c r="E51" s="127">
        <f>TARGETS!S5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TARGETS!R6</f>
        <v>0</v>
      </c>
      <c r="E52" s="128">
        <f>TARGETS!S6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TARGETS!R7</f>
        <v>0</v>
      </c>
      <c r="E53" s="157">
        <f>TARGETS!S7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TARGETS!R8</f>
        <v>0</v>
      </c>
      <c r="E54" s="128">
        <f>TARGETS!S8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TARGETS!R9</f>
        <v>0</v>
      </c>
      <c r="E55" s="127">
        <f>TARGETS!S9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TARGETS!R10</f>
        <v>0</v>
      </c>
      <c r="E56" s="128">
        <f>TARGETS!S10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TARGETS!R11</f>
        <v>0</v>
      </c>
      <c r="E57" s="127">
        <f>TARGETS!S11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TARGETS!R12</f>
        <v>0</v>
      </c>
      <c r="E58" s="128">
        <f>TARGETS!S12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TARGETS!R13</f>
        <v>0</v>
      </c>
      <c r="E59" s="157">
        <f>TARGETS!S13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TARGETS!R14</f>
        <v>0</v>
      </c>
      <c r="E60" s="128">
        <f>TARGETS!S14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TARGETS!R15</f>
        <v>0</v>
      </c>
      <c r="E61" s="127">
        <f>TARGETS!S15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TARGETS!R16</f>
        <v>0</v>
      </c>
      <c r="E62" s="128">
        <f>TARGETS!S16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TARGETS!R17</f>
        <v>0</v>
      </c>
      <c r="E63" s="127">
        <f>TARGETS!S17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TARGETS!R18</f>
        <v>0</v>
      </c>
      <c r="E64" s="128">
        <f>TARGETS!S18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TARGETS!K22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TARGETS!K23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TARGETS!K24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TARGETS!K25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TARGETS!K26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14" priority="1">
      <formula>J51&gt;=$F$42-0.05</formula>
    </cfRule>
    <cfRule type="expression" dxfId="13" priority="2">
      <formula>AND(J51&gt;=$F$42-0.2,J51&lt;$F$42-0.05)</formula>
    </cfRule>
    <cfRule type="expression" dxfId="12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164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MAX(0,NETWORKDAYS.INTL(MAX(TODAY(),DATE(YEAR(TODAY()),9,1)),EOMONTH(DATE(YEAR(TODAY()),9,1),0),11))</f>
        <v>26</v>
      </c>
      <c r="D3" s="79" t="s">
        <v>104</v>
      </c>
      <c r="E3" s="80">
        <f ca="1">DAY(EOMONTH(DATE(YEAR(TODAY()),9,1),0))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165</v>
      </c>
      <c r="C41" s="225"/>
      <c r="D41" s="226"/>
      <c r="E41" s="67" t="s">
        <v>138</v>
      </c>
      <c r="F41" s="73">
        <f ca="1">IF(MONTH(TODAY())=9,DAY(TODAY())/DAY(EOMONTH(TODAY(),0)),IF(MONTH(TODAY())&gt;9,1,0))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SUM(TARGETS!T5:T7,TARGETS!T8:T13,TARGETS!T14:T18)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SUM(TARGETS!U5:U6,TARGETS!U8:U12,TARGETS!U14:U18)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SUM(TARGETS!L22:L26)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TARGETS!T5</f>
        <v>0</v>
      </c>
      <c r="E51" s="127">
        <f>TARGETS!U5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TARGETS!T6</f>
        <v>0</v>
      </c>
      <c r="E52" s="128">
        <f>TARGETS!U6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TARGETS!T7</f>
        <v>0</v>
      </c>
      <c r="E53" s="157">
        <f>TARGETS!U7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TARGETS!T8</f>
        <v>0</v>
      </c>
      <c r="E54" s="128">
        <f>TARGETS!U8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TARGETS!T9</f>
        <v>0</v>
      </c>
      <c r="E55" s="127">
        <f>TARGETS!U9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TARGETS!T10</f>
        <v>0</v>
      </c>
      <c r="E56" s="128">
        <f>TARGETS!U10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TARGETS!T11</f>
        <v>0</v>
      </c>
      <c r="E57" s="127">
        <f>TARGETS!U11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TARGETS!T12</f>
        <v>0</v>
      </c>
      <c r="E58" s="128">
        <f>TARGETS!U12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TARGETS!T13</f>
        <v>0</v>
      </c>
      <c r="E59" s="157">
        <f>TARGETS!U13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TARGETS!T14</f>
        <v>0</v>
      </c>
      <c r="E60" s="128">
        <f>TARGETS!U14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TARGETS!T15</f>
        <v>0</v>
      </c>
      <c r="E61" s="127">
        <f>TARGETS!U15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TARGETS!T16</f>
        <v>0</v>
      </c>
      <c r="E62" s="128">
        <f>TARGETS!U16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TARGETS!T17</f>
        <v>0</v>
      </c>
      <c r="E63" s="127">
        <f>TARGETS!U17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TARGETS!T18</f>
        <v>0</v>
      </c>
      <c r="E64" s="128">
        <f>TARGETS!U18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TARGETS!L22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TARGETS!L23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TARGETS!L24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TARGETS!L25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TARGETS!L26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11" priority="1">
      <formula>J51&gt;=$F$42-0.05</formula>
    </cfRule>
    <cfRule type="expression" dxfId="10" priority="2">
      <formula>AND(J51&gt;=$F$42-0.2,J51&lt;$F$42-0.05)</formula>
    </cfRule>
    <cfRule type="expression" dxfId="9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MAX(0,NETWORKDAYS.INTL(MAX(TODAY(),DATE(YEAR(TODAY()),10,1)),EOMONTH(DATE(YEAR(TODAY()),10,1),0),11))</f>
        <v>27</v>
      </c>
      <c r="D3" s="79" t="s">
        <v>104</v>
      </c>
      <c r="E3" s="80">
        <f ca="1">DAY(EOMONTH(DATE(YEAR(TODAY()),10,1),0))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167</v>
      </c>
      <c r="C41" s="225"/>
      <c r="D41" s="226"/>
      <c r="E41" s="67" t="s">
        <v>138</v>
      </c>
      <c r="F41" s="73">
        <f ca="1">IF(MONTH(TODAY())=10,DAY(TODAY())/DAY(EOMONTH(TODAY(),0)),IF(MONTH(TODAY())&gt;10,1,0))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SUM(TARGETS!V5:V7,TARGETS!V8:V13,TARGETS!V14:V18)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SUM(TARGETS!W5:W6,TARGETS!W8:W12,TARGETS!W14:W18)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SUM(TARGETS!M22:M26)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TARGETS!V5</f>
        <v>0</v>
      </c>
      <c r="E51" s="127">
        <f>TARGETS!W5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TARGETS!V6</f>
        <v>0</v>
      </c>
      <c r="E52" s="128">
        <f>TARGETS!W6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TARGETS!V7</f>
        <v>0</v>
      </c>
      <c r="E53" s="157">
        <f>TARGETS!W7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TARGETS!V8</f>
        <v>0</v>
      </c>
      <c r="E54" s="128">
        <f>TARGETS!W8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TARGETS!V9</f>
        <v>0</v>
      </c>
      <c r="E55" s="127">
        <f>TARGETS!W9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TARGETS!V10</f>
        <v>0</v>
      </c>
      <c r="E56" s="128">
        <f>TARGETS!W10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TARGETS!V11</f>
        <v>0</v>
      </c>
      <c r="E57" s="127">
        <f>TARGETS!W11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TARGETS!V12</f>
        <v>0</v>
      </c>
      <c r="E58" s="128">
        <f>TARGETS!W12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TARGETS!V13</f>
        <v>0</v>
      </c>
      <c r="E59" s="157">
        <f>TARGETS!W13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TARGETS!V14</f>
        <v>0</v>
      </c>
      <c r="E60" s="128">
        <f>TARGETS!W14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TARGETS!V15</f>
        <v>0</v>
      </c>
      <c r="E61" s="127">
        <f>TARGETS!W15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TARGETS!V16</f>
        <v>0</v>
      </c>
      <c r="E62" s="128">
        <f>TARGETS!W16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TARGETS!V17</f>
        <v>0</v>
      </c>
      <c r="E63" s="127">
        <f>TARGETS!W17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TARGETS!V18</f>
        <v>0</v>
      </c>
      <c r="E64" s="128">
        <f>TARGETS!W18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TARGETS!M22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TARGETS!M23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TARGETS!M24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TARGETS!M25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TARGETS!M26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8" priority="1">
      <formula>J51&gt;=$F$42-0.05</formula>
    </cfRule>
    <cfRule type="expression" dxfId="7" priority="2">
      <formula>AND(J51&gt;=$F$42-0.2,J51&lt;$F$42-0.05)</formula>
    </cfRule>
    <cfRule type="expression" dxfId="6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MAX(0,NETWORKDAYS.INTL(MAX(TODAY(),DATE(YEAR(TODAY()),11,1)),EOMONTH(DATE(YEAR(TODAY()),11,1),0),11))</f>
        <v>25</v>
      </c>
      <c r="D3" s="79" t="s">
        <v>104</v>
      </c>
      <c r="E3" s="80">
        <f ca="1">DAY(EOMONTH(DATE(YEAR(TODAY()),11,1),0))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180</v>
      </c>
      <c r="C41" s="225"/>
      <c r="D41" s="226"/>
      <c r="E41" s="67" t="s">
        <v>138</v>
      </c>
      <c r="F41" s="73">
        <f ca="1">IF(MONTH(TODAY())=11,DAY(TODAY())/DAY(EOMONTH(TODAY(),0)),IF(MONTH(TODAY())&gt;11,1,0))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SUM(TARGETS!X5:X7,TARGETS!X8:X13,TARGETS!X14:X18)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SUM(TARGETS!Y5:Y6,TARGETS!Y8:Y12,TARGETS!Y14:Y18)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SUM(TARGETS!N22:N26)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TARGETS!X5</f>
        <v>0</v>
      </c>
      <c r="E51" s="127">
        <f>TARGETS!Y5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TARGETS!X6</f>
        <v>0</v>
      </c>
      <c r="E52" s="128">
        <f>TARGETS!Y6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TARGETS!X7</f>
        <v>0</v>
      </c>
      <c r="E53" s="157">
        <f>TARGETS!Y7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TARGETS!X8</f>
        <v>0</v>
      </c>
      <c r="E54" s="128">
        <f>TARGETS!Y8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TARGETS!X9</f>
        <v>0</v>
      </c>
      <c r="E55" s="127">
        <f>TARGETS!Y9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TARGETS!X10</f>
        <v>0</v>
      </c>
      <c r="E56" s="128">
        <f>TARGETS!Y10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TARGETS!X11</f>
        <v>0</v>
      </c>
      <c r="E57" s="127">
        <f>TARGETS!Y11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TARGETS!X12</f>
        <v>0</v>
      </c>
      <c r="E58" s="128">
        <f>TARGETS!Y12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TARGETS!X13</f>
        <v>0</v>
      </c>
      <c r="E59" s="157">
        <f>TARGETS!Y13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TARGETS!X14</f>
        <v>0</v>
      </c>
      <c r="E60" s="128">
        <f>TARGETS!Y14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TARGETS!X15</f>
        <v>0</v>
      </c>
      <c r="E61" s="127">
        <f>TARGETS!Y15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TARGETS!X16</f>
        <v>0</v>
      </c>
      <c r="E62" s="128">
        <f>TARGETS!Y16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TARGETS!X17</f>
        <v>0</v>
      </c>
      <c r="E63" s="127">
        <f>TARGETS!Y17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TARGETS!X18</f>
        <v>0</v>
      </c>
      <c r="E64" s="128">
        <f>TARGETS!Y18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TARGETS!N22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TARGETS!N23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TARGETS!N24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TARGETS!N25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TARGETS!N26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5" priority="1">
      <formula>J51&gt;=$F$42-0.05</formula>
    </cfRule>
    <cfRule type="expression" dxfId="4" priority="2">
      <formula>AND(J51&gt;=$F$42-0.2,J51&lt;$F$42-0.05)</formula>
    </cfRule>
    <cfRule type="expression" dxfId="3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181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MAX(0,NETWORKDAYS.INTL(MAX(TODAY(),DATE(YEAR(TODAY()),12,1)),EOMONTH(DATE(YEAR(TODAY()),12,1),0),11))</f>
        <v>27</v>
      </c>
      <c r="D3" s="79" t="s">
        <v>104</v>
      </c>
      <c r="E3" s="80">
        <f ca="1">DAY(EOMONTH(DATE(YEAR(TODAY()),12,1),0))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182</v>
      </c>
      <c r="C41" s="225"/>
      <c r="D41" s="226"/>
      <c r="E41" s="67" t="s">
        <v>138</v>
      </c>
      <c r="F41" s="73">
        <f ca="1">IF(MONTH(TODAY())=12,DAY(TODAY())/DAY(EOMONTH(TODAY(),0)),IF(MONTH(TODAY())&gt;12,1,0))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SUM(TARGETS!Z5:Z7,TARGETS!Z8:Z13,TARGETS!Z14:Z18)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SUM(TARGETS!O22:O26)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TARGETS!Z5</f>
        <v>0</v>
      </c>
      <c r="E51" s="127"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TARGETS!Z6</f>
        <v>0</v>
      </c>
      <c r="E52" s="128"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TARGETS!Z7</f>
        <v>0</v>
      </c>
      <c r="E53" s="157"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TARGETS!Z8</f>
        <v>0</v>
      </c>
      <c r="E54" s="128"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TARGETS!Z9</f>
        <v>0</v>
      </c>
      <c r="E55" s="127"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TARGETS!Z10</f>
        <v>0</v>
      </c>
      <c r="E56" s="128"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TARGETS!Z11</f>
        <v>0</v>
      </c>
      <c r="E57" s="127"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TARGETS!Z12</f>
        <v>0</v>
      </c>
      <c r="E58" s="128"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TARGETS!Z13</f>
        <v>0</v>
      </c>
      <c r="E59" s="157"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TARGETS!Z14</f>
        <v>0</v>
      </c>
      <c r="E60" s="128"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TARGETS!Z15</f>
        <v>0</v>
      </c>
      <c r="E61" s="127"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TARGETS!Z16</f>
        <v>0</v>
      </c>
      <c r="E62" s="128"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TARGETS!Z17</f>
        <v>0</v>
      </c>
      <c r="E63" s="127"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TARGETS!Z18</f>
        <v>0</v>
      </c>
      <c r="E64" s="128"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TARGETS!O22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TARGETS!O23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TARGETS!O24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TARGETS!O25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TARGETS!O26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2" priority="1">
      <formula>J51&gt;=$F$42-0.05</formula>
    </cfRule>
    <cfRule type="expression" dxfId="1" priority="2">
      <formula>AND(J51&gt;=$F$42-0.2,J51&lt;$F$42-0.05)</formula>
    </cfRule>
    <cfRule type="expression" dxfId="0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HOW TO USE</vt:lpstr>
      <vt:lpstr>TARGETS</vt:lpstr>
      <vt:lpstr>JAN</vt:lpstr>
      <vt:lpstr>FEB</vt:lpstr>
      <vt:lpstr>MAR</vt:lpstr>
      <vt:lpstr>APR</vt:lpstr>
      <vt:lpstr>MEI</vt:lpstr>
      <vt:lpstr>JUN</vt:lpstr>
      <vt:lpstr>JUL</vt:lpstr>
      <vt:lpstr>AGU</vt:lpstr>
      <vt:lpstr>SEP</vt:lpstr>
      <vt:lpstr>OKT</vt:lpstr>
      <vt:lpstr>NOV</vt:lpstr>
      <vt:lpstr>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ADM-SLS-2</cp:lastModifiedBy>
  <cp:revision>0</cp:revision>
  <dcterms:created xsi:type="dcterms:W3CDTF">2026-03-24T08:59:20Z</dcterms:created>
  <dcterms:modified xsi:type="dcterms:W3CDTF">2026-05-13T00:53:55Z</dcterms:modified>
  <dc:language>en-US</dc:language>
</cp:coreProperties>
</file>