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<sst xmlns="http://schemas.openxmlformats.org/spreadsheetml/2006/main" count="2122" uniqueCount="228">
  <si>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</si>
  <si>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</si>
  <si>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</si>
  <si>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</si>
  <si>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</si>
  <si>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</si>
  <si>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</si>
  <si>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</si>
  <si>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</si>
  <si>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</si>
  <si>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</si>
  <si>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</si>
  <si>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</si>
  <si>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</si>
  <si>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</si>
  <si>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</si>
  <si>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</si>
  <si>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</si>
  <si>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</si>
  <si>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</si>
  <si>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</si>
  <si>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</si>
  <si>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</si>
  <si>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</si>
  <si>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</si>
  <si>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</si>
  <si>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</si>
  <si>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</si>
  <si>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</si>
  <si>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</si>
  <si>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</si>
  <si>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</si>
  <si>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</si>
  <si>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</si>
  <si>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</si>
  <si>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</si>
  <si>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</si>
  <si>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</si>
  <si>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</si>
  <si>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</si>
  <si>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</si>
  <si>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</si>
  <si>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</si>
  <si>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</si>
  <si>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</si>
  <si>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</si>
  <si>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</si>
  <si>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</si>
  <si>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</si>
  <si>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</si>
  <si>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</si>
  <si>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</si>
  <si>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</si>
  <si>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</si>
  <si>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</si>
  <si>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</si>
  <si>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</si>
  <si>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</si>
  <si>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</si>
  <si>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</si>
  <si>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</si>
  <si>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</si>
  <si>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</si>
  <si>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</si>
  <si>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</si>
  <si>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</si>
  <si>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</si>
  <si>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</si>
  <si>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</si>
  <si>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</si>
  <si>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</si>
  <si>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</si>
  <si>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</si>
  <si>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</si>
  <si>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</si>
  <si>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</si>
  <si>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</si>
  <si>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</si>
  <si>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</si>
  <si>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</si>
  <si>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</si>
  <si>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</si>
  <si>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</si>
  <si>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</si>
  <si>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</si>
  <si>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</si>
  <si>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</si>
  <si>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</si>
  <si>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</si>
  <si>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</si>
  <si>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</si>
  <si>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</si>
  <si>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</si>
  <si>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</si>
  <si>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</si>
  <si>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</si>
  <si>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</si>
  <si>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</si>
  <si>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</si>
  <si>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</si>
  <si>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</si>
  <si>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</si>
  <si>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</si>
  <si>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</si>
  <si>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</si>
  <si>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</si>
  <si>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</si>
  <si>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</si>
  <si>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</si>
  <si>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</si>
  <si>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</si>
  <si>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</si>
  <si>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</si>
  <si>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</si>
  <si>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</si>
  <si>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</si>
  <si>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</si>
  <si>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</si>
  <si>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</si>
  <si>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</si>
  <si>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</si>
  <si>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</si>
  <si>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</si>
  <si>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</si>
  <si>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</si>
  <si>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</si>
  <si>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</si>
  <si>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</si>
  <si>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</si>
  <si>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</si>
  <si>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</si>
  <si>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</si>
  <si>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</si>
  <si>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</si>
  <si>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</si>
  <si>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</si>
  <si>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</si>
  <si>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</si>
  <si>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</si>
  <si>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</si>
  <si>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</si>
  <si>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</si>
  <si>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</si>
  <si>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</si>
  <si>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</si>
  <si>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</si>
  <si>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</si>
  <si>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</si>
  <si>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</si>
  <si>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</si>
  <si>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</si>
  <si>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</si>
  <si>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</si>
  <si>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</si>
  <si>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</si>
  <si>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</si>
  <si>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</si>
  <si>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</si>
  <si>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</si>
  <si>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</si>
  <si>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</si>
  <si>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</si>
  <si>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</si>
  <si>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</si>
  <si>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</si>
  <si>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</si>
  <si>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</si>
  <si>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</si>
  <si>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</si>
  <si>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</si>
  <si>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</si>
  <si>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</si>
  <si>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</si>
  <si>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</si>
  <si>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</si>
  <si>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</si>
  <si>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</si>
  <si>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</si>
  <si>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</si>
  <si>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</si>
  <si>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</si>
  <si>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</si>
  <si>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</si>
  <si>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</si>
  <si>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</si>
  <si>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</si>
  <si>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</si>
  <si>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</si>
  <si>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</si>
  <si>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</si>
  <si>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</si>
  <si>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</si>
  <si>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</si>
  <si>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</si>
  <si>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</si>
  <si>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</si>
  <si>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</si>
  <si>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</si>
  <si>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</si>
  <si>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</si>
  <si>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</si>
  <si>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</si>
  <si>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</si>
  <si>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</si>
  <si>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</si>
  <si>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</si>
  <si>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</si>
  <si>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</si>
  <si>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</si>
  <si>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</si>
  <si>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</si>
  <si>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</si>
  <si>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</si>
  <si>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</si>
  <si>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</si>
  <si>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</si>
  <si>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</si>
  <si>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</si>
  <si>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</si>
  <si>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</si>
  <si>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</si>
  <si>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</si>
  <si>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</si>
  <si>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</si>
  <si>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</si>
  <si>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</si>
  <si>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</si>
  <si>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8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</si>
</sst>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1" t="s">
        <v>177</v>
      </c>
      <c r="C41" s="272"/>
      <c r="D41" s="273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  <c r="Q48"/>
      <c r="R48"/>
    </row>
    <row r="49" spans="2:18" s="139" customFormat="1" ht="33.950000000000003" customHeight="1" x14ac:dyDescent="0.25">
      <c r="B49" s="279" t="s">
        <v>41</v>
      </c>
      <c r="C49" s="279" t="s">
        <v>42</v>
      </c>
      <c r="D49" s="276" t="s">
        <v>137</v>
      </c>
      <c r="E49" s="277"/>
      <c r="F49" s="278"/>
      <c r="G49" s="140" t="s">
        <v>138</v>
      </c>
      <c r="H49" s="140"/>
      <c r="I49" s="140"/>
      <c r="J49" s="276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9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9"/>
      <c r="C50" s="27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6"/>
      <c r="K50" s="266"/>
      <c r="L50" s="266"/>
      <c r="M50" s="268"/>
      <c r="N50" s="188"/>
      <c r="O50" s="183"/>
      <c r="P50" s="270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170</v>
      </c>
      <c r="C77" s="252"/>
      <c r="D77" s="253"/>
      <c r="G77"/>
      <c r="H77"/>
      <c r="I77"/>
    </row>
    <row r="78" spans="1:19" ht="20.100000000000001" customHeight="1" x14ac:dyDescent="0.25">
      <c r="B78" s="261" t="s">
        <v>41</v>
      </c>
      <c r="C78" s="261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0" t="s">
        <v>178</v>
      </c>
      <c r="C41" s="281"/>
      <c r="D41" s="282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69" t="str">
        <f>"SELISIH"&amp;CHAR(10)&amp;TEXT($L$41,"0%")</f>
        <v>SELISIH
100%</v>
      </c>
      <c r="P49" s="269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70"/>
      <c r="P50" s="270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8.75" customHeight="1" x14ac:dyDescent="0.25">
      <c r="B78" s="261" t="s">
        <v>41</v>
      </c>
      <c r="C78" s="261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1" t="s">
        <v>179</v>
      </c>
      <c r="C41" s="272"/>
      <c r="D41" s="273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69" t="str">
        <f>"SELISIH"&amp;CHAR(10)&amp;TEXT($L$41,"0%")</f>
        <v>SELISIH
100%</v>
      </c>
      <c r="P49" s="269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70"/>
      <c r="P50" s="270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61" t="s">
        <v>41</v>
      </c>
      <c r="C78" s="261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1" t="s">
        <v>188</v>
      </c>
      <c r="C41" s="272"/>
      <c r="D41" s="273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61" t="s">
        <v>41</v>
      </c>
      <c r="C78" s="261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1" t="s">
        <v>218</v>
      </c>
      <c r="C40" s="272"/>
      <c r="D40" s="273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5.75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4"/>
      <c r="G67" s="262" t="s">
        <v>185</v>
      </c>
      <c r="H67" s="263"/>
      <c r="I67" s="263"/>
      <c r="J67" s="263"/>
      <c r="K67" s="263"/>
      <c r="L67" s="264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170</v>
      </c>
      <c r="C77" s="252"/>
      <c r="D77" s="253"/>
    </row>
    <row r="78" spans="2:21" ht="15.75" x14ac:dyDescent="0.25">
      <c r="B78" s="261" t="s">
        <v>41</v>
      </c>
      <c r="C78" s="261" t="s">
        <v>42</v>
      </c>
      <c r="D78" s="231" t="s">
        <v>138</v>
      </c>
    </row>
    <row r="79" spans="2:21" ht="15.75" x14ac:dyDescent="0.25">
      <c r="B79" s="260"/>
      <c r="C79" s="260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226</v>
      </c>
      <c r="C40" s="272"/>
      <c r="D40" s="273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95%</v>
      </c>
      <c r="N49" s="265" t="str">
        <f>"PER HARI"&amp;CHAR(10)&amp;TEXT($H$40,"0%")</f>
        <v>PER HARI
95%</v>
      </c>
      <c r="O49" s="267" t="str">
        <f>"SELISIH"&amp;CHAR(10)&amp;TEXT($J$40,"0%")</f>
        <v>SELISIH
100%</v>
      </c>
      <c r="P49" s="267" t="str">
        <f>"PER HARI"&amp;CHAR(10)&amp;TEXT($J$40,"0%")</f>
        <v>PER HARI
100%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34" zoomScale="73" zoomScaleNormal="73" workbookViewId="0">
      <selection activeCell="F50" sqref="F5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21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48446170.938451998</v>
      </c>
      <c r="D10" s="235">
        <v>21303806.1855</v>
      </c>
      <c r="E10" s="235">
        <v>67994095.976074994</v>
      </c>
      <c r="F10" s="235">
        <v>48107207.589974999</v>
      </c>
      <c r="G10" s="235">
        <v>185851280.69000199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1270270.259994</v>
      </c>
      <c r="D11" s="235">
        <v>4489392</v>
      </c>
      <c r="E11" s="235">
        <v>72283784.840000004</v>
      </c>
      <c r="F11" s="235" t="s">
        <v>164</v>
      </c>
      <c r="G11" s="235">
        <v>78043447.099994004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48860300.374700002</v>
      </c>
      <c r="D12" s="235">
        <v>25720697.804451</v>
      </c>
      <c r="E12" s="235">
        <v>44638744.559845999</v>
      </c>
      <c r="F12" s="235">
        <v>42729179.759999998</v>
      </c>
      <c r="G12" s="235">
        <v>161948922.498997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7244261.3201679997</v>
      </c>
      <c r="D13" s="235">
        <v>11718833.549973</v>
      </c>
      <c r="E13" s="235">
        <v>72255721.679790005</v>
      </c>
      <c r="F13" s="235">
        <v>22072072.870000001</v>
      </c>
      <c r="G13" s="235">
        <v>113290889.41993099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129711526.474907</v>
      </c>
      <c r="D14" s="235">
        <v>7785004.3939929996</v>
      </c>
      <c r="E14" s="235">
        <v>40238076.799984999</v>
      </c>
      <c r="F14" s="235">
        <v>96423245.179955006</v>
      </c>
      <c r="G14" s="235">
        <v>274157852.84884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80187901.806920007</v>
      </c>
      <c r="D15" s="235">
        <v>1931513.519999</v>
      </c>
      <c r="E15" s="235">
        <v>1619369.269965</v>
      </c>
      <c r="F15" s="235">
        <v>4010810.89</v>
      </c>
      <c r="G15" s="235">
        <v>87749595.486883998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163452691.61488101</v>
      </c>
      <c r="D16" s="235">
        <v>26372578.169775002</v>
      </c>
      <c r="E16" s="235">
        <v>114846307.119794</v>
      </c>
      <c r="F16" s="235">
        <v>400773693.31996</v>
      </c>
      <c r="G16" s="235">
        <v>705445270.22441006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35286675.929390997</v>
      </c>
      <c r="D17" s="235">
        <v>13388539.58996</v>
      </c>
      <c r="E17" s="235">
        <v>15251802.6195</v>
      </c>
      <c r="F17" s="235">
        <v>2378378.4</v>
      </c>
      <c r="G17" s="235">
        <v>66305396.538851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3791250</v>
      </c>
      <c r="D18" s="235">
        <v>21538801.480165999</v>
      </c>
      <c r="E18" s="235">
        <v>9004460.5</v>
      </c>
      <c r="F18" s="235">
        <v>43837838.740000002</v>
      </c>
      <c r="G18" s="235">
        <v>78172350.720165998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8088444.4800000004</v>
      </c>
      <c r="D19" s="235" t="s">
        <v>164</v>
      </c>
      <c r="E19" s="235" t="s">
        <v>164</v>
      </c>
      <c r="F19" s="235">
        <v>1765765.72</v>
      </c>
      <c r="G19" s="235">
        <v>9854210.1999999993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47113934.039999999</v>
      </c>
      <c r="D20" s="235" t="s">
        <v>164</v>
      </c>
      <c r="E20" s="235" t="s">
        <v>164</v>
      </c>
      <c r="F20" s="235">
        <v>4090089.98</v>
      </c>
      <c r="G20" s="235">
        <v>51204024.020000003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92034052.085143998</v>
      </c>
      <c r="D21" s="235">
        <v>15665513.579976</v>
      </c>
      <c r="E21" s="235">
        <v>33114549.679954</v>
      </c>
      <c r="F21" s="235">
        <v>122514753.46995001</v>
      </c>
      <c r="G21" s="235">
        <v>263328868.81502399</v>
      </c>
      <c r="H21" s="111"/>
      <c r="I21" s="111"/>
      <c r="J21" s="111"/>
      <c r="M21" s="14">
        <f>SUM(C33,C34)+M20</f>
        <v>223605637.15392599</v>
      </c>
      <c r="N21" s="10" t="s">
        <v>223</v>
      </c>
    </row>
    <row r="22" spans="2:15" ht="15" customHeight="1" x14ac:dyDescent="0.25">
      <c r="B22" s="72" t="s">
        <v>224</v>
      </c>
      <c r="C22" s="235">
        <v>66451551.109250002</v>
      </c>
      <c r="D22" s="235">
        <v>10923470.624190999</v>
      </c>
      <c r="E22" s="235">
        <v>36698937.189981997</v>
      </c>
      <c r="F22" s="235">
        <v>70341892.249988005</v>
      </c>
      <c r="G22" s="235">
        <v>184415851.17341101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102323227.304379</v>
      </c>
      <c r="D23" s="235">
        <v>15564719.919977</v>
      </c>
      <c r="E23" s="235">
        <v>56717028.515529998</v>
      </c>
      <c r="F23" s="235">
        <v>94912745.469850004</v>
      </c>
      <c r="G23" s="235">
        <v>269517721.20973599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147716641.24646899</v>
      </c>
      <c r="D24" s="235">
        <v>20416815.339984</v>
      </c>
      <c r="E24" s="235">
        <v>60071396.949984998</v>
      </c>
      <c r="F24" s="235">
        <v>267159546.559423</v>
      </c>
      <c r="G24" s="235">
        <v>495364400.09586102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65856649.511474997</v>
      </c>
      <c r="D25" s="235">
        <v>32633981.424244002</v>
      </c>
      <c r="E25" s="235">
        <v>32927081.197925001</v>
      </c>
      <c r="F25" s="235">
        <v>5486486.6299999999</v>
      </c>
      <c r="G25" s="235">
        <v>136904198.76364401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137505528.93474701</v>
      </c>
      <c r="D26" s="235">
        <v>80033865.908906996</v>
      </c>
      <c r="E26" s="235">
        <v>86523825.889063001</v>
      </c>
      <c r="F26" s="235">
        <v>5467567.7022000002</v>
      </c>
      <c r="G26" s="235">
        <v>309530788.43491697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52580351.249807</v>
      </c>
      <c r="G31" s="111"/>
      <c r="H31" s="111"/>
      <c r="I31" s="111"/>
    </row>
    <row r="32" spans="2:15" ht="15" customHeight="1" x14ac:dyDescent="0.25">
      <c r="B32" s="81" t="s">
        <v>132</v>
      </c>
      <c r="C32" s="171">
        <v>38643598.307622001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56011109.150615998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167594528.00330999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227</v>
      </c>
      <c r="C40" s="272"/>
      <c r="D40" s="273"/>
      <c r="E40" s="66" t="s">
        <v>137</v>
      </c>
      <c r="F40" s="174">
        <f ca="1">IF(MONTH(TODAY())=10,DAY(TODAY())/DAY(EOMONTH(TODAY(),0)),IF(MONTH(TODAY())&gt;10,1,0))</f>
        <v>0.25806451612903225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1105153175.6239569</v>
      </c>
      <c r="F42" s="176">
        <f>IFERROR(E42/D42,0)</f>
        <v>0.24753762278401945</v>
      </c>
      <c r="G42" s="184">
        <f>D42*$H$40-E42</f>
        <v>3359433513.0355721</v>
      </c>
      <c r="H42" s="184">
        <f ca="1">IFERROR(G42/$C$3,0)</f>
        <v>159973024.43026534</v>
      </c>
      <c r="I42" s="204">
        <f>D42*$J$40-E42</f>
        <v>3359433513.0355721</v>
      </c>
      <c r="J42" s="204">
        <f ca="1">IFERROR(I42/$C$3,0)</f>
        <v>159973024.43026534</v>
      </c>
      <c r="K42" s="185">
        <f>D42*$L$40-E42</f>
        <v>3359433513.0355721</v>
      </c>
      <c r="L42" s="185">
        <f ca="1">IFERROR(K42/$C$3,0)</f>
        <v>159973024.43026534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307556019.97109699</v>
      </c>
      <c r="F43" s="176">
        <f>IFERROR(E43/D43,0)</f>
        <v>0.24029539998674848</v>
      </c>
      <c r="G43" s="184">
        <f>D43*$H$40-E43</f>
        <v>972352043.13813329</v>
      </c>
      <c r="H43" s="184">
        <f ca="1">IFERROR(G43/$C$3,0)</f>
        <v>46302478.244673014</v>
      </c>
      <c r="I43" s="204">
        <f>D43*$J$40-E43</f>
        <v>972352043.13813329</v>
      </c>
      <c r="J43" s="204">
        <f ca="1">IFERROR(I43/$C$3,0)</f>
        <v>46302478.244673014</v>
      </c>
      <c r="K43" s="185">
        <f>D43*$L$40-E43</f>
        <v>972352043.13813329</v>
      </c>
      <c r="L43" s="185">
        <f ca="1">IFERROR(K43/$C$3,0)</f>
        <v>46302478.244673014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742565813.51742911</v>
      </c>
      <c r="F44" s="176">
        <f>IFERROR(E44/D44,0)</f>
        <v>0.25482632353708068</v>
      </c>
      <c r="G44" s="184">
        <f>IF(D44=0,0,D44*$H$40-E44)</f>
        <v>2171441668.9527864</v>
      </c>
      <c r="H44" s="184">
        <f ca="1">IFERROR(G44/$C$3,0)</f>
        <v>103401984.23584697</v>
      </c>
      <c r="I44" s="204">
        <f>IF(D44=0,0,D44*$J$40-E44)</f>
        <v>2171441668.9527864</v>
      </c>
      <c r="J44" s="204">
        <f ca="1">IFERROR(I44/$C$3,0)</f>
        <v>103401984.23584697</v>
      </c>
      <c r="K44" s="185">
        <f>IF(D44=0,0,D44*$L$40-E44)</f>
        <v>2171441668.9527864</v>
      </c>
      <c r="L44" s="185">
        <f ca="1">IFERROR(K44/$C$3,0)</f>
        <v>103401984.23584697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314829586.71135497</v>
      </c>
      <c r="F45" s="176">
        <f>IFERROR(E45/D45,0)</f>
        <v>0.17689169845109007</v>
      </c>
      <c r="G45" s="184">
        <f>D45*$H$40-E45</f>
        <v>1464957647.3311982</v>
      </c>
      <c r="H45" s="184">
        <f ca="1">IFERROR(G45/$C$3,0)</f>
        <v>69759887.9681523</v>
      </c>
      <c r="I45" s="204">
        <f>D45*$J$40-E45</f>
        <v>1464957647.3311982</v>
      </c>
      <c r="J45" s="204">
        <f ca="1">IFERROR(I45/$C$3,0)</f>
        <v>69759887.9681523</v>
      </c>
      <c r="K45" s="185">
        <f>D45*$L$40-E45</f>
        <v>1464957647.3311982</v>
      </c>
      <c r="L45" s="185">
        <f ca="1">IFERROR(K45/$C$3,0)</f>
        <v>69759887.9681523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10438289468.281527</v>
      </c>
      <c r="E46" s="47">
        <f>SUM(E42:E45)</f>
        <v>2470104595.8238382</v>
      </c>
      <c r="F46" s="177">
        <f>IFERROR(E46/D46,0)</f>
        <v>0.23663882893166172</v>
      </c>
      <c r="G46" s="181">
        <f>SUM(G42:G45)</f>
        <v>7968184872.4576893</v>
      </c>
      <c r="H46" s="181">
        <f ca="1">IFERROR(G46/$C$3,0)</f>
        <v>379437374.8789376</v>
      </c>
      <c r="I46" s="186">
        <f>SUM(I42:I45)</f>
        <v>7968184872.4576893</v>
      </c>
      <c r="J46" s="186">
        <f ca="1">IFERROR(I46/$C$3,0)</f>
        <v>379437374.8789376</v>
      </c>
      <c r="K46" s="186">
        <f>SUM(K42:K45)</f>
        <v>7968184872.4576893</v>
      </c>
      <c r="L46" s="186">
        <f ca="1">IFERROR(K46/$C$3,0)</f>
        <v>379437374.8789376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100%</v>
      </c>
      <c r="N49" s="265" t="str">
        <f>"PER HARI"&amp;CHAR(10)&amp;TEXT($H$40,"0%")</f>
        <v>PER HARI
100%</v>
      </c>
      <c r="O49" s="267" t="str">
        <f>"SELISIH"&amp;CHAR(10)&amp;TEXT($J$40,"0%")</f>
        <v>SELISIH
100%</v>
      </c>
      <c r="P49" s="267" t="str">
        <f>"PER HARI"&amp;CHAR(10)&amp;TEXT($J$40,"0%")</f>
        <v>PER HARI
100%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92034052.085143998</v>
      </c>
      <c r="I51" s="114">
        <f t="shared" ref="I51:I64" si="1">SUMIF($B$10:$B$26,$T51,D$10:D$26)+SUMIF($B$10:$B$26,$U51,D$10:D$26)</f>
        <v>15665513.579976</v>
      </c>
      <c r="J51" s="114">
        <f t="shared" ref="J51:J64" si="2">SUMIF($B$10:$B$26,$T51,E$10:E$26)+SUMIF($B$10:$B$26,$U51,E$10:E$26)</f>
        <v>33114549.679954</v>
      </c>
      <c r="K51" s="114">
        <f t="shared" ref="K51:K64" si="3">SUM(H51:J51)</f>
        <v>140814115.345074</v>
      </c>
      <c r="L51" s="187">
        <f t="shared" ref="L51:L65" si="4">IFERROR(K51/G51,0)</f>
        <v>0.28376527146656733</v>
      </c>
      <c r="M51" s="184">
        <f t="shared" ref="M51:M64" si="5">G51*$H$40-K51</f>
        <v>355420376.69587487</v>
      </c>
      <c r="N51" s="184">
        <f t="shared" ref="N51:N65" ca="1" si="6">IFERROR(M51/$C$3,0)</f>
        <v>16924779.842660706</v>
      </c>
      <c r="O51" s="180">
        <f t="shared" ref="O51:O64" si="7">G51*$J$40-K51</f>
        <v>355420376.69587487</v>
      </c>
      <c r="P51" s="180">
        <f t="shared" ref="P51:P65" ca="1" si="8">IFERROR(O51/$C$3,0)</f>
        <v>16924779.842660706</v>
      </c>
      <c r="Q51" s="185">
        <f t="shared" ref="Q51:Q64" si="9">G51*$L$40-K51</f>
        <v>355420376.69587487</v>
      </c>
      <c r="R51" s="185">
        <f t="shared" ref="R51:R65" ca="1" si="10">IFERROR(Q51/$C$3,0)</f>
        <v>16924779.842660706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56104561.694867998</v>
      </c>
      <c r="I52" s="114">
        <f t="shared" si="1"/>
        <v>37439531.354424</v>
      </c>
      <c r="J52" s="114">
        <f t="shared" si="2"/>
        <v>116894466.239636</v>
      </c>
      <c r="K52" s="114">
        <f t="shared" si="3"/>
        <v>210438559.288928</v>
      </c>
      <c r="L52" s="187">
        <f t="shared" si="4"/>
        <v>0.27422604570900011</v>
      </c>
      <c r="M52" s="184">
        <f t="shared" si="5"/>
        <v>556952294.28534794</v>
      </c>
      <c r="N52" s="184">
        <f t="shared" ca="1" si="6"/>
        <v>26521537.823111806</v>
      </c>
      <c r="O52" s="180">
        <f t="shared" si="7"/>
        <v>556952294.28534794</v>
      </c>
      <c r="P52" s="180">
        <f t="shared" ca="1" si="8"/>
        <v>26521537.823111806</v>
      </c>
      <c r="Q52" s="185">
        <f t="shared" si="9"/>
        <v>556952294.28534794</v>
      </c>
      <c r="R52" s="185">
        <f t="shared" ca="1" si="10"/>
        <v>26521537.823111806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8088444.4800000004</v>
      </c>
      <c r="I53" s="114">
        <f t="shared" si="1"/>
        <v>0</v>
      </c>
      <c r="J53" s="114">
        <f t="shared" si="2"/>
        <v>0</v>
      </c>
      <c r="K53" s="114">
        <f t="shared" si="3"/>
        <v>8088444.4800000004</v>
      </c>
      <c r="L53" s="187">
        <f t="shared" si="4"/>
        <v>3.0760026500017135E-2</v>
      </c>
      <c r="M53" s="184">
        <f t="shared" si="5"/>
        <v>254864660.58301076</v>
      </c>
      <c r="N53" s="184">
        <f t="shared" ca="1" si="6"/>
        <v>12136412.408714797</v>
      </c>
      <c r="O53" s="180">
        <f t="shared" si="7"/>
        <v>254864660.58301076</v>
      </c>
      <c r="P53" s="180">
        <f t="shared" ca="1" si="8"/>
        <v>12136412.408714797</v>
      </c>
      <c r="Q53" s="185">
        <f t="shared" si="9"/>
        <v>254864660.58301076</v>
      </c>
      <c r="R53" s="185">
        <f t="shared" ca="1" si="10"/>
        <v>12136412.408714797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129711526.474907</v>
      </c>
      <c r="I54" s="114">
        <f t="shared" si="1"/>
        <v>7785004.3939929996</v>
      </c>
      <c r="J54" s="114">
        <f t="shared" si="2"/>
        <v>40238076.799984999</v>
      </c>
      <c r="K54" s="114">
        <f t="shared" si="3"/>
        <v>177734607.66888499</v>
      </c>
      <c r="L54" s="187">
        <f t="shared" si="4"/>
        <v>0.25084668962380452</v>
      </c>
      <c r="M54" s="184">
        <f t="shared" si="5"/>
        <v>530804173.27111495</v>
      </c>
      <c r="N54" s="184">
        <f t="shared" ca="1" si="6"/>
        <v>25276389.203386426</v>
      </c>
      <c r="O54" s="180">
        <f t="shared" si="7"/>
        <v>530804173.27111495</v>
      </c>
      <c r="P54" s="180">
        <f t="shared" ca="1" si="8"/>
        <v>25276389.203386426</v>
      </c>
      <c r="Q54" s="185">
        <f t="shared" si="9"/>
        <v>530804173.27111495</v>
      </c>
      <c r="R54" s="185">
        <f t="shared" ca="1" si="10"/>
        <v>25276389.203386426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1270270.259994</v>
      </c>
      <c r="I55" s="114">
        <f t="shared" si="1"/>
        <v>4489392</v>
      </c>
      <c r="J55" s="114">
        <f t="shared" si="2"/>
        <v>72283784.840000004</v>
      </c>
      <c r="K55" s="114">
        <f t="shared" si="3"/>
        <v>78043447.099994004</v>
      </c>
      <c r="L55" s="187">
        <f t="shared" si="4"/>
        <v>0.14527792606931839</v>
      </c>
      <c r="M55" s="184">
        <f t="shared" si="5"/>
        <v>459157552.47069162</v>
      </c>
      <c r="N55" s="184">
        <f t="shared" ca="1" si="6"/>
        <v>21864645.355747219</v>
      </c>
      <c r="O55" s="180">
        <f t="shared" si="7"/>
        <v>459157552.47069162</v>
      </c>
      <c r="P55" s="180">
        <f t="shared" ca="1" si="8"/>
        <v>21864645.355747219</v>
      </c>
      <c r="Q55" s="185">
        <f t="shared" si="9"/>
        <v>459157552.47069162</v>
      </c>
      <c r="R55" s="185">
        <f t="shared" ca="1" si="10"/>
        <v>21864645.355747219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66451551.109250002</v>
      </c>
      <c r="I56" s="114">
        <f t="shared" si="1"/>
        <v>10923470.624190999</v>
      </c>
      <c r="J56" s="114">
        <f t="shared" si="2"/>
        <v>36698937.189981997</v>
      </c>
      <c r="K56" s="114">
        <f t="shared" si="3"/>
        <v>114073958.92342299</v>
      </c>
      <c r="L56" s="187">
        <f t="shared" si="4"/>
        <v>0.20486943908303809</v>
      </c>
      <c r="M56" s="184">
        <f t="shared" si="5"/>
        <v>442739001.73092967</v>
      </c>
      <c r="N56" s="184">
        <f t="shared" ca="1" si="6"/>
        <v>21082809.606234748</v>
      </c>
      <c r="O56" s="180">
        <f t="shared" si="7"/>
        <v>442739001.73092967</v>
      </c>
      <c r="P56" s="180">
        <f t="shared" ca="1" si="8"/>
        <v>21082809.606234748</v>
      </c>
      <c r="Q56" s="185">
        <f t="shared" si="9"/>
        <v>442739001.73092967</v>
      </c>
      <c r="R56" s="185">
        <f t="shared" ca="1" si="10"/>
        <v>21082809.606234748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163452691.61488101</v>
      </c>
      <c r="I57" s="114">
        <f t="shared" si="1"/>
        <v>26372578.169775002</v>
      </c>
      <c r="J57" s="114">
        <f t="shared" si="2"/>
        <v>114846307.119794</v>
      </c>
      <c r="K57" s="114">
        <f t="shared" si="3"/>
        <v>304671576.90445</v>
      </c>
      <c r="L57" s="187">
        <f t="shared" si="4"/>
        <v>0.27924594394100305</v>
      </c>
      <c r="M57" s="184">
        <f t="shared" si="5"/>
        <v>786379460.77443099</v>
      </c>
      <c r="N57" s="184">
        <f t="shared" ca="1" si="6"/>
        <v>37446640.989258617</v>
      </c>
      <c r="O57" s="180">
        <f t="shared" si="7"/>
        <v>786379460.77443099</v>
      </c>
      <c r="P57" s="180">
        <f t="shared" ca="1" si="8"/>
        <v>37446640.989258617</v>
      </c>
      <c r="Q57" s="185">
        <f t="shared" si="9"/>
        <v>786379460.77443099</v>
      </c>
      <c r="R57" s="185">
        <f t="shared" ca="1" si="10"/>
        <v>37446640.989258617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102323227.304379</v>
      </c>
      <c r="I58" s="114">
        <f t="shared" si="1"/>
        <v>15564719.919977</v>
      </c>
      <c r="J58" s="114">
        <f t="shared" si="2"/>
        <v>56717028.515529998</v>
      </c>
      <c r="K58" s="114">
        <f t="shared" si="3"/>
        <v>174604975.73988599</v>
      </c>
      <c r="L58" s="187">
        <f t="shared" si="4"/>
        <v>0.29274139890834039</v>
      </c>
      <c r="M58" s="184">
        <f t="shared" si="5"/>
        <v>421842866.5912773</v>
      </c>
      <c r="N58" s="184">
        <f t="shared" ca="1" si="6"/>
        <v>20087755.551965587</v>
      </c>
      <c r="O58" s="180">
        <f t="shared" si="7"/>
        <v>421842866.5912773</v>
      </c>
      <c r="P58" s="180">
        <f t="shared" ca="1" si="8"/>
        <v>20087755.551965587</v>
      </c>
      <c r="Q58" s="185">
        <f t="shared" si="9"/>
        <v>421842866.5912773</v>
      </c>
      <c r="R58" s="185">
        <f t="shared" ca="1" si="10"/>
        <v>20087755.551965587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47113934.039999999</v>
      </c>
      <c r="I59" s="114">
        <f t="shared" si="1"/>
        <v>0</v>
      </c>
      <c r="J59" s="114">
        <f t="shared" si="2"/>
        <v>0</v>
      </c>
      <c r="K59" s="114">
        <f t="shared" si="3"/>
        <v>47113934.039999999</v>
      </c>
      <c r="L59" s="187">
        <f t="shared" si="4"/>
        <v>0.10614911046218632</v>
      </c>
      <c r="M59" s="184">
        <f t="shared" si="5"/>
        <v>396732781.53641999</v>
      </c>
      <c r="N59" s="184">
        <f t="shared" ca="1" si="6"/>
        <v>18892037.216019999</v>
      </c>
      <c r="O59" s="180">
        <f t="shared" si="7"/>
        <v>396732781.53641999</v>
      </c>
      <c r="P59" s="180">
        <f t="shared" ca="1" si="8"/>
        <v>18892037.216019999</v>
      </c>
      <c r="Q59" s="185">
        <f t="shared" si="9"/>
        <v>396732781.53641999</v>
      </c>
      <c r="R59" s="185">
        <f t="shared" ca="1" si="10"/>
        <v>18892037.216019999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65856649.511474997</v>
      </c>
      <c r="I60" s="114">
        <f t="shared" si="1"/>
        <v>32633981.424244002</v>
      </c>
      <c r="J60" s="114">
        <f t="shared" si="2"/>
        <v>32927081.197925001</v>
      </c>
      <c r="K60" s="114">
        <f t="shared" si="3"/>
        <v>131417712.133644</v>
      </c>
      <c r="L60" s="187">
        <f t="shared" si="4"/>
        <v>0.23423396700387791</v>
      </c>
      <c r="M60" s="184">
        <f t="shared" si="5"/>
        <v>429635468.216874</v>
      </c>
      <c r="N60" s="184">
        <f t="shared" ca="1" si="6"/>
        <v>20458831.819851141</v>
      </c>
      <c r="O60" s="180">
        <f t="shared" si="7"/>
        <v>429635468.216874</v>
      </c>
      <c r="P60" s="180">
        <f t="shared" ca="1" si="8"/>
        <v>20458831.819851141</v>
      </c>
      <c r="Q60" s="185">
        <f t="shared" si="9"/>
        <v>429635468.216874</v>
      </c>
      <c r="R60" s="185">
        <f t="shared" ca="1" si="10"/>
        <v>20458831.819851141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147716641.24646899</v>
      </c>
      <c r="I61" s="114">
        <f t="shared" si="1"/>
        <v>20416815.339984</v>
      </c>
      <c r="J61" s="114">
        <f t="shared" si="2"/>
        <v>60071396.949984998</v>
      </c>
      <c r="K61" s="114">
        <f t="shared" si="3"/>
        <v>228204853.53643799</v>
      </c>
      <c r="L61" s="187">
        <f t="shared" si="4"/>
        <v>0.32672583608525102</v>
      </c>
      <c r="M61" s="184">
        <f t="shared" si="5"/>
        <v>470254920.17087781</v>
      </c>
      <c r="N61" s="184">
        <f t="shared" ca="1" si="6"/>
        <v>22393091.436708469</v>
      </c>
      <c r="O61" s="180">
        <f t="shared" si="7"/>
        <v>470254920.17087781</v>
      </c>
      <c r="P61" s="180">
        <f t="shared" ca="1" si="8"/>
        <v>22393091.436708469</v>
      </c>
      <c r="Q61" s="185">
        <f t="shared" si="9"/>
        <v>470254920.17087781</v>
      </c>
      <c r="R61" s="185">
        <f t="shared" ca="1" si="10"/>
        <v>22393091.436708469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48446170.938451998</v>
      </c>
      <c r="I62" s="114">
        <f t="shared" si="1"/>
        <v>21303806.1855</v>
      </c>
      <c r="J62" s="114">
        <f t="shared" si="2"/>
        <v>67994095.976074994</v>
      </c>
      <c r="K62" s="114">
        <f t="shared" si="3"/>
        <v>137744073.10002699</v>
      </c>
      <c r="L62" s="187">
        <f t="shared" si="4"/>
        <v>0.30016780524090492</v>
      </c>
      <c r="M62" s="184">
        <f t="shared" si="5"/>
        <v>321146156.61490893</v>
      </c>
      <c r="N62" s="184">
        <f t="shared" ca="1" si="6"/>
        <v>15292674.124519473</v>
      </c>
      <c r="O62" s="180">
        <f t="shared" si="7"/>
        <v>321146156.61490893</v>
      </c>
      <c r="P62" s="180">
        <f t="shared" ca="1" si="8"/>
        <v>15292674.124519473</v>
      </c>
      <c r="Q62" s="185">
        <f t="shared" si="9"/>
        <v>321146156.61490893</v>
      </c>
      <c r="R62" s="185">
        <f t="shared" ca="1" si="10"/>
        <v>15292674.124519473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137505528.93474701</v>
      </c>
      <c r="I63" s="114">
        <f t="shared" si="1"/>
        <v>80033865.908906996</v>
      </c>
      <c r="J63" s="114">
        <f t="shared" si="2"/>
        <v>86523825.889063001</v>
      </c>
      <c r="K63" s="114">
        <f t="shared" si="3"/>
        <v>304063220.73271704</v>
      </c>
      <c r="L63" s="187">
        <f t="shared" si="4"/>
        <v>0.31645530363616686</v>
      </c>
      <c r="M63" s="184">
        <f t="shared" si="5"/>
        <v>656777748.71522379</v>
      </c>
      <c r="N63" s="184">
        <f t="shared" ca="1" si="6"/>
        <v>31275130.891201131</v>
      </c>
      <c r="O63" s="180">
        <f t="shared" si="7"/>
        <v>656777748.71522379</v>
      </c>
      <c r="P63" s="180">
        <f t="shared" ca="1" si="8"/>
        <v>31275130.891201131</v>
      </c>
      <c r="Q63" s="185">
        <f t="shared" si="9"/>
        <v>656777748.71522379</v>
      </c>
      <c r="R63" s="185">
        <f t="shared" ca="1" si="10"/>
        <v>31275130.891201131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39077925.929390997</v>
      </c>
      <c r="I64" s="114">
        <f t="shared" si="1"/>
        <v>34927341.070125997</v>
      </c>
      <c r="J64" s="114">
        <f t="shared" si="2"/>
        <v>24256263.1195</v>
      </c>
      <c r="K64" s="114">
        <f t="shared" si="3"/>
        <v>98261530.11901699</v>
      </c>
      <c r="L64" s="187">
        <f t="shared" si="4"/>
        <v>0.18940839103761858</v>
      </c>
      <c r="M64" s="184">
        <f t="shared" si="5"/>
        <v>420519763.46950817</v>
      </c>
      <c r="N64" s="184">
        <f t="shared" ca="1" si="6"/>
        <v>20024750.64140515</v>
      </c>
      <c r="O64" s="180">
        <f t="shared" si="7"/>
        <v>420519763.46950817</v>
      </c>
      <c r="P64" s="180">
        <f t="shared" ca="1" si="8"/>
        <v>20024750.64140515</v>
      </c>
      <c r="Q64" s="185">
        <f t="shared" si="9"/>
        <v>420519763.46950817</v>
      </c>
      <c r="R64" s="185">
        <f t="shared" ca="1" si="10"/>
        <v>20024750.64140515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1105153175.6239569</v>
      </c>
      <c r="I65" s="135">
        <f t="shared" si="12"/>
        <v>307556019.97109699</v>
      </c>
      <c r="J65" s="135">
        <f t="shared" si="12"/>
        <v>742565813.51742911</v>
      </c>
      <c r="K65" s="135">
        <f t="shared" si="12"/>
        <v>2155275009.112483</v>
      </c>
      <c r="L65" s="189">
        <f t="shared" si="4"/>
        <v>0.24892007310337291</v>
      </c>
      <c r="M65" s="181">
        <f>SUM(M51:M64)</f>
        <v>6503227225.1264906</v>
      </c>
      <c r="N65" s="181">
        <f t="shared" ca="1" si="6"/>
        <v>309677486.91078526</v>
      </c>
      <c r="O65" s="181">
        <f>SUM(O51:O64)</f>
        <v>6503227225.1264906</v>
      </c>
      <c r="P65" s="181">
        <f t="shared" ca="1" si="8"/>
        <v>309677486.91078526</v>
      </c>
      <c r="Q65" s="186">
        <f>SUM(Q51:Q64)</f>
        <v>6503227225.1264906</v>
      </c>
      <c r="R65" s="186">
        <f t="shared" ca="1" si="10"/>
        <v>309677486.91078526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52580351.249807</v>
      </c>
      <c r="F69" s="187">
        <f t="shared" ref="F69:F74" si="13">IFERROR(E69/D69,0)</f>
        <v>0.19519165430545454</v>
      </c>
      <c r="G69" s="184">
        <f>D69*$H$40-E69</f>
        <v>216797719.43104416</v>
      </c>
      <c r="H69" s="184">
        <f t="shared" ref="H69:H74" ca="1" si="14">IFERROR(G69/$C$3,0)</f>
        <v>10323700.925287817</v>
      </c>
      <c r="I69" s="204">
        <f>D69*$J$40-E69</f>
        <v>216797719.43104416</v>
      </c>
      <c r="J69" s="204">
        <f t="shared" ref="J69:J74" ca="1" si="15">IFERROR(I69/$C$3,0)</f>
        <v>10323700.925287817</v>
      </c>
      <c r="K69" s="185">
        <f>D69*$L$40-E69</f>
        <v>216797719.43104416</v>
      </c>
      <c r="L69" s="185">
        <f t="shared" ref="L69:L74" ca="1" si="16">IFERROR(K69/$C$3,0)</f>
        <v>10323700.925287817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38643598.307622001</v>
      </c>
      <c r="F70" s="187">
        <f t="shared" si="13"/>
        <v>9.3640820614384973E-2</v>
      </c>
      <c r="G70" s="184">
        <f>D70*$H$40-E70</f>
        <v>374035381.37322909</v>
      </c>
      <c r="H70" s="184">
        <f t="shared" ca="1" si="14"/>
        <v>17811208.636820432</v>
      </c>
      <c r="I70" s="204">
        <f>D70*$J$40-E70</f>
        <v>374035381.37322909</v>
      </c>
      <c r="J70" s="204">
        <f t="shared" ca="1" si="15"/>
        <v>17811208.636820432</v>
      </c>
      <c r="K70" s="185">
        <f>D70*$L$40-E70</f>
        <v>374035381.37322909</v>
      </c>
      <c r="L70" s="185">
        <f t="shared" ca="1" si="16"/>
        <v>17811208.636820432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223605637.15392599</v>
      </c>
      <c r="F71" s="187">
        <f t="shared" si="13"/>
        <v>0.20369817690914113</v>
      </c>
      <c r="G71" s="184">
        <f>D71*$H$40-E71</f>
        <v>874124546.52692497</v>
      </c>
      <c r="H71" s="184">
        <f t="shared" ca="1" si="14"/>
        <v>41624978.406044044</v>
      </c>
      <c r="I71" s="204">
        <f>D71*$J$40-E71</f>
        <v>874124546.52692497</v>
      </c>
      <c r="J71" s="204">
        <f t="shared" ca="1" si="15"/>
        <v>41624978.406044044</v>
      </c>
      <c r="K71" s="185">
        <f>D71*$L$40-E71</f>
        <v>874124546.52692497</v>
      </c>
      <c r="L71" s="185">
        <f t="shared" ca="1" si="16"/>
        <v>41624978.406044044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314829586.71135497</v>
      </c>
      <c r="F74" s="177">
        <f t="shared" si="13"/>
        <v>0.17689169845109007</v>
      </c>
      <c r="G74" s="181">
        <f>SUM(G69:G73)</f>
        <v>1464957647.3311982</v>
      </c>
      <c r="H74" s="181">
        <f t="shared" ca="1" si="14"/>
        <v>69759887.9681523</v>
      </c>
      <c r="I74" s="186">
        <f>SUM(I69:I73)</f>
        <v>1464957647.3311982</v>
      </c>
      <c r="J74" s="186">
        <f t="shared" ca="1" si="15"/>
        <v>69759887.9681523</v>
      </c>
      <c r="K74" s="186">
        <f>SUM(K69:K73)</f>
        <v>1464957647.3311982</v>
      </c>
      <c r="L74" s="186">
        <f t="shared" ca="1" si="16"/>
        <v>69759887.9681523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122514753.46995001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64801252.629999995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1765765.72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96423245.179955006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70341892.249988005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400773693.31996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94912745.469850004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4090089.98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5486486.6299999999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267159546.559423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48107207.589974999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5467567.7022000002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46216217.140000001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1228060463.6413014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174</v>
      </c>
      <c r="C40" s="272"/>
      <c r="D40" s="273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176</v>
      </c>
      <c r="C40" s="272"/>
      <c r="D40" s="273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2026-10-08T00:52:56Z</dcterms:modified>
  <dc:language>en-US</dc:language>
</cp:coreProperties>
</file>