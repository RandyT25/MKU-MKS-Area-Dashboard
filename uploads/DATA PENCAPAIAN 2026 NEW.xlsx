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600" windowWidth="28800" windowHeight="16365" tabRatio="500" firstSheet="6" activeTab="9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51" i="14" l="1" a="1"/>
  <c r="H51" i="14" s="1"/>
  <c r="I51" i="14" a="1"/>
  <c r="I51" i="14" s="1"/>
  <c r="J51" i="14" a="1"/>
  <c r="J51" i="14" s="1"/>
  <c r="H52" i="14" a="1"/>
  <c r="H52" i="14" s="1"/>
  <c r="I52" i="14" a="1"/>
  <c r="I52" i="14" s="1"/>
  <c r="J52" i="14" a="1"/>
  <c r="J52" i="14" s="1"/>
  <c r="H53" i="14" a="1"/>
  <c r="H53" i="14" s="1"/>
  <c r="I53" i="14" a="1"/>
  <c r="I53" i="14" s="1"/>
  <c r="J53" i="14" a="1"/>
  <c r="J53" i="14" s="1"/>
  <c r="H54" i="14" a="1"/>
  <c r="H54" i="14" s="1"/>
  <c r="I54" i="14" a="1"/>
  <c r="I54" i="14" s="1"/>
  <c r="J54" i="14" a="1"/>
  <c r="J54" i="14" s="1"/>
  <c r="H55" i="14" a="1"/>
  <c r="H55" i="14" s="1"/>
  <c r="I55" i="14" a="1"/>
  <c r="I55" i="14" s="1"/>
  <c r="J55" i="14" a="1"/>
  <c r="J55" i="14" s="1"/>
  <c r="H56" i="14" a="1"/>
  <c r="H56" i="14" s="1"/>
  <c r="I56" i="14" a="1"/>
  <c r="I56" i="14" s="1"/>
  <c r="J56" i="14" a="1"/>
  <c r="J56" i="14" s="1"/>
  <c r="H57" i="14" a="1"/>
  <c r="H57" i="14" s="1"/>
  <c r="I57" i="14" a="1"/>
  <c r="I57" i="14" s="1"/>
  <c r="J57" i="14" a="1"/>
  <c r="J57" i="14" s="1"/>
  <c r="H58" i="14" a="1"/>
  <c r="H58" i="14" s="1"/>
  <c r="I58" i="14" a="1"/>
  <c r="I58" i="14" s="1"/>
  <c r="J58" i="14" a="1"/>
  <c r="J58" i="14" s="1"/>
  <c r="H59" i="14" a="1"/>
  <c r="H59" i="14" s="1"/>
  <c r="I59" i="14" a="1"/>
  <c r="I59" i="14" s="1"/>
  <c r="J59" i="14" a="1"/>
  <c r="J59" i="14" s="1"/>
  <c r="H60" i="14" a="1"/>
  <c r="H60" i="14" s="1"/>
  <c r="I60" i="14" a="1"/>
  <c r="I60" i="14" s="1"/>
  <c r="J60" i="14" a="1"/>
  <c r="J60" i="14" s="1"/>
  <c r="H61" i="14" a="1"/>
  <c r="H61" i="14" s="1"/>
  <c r="I61" i="14" a="1"/>
  <c r="I61" i="14" s="1"/>
  <c r="J61" i="14" a="1"/>
  <c r="J61" i="14" s="1"/>
  <c r="H62" i="14" a="1"/>
  <c r="H62" i="14" s="1"/>
  <c r="I62" i="14" a="1"/>
  <c r="I62" i="14" s="1"/>
  <c r="J62" i="14" a="1"/>
  <c r="J62" i="14" s="1"/>
  <c r="H63" i="14" a="1"/>
  <c r="H63" i="14" s="1"/>
  <c r="I63" i="14" a="1"/>
  <c r="I63" i="14" s="1"/>
  <c r="J63" i="14" a="1"/>
  <c r="J63" i="14" s="1"/>
  <c r="H64" i="14" a="1"/>
  <c r="H64" i="14" s="1"/>
  <c r="I64" i="14" a="1"/>
  <c r="I64" i="14" s="1"/>
  <c r="J64" i="14" a="1"/>
  <c r="J64" i="14" s="1"/>
  <c r="T80" i="14"/>
  <c r="D80" i="14" s="1" a="1"/>
  <c r="D80" i="14" s="1"/>
  <c r="U80" i="14"/>
  <c r="T81" i="14"/>
  <c r="D81" i="14" s="1" a="1"/>
  <c r="D81" i="14" s="1"/>
  <c r="U81" i="14"/>
  <c r="T82" i="14"/>
  <c r="D82" i="14" s="1" a="1"/>
  <c r="D82" i="14" s="1"/>
  <c r="U82" i="14"/>
  <c r="T83" i="14"/>
  <c r="D83" i="14" s="1" a="1"/>
  <c r="D83" i="14" s="1"/>
  <c r="U83" i="14"/>
  <c r="T84" i="14"/>
  <c r="D84" i="14" s="1" a="1"/>
  <c r="D84" i="14" s="1"/>
  <c r="U84" i="14"/>
  <c r="T85" i="14"/>
  <c r="D85" i="14" s="1" a="1"/>
  <c r="D85" i="14" s="1"/>
  <c r="U85" i="14"/>
  <c r="T86" i="14"/>
  <c r="D86" i="14" s="1" a="1"/>
  <c r="D86" i="14" s="1"/>
  <c r="U86" i="14"/>
  <c r="T87" i="14"/>
  <c r="D87" i="14" s="1" a="1"/>
  <c r="D87" i="14" s="1"/>
  <c r="U87" i="14"/>
  <c r="T88" i="14"/>
  <c r="D88" i="14" s="1" a="1"/>
  <c r="D88" i="14" s="1"/>
  <c r="U88" i="14"/>
  <c r="T89" i="14"/>
  <c r="D89" i="14" s="1" a="1"/>
  <c r="D89" i="14" s="1"/>
  <c r="U89" i="14"/>
  <c r="T90" i="14"/>
  <c r="D90" i="14" s="1" a="1"/>
  <c r="D90" i="14" s="1"/>
  <c r="U90" i="14"/>
  <c r="T91" i="14"/>
  <c r="D91" i="14" s="1" a="1"/>
  <c r="D91" i="14" s="1"/>
  <c r="U91" i="14"/>
  <c r="T92" i="14"/>
  <c r="D92" i="14" s="1" a="1"/>
  <c r="D92" i="14" s="1"/>
  <c r="U92" i="14"/>
  <c r="T93" i="14"/>
  <c r="D93" i="14" s="1" a="1"/>
  <c r="D93" i="14" s="1"/>
  <c r="U93" i="14"/>
  <c r="H51" i="13" a="1"/>
  <c r="H51" i="13" s="1"/>
  <c r="I51" i="13" a="1"/>
  <c r="I51" i="13" s="1"/>
  <c r="J51" i="13" a="1"/>
  <c r="J51" i="13" s="1"/>
  <c r="H52" i="13" a="1"/>
  <c r="H52" i="13" s="1"/>
  <c r="I52" i="13" a="1"/>
  <c r="I52" i="13" s="1"/>
  <c r="J52" i="13" a="1"/>
  <c r="J52" i="13" s="1"/>
  <c r="H53" i="13" a="1"/>
  <c r="H53" i="13" s="1"/>
  <c r="I53" i="13" a="1"/>
  <c r="I53" i="13" s="1"/>
  <c r="J53" i="13" a="1"/>
  <c r="J53" i="13" s="1"/>
  <c r="H54" i="13" a="1"/>
  <c r="H54" i="13" s="1"/>
  <c r="I54" i="13" a="1"/>
  <c r="I54" i="13" s="1"/>
  <c r="J54" i="13" a="1"/>
  <c r="J54" i="13" s="1"/>
  <c r="H55" i="13" a="1"/>
  <c r="H55" i="13" s="1"/>
  <c r="I55" i="13" a="1"/>
  <c r="I55" i="13" s="1"/>
  <c r="J55" i="13" a="1"/>
  <c r="J55" i="13" s="1"/>
  <c r="H56" i="13" a="1"/>
  <c r="H56" i="13" s="1"/>
  <c r="I56" i="13" a="1"/>
  <c r="I56" i="13" s="1"/>
  <c r="J56" i="13" a="1"/>
  <c r="J56" i="13" s="1"/>
  <c r="H57" i="13" a="1"/>
  <c r="H57" i="13" s="1"/>
  <c r="I57" i="13" a="1"/>
  <c r="I57" i="13" s="1"/>
  <c r="J57" i="13" a="1"/>
  <c r="J57" i="13" s="1"/>
  <c r="H58" i="13" a="1"/>
  <c r="H58" i="13" s="1"/>
  <c r="I58" i="13" a="1"/>
  <c r="I58" i="13" s="1"/>
  <c r="J58" i="13" a="1"/>
  <c r="J58" i="13" s="1"/>
  <c r="H59" i="13" a="1"/>
  <c r="H59" i="13" s="1"/>
  <c r="I59" i="13" a="1"/>
  <c r="I59" i="13" s="1"/>
  <c r="J59" i="13" a="1"/>
  <c r="J59" i="13" s="1"/>
  <c r="H60" i="13" a="1"/>
  <c r="H60" i="13" s="1"/>
  <c r="I60" i="13" a="1"/>
  <c r="I60" i="13" s="1"/>
  <c r="J60" i="13" a="1"/>
  <c r="J60" i="13" s="1"/>
  <c r="H61" i="13" a="1"/>
  <c r="H61" i="13" s="1"/>
  <c r="I61" i="13" a="1"/>
  <c r="I61" i="13" s="1"/>
  <c r="J61" i="13" a="1"/>
  <c r="J61" i="13" s="1"/>
  <c r="H62" i="13" a="1"/>
  <c r="H62" i="13" s="1"/>
  <c r="I62" i="13" a="1"/>
  <c r="I62" i="13" s="1"/>
  <c r="J62" i="13" a="1"/>
  <c r="J62" i="13" s="1"/>
  <c r="H63" i="13" a="1"/>
  <c r="H63" i="13" s="1"/>
  <c r="K63" i="13" s="1"/>
  <c r="I63" i="13" a="1"/>
  <c r="I63" i="13" s="1"/>
  <c r="J63" i="13" a="1"/>
  <c r="J63" i="13" s="1"/>
  <c r="H64" i="13" a="1"/>
  <c r="H64" i="13" s="1"/>
  <c r="I64" i="13" a="1"/>
  <c r="I64" i="13" s="1"/>
  <c r="J64" i="13" a="1"/>
  <c r="J64" i="13" s="1"/>
  <c r="T80" i="13"/>
  <c r="D80" i="13" s="1" a="1"/>
  <c r="D80" i="13" s="1"/>
  <c r="U80" i="13"/>
  <c r="T81" i="13"/>
  <c r="D81" i="13" s="1" a="1"/>
  <c r="D81" i="13" s="1"/>
  <c r="U81" i="13"/>
  <c r="T82" i="13"/>
  <c r="D82" i="13" s="1" a="1"/>
  <c r="D82" i="13" s="1"/>
  <c r="U82" i="13"/>
  <c r="T83" i="13"/>
  <c r="D83" i="13" s="1" a="1"/>
  <c r="D83" i="13" s="1"/>
  <c r="U83" i="13"/>
  <c r="T84" i="13"/>
  <c r="D84" i="13" s="1" a="1"/>
  <c r="D84" i="13" s="1"/>
  <c r="U84" i="13"/>
  <c r="T85" i="13"/>
  <c r="D85" i="13" s="1" a="1"/>
  <c r="D85" i="13" s="1"/>
  <c r="U85" i="13"/>
  <c r="T86" i="13"/>
  <c r="D86" i="13" s="1" a="1"/>
  <c r="D86" i="13" s="1"/>
  <c r="U86" i="13"/>
  <c r="T87" i="13"/>
  <c r="D87" i="13" s="1" a="1"/>
  <c r="D87" i="13" s="1"/>
  <c r="U87" i="13"/>
  <c r="T88" i="13"/>
  <c r="D88" i="13" s="1" a="1"/>
  <c r="D88" i="13" s="1"/>
  <c r="U88" i="13"/>
  <c r="T89" i="13"/>
  <c r="D89" i="13" s="1" a="1"/>
  <c r="D89" i="13" s="1"/>
  <c r="U89" i="13"/>
  <c r="T90" i="13"/>
  <c r="D90" i="13" s="1" a="1"/>
  <c r="D90" i="13" s="1"/>
  <c r="U90" i="13"/>
  <c r="T91" i="13"/>
  <c r="D91" i="13" s="1" a="1"/>
  <c r="D91" i="13" s="1"/>
  <c r="U91" i="13"/>
  <c r="T92" i="13"/>
  <c r="D92" i="13" s="1" a="1"/>
  <c r="D92" i="13" s="1"/>
  <c r="U92" i="13"/>
  <c r="T93" i="13"/>
  <c r="D93" i="13" s="1" a="1"/>
  <c r="D93" i="13" s="1"/>
  <c r="U93" i="13"/>
  <c r="H51" i="12" a="1"/>
  <c r="H51" i="12" s="1"/>
  <c r="I51" i="12" a="1"/>
  <c r="I51" i="12" s="1"/>
  <c r="J51" i="12" a="1"/>
  <c r="J51" i="12" s="1"/>
  <c r="H52" i="12" a="1"/>
  <c r="H52" i="12" s="1"/>
  <c r="I52" i="12" a="1"/>
  <c r="I52" i="12" s="1"/>
  <c r="J52" i="12" a="1"/>
  <c r="J52" i="12" s="1"/>
  <c r="H53" i="12" a="1"/>
  <c r="H53" i="12" s="1"/>
  <c r="I53" i="12" a="1"/>
  <c r="I53" i="12" s="1"/>
  <c r="J53" i="12" a="1"/>
  <c r="J53" i="12" s="1"/>
  <c r="H54" i="12" a="1"/>
  <c r="H54" i="12" s="1"/>
  <c r="I54" i="12" a="1"/>
  <c r="I54" i="12" s="1"/>
  <c r="J54" i="12" a="1"/>
  <c r="J54" i="12" s="1"/>
  <c r="H55" i="12" a="1"/>
  <c r="H55" i="12" s="1"/>
  <c r="I55" i="12" a="1"/>
  <c r="I55" i="12" s="1"/>
  <c r="J55" i="12" a="1"/>
  <c r="J55" i="12" s="1"/>
  <c r="H56" i="12" a="1"/>
  <c r="H56" i="12" s="1"/>
  <c r="I56" i="12" a="1"/>
  <c r="I56" i="12" s="1"/>
  <c r="J56" i="12" a="1"/>
  <c r="J56" i="12" s="1"/>
  <c r="H57" i="12" a="1"/>
  <c r="H57" i="12" s="1"/>
  <c r="I57" i="12" a="1"/>
  <c r="I57" i="12" s="1"/>
  <c r="J57" i="12" a="1"/>
  <c r="J57" i="12" s="1"/>
  <c r="H58" i="12" a="1"/>
  <c r="H58" i="12" s="1"/>
  <c r="I58" i="12" a="1"/>
  <c r="I58" i="12" s="1"/>
  <c r="J58" i="12" a="1"/>
  <c r="J58" i="12" s="1"/>
  <c r="H59" i="12" a="1"/>
  <c r="H59" i="12" s="1"/>
  <c r="I59" i="12" a="1"/>
  <c r="I59" i="12" s="1"/>
  <c r="J59" i="12" a="1"/>
  <c r="J59" i="12" s="1"/>
  <c r="H60" i="12" a="1"/>
  <c r="H60" i="12" s="1"/>
  <c r="I60" i="12" a="1"/>
  <c r="I60" i="12" s="1"/>
  <c r="J60" i="12" a="1"/>
  <c r="J60" i="12" s="1"/>
  <c r="H61" i="12" a="1"/>
  <c r="H61" i="12" s="1"/>
  <c r="I61" i="12" a="1"/>
  <c r="I61" i="12" s="1"/>
  <c r="J61" i="12" a="1"/>
  <c r="J61" i="12" s="1"/>
  <c r="H62" i="12" a="1"/>
  <c r="H62" i="12" s="1"/>
  <c r="I62" i="12" a="1"/>
  <c r="I62" i="12" s="1"/>
  <c r="J62" i="12" a="1"/>
  <c r="J62" i="12" s="1"/>
  <c r="H63" i="12" a="1"/>
  <c r="H63" i="12" s="1"/>
  <c r="I63" i="12" a="1"/>
  <c r="I63" i="12" s="1"/>
  <c r="J63" i="12" a="1"/>
  <c r="J63" i="12" s="1"/>
  <c r="H64" i="12" a="1"/>
  <c r="H64" i="12" s="1"/>
  <c r="I64" i="12" a="1"/>
  <c r="I64" i="12" s="1"/>
  <c r="J64" i="12" a="1"/>
  <c r="J64" i="12" s="1"/>
  <c r="T80" i="12"/>
  <c r="D80" i="12" s="1" a="1"/>
  <c r="D80" i="12" s="1"/>
  <c r="U80" i="12"/>
  <c r="T81" i="12"/>
  <c r="D81" i="12" s="1" a="1"/>
  <c r="D81" i="12" s="1"/>
  <c r="U81" i="12"/>
  <c r="T82" i="12"/>
  <c r="D82" i="12" s="1" a="1"/>
  <c r="D82" i="12" s="1"/>
  <c r="U82" i="12"/>
  <c r="T83" i="12"/>
  <c r="D83" i="12" s="1" a="1"/>
  <c r="D83" i="12" s="1"/>
  <c r="U83" i="12"/>
  <c r="T84" i="12"/>
  <c r="D84" i="12" s="1" a="1"/>
  <c r="D84" i="12" s="1"/>
  <c r="U84" i="12"/>
  <c r="T85" i="12"/>
  <c r="D85" i="12" s="1" a="1"/>
  <c r="D85" i="12" s="1"/>
  <c r="U85" i="12"/>
  <c r="T86" i="12"/>
  <c r="D86" i="12" s="1" a="1"/>
  <c r="D86" i="12" s="1"/>
  <c r="U86" i="12"/>
  <c r="T87" i="12"/>
  <c r="D87" i="12" s="1" a="1"/>
  <c r="D87" i="12" s="1"/>
  <c r="U87" i="12"/>
  <c r="T88" i="12"/>
  <c r="D88" i="12" s="1" a="1"/>
  <c r="D88" i="12" s="1"/>
  <c r="U88" i="12"/>
  <c r="T89" i="12"/>
  <c r="D89" i="12" s="1" a="1"/>
  <c r="D89" i="12" s="1"/>
  <c r="U89" i="12"/>
  <c r="T90" i="12"/>
  <c r="D90" i="12" s="1" a="1"/>
  <c r="D90" i="12" s="1"/>
  <c r="U90" i="12"/>
  <c r="T91" i="12"/>
  <c r="D91" i="12" s="1" a="1"/>
  <c r="D91" i="12" s="1"/>
  <c r="U91" i="12"/>
  <c r="T92" i="12"/>
  <c r="D92" i="12" s="1" a="1"/>
  <c r="D92" i="12" s="1"/>
  <c r="U92" i="12"/>
  <c r="T93" i="12"/>
  <c r="D93" i="12" s="1" a="1"/>
  <c r="D93" i="12" s="1"/>
  <c r="U93" i="12"/>
  <c r="H51" i="11" a="1"/>
  <c r="H51" i="11" s="1"/>
  <c r="I51" i="11" a="1"/>
  <c r="I51" i="11" s="1"/>
  <c r="J51" i="11" a="1"/>
  <c r="J51" i="11" s="1"/>
  <c r="H52" i="11" a="1"/>
  <c r="H52" i="11" s="1"/>
  <c r="I52" i="11" a="1"/>
  <c r="I52" i="11" s="1"/>
  <c r="J52" i="11" a="1"/>
  <c r="J52" i="11" s="1"/>
  <c r="H53" i="11" a="1"/>
  <c r="H53" i="11" s="1"/>
  <c r="I53" i="11" a="1"/>
  <c r="I53" i="11" s="1"/>
  <c r="J53" i="11" a="1"/>
  <c r="J53" i="11" s="1"/>
  <c r="H54" i="11" a="1"/>
  <c r="H54" i="11" s="1"/>
  <c r="I54" i="11" a="1"/>
  <c r="I54" i="11" s="1"/>
  <c r="J54" i="11" a="1"/>
  <c r="J54" i="11" s="1"/>
  <c r="H55" i="11" a="1"/>
  <c r="H55" i="11" s="1"/>
  <c r="I55" i="11" a="1"/>
  <c r="I55" i="11" s="1"/>
  <c r="J55" i="11" a="1"/>
  <c r="J55" i="11" s="1"/>
  <c r="H56" i="11" a="1"/>
  <c r="H56" i="11" s="1"/>
  <c r="I56" i="11" a="1"/>
  <c r="I56" i="11" s="1"/>
  <c r="J56" i="11" a="1"/>
  <c r="J56" i="11" s="1"/>
  <c r="H57" i="11" a="1"/>
  <c r="H57" i="11" s="1"/>
  <c r="I57" i="11" a="1"/>
  <c r="I57" i="11" s="1"/>
  <c r="J57" i="11" a="1"/>
  <c r="J57" i="11" s="1"/>
  <c r="H58" i="11" a="1"/>
  <c r="H58" i="11" s="1"/>
  <c r="I58" i="11" a="1"/>
  <c r="I58" i="11" s="1"/>
  <c r="J58" i="11" a="1"/>
  <c r="J58" i="11" s="1"/>
  <c r="H59" i="11" a="1"/>
  <c r="H59" i="11" s="1"/>
  <c r="I59" i="11" a="1"/>
  <c r="I59" i="11" s="1"/>
  <c r="J59" i="11" a="1"/>
  <c r="J59" i="11" s="1"/>
  <c r="H60" i="11" a="1"/>
  <c r="H60" i="11" s="1"/>
  <c r="I60" i="11" a="1"/>
  <c r="I60" i="11" s="1"/>
  <c r="J60" i="11" a="1"/>
  <c r="J60" i="11" s="1"/>
  <c r="H61" i="11" a="1"/>
  <c r="H61" i="11" s="1"/>
  <c r="I61" i="11" a="1"/>
  <c r="I61" i="11" s="1"/>
  <c r="J61" i="11" a="1"/>
  <c r="J61" i="11" s="1"/>
  <c r="H62" i="11" a="1"/>
  <c r="H62" i="11" s="1"/>
  <c r="I62" i="11" a="1"/>
  <c r="I62" i="11" s="1"/>
  <c r="J62" i="11" a="1"/>
  <c r="J62" i="11" s="1"/>
  <c r="H63" i="11" a="1"/>
  <c r="H63" i="11" s="1"/>
  <c r="I63" i="11" a="1"/>
  <c r="I63" i="11" s="1"/>
  <c r="J63" i="11" a="1"/>
  <c r="J63" i="11" s="1"/>
  <c r="H64" i="11" a="1"/>
  <c r="H64" i="11" s="1"/>
  <c r="I64" i="11" a="1"/>
  <c r="I64" i="11" s="1"/>
  <c r="J64" i="11" a="1"/>
  <c r="J64" i="11" s="1"/>
  <c r="T80" i="11"/>
  <c r="D80" i="11" s="1" a="1"/>
  <c r="D80" i="11" s="1"/>
  <c r="U80" i="11"/>
  <c r="T81" i="11"/>
  <c r="D81" i="11" s="1" a="1"/>
  <c r="D81" i="11" s="1"/>
  <c r="U81" i="11"/>
  <c r="T82" i="11"/>
  <c r="D82" i="11" s="1" a="1"/>
  <c r="D82" i="11" s="1"/>
  <c r="U82" i="11"/>
  <c r="T83" i="11"/>
  <c r="D83" i="11" s="1" a="1"/>
  <c r="D83" i="11" s="1"/>
  <c r="U83" i="11"/>
  <c r="T84" i="11"/>
  <c r="D84" i="11" s="1" a="1"/>
  <c r="D84" i="11" s="1"/>
  <c r="U84" i="11"/>
  <c r="T85" i="11"/>
  <c r="D85" i="11" s="1" a="1"/>
  <c r="D85" i="11" s="1"/>
  <c r="U85" i="11"/>
  <c r="T86" i="11"/>
  <c r="D86" i="11" s="1" a="1"/>
  <c r="D86" i="11" s="1"/>
  <c r="U86" i="11"/>
  <c r="T87" i="11"/>
  <c r="D87" i="11" s="1" a="1"/>
  <c r="D87" i="11" s="1"/>
  <c r="U87" i="11"/>
  <c r="T88" i="11"/>
  <c r="D88" i="11" s="1" a="1"/>
  <c r="D88" i="11" s="1"/>
  <c r="U88" i="11"/>
  <c r="T89" i="11"/>
  <c r="D89" i="11" s="1" a="1"/>
  <c r="D89" i="11" s="1"/>
  <c r="U89" i="11"/>
  <c r="T90" i="11"/>
  <c r="D90" i="11" s="1" a="1"/>
  <c r="D90" i="11" s="1"/>
  <c r="U90" i="11"/>
  <c r="T91" i="11"/>
  <c r="D91" i="11" s="1" a="1"/>
  <c r="D91" i="11" s="1"/>
  <c r="U91" i="11"/>
  <c r="T92" i="11"/>
  <c r="D92" i="11" s="1" a="1"/>
  <c r="D92" i="11" s="1"/>
  <c r="U92" i="11"/>
  <c r="T93" i="11"/>
  <c r="D93" i="11" s="1" a="1"/>
  <c r="D93" i="11" s="1"/>
  <c r="U93" i="11"/>
  <c r="D93" i="10" a="1"/>
  <c r="D93" i="10" s="1"/>
  <c r="D92" i="10" a="1"/>
  <c r="D92" i="10" s="1"/>
  <c r="D91" i="10" a="1"/>
  <c r="D91" i="10" s="1"/>
  <c r="D90" i="10" a="1"/>
  <c r="D90" i="10" s="1"/>
  <c r="D89" i="10"/>
  <c r="D88" i="10" a="1"/>
  <c r="D88" i="10" s="1"/>
  <c r="D87" i="10" a="1"/>
  <c r="D87" i="10" s="1"/>
  <c r="D86" i="10" a="1"/>
  <c r="D86" i="10" s="1"/>
  <c r="D85" i="10" a="1"/>
  <c r="D85" i="10" s="1"/>
  <c r="D84" i="10"/>
  <c r="D83" i="10" a="1"/>
  <c r="D83" i="10" s="1"/>
  <c r="D82" i="10" a="1"/>
  <c r="D82" i="10"/>
  <c r="D81" i="10" a="1"/>
  <c r="D81" i="10" s="1"/>
  <c r="D80" i="10" a="1"/>
  <c r="D80" i="10" s="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J64" i="10" a="1"/>
  <c r="J64" i="10" s="1"/>
  <c r="I64" i="10" a="1"/>
  <c r="I64" i="10" s="1"/>
  <c r="H64" i="10" a="1"/>
  <c r="H64" i="10"/>
  <c r="J63" i="10" a="1"/>
  <c r="J63" i="10"/>
  <c r="I63" i="10" a="1"/>
  <c r="I63" i="10"/>
  <c r="H63" i="10" a="1"/>
  <c r="H63" i="10" s="1"/>
  <c r="J62" i="10" a="1"/>
  <c r="J62" i="10"/>
  <c r="I62" i="10" a="1"/>
  <c r="I62" i="10"/>
  <c r="H62" i="10" a="1"/>
  <c r="H62" i="10"/>
  <c r="J61" i="10" a="1"/>
  <c r="J61" i="10" s="1"/>
  <c r="I61" i="10" a="1"/>
  <c r="I61" i="10"/>
  <c r="H61" i="10" a="1"/>
  <c r="H61" i="10"/>
  <c r="J60" i="10"/>
  <c r="I60" i="10"/>
  <c r="H60" i="10"/>
  <c r="J59" i="10" a="1"/>
  <c r="J59" i="10" s="1"/>
  <c r="I59" i="10" a="1"/>
  <c r="I59" i="10"/>
  <c r="H59" i="10" a="1"/>
  <c r="H59" i="10" s="1"/>
  <c r="J58" i="10" a="1"/>
  <c r="J58" i="10"/>
  <c r="I58" i="10" a="1"/>
  <c r="I58" i="10" s="1"/>
  <c r="H58" i="10" a="1"/>
  <c r="H58" i="10"/>
  <c r="J57" i="10" a="1"/>
  <c r="J57" i="10"/>
  <c r="I57" i="10" a="1"/>
  <c r="I57" i="10"/>
  <c r="H57" i="10" a="1"/>
  <c r="H57" i="10" s="1"/>
  <c r="J56" i="10" a="1"/>
  <c r="J56" i="10"/>
  <c r="I56" i="10" a="1"/>
  <c r="I56" i="10" s="1"/>
  <c r="H56" i="10" a="1"/>
  <c r="H56" i="10" s="1"/>
  <c r="J55" i="10"/>
  <c r="I55" i="10"/>
  <c r="H55" i="10"/>
  <c r="J54" i="10" a="1"/>
  <c r="J54" i="10" s="1"/>
  <c r="I54" i="10" a="1"/>
  <c r="I54" i="10" s="1"/>
  <c r="H54" i="10" a="1"/>
  <c r="H54" i="10" s="1"/>
  <c r="J53" i="10" a="1"/>
  <c r="J53" i="10" s="1"/>
  <c r="I53" i="10" a="1"/>
  <c r="I53" i="10" s="1"/>
  <c r="H53" i="10" a="1"/>
  <c r="H53" i="10" s="1"/>
  <c r="J52" i="10" a="1"/>
  <c r="J52" i="10"/>
  <c r="I52" i="10" a="1"/>
  <c r="I52" i="10"/>
  <c r="H52" i="10" a="1"/>
  <c r="H52" i="10" s="1"/>
  <c r="J51" i="10" a="1"/>
  <c r="J51" i="10" s="1"/>
  <c r="I51" i="10" a="1"/>
  <c r="I51" i="10" s="1"/>
  <c r="H51" i="10" a="1"/>
  <c r="H51" i="10" s="1"/>
  <c r="D44" i="14"/>
  <c r="K44" i="14" s="1"/>
  <c r="D43" i="14"/>
  <c r="D42" i="14"/>
  <c r="M20" i="14"/>
  <c r="M21" i="14" s="1"/>
  <c r="E45" i="14" s="1"/>
  <c r="O7" i="14"/>
  <c r="N7" i="14"/>
  <c r="M7" i="14"/>
  <c r="E65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D44" i="13"/>
  <c r="I44" i="13" s="1"/>
  <c r="D43" i="13"/>
  <c r="D42" i="13"/>
  <c r="M20" i="13"/>
  <c r="M21" i="13" s="1"/>
  <c r="E45" i="13" s="1"/>
  <c r="O7" i="13"/>
  <c r="N7" i="13"/>
  <c r="M7" i="13"/>
  <c r="F51" i="13"/>
  <c r="F52" i="13"/>
  <c r="F53" i="13"/>
  <c r="F54" i="13"/>
  <c r="F55" i="13"/>
  <c r="F56" i="13"/>
  <c r="F57" i="13"/>
  <c r="F58" i="13"/>
  <c r="F59" i="13"/>
  <c r="F60" i="13"/>
  <c r="F61" i="13"/>
  <c r="F62" i="13"/>
  <c r="F63" i="13"/>
  <c r="F64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D44" i="12"/>
  <c r="G44" i="12" s="1"/>
  <c r="D43" i="12"/>
  <c r="D42" i="12"/>
  <c r="M20" i="12"/>
  <c r="M21" i="12" s="1"/>
  <c r="E45" i="12" s="1"/>
  <c r="O7" i="12"/>
  <c r="N7" i="12"/>
  <c r="M7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D44" i="11"/>
  <c r="K44" i="11" s="1"/>
  <c r="D43" i="11"/>
  <c r="D42" i="11"/>
  <c r="M20" i="11"/>
  <c r="M21" i="11" s="1"/>
  <c r="E45" i="11" s="1"/>
  <c r="O7" i="11"/>
  <c r="N7" i="11"/>
  <c r="M7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D44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M20" i="10"/>
  <c r="M21" i="10" s="1"/>
  <c r="E45" i="10" s="1"/>
  <c r="O7" i="10"/>
  <c r="N7" i="10"/>
  <c r="M7" i="10"/>
  <c r="E3" i="14"/>
  <c r="J2" i="14" s="1"/>
  <c r="C3" i="14"/>
  <c r="E3" i="13"/>
  <c r="J2" i="13" s="1"/>
  <c r="C3" i="13"/>
  <c r="E3" i="12"/>
  <c r="J2" i="12" s="1"/>
  <c r="C3" i="12"/>
  <c r="E3" i="11"/>
  <c r="J2" i="11" s="1"/>
  <c r="C3" i="11"/>
  <c r="E3" i="10"/>
  <c r="J2" i="10" s="1"/>
  <c r="C3" i="10"/>
  <c r="E3" i="9"/>
  <c r="J2" i="9" s="1"/>
  <c r="C3" i="9"/>
  <c r="E3" i="8"/>
  <c r="J2" i="8" s="1"/>
  <c r="C3" i="8"/>
  <c r="E3" i="7"/>
  <c r="J2" i="7" s="1"/>
  <c r="C3" i="7"/>
  <c r="E3" i="6"/>
  <c r="J2" i="6" s="1"/>
  <c r="C3" i="6"/>
  <c r="E3" i="5"/>
  <c r="J2" i="5" s="1"/>
  <c r="C3" i="5"/>
  <c r="E3" i="4"/>
  <c r="J2" i="4" s="1"/>
  <c r="C3" i="4"/>
  <c r="E3" i="3"/>
  <c r="J2" i="3" s="1"/>
  <c r="C3" i="3"/>
  <c r="M49" i="14"/>
  <c r="N49" i="14"/>
  <c r="O49" i="14"/>
  <c r="P49" i="14"/>
  <c r="Q49" i="14"/>
  <c r="R49" i="14"/>
  <c r="G68" i="14"/>
  <c r="H68" i="14"/>
  <c r="I68" i="14"/>
  <c r="J68" i="14"/>
  <c r="K68" i="14"/>
  <c r="L68" i="14"/>
  <c r="G41" i="14"/>
  <c r="H41" i="14"/>
  <c r="I41" i="14"/>
  <c r="J41" i="14"/>
  <c r="K41" i="14"/>
  <c r="L41" i="14"/>
  <c r="M49" i="13"/>
  <c r="N49" i="13"/>
  <c r="O49" i="13"/>
  <c r="P49" i="13"/>
  <c r="Q49" i="13"/>
  <c r="R49" i="13"/>
  <c r="G68" i="13"/>
  <c r="H68" i="13"/>
  <c r="I68" i="13"/>
  <c r="J68" i="13"/>
  <c r="K68" i="13"/>
  <c r="L68" i="13"/>
  <c r="G41" i="13"/>
  <c r="H41" i="13"/>
  <c r="I41" i="13"/>
  <c r="J41" i="13"/>
  <c r="K41" i="13"/>
  <c r="L41" i="13"/>
  <c r="M49" i="12"/>
  <c r="N49" i="12"/>
  <c r="O49" i="12"/>
  <c r="P49" i="12"/>
  <c r="Q49" i="12"/>
  <c r="R49" i="12"/>
  <c r="G68" i="12"/>
  <c r="H68" i="12"/>
  <c r="I68" i="12"/>
  <c r="J68" i="12"/>
  <c r="K68" i="12"/>
  <c r="L68" i="12"/>
  <c r="G41" i="12"/>
  <c r="H41" i="12"/>
  <c r="I41" i="12"/>
  <c r="J41" i="12"/>
  <c r="K41" i="12"/>
  <c r="L41" i="12"/>
  <c r="K49" i="8"/>
  <c r="L49" i="8"/>
  <c r="M49" i="8"/>
  <c r="N49" i="8"/>
  <c r="O49" i="8"/>
  <c r="P49" i="8"/>
  <c r="G68" i="8"/>
  <c r="H68" i="8"/>
  <c r="I68" i="8"/>
  <c r="J68" i="8"/>
  <c r="K68" i="8"/>
  <c r="L68" i="8"/>
  <c r="G42" i="8"/>
  <c r="H42" i="8"/>
  <c r="I42" i="8"/>
  <c r="J42" i="8"/>
  <c r="K42" i="8"/>
  <c r="L42" i="8"/>
  <c r="K49" i="7"/>
  <c r="L49" i="7"/>
  <c r="M49" i="7"/>
  <c r="N49" i="7"/>
  <c r="O49" i="7"/>
  <c r="P49" i="7"/>
  <c r="G68" i="7"/>
  <c r="H68" i="7"/>
  <c r="I68" i="7"/>
  <c r="J68" i="7"/>
  <c r="K68" i="7"/>
  <c r="L68" i="7"/>
  <c r="G42" i="7"/>
  <c r="H42" i="7"/>
  <c r="I42" i="7"/>
  <c r="J42" i="7"/>
  <c r="K42" i="7"/>
  <c r="L42" i="7"/>
  <c r="K49" i="6"/>
  <c r="L49" i="6"/>
  <c r="M49" i="6"/>
  <c r="N49" i="6"/>
  <c r="O49" i="6"/>
  <c r="P49" i="6"/>
  <c r="G68" i="6"/>
  <c r="H68" i="6"/>
  <c r="I68" i="6"/>
  <c r="J68" i="6"/>
  <c r="K68" i="6"/>
  <c r="L68" i="6"/>
  <c r="G42" i="6"/>
  <c r="H42" i="6"/>
  <c r="I42" i="6"/>
  <c r="J42" i="6"/>
  <c r="K42" i="6"/>
  <c r="L42" i="6"/>
  <c r="M49" i="11"/>
  <c r="N49" i="11"/>
  <c r="O49" i="11"/>
  <c r="P49" i="11"/>
  <c r="Q49" i="11"/>
  <c r="R49" i="11"/>
  <c r="M49" i="10"/>
  <c r="N49" i="10"/>
  <c r="O49" i="10"/>
  <c r="P49" i="10"/>
  <c r="Q49" i="10"/>
  <c r="R49" i="10"/>
  <c r="G68" i="11"/>
  <c r="H68" i="11"/>
  <c r="I68" i="11"/>
  <c r="J68" i="11"/>
  <c r="K68" i="11"/>
  <c r="L68" i="11"/>
  <c r="G41" i="11"/>
  <c r="H41" i="11"/>
  <c r="I41" i="11"/>
  <c r="J41" i="11"/>
  <c r="K41" i="11"/>
  <c r="L41" i="11"/>
  <c r="G68" i="10"/>
  <c r="H68" i="10"/>
  <c r="I68" i="10"/>
  <c r="J68" i="10"/>
  <c r="K68" i="10"/>
  <c r="L68" i="10"/>
  <c r="G41" i="10"/>
  <c r="H41" i="10"/>
  <c r="I41" i="10"/>
  <c r="J41" i="10"/>
  <c r="K41" i="10"/>
  <c r="L41" i="10"/>
  <c r="P49" i="9"/>
  <c r="O49" i="9"/>
  <c r="N49" i="9"/>
  <c r="M49" i="9"/>
  <c r="L49" i="9"/>
  <c r="K49" i="9"/>
  <c r="L68" i="9"/>
  <c r="K68" i="9"/>
  <c r="J68" i="9"/>
  <c r="I68" i="9"/>
  <c r="H68" i="9"/>
  <c r="G68" i="9"/>
  <c r="L42" i="9"/>
  <c r="K42" i="9"/>
  <c r="J42" i="9"/>
  <c r="I42" i="9"/>
  <c r="H42" i="9"/>
  <c r="G42" i="9"/>
  <c r="K55" i="10"/>
  <c r="D93" i="9"/>
  <c r="D90" i="9"/>
  <c r="D88" i="9"/>
  <c r="D87" i="9"/>
  <c r="D86" i="9"/>
  <c r="D85" i="9"/>
  <c r="D83" i="9"/>
  <c r="D82" i="9"/>
  <c r="D81" i="9"/>
  <c r="D80" i="9"/>
  <c r="H59" i="9"/>
  <c r="G59" i="9"/>
  <c r="H53" i="9"/>
  <c r="G53" i="9"/>
  <c r="M20" i="9"/>
  <c r="N19" i="9"/>
  <c r="N18" i="9"/>
  <c r="N17" i="9"/>
  <c r="N16" i="9"/>
  <c r="N15" i="9"/>
  <c r="N14" i="9"/>
  <c r="N13" i="9"/>
  <c r="N12" i="9"/>
  <c r="N11" i="9"/>
  <c r="N10" i="9"/>
  <c r="N9" i="9"/>
  <c r="N8" i="9"/>
  <c r="M19" i="9"/>
  <c r="M18" i="9"/>
  <c r="M17" i="9"/>
  <c r="M16" i="9"/>
  <c r="M15" i="9"/>
  <c r="M14" i="9"/>
  <c r="M13" i="9"/>
  <c r="M12" i="9"/>
  <c r="M11" i="9"/>
  <c r="M10" i="9"/>
  <c r="M9" i="9"/>
  <c r="M8" i="9"/>
  <c r="D92" i="9"/>
  <c r="D91" i="9"/>
  <c r="D89" i="9"/>
  <c r="D84" i="9"/>
  <c r="K60" i="12" l="1"/>
  <c r="K54" i="13"/>
  <c r="K54" i="10"/>
  <c r="G44" i="11"/>
  <c r="K58" i="13"/>
  <c r="H65" i="11"/>
  <c r="E42" i="11" s="1"/>
  <c r="K57" i="11"/>
  <c r="K59" i="13"/>
  <c r="K64" i="12"/>
  <c r="K55" i="14"/>
  <c r="K64" i="13"/>
  <c r="K55" i="11"/>
  <c r="K64" i="11"/>
  <c r="K55" i="12"/>
  <c r="F65" i="12"/>
  <c r="G44" i="14"/>
  <c r="F65" i="14"/>
  <c r="K61" i="10"/>
  <c r="I44" i="11"/>
  <c r="J44" i="11" s="1"/>
  <c r="K44" i="13"/>
  <c r="L44" i="13" s="1"/>
  <c r="K53" i="14"/>
  <c r="F65" i="13"/>
  <c r="F65" i="11"/>
  <c r="H44" i="14"/>
  <c r="K59" i="11"/>
  <c r="K53" i="11"/>
  <c r="K59" i="12"/>
  <c r="K56" i="11"/>
  <c r="K62" i="12"/>
  <c r="I65" i="13"/>
  <c r="E43" i="13" s="1"/>
  <c r="K62" i="13"/>
  <c r="K52" i="14"/>
  <c r="K62" i="11"/>
  <c r="K60" i="10"/>
  <c r="K64" i="14"/>
  <c r="K61" i="12"/>
  <c r="K61" i="13"/>
  <c r="K56" i="14"/>
  <c r="K59" i="10"/>
  <c r="I44" i="14"/>
  <c r="J44" i="14" s="1"/>
  <c r="K58" i="10"/>
  <c r="K62" i="10"/>
  <c r="K53" i="10"/>
  <c r="K57" i="10"/>
  <c r="I65" i="10"/>
  <c r="E43" i="10" s="1"/>
  <c r="J65" i="10"/>
  <c r="E44" i="10" s="1"/>
  <c r="I44" i="10" s="1"/>
  <c r="J44" i="10" s="1"/>
  <c r="H65" i="10"/>
  <c r="E42" i="10" s="1"/>
  <c r="K52" i="10"/>
  <c r="K56" i="10"/>
  <c r="K63" i="10"/>
  <c r="K64" i="10"/>
  <c r="K51" i="10"/>
  <c r="F65" i="10"/>
  <c r="K60" i="14"/>
  <c r="K59" i="14"/>
  <c r="K63" i="14"/>
  <c r="I65" i="14"/>
  <c r="E43" i="14" s="1"/>
  <c r="K62" i="14"/>
  <c r="K61" i="14"/>
  <c r="H65" i="14"/>
  <c r="E42" i="14" s="1"/>
  <c r="K57" i="14"/>
  <c r="J65" i="14"/>
  <c r="E44" i="14" s="1"/>
  <c r="F44" i="14" s="1"/>
  <c r="K55" i="13"/>
  <c r="H65" i="13"/>
  <c r="E42" i="13" s="1"/>
  <c r="K56" i="13"/>
  <c r="K53" i="13"/>
  <c r="K60" i="13"/>
  <c r="K52" i="13"/>
  <c r="K56" i="12"/>
  <c r="H65" i="12"/>
  <c r="E42" i="12" s="1"/>
  <c r="K63" i="12"/>
  <c r="K53" i="12"/>
  <c r="K60" i="11"/>
  <c r="I65" i="11"/>
  <c r="E43" i="11" s="1"/>
  <c r="K61" i="11"/>
  <c r="K52" i="11"/>
  <c r="K58" i="11"/>
  <c r="K63" i="11"/>
  <c r="H44" i="11"/>
  <c r="L44" i="14"/>
  <c r="L44" i="11"/>
  <c r="H44" i="12"/>
  <c r="J44" i="13"/>
  <c r="K57" i="12"/>
  <c r="K57" i="13"/>
  <c r="K58" i="12"/>
  <c r="K54" i="14"/>
  <c r="I65" i="12"/>
  <c r="E43" i="12" s="1"/>
  <c r="J65" i="12"/>
  <c r="E44" i="12" s="1"/>
  <c r="F44" i="12" s="1"/>
  <c r="K52" i="12"/>
  <c r="K58" i="14"/>
  <c r="K54" i="11"/>
  <c r="K54" i="12"/>
  <c r="J65" i="11"/>
  <c r="E44" i="11" s="1"/>
  <c r="F44" i="11" s="1"/>
  <c r="J65" i="13"/>
  <c r="E44" i="13" s="1"/>
  <c r="F44" i="13" s="1"/>
  <c r="K51" i="12"/>
  <c r="G44" i="13"/>
  <c r="H44" i="13" s="1"/>
  <c r="K44" i="12"/>
  <c r="L44" i="12" s="1"/>
  <c r="I44" i="12"/>
  <c r="J44" i="12" s="1"/>
  <c r="K51" i="13"/>
  <c r="K51" i="11"/>
  <c r="K51" i="14"/>
  <c r="D94" i="9"/>
  <c r="D84" i="8"/>
  <c r="D94" i="8" s="1"/>
  <c r="E46" i="11" l="1"/>
  <c r="G44" i="10"/>
  <c r="H44" i="10" s="1"/>
  <c r="E46" i="14"/>
  <c r="K44" i="10"/>
  <c r="L44" i="10" s="1"/>
  <c r="F44" i="10"/>
  <c r="K65" i="10"/>
  <c r="E46" i="10"/>
  <c r="K65" i="14"/>
  <c r="K65" i="13"/>
  <c r="K65" i="12"/>
  <c r="K65" i="11"/>
  <c r="E46" i="12"/>
  <c r="E46" i="13"/>
  <c r="D92" i="7"/>
  <c r="D93" i="7"/>
  <c r="D85" i="7"/>
  <c r="D91" i="7"/>
  <c r="D90" i="7"/>
  <c r="D89" i="7"/>
  <c r="D88" i="7"/>
  <c r="D87" i="7"/>
  <c r="D86" i="7"/>
  <c r="D84" i="7"/>
  <c r="D83" i="7"/>
  <c r="D82" i="7"/>
  <c r="D81" i="7"/>
  <c r="D80" i="7"/>
  <c r="D80" i="6"/>
  <c r="D89" i="6"/>
  <c r="N19" i="7" l="1"/>
  <c r="D73" i="14" l="1"/>
  <c r="D72" i="14"/>
  <c r="D71" i="14"/>
  <c r="D70" i="14"/>
  <c r="D69" i="14"/>
  <c r="D45" i="14"/>
  <c r="D46" i="14" s="1"/>
  <c r="F46" i="14" s="1"/>
  <c r="D64" i="14"/>
  <c r="G64" i="14" s="1"/>
  <c r="D63" i="14"/>
  <c r="G63" i="14" s="1"/>
  <c r="D62" i="14"/>
  <c r="G62" i="14" s="1"/>
  <c r="D61" i="14"/>
  <c r="G61" i="14" s="1"/>
  <c r="D60" i="14"/>
  <c r="G60" i="14" s="1"/>
  <c r="D59" i="14"/>
  <c r="G59" i="14" s="1"/>
  <c r="D58" i="14"/>
  <c r="G58" i="14" s="1"/>
  <c r="D57" i="14"/>
  <c r="G57" i="14" s="1"/>
  <c r="D56" i="14"/>
  <c r="G56" i="14" s="1"/>
  <c r="D55" i="14"/>
  <c r="G55" i="14" s="1"/>
  <c r="D54" i="14"/>
  <c r="G54" i="14" s="1"/>
  <c r="D53" i="14"/>
  <c r="G53" i="14" s="1"/>
  <c r="D52" i="14"/>
  <c r="G52" i="14" s="1"/>
  <c r="D51" i="14"/>
  <c r="F40" i="14"/>
  <c r="D73" i="13"/>
  <c r="D72" i="13"/>
  <c r="D71" i="13"/>
  <c r="D70" i="13"/>
  <c r="D69" i="13"/>
  <c r="D45" i="13"/>
  <c r="D46" i="13" s="1"/>
  <c r="F46" i="13" s="1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D64" i="13"/>
  <c r="D63" i="13"/>
  <c r="D62" i="13"/>
  <c r="D61" i="13"/>
  <c r="D60" i="13"/>
  <c r="D59" i="13"/>
  <c r="G59" i="13" s="1"/>
  <c r="D58" i="13"/>
  <c r="G58" i="13" s="1"/>
  <c r="D57" i="13"/>
  <c r="D56" i="13"/>
  <c r="D55" i="13"/>
  <c r="D54" i="13"/>
  <c r="D53" i="13"/>
  <c r="D52" i="13"/>
  <c r="D51" i="13"/>
  <c r="F40" i="13"/>
  <c r="D73" i="12"/>
  <c r="D72" i="12"/>
  <c r="D71" i="12"/>
  <c r="D70" i="12"/>
  <c r="D69" i="12"/>
  <c r="D45" i="12"/>
  <c r="D46" i="12" s="1"/>
  <c r="F46" i="12" s="1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D64" i="12"/>
  <c r="D63" i="12"/>
  <c r="D62" i="12"/>
  <c r="G62" i="12" s="1"/>
  <c r="D61" i="12"/>
  <c r="G61" i="12" s="1"/>
  <c r="D60" i="12"/>
  <c r="D59" i="12"/>
  <c r="D58" i="12"/>
  <c r="D57" i="12"/>
  <c r="D56" i="12"/>
  <c r="D55" i="12"/>
  <c r="D54" i="12"/>
  <c r="G54" i="12" s="1"/>
  <c r="D53" i="12"/>
  <c r="G53" i="12" s="1"/>
  <c r="D52" i="12"/>
  <c r="D51" i="12"/>
  <c r="F40" i="12"/>
  <c r="D73" i="11"/>
  <c r="D72" i="11"/>
  <c r="D71" i="11"/>
  <c r="D70" i="11"/>
  <c r="D69" i="11"/>
  <c r="D45" i="11"/>
  <c r="D46" i="11" s="1"/>
  <c r="F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D64" i="11"/>
  <c r="D63" i="11"/>
  <c r="D62" i="11"/>
  <c r="D61" i="11"/>
  <c r="D60" i="11"/>
  <c r="D59" i="11"/>
  <c r="D58" i="11"/>
  <c r="D57" i="11"/>
  <c r="G57" i="11" s="1"/>
  <c r="D56" i="11"/>
  <c r="D55" i="11"/>
  <c r="D54" i="11"/>
  <c r="D53" i="11"/>
  <c r="D52" i="11"/>
  <c r="D51" i="11"/>
  <c r="F40" i="11"/>
  <c r="D73" i="10"/>
  <c r="D72" i="10"/>
  <c r="D71" i="10"/>
  <c r="D70" i="10"/>
  <c r="D69" i="10"/>
  <c r="D45" i="10"/>
  <c r="D43" i="10"/>
  <c r="D42" i="10"/>
  <c r="D46" i="10" s="1"/>
  <c r="F46" i="10" s="1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F40" i="10"/>
  <c r="D73" i="9"/>
  <c r="D72" i="9"/>
  <c r="D71" i="9"/>
  <c r="D70" i="9"/>
  <c r="D69" i="9"/>
  <c r="D45" i="9"/>
  <c r="D44" i="9"/>
  <c r="D43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F41" i="9"/>
  <c r="D73" i="8"/>
  <c r="D72" i="8"/>
  <c r="D71" i="8"/>
  <c r="D70" i="8"/>
  <c r="D6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F41" i="8"/>
  <c r="D73" i="7"/>
  <c r="D72" i="7"/>
  <c r="D71" i="7"/>
  <c r="D70" i="7"/>
  <c r="D69" i="7"/>
  <c r="D45" i="7"/>
  <c r="D44" i="7"/>
  <c r="D43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E73" i="14"/>
  <c r="F73" i="14" s="1"/>
  <c r="E72" i="14"/>
  <c r="F72" i="14" s="1"/>
  <c r="E70" i="14"/>
  <c r="E69" i="14"/>
  <c r="E73" i="13"/>
  <c r="E72" i="13"/>
  <c r="E70" i="13"/>
  <c r="E69" i="13"/>
  <c r="E73" i="12"/>
  <c r="E72" i="12"/>
  <c r="E70" i="12"/>
  <c r="E69" i="12"/>
  <c r="E73" i="11"/>
  <c r="E72" i="11"/>
  <c r="E70" i="11"/>
  <c r="E69" i="11"/>
  <c r="E73" i="10"/>
  <c r="E72" i="10"/>
  <c r="E70" i="10"/>
  <c r="E69" i="10"/>
  <c r="E73" i="9"/>
  <c r="E72" i="9"/>
  <c r="E70" i="9"/>
  <c r="E69" i="9"/>
  <c r="M21" i="9"/>
  <c r="E45" i="9" s="1"/>
  <c r="H64" i="9"/>
  <c r="G64" i="9"/>
  <c r="H63" i="9"/>
  <c r="G63" i="9"/>
  <c r="H62" i="9"/>
  <c r="G62" i="9"/>
  <c r="H61" i="9"/>
  <c r="G61" i="9"/>
  <c r="H60" i="9"/>
  <c r="G60" i="9"/>
  <c r="H58" i="9"/>
  <c r="G58" i="9"/>
  <c r="H57" i="9"/>
  <c r="G57" i="9"/>
  <c r="H56" i="9"/>
  <c r="G56" i="9"/>
  <c r="H55" i="9"/>
  <c r="G55" i="9"/>
  <c r="H54" i="9"/>
  <c r="G54" i="9"/>
  <c r="G52" i="9"/>
  <c r="H51" i="9"/>
  <c r="G51" i="9"/>
  <c r="N7" i="9"/>
  <c r="M7" i="9"/>
  <c r="E73" i="8"/>
  <c r="E72" i="8"/>
  <c r="E70" i="8"/>
  <c r="E69" i="8"/>
  <c r="H59" i="8"/>
  <c r="G59" i="8"/>
  <c r="H53" i="8"/>
  <c r="G53" i="8"/>
  <c r="M20" i="8"/>
  <c r="M21" i="8" s="1"/>
  <c r="E45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M9" i="8"/>
  <c r="G52" i="8" s="1"/>
  <c r="N8" i="8"/>
  <c r="H51" i="8" s="1"/>
  <c r="M8" i="8"/>
  <c r="G51" i="8" s="1"/>
  <c r="N7" i="8"/>
  <c r="M7" i="8"/>
  <c r="E73" i="7"/>
  <c r="E72" i="7"/>
  <c r="E70" i="7"/>
  <c r="E69" i="7"/>
  <c r="H59" i="7"/>
  <c r="G59" i="7"/>
  <c r="H53" i="7"/>
  <c r="G53" i="7"/>
  <c r="M20" i="7"/>
  <c r="M21" i="7" s="1"/>
  <c r="E45" i="7" s="1"/>
  <c r="H64" i="7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N11" i="7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G59" i="6"/>
  <c r="G53" i="6"/>
  <c r="D88" i="6"/>
  <c r="D82" i="6"/>
  <c r="H59" i="6"/>
  <c r="H53" i="6"/>
  <c r="D59" i="6"/>
  <c r="D53" i="6"/>
  <c r="D43" i="6"/>
  <c r="D44" i="6"/>
  <c r="D93" i="6"/>
  <c r="D92" i="6"/>
  <c r="D91" i="6"/>
  <c r="D90" i="6"/>
  <c r="D87" i="6"/>
  <c r="D86" i="6"/>
  <c r="D84" i="6"/>
  <c r="D83" i="6"/>
  <c r="D8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F60" i="7" l="1"/>
  <c r="F63" i="8"/>
  <c r="G53" i="10"/>
  <c r="G61" i="10"/>
  <c r="L61" i="10" s="1"/>
  <c r="G56" i="11"/>
  <c r="L56" i="11" s="1"/>
  <c r="G64" i="11"/>
  <c r="F52" i="7"/>
  <c r="F55" i="8"/>
  <c r="G54" i="10"/>
  <c r="G62" i="10"/>
  <c r="G53" i="13"/>
  <c r="G61" i="13"/>
  <c r="Q61" i="13" s="1"/>
  <c r="R61" i="13" s="1"/>
  <c r="G59" i="10"/>
  <c r="L59" i="10" s="1"/>
  <c r="G55" i="10"/>
  <c r="L55" i="10" s="1"/>
  <c r="F55" i="9"/>
  <c r="G56" i="10"/>
  <c r="G64" i="10"/>
  <c r="G59" i="11"/>
  <c r="G56" i="12"/>
  <c r="G64" i="12"/>
  <c r="L64" i="12" s="1"/>
  <c r="F58" i="7"/>
  <c r="F53" i="8"/>
  <c r="F56" i="9"/>
  <c r="F64" i="9"/>
  <c r="G57" i="10"/>
  <c r="E65" i="10"/>
  <c r="G52" i="11"/>
  <c r="G60" i="11"/>
  <c r="G57" i="12"/>
  <c r="Q57" i="12" s="1"/>
  <c r="R57" i="12" s="1"/>
  <c r="G54" i="13"/>
  <c r="Q54" i="13" s="1"/>
  <c r="R54" i="13" s="1"/>
  <c r="G62" i="13"/>
  <c r="G58" i="10"/>
  <c r="Q58" i="10" s="1"/>
  <c r="R58" i="10" s="1"/>
  <c r="G63" i="10"/>
  <c r="G52" i="10"/>
  <c r="G60" i="10"/>
  <c r="G51" i="10"/>
  <c r="D65" i="10"/>
  <c r="E65" i="11"/>
  <c r="D65" i="13"/>
  <c r="G51" i="13"/>
  <c r="L51" i="13" s="1"/>
  <c r="G58" i="11"/>
  <c r="G55" i="12"/>
  <c r="M55" i="12" s="1"/>
  <c r="N55" i="12" s="1"/>
  <c r="G63" i="12"/>
  <c r="M63" i="12" s="1"/>
  <c r="N63" i="12" s="1"/>
  <c r="G52" i="13"/>
  <c r="Q52" i="13" s="1"/>
  <c r="R52" i="13" s="1"/>
  <c r="G60" i="13"/>
  <c r="O60" i="13" s="1"/>
  <c r="P60" i="13" s="1"/>
  <c r="E65" i="12"/>
  <c r="D65" i="14"/>
  <c r="G51" i="14"/>
  <c r="G65" i="14" s="1"/>
  <c r="G51" i="11"/>
  <c r="D65" i="11"/>
  <c r="G53" i="11"/>
  <c r="G61" i="11"/>
  <c r="Q61" i="11" s="1"/>
  <c r="R61" i="11" s="1"/>
  <c r="G58" i="12"/>
  <c r="O58" i="12" s="1"/>
  <c r="P58" i="12" s="1"/>
  <c r="G55" i="13"/>
  <c r="M55" i="13" s="1"/>
  <c r="N55" i="13" s="1"/>
  <c r="G63" i="13"/>
  <c r="G54" i="11"/>
  <c r="M54" i="11" s="1"/>
  <c r="N54" i="11" s="1"/>
  <c r="G62" i="11"/>
  <c r="L62" i="11" s="1"/>
  <c r="D65" i="12"/>
  <c r="G51" i="12"/>
  <c r="G59" i="12"/>
  <c r="L59" i="12" s="1"/>
  <c r="G56" i="13"/>
  <c r="Q56" i="13" s="1"/>
  <c r="R56" i="13" s="1"/>
  <c r="G64" i="13"/>
  <c r="O64" i="13" s="1"/>
  <c r="P64" i="13" s="1"/>
  <c r="G55" i="11"/>
  <c r="O55" i="11" s="1"/>
  <c r="P55" i="11" s="1"/>
  <c r="G63" i="11"/>
  <c r="L63" i="11" s="1"/>
  <c r="G52" i="12"/>
  <c r="G60" i="12"/>
  <c r="O60" i="12" s="1"/>
  <c r="P60" i="12" s="1"/>
  <c r="G57" i="13"/>
  <c r="E65" i="13"/>
  <c r="F51" i="8"/>
  <c r="Q52" i="11"/>
  <c r="R52" i="11" s="1"/>
  <c r="L58" i="13"/>
  <c r="O63" i="10"/>
  <c r="P63" i="10" s="1"/>
  <c r="F69" i="13"/>
  <c r="M62" i="12"/>
  <c r="N62" i="12" s="1"/>
  <c r="M53" i="12"/>
  <c r="N53" i="12" s="1"/>
  <c r="L61" i="12"/>
  <c r="F73" i="12"/>
  <c r="D74" i="14"/>
  <c r="G72" i="7"/>
  <c r="H72" i="7" s="1"/>
  <c r="I72" i="7"/>
  <c r="J72" i="7" s="1"/>
  <c r="K72" i="7"/>
  <c r="L72" i="7" s="1"/>
  <c r="G73" i="10"/>
  <c r="H73" i="10" s="1"/>
  <c r="I73" i="10"/>
  <c r="J73" i="10" s="1"/>
  <c r="K73" i="10"/>
  <c r="L73" i="10" s="1"/>
  <c r="K69" i="8"/>
  <c r="L69" i="8" s="1"/>
  <c r="G69" i="8"/>
  <c r="I69" i="8"/>
  <c r="J69" i="8" s="1"/>
  <c r="G70" i="11"/>
  <c r="I70" i="11"/>
  <c r="J70" i="11" s="1"/>
  <c r="K70" i="11"/>
  <c r="L70" i="11" s="1"/>
  <c r="F69" i="14"/>
  <c r="G70" i="8"/>
  <c r="H70" i="8" s="1"/>
  <c r="I70" i="8"/>
  <c r="J70" i="8" s="1"/>
  <c r="K70" i="8"/>
  <c r="L70" i="8" s="1"/>
  <c r="K72" i="11"/>
  <c r="L72" i="11" s="1"/>
  <c r="G72" i="11"/>
  <c r="H72" i="11" s="1"/>
  <c r="I72" i="11"/>
  <c r="J72" i="11" s="1"/>
  <c r="L64" i="11"/>
  <c r="Q64" i="11"/>
  <c r="R64" i="11" s="1"/>
  <c r="M64" i="11"/>
  <c r="N64" i="11" s="1"/>
  <c r="O64" i="11"/>
  <c r="P64" i="11" s="1"/>
  <c r="I45" i="7"/>
  <c r="J45" i="7" s="1"/>
  <c r="K45" i="7"/>
  <c r="L45" i="7" s="1"/>
  <c r="G45" i="7"/>
  <c r="H45" i="7" s="1"/>
  <c r="F52" i="8"/>
  <c r="G69" i="7"/>
  <c r="I69" i="7"/>
  <c r="K69" i="7"/>
  <c r="I72" i="8"/>
  <c r="J72" i="8" s="1"/>
  <c r="K72" i="8"/>
  <c r="G72" i="8"/>
  <c r="H72" i="8" s="1"/>
  <c r="G73" i="11"/>
  <c r="H73" i="11" s="1"/>
  <c r="I73" i="11"/>
  <c r="J73" i="11" s="1"/>
  <c r="K73" i="11"/>
  <c r="L73" i="11" s="1"/>
  <c r="L53" i="13"/>
  <c r="O56" i="11"/>
  <c r="P56" i="11" s="1"/>
  <c r="I73" i="7"/>
  <c r="J73" i="7" s="1"/>
  <c r="K73" i="7"/>
  <c r="L73" i="7" s="1"/>
  <c r="G73" i="7"/>
  <c r="H73" i="7" s="1"/>
  <c r="G45" i="8"/>
  <c r="I45" i="8"/>
  <c r="J45" i="8" s="1"/>
  <c r="K45" i="8"/>
  <c r="L45" i="8" s="1"/>
  <c r="L52" i="11"/>
  <c r="M52" i="11"/>
  <c r="N52" i="11" s="1"/>
  <c r="O52" i="11"/>
  <c r="P52" i="11" s="1"/>
  <c r="D74" i="11"/>
  <c r="G69" i="11"/>
  <c r="H69" i="11" s="1"/>
  <c r="I69" i="11"/>
  <c r="K69" i="11"/>
  <c r="K70" i="7"/>
  <c r="L70" i="7" s="1"/>
  <c r="G70" i="7"/>
  <c r="H70" i="7" s="1"/>
  <c r="I70" i="7"/>
  <c r="J70" i="7" s="1"/>
  <c r="G73" i="8"/>
  <c r="H73" i="8" s="1"/>
  <c r="I73" i="8"/>
  <c r="J73" i="8" s="1"/>
  <c r="K73" i="8"/>
  <c r="L73" i="8" s="1"/>
  <c r="F58" i="9"/>
  <c r="M53" i="10"/>
  <c r="N53" i="10" s="1"/>
  <c r="G72" i="10"/>
  <c r="H72" i="10" s="1"/>
  <c r="I72" i="10"/>
  <c r="J72" i="10" s="1"/>
  <c r="K72" i="10"/>
  <c r="L72" i="10" s="1"/>
  <c r="I70" i="10"/>
  <c r="J70" i="10" s="1"/>
  <c r="G70" i="10"/>
  <c r="H70" i="10" s="1"/>
  <c r="K70" i="10"/>
  <c r="L70" i="10" s="1"/>
  <c r="I45" i="10"/>
  <c r="J45" i="10" s="1"/>
  <c r="G45" i="10"/>
  <c r="H45" i="10" s="1"/>
  <c r="K45" i="10"/>
  <c r="L45" i="10" s="1"/>
  <c r="G69" i="10"/>
  <c r="K69" i="10"/>
  <c r="I69" i="10"/>
  <c r="M58" i="10"/>
  <c r="N58" i="10" s="1"/>
  <c r="M61" i="10"/>
  <c r="N61" i="10" s="1"/>
  <c r="Q61" i="10"/>
  <c r="R61" i="10" s="1"/>
  <c r="O58" i="13"/>
  <c r="P58" i="13" s="1"/>
  <c r="Q58" i="13"/>
  <c r="R58" i="13" s="1"/>
  <c r="Q51" i="14"/>
  <c r="M51" i="14"/>
  <c r="L59" i="14"/>
  <c r="O59" i="14"/>
  <c r="P59" i="14" s="1"/>
  <c r="Q59" i="14"/>
  <c r="R59" i="14" s="1"/>
  <c r="M59" i="14"/>
  <c r="N59" i="14" s="1"/>
  <c r="L55" i="14"/>
  <c r="O55" i="14"/>
  <c r="P55" i="14" s="1"/>
  <c r="Q55" i="14"/>
  <c r="R55" i="14" s="1"/>
  <c r="M55" i="14"/>
  <c r="N55" i="14" s="1"/>
  <c r="L57" i="14"/>
  <c r="M57" i="14"/>
  <c r="N57" i="14" s="1"/>
  <c r="O57" i="14"/>
  <c r="P57" i="14" s="1"/>
  <c r="Q57" i="14"/>
  <c r="R57" i="14" s="1"/>
  <c r="L61" i="14"/>
  <c r="M61" i="14"/>
  <c r="N61" i="14" s="1"/>
  <c r="O61" i="14"/>
  <c r="P61" i="14" s="1"/>
  <c r="Q61" i="14"/>
  <c r="R61" i="14" s="1"/>
  <c r="L56" i="12"/>
  <c r="Q56" i="12"/>
  <c r="R56" i="12" s="1"/>
  <c r="O56" i="12"/>
  <c r="P56" i="12" s="1"/>
  <c r="M56" i="12"/>
  <c r="N56" i="12" s="1"/>
  <c r="L59" i="13"/>
  <c r="O59" i="13"/>
  <c r="P59" i="13" s="1"/>
  <c r="Q59" i="13"/>
  <c r="R59" i="13" s="1"/>
  <c r="M59" i="13"/>
  <c r="N59" i="13" s="1"/>
  <c r="L52" i="14"/>
  <c r="Q52" i="14"/>
  <c r="R52" i="14" s="1"/>
  <c r="M52" i="14"/>
  <c r="N52" i="14" s="1"/>
  <c r="O52" i="14"/>
  <c r="P52" i="14" s="1"/>
  <c r="L62" i="14"/>
  <c r="M62" i="14"/>
  <c r="N62" i="14" s="1"/>
  <c r="O62" i="14"/>
  <c r="P62" i="14" s="1"/>
  <c r="Q62" i="14"/>
  <c r="R62" i="14" s="1"/>
  <c r="I73" i="14"/>
  <c r="J73" i="14" s="1"/>
  <c r="K73" i="14"/>
  <c r="L73" i="14" s="1"/>
  <c r="G73" i="14"/>
  <c r="H73" i="14" s="1"/>
  <c r="I69" i="14"/>
  <c r="K69" i="14"/>
  <c r="G69" i="14"/>
  <c r="L53" i="14"/>
  <c r="M53" i="14"/>
  <c r="N53" i="14" s="1"/>
  <c r="O53" i="14"/>
  <c r="P53" i="14" s="1"/>
  <c r="Q53" i="14"/>
  <c r="R53" i="14" s="1"/>
  <c r="L63" i="14"/>
  <c r="O63" i="14"/>
  <c r="P63" i="14" s="1"/>
  <c r="Q63" i="14"/>
  <c r="R63" i="14" s="1"/>
  <c r="M63" i="14"/>
  <c r="N63" i="14" s="1"/>
  <c r="I69" i="12"/>
  <c r="K69" i="12"/>
  <c r="G69" i="12"/>
  <c r="G72" i="13"/>
  <c r="H72" i="13" s="1"/>
  <c r="I72" i="13"/>
  <c r="J72" i="13" s="1"/>
  <c r="K72" i="13"/>
  <c r="L72" i="13" s="1"/>
  <c r="L56" i="14"/>
  <c r="Q56" i="14"/>
  <c r="R56" i="14" s="1"/>
  <c r="M56" i="14"/>
  <c r="N56" i="14" s="1"/>
  <c r="O56" i="14"/>
  <c r="P56" i="14" s="1"/>
  <c r="L54" i="14"/>
  <c r="M54" i="14"/>
  <c r="N54" i="14" s="1"/>
  <c r="O54" i="14"/>
  <c r="P54" i="14" s="1"/>
  <c r="Q54" i="14"/>
  <c r="R54" i="14" s="1"/>
  <c r="L64" i="14"/>
  <c r="Q64" i="14"/>
  <c r="R64" i="14" s="1"/>
  <c r="M64" i="14"/>
  <c r="N64" i="14" s="1"/>
  <c r="O64" i="14"/>
  <c r="P64" i="14" s="1"/>
  <c r="K70" i="12"/>
  <c r="L70" i="12" s="1"/>
  <c r="I70" i="12"/>
  <c r="J70" i="12" s="1"/>
  <c r="G70" i="12"/>
  <c r="H70" i="12" s="1"/>
  <c r="I73" i="13"/>
  <c r="J73" i="13" s="1"/>
  <c r="K73" i="13"/>
  <c r="L73" i="13" s="1"/>
  <c r="G73" i="13"/>
  <c r="H73" i="13" s="1"/>
  <c r="G72" i="12"/>
  <c r="H72" i="12" s="1"/>
  <c r="I72" i="12"/>
  <c r="J72" i="12" s="1"/>
  <c r="K72" i="12"/>
  <c r="L72" i="12" s="1"/>
  <c r="L54" i="13"/>
  <c r="M54" i="13"/>
  <c r="N54" i="13" s="1"/>
  <c r="I73" i="12"/>
  <c r="J73" i="12" s="1"/>
  <c r="K73" i="12"/>
  <c r="L73" i="12" s="1"/>
  <c r="G73" i="12"/>
  <c r="H73" i="12" s="1"/>
  <c r="K45" i="13"/>
  <c r="L45" i="13" s="1"/>
  <c r="I45" i="13"/>
  <c r="J45" i="13" s="1"/>
  <c r="G45" i="13"/>
  <c r="H45" i="13" s="1"/>
  <c r="K70" i="14"/>
  <c r="L70" i="14" s="1"/>
  <c r="G70" i="14"/>
  <c r="H70" i="14" s="1"/>
  <c r="I70" i="14"/>
  <c r="J70" i="14" s="1"/>
  <c r="L60" i="14"/>
  <c r="Q60" i="14"/>
  <c r="R60" i="14" s="1"/>
  <c r="M60" i="14"/>
  <c r="N60" i="14" s="1"/>
  <c r="O60" i="14"/>
  <c r="P60" i="14" s="1"/>
  <c r="I69" i="13"/>
  <c r="K69" i="13"/>
  <c r="G69" i="13"/>
  <c r="L58" i="14"/>
  <c r="M58" i="14"/>
  <c r="N58" i="14" s="1"/>
  <c r="O58" i="14"/>
  <c r="P58" i="14" s="1"/>
  <c r="Q58" i="14"/>
  <c r="R58" i="14" s="1"/>
  <c r="K70" i="13"/>
  <c r="L70" i="13" s="1"/>
  <c r="I70" i="13"/>
  <c r="J70" i="13" s="1"/>
  <c r="G70" i="13"/>
  <c r="H70" i="13" s="1"/>
  <c r="G72" i="14"/>
  <c r="H72" i="14" s="1"/>
  <c r="I72" i="14"/>
  <c r="J72" i="14" s="1"/>
  <c r="K72" i="14"/>
  <c r="L72" i="14" s="1"/>
  <c r="F72" i="7"/>
  <c r="F45" i="10"/>
  <c r="F70" i="11"/>
  <c r="K69" i="9"/>
  <c r="G69" i="9"/>
  <c r="I69" i="9"/>
  <c r="F63" i="9"/>
  <c r="K72" i="9"/>
  <c r="L72" i="9" s="1"/>
  <c r="I72" i="9"/>
  <c r="J72" i="9" s="1"/>
  <c r="G72" i="9"/>
  <c r="H72" i="9" s="1"/>
  <c r="I73" i="9"/>
  <c r="J73" i="9" s="1"/>
  <c r="G73" i="9"/>
  <c r="H73" i="9" s="1"/>
  <c r="K73" i="9"/>
  <c r="L73" i="9" s="1"/>
  <c r="F45" i="9"/>
  <c r="I70" i="9"/>
  <c r="J70" i="9" s="1"/>
  <c r="G70" i="9"/>
  <c r="H70" i="9" s="1"/>
  <c r="K70" i="9"/>
  <c r="L70" i="9" s="1"/>
  <c r="I45" i="9"/>
  <c r="J45" i="9" s="1"/>
  <c r="K45" i="9"/>
  <c r="L45" i="9" s="1"/>
  <c r="G45" i="9"/>
  <c r="H45" i="9" s="1"/>
  <c r="F59" i="7"/>
  <c r="F54" i="8"/>
  <c r="F62" i="8"/>
  <c r="F57" i="9"/>
  <c r="E65" i="9"/>
  <c r="D74" i="10"/>
  <c r="F53" i="9"/>
  <c r="F60" i="9"/>
  <c r="F69" i="12"/>
  <c r="F61" i="9"/>
  <c r="D46" i="9"/>
  <c r="F54" i="9"/>
  <c r="F62" i="9"/>
  <c r="D74" i="12"/>
  <c r="D74" i="13"/>
  <c r="G65" i="3"/>
  <c r="H65" i="3" s="1"/>
  <c r="F52" i="9"/>
  <c r="F55" i="7"/>
  <c r="F63" i="7"/>
  <c r="F64" i="8"/>
  <c r="F59" i="9"/>
  <c r="L51" i="3"/>
  <c r="L59" i="3"/>
  <c r="F60" i="8"/>
  <c r="D74" i="9"/>
  <c r="F70" i="7"/>
  <c r="F61" i="7"/>
  <c r="F51" i="9"/>
  <c r="F70" i="14"/>
  <c r="F56" i="8"/>
  <c r="D65" i="9"/>
  <c r="F53" i="7"/>
  <c r="F59" i="8"/>
  <c r="D74" i="8"/>
  <c r="F61" i="8"/>
  <c r="F58" i="8"/>
  <c r="F73" i="8"/>
  <c r="F45" i="8"/>
  <c r="F57" i="8"/>
  <c r="E65" i="8"/>
  <c r="D46" i="8"/>
  <c r="D65" i="8"/>
  <c r="F62" i="7"/>
  <c r="G65" i="7"/>
  <c r="E43" i="7" s="1"/>
  <c r="I43" i="7" s="1"/>
  <c r="F73" i="9"/>
  <c r="F69" i="8"/>
  <c r="F54" i="7"/>
  <c r="L52" i="3"/>
  <c r="K58" i="3"/>
  <c r="F54" i="3"/>
  <c r="F57" i="7"/>
  <c r="I54" i="9"/>
  <c r="I63" i="9"/>
  <c r="F68" i="3"/>
  <c r="F60" i="3"/>
  <c r="G66" i="3"/>
  <c r="H66" i="3" s="1"/>
  <c r="I62" i="9"/>
  <c r="E65" i="7"/>
  <c r="D74" i="7"/>
  <c r="I55" i="8"/>
  <c r="K55" i="8" s="1"/>
  <c r="L55" i="8" s="1"/>
  <c r="F72" i="12"/>
  <c r="F70" i="8"/>
  <c r="I56" i="9"/>
  <c r="J56" i="9" s="1"/>
  <c r="F72" i="11"/>
  <c r="G43" i="10"/>
  <c r="H43" i="10" s="1"/>
  <c r="F56" i="7"/>
  <c r="F64" i="7"/>
  <c r="D94" i="7"/>
  <c r="H55" i="7"/>
  <c r="E44" i="7"/>
  <c r="I44" i="7" s="1"/>
  <c r="J44" i="7" s="1"/>
  <c r="I54" i="7"/>
  <c r="I52" i="7"/>
  <c r="O52" i="7" s="1"/>
  <c r="P52" i="7" s="1"/>
  <c r="I61" i="7"/>
  <c r="F69" i="7"/>
  <c r="D46" i="7"/>
  <c r="D65" i="7"/>
  <c r="F51" i="7"/>
  <c r="I51" i="9"/>
  <c r="I53" i="7"/>
  <c r="K43" i="13"/>
  <c r="L43" i="13" s="1"/>
  <c r="K50" i="3"/>
  <c r="K49" i="3"/>
  <c r="I62" i="7"/>
  <c r="E44" i="8"/>
  <c r="I44" i="8" s="1"/>
  <c r="J44" i="8" s="1"/>
  <c r="E71" i="9"/>
  <c r="F71" i="9" s="1"/>
  <c r="I55" i="9"/>
  <c r="J55" i="9" s="1"/>
  <c r="I64" i="9"/>
  <c r="K64" i="9" s="1"/>
  <c r="L64" i="9" s="1"/>
  <c r="F73" i="10"/>
  <c r="F66" i="3"/>
  <c r="K57" i="3"/>
  <c r="K53" i="3"/>
  <c r="D94" i="14"/>
  <c r="F72" i="8"/>
  <c r="I59" i="9"/>
  <c r="D94" i="11"/>
  <c r="F73" i="13"/>
  <c r="I63" i="7"/>
  <c r="F70" i="12"/>
  <c r="I56" i="8"/>
  <c r="H52" i="8"/>
  <c r="G43" i="12"/>
  <c r="H43" i="12" s="1"/>
  <c r="D94" i="13"/>
  <c r="I53" i="6"/>
  <c r="D94" i="10"/>
  <c r="D94" i="12"/>
  <c r="D94" i="6"/>
  <c r="I57" i="8"/>
  <c r="I56" i="7"/>
  <c r="F45" i="7"/>
  <c r="I60" i="8"/>
  <c r="I57" i="9"/>
  <c r="I57" i="7"/>
  <c r="I59" i="7"/>
  <c r="I61" i="9"/>
  <c r="K42" i="12"/>
  <c r="I62" i="8"/>
  <c r="I58" i="9"/>
  <c r="K43" i="11"/>
  <c r="L43" i="11" s="1"/>
  <c r="I45" i="11"/>
  <c r="J45" i="11" s="1"/>
  <c r="E71" i="11"/>
  <c r="E74" i="11" s="1"/>
  <c r="G42" i="14"/>
  <c r="E71" i="14"/>
  <c r="E74" i="14" s="1"/>
  <c r="K45" i="14"/>
  <c r="L45" i="14" s="1"/>
  <c r="I64" i="8"/>
  <c r="I51" i="7"/>
  <c r="I61" i="8"/>
  <c r="I60" i="9"/>
  <c r="F73" i="7"/>
  <c r="I58" i="8"/>
  <c r="F69" i="9"/>
  <c r="E71" i="7"/>
  <c r="E74" i="7" s="1"/>
  <c r="G65" i="8"/>
  <c r="E43" i="8" s="1"/>
  <c r="G43" i="8" s="1"/>
  <c r="H43" i="8" s="1"/>
  <c r="I63" i="8"/>
  <c r="J63" i="8" s="1"/>
  <c r="I53" i="9"/>
  <c r="I58" i="7"/>
  <c r="E71" i="8"/>
  <c r="E74" i="8" s="1"/>
  <c r="F69" i="10"/>
  <c r="I60" i="7"/>
  <c r="O60" i="7" s="1"/>
  <c r="P60" i="7" s="1"/>
  <c r="I64" i="7"/>
  <c r="I54" i="8"/>
  <c r="I51" i="8"/>
  <c r="I53" i="8"/>
  <c r="K53" i="8" s="1"/>
  <c r="L53" i="8" s="1"/>
  <c r="I59" i="8"/>
  <c r="E44" i="9"/>
  <c r="F44" i="9" s="1"/>
  <c r="H52" i="9"/>
  <c r="K42" i="10"/>
  <c r="F72" i="10"/>
  <c r="G42" i="13"/>
  <c r="F72" i="13"/>
  <c r="F73" i="11"/>
  <c r="G42" i="11"/>
  <c r="G65" i="9"/>
  <c r="E43" i="9" s="1"/>
  <c r="F43" i="9" s="1"/>
  <c r="E71" i="10"/>
  <c r="E74" i="10" s="1"/>
  <c r="F45" i="13"/>
  <c r="F69" i="11"/>
  <c r="E71" i="12"/>
  <c r="G71" i="12" s="1"/>
  <c r="H71" i="12" s="1"/>
  <c r="K45" i="12"/>
  <c r="L45" i="12" s="1"/>
  <c r="F70" i="10"/>
  <c r="F70" i="13"/>
  <c r="F70" i="9"/>
  <c r="F72" i="9"/>
  <c r="E71" i="13"/>
  <c r="G71" i="13" s="1"/>
  <c r="H71" i="13" s="1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K54" i="3"/>
  <c r="I57" i="3"/>
  <c r="G61" i="3"/>
  <c r="I52" i="3"/>
  <c r="K52" i="3"/>
  <c r="K56" i="3"/>
  <c r="I56" i="3"/>
  <c r="I60" i="3"/>
  <c r="K60" i="3"/>
  <c r="H61" i="3"/>
  <c r="L49" i="3"/>
  <c r="I55" i="3"/>
  <c r="K55" i="3"/>
  <c r="I50" i="3"/>
  <c r="F65" i="3"/>
  <c r="F50" i="3"/>
  <c r="K51" i="3"/>
  <c r="L56" i="3"/>
  <c r="F58" i="3"/>
  <c r="K59" i="3"/>
  <c r="D70" i="3"/>
  <c r="I53" i="3"/>
  <c r="E42" i="3"/>
  <c r="F42" i="3" s="1"/>
  <c r="F49" i="3"/>
  <c r="L55" i="3"/>
  <c r="K51" i="8" l="1"/>
  <c r="Q60" i="13"/>
  <c r="R60" i="13" s="1"/>
  <c r="L58" i="10"/>
  <c r="L61" i="11"/>
  <c r="M60" i="13"/>
  <c r="N60" i="13" s="1"/>
  <c r="L60" i="13"/>
  <c r="O61" i="10"/>
  <c r="P61" i="10" s="1"/>
  <c r="M56" i="11"/>
  <c r="N56" i="11" s="1"/>
  <c r="Q56" i="11"/>
  <c r="R56" i="11" s="1"/>
  <c r="K58" i="7"/>
  <c r="L58" i="7" s="1"/>
  <c r="L52" i="13"/>
  <c r="M59" i="12"/>
  <c r="N59" i="12" s="1"/>
  <c r="O51" i="14"/>
  <c r="P51" i="14" s="1"/>
  <c r="O58" i="10"/>
  <c r="P58" i="10" s="1"/>
  <c r="O59" i="12"/>
  <c r="P59" i="12" s="1"/>
  <c r="L51" i="14"/>
  <c r="O54" i="13"/>
  <c r="P54" i="13" s="1"/>
  <c r="G65" i="10"/>
  <c r="G65" i="12"/>
  <c r="Q59" i="12"/>
  <c r="R59" i="12" s="1"/>
  <c r="J53" i="9"/>
  <c r="M52" i="13"/>
  <c r="N52" i="13" s="1"/>
  <c r="O52" i="13"/>
  <c r="P52" i="13" s="1"/>
  <c r="Q55" i="12"/>
  <c r="R55" i="12" s="1"/>
  <c r="O61" i="11"/>
  <c r="P61" i="11" s="1"/>
  <c r="M61" i="11"/>
  <c r="N61" i="11" s="1"/>
  <c r="G65" i="11"/>
  <c r="G65" i="13"/>
  <c r="G46" i="13"/>
  <c r="H46" i="13" s="1"/>
  <c r="F74" i="14"/>
  <c r="L51" i="12"/>
  <c r="O55" i="12"/>
  <c r="P55" i="12" s="1"/>
  <c r="L55" i="12"/>
  <c r="M58" i="13"/>
  <c r="N58" i="13" s="1"/>
  <c r="O61" i="12"/>
  <c r="P61" i="12" s="1"/>
  <c r="L53" i="12"/>
  <c r="M55" i="11"/>
  <c r="N55" i="11" s="1"/>
  <c r="Q59" i="10"/>
  <c r="R59" i="10" s="1"/>
  <c r="Q63" i="10"/>
  <c r="R63" i="10" s="1"/>
  <c r="Q64" i="13"/>
  <c r="R64" i="13" s="1"/>
  <c r="L63" i="10"/>
  <c r="M63" i="10"/>
  <c r="N63" i="10" s="1"/>
  <c r="L64" i="13"/>
  <c r="Q55" i="10"/>
  <c r="R55" i="10" s="1"/>
  <c r="M55" i="10"/>
  <c r="N55" i="10" s="1"/>
  <c r="O55" i="10"/>
  <c r="P55" i="10" s="1"/>
  <c r="O62" i="12"/>
  <c r="P62" i="12" s="1"/>
  <c r="F74" i="11"/>
  <c r="Q60" i="12"/>
  <c r="R60" i="12" s="1"/>
  <c r="Q61" i="12"/>
  <c r="R61" i="12" s="1"/>
  <c r="O61" i="13"/>
  <c r="P61" i="13" s="1"/>
  <c r="L62" i="12"/>
  <c r="M60" i="12"/>
  <c r="N60" i="12" s="1"/>
  <c r="M53" i="13"/>
  <c r="N53" i="13" s="1"/>
  <c r="M51" i="13"/>
  <c r="N51" i="13" s="1"/>
  <c r="L56" i="13"/>
  <c r="Q63" i="12"/>
  <c r="R63" i="12" s="1"/>
  <c r="M61" i="12"/>
  <c r="N61" i="12" s="1"/>
  <c r="M64" i="13"/>
  <c r="N64" i="13" s="1"/>
  <c r="Q55" i="13"/>
  <c r="R55" i="13" s="1"/>
  <c r="M56" i="13"/>
  <c r="N56" i="13" s="1"/>
  <c r="O51" i="12"/>
  <c r="P51" i="12" s="1"/>
  <c r="O56" i="13"/>
  <c r="P56" i="13" s="1"/>
  <c r="M51" i="12"/>
  <c r="N51" i="12" s="1"/>
  <c r="Q62" i="12"/>
  <c r="R62" i="12" s="1"/>
  <c r="O63" i="12"/>
  <c r="P63" i="12" s="1"/>
  <c r="O55" i="13"/>
  <c r="P55" i="13" s="1"/>
  <c r="L60" i="12"/>
  <c r="O53" i="12"/>
  <c r="P53" i="12" s="1"/>
  <c r="L58" i="12"/>
  <c r="L63" i="12"/>
  <c r="L55" i="13"/>
  <c r="Q53" i="12"/>
  <c r="R53" i="12" s="1"/>
  <c r="M57" i="12"/>
  <c r="N57" i="12" s="1"/>
  <c r="O53" i="13"/>
  <c r="P53" i="13" s="1"/>
  <c r="Q51" i="12"/>
  <c r="R51" i="12" s="1"/>
  <c r="J64" i="8"/>
  <c r="L57" i="12"/>
  <c r="M64" i="12"/>
  <c r="N64" i="12" s="1"/>
  <c r="O64" i="12"/>
  <c r="P64" i="12" s="1"/>
  <c r="Q53" i="13"/>
  <c r="R53" i="13" s="1"/>
  <c r="J59" i="9"/>
  <c r="M59" i="10"/>
  <c r="N59" i="10" s="1"/>
  <c r="L55" i="11"/>
  <c r="M58" i="12"/>
  <c r="N58" i="12" s="1"/>
  <c r="Q51" i="13"/>
  <c r="R51" i="13" s="1"/>
  <c r="L54" i="11"/>
  <c r="J60" i="9"/>
  <c r="Q62" i="11"/>
  <c r="R62" i="11" s="1"/>
  <c r="M61" i="13"/>
  <c r="N61" i="13" s="1"/>
  <c r="Q58" i="12"/>
  <c r="R58" i="12" s="1"/>
  <c r="O57" i="12"/>
  <c r="P57" i="12" s="1"/>
  <c r="O59" i="10"/>
  <c r="P59" i="10" s="1"/>
  <c r="Q63" i="11"/>
  <c r="R63" i="11" s="1"/>
  <c r="Q54" i="11"/>
  <c r="R54" i="11" s="1"/>
  <c r="O62" i="11"/>
  <c r="P62" i="11" s="1"/>
  <c r="J58" i="9"/>
  <c r="L61" i="13"/>
  <c r="O63" i="11"/>
  <c r="P63" i="11" s="1"/>
  <c r="O54" i="11"/>
  <c r="P54" i="11" s="1"/>
  <c r="M62" i="11"/>
  <c r="N62" i="11" s="1"/>
  <c r="M63" i="11"/>
  <c r="N63" i="11" s="1"/>
  <c r="O53" i="10"/>
  <c r="P53" i="10" s="1"/>
  <c r="O51" i="13"/>
  <c r="P51" i="13" s="1"/>
  <c r="Q55" i="11"/>
  <c r="R55" i="11" s="1"/>
  <c r="J57" i="9"/>
  <c r="Q53" i="10"/>
  <c r="R53" i="10" s="1"/>
  <c r="Q64" i="12"/>
  <c r="R64" i="12" s="1"/>
  <c r="L53" i="10"/>
  <c r="J60" i="3"/>
  <c r="J54" i="3"/>
  <c r="G43" i="13"/>
  <c r="H43" i="13" s="1"/>
  <c r="M52" i="7"/>
  <c r="N52" i="7" s="1"/>
  <c r="J53" i="7"/>
  <c r="J54" i="8"/>
  <c r="J62" i="7"/>
  <c r="J63" i="9"/>
  <c r="K43" i="12"/>
  <c r="L43" i="12" s="1"/>
  <c r="I43" i="12"/>
  <c r="J43" i="12" s="1"/>
  <c r="I46" i="7"/>
  <c r="J46" i="7" s="1"/>
  <c r="J43" i="7"/>
  <c r="L51" i="8"/>
  <c r="H42" i="11"/>
  <c r="M62" i="8"/>
  <c r="N62" i="8" s="1"/>
  <c r="O62" i="8"/>
  <c r="P62" i="8" s="1"/>
  <c r="K62" i="8"/>
  <c r="L62" i="8" s="1"/>
  <c r="L58" i="11"/>
  <c r="M58" i="11"/>
  <c r="N58" i="11" s="1"/>
  <c r="O58" i="11"/>
  <c r="P58" i="11" s="1"/>
  <c r="Q58" i="11"/>
  <c r="R58" i="11" s="1"/>
  <c r="O63" i="8"/>
  <c r="P63" i="8" s="1"/>
  <c r="G71" i="7"/>
  <c r="H71" i="7" s="1"/>
  <c r="O51" i="8"/>
  <c r="G43" i="7"/>
  <c r="G71" i="8"/>
  <c r="H71" i="8" s="1"/>
  <c r="G44" i="7"/>
  <c r="H44" i="7" s="1"/>
  <c r="H70" i="11"/>
  <c r="G45" i="11"/>
  <c r="H45" i="11" s="1"/>
  <c r="M63" i="8"/>
  <c r="N63" i="8" s="1"/>
  <c r="M60" i="7"/>
  <c r="N60" i="7" s="1"/>
  <c r="L72" i="8"/>
  <c r="K62" i="7"/>
  <c r="L62" i="7" s="1"/>
  <c r="M62" i="7"/>
  <c r="N62" i="7" s="1"/>
  <c r="O62" i="7"/>
  <c r="P62" i="7" s="1"/>
  <c r="K61" i="8"/>
  <c r="L61" i="8" s="1"/>
  <c r="M61" i="8"/>
  <c r="N61" i="8" s="1"/>
  <c r="O61" i="8"/>
  <c r="P61" i="8" s="1"/>
  <c r="K53" i="7"/>
  <c r="L53" i="7" s="1"/>
  <c r="M53" i="7"/>
  <c r="O53" i="7"/>
  <c r="P53" i="7" s="1"/>
  <c r="K59" i="6"/>
  <c r="L59" i="6" s="1"/>
  <c r="M59" i="6"/>
  <c r="N59" i="6" s="1"/>
  <c r="O59" i="6"/>
  <c r="P59" i="6" s="1"/>
  <c r="J60" i="8"/>
  <c r="M54" i="8"/>
  <c r="N54" i="8" s="1"/>
  <c r="O54" i="8"/>
  <c r="P54" i="8" s="1"/>
  <c r="K54" i="8"/>
  <c r="L54" i="8" s="1"/>
  <c r="K51" i="7"/>
  <c r="M51" i="7"/>
  <c r="N51" i="7" s="1"/>
  <c r="O51" i="7"/>
  <c r="P51" i="7" s="1"/>
  <c r="K56" i="8"/>
  <c r="L56" i="8" s="1"/>
  <c r="M56" i="8"/>
  <c r="N56" i="8" s="1"/>
  <c r="O56" i="8"/>
  <c r="P56" i="8" s="1"/>
  <c r="K59" i="7"/>
  <c r="L59" i="7" s="1"/>
  <c r="M59" i="7"/>
  <c r="N59" i="7" s="1"/>
  <c r="O59" i="7"/>
  <c r="P59" i="7" s="1"/>
  <c r="L53" i="11"/>
  <c r="M53" i="11"/>
  <c r="N53" i="11" s="1"/>
  <c r="O53" i="11"/>
  <c r="P53" i="11" s="1"/>
  <c r="Q53" i="11"/>
  <c r="R53" i="11" s="1"/>
  <c r="I42" i="12"/>
  <c r="K63" i="8"/>
  <c r="L63" i="8" s="1"/>
  <c r="K60" i="7"/>
  <c r="L60" i="7" s="1"/>
  <c r="K42" i="11"/>
  <c r="G74" i="8"/>
  <c r="H74" i="8" s="1"/>
  <c r="H69" i="8"/>
  <c r="O53" i="8"/>
  <c r="P53" i="8" s="1"/>
  <c r="K54" i="7"/>
  <c r="L54" i="7" s="1"/>
  <c r="M54" i="7"/>
  <c r="N54" i="7" s="1"/>
  <c r="O54" i="7"/>
  <c r="K64" i="8"/>
  <c r="L64" i="8" s="1"/>
  <c r="M64" i="8"/>
  <c r="N64" i="8" s="1"/>
  <c r="O64" i="8"/>
  <c r="P64" i="8" s="1"/>
  <c r="G42" i="12"/>
  <c r="O55" i="8"/>
  <c r="P55" i="8" s="1"/>
  <c r="I42" i="11"/>
  <c r="L69" i="11"/>
  <c r="L69" i="7"/>
  <c r="M53" i="8"/>
  <c r="N53" i="8" s="1"/>
  <c r="K64" i="7"/>
  <c r="L64" i="7" s="1"/>
  <c r="M64" i="7"/>
  <c r="N64" i="7" s="1"/>
  <c r="O64" i="7"/>
  <c r="P64" i="7" s="1"/>
  <c r="K57" i="8"/>
  <c r="L57" i="8" s="1"/>
  <c r="M57" i="8"/>
  <c r="N57" i="8" s="1"/>
  <c r="O57" i="8"/>
  <c r="P57" i="8" s="1"/>
  <c r="O59" i="8"/>
  <c r="P59" i="8" s="1"/>
  <c r="K59" i="8"/>
  <c r="L59" i="8" s="1"/>
  <c r="M59" i="8"/>
  <c r="N59" i="8" s="1"/>
  <c r="K60" i="8"/>
  <c r="L60" i="8" s="1"/>
  <c r="M60" i="8"/>
  <c r="N60" i="8" s="1"/>
  <c r="O60" i="8"/>
  <c r="P60" i="8" s="1"/>
  <c r="M63" i="7"/>
  <c r="N63" i="7" s="1"/>
  <c r="O63" i="7"/>
  <c r="P63" i="7" s="1"/>
  <c r="K63" i="7"/>
  <c r="L63" i="7" s="1"/>
  <c r="L59" i="11"/>
  <c r="O59" i="11"/>
  <c r="P59" i="11" s="1"/>
  <c r="Q59" i="11"/>
  <c r="R59" i="11" s="1"/>
  <c r="M59" i="11"/>
  <c r="N59" i="11" s="1"/>
  <c r="I45" i="14"/>
  <c r="J45" i="14" s="1"/>
  <c r="M55" i="8"/>
  <c r="N55" i="8" s="1"/>
  <c r="J69" i="11"/>
  <c r="J69" i="7"/>
  <c r="K71" i="11"/>
  <c r="L71" i="11" s="1"/>
  <c r="G44" i="8"/>
  <c r="H44" i="8" s="1"/>
  <c r="I43" i="11"/>
  <c r="J43" i="11" s="1"/>
  <c r="K43" i="8"/>
  <c r="K52" i="7"/>
  <c r="L52" i="7" s="1"/>
  <c r="H45" i="8"/>
  <c r="H69" i="7"/>
  <c r="I71" i="11"/>
  <c r="J71" i="11" s="1"/>
  <c r="K44" i="8"/>
  <c r="L44" i="8" s="1"/>
  <c r="O58" i="7"/>
  <c r="P58" i="7" s="1"/>
  <c r="K56" i="7"/>
  <c r="L56" i="7" s="1"/>
  <c r="M56" i="7"/>
  <c r="N56" i="7" s="1"/>
  <c r="O56" i="7"/>
  <c r="P56" i="7" s="1"/>
  <c r="L51" i="11"/>
  <c r="O51" i="11"/>
  <c r="Q51" i="11"/>
  <c r="M51" i="11"/>
  <c r="K57" i="7"/>
  <c r="L57" i="7" s="1"/>
  <c r="M57" i="7"/>
  <c r="N57" i="7" s="1"/>
  <c r="O57" i="7"/>
  <c r="P57" i="7" s="1"/>
  <c r="G43" i="11"/>
  <c r="H43" i="11" s="1"/>
  <c r="I43" i="8"/>
  <c r="K71" i="7"/>
  <c r="L71" i="7" s="1"/>
  <c r="M51" i="8"/>
  <c r="N51" i="8" s="1"/>
  <c r="K43" i="7"/>
  <c r="K71" i="8"/>
  <c r="L71" i="8" s="1"/>
  <c r="G71" i="11"/>
  <c r="H71" i="11" s="1"/>
  <c r="K44" i="7"/>
  <c r="L44" i="7" s="1"/>
  <c r="K45" i="11"/>
  <c r="L45" i="11" s="1"/>
  <c r="M58" i="7"/>
  <c r="N58" i="7" s="1"/>
  <c r="O53" i="6"/>
  <c r="P53" i="6" s="1"/>
  <c r="K53" i="6"/>
  <c r="L53" i="6" s="1"/>
  <c r="M53" i="6"/>
  <c r="N53" i="6" s="1"/>
  <c r="F74" i="8"/>
  <c r="K58" i="8"/>
  <c r="L58" i="8" s="1"/>
  <c r="M58" i="8"/>
  <c r="N58" i="8" s="1"/>
  <c r="O58" i="8"/>
  <c r="P58" i="8" s="1"/>
  <c r="M57" i="11"/>
  <c r="N57" i="11" s="1"/>
  <c r="O57" i="11"/>
  <c r="P57" i="11" s="1"/>
  <c r="Q57" i="11"/>
  <c r="R57" i="11" s="1"/>
  <c r="K61" i="7"/>
  <c r="L61" i="7" s="1"/>
  <c r="M61" i="7"/>
  <c r="N61" i="7" s="1"/>
  <c r="O61" i="7"/>
  <c r="P61" i="7" s="1"/>
  <c r="L60" i="11"/>
  <c r="M60" i="11"/>
  <c r="N60" i="11" s="1"/>
  <c r="O60" i="11"/>
  <c r="P60" i="11" s="1"/>
  <c r="Q60" i="11"/>
  <c r="R60" i="11" s="1"/>
  <c r="I71" i="7"/>
  <c r="J71" i="7" s="1"/>
  <c r="I71" i="8"/>
  <c r="G71" i="10"/>
  <c r="H71" i="10" s="1"/>
  <c r="K71" i="10"/>
  <c r="L71" i="10" s="1"/>
  <c r="I71" i="10"/>
  <c r="J71" i="10" s="1"/>
  <c r="I42" i="10"/>
  <c r="G42" i="10"/>
  <c r="G46" i="10" s="1"/>
  <c r="H46" i="10" s="1"/>
  <c r="K43" i="10"/>
  <c r="L43" i="10" s="1"/>
  <c r="I43" i="10"/>
  <c r="J43" i="10" s="1"/>
  <c r="F74" i="10"/>
  <c r="J69" i="10"/>
  <c r="H69" i="10"/>
  <c r="L69" i="10"/>
  <c r="L64" i="10"/>
  <c r="M64" i="10"/>
  <c r="N64" i="10" s="1"/>
  <c r="Q64" i="10"/>
  <c r="R64" i="10" s="1"/>
  <c r="O64" i="10"/>
  <c r="P64" i="10" s="1"/>
  <c r="L62" i="10"/>
  <c r="M62" i="10"/>
  <c r="N62" i="10" s="1"/>
  <c r="Q62" i="10"/>
  <c r="R62" i="10" s="1"/>
  <c r="O62" i="10"/>
  <c r="P62" i="10" s="1"/>
  <c r="M52" i="10"/>
  <c r="N52" i="10" s="1"/>
  <c r="Q52" i="10"/>
  <c r="R52" i="10" s="1"/>
  <c r="O52" i="10"/>
  <c r="P52" i="10" s="1"/>
  <c r="L51" i="10"/>
  <c r="O51" i="10"/>
  <c r="P51" i="10" s="1"/>
  <c r="M51" i="10"/>
  <c r="N51" i="10" s="1"/>
  <c r="Q51" i="10"/>
  <c r="R51" i="10" s="1"/>
  <c r="L60" i="10"/>
  <c r="M60" i="10"/>
  <c r="N60" i="10" s="1"/>
  <c r="Q60" i="10"/>
  <c r="R60" i="10" s="1"/>
  <c r="O60" i="10"/>
  <c r="P60" i="10" s="1"/>
  <c r="L56" i="10"/>
  <c r="M56" i="10"/>
  <c r="N56" i="10" s="1"/>
  <c r="Q56" i="10"/>
  <c r="R56" i="10" s="1"/>
  <c r="O56" i="10"/>
  <c r="P56" i="10" s="1"/>
  <c r="L54" i="10"/>
  <c r="O54" i="10"/>
  <c r="P54" i="10" s="1"/>
  <c r="M54" i="10"/>
  <c r="N54" i="10" s="1"/>
  <c r="Q54" i="10"/>
  <c r="R54" i="10" s="1"/>
  <c r="L57" i="10"/>
  <c r="O57" i="10"/>
  <c r="M57" i="10"/>
  <c r="Q57" i="10"/>
  <c r="L42" i="10"/>
  <c r="H42" i="13"/>
  <c r="L42" i="12"/>
  <c r="H42" i="14"/>
  <c r="K42" i="13"/>
  <c r="K46" i="13" s="1"/>
  <c r="J69" i="13"/>
  <c r="O63" i="13"/>
  <c r="P63" i="13" s="1"/>
  <c r="Q63" i="13"/>
  <c r="R63" i="13" s="1"/>
  <c r="M63" i="13"/>
  <c r="N63" i="13" s="1"/>
  <c r="L69" i="13"/>
  <c r="G45" i="14"/>
  <c r="H45" i="14" s="1"/>
  <c r="H69" i="14"/>
  <c r="I42" i="13"/>
  <c r="G74" i="12"/>
  <c r="H74" i="12" s="1"/>
  <c r="H69" i="12"/>
  <c r="L69" i="14"/>
  <c r="I71" i="13"/>
  <c r="J71" i="13" s="1"/>
  <c r="L54" i="12"/>
  <c r="M54" i="12"/>
  <c r="N54" i="12" s="1"/>
  <c r="O54" i="12"/>
  <c r="P54" i="12" s="1"/>
  <c r="Q54" i="12"/>
  <c r="R54" i="12" s="1"/>
  <c r="L62" i="13"/>
  <c r="M62" i="13"/>
  <c r="N62" i="13" s="1"/>
  <c r="O62" i="13"/>
  <c r="P62" i="13" s="1"/>
  <c r="Q62" i="13"/>
  <c r="R62" i="13" s="1"/>
  <c r="L69" i="12"/>
  <c r="J69" i="14"/>
  <c r="K71" i="13"/>
  <c r="L71" i="13" s="1"/>
  <c r="R51" i="14"/>
  <c r="Q65" i="14"/>
  <c r="R65" i="14" s="1"/>
  <c r="L52" i="12"/>
  <c r="Q52" i="12"/>
  <c r="R52" i="12" s="1"/>
  <c r="O52" i="12"/>
  <c r="P52" i="12" s="1"/>
  <c r="M52" i="12"/>
  <c r="N52" i="12" s="1"/>
  <c r="I71" i="12"/>
  <c r="J71" i="12" s="1"/>
  <c r="K42" i="14"/>
  <c r="I71" i="14"/>
  <c r="J71" i="14" s="1"/>
  <c r="I43" i="13"/>
  <c r="J43" i="13" s="1"/>
  <c r="I43" i="14"/>
  <c r="J43" i="14" s="1"/>
  <c r="K43" i="14"/>
  <c r="L43" i="14" s="1"/>
  <c r="G43" i="14"/>
  <c r="H43" i="14" s="1"/>
  <c r="K71" i="14"/>
  <c r="L71" i="14" s="1"/>
  <c r="J69" i="12"/>
  <c r="M65" i="14"/>
  <c r="N65" i="14" s="1"/>
  <c r="N51" i="14"/>
  <c r="G71" i="14"/>
  <c r="H71" i="14" s="1"/>
  <c r="G45" i="12"/>
  <c r="H45" i="12" s="1"/>
  <c r="K71" i="12"/>
  <c r="L71" i="12" s="1"/>
  <c r="I42" i="14"/>
  <c r="I45" i="12"/>
  <c r="J45" i="12" s="1"/>
  <c r="L57" i="13"/>
  <c r="O57" i="13"/>
  <c r="P57" i="13" s="1"/>
  <c r="M57" i="13"/>
  <c r="N57" i="13" s="1"/>
  <c r="Q57" i="13"/>
  <c r="R57" i="13" s="1"/>
  <c r="G74" i="13"/>
  <c r="H74" i="13" s="1"/>
  <c r="H69" i="13"/>
  <c r="J56" i="8"/>
  <c r="J59" i="7"/>
  <c r="J54" i="7"/>
  <c r="I43" i="9"/>
  <c r="J43" i="9" s="1"/>
  <c r="M64" i="9"/>
  <c r="N64" i="9" s="1"/>
  <c r="G43" i="9"/>
  <c r="O64" i="9"/>
  <c r="P64" i="9" s="1"/>
  <c r="G71" i="9"/>
  <c r="H71" i="9" s="1"/>
  <c r="I71" i="9"/>
  <c r="J71" i="9" s="1"/>
  <c r="K43" i="9"/>
  <c r="L43" i="9" s="1"/>
  <c r="O61" i="9"/>
  <c r="P61" i="9" s="1"/>
  <c r="M61" i="9"/>
  <c r="N61" i="9" s="1"/>
  <c r="K61" i="9"/>
  <c r="L61" i="9" s="1"/>
  <c r="M56" i="9"/>
  <c r="N56" i="9" s="1"/>
  <c r="K62" i="9"/>
  <c r="L62" i="9" s="1"/>
  <c r="O62" i="9"/>
  <c r="P62" i="9" s="1"/>
  <c r="M62" i="9"/>
  <c r="N62" i="9" s="1"/>
  <c r="O53" i="9"/>
  <c r="P53" i="9" s="1"/>
  <c r="M53" i="9"/>
  <c r="N53" i="9" s="1"/>
  <c r="K53" i="9"/>
  <c r="L53" i="9" s="1"/>
  <c r="I44" i="9"/>
  <c r="J44" i="9" s="1"/>
  <c r="O54" i="9"/>
  <c r="P54" i="9" s="1"/>
  <c r="M54" i="9"/>
  <c r="N54" i="9" s="1"/>
  <c r="K54" i="9"/>
  <c r="L54" i="9" s="1"/>
  <c r="M55" i="9"/>
  <c r="N55" i="9" s="1"/>
  <c r="K56" i="9"/>
  <c r="L56" i="9" s="1"/>
  <c r="K58" i="9"/>
  <c r="L58" i="9" s="1"/>
  <c r="O56" i="9"/>
  <c r="P56" i="9" s="1"/>
  <c r="K59" i="9"/>
  <c r="L59" i="9" s="1"/>
  <c r="M59" i="9"/>
  <c r="N59" i="9" s="1"/>
  <c r="O59" i="9"/>
  <c r="P59" i="9" s="1"/>
  <c r="O57" i="9"/>
  <c r="P57" i="9" s="1"/>
  <c r="M57" i="9"/>
  <c r="N57" i="9" s="1"/>
  <c r="K57" i="9"/>
  <c r="L57" i="9" s="1"/>
  <c r="O55" i="9"/>
  <c r="P55" i="9" s="1"/>
  <c r="G44" i="9"/>
  <c r="H44" i="9" s="1"/>
  <c r="K63" i="9"/>
  <c r="L63" i="9" s="1"/>
  <c r="O63" i="9"/>
  <c r="P63" i="9" s="1"/>
  <c r="M63" i="9"/>
  <c r="N63" i="9" s="1"/>
  <c r="M58" i="9"/>
  <c r="N58" i="9" s="1"/>
  <c r="J69" i="9"/>
  <c r="J61" i="9"/>
  <c r="L69" i="9"/>
  <c r="K51" i="9"/>
  <c r="O51" i="9"/>
  <c r="M51" i="9"/>
  <c r="M60" i="9"/>
  <c r="N60" i="9" s="1"/>
  <c r="K60" i="9"/>
  <c r="L60" i="9" s="1"/>
  <c r="O60" i="9"/>
  <c r="P60" i="9" s="1"/>
  <c r="K55" i="9"/>
  <c r="L55" i="9" s="1"/>
  <c r="K44" i="9"/>
  <c r="L44" i="9" s="1"/>
  <c r="K71" i="9"/>
  <c r="L71" i="9" s="1"/>
  <c r="O58" i="9"/>
  <c r="P58" i="9" s="1"/>
  <c r="L52" i="10"/>
  <c r="L63" i="13"/>
  <c r="L57" i="11"/>
  <c r="J54" i="9"/>
  <c r="F65" i="8"/>
  <c r="J58" i="8"/>
  <c r="E46" i="9"/>
  <c r="F46" i="9" s="1"/>
  <c r="J61" i="7"/>
  <c r="M58" i="3"/>
  <c r="N58" i="3" s="1"/>
  <c r="F74" i="7"/>
  <c r="F65" i="9"/>
  <c r="J62" i="9"/>
  <c r="F43" i="10"/>
  <c r="J61" i="8"/>
  <c r="J59" i="8"/>
  <c r="J57" i="7"/>
  <c r="J56" i="7"/>
  <c r="F44" i="8"/>
  <c r="I52" i="8"/>
  <c r="J52" i="8" s="1"/>
  <c r="J52" i="7"/>
  <c r="G42" i="3"/>
  <c r="H42" i="3" s="1"/>
  <c r="F65" i="7"/>
  <c r="M53" i="3"/>
  <c r="N53" i="3" s="1"/>
  <c r="J55" i="8"/>
  <c r="H65" i="8"/>
  <c r="M51" i="3"/>
  <c r="N51" i="3" s="1"/>
  <c r="F43" i="14"/>
  <c r="M59" i="3"/>
  <c r="N59" i="3" s="1"/>
  <c r="F43" i="13"/>
  <c r="J64" i="9"/>
  <c r="E70" i="3"/>
  <c r="F70" i="3" s="1"/>
  <c r="J53" i="3"/>
  <c r="J64" i="7"/>
  <c r="I55" i="7"/>
  <c r="J55" i="7" s="1"/>
  <c r="F43" i="7"/>
  <c r="J63" i="7"/>
  <c r="H65" i="7"/>
  <c r="J51" i="9"/>
  <c r="F43" i="12"/>
  <c r="G41" i="3"/>
  <c r="H41" i="3" s="1"/>
  <c r="M50" i="3"/>
  <c r="N50" i="3" s="1"/>
  <c r="G67" i="3"/>
  <c r="H67" i="3" s="1"/>
  <c r="E74" i="9"/>
  <c r="F74" i="9" s="1"/>
  <c r="L65" i="14"/>
  <c r="F71" i="13"/>
  <c r="F45" i="12"/>
  <c r="E46" i="8"/>
  <c r="F46" i="8" s="1"/>
  <c r="F43" i="8"/>
  <c r="F71" i="7"/>
  <c r="F44" i="7"/>
  <c r="J58" i="7"/>
  <c r="F42" i="13"/>
  <c r="F42" i="12"/>
  <c r="E74" i="13"/>
  <c r="F74" i="13" s="1"/>
  <c r="F42" i="11"/>
  <c r="F71" i="11"/>
  <c r="H65" i="9"/>
  <c r="J51" i="7"/>
  <c r="H69" i="9"/>
  <c r="F45" i="14"/>
  <c r="F42" i="14"/>
  <c r="F45" i="11"/>
  <c r="E46" i="7"/>
  <c r="F46" i="7" s="1"/>
  <c r="I52" i="9"/>
  <c r="M52" i="9" s="1"/>
  <c r="N52" i="9" s="1"/>
  <c r="F71" i="10"/>
  <c r="F42" i="10"/>
  <c r="J53" i="8"/>
  <c r="J60" i="7"/>
  <c r="F71" i="14"/>
  <c r="J62" i="8"/>
  <c r="J57" i="8"/>
  <c r="E74" i="12"/>
  <c r="F74" i="12" s="1"/>
  <c r="F71" i="12"/>
  <c r="J51" i="8"/>
  <c r="F71" i="8"/>
  <c r="F43" i="1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M56" i="3"/>
  <c r="N56" i="3" s="1"/>
  <c r="J58" i="3"/>
  <c r="E44" i="3"/>
  <c r="F44" i="3" s="1"/>
  <c r="O65" i="14" l="1"/>
  <c r="P65" i="14" s="1"/>
  <c r="K46" i="14"/>
  <c r="I46" i="13"/>
  <c r="J46" i="13" s="1"/>
  <c r="I46" i="14"/>
  <c r="J46" i="14" s="1"/>
  <c r="K46" i="11"/>
  <c r="L46" i="11" s="1"/>
  <c r="K46" i="10"/>
  <c r="L46" i="10" s="1"/>
  <c r="J42" i="10"/>
  <c r="I46" i="10"/>
  <c r="J46" i="10" s="1"/>
  <c r="K46" i="12"/>
  <c r="L46" i="12" s="1"/>
  <c r="J42" i="12"/>
  <c r="I46" i="12"/>
  <c r="J46" i="12" s="1"/>
  <c r="I46" i="11"/>
  <c r="J46" i="11" s="1"/>
  <c r="G46" i="11"/>
  <c r="H46" i="11" s="1"/>
  <c r="H42" i="12"/>
  <c r="G46" i="12"/>
  <c r="H46" i="12" s="1"/>
  <c r="G46" i="14"/>
  <c r="H46" i="14" s="1"/>
  <c r="H42" i="10"/>
  <c r="I74" i="10"/>
  <c r="J74" i="10" s="1"/>
  <c r="I74" i="9"/>
  <c r="J74" i="9" s="1"/>
  <c r="I74" i="11"/>
  <c r="J74" i="11" s="1"/>
  <c r="G46" i="8"/>
  <c r="H46" i="8" s="1"/>
  <c r="K74" i="14"/>
  <c r="L74" i="14" s="1"/>
  <c r="K74" i="7"/>
  <c r="L74" i="7" s="1"/>
  <c r="G74" i="14"/>
  <c r="H74" i="14" s="1"/>
  <c r="I74" i="7"/>
  <c r="J74" i="7" s="1"/>
  <c r="K74" i="12"/>
  <c r="L74" i="12" s="1"/>
  <c r="M55" i="7"/>
  <c r="N55" i="7" s="1"/>
  <c r="G74" i="7"/>
  <c r="H74" i="7" s="1"/>
  <c r="P51" i="8"/>
  <c r="I74" i="8"/>
  <c r="J74" i="8" s="1"/>
  <c r="J71" i="8"/>
  <c r="K46" i="7"/>
  <c r="L46" i="7" s="1"/>
  <c r="L43" i="7"/>
  <c r="M65" i="11"/>
  <c r="N65" i="11" s="1"/>
  <c r="N51" i="11"/>
  <c r="L42" i="11"/>
  <c r="L51" i="7"/>
  <c r="Q65" i="11"/>
  <c r="R65" i="11" s="1"/>
  <c r="R51" i="11"/>
  <c r="N53" i="7"/>
  <c r="O52" i="8"/>
  <c r="P52" i="8" s="1"/>
  <c r="I74" i="12"/>
  <c r="J74" i="12" s="1"/>
  <c r="O65" i="12"/>
  <c r="P65" i="12" s="1"/>
  <c r="O65" i="11"/>
  <c r="P65" i="11" s="1"/>
  <c r="P51" i="11"/>
  <c r="K46" i="8"/>
  <c r="L46" i="8" s="1"/>
  <c r="L43" i="8"/>
  <c r="P54" i="7"/>
  <c r="M52" i="8"/>
  <c r="G74" i="11"/>
  <c r="H74" i="11" s="1"/>
  <c r="I46" i="8"/>
  <c r="J46" i="8" s="1"/>
  <c r="J43" i="8"/>
  <c r="K74" i="11"/>
  <c r="L74" i="11" s="1"/>
  <c r="K52" i="8"/>
  <c r="L65" i="10"/>
  <c r="I74" i="14"/>
  <c r="J74" i="14" s="1"/>
  <c r="K55" i="7"/>
  <c r="L55" i="7" s="1"/>
  <c r="J42" i="11"/>
  <c r="G74" i="10"/>
  <c r="H74" i="10" s="1"/>
  <c r="O55" i="7"/>
  <c r="P55" i="7" s="1"/>
  <c r="K74" i="8"/>
  <c r="L74" i="8" s="1"/>
  <c r="G46" i="7"/>
  <c r="H46" i="7" s="1"/>
  <c r="H43" i="7"/>
  <c r="K74" i="10"/>
  <c r="L74" i="10" s="1"/>
  <c r="Q65" i="10"/>
  <c r="R65" i="10" s="1"/>
  <c r="R57" i="10"/>
  <c r="O65" i="10"/>
  <c r="P65" i="10" s="1"/>
  <c r="P57" i="10"/>
  <c r="M65" i="10"/>
  <c r="N65" i="10" s="1"/>
  <c r="N57" i="10"/>
  <c r="I46" i="9"/>
  <c r="J46" i="9" s="1"/>
  <c r="L42" i="14"/>
  <c r="L46" i="14"/>
  <c r="O65" i="13"/>
  <c r="P65" i="13" s="1"/>
  <c r="Q65" i="12"/>
  <c r="R65" i="12" s="1"/>
  <c r="J42" i="13"/>
  <c r="K74" i="13"/>
  <c r="L74" i="13" s="1"/>
  <c r="M65" i="13"/>
  <c r="N65" i="13" s="1"/>
  <c r="L42" i="13"/>
  <c r="L46" i="13"/>
  <c r="J42" i="14"/>
  <c r="L65" i="13"/>
  <c r="M65" i="12"/>
  <c r="N65" i="12" s="1"/>
  <c r="Q65" i="13"/>
  <c r="R65" i="13" s="1"/>
  <c r="I74" i="13"/>
  <c r="J74" i="13" s="1"/>
  <c r="I65" i="8"/>
  <c r="J65" i="8" s="1"/>
  <c r="L65" i="11"/>
  <c r="O52" i="9"/>
  <c r="P52" i="9" s="1"/>
  <c r="K52" i="9"/>
  <c r="L52" i="9" s="1"/>
  <c r="M65" i="9"/>
  <c r="N65" i="9" s="1"/>
  <c r="N51" i="9"/>
  <c r="P51" i="9"/>
  <c r="L51" i="9"/>
  <c r="K46" i="9"/>
  <c r="L46" i="9" s="1"/>
  <c r="K74" i="9"/>
  <c r="L74" i="9" s="1"/>
  <c r="G74" i="9"/>
  <c r="H74" i="9" s="1"/>
  <c r="L65" i="12"/>
  <c r="G70" i="3"/>
  <c r="H70" i="3" s="1"/>
  <c r="I65" i="7"/>
  <c r="J65" i="7" s="1"/>
  <c r="G44" i="3"/>
  <c r="H44" i="3" s="1"/>
  <c r="J52" i="9"/>
  <c r="I65" i="9"/>
  <c r="J65" i="9" s="1"/>
  <c r="G46" i="9"/>
  <c r="H46" i="9" s="1"/>
  <c r="H43" i="9"/>
  <c r="J61" i="3"/>
  <c r="N49" i="3"/>
  <c r="M61" i="3"/>
  <c r="N61" i="3" s="1"/>
  <c r="M65" i="7" l="1"/>
  <c r="N65" i="7" s="1"/>
  <c r="O65" i="9"/>
  <c r="P65" i="9" s="1"/>
  <c r="M65" i="8"/>
  <c r="N65" i="8" s="1"/>
  <c r="N52" i="8"/>
  <c r="K65" i="7"/>
  <c r="L65" i="7" s="1"/>
  <c r="L52" i="8"/>
  <c r="K65" i="8"/>
  <c r="L65" i="8" s="1"/>
  <c r="O65" i="7"/>
  <c r="P65" i="7" s="1"/>
  <c r="O65" i="8"/>
  <c r="P65" i="8" s="1"/>
  <c r="K65" i="9"/>
  <c r="L65" i="9" s="1"/>
  <c r="E69" i="4"/>
  <c r="F69" i="4" s="1"/>
  <c r="E68" i="4"/>
  <c r="F68" i="4" s="1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E72" i="6"/>
  <c r="D7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69" i="6"/>
  <c r="E69" i="6"/>
  <c r="D70" i="6"/>
  <c r="E70" i="6"/>
  <c r="D71" i="6"/>
  <c r="D73" i="6"/>
  <c r="E7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H53" i="5" s="1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Q11" i="5"/>
  <c r="H52" i="5" s="1"/>
  <c r="Q10" i="5"/>
  <c r="H51" i="5" s="1"/>
  <c r="Q9" i="5"/>
  <c r="H50" i="5" s="1"/>
  <c r="G68" i="4" l="1"/>
  <c r="H68" i="4" s="1"/>
  <c r="G70" i="6"/>
  <c r="H70" i="6" s="1"/>
  <c r="I70" i="6"/>
  <c r="J70" i="6" s="1"/>
  <c r="K70" i="6"/>
  <c r="L70" i="6" s="1"/>
  <c r="G69" i="6"/>
  <c r="I69" i="6"/>
  <c r="K69" i="6"/>
  <c r="G72" i="6"/>
  <c r="H72" i="6" s="1"/>
  <c r="I72" i="6"/>
  <c r="J72" i="6" s="1"/>
  <c r="K72" i="6"/>
  <c r="L72" i="6" s="1"/>
  <c r="G73" i="6"/>
  <c r="H73" i="6" s="1"/>
  <c r="I73" i="6"/>
  <c r="J73" i="6" s="1"/>
  <c r="K73" i="6"/>
  <c r="L73" i="6" s="1"/>
  <c r="D46" i="6"/>
  <c r="G45" i="6"/>
  <c r="H45" i="6" s="1"/>
  <c r="I45" i="6"/>
  <c r="J45" i="6" s="1"/>
  <c r="K45" i="6"/>
  <c r="L45" i="6" s="1"/>
  <c r="I54" i="4"/>
  <c r="J54" i="4" s="1"/>
  <c r="I58" i="4"/>
  <c r="J58" i="4" s="1"/>
  <c r="E67" i="5"/>
  <c r="E70" i="5" s="1"/>
  <c r="E67" i="4"/>
  <c r="F67" i="4" s="1"/>
  <c r="E43" i="5"/>
  <c r="G43" i="5" s="1"/>
  <c r="H43" i="5" s="1"/>
  <c r="E41" i="4"/>
  <c r="F41" i="4" s="1"/>
  <c r="G66" i="4"/>
  <c r="H66" i="4" s="1"/>
  <c r="G50" i="4"/>
  <c r="I50" i="4" s="1"/>
  <c r="J50" i="4" s="1"/>
  <c r="I58" i="6"/>
  <c r="E65" i="6"/>
  <c r="D65" i="6"/>
  <c r="G65" i="6"/>
  <c r="E43" i="6" s="1"/>
  <c r="H65" i="6"/>
  <c r="F58" i="6"/>
  <c r="F52" i="6"/>
  <c r="F73" i="6"/>
  <c r="K58" i="4"/>
  <c r="E41" i="5"/>
  <c r="G41" i="5" s="1"/>
  <c r="E43" i="4"/>
  <c r="I56" i="4"/>
  <c r="J56" i="4" s="1"/>
  <c r="G69" i="4"/>
  <c r="H69" i="4" s="1"/>
  <c r="F69" i="6"/>
  <c r="F70" i="6"/>
  <c r="F62" i="6"/>
  <c r="F61" i="6"/>
  <c r="F56" i="6"/>
  <c r="E71" i="6"/>
  <c r="F71" i="6" s="1"/>
  <c r="I51" i="4"/>
  <c r="J51" i="4" s="1"/>
  <c r="K55" i="4"/>
  <c r="I55" i="4"/>
  <c r="J55" i="4" s="1"/>
  <c r="I59" i="4"/>
  <c r="J59" i="4" s="1"/>
  <c r="K60" i="4"/>
  <c r="I60" i="4"/>
  <c r="J60" i="4" s="1"/>
  <c r="K57" i="4"/>
  <c r="I57" i="4"/>
  <c r="J57" i="4" s="1"/>
  <c r="H65" i="4"/>
  <c r="H61" i="4"/>
  <c r="L49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F51" i="6"/>
  <c r="F72" i="6"/>
  <c r="F64" i="6"/>
  <c r="F57" i="6"/>
  <c r="I61" i="6"/>
  <c r="I64" i="6"/>
  <c r="I51" i="6"/>
  <c r="I63" i="6"/>
  <c r="I62" i="6"/>
  <c r="I55" i="6"/>
  <c r="I54" i="6"/>
  <c r="I60" i="6"/>
  <c r="E44" i="6"/>
  <c r="I56" i="6"/>
  <c r="F45" i="6"/>
  <c r="I57" i="6"/>
  <c r="D74" i="6"/>
  <c r="F63" i="6"/>
  <c r="F54" i="6"/>
  <c r="I52" i="6"/>
  <c r="F60" i="6"/>
  <c r="E42" i="5"/>
  <c r="D70" i="5"/>
  <c r="I57" i="5"/>
  <c r="L57" i="5"/>
  <c r="F58" i="5"/>
  <c r="K59" i="5"/>
  <c r="F69" i="5"/>
  <c r="L52" i="5"/>
  <c r="L60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41" i="4" l="1"/>
  <c r="K71" i="6"/>
  <c r="L71" i="6" s="1"/>
  <c r="I71" i="6"/>
  <c r="J71" i="6" s="1"/>
  <c r="M56" i="4"/>
  <c r="N56" i="4" s="1"/>
  <c r="M54" i="4"/>
  <c r="N54" i="4" s="1"/>
  <c r="F43" i="5"/>
  <c r="G71" i="6"/>
  <c r="H71" i="6" s="1"/>
  <c r="E70" i="4"/>
  <c r="F70" i="4" s="1"/>
  <c r="K63" i="6"/>
  <c r="L63" i="6" s="1"/>
  <c r="M63" i="6"/>
  <c r="N63" i="6" s="1"/>
  <c r="O63" i="6"/>
  <c r="P63" i="6" s="1"/>
  <c r="K58" i="6"/>
  <c r="L58" i="6" s="1"/>
  <c r="M58" i="6"/>
  <c r="N58" i="6" s="1"/>
  <c r="O58" i="6"/>
  <c r="P58" i="6" s="1"/>
  <c r="M56" i="6"/>
  <c r="N56" i="6" s="1"/>
  <c r="O56" i="6"/>
  <c r="P56" i="6" s="1"/>
  <c r="K56" i="6"/>
  <c r="L56" i="6" s="1"/>
  <c r="M58" i="4"/>
  <c r="N58" i="4" s="1"/>
  <c r="O61" i="6"/>
  <c r="P61" i="6" s="1"/>
  <c r="K61" i="6"/>
  <c r="L61" i="6" s="1"/>
  <c r="M61" i="6"/>
  <c r="N61" i="6" s="1"/>
  <c r="K60" i="6"/>
  <c r="L60" i="6" s="1"/>
  <c r="M60" i="6"/>
  <c r="N60" i="6" s="1"/>
  <c r="O60" i="6"/>
  <c r="P60" i="6" s="1"/>
  <c r="G44" i="6"/>
  <c r="H44" i="6" s="1"/>
  <c r="I44" i="6"/>
  <c r="J44" i="6" s="1"/>
  <c r="K44" i="6"/>
  <c r="L44" i="6" s="1"/>
  <c r="K62" i="6"/>
  <c r="L62" i="6" s="1"/>
  <c r="M62" i="6"/>
  <c r="N62" i="6" s="1"/>
  <c r="O62" i="6"/>
  <c r="P62" i="6" s="1"/>
  <c r="K74" i="6"/>
  <c r="L74" i="6" s="1"/>
  <c r="L69" i="6"/>
  <c r="J69" i="6"/>
  <c r="K54" i="6"/>
  <c r="L54" i="6" s="1"/>
  <c r="M54" i="6"/>
  <c r="N54" i="6" s="1"/>
  <c r="O54" i="6"/>
  <c r="P54" i="6" s="1"/>
  <c r="M64" i="6"/>
  <c r="N64" i="6" s="1"/>
  <c r="O64" i="6"/>
  <c r="P64" i="6" s="1"/>
  <c r="K64" i="6"/>
  <c r="L64" i="6" s="1"/>
  <c r="K52" i="6"/>
  <c r="L52" i="6" s="1"/>
  <c r="M52" i="6"/>
  <c r="N52" i="6" s="1"/>
  <c r="O52" i="6"/>
  <c r="P52" i="6" s="1"/>
  <c r="H69" i="6"/>
  <c r="K51" i="6"/>
  <c r="M51" i="6"/>
  <c r="O51" i="6"/>
  <c r="K57" i="6"/>
  <c r="L57" i="6" s="1"/>
  <c r="M57" i="6"/>
  <c r="N57" i="6" s="1"/>
  <c r="O57" i="6"/>
  <c r="P57" i="6" s="1"/>
  <c r="K55" i="6"/>
  <c r="L55" i="6" s="1"/>
  <c r="M55" i="6"/>
  <c r="N55" i="6" s="1"/>
  <c r="O55" i="6"/>
  <c r="P55" i="6" s="1"/>
  <c r="G43" i="6"/>
  <c r="I43" i="6"/>
  <c r="K43" i="6"/>
  <c r="G67" i="4"/>
  <c r="H67" i="4" s="1"/>
  <c r="M50" i="4"/>
  <c r="N50" i="4" s="1"/>
  <c r="L61" i="4"/>
  <c r="G61" i="4"/>
  <c r="M60" i="4"/>
  <c r="N60" i="4" s="1"/>
  <c r="E44" i="5"/>
  <c r="F44" i="5" s="1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I65" i="6"/>
  <c r="F65" i="6"/>
  <c r="J58" i="6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M52" i="4"/>
  <c r="N52" i="4" s="1"/>
  <c r="I61" i="4"/>
  <c r="J49" i="4"/>
  <c r="M49" i="4"/>
  <c r="F61" i="4"/>
  <c r="M57" i="4"/>
  <c r="N57" i="4" s="1"/>
  <c r="J61" i="6"/>
  <c r="J63" i="6"/>
  <c r="F44" i="6"/>
  <c r="F43" i="6"/>
  <c r="J54" i="6"/>
  <c r="E74" i="6"/>
  <c r="F7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G70" i="4" l="1"/>
  <c r="H70" i="4" s="1"/>
  <c r="I74" i="6"/>
  <c r="J74" i="6" s="1"/>
  <c r="G74" i="6"/>
  <c r="H74" i="6" s="1"/>
  <c r="I46" i="6"/>
  <c r="J46" i="6" s="1"/>
  <c r="J43" i="6"/>
  <c r="O65" i="6"/>
  <c r="P65" i="6" s="1"/>
  <c r="P51" i="6"/>
  <c r="M65" i="6"/>
  <c r="N65" i="6" s="1"/>
  <c r="N51" i="6"/>
  <c r="G46" i="6"/>
  <c r="H46" i="6" s="1"/>
  <c r="H43" i="6"/>
  <c r="K65" i="6"/>
  <c r="L65" i="6" s="1"/>
  <c r="L51" i="6"/>
  <c r="K46" i="6"/>
  <c r="L46" i="6" s="1"/>
  <c r="L43" i="6"/>
  <c r="J65" i="6"/>
  <c r="J61" i="4"/>
  <c r="G44" i="4"/>
  <c r="H44" i="4" s="1"/>
  <c r="N49" i="4"/>
  <c r="M61" i="4"/>
  <c r="N61" i="4" s="1"/>
  <c r="G44" i="5"/>
  <c r="H44" i="5" s="1"/>
  <c r="G70" i="5"/>
  <c r="H70" i="5" s="1"/>
  <c r="M61" i="5"/>
  <c r="N61" i="5" s="1"/>
  <c r="J49" i="5"/>
  <c r="I61" i="5"/>
  <c r="J61" i="5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  <comment ref="T5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Eka/Wahyu muncul 2x di input dengan nama identik (baris 11 &amp; 12), jadi tidak bisa dicocokkan by name. KUTA - INDUSTRI = baris 12.</t>
        </r>
      </text>
    </comment>
    <comment ref="T60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Eka/Wahyu muncul 2x di input dengan nama identik (baris 11 &amp; 12), jadi tidak bisa dicocokkan by name. KUTA - LEGIAN = baris 11.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<sst xmlns="http://schemas.openxmlformats.org/spreadsheetml/2006/main" count="2107" uniqueCount="223">
  <si>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</si>
  <si>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</si>
  <si>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</si>
  <si>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</si>
  <si>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</si>
  <si>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</si>
  <si>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</si>
  <si>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</si>
  <si>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</si>
  <si>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</si>
  <si>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</si>
  <si>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</si>
  <si>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</si>
  <si>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</si>
  <si>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</si>
  <si>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</si>
  <si>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</si>
  <si>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</si>
  <si>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</si>
  <si>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</si>
  <si>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</si>
  <si>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</si>
  <si>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</si>
  <si>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</si>
  <si>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</si>
  <si>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</si>
  <si>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</si>
  <si>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</si>
  <si>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</si>
  <si>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</si>
  <si>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</si>
  <si>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</si>
  <si>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</si>
  <si>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</si>
  <si>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</si>
  <si>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</si>
  <si>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</si>
  <si>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</si>
  <si>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</si>
  <si>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</si>
  <si>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</si>
  <si>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</si>
  <si>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</si>
  <si>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</si>
  <si>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</si>
  <si>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</si>
  <si>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</si>
  <si>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</si>
  <si>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</si>
  <si>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</si>
  <si>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</si>
  <si>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</si>
  <si>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</si>
  <si>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</si>
  <si>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</si>
  <si>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</si>
  <si>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</si>
  <si>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</si>
  <si>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</si>
  <si>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</si>
  <si>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</si>
  <si>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</si>
  <si>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</si>
  <si>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</si>
  <si>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</si>
  <si>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</si>
  <si>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</si>
  <si>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</si>
  <si>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</si>
  <si>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</si>
  <si>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</si>
  <si>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</si>
  <si>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</si>
  <si>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</si>
  <si>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</si>
  <si>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</si>
  <si>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</si>
  <si>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</si>
  <si>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</si>
  <si>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</si>
  <si>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</si>
  <si>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</si>
  <si>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</si>
  <si>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</si>
  <si>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</si>
  <si>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</si>
  <si>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</si>
  <si>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</si>
  <si>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</si>
  <si>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</si>
  <si>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</si>
  <si>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</si>
  <si>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</si>
  <si>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</si>
  <si>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</si>
  <si>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</si>
  <si>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</si>
  <si>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</si>
  <si>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</si>
  <si>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</si>
  <si>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</si>
  <si>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</si>
  <si>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</si>
  <si>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</si>
  <si>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</si>
  <si>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</si>
  <si>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</si>
  <si>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</si>
  <si>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</si>
  <si>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</si>
  <si>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</si>
  <si>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</si>
  <si>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</si>
  <si>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</si>
  <si>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</si>
  <si>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</si>
  <si>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</si>
  <si>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</si>
  <si>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</si>
  <si>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</si>
  <si>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</si>
  <si>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</si>
  <si>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</si>
  <si>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</si>
  <si>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</si>
  <si>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</si>
  <si>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</si>
  <si>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</si>
  <si>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</si>
  <si>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</si>
  <si>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</si>
  <si>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</si>
  <si>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</si>
  <si>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</si>
  <si>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</si>
  <si>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</si>
  <si>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</si>
  <si>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</si>
  <si>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</si>
  <si>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</si>
  <si>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</si>
  <si>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</si>
  <si>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</si>
  <si>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</si>
  <si>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</si>
  <si>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</si>
  <si>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</si>
  <si>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</si>
  <si>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</si>
  <si>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</si>
  <si>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</si>
  <si>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</si>
  <si>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</si>
  <si>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</si>
  <si>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</si>
  <si>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</si>
  <si>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</si>
  <si>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</si>
  <si>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</si>
  <si>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</si>
  <si>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</si>
  <si>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</si>
  <si>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</si>
  <si>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</si>
  <si>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</si>
  <si>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</si>
  <si>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</si>
  <si>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</si>
  <si>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</si>
  <si>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</si>
  <si>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</si>
  <si>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</si>
  <si>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</si>
  <si>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</si>
  <si>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</si>
  <si>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</si>
  <si>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</si>
  <si>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</si>
  <si>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</si>
  <si>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</si>
  <si>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</si>
  <si>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</si>
  <si>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</si>
  <si>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</si>
  <si>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</si>
  <si>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</si>
  <si>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</si>
  <si>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</si>
  <si>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</si>
  <si>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</si>
  <si>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</si>
  <si>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</si>
  <si>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</si>
  <si>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</si>
  <si>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</si>
  <si>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</si>
  <si>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</si>
  <si>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</si>
  <si>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</si>
  <si>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</si>
  <si>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</si>
  <si>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</si>
  <si>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</si>
  <si>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</si>
  <si>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</si>
  <si>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</si>
  <si>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</si>
  <si>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</si>
  <si>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</si>
  <si>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</si>
  <si>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</si>
  <si>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</si>
  <si>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</si>
  <si>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</si>
  <si>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</si>
  <si>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</si>
  <si>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</si>
  <si>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</si>
  <si>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</si>
  <si>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</si>
  <si>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→ baris 12 (manual)</t>
  </si>
  <si>
    <t>→ baris 11 (manual)</t>
  </si>
  <si>
    <t>DATA PENCAPAIAN — GLOBAL — 26 AGUSTUS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</si>
</sst>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4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5" t="s">
        <v>0</v>
      </c>
      <c r="C1" s="235"/>
    </row>
    <row r="3" spans="2:3" x14ac:dyDescent="0.25">
      <c r="B3" s="236" t="s">
        <v>1</v>
      </c>
      <c r="C3" s="236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7" t="s">
        <v>14</v>
      </c>
      <c r="C11" s="237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212</v>
      </c>
      <c r="C19" s="2" t="s">
        <v>213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topLeftCell="T3" zoomScale="167" zoomScaleNormal="110" workbookViewId="0">
      <selection activeCell="R5" sqref="R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6" width="9.85546875" customWidth="1"/>
    <col min="7" max="7" width="8.85546875" customWidth="1"/>
    <col min="8" max="8" width="9.42578125" customWidth="1"/>
    <col min="9" max="9" width="9.85546875" customWidth="1"/>
    <col min="10" max="10" width="8.85546875" customWidth="1"/>
    <col min="11" max="11" width="8.42578125" customWidth="1"/>
    <col min="12" max="12" width="9.85546875" customWidth="1"/>
    <col min="13" max="13" width="8.42578125" customWidth="1"/>
    <col min="14" max="14" width="9.42578125" customWidth="1"/>
    <col min="15" max="15" width="9.85546875" customWidth="1"/>
    <col min="16" max="17" width="10.85546875" customWidth="1"/>
    <col min="18" max="18" width="9.85546875" customWidth="1"/>
    <col min="19" max="19" width="11.42578125" bestFit="1" customWidth="1"/>
    <col min="20" max="20" width="11.140625" bestFit="1" customWidth="1"/>
    <col min="21" max="21" width="9.85546875" customWidth="1"/>
    <col min="22" max="22" width="12.7109375" bestFit="1" customWidth="1"/>
    <col min="23" max="23" width="11.140625" bestFit="1" customWidth="1"/>
    <col min="24" max="24" width="9.85546875" customWidth="1"/>
    <col min="25" max="25" width="11.28515625" bestFit="1" customWidth="1"/>
    <col min="26" max="26" width="11.140625" bestFit="1" customWidth="1"/>
    <col min="27" max="27" width="9.85546875" customWidth="1"/>
    <col min="28" max="29" width="8.85546875" bestFit="1" customWidth="1"/>
    <col min="30" max="30" width="9.85546875" customWidth="1"/>
    <col min="31" max="32" width="8.85546875" bestFit="1" customWidth="1"/>
    <col min="33" max="33" width="9.85546875" customWidth="1"/>
    <col min="36" max="36" width="9.85546875" customWidth="1"/>
    <col min="39" max="39" width="9.85546875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6" t="s">
        <v>28</v>
      </c>
      <c r="C3" s="236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197</v>
      </c>
      <c r="G4" s="4" t="s">
        <v>45</v>
      </c>
      <c r="H4" s="4" t="s">
        <v>46</v>
      </c>
      <c r="I4" s="4" t="s">
        <v>198</v>
      </c>
      <c r="J4" s="4" t="s">
        <v>47</v>
      </c>
      <c r="K4" s="4" t="s">
        <v>48</v>
      </c>
      <c r="L4" s="4" t="s">
        <v>199</v>
      </c>
      <c r="M4" s="4" t="s">
        <v>49</v>
      </c>
      <c r="N4" s="4" t="s">
        <v>50</v>
      </c>
      <c r="O4" s="4" t="s">
        <v>200</v>
      </c>
      <c r="P4" s="4" t="s">
        <v>51</v>
      </c>
      <c r="Q4" s="4" t="s">
        <v>52</v>
      </c>
      <c r="R4" s="4" t="s">
        <v>201</v>
      </c>
      <c r="S4" s="4" t="s">
        <v>53</v>
      </c>
      <c r="T4" s="4" t="s">
        <v>54</v>
      </c>
      <c r="U4" s="4" t="s">
        <v>202</v>
      </c>
      <c r="V4" s="4" t="s">
        <v>55</v>
      </c>
      <c r="W4" s="4" t="s">
        <v>56</v>
      </c>
      <c r="X4" s="4" t="s">
        <v>203</v>
      </c>
      <c r="Y4" s="4" t="s">
        <v>57</v>
      </c>
      <c r="Z4" s="4" t="s">
        <v>58</v>
      </c>
      <c r="AA4" s="4" t="s">
        <v>204</v>
      </c>
      <c r="AB4" s="4" t="s">
        <v>59</v>
      </c>
      <c r="AC4" s="4" t="s">
        <v>60</v>
      </c>
      <c r="AD4" s="4" t="s">
        <v>205</v>
      </c>
      <c r="AE4" s="4" t="s">
        <v>61</v>
      </c>
      <c r="AF4" s="4" t="s">
        <v>62</v>
      </c>
      <c r="AG4" s="4" t="s">
        <v>206</v>
      </c>
      <c r="AH4" s="4" t="s">
        <v>63</v>
      </c>
      <c r="AI4" s="4" t="s">
        <v>64</v>
      </c>
      <c r="AJ4" s="4" t="s">
        <v>207</v>
      </c>
      <c r="AK4" s="4" t="s">
        <v>65</v>
      </c>
      <c r="AL4" s="4" t="s">
        <v>66</v>
      </c>
      <c r="AM4" s="4" t="s">
        <v>208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173</v>
      </c>
      <c r="C7" s="129" t="s">
        <v>174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/>
      <c r="AC7" s="7"/>
      <c r="AD7" s="7">
        <v>0</v>
      </c>
      <c r="AE7" s="7"/>
      <c r="AF7" s="7"/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182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99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0</v>
      </c>
      <c r="AC11" s="7">
        <v>0</v>
      </c>
      <c r="AD11" s="7">
        <v>0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0</v>
      </c>
      <c r="AC12" s="7">
        <v>0</v>
      </c>
      <c r="AD12" s="7">
        <v>0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173</v>
      </c>
      <c r="C13" s="129" t="s">
        <v>175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/>
      <c r="AC13" s="7"/>
      <c r="AD13" s="7">
        <v>0</v>
      </c>
      <c r="AE13" s="7"/>
      <c r="AF13" s="7"/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81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0</v>
      </c>
      <c r="AC14" s="7">
        <v>0</v>
      </c>
      <c r="AD14" s="7">
        <v>0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0</v>
      </c>
      <c r="AC15" s="7">
        <v>0</v>
      </c>
      <c r="AD15" s="7">
        <v>0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0</v>
      </c>
      <c r="AC16" s="7">
        <v>0</v>
      </c>
      <c r="AD16" s="7">
        <v>0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0</v>
      </c>
      <c r="AC17" s="7">
        <v>0</v>
      </c>
      <c r="AD17" s="7">
        <v>0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0</v>
      </c>
      <c r="AC18" s="7">
        <v>0</v>
      </c>
      <c r="AD18" s="7">
        <v>0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0</v>
      </c>
      <c r="M22" s="7">
        <v>0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0</v>
      </c>
      <c r="M23" s="7">
        <v>0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0</v>
      </c>
      <c r="M24" s="7">
        <v>0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38" t="s">
        <v>102</v>
      </c>
      <c r="C29" s="238"/>
      <c r="D29" s="238"/>
      <c r="E29" s="238"/>
      <c r="F29" s="238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168</v>
      </c>
      <c r="C1" s="83"/>
      <c r="D1" s="83"/>
      <c r="E1" s="83"/>
      <c r="F1" s="83"/>
      <c r="G1" s="215" t="s">
        <v>192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193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194</v>
      </c>
      <c r="J3" s="218">
        <v>0</v>
      </c>
    </row>
    <row r="4" spans="2:17" x14ac:dyDescent="0.25">
      <c r="G4" s="216" t="s">
        <v>195</v>
      </c>
      <c r="J4" s="218">
        <v>0</v>
      </c>
    </row>
    <row r="5" spans="2:17" x14ac:dyDescent="0.25">
      <c r="G5" s="216" t="s">
        <v>196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168</v>
      </c>
      <c r="C1" s="83"/>
      <c r="D1" s="83"/>
      <c r="E1" s="83"/>
      <c r="F1" s="83"/>
      <c r="G1" s="215" t="s">
        <v>192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193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194</v>
      </c>
      <c r="J3" s="218">
        <v>0</v>
      </c>
    </row>
    <row r="4" spans="2:17" x14ac:dyDescent="0.25">
      <c r="G4" s="216" t="s">
        <v>195</v>
      </c>
      <c r="J4" s="218">
        <v>0</v>
      </c>
    </row>
    <row r="5" spans="2:17" x14ac:dyDescent="0.25">
      <c r="G5" s="216" t="s">
        <v>196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192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193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194</v>
      </c>
      <c r="J3" s="218">
        <v>0</v>
      </c>
    </row>
    <row r="4" spans="2:17" x14ac:dyDescent="0.25">
      <c r="G4" s="216" t="s">
        <v>195</v>
      </c>
      <c r="J4" s="218">
        <v>0</v>
      </c>
    </row>
    <row r="5" spans="2:17" x14ac:dyDescent="0.25">
      <c r="G5" s="216" t="s">
        <v>196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167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166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166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6" t="s">
        <v>145</v>
      </c>
      <c r="C44" s="257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8" t="s">
        <v>41</v>
      </c>
      <c r="C47" s="258" t="s">
        <v>42</v>
      </c>
      <c r="D47" s="253" t="s">
        <v>137</v>
      </c>
      <c r="E47" s="254"/>
      <c r="F47" s="255"/>
      <c r="G47" s="69" t="s">
        <v>138</v>
      </c>
      <c r="H47" s="69"/>
      <c r="I47" s="69"/>
      <c r="J47" s="258" t="s">
        <v>139</v>
      </c>
      <c r="K47" s="35" t="s">
        <v>147</v>
      </c>
      <c r="L47" s="35"/>
      <c r="M47" s="35"/>
      <c r="N47" s="252" t="s">
        <v>148</v>
      </c>
    </row>
    <row r="48" spans="2:17" ht="15.75" x14ac:dyDescent="0.25">
      <c r="B48" s="258"/>
      <c r="C48" s="258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58"/>
      <c r="K48" s="34" t="s">
        <v>142</v>
      </c>
      <c r="L48" s="34" t="s">
        <v>110</v>
      </c>
      <c r="M48" s="34" t="s">
        <v>145</v>
      </c>
      <c r="N48" s="252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49" t="s">
        <v>144</v>
      </c>
      <c r="C63" s="250"/>
      <c r="D63" s="250"/>
      <c r="E63" s="250"/>
      <c r="F63" s="250"/>
      <c r="G63" s="250"/>
      <c r="H63" s="251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194</v>
      </c>
      <c r="J3" s="218">
        <v>0</v>
      </c>
    </row>
    <row r="4" spans="2:14" x14ac:dyDescent="0.25">
      <c r="G4" s="221" t="s">
        <v>195</v>
      </c>
      <c r="J4" s="218">
        <v>0</v>
      </c>
    </row>
    <row r="5" spans="2:14" x14ac:dyDescent="0.25">
      <c r="G5" s="221" t="s">
        <v>196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166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166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166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166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170</v>
      </c>
      <c r="C22" s="15">
        <v>38884328.600000001</v>
      </c>
      <c r="D22" s="15" t="s">
        <v>166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171</v>
      </c>
      <c r="C23" s="15">
        <v>120550492.72</v>
      </c>
      <c r="D23" s="15" t="s">
        <v>166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166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186</v>
      </c>
    </row>
    <row r="41" spans="2:19" ht="27.95" customHeight="1" x14ac:dyDescent="0.25">
      <c r="B41" s="269" t="s">
        <v>179</v>
      </c>
      <c r="C41" s="270"/>
      <c r="D41" s="271"/>
      <c r="E41" s="66" t="s">
        <v>137</v>
      </c>
      <c r="F41" s="174">
        <v>1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6" t="s">
        <v>145</v>
      </c>
      <c r="C46" s="257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187</v>
      </c>
      <c r="L48" s="261"/>
      <c r="M48" s="261"/>
      <c r="N48" s="261"/>
      <c r="O48" s="261"/>
      <c r="P48" s="262"/>
      <c r="Q48"/>
      <c r="R48"/>
    </row>
    <row r="49" spans="2:18" s="139" customFormat="1" ht="33.950000000000003" customHeight="1" x14ac:dyDescent="0.25">
      <c r="B49" s="277" t="s">
        <v>41</v>
      </c>
      <c r="C49" s="277" t="s">
        <v>42</v>
      </c>
      <c r="D49" s="274" t="s">
        <v>137</v>
      </c>
      <c r="E49" s="275"/>
      <c r="F49" s="276"/>
      <c r="G49" s="140" t="s">
        <v>138</v>
      </c>
      <c r="H49" s="140"/>
      <c r="I49" s="140"/>
      <c r="J49" s="274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67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77"/>
      <c r="C50" s="277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74"/>
      <c r="K50" s="264"/>
      <c r="L50" s="264"/>
      <c r="M50" s="266"/>
      <c r="N50" s="188"/>
      <c r="O50" s="183"/>
      <c r="P50" s="268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173</v>
      </c>
      <c r="C53" s="154" t="s">
        <v>174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>M10</f>
        <v>537997275.46389103</v>
      </c>
      <c r="H54" s="144">
        <f t="shared" ref="H54:H58" si="9">N10</f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>M11</f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>M12</f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>M13</f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>M14</f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173</v>
      </c>
      <c r="C59" s="154" t="s">
        <v>175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>M15</f>
        <v>304137742.30899602</v>
      </c>
      <c r="H60" s="144">
        <f t="shared" ref="H60:H64" si="10">N15</f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>M16</f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>M17</f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>M18</f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>M19</f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 t="shared" ref="E65" si="11"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2">IFERROR(E69/D69,0)</f>
        <v>0.85985886378694742</v>
      </c>
      <c r="G69" s="207">
        <f>D69*$H$41-E69</f>
        <v>11215108.126728177</v>
      </c>
      <c r="H69" s="207">
        <f t="shared" ref="H69:H74" ca="1" si="13">IFERROR(G69/$C$3,0)</f>
        <v>0</v>
      </c>
      <c r="I69" s="208">
        <f>D69*$J$41-E69</f>
        <v>25184702.892560154</v>
      </c>
      <c r="J69" s="208">
        <f t="shared" ref="J69:J74" ca="1" si="14">IFERROR(I69/$C$3,0)</f>
        <v>0</v>
      </c>
      <c r="K69" s="209">
        <f>D69*$L$41-E69</f>
        <v>39154297.658392191</v>
      </c>
      <c r="L69" s="209">
        <f t="shared" ref="L69:L74" ca="1" si="15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2"/>
        <v>1.0722614884868884</v>
      </c>
      <c r="G70" s="207">
        <f>D70*$H$41-E70</f>
        <v>-72282980.673233986</v>
      </c>
      <c r="H70" s="207">
        <f t="shared" ca="1" si="13"/>
        <v>0</v>
      </c>
      <c r="I70" s="208">
        <f>D70*$J$41-E70</f>
        <v>-51302382.71481812</v>
      </c>
      <c r="J70" s="208">
        <f t="shared" ca="1" si="14"/>
        <v>0</v>
      </c>
      <c r="K70" s="209">
        <f>D70*$L$41-E70</f>
        <v>-30321784.756402135</v>
      </c>
      <c r="L70" s="209">
        <f t="shared" ca="1" si="15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2"/>
        <v>0.82118296091496634</v>
      </c>
      <c r="G71" s="207">
        <f>D71*$H$41-E71</f>
        <v>86106472.922168493</v>
      </c>
      <c r="H71" s="207">
        <f t="shared" ca="1" si="13"/>
        <v>0</v>
      </c>
      <c r="I71" s="208">
        <f>D71*$J$41-E71</f>
        <v>140730748.28302681</v>
      </c>
      <c r="J71" s="208">
        <f t="shared" ca="1" si="14"/>
        <v>0</v>
      </c>
      <c r="K71" s="209">
        <f>D71*$L$41-E71</f>
        <v>195355023.64388537</v>
      </c>
      <c r="L71" s="209">
        <f t="shared" ca="1" si="15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2"/>
        <v>0</v>
      </c>
      <c r="G72" s="207">
        <f>D72*$H$41-E72</f>
        <v>0</v>
      </c>
      <c r="H72" s="207">
        <f t="shared" ca="1" si="13"/>
        <v>0</v>
      </c>
      <c r="I72" s="208">
        <f>D72*$J$41-E72</f>
        <v>0</v>
      </c>
      <c r="J72" s="208">
        <f t="shared" ca="1" si="14"/>
        <v>0</v>
      </c>
      <c r="K72" s="209">
        <f>D72*$L$41-E72</f>
        <v>0</v>
      </c>
      <c r="L72" s="209">
        <f t="shared" ca="1" si="15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2"/>
        <v>0</v>
      </c>
      <c r="G73" s="207">
        <f>D73*$H$41-E73</f>
        <v>0</v>
      </c>
      <c r="H73" s="207">
        <f t="shared" ca="1" si="13"/>
        <v>0</v>
      </c>
      <c r="I73" s="208">
        <f>D73*$J$41-E73</f>
        <v>0</v>
      </c>
      <c r="J73" s="208">
        <f t="shared" ca="1" si="14"/>
        <v>0</v>
      </c>
      <c r="K73" s="209">
        <f>D73*$L$41-E73</f>
        <v>0</v>
      </c>
      <c r="L73" s="209">
        <f t="shared" ca="1" si="15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2"/>
        <v>0.88602358411334747</v>
      </c>
      <c r="G74" s="210">
        <f>SUM(G69:G73)</f>
        <v>25038600.375662684</v>
      </c>
      <c r="H74" s="210">
        <f t="shared" ca="1" si="13"/>
        <v>0</v>
      </c>
      <c r="I74" s="211">
        <f>SUM(I69:I73)</f>
        <v>114613068.46076885</v>
      </c>
      <c r="J74" s="211">
        <f t="shared" ca="1" si="14"/>
        <v>0</v>
      </c>
      <c r="K74" s="211">
        <f>SUM(K69:K73)</f>
        <v>204187536.54587543</v>
      </c>
      <c r="L74" s="211">
        <f t="shared" ca="1" si="15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49" t="s">
        <v>172</v>
      </c>
      <c r="C77" s="250"/>
      <c r="D77" s="251"/>
      <c r="G77"/>
      <c r="H77"/>
      <c r="I77"/>
    </row>
    <row r="78" spans="1:19" ht="20.100000000000001" customHeight="1" x14ac:dyDescent="0.25">
      <c r="B78" s="259" t="s">
        <v>41</v>
      </c>
      <c r="C78" s="259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58"/>
      <c r="C79" s="258"/>
      <c r="D79" s="70" t="s">
        <v>169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173</v>
      </c>
      <c r="C82" s="152" t="s">
        <v>174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173</v>
      </c>
      <c r="C88" s="152" t="s">
        <v>175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41:D41"/>
    <mergeCell ref="B48:J48"/>
    <mergeCell ref="D49:F49"/>
    <mergeCell ref="B46:C46"/>
    <mergeCell ref="B49:B50"/>
    <mergeCell ref="C49:C50"/>
    <mergeCell ref="J49:J50"/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194</v>
      </c>
      <c r="H3" s="111"/>
      <c r="I3" s="111"/>
      <c r="J3" s="218">
        <v>0</v>
      </c>
    </row>
    <row r="4" spans="2:14" x14ac:dyDescent="0.25">
      <c r="G4" s="221" t="s">
        <v>195</v>
      </c>
      <c r="H4" s="111"/>
      <c r="I4" s="111"/>
      <c r="J4" s="218">
        <v>0</v>
      </c>
    </row>
    <row r="5" spans="2:14" x14ac:dyDescent="0.25">
      <c r="G5" s="221" t="s">
        <v>196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166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170</v>
      </c>
      <c r="C22" s="15">
        <v>197567845.80000001</v>
      </c>
      <c r="D22" s="15" t="s">
        <v>166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171</v>
      </c>
      <c r="C23" s="15">
        <v>300521523.82997501</v>
      </c>
      <c r="D23" s="15" t="s">
        <v>166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186</v>
      </c>
    </row>
    <row r="41" spans="2:19" ht="27.95" customHeight="1" x14ac:dyDescent="0.25">
      <c r="B41" s="278" t="s">
        <v>180</v>
      </c>
      <c r="C41" s="279"/>
      <c r="D41" s="280"/>
      <c r="E41" s="66" t="s">
        <v>137</v>
      </c>
      <c r="F41" s="174">
        <v>0.97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187</v>
      </c>
      <c r="L48" s="261"/>
      <c r="M48" s="261"/>
      <c r="N48" s="261"/>
      <c r="O48" s="261"/>
      <c r="P48" s="262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67" t="str">
        <f>"SELISIH"&amp;CHAR(10)&amp;TEXT($L$41,"0%")</f>
        <v>SELISIH
100%</v>
      </c>
      <c r="P49" s="267" t="str">
        <f>"PER HARI"&amp;CHAR(10)&amp;TEXT($L$41,"0%")</f>
        <v>PER HARI
100%</v>
      </c>
    </row>
    <row r="50" spans="2:16" ht="22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68"/>
      <c r="P50" s="268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173</v>
      </c>
      <c r="C53" s="137" t="s">
        <v>174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>M10</f>
        <v>670664362.43227303</v>
      </c>
      <c r="H54" s="114">
        <f t="shared" ref="H54:H58" si="9">N10</f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>M11</f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>M12</f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>M13</f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>M14</f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173</v>
      </c>
      <c r="C59" s="137" t="s">
        <v>175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>M15</f>
        <v>374466810.62618703</v>
      </c>
      <c r="H60" s="114">
        <f t="shared" ref="H60:H64" si="10">N15</f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>M16</f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>M17</f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>M18</f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>M19</f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 t="shared" ref="E65" si="11"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2">IFERROR(E69/D69,0)</f>
        <v>1.0480570955664552</v>
      </c>
      <c r="G69" s="184">
        <f>D69*$H$41-E69</f>
        <v>-41169439.706693411</v>
      </c>
      <c r="H69" s="184">
        <f t="shared" ref="H69:H74" ca="1" si="13">IFERROR(G69/$C$3,0)</f>
        <v>0</v>
      </c>
      <c r="I69" s="204">
        <f>D69*$J$41-E69</f>
        <v>-27266208.811482966</v>
      </c>
      <c r="J69" s="204">
        <f t="shared" ref="J69:J74" ca="1" si="14">IFERROR(I69/$C$3,0)</f>
        <v>0</v>
      </c>
      <c r="K69" s="185">
        <f>D69*$L$41-E69</f>
        <v>-13362977.916272461</v>
      </c>
      <c r="L69" s="185">
        <f t="shared" ref="L69:L74" ca="1" si="15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2"/>
        <v>1.0443693954602793</v>
      </c>
      <c r="G70" s="184">
        <f>D70*$H$41-E70</f>
        <v>-60291338.056534588</v>
      </c>
      <c r="H70" s="184">
        <f t="shared" ca="1" si="13"/>
        <v>0</v>
      </c>
      <c r="I70" s="204">
        <f>D70*$J$41-E70</f>
        <v>-39410410.397208512</v>
      </c>
      <c r="J70" s="204">
        <f t="shared" ca="1" si="14"/>
        <v>0</v>
      </c>
      <c r="K70" s="185">
        <f>D70*$L$41-E70</f>
        <v>-18529482.737882435</v>
      </c>
      <c r="L70" s="185">
        <f t="shared" ca="1" si="15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2"/>
        <v>0.86970886150280302</v>
      </c>
      <c r="G71" s="184">
        <f>D71*$H$41-E71</f>
        <v>32935420.162515283</v>
      </c>
      <c r="H71" s="184">
        <f t="shared" ca="1" si="13"/>
        <v>0</v>
      </c>
      <c r="I71" s="204">
        <f>D71*$J$41-E71</f>
        <v>87300197.778191447</v>
      </c>
      <c r="J71" s="204">
        <f t="shared" ca="1" si="14"/>
        <v>0</v>
      </c>
      <c r="K71" s="185">
        <f>D71*$L$41-E71</f>
        <v>141664975.39386773</v>
      </c>
      <c r="L71" s="185">
        <f t="shared" ca="1" si="15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2"/>
        <v>0</v>
      </c>
      <c r="G72" s="184">
        <f>D72*$H$41-E72</f>
        <v>0</v>
      </c>
      <c r="H72" s="184">
        <f t="shared" ca="1" si="13"/>
        <v>0</v>
      </c>
      <c r="I72" s="204">
        <f>D72*$J$41-E72</f>
        <v>0</v>
      </c>
      <c r="J72" s="204">
        <f t="shared" ca="1" si="14"/>
        <v>0</v>
      </c>
      <c r="K72" s="185">
        <f>D72*$L$41-E72</f>
        <v>0</v>
      </c>
      <c r="L72" s="185">
        <f t="shared" ca="1" si="15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t="shared" ca="1" si="13"/>
        <v>0</v>
      </c>
      <c r="I73" s="204">
        <f>D73*$J$41-E73</f>
        <v>0</v>
      </c>
      <c r="J73" s="204">
        <f t="shared" ca="1" si="14"/>
        <v>0</v>
      </c>
      <c r="K73" s="185">
        <f>D73*$L$41-E73</f>
        <v>0</v>
      </c>
      <c r="L73" s="185">
        <f t="shared" ca="1" si="15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2"/>
        <v>0.93843307645863372</v>
      </c>
      <c r="G74" s="181">
        <f>SUM(G69:G73)</f>
        <v>-68525357.600712717</v>
      </c>
      <c r="H74" s="181">
        <f t="shared" ca="1" si="13"/>
        <v>0</v>
      </c>
      <c r="I74" s="186">
        <f>SUM(I69:I73)</f>
        <v>20623578.569499969</v>
      </c>
      <c r="J74" s="186">
        <f t="shared" ca="1" si="14"/>
        <v>0</v>
      </c>
      <c r="K74" s="186">
        <f>SUM(K69:K73)</f>
        <v>109772514.73971283</v>
      </c>
      <c r="L74" s="186">
        <f t="shared" ca="1" si="15"/>
        <v>0</v>
      </c>
    </row>
    <row r="77" spans="2:16" ht="20.100000000000001" customHeight="1" x14ac:dyDescent="0.25">
      <c r="B77" s="249" t="s">
        <v>172</v>
      </c>
      <c r="C77" s="250"/>
      <c r="D77" s="251"/>
    </row>
    <row r="78" spans="2:16" ht="18.75" customHeight="1" x14ac:dyDescent="0.25">
      <c r="B78" s="259" t="s">
        <v>41</v>
      </c>
      <c r="C78" s="259" t="s">
        <v>42</v>
      </c>
      <c r="D78" s="231" t="s">
        <v>138</v>
      </c>
    </row>
    <row r="79" spans="2:16" ht="18" customHeight="1" x14ac:dyDescent="0.25">
      <c r="B79" s="258"/>
      <c r="C79" s="258"/>
      <c r="D79" s="70" t="s">
        <v>169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173</v>
      </c>
      <c r="C82" s="168" t="s">
        <v>174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173</v>
      </c>
      <c r="C88" s="168" t="s">
        <v>175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194</v>
      </c>
      <c r="H3" s="111"/>
      <c r="I3" s="111"/>
      <c r="J3" s="218">
        <v>0</v>
      </c>
    </row>
    <row r="4" spans="2:14" x14ac:dyDescent="0.25">
      <c r="G4" s="221" t="s">
        <v>195</v>
      </c>
      <c r="H4" s="111"/>
      <c r="I4" s="111"/>
      <c r="J4" s="218">
        <v>0</v>
      </c>
    </row>
    <row r="5" spans="2:14" x14ac:dyDescent="0.25">
      <c r="G5" s="221" t="s">
        <v>196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166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170</v>
      </c>
      <c r="C22" s="15">
        <v>167671841.09999999</v>
      </c>
      <c r="D22" s="15" t="s">
        <v>166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171</v>
      </c>
      <c r="C23" s="15">
        <v>388937679.18000001</v>
      </c>
      <c r="D23" s="15" t="s">
        <v>166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186</v>
      </c>
    </row>
    <row r="41" spans="2:19" ht="27.95" customHeight="1" x14ac:dyDescent="0.25">
      <c r="B41" s="269" t="s">
        <v>181</v>
      </c>
      <c r="C41" s="270"/>
      <c r="D41" s="271"/>
      <c r="E41" s="66" t="s">
        <v>137</v>
      </c>
      <c r="F41" s="174">
        <f ca="1">IF(MONTH(TODAY())=6,DAY(TODAY())/DAY(EOMONTH(TODAY(),0)),IF(MONTH(TODAY())&gt;6,1,0))</f>
        <v>1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187</v>
      </c>
      <c r="L48" s="261"/>
      <c r="M48" s="261"/>
      <c r="N48" s="261"/>
      <c r="O48" s="261"/>
      <c r="P48" s="262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67" t="str">
        <f>"SELISIH"&amp;CHAR(10)&amp;TEXT($L$41,"0%")</f>
        <v>SELISIH
100%</v>
      </c>
      <c r="P49" s="267" t="str">
        <f>"PER HARI"&amp;CHAR(10)&amp;TEXT($L$41,"0%")</f>
        <v>PER HARI
100%</v>
      </c>
    </row>
    <row r="50" spans="2:16" ht="19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68"/>
      <c r="P50" s="268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173</v>
      </c>
      <c r="C53" s="137" t="s">
        <v>174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>M10</f>
        <v>989456477.77127802</v>
      </c>
      <c r="H54" s="114">
        <f t="shared" ref="H54:H58" si="9">N10</f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>M11</f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>M12</f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>M13</f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>M14</f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173</v>
      </c>
      <c r="C59" s="137" t="s">
        <v>175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>M15</f>
        <v>350800236.759597</v>
      </c>
      <c r="H60" s="114">
        <f t="shared" ref="H60:H64" si="10">N15</f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>M16</f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>M17</f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>M18</f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>M19</f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 t="shared" ref="E65" si="11"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2">IFERROR(E69/D69,0)</f>
        <v>0.64887113406306818</v>
      </c>
      <c r="G69" s="184">
        <f>D69*$H$41-E69</f>
        <v>71704963.965235025</v>
      </c>
      <c r="H69" s="184">
        <f t="shared" ref="H69:H74" ca="1" si="13">IFERROR(G69/$C$3,0)</f>
        <v>0</v>
      </c>
      <c r="I69" s="204">
        <f>D69*$J$41-E69</f>
        <v>85981491.615234971</v>
      </c>
      <c r="J69" s="204">
        <f t="shared" ref="J69:J74" ca="1" si="14">IFERROR(I69/$C$3,0)</f>
        <v>0</v>
      </c>
      <c r="K69" s="185">
        <f>D69*$L$41-E69</f>
        <v>100258019.26523501</v>
      </c>
      <c r="L69" s="185">
        <f t="shared" ref="L69:L74" ca="1" si="15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2"/>
        <v>0.78089344213613221</v>
      </c>
      <c r="G70" s="184">
        <f>D70*$H$41-E70</f>
        <v>51076639.342550039</v>
      </c>
      <c r="H70" s="184">
        <f t="shared" ca="1" si="13"/>
        <v>0</v>
      </c>
      <c r="I70" s="204">
        <f>D70*$J$41-E70</f>
        <v>72518212.442550004</v>
      </c>
      <c r="J70" s="204">
        <f t="shared" ca="1" si="14"/>
        <v>0</v>
      </c>
      <c r="K70" s="185">
        <f>D70*$L$41-E70</f>
        <v>93959785.542550027</v>
      </c>
      <c r="L70" s="185">
        <f t="shared" ca="1" si="15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2"/>
        <v>1.08249150767518</v>
      </c>
      <c r="G71" s="184">
        <f>D71*$H$41-E71</f>
        <v>-203749769.85483778</v>
      </c>
      <c r="H71" s="184">
        <f t="shared" ca="1" si="13"/>
        <v>0</v>
      </c>
      <c r="I71" s="204">
        <f>D71*$J$41-E71</f>
        <v>-147925317.40483785</v>
      </c>
      <c r="J71" s="204">
        <f t="shared" ca="1" si="14"/>
        <v>0</v>
      </c>
      <c r="K71" s="185">
        <f>D71*$L$41-E71</f>
        <v>-92100864.954837799</v>
      </c>
      <c r="L71" s="185">
        <f t="shared" ca="1" si="15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2"/>
        <v>0</v>
      </c>
      <c r="G72" s="184">
        <f>D72*$H$41-E72</f>
        <v>0</v>
      </c>
      <c r="H72" s="184">
        <f t="shared" ca="1" si="13"/>
        <v>0</v>
      </c>
      <c r="I72" s="204">
        <f>D72*$J$41-E72</f>
        <v>0</v>
      </c>
      <c r="J72" s="204">
        <f t="shared" ca="1" si="14"/>
        <v>0</v>
      </c>
      <c r="K72" s="185">
        <f>D72*$L$41-E72</f>
        <v>0</v>
      </c>
      <c r="L72" s="185">
        <f t="shared" ca="1" si="15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t="shared" ca="1" si="13"/>
        <v>0</v>
      </c>
      <c r="I73" s="204">
        <f>D73*$J$41-E73</f>
        <v>0</v>
      </c>
      <c r="J73" s="204">
        <f t="shared" ca="1" si="14"/>
        <v>0</v>
      </c>
      <c r="K73" s="185">
        <f>D73*$L$41-E73</f>
        <v>0</v>
      </c>
      <c r="L73" s="185">
        <f t="shared" ca="1" si="15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2"/>
        <v>0.9442243326828319</v>
      </c>
      <c r="G74" s="181">
        <f>SUM(G69:G73)</f>
        <v>-80968166.547052711</v>
      </c>
      <c r="H74" s="181">
        <f t="shared" ca="1" si="13"/>
        <v>0</v>
      </c>
      <c r="I74" s="186">
        <f>SUM(I69:I73)</f>
        <v>10574386.652947128</v>
      </c>
      <c r="J74" s="186">
        <f t="shared" ca="1" si="14"/>
        <v>0</v>
      </c>
      <c r="K74" s="186">
        <f>SUM(K69:K73)</f>
        <v>102116939.85294724</v>
      </c>
      <c r="L74" s="186">
        <f t="shared" ca="1" si="15"/>
        <v>0</v>
      </c>
    </row>
    <row r="77" spans="2:16" ht="20.100000000000001" customHeight="1" x14ac:dyDescent="0.25">
      <c r="B77" s="249" t="s">
        <v>172</v>
      </c>
      <c r="C77" s="250"/>
      <c r="D77" s="251"/>
    </row>
    <row r="78" spans="2:16" ht="15.75" x14ac:dyDescent="0.25">
      <c r="B78" s="259" t="s">
        <v>41</v>
      </c>
      <c r="C78" s="259" t="s">
        <v>42</v>
      </c>
      <c r="D78" s="231" t="s">
        <v>138</v>
      </c>
    </row>
    <row r="79" spans="2:16" ht="15.75" x14ac:dyDescent="0.25">
      <c r="B79" s="258"/>
      <c r="C79" s="258"/>
      <c r="D79" s="70" t="s">
        <v>169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173</v>
      </c>
      <c r="C82" s="56" t="s">
        <v>174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173</v>
      </c>
      <c r="C88" s="56" t="s">
        <v>175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A4" zoomScale="91" zoomScaleNormal="91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194</v>
      </c>
      <c r="H3" s="111"/>
      <c r="I3" s="111"/>
      <c r="J3" s="218">
        <v>0</v>
      </c>
    </row>
    <row r="4" spans="2:14" x14ac:dyDescent="0.25">
      <c r="G4" s="221" t="s">
        <v>195</v>
      </c>
      <c r="H4" s="111"/>
      <c r="I4" s="111"/>
      <c r="J4" s="218">
        <v>0</v>
      </c>
    </row>
    <row r="5" spans="2:14" x14ac:dyDescent="0.25">
      <c r="G5" s="221" t="s">
        <v>196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183</v>
      </c>
      <c r="C12" s="15">
        <v>341819821.47863901</v>
      </c>
      <c r="D12" s="15">
        <v>43800016.100000001</v>
      </c>
      <c r="E12" s="15" t="s">
        <v>166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170</v>
      </c>
      <c r="C20" s="15">
        <v>195476199.69999999</v>
      </c>
      <c r="D20" s="15" t="s">
        <v>166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171</v>
      </c>
      <c r="C21" s="15">
        <v>288524887.39999998</v>
      </c>
      <c r="D21" s="15" t="s">
        <v>166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184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185</v>
      </c>
      <c r="C26" s="15">
        <v>138084633.55645701</v>
      </c>
      <c r="D26" s="15">
        <v>103844000.433377</v>
      </c>
      <c r="E26" s="15" t="s">
        <v>166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186</v>
      </c>
    </row>
    <row r="41" spans="2:19" s="191" customFormat="1" ht="27.95" customHeight="1" x14ac:dyDescent="0.25">
      <c r="B41" s="269" t="s">
        <v>190</v>
      </c>
      <c r="C41" s="270"/>
      <c r="D41" s="271"/>
      <c r="E41" s="66" t="s">
        <v>137</v>
      </c>
      <c r="F41" s="174">
        <f ca="1">IF(MONTH(TODAY())=7,DAY(TODAY())/DAY(EOMONTH(TODAY(),0)),IF(MONTH(TODAY())&gt;7,1,0))</f>
        <v>1</v>
      </c>
      <c r="G41" s="192" t="s">
        <v>188</v>
      </c>
      <c r="H41" s="198">
        <v>0.9</v>
      </c>
      <c r="I41" s="193" t="s">
        <v>188</v>
      </c>
      <c r="J41" s="199">
        <v>0.95</v>
      </c>
      <c r="K41" s="194" t="s">
        <v>189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6" t="s">
        <v>145</v>
      </c>
      <c r="C46" s="257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187</v>
      </c>
      <c r="L48" s="261"/>
      <c r="M48" s="261"/>
      <c r="N48" s="261"/>
      <c r="O48" s="261"/>
      <c r="P48" s="262"/>
    </row>
    <row r="49" spans="2:16" ht="15.75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81" t="str">
        <f>"SELISIH"&amp;CHAR(10)&amp;TEXT($L$41,"0%")</f>
        <v>SELISIH
100%</v>
      </c>
      <c r="P49" s="281" t="str">
        <f>"PER HARI"&amp;CHAR(10)&amp;TEXT($L$41,"0%")</f>
        <v>PER HARI
100%</v>
      </c>
    </row>
    <row r="50" spans="2:16" ht="15.75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82"/>
      <c r="P50" s="282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173</v>
      </c>
      <c r="C53" s="137" t="s">
        <v>174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>M10</f>
        <v>1054671906.6945471</v>
      </c>
      <c r="H54" s="114">
        <f t="shared" ref="H54:H58" si="9">N10</f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182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>M11</f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>M12</f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>M13</f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>M14</f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173</v>
      </c>
      <c r="C59" s="137" t="s">
        <v>175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>M15</f>
        <v>324688224.63140702</v>
      </c>
      <c r="H60" s="114">
        <f t="shared" ref="H60:H64" si="10">N15</f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>M16</f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>M17</f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>M18</f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>M19</f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 t="shared" ref="E65" si="11"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2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3">IFERROR(I69/$C$3,0)</f>
        <v>0</v>
      </c>
      <c r="K69" s="185">
        <f>D69*$L$41-E69</f>
        <v>46119727.030567139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2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3"/>
        <v>0</v>
      </c>
      <c r="K70" s="185">
        <f>D70*$L$41-E70</f>
        <v>-167090136.62658083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2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3"/>
        <v>0</v>
      </c>
      <c r="K71" s="185">
        <f>D71*$L$41-E71</f>
        <v>451126403.48817897</v>
      </c>
      <c r="L71" s="185">
        <f t="shared" ca="1" si="14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2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2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3"/>
        <v>0</v>
      </c>
      <c r="K74" s="186">
        <f>SUM(K69:K73)</f>
        <v>330155993.8921653</v>
      </c>
      <c r="L74" s="186">
        <f t="shared" ca="1" si="14"/>
        <v>0</v>
      </c>
    </row>
    <row r="77" spans="2:16" ht="20.100000000000001" customHeight="1" x14ac:dyDescent="0.25">
      <c r="B77" s="249" t="s">
        <v>172</v>
      </c>
      <c r="C77" s="250"/>
      <c r="D77" s="251"/>
    </row>
    <row r="78" spans="2:16" ht="15.75" x14ac:dyDescent="0.25">
      <c r="B78" s="259" t="s">
        <v>41</v>
      </c>
      <c r="C78" s="259" t="s">
        <v>42</v>
      </c>
      <c r="D78" s="231" t="s">
        <v>138</v>
      </c>
    </row>
    <row r="79" spans="2:16" ht="15.75" x14ac:dyDescent="0.25">
      <c r="B79" s="258"/>
      <c r="C79" s="258"/>
      <c r="D79" s="70" t="s">
        <v>169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173</v>
      </c>
      <c r="C82" s="56" t="s">
        <v>174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182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173</v>
      </c>
      <c r="C88" s="56" t="s">
        <v>175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B41:D41"/>
    <mergeCell ref="B48:J48"/>
    <mergeCell ref="B46:C46"/>
    <mergeCell ref="B49:B50"/>
    <mergeCell ref="C49:C50"/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abSelected="1" topLeftCell="A74" zoomScale="87" zoomScaleNormal="91" workbookViewId="0">
      <selection activeCell="E89" sqref="E8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5703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193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3</v>
      </c>
      <c r="D3" s="76" t="s">
        <v>104</v>
      </c>
      <c r="E3" s="77">
        <f ca="1">DAY(EOMONTH(DATE(YEAR(TODAY()),8,1),0))</f>
        <v>31</v>
      </c>
      <c r="G3" s="221" t="s">
        <v>194</v>
      </c>
      <c r="H3" s="111"/>
      <c r="I3" s="111"/>
      <c r="J3" s="218">
        <v>2</v>
      </c>
    </row>
    <row r="4" spans="2:15" x14ac:dyDescent="0.25">
      <c r="G4" s="221" t="s">
        <v>195</v>
      </c>
      <c r="H4" s="111"/>
      <c r="I4" s="111"/>
      <c r="J4" s="218">
        <v>0</v>
      </c>
    </row>
    <row r="5" spans="2:15" x14ac:dyDescent="0.25">
      <c r="G5" s="221" t="s">
        <v>196</v>
      </c>
      <c r="H5" s="111"/>
      <c r="I5" s="111"/>
      <c r="J5" s="218"/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234">
        <v>148548971.92346001</v>
      </c>
      <c r="D10" s="234">
        <v>34675794.324588999</v>
      </c>
      <c r="E10" s="234">
        <v>201845017.44949499</v>
      </c>
      <c r="F10" s="234">
        <v>158023556.22</v>
      </c>
      <c r="G10" s="234">
        <v>543093339.91754401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216</v>
      </c>
      <c r="C11" s="234">
        <v>324305725.654459</v>
      </c>
      <c r="D11" s="234">
        <v>74140960.586657003</v>
      </c>
      <c r="E11" s="234">
        <v>111974290.83337</v>
      </c>
      <c r="F11" s="234">
        <v>282497104.13999999</v>
      </c>
      <c r="G11" s="234">
        <v>792918081.214486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215</v>
      </c>
      <c r="C12" s="234">
        <v>3123423.4199979999</v>
      </c>
      <c r="D12" s="234">
        <v>17913431</v>
      </c>
      <c r="E12" s="234">
        <v>305207208.67878997</v>
      </c>
      <c r="F12" s="234">
        <v>0</v>
      </c>
      <c r="G12" s="234">
        <v>326244063.09878802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234">
        <v>165127480.62579501</v>
      </c>
      <c r="D13" s="234">
        <v>57055830.666670002</v>
      </c>
      <c r="E13" s="234">
        <v>143153326.91960201</v>
      </c>
      <c r="F13" s="234">
        <v>81188783.25</v>
      </c>
      <c r="G13" s="234">
        <v>446525421.46206701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234">
        <v>41524631.450832002</v>
      </c>
      <c r="D14" s="234">
        <v>24544590.529956002</v>
      </c>
      <c r="E14" s="234">
        <v>213680964.269348</v>
      </c>
      <c r="F14" s="234">
        <v>46246621.840000004</v>
      </c>
      <c r="G14" s="234">
        <v>325996808.09013599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234">
        <v>707734634.90601301</v>
      </c>
      <c r="D15" s="234">
        <v>27756665.599851999</v>
      </c>
      <c r="E15" s="234">
        <v>154753955.22001499</v>
      </c>
      <c r="F15" s="234">
        <v>382338202.54978102</v>
      </c>
      <c r="G15" s="234">
        <v>1272583458.275661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234">
        <v>437919164.53906399</v>
      </c>
      <c r="D16" s="234">
        <v>1085666.664998</v>
      </c>
      <c r="E16" s="234">
        <v>97990094.889935002</v>
      </c>
      <c r="F16" s="234">
        <v>14702973.119999999</v>
      </c>
      <c r="G16" s="234">
        <v>551697899.21399701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234">
        <v>611345406.22811997</v>
      </c>
      <c r="D17" s="234">
        <v>74143784.859764993</v>
      </c>
      <c r="E17" s="234">
        <v>307286171.54949898</v>
      </c>
      <c r="F17" s="234">
        <v>1342211628.6399341</v>
      </c>
      <c r="G17" s="234">
        <v>2334986991.277318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234">
        <v>102129134.163663</v>
      </c>
      <c r="D18" s="234">
        <v>12358157.569896</v>
      </c>
      <c r="E18" s="234">
        <v>110696937.35874</v>
      </c>
      <c r="F18" s="234">
        <v>34412433.137999997</v>
      </c>
      <c r="G18" s="234">
        <v>259596662.230299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234">
        <v>12329000</v>
      </c>
      <c r="D19" s="234">
        <v>103268962.47079</v>
      </c>
      <c r="E19" s="234">
        <v>37754395.5</v>
      </c>
      <c r="F19" s="234">
        <v>84291893.659999996</v>
      </c>
      <c r="G19" s="234">
        <v>237644251.63079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170</v>
      </c>
      <c r="C20" s="234">
        <v>181076540.96000001</v>
      </c>
      <c r="D20" s="234">
        <v>0</v>
      </c>
      <c r="E20" s="234">
        <v>0</v>
      </c>
      <c r="F20" s="234">
        <v>10162161.880000001</v>
      </c>
      <c r="G20" s="234">
        <v>191238702.84</v>
      </c>
      <c r="H20" s="111"/>
      <c r="I20" s="111"/>
      <c r="J20" s="111"/>
      <c r="M20" s="14">
        <f>SUM(C30,C35)</f>
        <v>822000</v>
      </c>
      <c r="N20" s="10" t="s">
        <v>119</v>
      </c>
    </row>
    <row r="21" spans="2:15" x14ac:dyDescent="0.25">
      <c r="B21" s="72" t="s">
        <v>171</v>
      </c>
      <c r="C21" s="234">
        <v>394770155.39999998</v>
      </c>
      <c r="D21" s="234">
        <v>0</v>
      </c>
      <c r="E21" s="234">
        <v>0</v>
      </c>
      <c r="F21" s="234">
        <v>16384323.880000001</v>
      </c>
      <c r="G21" s="234">
        <v>411154479.27999997</v>
      </c>
      <c r="H21" s="111"/>
      <c r="I21" s="111"/>
      <c r="J21" s="111"/>
      <c r="M21" s="14">
        <f>SUM(C33,C34)+M20</f>
        <v>706255031.93172801</v>
      </c>
      <c r="N21" s="10" t="s">
        <v>121</v>
      </c>
    </row>
    <row r="22" spans="2:15" x14ac:dyDescent="0.25">
      <c r="B22" s="72" t="s">
        <v>124</v>
      </c>
      <c r="C22" s="234">
        <v>253008958.53975001</v>
      </c>
      <c r="D22" s="234">
        <v>42295988.919471003</v>
      </c>
      <c r="E22" s="234">
        <v>129007973.439775</v>
      </c>
      <c r="F22" s="234">
        <v>422380732.75984502</v>
      </c>
      <c r="G22" s="234">
        <v>846693653.65884101</v>
      </c>
      <c r="H22" s="111"/>
      <c r="I22" s="111"/>
      <c r="J22" s="111"/>
    </row>
    <row r="23" spans="2:15" x14ac:dyDescent="0.25">
      <c r="B23" s="72" t="s">
        <v>125</v>
      </c>
      <c r="C23" s="234">
        <v>296482384.99711603</v>
      </c>
      <c r="D23" s="234">
        <v>76344627.269869998</v>
      </c>
      <c r="E23" s="234">
        <v>196866894.838698</v>
      </c>
      <c r="F23" s="234">
        <v>325392424.81942898</v>
      </c>
      <c r="G23" s="234">
        <v>895086331.92511296</v>
      </c>
      <c r="H23" s="111"/>
      <c r="I23" s="111"/>
      <c r="J23" s="111"/>
    </row>
    <row r="24" spans="2:15" x14ac:dyDescent="0.25">
      <c r="B24" s="72" t="s">
        <v>126</v>
      </c>
      <c r="C24" s="234">
        <v>386904925.25418103</v>
      </c>
      <c r="D24" s="234">
        <v>53890954.970452003</v>
      </c>
      <c r="E24" s="234">
        <v>190787984.24993801</v>
      </c>
      <c r="F24" s="234">
        <v>606427416.90921795</v>
      </c>
      <c r="G24" s="234">
        <v>1238011281.3837891</v>
      </c>
      <c r="H24" s="111"/>
      <c r="I24" s="111"/>
      <c r="J24" s="111"/>
    </row>
    <row r="25" spans="2:15" x14ac:dyDescent="0.25">
      <c r="B25" s="72" t="s">
        <v>184</v>
      </c>
      <c r="C25" s="234">
        <v>129801367.359348</v>
      </c>
      <c r="D25" s="234">
        <v>92258790.697632998</v>
      </c>
      <c r="E25" s="234">
        <v>152757208.489638</v>
      </c>
      <c r="F25" s="234">
        <v>55090008.539999999</v>
      </c>
      <c r="G25" s="234">
        <v>429907375.08661902</v>
      </c>
      <c r="H25" s="111"/>
      <c r="I25" s="111"/>
      <c r="J25" s="111"/>
    </row>
    <row r="26" spans="2:15" x14ac:dyDescent="0.25">
      <c r="B26" s="72" t="s">
        <v>127</v>
      </c>
      <c r="C26" s="234">
        <v>296621622.48543602</v>
      </c>
      <c r="D26" s="234">
        <v>204510362.406059</v>
      </c>
      <c r="E26" s="234">
        <v>287992748.54679501</v>
      </c>
      <c r="F26" s="234">
        <v>17193081.429000001</v>
      </c>
      <c r="G26" s="234">
        <v>806317814.86729002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234">
        <v>249028817.739032</v>
      </c>
      <c r="G31" s="111"/>
      <c r="H31" s="111"/>
      <c r="I31" s="111"/>
    </row>
    <row r="32" spans="2:15" x14ac:dyDescent="0.25">
      <c r="B32" s="81" t="s">
        <v>132</v>
      </c>
      <c r="C32" s="234">
        <v>374557187.54245001</v>
      </c>
      <c r="G32" s="111"/>
      <c r="H32" s="111"/>
      <c r="I32" s="111"/>
    </row>
    <row r="33" spans="2:19" x14ac:dyDescent="0.25">
      <c r="B33" s="81" t="s">
        <v>133</v>
      </c>
      <c r="C33" s="234">
        <v>136227366.02619001</v>
      </c>
      <c r="G33" s="111"/>
      <c r="H33" s="111"/>
      <c r="I33" s="111"/>
    </row>
    <row r="34" spans="2:19" x14ac:dyDescent="0.25">
      <c r="B34" s="81" t="s">
        <v>134</v>
      </c>
      <c r="C34" s="234">
        <v>569205665.90553796</v>
      </c>
      <c r="G34" s="111"/>
      <c r="H34" s="111"/>
      <c r="I34" s="111"/>
    </row>
    <row r="35" spans="2:19" x14ac:dyDescent="0.25">
      <c r="B35" s="81" t="s">
        <v>135</v>
      </c>
      <c r="C35" s="234">
        <v>822000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186</v>
      </c>
    </row>
    <row r="40" spans="2:19" ht="18.75" x14ac:dyDescent="0.25">
      <c r="B40" s="269" t="s">
        <v>222</v>
      </c>
      <c r="C40" s="270"/>
      <c r="D40" s="271"/>
      <c r="E40" s="66" t="s">
        <v>137</v>
      </c>
      <c r="F40" s="174">
        <f ca="1">IF(MONTH(TODAY())=8,DAY(TODAY())/DAY(EOMONTH(TODAY(),0)),IF(MONTH(TODAY())&gt;8,1,0))</f>
        <v>0.83870967741935487</v>
      </c>
      <c r="G40" s="192" t="s">
        <v>188</v>
      </c>
      <c r="H40" s="198">
        <v>1</v>
      </c>
      <c r="I40" s="201" t="s">
        <v>188</v>
      </c>
      <c r="J40" s="199">
        <v>1</v>
      </c>
      <c r="K40" s="194" t="s">
        <v>189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100%</v>
      </c>
      <c r="H41" s="182" t="str">
        <f>"PER HARI"&amp;CHAR(10)&amp;TEXT($H$40,"0%")</f>
        <v>PER HARI
100%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4054834363.3681707</v>
      </c>
      <c r="F42" s="176">
        <f>IFERROR(E42/D42,0)</f>
        <v>0.82288262101107801</v>
      </c>
      <c r="G42" s="184">
        <f>D42*$H$40-E42</f>
        <v>872763157.63182926</v>
      </c>
      <c r="H42" s="184">
        <f ca="1">IFERROR(G42/$C$3,0)</f>
        <v>290921052.54394311</v>
      </c>
      <c r="I42" s="204">
        <f>D42*$J$40-E42</f>
        <v>872763157.63182926</v>
      </c>
      <c r="J42" s="204">
        <f ca="1">IFERROR(I42/$C$3,0)</f>
        <v>290921052.54394311</v>
      </c>
      <c r="K42" s="185">
        <f>D42*$L$40-E42</f>
        <v>872763157.63182926</v>
      </c>
      <c r="L42" s="185">
        <f ca="1">IFERROR(K42/$C$3,0)</f>
        <v>290921052.54394311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895158901.87165999</v>
      </c>
      <c r="F43" s="176">
        <f>IFERROR(E43/D43,0)</f>
        <v>0.69153983885274495</v>
      </c>
      <c r="G43" s="184">
        <f>D43*$H$40-E43</f>
        <v>399284095.59427953</v>
      </c>
      <c r="H43" s="184">
        <f ca="1">IFERROR(G43/$C$3,0)</f>
        <v>133094698.5314265</v>
      </c>
      <c r="I43" s="204">
        <f>D43*$J$40-E43</f>
        <v>399284095.59427953</v>
      </c>
      <c r="J43" s="204">
        <f ca="1">IFERROR(I43/$C$3,0)</f>
        <v>133094698.5314265</v>
      </c>
      <c r="K43" s="185">
        <f>D43*$L$40-E43</f>
        <v>399284095.59427953</v>
      </c>
      <c r="L43" s="185">
        <f ca="1">IFERROR(K43/$C$3,0)</f>
        <v>133094698.5314265</v>
      </c>
      <c r="S43" s="173">
        <v>0.85</v>
      </c>
    </row>
    <row r="44" spans="2:19" x14ac:dyDescent="0.25">
      <c r="B44" s="109" t="s">
        <v>209</v>
      </c>
      <c r="C44" s="41" t="s">
        <v>143</v>
      </c>
      <c r="D44" s="45">
        <f>SUM(TARGETS!AA5:AA18)</f>
        <v>3216211725</v>
      </c>
      <c r="E44" s="46">
        <f>J65</f>
        <v>2543765077.3437028</v>
      </c>
      <c r="F44" s="176">
        <f>IFERROR(E44/D44,0)</f>
        <v>0.79091965792261476</v>
      </c>
      <c r="G44" s="184">
        <f>IF(D44=0,0,D44*$H$40-E44)</f>
        <v>672446647.65629721</v>
      </c>
      <c r="H44" s="184">
        <f ca="1">IFERROR(G44/$C$3,0)</f>
        <v>224148882.55209908</v>
      </c>
      <c r="I44" s="204">
        <f>IF(D44=0,0,D44*$J$40-E44)</f>
        <v>672446647.65629721</v>
      </c>
      <c r="J44" s="204">
        <f ca="1">IFERROR(I44/$C$3,0)</f>
        <v>224148882.55209908</v>
      </c>
      <c r="K44" s="185">
        <f>IF(D44=0,0,D44*$L$40-E44)</f>
        <v>672446647.65629721</v>
      </c>
      <c r="L44" s="185">
        <f ca="1">IFERROR(K44/$C$3,0)</f>
        <v>224148882.55209908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SUM(C31,C32)+M21</f>
        <v>1329841037.2132101</v>
      </c>
      <c r="F45" s="176">
        <f>IFERROR(E45/D45,0)</f>
        <v>0.71268561857492441</v>
      </c>
      <c r="G45" s="184">
        <f>D45*$H$40-E45</f>
        <v>536116409.59530067</v>
      </c>
      <c r="H45" s="184">
        <f ca="1">IFERROR(G45/$C$3,0)</f>
        <v>178705469.86510023</v>
      </c>
      <c r="I45" s="204">
        <f>D45*$J$40-E45</f>
        <v>536116409.59530067</v>
      </c>
      <c r="J45" s="204">
        <f ca="1">IFERROR(I45/$C$3,0)</f>
        <v>178705469.86510023</v>
      </c>
      <c r="K45" s="185">
        <f>D45*$L$40-E45</f>
        <v>536116409.59530067</v>
      </c>
      <c r="L45" s="185">
        <f ca="1">IFERROR(K45/$C$3,0)</f>
        <v>178705469.86510023</v>
      </c>
      <c r="S45" s="173">
        <v>0.95</v>
      </c>
    </row>
    <row r="46" spans="2:19" x14ac:dyDescent="0.25">
      <c r="B46" s="256" t="s">
        <v>145</v>
      </c>
      <c r="C46" s="257"/>
      <c r="D46" s="47">
        <f>SUM(D42:D45)</f>
        <v>11304209690.274448</v>
      </c>
      <c r="E46" s="47">
        <f>SUM(E42:E45)</f>
        <v>8823599379.7967453</v>
      </c>
      <c r="F46" s="177">
        <f>IFERROR(E46/D46,0)</f>
        <v>0.7805587141034821</v>
      </c>
      <c r="G46" s="181">
        <f>SUM(G42:G45)</f>
        <v>2480610310.4777069</v>
      </c>
      <c r="H46" s="181">
        <f ca="1">IFERROR(G46/$C$3,0)</f>
        <v>826870103.49256897</v>
      </c>
      <c r="I46" s="186">
        <f>SUM(I42:I45)</f>
        <v>2480610310.4777069</v>
      </c>
      <c r="J46" s="186">
        <f ca="1">IFERROR(I46/$C$3,0)</f>
        <v>826870103.49256897</v>
      </c>
      <c r="K46" s="186">
        <f>SUM(K42:K45)</f>
        <v>2480610310.4777069</v>
      </c>
      <c r="L46" s="186">
        <f ca="1">IFERROR(K46/$C$3,0)</f>
        <v>826870103.49256897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72" t="s">
        <v>214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187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100%</v>
      </c>
      <c r="N49" s="263" t="str">
        <f>"PER HARI"&amp;CHAR(10)&amp;TEXT($H$40,"0%")</f>
        <v>PER HARI
100%</v>
      </c>
      <c r="O49" s="265" t="str">
        <f>"SELISIH"&amp;CHAR(10)&amp;TEXT($J$40,"0%")</f>
        <v>SELISIH
100%</v>
      </c>
      <c r="P49" s="265" t="str">
        <f>"PER HARI"&amp;CHAR(10)&amp;TEXT($J$40,"0%")</f>
        <v>PER HARI
100%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5.75" x14ac:dyDescent="0.25">
      <c r="B50" s="259"/>
      <c r="C50" s="259"/>
      <c r="D50" s="70" t="s">
        <v>149</v>
      </c>
      <c r="E50" s="70" t="s">
        <v>150</v>
      </c>
      <c r="F50" s="70" t="s">
        <v>211</v>
      </c>
      <c r="G50" s="70" t="s">
        <v>130</v>
      </c>
      <c r="H50" s="113" t="s">
        <v>149</v>
      </c>
      <c r="I50" s="113" t="s">
        <v>150</v>
      </c>
      <c r="J50" s="113" t="s">
        <v>211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2" t="s">
        <v>217</v>
      </c>
      <c r="U50" s="172" t="s">
        <v>218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 cm="1">
        <f t="array" ref="H51">SUM(SUMIF($B$10:$B$26,$T51:$U51,C$10:C$26))</f>
        <v>253008958.53975001</v>
      </c>
      <c r="I51" s="114" cm="1">
        <f t="array" ref="I51">SUM(SUMIF($B$10:$B$26,$T51:$U51,D$10:D$26))</f>
        <v>42295988.919471003</v>
      </c>
      <c r="J51" s="114" cm="1">
        <f t="array" ref="J51">SUM(SUMIF($B$10:$B$26,$T51:$U51,E$10:E$26))</f>
        <v>129007973.439775</v>
      </c>
      <c r="K51" s="114">
        <f t="shared" ref="K51:K64" si="1">SUM(H51:J51)</f>
        <v>424312920.898996</v>
      </c>
      <c r="L51" s="187">
        <f t="shared" ref="L51:L65" si="2">IFERROR(K51/G51,0)</f>
        <v>0.749835294309387</v>
      </c>
      <c r="M51" s="184">
        <f t="shared" ref="M51:M64" si="3">G51*$H$40-K51</f>
        <v>141561910.7062521</v>
      </c>
      <c r="N51" s="184">
        <f t="shared" ref="N51:N65" ca="1" si="4">IFERROR(M51/$C$3,0)</f>
        <v>47187303.568750702</v>
      </c>
      <c r="O51" s="180">
        <f t="shared" ref="O51:O64" si="5">G51*$J$40-K51</f>
        <v>141561910.7062521</v>
      </c>
      <c r="P51" s="180">
        <f t="shared" ref="P51:P65" ca="1" si="6">IFERROR(O51/$C$3,0)</f>
        <v>47187303.568750702</v>
      </c>
      <c r="Q51" s="185">
        <f t="shared" ref="Q51:Q64" si="7">G51*$L$40-K51</f>
        <v>141561910.7062521</v>
      </c>
      <c r="R51" s="185">
        <f t="shared" ref="R51:R65" ca="1" si="8">IFERROR(Q51/$C$3,0)</f>
        <v>47187303.568750702</v>
      </c>
      <c r="T51" t="s">
        <v>124</v>
      </c>
      <c r="U51" t="s">
        <v>219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 cm="1">
        <f t="array" ref="H52">SUM(SUMIF($B$10:$B$26,$T52:$U52,C$10:C$26))</f>
        <v>206652112.07662702</v>
      </c>
      <c r="I52" s="114" cm="1">
        <f t="array" ref="I52">SUM(SUMIF($B$10:$B$26,$T52:$U52,D$10:D$26))</f>
        <v>81600421.196626008</v>
      </c>
      <c r="J52" s="114" cm="1">
        <f t="array" ref="J52">SUM(SUMIF($B$10:$B$26,$T52:$U52,E$10:E$26))</f>
        <v>356834291.18895</v>
      </c>
      <c r="K52" s="114">
        <f t="shared" si="1"/>
        <v>645086824.46220303</v>
      </c>
      <c r="L52" s="187">
        <f t="shared" si="2"/>
        <v>0.77068432997389913</v>
      </c>
      <c r="M52" s="184">
        <f t="shared" si="3"/>
        <v>191944368.95008588</v>
      </c>
      <c r="N52" s="184">
        <f t="shared" ca="1" si="4"/>
        <v>63981456.316695295</v>
      </c>
      <c r="O52" s="180">
        <f t="shared" si="5"/>
        <v>191944368.95008588</v>
      </c>
      <c r="P52" s="180">
        <f t="shared" ca="1" si="6"/>
        <v>63981456.316695295</v>
      </c>
      <c r="Q52" s="185">
        <f t="shared" si="7"/>
        <v>191944368.95008588</v>
      </c>
      <c r="R52" s="185">
        <f t="shared" ca="1" si="8"/>
        <v>63981456.316695295</v>
      </c>
      <c r="T52" t="s">
        <v>70</v>
      </c>
      <c r="U52" t="s">
        <v>114</v>
      </c>
    </row>
    <row r="53" spans="2:21" x14ac:dyDescent="0.25">
      <c r="B53" s="136" t="s">
        <v>173</v>
      </c>
      <c r="C53" s="137" t="s">
        <v>174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 cm="1">
        <f t="array" ref="H53">SUM(SUMIF($B$10:$B$26,$T53:$U53,C$10:C$26))</f>
        <v>181076540.96000001</v>
      </c>
      <c r="I53" s="114" cm="1">
        <f t="array" ref="I53">SUM(SUMIF($B$10:$B$26,$T53:$U53,D$10:D$26))</f>
        <v>0</v>
      </c>
      <c r="J53" s="114" cm="1">
        <f t="array" ref="J53">SUM(SUMIF($B$10:$B$26,$T53:$U53,E$10:E$26))</f>
        <v>0</v>
      </c>
      <c r="K53" s="114">
        <f t="shared" si="1"/>
        <v>181076540.96000001</v>
      </c>
      <c r="L53" s="187">
        <f t="shared" si="2"/>
        <v>0.68862674567010729</v>
      </c>
      <c r="M53" s="184">
        <f t="shared" si="3"/>
        <v>81876564.039999992</v>
      </c>
      <c r="N53" s="184">
        <f t="shared" ca="1" si="4"/>
        <v>27292188.013333332</v>
      </c>
      <c r="O53" s="180">
        <f t="shared" si="5"/>
        <v>81876564.039999992</v>
      </c>
      <c r="P53" s="180">
        <f t="shared" ca="1" si="6"/>
        <v>27292188.013333332</v>
      </c>
      <c r="Q53" s="185">
        <f t="shared" si="7"/>
        <v>81876564.039999992</v>
      </c>
      <c r="R53" s="185">
        <f t="shared" ca="1" si="8"/>
        <v>27292188.013333332</v>
      </c>
      <c r="T53" t="s">
        <v>170</v>
      </c>
      <c r="U53" t="s">
        <v>219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 cm="1">
        <f t="array" ref="H54">SUM(SUMIF($B$10:$B$26,$T54:$U54,C$10:C$26))</f>
        <v>707734634.90601301</v>
      </c>
      <c r="I54" s="114" cm="1">
        <f t="array" ref="I54">SUM(SUMIF($B$10:$B$26,$T54:$U54,D$10:D$26))</f>
        <v>27756665.599851999</v>
      </c>
      <c r="J54" s="114" cm="1">
        <f t="array" ref="J54">SUM(SUMIF($B$10:$B$26,$T54:$U54,E$10:E$26))</f>
        <v>154753955.22001499</v>
      </c>
      <c r="K54" s="114">
        <f t="shared" si="1"/>
        <v>890245255.72587991</v>
      </c>
      <c r="L54" s="187">
        <f t="shared" si="2"/>
        <v>1.1440107189177278</v>
      </c>
      <c r="M54" s="184">
        <f t="shared" si="3"/>
        <v>-112066134.67001987</v>
      </c>
      <c r="N54" s="184">
        <f t="shared" ca="1" si="4"/>
        <v>-37355378.223339953</v>
      </c>
      <c r="O54" s="180">
        <f t="shared" si="5"/>
        <v>-112066134.67001987</v>
      </c>
      <c r="P54" s="180">
        <f t="shared" ca="1" si="6"/>
        <v>-37355378.223339953</v>
      </c>
      <c r="Q54" s="185">
        <f t="shared" si="7"/>
        <v>-112066134.67001987</v>
      </c>
      <c r="R54" s="185">
        <f t="shared" ca="1" si="8"/>
        <v>-37355378.223339953</v>
      </c>
      <c r="T54" t="s">
        <v>115</v>
      </c>
      <c r="U54" t="s">
        <v>219</v>
      </c>
    </row>
    <row r="55" spans="2:21" x14ac:dyDescent="0.25">
      <c r="B55" s="50" t="s">
        <v>73</v>
      </c>
      <c r="C55" s="55" t="s">
        <v>191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>C12</f>
        <v>3123423.4199979999</v>
      </c>
      <c r="I55" s="114">
        <f>D12</f>
        <v>17913431</v>
      </c>
      <c r="J55" s="114">
        <f>E12</f>
        <v>305207208.67878997</v>
      </c>
      <c r="K55" s="114">
        <f t="shared" si="1"/>
        <v>326244063.09878796</v>
      </c>
      <c r="L55" s="187">
        <f t="shared" si="2"/>
        <v>0.5921941536581673</v>
      </c>
      <c r="M55" s="184">
        <f t="shared" si="3"/>
        <v>224663204.5320676</v>
      </c>
      <c r="N55" s="184">
        <f t="shared" ca="1" si="4"/>
        <v>74887734.844022527</v>
      </c>
      <c r="O55" s="180">
        <f t="shared" si="5"/>
        <v>224663204.5320676</v>
      </c>
      <c r="P55" s="180">
        <f t="shared" ca="1" si="6"/>
        <v>74887734.844022527</v>
      </c>
      <c r="Q55" s="185">
        <f t="shared" si="7"/>
        <v>224663204.5320676</v>
      </c>
      <c r="R55" s="185">
        <f t="shared" ca="1" si="8"/>
        <v>74887734.844022527</v>
      </c>
      <c r="T55" t="s">
        <v>220</v>
      </c>
      <c r="U55" t="s">
        <v>219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 cm="1">
        <f t="array" ref="H56">SUM(SUMIF($B$10:$B$26,$T56:$U56,C$10:C$26))</f>
        <v>129801367.359348</v>
      </c>
      <c r="I56" s="114" cm="1">
        <f t="array" ref="I56">SUM(SUMIF($B$10:$B$26,$T56:$U56,D$10:D$26))</f>
        <v>92258790.697632998</v>
      </c>
      <c r="J56" s="114" cm="1">
        <f t="array" ref="J56">SUM(SUMIF($B$10:$B$26,$T56:$U56,E$10:E$26))</f>
        <v>152757208.489638</v>
      </c>
      <c r="K56" s="114">
        <f t="shared" si="1"/>
        <v>374817366.546619</v>
      </c>
      <c r="L56" s="187">
        <f t="shared" si="2"/>
        <v>0.59831653172592336</v>
      </c>
      <c r="M56" s="184">
        <f t="shared" si="3"/>
        <v>251635934.79440969</v>
      </c>
      <c r="N56" s="184">
        <f t="shared" ca="1" si="4"/>
        <v>83878644.931469902</v>
      </c>
      <c r="O56" s="180">
        <f t="shared" si="5"/>
        <v>251635934.79440969</v>
      </c>
      <c r="P56" s="180">
        <f t="shared" ca="1" si="6"/>
        <v>83878644.931469902</v>
      </c>
      <c r="Q56" s="185">
        <f t="shared" si="7"/>
        <v>251635934.79440969</v>
      </c>
      <c r="R56" s="185">
        <f t="shared" ca="1" si="8"/>
        <v>83878644.931469902</v>
      </c>
      <c r="T56" t="s">
        <v>184</v>
      </c>
      <c r="U56" t="s">
        <v>219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 cm="1">
        <f t="array" ref="H57">SUM(SUMIF($B$10:$B$26,$T57:$U57,C$10:C$26))</f>
        <v>611345406.22811997</v>
      </c>
      <c r="I57" s="114" cm="1">
        <f t="array" ref="I57">SUM(SUMIF($B$10:$B$26,$T57:$U57,D$10:D$26))</f>
        <v>74143784.859764993</v>
      </c>
      <c r="J57" s="114" cm="1">
        <f t="array" ref="J57">SUM(SUMIF($B$10:$B$26,$T57:$U57,E$10:E$26))</f>
        <v>307286171.54949898</v>
      </c>
      <c r="K57" s="114">
        <f t="shared" si="1"/>
        <v>992775362.63738394</v>
      </c>
      <c r="L57" s="187">
        <f t="shared" si="2"/>
        <v>0.85533103978917735</v>
      </c>
      <c r="M57" s="184">
        <f t="shared" si="3"/>
        <v>167916014.68254113</v>
      </c>
      <c r="N57" s="184">
        <f t="shared" ca="1" si="4"/>
        <v>55972004.89418038</v>
      </c>
      <c r="O57" s="180">
        <f t="shared" si="5"/>
        <v>167916014.68254113</v>
      </c>
      <c r="P57" s="180">
        <f t="shared" ca="1" si="6"/>
        <v>55972004.89418038</v>
      </c>
      <c r="Q57" s="185">
        <f t="shared" si="7"/>
        <v>167916014.68254113</v>
      </c>
      <c r="R57" s="185">
        <f t="shared" ca="1" si="8"/>
        <v>55972004.89418038</v>
      </c>
      <c r="T57" t="s">
        <v>120</v>
      </c>
      <c r="U57" t="s">
        <v>219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 cm="1">
        <f t="array" ref="H58">SUM(SUMIF($B$10:$B$26,$T58:$U58,C$10:C$26))</f>
        <v>296482384.99711603</v>
      </c>
      <c r="I58" s="114" cm="1">
        <f t="array" ref="I58">SUM(SUMIF($B$10:$B$26,$T58:$U58,D$10:D$26))</f>
        <v>76344627.269869998</v>
      </c>
      <c r="J58" s="114" cm="1">
        <f t="array" ref="J58">SUM(SUMIF($B$10:$B$26,$T58:$U58,E$10:E$26))</f>
        <v>196866894.838698</v>
      </c>
      <c r="K58" s="114">
        <f t="shared" si="1"/>
        <v>569693907.10568404</v>
      </c>
      <c r="L58" s="187">
        <f t="shared" si="2"/>
        <v>0.85528301245308258</v>
      </c>
      <c r="M58" s="184">
        <f t="shared" si="3"/>
        <v>96394275.181153059</v>
      </c>
      <c r="N58" s="184">
        <f t="shared" ca="1" si="4"/>
        <v>32131425.060384352</v>
      </c>
      <c r="O58" s="180">
        <f t="shared" si="5"/>
        <v>96394275.181153059</v>
      </c>
      <c r="P58" s="180">
        <f t="shared" ca="1" si="6"/>
        <v>32131425.060384352</v>
      </c>
      <c r="Q58" s="185">
        <f t="shared" si="7"/>
        <v>96394275.181153059</v>
      </c>
      <c r="R58" s="185">
        <f t="shared" ca="1" si="8"/>
        <v>32131425.060384352</v>
      </c>
      <c r="T58" t="s">
        <v>125</v>
      </c>
      <c r="U58" t="s">
        <v>219</v>
      </c>
    </row>
    <row r="59" spans="2:21" x14ac:dyDescent="0.25">
      <c r="B59" s="136" t="s">
        <v>173</v>
      </c>
      <c r="C59" s="137" t="s">
        <v>175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 cm="1">
        <f t="array" ref="H59">SUM(SUMIF($B$10:$B$26,$T59:$U59,C$10:C$26))</f>
        <v>394770155.39999998</v>
      </c>
      <c r="I59" s="114" cm="1">
        <f t="array" ref="I59">SUM(SUMIF($B$10:$B$26,$T59:$U59,D$10:D$26))</f>
        <v>0</v>
      </c>
      <c r="J59" s="114" cm="1">
        <f t="array" ref="J59">SUM(SUMIF($B$10:$B$26,$T59:$U59,E$10:E$26))</f>
        <v>0</v>
      </c>
      <c r="K59" s="114">
        <f t="shared" si="1"/>
        <v>394770155.39999998</v>
      </c>
      <c r="L59" s="187">
        <f t="shared" si="2"/>
        <v>0.88942903297272558</v>
      </c>
      <c r="M59" s="184">
        <f t="shared" si="3"/>
        <v>49076560.600000024</v>
      </c>
      <c r="N59" s="184">
        <f t="shared" ca="1" si="4"/>
        <v>16358853.533333341</v>
      </c>
      <c r="O59" s="180">
        <f t="shared" si="5"/>
        <v>49076560.600000024</v>
      </c>
      <c r="P59" s="180">
        <f t="shared" ca="1" si="6"/>
        <v>16358853.533333341</v>
      </c>
      <c r="Q59" s="185">
        <f t="shared" si="7"/>
        <v>49076560.600000024</v>
      </c>
      <c r="R59" s="185">
        <f t="shared" ca="1" si="8"/>
        <v>16358853.533333341</v>
      </c>
      <c r="T59" t="s">
        <v>171</v>
      </c>
      <c r="U59" t="s">
        <v>219</v>
      </c>
    </row>
    <row r="60" spans="2:21" x14ac:dyDescent="0.25">
      <c r="B60" s="53" t="s">
        <v>80</v>
      </c>
      <c r="C60" s="56" t="s">
        <v>191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>C11</f>
        <v>324305725.654459</v>
      </c>
      <c r="I60" s="114">
        <f>D11</f>
        <v>74140960.586657003</v>
      </c>
      <c r="J60" s="114">
        <f>E11</f>
        <v>111974290.83337</v>
      </c>
      <c r="K60" s="114">
        <f t="shared" si="1"/>
        <v>510420977.07448602</v>
      </c>
      <c r="L60" s="187">
        <f t="shared" si="2"/>
        <v>0.80930112707997104</v>
      </c>
      <c r="M60" s="184">
        <f t="shared" si="3"/>
        <v>120272543.53894663</v>
      </c>
      <c r="N60" s="184">
        <f t="shared" ca="1" si="4"/>
        <v>40090847.84631554</v>
      </c>
      <c r="O60" s="180">
        <f t="shared" si="5"/>
        <v>120272543.53894663</v>
      </c>
      <c r="P60" s="180">
        <f t="shared" ca="1" si="6"/>
        <v>40090847.84631554</v>
      </c>
      <c r="Q60" s="185">
        <f t="shared" si="7"/>
        <v>120272543.53894663</v>
      </c>
      <c r="R60" s="185">
        <f t="shared" ca="1" si="8"/>
        <v>40090847.84631554</v>
      </c>
      <c r="T60" t="s">
        <v>221</v>
      </c>
      <c r="U60" t="s">
        <v>219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 cm="1">
        <f t="array" ref="H61">SUM(SUMIF($B$10:$B$26,$T61:$U61,C$10:C$26))</f>
        <v>386904925.25418103</v>
      </c>
      <c r="I61" s="114" cm="1">
        <f t="array" ref="I61">SUM(SUMIF($B$10:$B$26,$T61:$U61,D$10:D$26))</f>
        <v>53890954.970452003</v>
      </c>
      <c r="J61" s="114" cm="1">
        <f t="array" ref="J61">SUM(SUMIF($B$10:$B$26,$T61:$U61,E$10:E$26))</f>
        <v>190787984.24993801</v>
      </c>
      <c r="K61" s="114">
        <f t="shared" si="1"/>
        <v>631583864.47457099</v>
      </c>
      <c r="L61" s="187">
        <f t="shared" si="2"/>
        <v>0.82226763521230561</v>
      </c>
      <c r="M61" s="184">
        <f t="shared" si="3"/>
        <v>136516249.68290651</v>
      </c>
      <c r="N61" s="184">
        <f t="shared" ca="1" si="4"/>
        <v>45505416.560968839</v>
      </c>
      <c r="O61" s="180">
        <f t="shared" si="5"/>
        <v>136516249.68290651</v>
      </c>
      <c r="P61" s="180">
        <f t="shared" ca="1" si="6"/>
        <v>45505416.560968839</v>
      </c>
      <c r="Q61" s="185">
        <f t="shared" si="7"/>
        <v>136516249.68290651</v>
      </c>
      <c r="R61" s="185">
        <f t="shared" ca="1" si="8"/>
        <v>45505416.560968839</v>
      </c>
      <c r="T61" t="s">
        <v>126</v>
      </c>
      <c r="U61" t="s">
        <v>219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 cm="1">
        <f t="array" ref="H62">SUM(SUMIF($B$10:$B$26,$T62:$U62,C$10:C$26))</f>
        <v>148548971.92346001</v>
      </c>
      <c r="I62" s="114" cm="1">
        <f t="array" ref="I62">SUM(SUMIF($B$10:$B$26,$T62:$U62,D$10:D$26))</f>
        <v>34675794.324588999</v>
      </c>
      <c r="J62" s="114" cm="1">
        <f t="array" ref="J62">SUM(SUMIF($B$10:$B$26,$T62:$U62,E$10:E$26))</f>
        <v>201845017.44949499</v>
      </c>
      <c r="K62" s="114">
        <f t="shared" si="1"/>
        <v>385069783.69754398</v>
      </c>
      <c r="L62" s="187">
        <f t="shared" si="2"/>
        <v>0.72856671953915519</v>
      </c>
      <c r="M62" s="184">
        <f t="shared" si="3"/>
        <v>143460786.48978841</v>
      </c>
      <c r="N62" s="184">
        <f t="shared" ca="1" si="4"/>
        <v>47820262.163262807</v>
      </c>
      <c r="O62" s="180">
        <f t="shared" si="5"/>
        <v>143460786.48978841</v>
      </c>
      <c r="P62" s="180">
        <f t="shared" ca="1" si="6"/>
        <v>47820262.163262807</v>
      </c>
      <c r="Q62" s="185">
        <f t="shared" si="7"/>
        <v>143460786.48978841</v>
      </c>
      <c r="R62" s="185">
        <f t="shared" ca="1" si="8"/>
        <v>47820262.163262807</v>
      </c>
      <c r="T62" t="s">
        <v>112</v>
      </c>
      <c r="U62" t="s">
        <v>219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 cm="1">
        <f t="array" ref="H63">SUM(SUMIF($B$10:$B$26,$T63:$U63,C$10:C$26))</f>
        <v>296621622.48543602</v>
      </c>
      <c r="I63" s="114" cm="1">
        <f t="array" ref="I63">SUM(SUMIF($B$10:$B$26,$T63:$U63,D$10:D$26))</f>
        <v>204510362.406059</v>
      </c>
      <c r="J63" s="114" cm="1">
        <f t="array" ref="J63">SUM(SUMIF($B$10:$B$26,$T63:$U63,E$10:E$26))</f>
        <v>287992748.54679501</v>
      </c>
      <c r="K63" s="114">
        <f t="shared" si="1"/>
        <v>789124733.43829</v>
      </c>
      <c r="L63" s="187">
        <f t="shared" si="2"/>
        <v>0.76578267498428332</v>
      </c>
      <c r="M63" s="184">
        <f t="shared" si="3"/>
        <v>241356575.70661294</v>
      </c>
      <c r="N63" s="184">
        <f t="shared" ca="1" si="4"/>
        <v>80452191.90220432</v>
      </c>
      <c r="O63" s="180">
        <f t="shared" si="5"/>
        <v>241356575.70661294</v>
      </c>
      <c r="P63" s="180">
        <f t="shared" ca="1" si="6"/>
        <v>80452191.90220432</v>
      </c>
      <c r="Q63" s="185">
        <f t="shared" si="7"/>
        <v>241356575.70661294</v>
      </c>
      <c r="R63" s="185">
        <f t="shared" ca="1" si="8"/>
        <v>80452191.90220432</v>
      </c>
      <c r="T63" t="s">
        <v>127</v>
      </c>
      <c r="U63" t="s">
        <v>219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 cm="1">
        <f t="array" ref="H64">SUM(SUMIF($B$10:$B$26,$T64:$U64,C$10:C$26))</f>
        <v>114458134.163663</v>
      </c>
      <c r="I64" s="114" cm="1">
        <f t="array" ref="I64">SUM(SUMIF($B$10:$B$26,$T64:$U64,D$10:D$26))</f>
        <v>115627120.040686</v>
      </c>
      <c r="J64" s="114" cm="1">
        <f t="array" ref="J64">SUM(SUMIF($B$10:$B$26,$T64:$U64,E$10:E$26))</f>
        <v>148451332.85874</v>
      </c>
      <c r="K64" s="114">
        <f t="shared" si="1"/>
        <v>378536587.06308901</v>
      </c>
      <c r="L64" s="187">
        <f t="shared" si="2"/>
        <v>0.6433084124999483</v>
      </c>
      <c r="M64" s="184">
        <f t="shared" si="3"/>
        <v>209885046.64766157</v>
      </c>
      <c r="N64" s="184">
        <f t="shared" ca="1" si="4"/>
        <v>69961682.215887189</v>
      </c>
      <c r="O64" s="180">
        <f t="shared" si="5"/>
        <v>209885046.64766157</v>
      </c>
      <c r="P64" s="180">
        <f t="shared" ca="1" si="6"/>
        <v>69961682.215887189</v>
      </c>
      <c r="Q64" s="185">
        <f t="shared" si="7"/>
        <v>209885046.64766157</v>
      </c>
      <c r="R64" s="185">
        <f t="shared" ca="1" si="8"/>
        <v>69961682.215887189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9">SUM(D51:D64)</f>
        <v>4927597521</v>
      </c>
      <c r="E65" s="134">
        <f t="shared" si="9"/>
        <v>1294442997.4659395</v>
      </c>
      <c r="F65" s="134">
        <f t="shared" si="9"/>
        <v>3216211725</v>
      </c>
      <c r="G65" s="134">
        <f t="shared" si="9"/>
        <v>9438252243.4659405</v>
      </c>
      <c r="H65" s="135">
        <f t="shared" si="9"/>
        <v>4054834363.3681707</v>
      </c>
      <c r="I65" s="135">
        <f t="shared" si="9"/>
        <v>895158901.87165999</v>
      </c>
      <c r="J65" s="135">
        <f t="shared" si="9"/>
        <v>2543765077.3437028</v>
      </c>
      <c r="K65" s="135">
        <f t="shared" si="9"/>
        <v>7493758342.5835333</v>
      </c>
      <c r="L65" s="189">
        <f t="shared" si="2"/>
        <v>0.79397733280241889</v>
      </c>
      <c r="M65" s="181">
        <f>SUM(M51:M64)</f>
        <v>1944493900.8824062</v>
      </c>
      <c r="N65" s="181">
        <f t="shared" ca="1" si="4"/>
        <v>648164633.62746871</v>
      </c>
      <c r="O65" s="181">
        <f>SUM(O51:O64)</f>
        <v>1944493900.8824062</v>
      </c>
      <c r="P65" s="181">
        <f t="shared" ca="1" si="6"/>
        <v>648164633.62746871</v>
      </c>
      <c r="Q65" s="186">
        <f>SUM(Q51:Q64)</f>
        <v>1944493900.8824062</v>
      </c>
      <c r="R65" s="186">
        <f t="shared" ca="1" si="8"/>
        <v>648164633.62746871</v>
      </c>
    </row>
    <row r="66" spans="2:2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2"/>
      <c r="G67" s="260" t="s">
        <v>187</v>
      </c>
      <c r="H67" s="261"/>
      <c r="I67" s="261"/>
      <c r="J67" s="261"/>
      <c r="K67" s="261"/>
      <c r="L67" s="262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100%</v>
      </c>
      <c r="H68" s="232" t="str">
        <f>"PER HARI"&amp;CHAR(10)&amp;TEXT($H$40,"0%")</f>
        <v>PER HARI
100%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IFERROR(C31,0)</f>
        <v>249028817.739032</v>
      </c>
      <c r="F69" s="187">
        <f t="shared" ref="F69:F74" si="10">IFERROR(E69/D69,0)</f>
        <v>0.83538270926696256</v>
      </c>
      <c r="G69" s="184">
        <f>D69*$H$40-E69</f>
        <v>49072657.161677331</v>
      </c>
      <c r="H69" s="184">
        <f t="shared" ref="H69:H74" ca="1" si="11">IFERROR(G69/$C$3,0)</f>
        <v>16357552.387225777</v>
      </c>
      <c r="I69" s="204">
        <f>D69*$J$40-E69</f>
        <v>49072657.161677331</v>
      </c>
      <c r="J69" s="204">
        <f t="shared" ref="J69:J74" ca="1" si="12">IFERROR(I69/$C$3,0)</f>
        <v>16357552.387225777</v>
      </c>
      <c r="K69" s="185">
        <f>D69*$L$40-E69</f>
        <v>49072657.161677331</v>
      </c>
      <c r="L69" s="185">
        <f t="shared" ref="L69:L74" ca="1" si="13">IFERROR(K69/$C$3,0)</f>
        <v>16357552.387225777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IFERROR(C32,0)</f>
        <v>374557187.54245001</v>
      </c>
      <c r="F70" s="187">
        <f t="shared" si="10"/>
        <v>0.84856176858959664</v>
      </c>
      <c r="G70" s="184">
        <f>D70*$H$40-E70</f>
        <v>66845196.35825932</v>
      </c>
      <c r="H70" s="184">
        <f t="shared" ca="1" si="11"/>
        <v>22281732.119419772</v>
      </c>
      <c r="I70" s="204">
        <f>D70*$J$40-E70</f>
        <v>66845196.35825932</v>
      </c>
      <c r="J70" s="204">
        <f t="shared" ca="1" si="12"/>
        <v>22281732.119419772</v>
      </c>
      <c r="K70" s="185">
        <f>D70*$L$40-E70</f>
        <v>66845196.35825932</v>
      </c>
      <c r="L70" s="185">
        <f t="shared" ca="1" si="13"/>
        <v>22281732.119419772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M21+M7</f>
        <v>706255031.93172801</v>
      </c>
      <c r="F71" s="187">
        <f t="shared" si="10"/>
        <v>0.6269721535365036</v>
      </c>
      <c r="G71" s="184">
        <f>D71*$H$40-E71</f>
        <v>420198556.07536423</v>
      </c>
      <c r="H71" s="184">
        <f t="shared" ca="1" si="11"/>
        <v>140066185.35845473</v>
      </c>
      <c r="I71" s="204">
        <f>D71*$J$40-E71</f>
        <v>420198556.07536423</v>
      </c>
      <c r="J71" s="204">
        <f t="shared" ca="1" si="12"/>
        <v>140066185.35845473</v>
      </c>
      <c r="K71" s="185">
        <f>D71*$L$40-E71</f>
        <v>420198556.07536423</v>
      </c>
      <c r="L71" s="185">
        <f t="shared" ca="1" si="13"/>
        <v>140066185.35845473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0"/>
        <v>0</v>
      </c>
      <c r="G72" s="184">
        <f>D72*$H$40-E72</f>
        <v>0</v>
      </c>
      <c r="H72" s="184">
        <f t="shared" ca="1" si="11"/>
        <v>0</v>
      </c>
      <c r="I72" s="204">
        <f>D72*$J$40-E72</f>
        <v>0</v>
      </c>
      <c r="J72" s="204">
        <f t="shared" ca="1" si="12"/>
        <v>0</v>
      </c>
      <c r="K72" s="185">
        <f>D72*$L$40-E72</f>
        <v>0</v>
      </c>
      <c r="L72" s="185">
        <f t="shared" ca="1" si="13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0"/>
        <v>0</v>
      </c>
      <c r="G73" s="184">
        <f>D73*$H$40-E73</f>
        <v>0</v>
      </c>
      <c r="H73" s="184">
        <f t="shared" ca="1" si="11"/>
        <v>0</v>
      </c>
      <c r="I73" s="204">
        <f>D73*$J$40-E73</f>
        <v>0</v>
      </c>
      <c r="J73" s="204">
        <f t="shared" ca="1" si="12"/>
        <v>0</v>
      </c>
      <c r="K73" s="185">
        <f>D73*$L$40-E73</f>
        <v>0</v>
      </c>
      <c r="L73" s="185">
        <f t="shared" ca="1" si="13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1329841037.2132101</v>
      </c>
      <c r="F74" s="177">
        <f t="shared" si="10"/>
        <v>0.71268561857492441</v>
      </c>
      <c r="G74" s="181">
        <f>SUM(G69:G73)</f>
        <v>536116409.59530091</v>
      </c>
      <c r="H74" s="181">
        <f t="shared" ca="1" si="11"/>
        <v>178705469.86510029</v>
      </c>
      <c r="I74" s="186">
        <f>SUM(I69:I73)</f>
        <v>536116409.59530091</v>
      </c>
      <c r="J74" s="186">
        <f t="shared" ca="1" si="12"/>
        <v>178705469.86510029</v>
      </c>
      <c r="K74" s="186">
        <f>SUM(K69:K73)</f>
        <v>536116409.59530091</v>
      </c>
      <c r="L74" s="186">
        <f t="shared" ca="1" si="13"/>
        <v>178705469.86510029</v>
      </c>
    </row>
    <row r="77" spans="2:21" ht="20.100000000000001" customHeight="1" x14ac:dyDescent="0.25">
      <c r="B77" s="249" t="s">
        <v>172</v>
      </c>
      <c r="C77" s="250"/>
      <c r="D77" s="251"/>
    </row>
    <row r="78" spans="2:21" ht="15.75" x14ac:dyDescent="0.25">
      <c r="B78" s="259" t="s">
        <v>41</v>
      </c>
      <c r="C78" s="259" t="s">
        <v>42</v>
      </c>
      <c r="D78" s="231" t="s">
        <v>138</v>
      </c>
    </row>
    <row r="79" spans="2:21" ht="15.75" x14ac:dyDescent="0.25">
      <c r="B79" s="258"/>
      <c r="C79" s="258"/>
      <c r="D79" s="70" t="s">
        <v>169</v>
      </c>
      <c r="T79" s="172" t="s">
        <v>217</v>
      </c>
      <c r="U79" s="172" t="s">
        <v>218</v>
      </c>
    </row>
    <row r="80" spans="2:21" x14ac:dyDescent="0.25">
      <c r="B80" s="50" t="s">
        <v>67</v>
      </c>
      <c r="C80" s="55" t="s">
        <v>68</v>
      </c>
      <c r="D80" s="131" cm="1">
        <f t="array" ref="D80">SUM(SUMIF($B$10:$B$26,$T80:$U80,$F$10:$F$26))</f>
        <v>422380732.75984502</v>
      </c>
      <c r="T80" t="str">
        <f t="shared" ref="T80:U93" si="14">T51</f>
        <v>Picrom Stalyon</v>
      </c>
      <c r="U80" t="str">
        <f t="shared" si="14"/>
        <v>n/a</v>
      </c>
    </row>
    <row r="81" spans="2:21" x14ac:dyDescent="0.25">
      <c r="B81" s="53" t="s">
        <v>69</v>
      </c>
      <c r="C81" s="56" t="s">
        <v>70</v>
      </c>
      <c r="D81" s="132" cm="1">
        <f t="array" ref="D81">SUM(SUMIF($B$10:$B$26,$T81:$U81,$F$10:$F$26))</f>
        <v>127435405.09</v>
      </c>
      <c r="T81" t="str">
        <f t="shared" si="14"/>
        <v>I MADE LUIH</v>
      </c>
      <c r="U81" t="str">
        <f t="shared" si="14"/>
        <v>I Made Luih (Sanur)</v>
      </c>
    </row>
    <row r="82" spans="2:21" x14ac:dyDescent="0.25">
      <c r="B82" s="53" t="s">
        <v>173</v>
      </c>
      <c r="C82" s="56" t="s">
        <v>174</v>
      </c>
      <c r="D82" s="132" cm="1">
        <f t="array" ref="D82">SUM(SUMIF($B$10:$B$26,$T82:$U82,$F$10:$F$26))</f>
        <v>10162161.880000001</v>
      </c>
      <c r="T82" t="str">
        <f t="shared" si="14"/>
        <v>NN Made Luih</v>
      </c>
      <c r="U82" t="str">
        <f t="shared" si="14"/>
        <v>n/a</v>
      </c>
    </row>
    <row r="83" spans="2:21" x14ac:dyDescent="0.25">
      <c r="B83" s="50" t="s">
        <v>71</v>
      </c>
      <c r="C83" s="55" t="s">
        <v>72</v>
      </c>
      <c r="D83" s="131" cm="1">
        <f t="array" ref="D83">SUM(SUMIF($B$10:$B$26,$T83:$U83,$F$10:$F$26))</f>
        <v>382338202.54978102</v>
      </c>
      <c r="T83" t="str">
        <f t="shared" si="14"/>
        <v>Juni</v>
      </c>
      <c r="U83" t="str">
        <f t="shared" si="14"/>
        <v>n/a</v>
      </c>
    </row>
    <row r="84" spans="2:21" x14ac:dyDescent="0.25">
      <c r="B84" s="53" t="s">
        <v>73</v>
      </c>
      <c r="C84" s="56" t="s">
        <v>191</v>
      </c>
      <c r="D84" s="132">
        <f>F12</f>
        <v>0</v>
      </c>
      <c r="T84" t="str">
        <f t="shared" si="14"/>
        <v>→ baris 12 (manual)</v>
      </c>
      <c r="U84" t="str">
        <f t="shared" si="14"/>
        <v>n/a</v>
      </c>
    </row>
    <row r="85" spans="2:21" x14ac:dyDescent="0.25">
      <c r="B85" s="50" t="s">
        <v>75</v>
      </c>
      <c r="C85" s="55" t="s">
        <v>99</v>
      </c>
      <c r="D85" s="131" cm="1">
        <f t="array" ref="D85">SUM(SUMIF($B$10:$B$26,$T85:$U85,$F$10:$F$26))</f>
        <v>55090008.539999999</v>
      </c>
      <c r="T85" t="str">
        <f t="shared" si="14"/>
        <v>Vacant Hotel Kuta Seminyak</v>
      </c>
      <c r="U85" t="str">
        <f t="shared" si="14"/>
        <v>n/a</v>
      </c>
    </row>
    <row r="86" spans="2:21" x14ac:dyDescent="0.25">
      <c r="B86" s="53" t="s">
        <v>76</v>
      </c>
      <c r="C86" s="56" t="s">
        <v>77</v>
      </c>
      <c r="D86" s="132" cm="1">
        <f t="array" ref="D86">SUM(SUMIF($B$10:$B$26,$T86:$U86,$F$10:$F$26))</f>
        <v>1342211628.6399341</v>
      </c>
      <c r="T86" t="str">
        <f t="shared" si="14"/>
        <v>Monica</v>
      </c>
      <c r="U86" t="str">
        <f t="shared" si="14"/>
        <v>n/a</v>
      </c>
    </row>
    <row r="87" spans="2:21" x14ac:dyDescent="0.25">
      <c r="B87" s="50" t="s">
        <v>78</v>
      </c>
      <c r="C87" s="55" t="s">
        <v>79</v>
      </c>
      <c r="D87" s="131" cm="1">
        <f t="array" ref="D87">SUM(SUMIF($B$10:$B$26,$T87:$U87,$F$10:$F$26))</f>
        <v>325392424.81942898</v>
      </c>
      <c r="T87" t="str">
        <f t="shared" si="14"/>
        <v>Sujana</v>
      </c>
      <c r="U87" t="str">
        <f t="shared" si="14"/>
        <v>n/a</v>
      </c>
    </row>
    <row r="88" spans="2:21" x14ac:dyDescent="0.25">
      <c r="B88" s="53" t="s">
        <v>173</v>
      </c>
      <c r="C88" s="56" t="s">
        <v>175</v>
      </c>
      <c r="D88" s="132" cm="1">
        <f t="array" ref="D88">SUM(SUMIF($B$10:$B$26,$T88:$U88,$F$10:$F$26))</f>
        <v>16384323.880000001</v>
      </c>
      <c r="T88" t="str">
        <f t="shared" si="14"/>
        <v>NN Sujana</v>
      </c>
      <c r="U88" t="str">
        <f t="shared" si="14"/>
        <v>n/a</v>
      </c>
    </row>
    <row r="89" spans="2:21" x14ac:dyDescent="0.25">
      <c r="B89" s="53" t="s">
        <v>80</v>
      </c>
      <c r="C89" s="56" t="s">
        <v>191</v>
      </c>
      <c r="D89" s="132">
        <f>F11</f>
        <v>282497104.13999999</v>
      </c>
      <c r="T89" t="str">
        <f t="shared" si="14"/>
        <v>→ baris 11 (manual)</v>
      </c>
      <c r="U89" t="str">
        <f t="shared" si="14"/>
        <v>n/a</v>
      </c>
    </row>
    <row r="90" spans="2:21" x14ac:dyDescent="0.25">
      <c r="B90" s="50" t="s">
        <v>82</v>
      </c>
      <c r="C90" s="55" t="s">
        <v>83</v>
      </c>
      <c r="D90" s="131" cm="1">
        <f t="array" ref="D90">SUM(SUMIF($B$10:$B$26,$T90:$U90,$F$10:$F$26))</f>
        <v>606427416.90921795</v>
      </c>
      <c r="T90" t="str">
        <f t="shared" si="14"/>
        <v>Taufik</v>
      </c>
      <c r="U90" t="str">
        <f t="shared" si="14"/>
        <v>n/a</v>
      </c>
    </row>
    <row r="91" spans="2:21" x14ac:dyDescent="0.25">
      <c r="B91" s="53" t="s">
        <v>84</v>
      </c>
      <c r="C91" s="56" t="s">
        <v>85</v>
      </c>
      <c r="D91" s="132" cm="1">
        <f t="array" ref="D91">SUM(SUMIF($B$10:$B$26,$T91:$U91,$F$10:$F$26))</f>
        <v>158023556.22</v>
      </c>
      <c r="T91" t="str">
        <f t="shared" si="14"/>
        <v>Dewi Kristiani</v>
      </c>
      <c r="U91" t="str">
        <f t="shared" si="14"/>
        <v>n/a</v>
      </c>
    </row>
    <row r="92" spans="2:21" x14ac:dyDescent="0.25">
      <c r="B92" s="50" t="s">
        <v>86</v>
      </c>
      <c r="C92" s="55" t="s">
        <v>87</v>
      </c>
      <c r="D92" s="131" cm="1">
        <f t="array" ref="D92">SUM(SUMIF($B$10:$B$26,$T92:$U92,$F$10:$F$26))</f>
        <v>17193081.429000001</v>
      </c>
      <c r="T92" t="str">
        <f t="shared" si="14"/>
        <v>Wira</v>
      </c>
      <c r="U92" t="str">
        <f t="shared" si="14"/>
        <v>n/a</v>
      </c>
    </row>
    <row r="93" spans="2:21" x14ac:dyDescent="0.25">
      <c r="B93" s="53" t="s">
        <v>88</v>
      </c>
      <c r="C93" s="56" t="s">
        <v>89</v>
      </c>
      <c r="D93" s="132" cm="1">
        <f t="array" ref="D93">SUM(SUMIF($B$10:$B$26,$T93:$U93,$F$10:$F$26))</f>
        <v>118704326.79799999</v>
      </c>
      <c r="T93" t="str">
        <f t="shared" si="14"/>
        <v>Ni Ketut Sriasih (GT)</v>
      </c>
      <c r="U93" t="str">
        <f t="shared" si="14"/>
        <v>Ni Ketut Sriasih (MT)</v>
      </c>
    </row>
    <row r="94" spans="2:21" x14ac:dyDescent="0.25">
      <c r="B94" s="57" t="s">
        <v>151</v>
      </c>
      <c r="C94" s="58"/>
      <c r="D94" s="120">
        <f>SUM(D80:D93)</f>
        <v>3864240373.6552067</v>
      </c>
    </row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26</v>
      </c>
      <c r="D3" s="76" t="s">
        <v>104</v>
      </c>
      <c r="E3" s="77">
        <f ca="1">DAY(EOMONTH(DATE(YEAR(TODAY()),9,1),0))</f>
        <v>30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186</v>
      </c>
    </row>
    <row r="40" spans="2:19" ht="20.100000000000001" customHeight="1" x14ac:dyDescent="0.25">
      <c r="B40" s="269" t="s">
        <v>162</v>
      </c>
      <c r="C40" s="270"/>
      <c r="D40" s="271"/>
      <c r="E40" s="66" t="s">
        <v>137</v>
      </c>
      <c r="F40" s="174">
        <f ca="1">IF(MONTH(TODAY())=9,DAY(TODAY())/DAY(EOMONTH(TODAY(),0)),IF(MONTH(TODAY())&gt;9,1,0))</f>
        <v>0</v>
      </c>
      <c r="G40" s="192" t="s">
        <v>188</v>
      </c>
      <c r="H40" s="198">
        <v>0.9</v>
      </c>
      <c r="I40" s="201" t="s">
        <v>188</v>
      </c>
      <c r="J40" s="199">
        <v>0.95</v>
      </c>
      <c r="K40" s="194" t="s">
        <v>189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209</v>
      </c>
      <c r="C44" s="41" t="s">
        <v>143</v>
      </c>
      <c r="D44" s="45">
        <f>SUM(TARGETS!AD5:AD18)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0</v>
      </c>
      <c r="E45" s="46">
        <f>SUM(C31,C32)+M21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187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211</v>
      </c>
      <c r="G50" s="70" t="s">
        <v>130</v>
      </c>
      <c r="H50" s="113" t="s">
        <v>149</v>
      </c>
      <c r="I50" s="113" t="s">
        <v>150</v>
      </c>
      <c r="J50" s="113" t="s">
        <v>211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217</v>
      </c>
      <c r="U50" s="178" t="s">
        <v>218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0</v>
      </c>
      <c r="E51" s="118">
        <f>TARGETS!AC5</f>
        <v>0</v>
      </c>
      <c r="F51" s="118">
        <f>TARGETS!AD5</f>
        <v>0</v>
      </c>
      <c r="G51" s="118">
        <f t="shared" ref="G51:G64" si="1">SUM(D51:F51)</f>
        <v>0</v>
      </c>
      <c r="H51" s="114" cm="1">
        <f t="array" ref="H51">SUM(SUMIF($B$10:$B$26,$T51:$U51,C$10:C$26))</f>
        <v>0</v>
      </c>
      <c r="I51" s="114" cm="1">
        <f t="array" ref="I51">SUM(SUMIF($B$10:$B$26,$T51:$U51,D$10:D$26))</f>
        <v>0</v>
      </c>
      <c r="J51" s="114" cm="1">
        <f t="array" ref="J51">SUM(SUMIF($B$10:$B$26,$T51:$U51,E$10:E$26))</f>
        <v>0</v>
      </c>
      <c r="K51" s="114">
        <f t="shared" ref="K51:K64" si="2">SUM(H51:J51)</f>
        <v>0</v>
      </c>
      <c r="L51" s="187">
        <f t="shared" ref="L51:L65" si="3">IFERROR(K51/G51,0)</f>
        <v>0</v>
      </c>
      <c r="M51" s="184">
        <f t="shared" ref="M51:M64" si="4">G51*$H$40-K51</f>
        <v>0</v>
      </c>
      <c r="N51" s="184">
        <f t="shared" ref="N51:N65" ca="1" si="5">IFERROR(M51/$C$3,0)</f>
        <v>0</v>
      </c>
      <c r="O51" s="180">
        <f t="shared" ref="O51:O64" si="6">G51*$J$40-K51</f>
        <v>0</v>
      </c>
      <c r="P51" s="180">
        <f t="shared" ref="P51:P65" ca="1" si="7">IFERROR(O51/$C$3,0)</f>
        <v>0</v>
      </c>
      <c r="Q51" s="185">
        <f t="shared" ref="Q51:Q64" si="8">G51*$L$40-K51</f>
        <v>0</v>
      </c>
      <c r="R51" s="185">
        <f t="shared" ref="R51:R65" ca="1" si="9">IFERROR(Q51/$C$3,0)</f>
        <v>0</v>
      </c>
      <c r="T51" t="s">
        <v>124</v>
      </c>
      <c r="U51" t="s">
        <v>219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0</v>
      </c>
      <c r="E52" s="119">
        <f>TARGETS!AC6</f>
        <v>0</v>
      </c>
      <c r="F52" s="119">
        <f>TARGETS!AD6</f>
        <v>0</v>
      </c>
      <c r="G52" s="119">
        <f t="shared" si="1"/>
        <v>0</v>
      </c>
      <c r="H52" s="114" cm="1">
        <f t="array" ref="H52">SUM(SUMIF($B$10:$B$26,$T52:$U52,C$10:C$26))</f>
        <v>0</v>
      </c>
      <c r="I52" s="114" cm="1">
        <f t="array" ref="I52">SUM(SUMIF($B$10:$B$26,$T52:$U52,D$10:D$26))</f>
        <v>0</v>
      </c>
      <c r="J52" s="114" cm="1">
        <f t="array" ref="J52">SUM(SUMIF($B$10:$B$26,$T52:$U52,E$10:E$26))</f>
        <v>0</v>
      </c>
      <c r="K52" s="114">
        <f t="shared" si="2"/>
        <v>0</v>
      </c>
      <c r="L52" s="187">
        <f t="shared" si="3"/>
        <v>0</v>
      </c>
      <c r="M52" s="184">
        <f t="shared" si="4"/>
        <v>0</v>
      </c>
      <c r="N52" s="184">
        <f t="shared" ca="1" si="5"/>
        <v>0</v>
      </c>
      <c r="O52" s="180">
        <f t="shared" si="6"/>
        <v>0</v>
      </c>
      <c r="P52" s="180">
        <f t="shared" ca="1" si="7"/>
        <v>0</v>
      </c>
      <c r="Q52" s="185">
        <f t="shared" si="8"/>
        <v>0</v>
      </c>
      <c r="R52" s="185">
        <f t="shared" ca="1" si="9"/>
        <v>0</v>
      </c>
      <c r="T52" t="s">
        <v>70</v>
      </c>
      <c r="U52" t="s">
        <v>114</v>
      </c>
    </row>
    <row r="53" spans="2:21" ht="15.95" customHeight="1" x14ac:dyDescent="0.25">
      <c r="B53" s="136" t="s">
        <v>173</v>
      </c>
      <c r="C53" s="137" t="s">
        <v>174</v>
      </c>
      <c r="D53" s="138">
        <f>TARGETS!AB7</f>
        <v>0</v>
      </c>
      <c r="E53" s="138">
        <f>TARGETS!AC7</f>
        <v>0</v>
      </c>
      <c r="F53" s="138">
        <f>TARGETS!AD7</f>
        <v>0</v>
      </c>
      <c r="G53" s="138">
        <f t="shared" si="1"/>
        <v>0</v>
      </c>
      <c r="H53" s="114" cm="1">
        <f t="array" ref="H53">SUM(SUMIF($B$10:$B$26,$T53:$U53,C$10:C$26))</f>
        <v>0</v>
      </c>
      <c r="I53" s="114" cm="1">
        <f t="array" ref="I53">SUM(SUMIF($B$10:$B$26,$T53:$U53,D$10:D$26))</f>
        <v>0</v>
      </c>
      <c r="J53" s="114" cm="1">
        <f t="array" ref="J53">SUM(SUMIF($B$10:$B$26,$T53:$U53,E$10:E$26))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  <c r="T53" t="s">
        <v>170</v>
      </c>
      <c r="U53" t="s">
        <v>219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0</v>
      </c>
      <c r="E54" s="119">
        <f>TARGETS!AC8</f>
        <v>0</v>
      </c>
      <c r="F54" s="119">
        <f>TARGETS!AD8</f>
        <v>0</v>
      </c>
      <c r="G54" s="119">
        <f t="shared" si="1"/>
        <v>0</v>
      </c>
      <c r="H54" s="114" cm="1">
        <f t="array" ref="H54">SUM(SUMIF($B$10:$B$26,$T54:$U54,C$10:C$26))</f>
        <v>0</v>
      </c>
      <c r="I54" s="114" cm="1">
        <f t="array" ref="I54">SUM(SUMIF($B$10:$B$26,$T54:$U54,D$10:D$26))</f>
        <v>0</v>
      </c>
      <c r="J54" s="114" cm="1">
        <f t="array" ref="J54">SUM(SUMIF($B$10:$B$26,$T54:$U54,E$10:E$26))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  <c r="T54" t="s">
        <v>115</v>
      </c>
      <c r="U54" t="s">
        <v>219</v>
      </c>
    </row>
    <row r="55" spans="2:21" ht="15.95" customHeight="1" x14ac:dyDescent="0.25">
      <c r="B55" s="50" t="s">
        <v>73</v>
      </c>
      <c r="C55" s="55" t="s">
        <v>182</v>
      </c>
      <c r="D55" s="118">
        <f>TARGETS!AB9</f>
        <v>0</v>
      </c>
      <c r="E55" s="118">
        <f>TARGETS!AC9</f>
        <v>0</v>
      </c>
      <c r="F55" s="118">
        <f>TARGETS!AD9</f>
        <v>0</v>
      </c>
      <c r="G55" s="118">
        <f t="shared" si="1"/>
        <v>0</v>
      </c>
      <c r="H55" s="114" cm="1">
        <f t="array" ref="H55">SUM(SUMIF($B$10:$B$26,$T55:$U55,C$10:C$26))</f>
        <v>0</v>
      </c>
      <c r="I55" s="114" cm="1">
        <f t="array" ref="I55">SUM(SUMIF($B$10:$B$26,$T55:$U55,D$10:D$26))</f>
        <v>0</v>
      </c>
      <c r="J55" s="114" cm="1">
        <f t="array" ref="J55">SUM(SUMIF($B$10:$B$26,$T55:$U55,E$10:E$26))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  <c r="T55" t="s">
        <v>183</v>
      </c>
      <c r="U55" t="s">
        <v>219</v>
      </c>
    </row>
    <row r="56" spans="2:21" ht="15.95" customHeight="1" x14ac:dyDescent="0.25">
      <c r="B56" s="53" t="s">
        <v>75</v>
      </c>
      <c r="C56" s="56" t="s">
        <v>99</v>
      </c>
      <c r="D56" s="119">
        <f>TARGETS!AB10</f>
        <v>0</v>
      </c>
      <c r="E56" s="119">
        <f>TARGETS!AC10</f>
        <v>0</v>
      </c>
      <c r="F56" s="119">
        <f>TARGETS!AD10</f>
        <v>0</v>
      </c>
      <c r="G56" s="119">
        <f t="shared" si="1"/>
        <v>0</v>
      </c>
      <c r="H56" s="114" cm="1">
        <f t="array" ref="H56">SUM(SUMIF($B$10:$B$26,$T56:$U56,C$10:C$26))</f>
        <v>0</v>
      </c>
      <c r="I56" s="114" cm="1">
        <f t="array" ref="I56">SUM(SUMIF($B$10:$B$26,$T56:$U56,D$10:D$26))</f>
        <v>0</v>
      </c>
      <c r="J56" s="114" cm="1">
        <f t="array" ref="J56">SUM(SUMIF($B$10:$B$26,$T56:$U56,E$10:E$26))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  <c r="T56" t="s">
        <v>184</v>
      </c>
      <c r="U56" t="s">
        <v>219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0</v>
      </c>
      <c r="E57" s="118">
        <f>TARGETS!AC11</f>
        <v>0</v>
      </c>
      <c r="F57" s="118">
        <f>TARGETS!AD11</f>
        <v>0</v>
      </c>
      <c r="G57" s="118">
        <f t="shared" si="1"/>
        <v>0</v>
      </c>
      <c r="H57" s="114" cm="1">
        <f t="array" ref="H57">SUM(SUMIF($B$10:$B$26,$T57:$U57,C$10:C$26))</f>
        <v>0</v>
      </c>
      <c r="I57" s="114" cm="1">
        <f t="array" ref="I57">SUM(SUMIF($B$10:$B$26,$T57:$U57,D$10:D$26))</f>
        <v>0</v>
      </c>
      <c r="J57" s="114" cm="1">
        <f t="array" ref="J57">SUM(SUMIF($B$10:$B$26,$T57:$U57,E$10:E$26))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  <c r="T57" t="s">
        <v>120</v>
      </c>
      <c r="U57" t="s">
        <v>219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0</v>
      </c>
      <c r="E58" s="119">
        <f>TARGETS!AC12</f>
        <v>0</v>
      </c>
      <c r="F58" s="119">
        <f>TARGETS!AD12</f>
        <v>0</v>
      </c>
      <c r="G58" s="119">
        <f t="shared" si="1"/>
        <v>0</v>
      </c>
      <c r="H58" s="114" cm="1">
        <f t="array" ref="H58">SUM(SUMIF($B$10:$B$26,$T58:$U58,C$10:C$26))</f>
        <v>0</v>
      </c>
      <c r="I58" s="114" cm="1">
        <f t="array" ref="I58">SUM(SUMIF($B$10:$B$26,$T58:$U58,D$10:D$26))</f>
        <v>0</v>
      </c>
      <c r="J58" s="114" cm="1">
        <f t="array" ref="J58">SUM(SUMIF($B$10:$B$26,$T58:$U58,E$10:E$26))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  <c r="T58" t="s">
        <v>125</v>
      </c>
      <c r="U58" t="s">
        <v>219</v>
      </c>
    </row>
    <row r="59" spans="2:21" ht="15.95" customHeight="1" x14ac:dyDescent="0.25">
      <c r="B59" s="136" t="s">
        <v>173</v>
      </c>
      <c r="C59" s="137" t="s">
        <v>175</v>
      </c>
      <c r="D59" s="138">
        <f>TARGETS!AB13</f>
        <v>0</v>
      </c>
      <c r="E59" s="138">
        <f>TARGETS!AC13</f>
        <v>0</v>
      </c>
      <c r="F59" s="138">
        <f>TARGETS!AD13</f>
        <v>0</v>
      </c>
      <c r="G59" s="138">
        <f t="shared" si="1"/>
        <v>0</v>
      </c>
      <c r="H59" s="114" cm="1">
        <f t="array" ref="H59">SUM(SUMIF($B$10:$B$26,$T59:$U59,C$10:C$26))</f>
        <v>0</v>
      </c>
      <c r="I59" s="114" cm="1">
        <f t="array" ref="I59">SUM(SUMIF($B$10:$B$26,$T59:$U59,D$10:D$26))</f>
        <v>0</v>
      </c>
      <c r="J59" s="114" cm="1">
        <f t="array" ref="J59">SUM(SUMIF($B$10:$B$26,$T59:$U59,E$10:E$26))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  <c r="T59" t="s">
        <v>171</v>
      </c>
      <c r="U59" t="s">
        <v>219</v>
      </c>
    </row>
    <row r="60" spans="2:21" ht="15.95" customHeight="1" x14ac:dyDescent="0.25">
      <c r="B60" s="53" t="s">
        <v>80</v>
      </c>
      <c r="C60" s="56" t="s">
        <v>81</v>
      </c>
      <c r="D60" s="119">
        <f>TARGETS!AB14</f>
        <v>0</v>
      </c>
      <c r="E60" s="119">
        <f>TARGETS!AC14</f>
        <v>0</v>
      </c>
      <c r="F60" s="119">
        <f>TARGETS!AD14</f>
        <v>0</v>
      </c>
      <c r="G60" s="119">
        <f t="shared" si="1"/>
        <v>0</v>
      </c>
      <c r="H60" s="114" cm="1">
        <f t="array" ref="H60">SUM(SUMIF($B$10:$B$26,$T60:$U60,C$10:C$26))</f>
        <v>0</v>
      </c>
      <c r="I60" s="114" cm="1">
        <f t="array" ref="I60">SUM(SUMIF($B$10:$B$26,$T60:$U60,D$10:D$26))</f>
        <v>0</v>
      </c>
      <c r="J60" s="114" cm="1">
        <f t="array" ref="J60">SUM(SUMIF($B$10:$B$26,$T60:$U60,E$10:E$26))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  <c r="T60" t="s">
        <v>113</v>
      </c>
      <c r="U60" t="s">
        <v>219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0</v>
      </c>
      <c r="E61" s="118">
        <f>TARGETS!AC15</f>
        <v>0</v>
      </c>
      <c r="F61" s="118">
        <f>TARGETS!AD15</f>
        <v>0</v>
      </c>
      <c r="G61" s="118">
        <f t="shared" si="1"/>
        <v>0</v>
      </c>
      <c r="H61" s="114" cm="1">
        <f t="array" ref="H61">SUM(SUMIF($B$10:$B$26,$T61:$U61,C$10:C$26))</f>
        <v>0</v>
      </c>
      <c r="I61" s="114" cm="1">
        <f t="array" ref="I61">SUM(SUMIF($B$10:$B$26,$T61:$U61,D$10:D$26))</f>
        <v>0</v>
      </c>
      <c r="J61" s="114" cm="1">
        <f t="array" ref="J61">SUM(SUMIF($B$10:$B$26,$T61:$U61,E$10:E$26))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  <c r="T61" t="s">
        <v>126</v>
      </c>
      <c r="U61" t="s">
        <v>219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0</v>
      </c>
      <c r="E62" s="119">
        <f>TARGETS!AC16</f>
        <v>0</v>
      </c>
      <c r="F62" s="119">
        <f>TARGETS!AD16</f>
        <v>0</v>
      </c>
      <c r="G62" s="119">
        <f t="shared" si="1"/>
        <v>0</v>
      </c>
      <c r="H62" s="114" cm="1">
        <f t="array" ref="H62">SUM(SUMIF($B$10:$B$26,$T62:$U62,C$10:C$26))</f>
        <v>0</v>
      </c>
      <c r="I62" s="114" cm="1">
        <f t="array" ref="I62">SUM(SUMIF($B$10:$B$26,$T62:$U62,D$10:D$26))</f>
        <v>0</v>
      </c>
      <c r="J62" s="114" cm="1">
        <f t="array" ref="J62">SUM(SUMIF($B$10:$B$26,$T62:$U62,E$10:E$26))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  <c r="T62" t="s">
        <v>112</v>
      </c>
      <c r="U62" t="s">
        <v>219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0</v>
      </c>
      <c r="E63" s="118">
        <f>TARGETS!AC17</f>
        <v>0</v>
      </c>
      <c r="F63" s="118">
        <f>TARGETS!AD17</f>
        <v>0</v>
      </c>
      <c r="G63" s="118">
        <f t="shared" si="1"/>
        <v>0</v>
      </c>
      <c r="H63" s="114" cm="1">
        <f t="array" ref="H63">SUM(SUMIF($B$10:$B$26,$T63:$U63,C$10:C$26))</f>
        <v>0</v>
      </c>
      <c r="I63" s="114" cm="1">
        <f t="array" ref="I63">SUM(SUMIF($B$10:$B$26,$T63:$U63,D$10:D$26))</f>
        <v>0</v>
      </c>
      <c r="J63" s="114" cm="1">
        <f t="array" ref="J63">SUM(SUMIF($B$10:$B$26,$T63:$U63,E$10:E$26))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  <c r="T63" t="s">
        <v>127</v>
      </c>
      <c r="U63" t="s">
        <v>219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0</v>
      </c>
      <c r="E64" s="119">
        <f>TARGETS!AC18</f>
        <v>0</v>
      </c>
      <c r="F64" s="119">
        <f>TARGETS!AD18</f>
        <v>0</v>
      </c>
      <c r="G64" s="119">
        <f t="shared" si="1"/>
        <v>0</v>
      </c>
      <c r="H64" s="114" cm="1">
        <f t="array" ref="H64">SUM(SUMIF($B$10:$B$26,$T64:$U64,C$10:C$26))</f>
        <v>0</v>
      </c>
      <c r="I64" s="114" cm="1">
        <f t="array" ref="I64">SUM(SUMIF($B$10:$B$26,$T64:$U64,D$10:D$26))</f>
        <v>0</v>
      </c>
      <c r="J64" s="114" cm="1">
        <f t="array" ref="J64">SUM(SUMIF($B$10:$B$26,$T64:$U64,E$10:E$26))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0">SUM(D51:D64)</f>
        <v>0</v>
      </c>
      <c r="E65" s="134">
        <f t="shared" si="10"/>
        <v>0</v>
      </c>
      <c r="F65" s="134">
        <f t="shared" si="10"/>
        <v>0</v>
      </c>
      <c r="G65" s="134">
        <f t="shared" si="10"/>
        <v>0</v>
      </c>
      <c r="H65" s="135">
        <f t="shared" si="10"/>
        <v>0</v>
      </c>
      <c r="I65" s="135">
        <f t="shared" si="10"/>
        <v>0</v>
      </c>
      <c r="J65" s="135">
        <f t="shared" si="10"/>
        <v>0</v>
      </c>
      <c r="K65" s="135">
        <f t="shared" si="10"/>
        <v>0</v>
      </c>
      <c r="L65" s="189">
        <f t="shared" si="3"/>
        <v>0</v>
      </c>
      <c r="M65" s="181">
        <f>SUM(M51:M64)</f>
        <v>0</v>
      </c>
      <c r="N65" s="181">
        <f t="shared" ca="1" si="5"/>
        <v>0</v>
      </c>
      <c r="O65" s="181">
        <f>SUM(O51:O64)</f>
        <v>0</v>
      </c>
      <c r="P65" s="181">
        <f t="shared" ca="1" si="7"/>
        <v>0</v>
      </c>
      <c r="Q65" s="186">
        <f>SUM(Q51:Q64)</f>
        <v>0</v>
      </c>
      <c r="R65" s="186">
        <f t="shared" ca="1" si="9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187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0</v>
      </c>
      <c r="E69" s="114">
        <f>IFERROR(C31,0)</f>
        <v>0</v>
      </c>
      <c r="F69" s="187">
        <f t="shared" ref="F69:F74" si="11">IFERROR(E69/D69,0)</f>
        <v>0</v>
      </c>
      <c r="G69" s="184">
        <f>D69*$H$40-E69</f>
        <v>0</v>
      </c>
      <c r="H69" s="184">
        <f t="shared" ref="H69:H74" ca="1" si="12">IFERROR(G69/$C$3,0)</f>
        <v>0</v>
      </c>
      <c r="I69" s="204">
        <f>D69*$J$40-E69</f>
        <v>0</v>
      </c>
      <c r="J69" s="204">
        <f t="shared" ref="J69:J74" ca="1" si="13">IFERROR(I69/$C$3,0)</f>
        <v>0</v>
      </c>
      <c r="K69" s="185">
        <f>D69*$L$40-E69</f>
        <v>0</v>
      </c>
      <c r="L69" s="185">
        <f t="shared" ref="L69:L74" ca="1" si="14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TARGETS!L23</f>
        <v>0</v>
      </c>
      <c r="E70" s="114">
        <f>IFERROR(C32,0)</f>
        <v>0</v>
      </c>
      <c r="F70" s="187">
        <f t="shared" si="11"/>
        <v>0</v>
      </c>
      <c r="G70" s="184">
        <f>D70*$H$40-E70</f>
        <v>0</v>
      </c>
      <c r="H70" s="184">
        <f t="shared" ca="1" si="12"/>
        <v>0</v>
      </c>
      <c r="I70" s="204">
        <f>D70*$J$40-E70</f>
        <v>0</v>
      </c>
      <c r="J70" s="204">
        <f t="shared" ca="1" si="13"/>
        <v>0</v>
      </c>
      <c r="K70" s="185">
        <f>D70*$L$40-E70</f>
        <v>0</v>
      </c>
      <c r="L70" s="185">
        <f t="shared" ca="1" si="14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TARGETS!L24</f>
        <v>0</v>
      </c>
      <c r="E71" s="114">
        <f>M21+M7</f>
        <v>0</v>
      </c>
      <c r="F71" s="187">
        <f t="shared" si="11"/>
        <v>0</v>
      </c>
      <c r="G71" s="184">
        <f>D71*$H$40-E71</f>
        <v>0</v>
      </c>
      <c r="H71" s="184">
        <f t="shared" ca="1" si="12"/>
        <v>0</v>
      </c>
      <c r="I71" s="204">
        <f>D71*$J$40-E71</f>
        <v>0</v>
      </c>
      <c r="J71" s="204">
        <f t="shared" ca="1" si="13"/>
        <v>0</v>
      </c>
      <c r="K71" s="185">
        <f>D71*$L$40-E71</f>
        <v>0</v>
      </c>
      <c r="L71" s="185">
        <f t="shared" ca="1" si="14"/>
        <v>0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1"/>
        <v>0</v>
      </c>
      <c r="G72" s="184">
        <f>D72*$H$40-E72</f>
        <v>0</v>
      </c>
      <c r="H72" s="184">
        <f t="shared" ca="1" si="12"/>
        <v>0</v>
      </c>
      <c r="I72" s="204">
        <f>D72*$J$40-E72</f>
        <v>0</v>
      </c>
      <c r="J72" s="204">
        <f t="shared" ca="1" si="13"/>
        <v>0</v>
      </c>
      <c r="K72" s="185">
        <f>D72*$L$40-E72</f>
        <v>0</v>
      </c>
      <c r="L72" s="185">
        <f t="shared" ca="1" si="14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1"/>
        <v>0</v>
      </c>
      <c r="G73" s="184">
        <f>D73*$H$40-E73</f>
        <v>0</v>
      </c>
      <c r="H73" s="184">
        <f t="shared" ca="1" si="12"/>
        <v>0</v>
      </c>
      <c r="I73" s="204">
        <f>D73*$J$40-E73</f>
        <v>0</v>
      </c>
      <c r="J73" s="204">
        <f t="shared" ca="1" si="13"/>
        <v>0</v>
      </c>
      <c r="K73" s="185">
        <f>D73*$L$40-E73</f>
        <v>0</v>
      </c>
      <c r="L73" s="185">
        <f t="shared" ca="1" si="14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1"/>
        <v>0</v>
      </c>
      <c r="G74" s="181">
        <f>SUM(G69:G73)</f>
        <v>0</v>
      </c>
      <c r="H74" s="181">
        <f t="shared" ca="1" si="12"/>
        <v>0</v>
      </c>
      <c r="I74" s="186">
        <f>SUM(I69:I73)</f>
        <v>0</v>
      </c>
      <c r="J74" s="186">
        <f t="shared" ca="1" si="13"/>
        <v>0</v>
      </c>
      <c r="K74" s="186">
        <f>SUM(K69:K73)</f>
        <v>0</v>
      </c>
      <c r="L74" s="186">
        <f t="shared" ca="1" si="14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172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169</v>
      </c>
      <c r="T79" s="178" t="s">
        <v>217</v>
      </c>
      <c r="U79" s="178" t="s">
        <v>218</v>
      </c>
    </row>
    <row r="80" spans="2:21" ht="15.95" customHeight="1" x14ac:dyDescent="0.25">
      <c r="B80" s="50" t="s">
        <v>67</v>
      </c>
      <c r="C80" s="55" t="s">
        <v>68</v>
      </c>
      <c r="D80" s="131" cm="1">
        <f t="array" ref="D80">SUM(SUMIF($B$10:$B$26,$T80:$U80,$F$10:$F$26))</f>
        <v>0</v>
      </c>
      <c r="T80" t="str">
        <f t="shared" ref="T80:U93" si="15">T51</f>
        <v>Picrom Stalyon</v>
      </c>
      <c r="U80" t="str">
        <f t="shared" si="15"/>
        <v>n/a</v>
      </c>
    </row>
    <row r="81" spans="2:21" ht="15.95" customHeight="1" x14ac:dyDescent="0.25">
      <c r="B81" s="53" t="s">
        <v>69</v>
      </c>
      <c r="C81" s="56" t="s">
        <v>70</v>
      </c>
      <c r="D81" s="132" cm="1">
        <f t="array" ref="D81">SUM(SUMIF($B$10:$B$26,$T81:$U81,$F$10:$F$26))</f>
        <v>0</v>
      </c>
      <c r="T81" t="str">
        <f t="shared" si="15"/>
        <v>I MADE LUIH</v>
      </c>
      <c r="U81" t="str">
        <f t="shared" si="15"/>
        <v>I Made Luih (Sanur)</v>
      </c>
    </row>
    <row r="82" spans="2:21" ht="15.95" customHeight="1" x14ac:dyDescent="0.25">
      <c r="B82" s="53" t="s">
        <v>173</v>
      </c>
      <c r="C82" s="56" t="s">
        <v>174</v>
      </c>
      <c r="D82" s="132" cm="1">
        <f t="array" ref="D82">SUM(SUMIF($B$10:$B$26,$T82:$U82,$F$10:$F$26))</f>
        <v>0</v>
      </c>
      <c r="T82" t="str">
        <f t="shared" si="15"/>
        <v>NN Made Luih</v>
      </c>
      <c r="U82" t="str">
        <f t="shared" si="15"/>
        <v>n/a</v>
      </c>
    </row>
    <row r="83" spans="2:21" ht="15.95" customHeight="1" x14ac:dyDescent="0.25">
      <c r="B83" s="50" t="s">
        <v>71</v>
      </c>
      <c r="C83" s="55" t="s">
        <v>72</v>
      </c>
      <c r="D83" s="131" cm="1">
        <f t="array" ref="D83">SUM(SUMIF($B$10:$B$26,$T83:$U83,$F$10:$F$26))</f>
        <v>0</v>
      </c>
      <c r="T83" t="str">
        <f t="shared" si="15"/>
        <v>Juni</v>
      </c>
      <c r="U83" t="str">
        <f t="shared" si="15"/>
        <v>n/a</v>
      </c>
    </row>
    <row r="84" spans="2:21" ht="15.95" customHeight="1" x14ac:dyDescent="0.25">
      <c r="B84" s="53" t="s">
        <v>73</v>
      </c>
      <c r="C84" s="56" t="s">
        <v>74</v>
      </c>
      <c r="D84" s="132" cm="1">
        <f t="array" ref="D84">SUM(SUMIF($B$10:$B$26,$T84:$U84,$F$10:$F$26))</f>
        <v>0</v>
      </c>
      <c r="T84" t="str">
        <f t="shared" si="15"/>
        <v>FIB</v>
      </c>
      <c r="U84" t="str">
        <f t="shared" si="15"/>
        <v>n/a</v>
      </c>
    </row>
    <row r="85" spans="2:21" ht="15.95" customHeight="1" x14ac:dyDescent="0.25">
      <c r="B85" s="50" t="s">
        <v>75</v>
      </c>
      <c r="C85" s="55" t="s">
        <v>74</v>
      </c>
      <c r="D85" s="131" cm="1">
        <f t="array" ref="D85">SUM(SUMIF($B$10:$B$26,$T85:$U85,$F$10:$F$26))</f>
        <v>0</v>
      </c>
      <c r="T85" t="str">
        <f t="shared" si="15"/>
        <v>Vacant Hotel Kuta Seminyak</v>
      </c>
      <c r="U85" t="str">
        <f t="shared" si="15"/>
        <v>n/a</v>
      </c>
    </row>
    <row r="86" spans="2:21" ht="15.95" customHeight="1" x14ac:dyDescent="0.25">
      <c r="B86" s="53" t="s">
        <v>76</v>
      </c>
      <c r="C86" s="56" t="s">
        <v>77</v>
      </c>
      <c r="D86" s="132" cm="1">
        <f t="array" ref="D86">SUM(SUMIF($B$10:$B$26,$T86:$U86,$F$10:$F$26))</f>
        <v>0</v>
      </c>
      <c r="T86" t="str">
        <f t="shared" si="15"/>
        <v>Monica</v>
      </c>
      <c r="U86" t="str">
        <f t="shared" si="15"/>
        <v>n/a</v>
      </c>
    </row>
    <row r="87" spans="2:21" ht="15.95" customHeight="1" x14ac:dyDescent="0.25">
      <c r="B87" s="50" t="s">
        <v>78</v>
      </c>
      <c r="C87" s="55" t="s">
        <v>79</v>
      </c>
      <c r="D87" s="131" cm="1">
        <f t="array" ref="D87">SUM(SUMIF($B$10:$B$26,$T87:$U87,$F$10:$F$26))</f>
        <v>0</v>
      </c>
      <c r="T87" t="str">
        <f t="shared" si="15"/>
        <v>Sujana</v>
      </c>
      <c r="U87" t="str">
        <f t="shared" si="15"/>
        <v>n/a</v>
      </c>
    </row>
    <row r="88" spans="2:21" ht="15.95" customHeight="1" x14ac:dyDescent="0.25">
      <c r="B88" s="53" t="s">
        <v>173</v>
      </c>
      <c r="C88" s="56" t="s">
        <v>175</v>
      </c>
      <c r="D88" s="132" cm="1">
        <f t="array" ref="D88">SUM(SUMIF($B$10:$B$26,$T88:$U88,$F$10:$F$26))</f>
        <v>0</v>
      </c>
      <c r="T88" t="str">
        <f t="shared" si="15"/>
        <v>NN Sujana</v>
      </c>
      <c r="U88" t="str">
        <f t="shared" si="15"/>
        <v>n/a</v>
      </c>
    </row>
    <row r="89" spans="2:21" ht="15.95" customHeight="1" x14ac:dyDescent="0.25">
      <c r="B89" s="53" t="s">
        <v>80</v>
      </c>
      <c r="C89" s="56" t="s">
        <v>81</v>
      </c>
      <c r="D89" s="132" cm="1">
        <f t="array" ref="D89">SUM(SUMIF($B$10:$B$26,$T89:$U89,$F$10:$F$26))</f>
        <v>0</v>
      </c>
      <c r="T89" t="str">
        <f t="shared" si="15"/>
        <v>Eka</v>
      </c>
      <c r="U89" t="str">
        <f t="shared" si="15"/>
        <v>n/a</v>
      </c>
    </row>
    <row r="90" spans="2:21" ht="15.95" customHeight="1" x14ac:dyDescent="0.25">
      <c r="B90" s="50" t="s">
        <v>82</v>
      </c>
      <c r="C90" s="55" t="s">
        <v>83</v>
      </c>
      <c r="D90" s="131" cm="1">
        <f t="array" ref="D90">SUM(SUMIF($B$10:$B$26,$T90:$U90,$F$10:$F$26))</f>
        <v>0</v>
      </c>
      <c r="T90" t="str">
        <f t="shared" si="15"/>
        <v>Taufik</v>
      </c>
      <c r="U90" t="str">
        <f t="shared" si="15"/>
        <v>n/a</v>
      </c>
    </row>
    <row r="91" spans="2:21" ht="15.95" customHeight="1" x14ac:dyDescent="0.25">
      <c r="B91" s="53" t="s">
        <v>84</v>
      </c>
      <c r="C91" s="56" t="s">
        <v>85</v>
      </c>
      <c r="D91" s="132" cm="1">
        <f t="array" ref="D91">SUM(SUMIF($B$10:$B$26,$T91:$U91,$F$10:$F$26))</f>
        <v>0</v>
      </c>
      <c r="T91" t="str">
        <f t="shared" si="15"/>
        <v>Dewi Kristiani</v>
      </c>
      <c r="U91" t="str">
        <f t="shared" si="15"/>
        <v>n/a</v>
      </c>
    </row>
    <row r="92" spans="2:21" ht="15.95" customHeight="1" x14ac:dyDescent="0.25">
      <c r="B92" s="50" t="s">
        <v>86</v>
      </c>
      <c r="C92" s="55" t="s">
        <v>87</v>
      </c>
      <c r="D92" s="131" cm="1">
        <f t="array" ref="D92">SUM(SUMIF($B$10:$B$26,$T92:$U92,$F$10:$F$26))</f>
        <v>0</v>
      </c>
      <c r="T92" t="str">
        <f t="shared" si="15"/>
        <v>Wira</v>
      </c>
      <c r="U92" t="str">
        <f t="shared" si="15"/>
        <v>n/a</v>
      </c>
    </row>
    <row r="93" spans="2:21" ht="15.95" customHeight="1" x14ac:dyDescent="0.25">
      <c r="B93" s="53" t="s">
        <v>88</v>
      </c>
      <c r="C93" s="56" t="s">
        <v>89</v>
      </c>
      <c r="D93" s="132" cm="1">
        <f t="array" ref="D93">SUM(SUMIF($B$10:$B$26,$T93:$U93,$F$10:$F$26))</f>
        <v>0</v>
      </c>
      <c r="T93" t="str">
        <f t="shared" si="15"/>
        <v>Ni Ketut Sriasih (GT)</v>
      </c>
      <c r="U93" t="str">
        <f t="shared" si="15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2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163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27</v>
      </c>
      <c r="D3" s="76" t="s">
        <v>104</v>
      </c>
      <c r="E3" s="77">
        <f ca="1">DAY(EOMONTH(DATE(YEAR(TODAY()),10,1),0))</f>
        <v>31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186</v>
      </c>
    </row>
    <row r="40" spans="2:19" ht="20.100000000000001" customHeight="1" x14ac:dyDescent="0.25">
      <c r="B40" s="269" t="s">
        <v>164</v>
      </c>
      <c r="C40" s="270"/>
      <c r="D40" s="271"/>
      <c r="E40" s="66" t="s">
        <v>137</v>
      </c>
      <c r="F40" s="174">
        <f ca="1">IF(MONTH(TODAY())=10,DAY(TODAY())/DAY(EOMONTH(TODAY(),0)),IF(MONTH(TODAY())&gt;10,1,0))</f>
        <v>0</v>
      </c>
      <c r="G40" s="192" t="s">
        <v>188</v>
      </c>
      <c r="H40" s="198">
        <v>0.9</v>
      </c>
      <c r="I40" s="201" t="s">
        <v>188</v>
      </c>
      <c r="J40" s="199">
        <v>0.95</v>
      </c>
      <c r="K40" s="194" t="s">
        <v>189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209</v>
      </c>
      <c r="C44" s="41" t="s">
        <v>143</v>
      </c>
      <c r="D44" s="45">
        <f>SUM(TARGETS!AG5:AG18)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0</v>
      </c>
      <c r="E45" s="46">
        <f>SUM(C31,C32)+M21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187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211</v>
      </c>
      <c r="G50" s="70" t="s">
        <v>130</v>
      </c>
      <c r="H50" s="113" t="s">
        <v>149</v>
      </c>
      <c r="I50" s="113" t="s">
        <v>150</v>
      </c>
      <c r="J50" s="113" t="s">
        <v>211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217</v>
      </c>
      <c r="U50" s="178" t="s">
        <v>218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0</v>
      </c>
      <c r="E51" s="118">
        <f>TARGETS!AF5</f>
        <v>0</v>
      </c>
      <c r="F51" s="118">
        <f>TARGETS!AG5</f>
        <v>0</v>
      </c>
      <c r="G51" s="118">
        <f t="shared" ref="G51:G64" si="1">SUM(D51:F51)</f>
        <v>0</v>
      </c>
      <c r="H51" s="114" cm="1">
        <f t="array" ref="H51">SUM(SUMIF($B$10:$B$26,$T51:$U51,C$10:C$26))</f>
        <v>0</v>
      </c>
      <c r="I51" s="114" cm="1">
        <f t="array" ref="I51">SUM(SUMIF($B$10:$B$26,$T51:$U51,D$10:D$26))</f>
        <v>0</v>
      </c>
      <c r="J51" s="114" cm="1">
        <f t="array" ref="J51">SUM(SUMIF($B$10:$B$26,$T51:$U51,E$10:E$26))</f>
        <v>0</v>
      </c>
      <c r="K51" s="114">
        <f t="shared" ref="K51:K64" si="2">SUM(H51:J51)</f>
        <v>0</v>
      </c>
      <c r="L51" s="187">
        <f t="shared" ref="L51:L65" si="3">IFERROR(K51/G51,0)</f>
        <v>0</v>
      </c>
      <c r="M51" s="184">
        <f t="shared" ref="M51:M64" si="4">G51*$H$40-K51</f>
        <v>0</v>
      </c>
      <c r="N51" s="184">
        <f t="shared" ref="N51:N65" ca="1" si="5">IFERROR(M51/$C$3,0)</f>
        <v>0</v>
      </c>
      <c r="O51" s="180">
        <f t="shared" ref="O51:O64" si="6">G51*$J$40-K51</f>
        <v>0</v>
      </c>
      <c r="P51" s="180">
        <f t="shared" ref="P51:P65" ca="1" si="7">IFERROR(O51/$C$3,0)</f>
        <v>0</v>
      </c>
      <c r="Q51" s="185">
        <f t="shared" ref="Q51:Q64" si="8">G51*$L$40-K51</f>
        <v>0</v>
      </c>
      <c r="R51" s="185">
        <f t="shared" ref="R51:R65" ca="1" si="9">IFERROR(Q51/$C$3,0)</f>
        <v>0</v>
      </c>
      <c r="T51" t="s">
        <v>124</v>
      </c>
      <c r="U51" t="s">
        <v>219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0</v>
      </c>
      <c r="E52" s="119">
        <f>TARGETS!AF6</f>
        <v>0</v>
      </c>
      <c r="F52" s="119">
        <f>TARGETS!AG6</f>
        <v>0</v>
      </c>
      <c r="G52" s="119">
        <f t="shared" si="1"/>
        <v>0</v>
      </c>
      <c r="H52" s="114" cm="1">
        <f t="array" ref="H52">SUM(SUMIF($B$10:$B$26,$T52:$U52,C$10:C$26))</f>
        <v>0</v>
      </c>
      <c r="I52" s="114" cm="1">
        <f t="array" ref="I52">SUM(SUMIF($B$10:$B$26,$T52:$U52,D$10:D$26))</f>
        <v>0</v>
      </c>
      <c r="J52" s="114" cm="1">
        <f t="array" ref="J52">SUM(SUMIF($B$10:$B$26,$T52:$U52,E$10:E$26))</f>
        <v>0</v>
      </c>
      <c r="K52" s="114">
        <f t="shared" si="2"/>
        <v>0</v>
      </c>
      <c r="L52" s="187">
        <f t="shared" si="3"/>
        <v>0</v>
      </c>
      <c r="M52" s="184">
        <f t="shared" si="4"/>
        <v>0</v>
      </c>
      <c r="N52" s="184">
        <f t="shared" ca="1" si="5"/>
        <v>0</v>
      </c>
      <c r="O52" s="180">
        <f t="shared" si="6"/>
        <v>0</v>
      </c>
      <c r="P52" s="180">
        <f t="shared" ca="1" si="7"/>
        <v>0</v>
      </c>
      <c r="Q52" s="185">
        <f t="shared" si="8"/>
        <v>0</v>
      </c>
      <c r="R52" s="185">
        <f t="shared" ca="1" si="9"/>
        <v>0</v>
      </c>
      <c r="T52" t="s">
        <v>70</v>
      </c>
      <c r="U52" t="s">
        <v>114</v>
      </c>
    </row>
    <row r="53" spans="2:21" ht="15.95" customHeight="1" x14ac:dyDescent="0.25">
      <c r="B53" s="136" t="s">
        <v>173</v>
      </c>
      <c r="C53" s="137" t="s">
        <v>174</v>
      </c>
      <c r="D53" s="138">
        <f>TARGETS!AE7</f>
        <v>0</v>
      </c>
      <c r="E53" s="138">
        <f>TARGETS!AF7</f>
        <v>0</v>
      </c>
      <c r="F53" s="138">
        <f>TARGETS!AG7</f>
        <v>0</v>
      </c>
      <c r="G53" s="138">
        <f t="shared" si="1"/>
        <v>0</v>
      </c>
      <c r="H53" s="114" cm="1">
        <f t="array" ref="H53">SUM(SUMIF($B$10:$B$26,$T53:$U53,C$10:C$26))</f>
        <v>0</v>
      </c>
      <c r="I53" s="114" cm="1">
        <f t="array" ref="I53">SUM(SUMIF($B$10:$B$26,$T53:$U53,D$10:D$26))</f>
        <v>0</v>
      </c>
      <c r="J53" s="114" cm="1">
        <f t="array" ref="J53">SUM(SUMIF($B$10:$B$26,$T53:$U53,E$10:E$26))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  <c r="T53" t="s">
        <v>170</v>
      </c>
      <c r="U53" t="s">
        <v>219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0</v>
      </c>
      <c r="E54" s="119">
        <f>TARGETS!AF8</f>
        <v>0</v>
      </c>
      <c r="F54" s="119">
        <f>TARGETS!AG8</f>
        <v>0</v>
      </c>
      <c r="G54" s="119">
        <f t="shared" si="1"/>
        <v>0</v>
      </c>
      <c r="H54" s="114" cm="1">
        <f t="array" ref="H54">SUM(SUMIF($B$10:$B$26,$T54:$U54,C$10:C$26))</f>
        <v>0</v>
      </c>
      <c r="I54" s="114" cm="1">
        <f t="array" ref="I54">SUM(SUMIF($B$10:$B$26,$T54:$U54,D$10:D$26))</f>
        <v>0</v>
      </c>
      <c r="J54" s="114" cm="1">
        <f t="array" ref="J54">SUM(SUMIF($B$10:$B$26,$T54:$U54,E$10:E$26))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  <c r="T54" t="s">
        <v>115</v>
      </c>
      <c r="U54" t="s">
        <v>219</v>
      </c>
    </row>
    <row r="55" spans="2:21" ht="15.95" customHeight="1" x14ac:dyDescent="0.25">
      <c r="B55" s="50" t="s">
        <v>73</v>
      </c>
      <c r="C55" s="55" t="s">
        <v>182</v>
      </c>
      <c r="D55" s="118">
        <f>TARGETS!AE9</f>
        <v>0</v>
      </c>
      <c r="E55" s="118">
        <f>TARGETS!AF9</f>
        <v>0</v>
      </c>
      <c r="F55" s="118">
        <f>TARGETS!AG9</f>
        <v>0</v>
      </c>
      <c r="G55" s="118">
        <f t="shared" si="1"/>
        <v>0</v>
      </c>
      <c r="H55" s="114" cm="1">
        <f t="array" ref="H55">SUM(SUMIF($B$10:$B$26,$T55:$U55,C$10:C$26))</f>
        <v>0</v>
      </c>
      <c r="I55" s="114" cm="1">
        <f t="array" ref="I55">SUM(SUMIF($B$10:$B$26,$T55:$U55,D$10:D$26))</f>
        <v>0</v>
      </c>
      <c r="J55" s="114" cm="1">
        <f t="array" ref="J55">SUM(SUMIF($B$10:$B$26,$T55:$U55,E$10:E$26))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  <c r="T55" t="s">
        <v>183</v>
      </c>
      <c r="U55" t="s">
        <v>219</v>
      </c>
    </row>
    <row r="56" spans="2:21" ht="15.95" customHeight="1" x14ac:dyDescent="0.25">
      <c r="B56" s="53" t="s">
        <v>75</v>
      </c>
      <c r="C56" s="56" t="s">
        <v>99</v>
      </c>
      <c r="D56" s="119">
        <f>TARGETS!AE10</f>
        <v>0</v>
      </c>
      <c r="E56" s="119">
        <f>TARGETS!AF10</f>
        <v>0</v>
      </c>
      <c r="F56" s="119">
        <f>TARGETS!AG10</f>
        <v>0</v>
      </c>
      <c r="G56" s="119">
        <f t="shared" si="1"/>
        <v>0</v>
      </c>
      <c r="H56" s="114" cm="1">
        <f t="array" ref="H56">SUM(SUMIF($B$10:$B$26,$T56:$U56,C$10:C$26))</f>
        <v>0</v>
      </c>
      <c r="I56" s="114" cm="1">
        <f t="array" ref="I56">SUM(SUMIF($B$10:$B$26,$T56:$U56,D$10:D$26))</f>
        <v>0</v>
      </c>
      <c r="J56" s="114" cm="1">
        <f t="array" ref="J56">SUM(SUMIF($B$10:$B$26,$T56:$U56,E$10:E$26))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  <c r="T56" t="s">
        <v>184</v>
      </c>
      <c r="U56" t="s">
        <v>219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0</v>
      </c>
      <c r="E57" s="118">
        <f>TARGETS!AF11</f>
        <v>0</v>
      </c>
      <c r="F57" s="118">
        <f>TARGETS!AG11</f>
        <v>0</v>
      </c>
      <c r="G57" s="118">
        <f t="shared" si="1"/>
        <v>0</v>
      </c>
      <c r="H57" s="114" cm="1">
        <f t="array" ref="H57">SUM(SUMIF($B$10:$B$26,$T57:$U57,C$10:C$26))</f>
        <v>0</v>
      </c>
      <c r="I57" s="114" cm="1">
        <f t="array" ref="I57">SUM(SUMIF($B$10:$B$26,$T57:$U57,D$10:D$26))</f>
        <v>0</v>
      </c>
      <c r="J57" s="114" cm="1">
        <f t="array" ref="J57">SUM(SUMIF($B$10:$B$26,$T57:$U57,E$10:E$26))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  <c r="T57" t="s">
        <v>120</v>
      </c>
      <c r="U57" t="s">
        <v>219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0</v>
      </c>
      <c r="E58" s="119">
        <f>TARGETS!AF12</f>
        <v>0</v>
      </c>
      <c r="F58" s="119">
        <f>TARGETS!AG12</f>
        <v>0</v>
      </c>
      <c r="G58" s="119">
        <f t="shared" si="1"/>
        <v>0</v>
      </c>
      <c r="H58" s="114" cm="1">
        <f t="array" ref="H58">SUM(SUMIF($B$10:$B$26,$T58:$U58,C$10:C$26))</f>
        <v>0</v>
      </c>
      <c r="I58" s="114" cm="1">
        <f t="array" ref="I58">SUM(SUMIF($B$10:$B$26,$T58:$U58,D$10:D$26))</f>
        <v>0</v>
      </c>
      <c r="J58" s="114" cm="1">
        <f t="array" ref="J58">SUM(SUMIF($B$10:$B$26,$T58:$U58,E$10:E$26))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  <c r="T58" t="s">
        <v>125</v>
      </c>
      <c r="U58" t="s">
        <v>219</v>
      </c>
    </row>
    <row r="59" spans="2:21" ht="15.95" customHeight="1" x14ac:dyDescent="0.25">
      <c r="B59" s="136" t="s">
        <v>173</v>
      </c>
      <c r="C59" s="137" t="s">
        <v>175</v>
      </c>
      <c r="D59" s="138">
        <f>TARGETS!AE13</f>
        <v>0</v>
      </c>
      <c r="E59" s="138">
        <f>TARGETS!AF13</f>
        <v>0</v>
      </c>
      <c r="F59" s="138">
        <f>TARGETS!AG13</f>
        <v>0</v>
      </c>
      <c r="G59" s="138">
        <f t="shared" si="1"/>
        <v>0</v>
      </c>
      <c r="H59" s="114" cm="1">
        <f t="array" ref="H59">SUM(SUMIF($B$10:$B$26,$T59:$U59,C$10:C$26))</f>
        <v>0</v>
      </c>
      <c r="I59" s="114" cm="1">
        <f t="array" ref="I59">SUM(SUMIF($B$10:$B$26,$T59:$U59,D$10:D$26))</f>
        <v>0</v>
      </c>
      <c r="J59" s="114" cm="1">
        <f t="array" ref="J59">SUM(SUMIF($B$10:$B$26,$T59:$U59,E$10:E$26))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  <c r="T59" t="s">
        <v>171</v>
      </c>
      <c r="U59" t="s">
        <v>219</v>
      </c>
    </row>
    <row r="60" spans="2:21" ht="15.95" customHeight="1" x14ac:dyDescent="0.25">
      <c r="B60" s="53" t="s">
        <v>80</v>
      </c>
      <c r="C60" s="56" t="s">
        <v>81</v>
      </c>
      <c r="D60" s="119">
        <f>TARGETS!AE14</f>
        <v>0</v>
      </c>
      <c r="E60" s="119">
        <f>TARGETS!AF14</f>
        <v>0</v>
      </c>
      <c r="F60" s="119">
        <f>TARGETS!AG14</f>
        <v>0</v>
      </c>
      <c r="G60" s="119">
        <f t="shared" si="1"/>
        <v>0</v>
      </c>
      <c r="H60" s="114" cm="1">
        <f t="array" ref="H60">SUM(SUMIF($B$10:$B$26,$T60:$U60,C$10:C$26))</f>
        <v>0</v>
      </c>
      <c r="I60" s="114" cm="1">
        <f t="array" ref="I60">SUM(SUMIF($B$10:$B$26,$T60:$U60,D$10:D$26))</f>
        <v>0</v>
      </c>
      <c r="J60" s="114" cm="1">
        <f t="array" ref="J60">SUM(SUMIF($B$10:$B$26,$T60:$U60,E$10:E$26))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  <c r="T60" t="s">
        <v>113</v>
      </c>
      <c r="U60" t="s">
        <v>219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0</v>
      </c>
      <c r="E61" s="118">
        <f>TARGETS!AF15</f>
        <v>0</v>
      </c>
      <c r="F61" s="118">
        <f>TARGETS!AG15</f>
        <v>0</v>
      </c>
      <c r="G61" s="118">
        <f t="shared" si="1"/>
        <v>0</v>
      </c>
      <c r="H61" s="114" cm="1">
        <f t="array" ref="H61">SUM(SUMIF($B$10:$B$26,$T61:$U61,C$10:C$26))</f>
        <v>0</v>
      </c>
      <c r="I61" s="114" cm="1">
        <f t="array" ref="I61">SUM(SUMIF($B$10:$B$26,$T61:$U61,D$10:D$26))</f>
        <v>0</v>
      </c>
      <c r="J61" s="114" cm="1">
        <f t="array" ref="J61">SUM(SUMIF($B$10:$B$26,$T61:$U61,E$10:E$26))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  <c r="T61" t="s">
        <v>126</v>
      </c>
      <c r="U61" t="s">
        <v>219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0</v>
      </c>
      <c r="E62" s="119">
        <f>TARGETS!AF16</f>
        <v>0</v>
      </c>
      <c r="F62" s="119">
        <f>TARGETS!AG16</f>
        <v>0</v>
      </c>
      <c r="G62" s="119">
        <f t="shared" si="1"/>
        <v>0</v>
      </c>
      <c r="H62" s="114" cm="1">
        <f t="array" ref="H62">SUM(SUMIF($B$10:$B$26,$T62:$U62,C$10:C$26))</f>
        <v>0</v>
      </c>
      <c r="I62" s="114" cm="1">
        <f t="array" ref="I62">SUM(SUMIF($B$10:$B$26,$T62:$U62,D$10:D$26))</f>
        <v>0</v>
      </c>
      <c r="J62" s="114" cm="1">
        <f t="array" ref="J62">SUM(SUMIF($B$10:$B$26,$T62:$U62,E$10:E$26))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  <c r="T62" t="s">
        <v>112</v>
      </c>
      <c r="U62" t="s">
        <v>219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0</v>
      </c>
      <c r="E63" s="118">
        <f>TARGETS!AF17</f>
        <v>0</v>
      </c>
      <c r="F63" s="118">
        <f>TARGETS!AG17</f>
        <v>0</v>
      </c>
      <c r="G63" s="118">
        <f t="shared" si="1"/>
        <v>0</v>
      </c>
      <c r="H63" s="114" cm="1">
        <f t="array" ref="H63">SUM(SUMIF($B$10:$B$26,$T63:$U63,C$10:C$26))</f>
        <v>0</v>
      </c>
      <c r="I63" s="114" cm="1">
        <f t="array" ref="I63">SUM(SUMIF($B$10:$B$26,$T63:$U63,D$10:D$26))</f>
        <v>0</v>
      </c>
      <c r="J63" s="114" cm="1">
        <f t="array" ref="J63">SUM(SUMIF($B$10:$B$26,$T63:$U63,E$10:E$26))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  <c r="T63" t="s">
        <v>127</v>
      </c>
      <c r="U63" t="s">
        <v>219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0</v>
      </c>
      <c r="E64" s="119">
        <f>TARGETS!AF18</f>
        <v>0</v>
      </c>
      <c r="F64" s="119">
        <f>TARGETS!AG18</f>
        <v>0</v>
      </c>
      <c r="G64" s="119">
        <f t="shared" si="1"/>
        <v>0</v>
      </c>
      <c r="H64" s="114" cm="1">
        <f t="array" ref="H64">SUM(SUMIF($B$10:$B$26,$T64:$U64,C$10:C$26))</f>
        <v>0</v>
      </c>
      <c r="I64" s="114" cm="1">
        <f t="array" ref="I64">SUM(SUMIF($B$10:$B$26,$T64:$U64,D$10:D$26))</f>
        <v>0</v>
      </c>
      <c r="J64" s="114" cm="1">
        <f t="array" ref="J64">SUM(SUMIF($B$10:$B$26,$T64:$U64,E$10:E$26))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0">SUM(D51:D64)</f>
        <v>0</v>
      </c>
      <c r="E65" s="134">
        <f t="shared" si="10"/>
        <v>0</v>
      </c>
      <c r="F65" s="134">
        <f t="shared" si="10"/>
        <v>0</v>
      </c>
      <c r="G65" s="134">
        <f t="shared" si="10"/>
        <v>0</v>
      </c>
      <c r="H65" s="135">
        <f t="shared" si="10"/>
        <v>0</v>
      </c>
      <c r="I65" s="135">
        <f t="shared" si="10"/>
        <v>0</v>
      </c>
      <c r="J65" s="135">
        <f t="shared" si="10"/>
        <v>0</v>
      </c>
      <c r="K65" s="135">
        <f t="shared" si="10"/>
        <v>0</v>
      </c>
      <c r="L65" s="189">
        <f t="shared" si="3"/>
        <v>0</v>
      </c>
      <c r="M65" s="181">
        <f>SUM(M51:M64)</f>
        <v>0</v>
      </c>
      <c r="N65" s="181">
        <f t="shared" ca="1" si="5"/>
        <v>0</v>
      </c>
      <c r="O65" s="181">
        <f>SUM(O51:O64)</f>
        <v>0</v>
      </c>
      <c r="P65" s="181">
        <f t="shared" ca="1" si="7"/>
        <v>0</v>
      </c>
      <c r="Q65" s="186">
        <f>SUM(Q51:Q64)</f>
        <v>0</v>
      </c>
      <c r="R65" s="186">
        <f t="shared" ca="1" si="9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187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0</v>
      </c>
      <c r="E69" s="114">
        <f>IFERROR(C31,0)</f>
        <v>0</v>
      </c>
      <c r="F69" s="187">
        <f t="shared" ref="F69:F74" si="11">IFERROR(E69/D69,0)</f>
        <v>0</v>
      </c>
      <c r="G69" s="184">
        <f>D69*$H$40-E69</f>
        <v>0</v>
      </c>
      <c r="H69" s="184">
        <f t="shared" ref="H69:H74" ca="1" si="12">IFERROR(G69/$C$3,0)</f>
        <v>0</v>
      </c>
      <c r="I69" s="204">
        <f>D69*$J$40-E69</f>
        <v>0</v>
      </c>
      <c r="J69" s="204">
        <f t="shared" ref="J69:J74" ca="1" si="13">IFERROR(I69/$C$3,0)</f>
        <v>0</v>
      </c>
      <c r="K69" s="185">
        <f>D69*$L$40-E69</f>
        <v>0</v>
      </c>
      <c r="L69" s="185">
        <f t="shared" ref="L69:L74" ca="1" si="14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TARGETS!M23</f>
        <v>0</v>
      </c>
      <c r="E70" s="114">
        <f>IFERROR(C32,0)</f>
        <v>0</v>
      </c>
      <c r="F70" s="187">
        <f t="shared" si="11"/>
        <v>0</v>
      </c>
      <c r="G70" s="184">
        <f>D70*$H$40-E70</f>
        <v>0</v>
      </c>
      <c r="H70" s="184">
        <f t="shared" ca="1" si="12"/>
        <v>0</v>
      </c>
      <c r="I70" s="204">
        <f>D70*$J$40-E70</f>
        <v>0</v>
      </c>
      <c r="J70" s="204">
        <f t="shared" ca="1" si="13"/>
        <v>0</v>
      </c>
      <c r="K70" s="185">
        <f>D70*$L$40-E70</f>
        <v>0</v>
      </c>
      <c r="L70" s="185">
        <f t="shared" ca="1" si="14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0</v>
      </c>
      <c r="E71" s="114">
        <f>M21+M7</f>
        <v>0</v>
      </c>
      <c r="F71" s="187">
        <f t="shared" si="11"/>
        <v>0</v>
      </c>
      <c r="G71" s="184">
        <f>D71*$H$40-E71</f>
        <v>0</v>
      </c>
      <c r="H71" s="184">
        <f t="shared" ca="1" si="12"/>
        <v>0</v>
      </c>
      <c r="I71" s="204">
        <f>D71*$J$40-E71</f>
        <v>0</v>
      </c>
      <c r="J71" s="204">
        <f t="shared" ca="1" si="13"/>
        <v>0</v>
      </c>
      <c r="K71" s="185">
        <f>D71*$L$40-E71</f>
        <v>0</v>
      </c>
      <c r="L71" s="185">
        <f t="shared" ca="1" si="14"/>
        <v>0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1"/>
        <v>0</v>
      </c>
      <c r="G72" s="184">
        <f>D72*$H$40-E72</f>
        <v>0</v>
      </c>
      <c r="H72" s="184">
        <f t="shared" ca="1" si="12"/>
        <v>0</v>
      </c>
      <c r="I72" s="204">
        <f>D72*$J$40-E72</f>
        <v>0</v>
      </c>
      <c r="J72" s="204">
        <f t="shared" ca="1" si="13"/>
        <v>0</v>
      </c>
      <c r="K72" s="185">
        <f>D72*$L$40-E72</f>
        <v>0</v>
      </c>
      <c r="L72" s="185">
        <f t="shared" ca="1" si="14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1"/>
        <v>0</v>
      </c>
      <c r="G73" s="184">
        <f>D73*$H$40-E73</f>
        <v>0</v>
      </c>
      <c r="H73" s="184">
        <f t="shared" ca="1" si="12"/>
        <v>0</v>
      </c>
      <c r="I73" s="204">
        <f>D73*$J$40-E73</f>
        <v>0</v>
      </c>
      <c r="J73" s="204">
        <f t="shared" ca="1" si="13"/>
        <v>0</v>
      </c>
      <c r="K73" s="185">
        <f>D73*$L$40-E73</f>
        <v>0</v>
      </c>
      <c r="L73" s="185">
        <f t="shared" ca="1" si="14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1"/>
        <v>0</v>
      </c>
      <c r="G74" s="181">
        <f>SUM(G69:G73)</f>
        <v>0</v>
      </c>
      <c r="H74" s="181">
        <f t="shared" ca="1" si="12"/>
        <v>0</v>
      </c>
      <c r="I74" s="186">
        <f>SUM(I69:I73)</f>
        <v>0</v>
      </c>
      <c r="J74" s="186">
        <f t="shared" ca="1" si="13"/>
        <v>0</v>
      </c>
      <c r="K74" s="186">
        <f>SUM(K69:K73)</f>
        <v>0</v>
      </c>
      <c r="L74" s="186">
        <f t="shared" ca="1" si="14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172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169</v>
      </c>
      <c r="T79" s="178" t="s">
        <v>217</v>
      </c>
      <c r="U79" s="178" t="s">
        <v>218</v>
      </c>
    </row>
    <row r="80" spans="2:21" ht="15.95" customHeight="1" x14ac:dyDescent="0.25">
      <c r="B80" s="50" t="s">
        <v>67</v>
      </c>
      <c r="C80" s="55" t="s">
        <v>68</v>
      </c>
      <c r="D80" s="131" cm="1">
        <f t="array" ref="D80">SUM(SUMIF($B$10:$B$26,$T80:$U80,$F$10:$F$26))</f>
        <v>0</v>
      </c>
      <c r="T80" t="str">
        <f t="shared" ref="T80:U93" si="15">T51</f>
        <v>Picrom Stalyon</v>
      </c>
      <c r="U80" t="str">
        <f t="shared" si="15"/>
        <v>n/a</v>
      </c>
    </row>
    <row r="81" spans="2:21" ht="15.95" customHeight="1" x14ac:dyDescent="0.25">
      <c r="B81" s="53" t="s">
        <v>69</v>
      </c>
      <c r="C81" s="56" t="s">
        <v>70</v>
      </c>
      <c r="D81" s="132" cm="1">
        <f t="array" ref="D81">SUM(SUMIF($B$10:$B$26,$T81:$U81,$F$10:$F$26))</f>
        <v>0</v>
      </c>
      <c r="T81" t="str">
        <f t="shared" si="15"/>
        <v>I MADE LUIH</v>
      </c>
      <c r="U81" t="str">
        <f t="shared" si="15"/>
        <v>I Made Luih (Sanur)</v>
      </c>
    </row>
    <row r="82" spans="2:21" ht="15.95" customHeight="1" x14ac:dyDescent="0.25">
      <c r="B82" s="53" t="s">
        <v>173</v>
      </c>
      <c r="C82" s="56" t="s">
        <v>174</v>
      </c>
      <c r="D82" s="132" cm="1">
        <f t="array" ref="D82">SUM(SUMIF($B$10:$B$26,$T82:$U82,$F$10:$F$26))</f>
        <v>0</v>
      </c>
      <c r="T82" t="str">
        <f t="shared" si="15"/>
        <v>NN Made Luih</v>
      </c>
      <c r="U82" t="str">
        <f t="shared" si="15"/>
        <v>n/a</v>
      </c>
    </row>
    <row r="83" spans="2:21" ht="15.95" customHeight="1" x14ac:dyDescent="0.25">
      <c r="B83" s="50" t="s">
        <v>71</v>
      </c>
      <c r="C83" s="55" t="s">
        <v>72</v>
      </c>
      <c r="D83" s="131" cm="1">
        <f t="array" ref="D83">SUM(SUMIF($B$10:$B$26,$T83:$U83,$F$10:$F$26))</f>
        <v>0</v>
      </c>
      <c r="T83" t="str">
        <f t="shared" si="15"/>
        <v>Juni</v>
      </c>
      <c r="U83" t="str">
        <f t="shared" si="15"/>
        <v>n/a</v>
      </c>
    </row>
    <row r="84" spans="2:21" ht="15.95" customHeight="1" x14ac:dyDescent="0.25">
      <c r="B84" s="53" t="s">
        <v>73</v>
      </c>
      <c r="C84" s="56" t="s">
        <v>74</v>
      </c>
      <c r="D84" s="132" cm="1">
        <f t="array" ref="D84">SUM(SUMIF($B$10:$B$26,$T84:$U84,$F$10:$F$26))</f>
        <v>0</v>
      </c>
      <c r="T84" t="str">
        <f t="shared" si="15"/>
        <v>FIB</v>
      </c>
      <c r="U84" t="str">
        <f t="shared" si="15"/>
        <v>n/a</v>
      </c>
    </row>
    <row r="85" spans="2:21" ht="15.95" customHeight="1" x14ac:dyDescent="0.25">
      <c r="B85" s="50" t="s">
        <v>75</v>
      </c>
      <c r="C85" s="55" t="s">
        <v>74</v>
      </c>
      <c r="D85" s="131" cm="1">
        <f t="array" ref="D85">SUM(SUMIF($B$10:$B$26,$T85:$U85,$F$10:$F$26))</f>
        <v>0</v>
      </c>
      <c r="T85" t="str">
        <f t="shared" si="15"/>
        <v>Vacant Hotel Kuta Seminyak</v>
      </c>
      <c r="U85" t="str">
        <f t="shared" si="15"/>
        <v>n/a</v>
      </c>
    </row>
    <row r="86" spans="2:21" ht="15.95" customHeight="1" x14ac:dyDescent="0.25">
      <c r="B86" s="53" t="s">
        <v>76</v>
      </c>
      <c r="C86" s="56" t="s">
        <v>77</v>
      </c>
      <c r="D86" s="132" cm="1">
        <f t="array" ref="D86">SUM(SUMIF($B$10:$B$26,$T86:$U86,$F$10:$F$26))</f>
        <v>0</v>
      </c>
      <c r="T86" t="str">
        <f t="shared" si="15"/>
        <v>Monica</v>
      </c>
      <c r="U86" t="str">
        <f t="shared" si="15"/>
        <v>n/a</v>
      </c>
    </row>
    <row r="87" spans="2:21" ht="15.95" customHeight="1" x14ac:dyDescent="0.25">
      <c r="B87" s="50" t="s">
        <v>78</v>
      </c>
      <c r="C87" s="55" t="s">
        <v>79</v>
      </c>
      <c r="D87" s="131" cm="1">
        <f t="array" ref="D87">SUM(SUMIF($B$10:$B$26,$T87:$U87,$F$10:$F$26))</f>
        <v>0</v>
      </c>
      <c r="T87" t="str">
        <f t="shared" si="15"/>
        <v>Sujana</v>
      </c>
      <c r="U87" t="str">
        <f t="shared" si="15"/>
        <v>n/a</v>
      </c>
    </row>
    <row r="88" spans="2:21" ht="15.95" customHeight="1" x14ac:dyDescent="0.25">
      <c r="B88" s="53" t="s">
        <v>173</v>
      </c>
      <c r="C88" s="56" t="s">
        <v>175</v>
      </c>
      <c r="D88" s="132" cm="1">
        <f t="array" ref="D88">SUM(SUMIF($B$10:$B$26,$T88:$U88,$F$10:$F$26))</f>
        <v>0</v>
      </c>
      <c r="T88" t="str">
        <f t="shared" si="15"/>
        <v>NN Sujana</v>
      </c>
      <c r="U88" t="str">
        <f t="shared" si="15"/>
        <v>n/a</v>
      </c>
    </row>
    <row r="89" spans="2:21" ht="15.95" customHeight="1" x14ac:dyDescent="0.25">
      <c r="B89" s="53" t="s">
        <v>80</v>
      </c>
      <c r="C89" s="56" t="s">
        <v>81</v>
      </c>
      <c r="D89" s="132" cm="1">
        <f t="array" ref="D89">SUM(SUMIF($B$10:$B$26,$T89:$U89,$F$10:$F$26))</f>
        <v>0</v>
      </c>
      <c r="T89" t="str">
        <f t="shared" si="15"/>
        <v>Eka</v>
      </c>
      <c r="U89" t="str">
        <f t="shared" si="15"/>
        <v>n/a</v>
      </c>
    </row>
    <row r="90" spans="2:21" ht="15.95" customHeight="1" x14ac:dyDescent="0.25">
      <c r="B90" s="50" t="s">
        <v>82</v>
      </c>
      <c r="C90" s="55" t="s">
        <v>83</v>
      </c>
      <c r="D90" s="131" cm="1">
        <f t="array" ref="D90">SUM(SUMIF($B$10:$B$26,$T90:$U90,$F$10:$F$26))</f>
        <v>0</v>
      </c>
      <c r="T90" t="str">
        <f t="shared" si="15"/>
        <v>Taufik</v>
      </c>
      <c r="U90" t="str">
        <f t="shared" si="15"/>
        <v>n/a</v>
      </c>
    </row>
    <row r="91" spans="2:21" ht="15.95" customHeight="1" x14ac:dyDescent="0.25">
      <c r="B91" s="53" t="s">
        <v>84</v>
      </c>
      <c r="C91" s="56" t="s">
        <v>85</v>
      </c>
      <c r="D91" s="132" cm="1">
        <f t="array" ref="D91">SUM(SUMIF($B$10:$B$26,$T91:$U91,$F$10:$F$26))</f>
        <v>0</v>
      </c>
      <c r="T91" t="str">
        <f t="shared" si="15"/>
        <v>Dewi Kristiani</v>
      </c>
      <c r="U91" t="str">
        <f t="shared" si="15"/>
        <v>n/a</v>
      </c>
    </row>
    <row r="92" spans="2:21" ht="15.95" customHeight="1" x14ac:dyDescent="0.25">
      <c r="B92" s="50" t="s">
        <v>86</v>
      </c>
      <c r="C92" s="55" t="s">
        <v>87</v>
      </c>
      <c r="D92" s="131" cm="1">
        <f t="array" ref="D92">SUM(SUMIF($B$10:$B$26,$T92:$U92,$F$10:$F$26))</f>
        <v>0</v>
      </c>
      <c r="T92" t="str">
        <f t="shared" si="15"/>
        <v>Wira</v>
      </c>
      <c r="U92" t="str">
        <f t="shared" si="15"/>
        <v>n/a</v>
      </c>
    </row>
    <row r="93" spans="2:21" ht="15.95" customHeight="1" x14ac:dyDescent="0.25">
      <c r="B93" s="53" t="s">
        <v>88</v>
      </c>
      <c r="C93" s="56" t="s">
        <v>89</v>
      </c>
      <c r="D93" s="132" cm="1">
        <f t="array" ref="D93">SUM(SUMIF($B$10:$B$26,$T93:$U93,$F$10:$F$26))</f>
        <v>0</v>
      </c>
      <c r="T93" t="str">
        <f t="shared" si="15"/>
        <v>Ni Ketut Sriasih (GT)</v>
      </c>
      <c r="U93" t="str">
        <f t="shared" si="15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39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165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186</v>
      </c>
    </row>
    <row r="40" spans="2:19" ht="20.100000000000001" customHeight="1" x14ac:dyDescent="0.25">
      <c r="B40" s="269" t="s">
        <v>176</v>
      </c>
      <c r="C40" s="270"/>
      <c r="D40" s="271"/>
      <c r="E40" s="66" t="s">
        <v>137</v>
      </c>
      <c r="F40" s="174">
        <f ca="1">IF(MONTH(TODAY())=11,DAY(TODAY())/DAY(EOMONTH(TODAY(),0)),IF(MONTH(TODAY())&gt;11,1,0))</f>
        <v>0</v>
      </c>
      <c r="G40" s="192" t="s">
        <v>188</v>
      </c>
      <c r="H40" s="198">
        <v>0.9</v>
      </c>
      <c r="I40" s="201" t="s">
        <v>188</v>
      </c>
      <c r="J40" s="199">
        <v>0.95</v>
      </c>
      <c r="K40" s="194" t="s">
        <v>189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209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SUM(C31,C32)+M21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187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211</v>
      </c>
      <c r="G50" s="70" t="s">
        <v>130</v>
      </c>
      <c r="H50" s="113" t="s">
        <v>149</v>
      </c>
      <c r="I50" s="113" t="s">
        <v>150</v>
      </c>
      <c r="J50" s="113" t="s">
        <v>211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217</v>
      </c>
      <c r="U50" s="178" t="s">
        <v>218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 cm="1">
        <f t="array" ref="H51">SUM(SUMIF($B$10:$B$26,$T51:$U51,C$10:C$26))</f>
        <v>0</v>
      </c>
      <c r="I51" s="114" cm="1">
        <f t="array" ref="I51">SUM(SUMIF($B$10:$B$26,$T51:$U51,D$10:D$26))</f>
        <v>0</v>
      </c>
      <c r="J51" s="114" cm="1">
        <f t="array" ref="J51">SUM(SUMIF($B$10:$B$26,$T51:$U51,E$10:E$26))</f>
        <v>0</v>
      </c>
      <c r="K51" s="114">
        <f t="shared" ref="K51:K64" si="2">SUM(H51:J51)</f>
        <v>0</v>
      </c>
      <c r="L51" s="187">
        <f t="shared" ref="L51:L65" si="3">IFERROR(K51/G51,0)</f>
        <v>0</v>
      </c>
      <c r="M51" s="184">
        <f t="shared" ref="M51:M64" si="4">G51*$H$40-K51</f>
        <v>0</v>
      </c>
      <c r="N51" s="184">
        <f t="shared" ref="N51:N65" ca="1" si="5">IFERROR(M51/$C$3,0)</f>
        <v>0</v>
      </c>
      <c r="O51" s="180">
        <f t="shared" ref="O51:O64" si="6">G51*$J$40-K51</f>
        <v>0</v>
      </c>
      <c r="P51" s="180">
        <f t="shared" ref="P51:P65" ca="1" si="7">IFERROR(O51/$C$3,0)</f>
        <v>0</v>
      </c>
      <c r="Q51" s="185">
        <f t="shared" ref="Q51:Q64" si="8">G51*$L$40-K51</f>
        <v>0</v>
      </c>
      <c r="R51" s="185">
        <f t="shared" ref="R51:R65" ca="1" si="9">IFERROR(Q51/$C$3,0)</f>
        <v>0</v>
      </c>
      <c r="T51" t="s">
        <v>124</v>
      </c>
      <c r="U51" t="s">
        <v>219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 cm="1">
        <f t="array" ref="H52">SUM(SUMIF($B$10:$B$26,$T52:$U52,C$10:C$26))</f>
        <v>0</v>
      </c>
      <c r="I52" s="114" cm="1">
        <f t="array" ref="I52">SUM(SUMIF($B$10:$B$26,$T52:$U52,D$10:D$26))</f>
        <v>0</v>
      </c>
      <c r="J52" s="114" cm="1">
        <f t="array" ref="J52">SUM(SUMIF($B$10:$B$26,$T52:$U52,E$10:E$26))</f>
        <v>0</v>
      </c>
      <c r="K52" s="114">
        <f t="shared" si="2"/>
        <v>0</v>
      </c>
      <c r="L52" s="187">
        <f t="shared" si="3"/>
        <v>0</v>
      </c>
      <c r="M52" s="184">
        <f t="shared" si="4"/>
        <v>0</v>
      </c>
      <c r="N52" s="184">
        <f t="shared" ca="1" si="5"/>
        <v>0</v>
      </c>
      <c r="O52" s="180">
        <f t="shared" si="6"/>
        <v>0</v>
      </c>
      <c r="P52" s="180">
        <f t="shared" ca="1" si="7"/>
        <v>0</v>
      </c>
      <c r="Q52" s="185">
        <f t="shared" si="8"/>
        <v>0</v>
      </c>
      <c r="R52" s="185">
        <f t="shared" ca="1" si="9"/>
        <v>0</v>
      </c>
      <c r="T52" t="s">
        <v>70</v>
      </c>
      <c r="U52" t="s">
        <v>114</v>
      </c>
    </row>
    <row r="53" spans="2:21" ht="15.95" customHeight="1" x14ac:dyDescent="0.25">
      <c r="B53" s="136" t="s">
        <v>173</v>
      </c>
      <c r="C53" s="137" t="s">
        <v>174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 cm="1">
        <f t="array" ref="H53">SUM(SUMIF($B$10:$B$26,$T53:$U53,C$10:C$26))</f>
        <v>0</v>
      </c>
      <c r="I53" s="114" cm="1">
        <f t="array" ref="I53">SUM(SUMIF($B$10:$B$26,$T53:$U53,D$10:D$26))</f>
        <v>0</v>
      </c>
      <c r="J53" s="114" cm="1">
        <f t="array" ref="J53">SUM(SUMIF($B$10:$B$26,$T53:$U53,E$10:E$26))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  <c r="T53" t="s">
        <v>170</v>
      </c>
      <c r="U53" t="s">
        <v>219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 cm="1">
        <f t="array" ref="H54">SUM(SUMIF($B$10:$B$26,$T54:$U54,C$10:C$26))</f>
        <v>0</v>
      </c>
      <c r="I54" s="114" cm="1">
        <f t="array" ref="I54">SUM(SUMIF($B$10:$B$26,$T54:$U54,D$10:D$26))</f>
        <v>0</v>
      </c>
      <c r="J54" s="114" cm="1">
        <f t="array" ref="J54">SUM(SUMIF($B$10:$B$26,$T54:$U54,E$10:E$26))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  <c r="T54" t="s">
        <v>115</v>
      </c>
      <c r="U54" t="s">
        <v>219</v>
      </c>
    </row>
    <row r="55" spans="2:21" ht="15.95" customHeight="1" x14ac:dyDescent="0.25">
      <c r="B55" s="50" t="s">
        <v>73</v>
      </c>
      <c r="C55" s="55" t="s">
        <v>182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 cm="1">
        <f t="array" ref="H55">SUM(SUMIF($B$10:$B$26,$T55:$U55,C$10:C$26))</f>
        <v>0</v>
      </c>
      <c r="I55" s="114" cm="1">
        <f t="array" ref="I55">SUM(SUMIF($B$10:$B$26,$T55:$U55,D$10:D$26))</f>
        <v>0</v>
      </c>
      <c r="J55" s="114" cm="1">
        <f t="array" ref="J55">SUM(SUMIF($B$10:$B$26,$T55:$U55,E$10:E$26))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  <c r="T55" t="s">
        <v>183</v>
      </c>
      <c r="U55" t="s">
        <v>219</v>
      </c>
    </row>
    <row r="56" spans="2:21" ht="15.95" customHeight="1" x14ac:dyDescent="0.25">
      <c r="B56" s="53" t="s">
        <v>75</v>
      </c>
      <c r="C56" s="56" t="s">
        <v>99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 cm="1">
        <f t="array" ref="H56">SUM(SUMIF($B$10:$B$26,$T56:$U56,C$10:C$26))</f>
        <v>0</v>
      </c>
      <c r="I56" s="114" cm="1">
        <f t="array" ref="I56">SUM(SUMIF($B$10:$B$26,$T56:$U56,D$10:D$26))</f>
        <v>0</v>
      </c>
      <c r="J56" s="114" cm="1">
        <f t="array" ref="J56">SUM(SUMIF($B$10:$B$26,$T56:$U56,E$10:E$26))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  <c r="T56" t="s">
        <v>184</v>
      </c>
      <c r="U56" t="s">
        <v>219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 cm="1">
        <f t="array" ref="H57">SUM(SUMIF($B$10:$B$26,$T57:$U57,C$10:C$26))</f>
        <v>0</v>
      </c>
      <c r="I57" s="114" cm="1">
        <f t="array" ref="I57">SUM(SUMIF($B$10:$B$26,$T57:$U57,D$10:D$26))</f>
        <v>0</v>
      </c>
      <c r="J57" s="114" cm="1">
        <f t="array" ref="J57">SUM(SUMIF($B$10:$B$26,$T57:$U57,E$10:E$26))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  <c r="T57" t="s">
        <v>120</v>
      </c>
      <c r="U57" t="s">
        <v>219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 cm="1">
        <f t="array" ref="H58">SUM(SUMIF($B$10:$B$26,$T58:$U58,C$10:C$26))</f>
        <v>0</v>
      </c>
      <c r="I58" s="114" cm="1">
        <f t="array" ref="I58">SUM(SUMIF($B$10:$B$26,$T58:$U58,D$10:D$26))</f>
        <v>0</v>
      </c>
      <c r="J58" s="114" cm="1">
        <f t="array" ref="J58">SUM(SUMIF($B$10:$B$26,$T58:$U58,E$10:E$26))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  <c r="T58" t="s">
        <v>125</v>
      </c>
      <c r="U58" t="s">
        <v>219</v>
      </c>
    </row>
    <row r="59" spans="2:21" ht="15.95" customHeight="1" x14ac:dyDescent="0.25">
      <c r="B59" s="136" t="s">
        <v>173</v>
      </c>
      <c r="C59" s="137" t="s">
        <v>175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 cm="1">
        <f t="array" ref="H59">SUM(SUMIF($B$10:$B$26,$T59:$U59,C$10:C$26))</f>
        <v>0</v>
      </c>
      <c r="I59" s="114" cm="1">
        <f t="array" ref="I59">SUM(SUMIF($B$10:$B$26,$T59:$U59,D$10:D$26))</f>
        <v>0</v>
      </c>
      <c r="J59" s="114" cm="1">
        <f t="array" ref="J59">SUM(SUMIF($B$10:$B$26,$T59:$U59,E$10:E$26))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  <c r="T59" t="s">
        <v>171</v>
      </c>
      <c r="U59" t="s">
        <v>219</v>
      </c>
    </row>
    <row r="60" spans="2:21" ht="15.95" customHeight="1" x14ac:dyDescent="0.25">
      <c r="B60" s="53" t="s">
        <v>80</v>
      </c>
      <c r="C60" s="56" t="s">
        <v>81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 cm="1">
        <f t="array" ref="H60">SUM(SUMIF($B$10:$B$26,$T60:$U60,C$10:C$26))</f>
        <v>0</v>
      </c>
      <c r="I60" s="114" cm="1">
        <f t="array" ref="I60">SUM(SUMIF($B$10:$B$26,$T60:$U60,D$10:D$26))</f>
        <v>0</v>
      </c>
      <c r="J60" s="114" cm="1">
        <f t="array" ref="J60">SUM(SUMIF($B$10:$B$26,$T60:$U60,E$10:E$26))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  <c r="T60" t="s">
        <v>113</v>
      </c>
      <c r="U60" t="s">
        <v>219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 cm="1">
        <f t="array" ref="H61">SUM(SUMIF($B$10:$B$26,$T61:$U61,C$10:C$26))</f>
        <v>0</v>
      </c>
      <c r="I61" s="114" cm="1">
        <f t="array" ref="I61">SUM(SUMIF($B$10:$B$26,$T61:$U61,D$10:D$26))</f>
        <v>0</v>
      </c>
      <c r="J61" s="114" cm="1">
        <f t="array" ref="J61">SUM(SUMIF($B$10:$B$26,$T61:$U61,E$10:E$26))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  <c r="T61" t="s">
        <v>126</v>
      </c>
      <c r="U61" t="s">
        <v>219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 cm="1">
        <f t="array" ref="H62">SUM(SUMIF($B$10:$B$26,$T62:$U62,C$10:C$26))</f>
        <v>0</v>
      </c>
      <c r="I62" s="114" cm="1">
        <f t="array" ref="I62">SUM(SUMIF($B$10:$B$26,$T62:$U62,D$10:D$26))</f>
        <v>0</v>
      </c>
      <c r="J62" s="114" cm="1">
        <f t="array" ref="J62">SUM(SUMIF($B$10:$B$26,$T62:$U62,E$10:E$26))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  <c r="T62" t="s">
        <v>112</v>
      </c>
      <c r="U62" t="s">
        <v>219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 cm="1">
        <f t="array" ref="H63">SUM(SUMIF($B$10:$B$26,$T63:$U63,C$10:C$26))</f>
        <v>0</v>
      </c>
      <c r="I63" s="114" cm="1">
        <f t="array" ref="I63">SUM(SUMIF($B$10:$B$26,$T63:$U63,D$10:D$26))</f>
        <v>0</v>
      </c>
      <c r="J63" s="114" cm="1">
        <f t="array" ref="J63">SUM(SUMIF($B$10:$B$26,$T63:$U63,E$10:E$26))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  <c r="T63" t="s">
        <v>127</v>
      </c>
      <c r="U63" t="s">
        <v>219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 cm="1">
        <f t="array" ref="H64">SUM(SUMIF($B$10:$B$26,$T64:$U64,C$10:C$26))</f>
        <v>0</v>
      </c>
      <c r="I64" s="114" cm="1">
        <f t="array" ref="I64">SUM(SUMIF($B$10:$B$26,$T64:$U64,D$10:D$26))</f>
        <v>0</v>
      </c>
      <c r="J64" s="114" cm="1">
        <f t="array" ref="J64">SUM(SUMIF($B$10:$B$26,$T64:$U64,E$10:E$26))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0">SUM(D51:D64)</f>
        <v>0</v>
      </c>
      <c r="E65" s="134">
        <f t="shared" si="10"/>
        <v>0</v>
      </c>
      <c r="F65" s="134">
        <f t="shared" si="10"/>
        <v>0</v>
      </c>
      <c r="G65" s="134">
        <f t="shared" si="10"/>
        <v>0</v>
      </c>
      <c r="H65" s="135">
        <f t="shared" si="10"/>
        <v>0</v>
      </c>
      <c r="I65" s="135">
        <f t="shared" si="10"/>
        <v>0</v>
      </c>
      <c r="J65" s="135">
        <f t="shared" si="10"/>
        <v>0</v>
      </c>
      <c r="K65" s="135">
        <f t="shared" si="10"/>
        <v>0</v>
      </c>
      <c r="L65" s="189">
        <f t="shared" si="3"/>
        <v>0</v>
      </c>
      <c r="M65" s="181">
        <f>SUM(M51:M64)</f>
        <v>0</v>
      </c>
      <c r="N65" s="181">
        <f t="shared" ca="1" si="5"/>
        <v>0</v>
      </c>
      <c r="O65" s="181">
        <f>SUM(O51:O64)</f>
        <v>0</v>
      </c>
      <c r="P65" s="181">
        <f t="shared" ca="1" si="7"/>
        <v>0</v>
      </c>
      <c r="Q65" s="186">
        <f>SUM(Q51:Q64)</f>
        <v>0</v>
      </c>
      <c r="R65" s="186">
        <f t="shared" ca="1" si="9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187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IFERROR(C31,0)</f>
        <v>0</v>
      </c>
      <c r="F69" s="187">
        <f t="shared" ref="F69:F74" si="11">IFERROR(E69/D69,0)</f>
        <v>0</v>
      </c>
      <c r="G69" s="184">
        <f>D69*$H$40-E69</f>
        <v>0</v>
      </c>
      <c r="H69" s="184">
        <f t="shared" ref="H69:H74" ca="1" si="12">IFERROR(G69/$C$3,0)</f>
        <v>0</v>
      </c>
      <c r="I69" s="204">
        <f>D69*$J$40-E69</f>
        <v>0</v>
      </c>
      <c r="J69" s="204">
        <f t="shared" ref="J69:J74" ca="1" si="13">IFERROR(I69/$C$3,0)</f>
        <v>0</v>
      </c>
      <c r="K69" s="185">
        <f>D69*$L$40-E69</f>
        <v>0</v>
      </c>
      <c r="L69" s="185">
        <f t="shared" ref="L69:L74" ca="1" si="14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TARGETS!N23</f>
        <v>0</v>
      </c>
      <c r="E70" s="114">
        <f>IFERROR(C32,0)</f>
        <v>0</v>
      </c>
      <c r="F70" s="187">
        <f t="shared" si="11"/>
        <v>0</v>
      </c>
      <c r="G70" s="184">
        <f>D70*$H$40-E70</f>
        <v>0</v>
      </c>
      <c r="H70" s="184">
        <f t="shared" ca="1" si="12"/>
        <v>0</v>
      </c>
      <c r="I70" s="204">
        <f>D70*$J$40-E70</f>
        <v>0</v>
      </c>
      <c r="J70" s="204">
        <f t="shared" ca="1" si="13"/>
        <v>0</v>
      </c>
      <c r="K70" s="185">
        <f>D70*$L$40-E70</f>
        <v>0</v>
      </c>
      <c r="L70" s="185">
        <f t="shared" ca="1" si="14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M21+M7</f>
        <v>0</v>
      </c>
      <c r="F71" s="187">
        <f t="shared" si="11"/>
        <v>0</v>
      </c>
      <c r="G71" s="184">
        <f>D71*$H$40-E71</f>
        <v>0</v>
      </c>
      <c r="H71" s="184">
        <f t="shared" ca="1" si="12"/>
        <v>0</v>
      </c>
      <c r="I71" s="204">
        <f>D71*$J$40-E71</f>
        <v>0</v>
      </c>
      <c r="J71" s="204">
        <f t="shared" ca="1" si="13"/>
        <v>0</v>
      </c>
      <c r="K71" s="185">
        <f>D71*$L$40-E71</f>
        <v>0</v>
      </c>
      <c r="L71" s="185">
        <f t="shared" ca="1" si="14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1"/>
        <v>0</v>
      </c>
      <c r="G72" s="184">
        <f>D72*$H$40-E72</f>
        <v>0</v>
      </c>
      <c r="H72" s="184">
        <f t="shared" ca="1" si="12"/>
        <v>0</v>
      </c>
      <c r="I72" s="204">
        <f>D72*$J$40-E72</f>
        <v>0</v>
      </c>
      <c r="J72" s="204">
        <f t="shared" ca="1" si="13"/>
        <v>0</v>
      </c>
      <c r="K72" s="185">
        <f>D72*$L$40-E72</f>
        <v>0</v>
      </c>
      <c r="L72" s="185">
        <f t="shared" ca="1" si="14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1"/>
        <v>0</v>
      </c>
      <c r="G73" s="184">
        <f>D73*$H$40-E73</f>
        <v>0</v>
      </c>
      <c r="H73" s="184">
        <f t="shared" ca="1" si="12"/>
        <v>0</v>
      </c>
      <c r="I73" s="204">
        <f>D73*$J$40-E73</f>
        <v>0</v>
      </c>
      <c r="J73" s="204">
        <f t="shared" ca="1" si="13"/>
        <v>0</v>
      </c>
      <c r="K73" s="185">
        <f>D73*$L$40-E73</f>
        <v>0</v>
      </c>
      <c r="L73" s="185">
        <f t="shared" ca="1" si="14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1"/>
        <v>0</v>
      </c>
      <c r="G74" s="181">
        <f>SUM(G69:G73)</f>
        <v>0</v>
      </c>
      <c r="H74" s="181">
        <f t="shared" ca="1" si="12"/>
        <v>0</v>
      </c>
      <c r="I74" s="186">
        <f>SUM(I69:I73)</f>
        <v>0</v>
      </c>
      <c r="J74" s="186">
        <f t="shared" ca="1" si="13"/>
        <v>0</v>
      </c>
      <c r="K74" s="186">
        <f>SUM(K69:K73)</f>
        <v>0</v>
      </c>
      <c r="L74" s="186">
        <f t="shared" ca="1" si="14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172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169</v>
      </c>
      <c r="T79" s="178" t="s">
        <v>217</v>
      </c>
      <c r="U79" s="178" t="s">
        <v>218</v>
      </c>
    </row>
    <row r="80" spans="2:21" ht="15.95" customHeight="1" x14ac:dyDescent="0.25">
      <c r="B80" s="50" t="s">
        <v>67</v>
      </c>
      <c r="C80" s="55" t="s">
        <v>68</v>
      </c>
      <c r="D80" s="131" cm="1">
        <f t="array" ref="D80">SUM(SUMIF($B$10:$B$26,$T80:$U80,$F$10:$F$26))</f>
        <v>0</v>
      </c>
      <c r="T80" t="str">
        <f t="shared" ref="T80:U93" si="15">T51</f>
        <v>Picrom Stalyon</v>
      </c>
      <c r="U80" t="str">
        <f t="shared" si="15"/>
        <v>n/a</v>
      </c>
    </row>
    <row r="81" spans="2:21" ht="15.95" customHeight="1" x14ac:dyDescent="0.25">
      <c r="B81" s="53" t="s">
        <v>69</v>
      </c>
      <c r="C81" s="56" t="s">
        <v>70</v>
      </c>
      <c r="D81" s="132" cm="1">
        <f t="array" ref="D81">SUM(SUMIF($B$10:$B$26,$T81:$U81,$F$10:$F$26))</f>
        <v>0</v>
      </c>
      <c r="T81" t="str">
        <f t="shared" si="15"/>
        <v>I MADE LUIH</v>
      </c>
      <c r="U81" t="str">
        <f t="shared" si="15"/>
        <v>I Made Luih (Sanur)</v>
      </c>
    </row>
    <row r="82" spans="2:21" ht="15.95" customHeight="1" x14ac:dyDescent="0.25">
      <c r="B82" s="53" t="s">
        <v>173</v>
      </c>
      <c r="C82" s="56" t="s">
        <v>174</v>
      </c>
      <c r="D82" s="132" cm="1">
        <f t="array" ref="D82">SUM(SUMIF($B$10:$B$26,$T82:$U82,$F$10:$F$26))</f>
        <v>0</v>
      </c>
      <c r="T82" t="str">
        <f t="shared" si="15"/>
        <v>NN Made Luih</v>
      </c>
      <c r="U82" t="str">
        <f t="shared" si="15"/>
        <v>n/a</v>
      </c>
    </row>
    <row r="83" spans="2:21" ht="15.95" customHeight="1" x14ac:dyDescent="0.25">
      <c r="B83" s="50" t="s">
        <v>71</v>
      </c>
      <c r="C83" s="55" t="s">
        <v>72</v>
      </c>
      <c r="D83" s="131" cm="1">
        <f t="array" ref="D83">SUM(SUMIF($B$10:$B$26,$T83:$U83,$F$10:$F$26))</f>
        <v>0</v>
      </c>
      <c r="T83" t="str">
        <f t="shared" si="15"/>
        <v>Juni</v>
      </c>
      <c r="U83" t="str">
        <f t="shared" si="15"/>
        <v>n/a</v>
      </c>
    </row>
    <row r="84" spans="2:21" ht="15.95" customHeight="1" x14ac:dyDescent="0.25">
      <c r="B84" s="53" t="s">
        <v>73</v>
      </c>
      <c r="C84" s="56" t="s">
        <v>74</v>
      </c>
      <c r="D84" s="132" cm="1">
        <f t="array" ref="D84">SUM(SUMIF($B$10:$B$26,$T84:$U84,$F$10:$F$26))</f>
        <v>0</v>
      </c>
      <c r="T84" t="str">
        <f t="shared" si="15"/>
        <v>FIB</v>
      </c>
      <c r="U84" t="str">
        <f t="shared" si="15"/>
        <v>n/a</v>
      </c>
    </row>
    <row r="85" spans="2:21" ht="15.95" customHeight="1" x14ac:dyDescent="0.25">
      <c r="B85" s="50" t="s">
        <v>75</v>
      </c>
      <c r="C85" s="55" t="s">
        <v>74</v>
      </c>
      <c r="D85" s="131" cm="1">
        <f t="array" ref="D85">SUM(SUMIF($B$10:$B$26,$T85:$U85,$F$10:$F$26))</f>
        <v>0</v>
      </c>
      <c r="T85" t="str">
        <f t="shared" si="15"/>
        <v>Vacant Hotel Kuta Seminyak</v>
      </c>
      <c r="U85" t="str">
        <f t="shared" si="15"/>
        <v>n/a</v>
      </c>
    </row>
    <row r="86" spans="2:21" ht="15.95" customHeight="1" x14ac:dyDescent="0.25">
      <c r="B86" s="53" t="s">
        <v>76</v>
      </c>
      <c r="C86" s="56" t="s">
        <v>77</v>
      </c>
      <c r="D86" s="132" cm="1">
        <f t="array" ref="D86">SUM(SUMIF($B$10:$B$26,$T86:$U86,$F$10:$F$26))</f>
        <v>0</v>
      </c>
      <c r="T86" t="str">
        <f t="shared" si="15"/>
        <v>Monica</v>
      </c>
      <c r="U86" t="str">
        <f t="shared" si="15"/>
        <v>n/a</v>
      </c>
    </row>
    <row r="87" spans="2:21" ht="15.95" customHeight="1" x14ac:dyDescent="0.25">
      <c r="B87" s="50" t="s">
        <v>78</v>
      </c>
      <c r="C87" s="55" t="s">
        <v>79</v>
      </c>
      <c r="D87" s="131" cm="1">
        <f t="array" ref="D87">SUM(SUMIF($B$10:$B$26,$T87:$U87,$F$10:$F$26))</f>
        <v>0</v>
      </c>
      <c r="T87" t="str">
        <f t="shared" si="15"/>
        <v>Sujana</v>
      </c>
      <c r="U87" t="str">
        <f t="shared" si="15"/>
        <v>n/a</v>
      </c>
    </row>
    <row r="88" spans="2:21" ht="15.95" customHeight="1" x14ac:dyDescent="0.25">
      <c r="B88" s="53" t="s">
        <v>173</v>
      </c>
      <c r="C88" s="56" t="s">
        <v>175</v>
      </c>
      <c r="D88" s="132" cm="1">
        <f t="array" ref="D88">SUM(SUMIF($B$10:$B$26,$T88:$U88,$F$10:$F$26))</f>
        <v>0</v>
      </c>
      <c r="T88" t="str">
        <f t="shared" si="15"/>
        <v>NN Sujana</v>
      </c>
      <c r="U88" t="str">
        <f t="shared" si="15"/>
        <v>n/a</v>
      </c>
    </row>
    <row r="89" spans="2:21" ht="15.95" customHeight="1" x14ac:dyDescent="0.25">
      <c r="B89" s="53" t="s">
        <v>80</v>
      </c>
      <c r="C89" s="56" t="s">
        <v>81</v>
      </c>
      <c r="D89" s="132" cm="1">
        <f t="array" ref="D89">SUM(SUMIF($B$10:$B$26,$T89:$U89,$F$10:$F$26))</f>
        <v>0</v>
      </c>
      <c r="T89" t="str">
        <f t="shared" si="15"/>
        <v>Eka</v>
      </c>
      <c r="U89" t="str">
        <f t="shared" si="15"/>
        <v>n/a</v>
      </c>
    </row>
    <row r="90" spans="2:21" ht="15.95" customHeight="1" x14ac:dyDescent="0.25">
      <c r="B90" s="50" t="s">
        <v>82</v>
      </c>
      <c r="C90" s="55" t="s">
        <v>83</v>
      </c>
      <c r="D90" s="131" cm="1">
        <f t="array" ref="D90">SUM(SUMIF($B$10:$B$26,$T90:$U90,$F$10:$F$26))</f>
        <v>0</v>
      </c>
      <c r="T90" t="str">
        <f t="shared" si="15"/>
        <v>Taufik</v>
      </c>
      <c r="U90" t="str">
        <f t="shared" si="15"/>
        <v>n/a</v>
      </c>
    </row>
    <row r="91" spans="2:21" ht="15.95" customHeight="1" x14ac:dyDescent="0.25">
      <c r="B91" s="53" t="s">
        <v>84</v>
      </c>
      <c r="C91" s="56" t="s">
        <v>85</v>
      </c>
      <c r="D91" s="132" cm="1">
        <f t="array" ref="D91">SUM(SUMIF($B$10:$B$26,$T91:$U91,$F$10:$F$26))</f>
        <v>0</v>
      </c>
      <c r="T91" t="str">
        <f t="shared" si="15"/>
        <v>Dewi Kristiani</v>
      </c>
      <c r="U91" t="str">
        <f t="shared" si="15"/>
        <v>n/a</v>
      </c>
    </row>
    <row r="92" spans="2:21" ht="15.95" customHeight="1" x14ac:dyDescent="0.25">
      <c r="B92" s="50" t="s">
        <v>86</v>
      </c>
      <c r="C92" s="55" t="s">
        <v>87</v>
      </c>
      <c r="D92" s="131" cm="1">
        <f t="array" ref="D92">SUM(SUMIF($B$10:$B$26,$T92:$U92,$F$10:$F$26))</f>
        <v>0</v>
      </c>
      <c r="T92" t="str">
        <f t="shared" si="15"/>
        <v>Wira</v>
      </c>
      <c r="U92" t="str">
        <f t="shared" si="15"/>
        <v>n/a</v>
      </c>
    </row>
    <row r="93" spans="2:21" ht="15.95" customHeight="1" x14ac:dyDescent="0.25">
      <c r="B93" s="53" t="s">
        <v>88</v>
      </c>
      <c r="C93" s="56" t="s">
        <v>89</v>
      </c>
      <c r="D93" s="132" cm="1">
        <f t="array" ref="D93">SUM(SUMIF($B$10:$B$26,$T93:$U93,$F$10:$F$26))</f>
        <v>0</v>
      </c>
      <c r="T93" t="str">
        <f t="shared" si="15"/>
        <v>Ni Ketut Sriasih (GT)</v>
      </c>
      <c r="U93" t="str">
        <f t="shared" si="15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7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177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186</v>
      </c>
    </row>
    <row r="40" spans="2:19" ht="20.100000000000001" customHeight="1" x14ac:dyDescent="0.25">
      <c r="B40" s="269" t="s">
        <v>178</v>
      </c>
      <c r="C40" s="270"/>
      <c r="D40" s="271"/>
      <c r="E40" s="66" t="s">
        <v>137</v>
      </c>
      <c r="F40" s="174">
        <f ca="1">IF(MONTH(TODAY())=12,DAY(TODAY())/DAY(EOMONTH(TODAY(),0)),IF(MONTH(TODAY())&gt;12,1,0))</f>
        <v>0</v>
      </c>
      <c r="G40" s="192" t="s">
        <v>188</v>
      </c>
      <c r="H40" s="198">
        <v>0.9</v>
      </c>
      <c r="I40" s="201" t="s">
        <v>188</v>
      </c>
      <c r="J40" s="199">
        <v>0.95</v>
      </c>
      <c r="K40" s="194" t="s">
        <v>189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209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SUM(C31,C32)+M21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187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211</v>
      </c>
      <c r="G50" s="70" t="s">
        <v>130</v>
      </c>
      <c r="H50" s="113" t="s">
        <v>149</v>
      </c>
      <c r="I50" s="113" t="s">
        <v>150</v>
      </c>
      <c r="J50" s="113" t="s">
        <v>211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217</v>
      </c>
      <c r="U50" s="178" t="s">
        <v>218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 cm="1">
        <f t="array" ref="H51">SUM(SUMIF($B$10:$B$26,$T51:$U51,C$10:C$26))</f>
        <v>0</v>
      </c>
      <c r="I51" s="114" cm="1">
        <f t="array" ref="I51">SUM(SUMIF($B$10:$B$26,$T51:$U51,D$10:D$26))</f>
        <v>0</v>
      </c>
      <c r="J51" s="114" cm="1">
        <f t="array" ref="J51">SUM(SUMIF($B$10:$B$26,$T51:$U51,E$10:E$26))</f>
        <v>0</v>
      </c>
      <c r="K51" s="114">
        <f t="shared" ref="K51:K64" si="2">SUM(H51:J51)</f>
        <v>0</v>
      </c>
      <c r="L51" s="187">
        <f t="shared" ref="L51:L65" si="3">IFERROR(K51/G51,0)</f>
        <v>0</v>
      </c>
      <c r="M51" s="184">
        <f t="shared" ref="M51:M64" si="4">G51*$H$40-K51</f>
        <v>0</v>
      </c>
      <c r="N51" s="184">
        <f t="shared" ref="N51:N65" ca="1" si="5">IFERROR(M51/$C$3,0)</f>
        <v>0</v>
      </c>
      <c r="O51" s="180">
        <f t="shared" ref="O51:O64" si="6">G51*$J$40-K51</f>
        <v>0</v>
      </c>
      <c r="P51" s="180">
        <f t="shared" ref="P51:P65" ca="1" si="7">IFERROR(O51/$C$3,0)</f>
        <v>0</v>
      </c>
      <c r="Q51" s="185">
        <f t="shared" ref="Q51:Q64" si="8">G51*$L$40-K51</f>
        <v>0</v>
      </c>
      <c r="R51" s="185">
        <f t="shared" ref="R51:R65" ca="1" si="9">IFERROR(Q51/$C$3,0)</f>
        <v>0</v>
      </c>
      <c r="T51" t="s">
        <v>124</v>
      </c>
      <c r="U51" t="s">
        <v>219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 cm="1">
        <f t="array" ref="H52">SUM(SUMIF($B$10:$B$26,$T52:$U52,C$10:C$26))</f>
        <v>0</v>
      </c>
      <c r="I52" s="114" cm="1">
        <f t="array" ref="I52">SUM(SUMIF($B$10:$B$26,$T52:$U52,D$10:D$26))</f>
        <v>0</v>
      </c>
      <c r="J52" s="114" cm="1">
        <f t="array" ref="J52">SUM(SUMIF($B$10:$B$26,$T52:$U52,E$10:E$26))</f>
        <v>0</v>
      </c>
      <c r="K52" s="114">
        <f t="shared" si="2"/>
        <v>0</v>
      </c>
      <c r="L52" s="187">
        <f t="shared" si="3"/>
        <v>0</v>
      </c>
      <c r="M52" s="184">
        <f t="shared" si="4"/>
        <v>0</v>
      </c>
      <c r="N52" s="184">
        <f t="shared" ca="1" si="5"/>
        <v>0</v>
      </c>
      <c r="O52" s="180">
        <f t="shared" si="6"/>
        <v>0</v>
      </c>
      <c r="P52" s="180">
        <f t="shared" ca="1" si="7"/>
        <v>0</v>
      </c>
      <c r="Q52" s="185">
        <f t="shared" si="8"/>
        <v>0</v>
      </c>
      <c r="R52" s="185">
        <f t="shared" ca="1" si="9"/>
        <v>0</v>
      </c>
      <c r="T52" t="s">
        <v>70</v>
      </c>
      <c r="U52" t="s">
        <v>114</v>
      </c>
    </row>
    <row r="53" spans="2:21" ht="15.95" customHeight="1" x14ac:dyDescent="0.25">
      <c r="B53" s="136" t="s">
        <v>173</v>
      </c>
      <c r="C53" s="137" t="s">
        <v>174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 cm="1">
        <f t="array" ref="H53">SUM(SUMIF($B$10:$B$26,$T53:$U53,C$10:C$26))</f>
        <v>0</v>
      </c>
      <c r="I53" s="114" cm="1">
        <f t="array" ref="I53">SUM(SUMIF($B$10:$B$26,$T53:$U53,D$10:D$26))</f>
        <v>0</v>
      </c>
      <c r="J53" s="114" cm="1">
        <f t="array" ref="J53">SUM(SUMIF($B$10:$B$26,$T53:$U53,E$10:E$26))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  <c r="T53" t="s">
        <v>170</v>
      </c>
      <c r="U53" t="s">
        <v>219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 cm="1">
        <f t="array" ref="H54">SUM(SUMIF($B$10:$B$26,$T54:$U54,C$10:C$26))</f>
        <v>0</v>
      </c>
      <c r="I54" s="114" cm="1">
        <f t="array" ref="I54">SUM(SUMIF($B$10:$B$26,$T54:$U54,D$10:D$26))</f>
        <v>0</v>
      </c>
      <c r="J54" s="114" cm="1">
        <f t="array" ref="J54">SUM(SUMIF($B$10:$B$26,$T54:$U54,E$10:E$26))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  <c r="T54" t="s">
        <v>115</v>
      </c>
      <c r="U54" t="s">
        <v>219</v>
      </c>
    </row>
    <row r="55" spans="2:21" ht="15.95" customHeight="1" x14ac:dyDescent="0.25">
      <c r="B55" s="50" t="s">
        <v>73</v>
      </c>
      <c r="C55" s="55" t="s">
        <v>182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 cm="1">
        <f t="array" ref="H55">SUM(SUMIF($B$10:$B$26,$T55:$U55,C$10:C$26))</f>
        <v>0</v>
      </c>
      <c r="I55" s="114" cm="1">
        <f t="array" ref="I55">SUM(SUMIF($B$10:$B$26,$T55:$U55,D$10:D$26))</f>
        <v>0</v>
      </c>
      <c r="J55" s="114" cm="1">
        <f t="array" ref="J55">SUM(SUMIF($B$10:$B$26,$T55:$U55,E$10:E$26))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  <c r="T55" t="s">
        <v>183</v>
      </c>
      <c r="U55" t="s">
        <v>219</v>
      </c>
    </row>
    <row r="56" spans="2:21" ht="15.95" customHeight="1" x14ac:dyDescent="0.25">
      <c r="B56" s="53" t="s">
        <v>75</v>
      </c>
      <c r="C56" s="56" t="s">
        <v>99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 cm="1">
        <f t="array" ref="H56">SUM(SUMIF($B$10:$B$26,$T56:$U56,C$10:C$26))</f>
        <v>0</v>
      </c>
      <c r="I56" s="114" cm="1">
        <f t="array" ref="I56">SUM(SUMIF($B$10:$B$26,$T56:$U56,D$10:D$26))</f>
        <v>0</v>
      </c>
      <c r="J56" s="114" cm="1">
        <f t="array" ref="J56">SUM(SUMIF($B$10:$B$26,$T56:$U56,E$10:E$26))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  <c r="T56" t="s">
        <v>184</v>
      </c>
      <c r="U56" t="s">
        <v>219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 cm="1">
        <f t="array" ref="H57">SUM(SUMIF($B$10:$B$26,$T57:$U57,C$10:C$26))</f>
        <v>0</v>
      </c>
      <c r="I57" s="114" cm="1">
        <f t="array" ref="I57">SUM(SUMIF($B$10:$B$26,$T57:$U57,D$10:D$26))</f>
        <v>0</v>
      </c>
      <c r="J57" s="114" cm="1">
        <f t="array" ref="J57">SUM(SUMIF($B$10:$B$26,$T57:$U57,E$10:E$26))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  <c r="T57" t="s">
        <v>120</v>
      </c>
      <c r="U57" t="s">
        <v>219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 cm="1">
        <f t="array" ref="H58">SUM(SUMIF($B$10:$B$26,$T58:$U58,C$10:C$26))</f>
        <v>0</v>
      </c>
      <c r="I58" s="114" cm="1">
        <f t="array" ref="I58">SUM(SUMIF($B$10:$B$26,$T58:$U58,D$10:D$26))</f>
        <v>0</v>
      </c>
      <c r="J58" s="114" cm="1">
        <f t="array" ref="J58">SUM(SUMIF($B$10:$B$26,$T58:$U58,E$10:E$26))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  <c r="T58" t="s">
        <v>125</v>
      </c>
      <c r="U58" t="s">
        <v>219</v>
      </c>
    </row>
    <row r="59" spans="2:21" ht="15.95" customHeight="1" x14ac:dyDescent="0.25">
      <c r="B59" s="136" t="s">
        <v>173</v>
      </c>
      <c r="C59" s="137" t="s">
        <v>175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 cm="1">
        <f t="array" ref="H59">SUM(SUMIF($B$10:$B$26,$T59:$U59,C$10:C$26))</f>
        <v>0</v>
      </c>
      <c r="I59" s="114" cm="1">
        <f t="array" ref="I59">SUM(SUMIF($B$10:$B$26,$T59:$U59,D$10:D$26))</f>
        <v>0</v>
      </c>
      <c r="J59" s="114" cm="1">
        <f t="array" ref="J59">SUM(SUMIF($B$10:$B$26,$T59:$U59,E$10:E$26))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  <c r="T59" t="s">
        <v>171</v>
      </c>
      <c r="U59" t="s">
        <v>219</v>
      </c>
    </row>
    <row r="60" spans="2:21" ht="15.95" customHeight="1" x14ac:dyDescent="0.25">
      <c r="B60" s="53" t="s">
        <v>80</v>
      </c>
      <c r="C60" s="56" t="s">
        <v>81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 cm="1">
        <f t="array" ref="H60">SUM(SUMIF($B$10:$B$26,$T60:$U60,C$10:C$26))</f>
        <v>0</v>
      </c>
      <c r="I60" s="114" cm="1">
        <f t="array" ref="I60">SUM(SUMIF($B$10:$B$26,$T60:$U60,D$10:D$26))</f>
        <v>0</v>
      </c>
      <c r="J60" s="114" cm="1">
        <f t="array" ref="J60">SUM(SUMIF($B$10:$B$26,$T60:$U60,E$10:E$26))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  <c r="T60" t="s">
        <v>113</v>
      </c>
      <c r="U60" t="s">
        <v>219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 cm="1">
        <f t="array" ref="H61">SUM(SUMIF($B$10:$B$26,$T61:$U61,C$10:C$26))</f>
        <v>0</v>
      </c>
      <c r="I61" s="114" cm="1">
        <f t="array" ref="I61">SUM(SUMIF($B$10:$B$26,$T61:$U61,D$10:D$26))</f>
        <v>0</v>
      </c>
      <c r="J61" s="114" cm="1">
        <f t="array" ref="J61">SUM(SUMIF($B$10:$B$26,$T61:$U61,E$10:E$26))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  <c r="T61" t="s">
        <v>126</v>
      </c>
      <c r="U61" t="s">
        <v>219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 cm="1">
        <f t="array" ref="H62">SUM(SUMIF($B$10:$B$26,$T62:$U62,C$10:C$26))</f>
        <v>0</v>
      </c>
      <c r="I62" s="114" cm="1">
        <f t="array" ref="I62">SUM(SUMIF($B$10:$B$26,$T62:$U62,D$10:D$26))</f>
        <v>0</v>
      </c>
      <c r="J62" s="114" cm="1">
        <f t="array" ref="J62">SUM(SUMIF($B$10:$B$26,$T62:$U62,E$10:E$26))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  <c r="T62" t="s">
        <v>112</v>
      </c>
      <c r="U62" t="s">
        <v>219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 cm="1">
        <f t="array" ref="H63">SUM(SUMIF($B$10:$B$26,$T63:$U63,C$10:C$26))</f>
        <v>0</v>
      </c>
      <c r="I63" s="114" cm="1">
        <f t="array" ref="I63">SUM(SUMIF($B$10:$B$26,$T63:$U63,D$10:D$26))</f>
        <v>0</v>
      </c>
      <c r="J63" s="114" cm="1">
        <f t="array" ref="J63">SUM(SUMIF($B$10:$B$26,$T63:$U63,E$10:E$26))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  <c r="T63" t="s">
        <v>127</v>
      </c>
      <c r="U63" t="s">
        <v>219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 cm="1">
        <f t="array" ref="H64">SUM(SUMIF($B$10:$B$26,$T64:$U64,C$10:C$26))</f>
        <v>0</v>
      </c>
      <c r="I64" s="114" cm="1">
        <f t="array" ref="I64">SUM(SUMIF($B$10:$B$26,$T64:$U64,D$10:D$26))</f>
        <v>0</v>
      </c>
      <c r="J64" s="114" cm="1">
        <f t="array" ref="J64">SUM(SUMIF($B$10:$B$26,$T64:$U64,E$10:E$26))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0">SUM(D51:D64)</f>
        <v>0</v>
      </c>
      <c r="E65" s="134">
        <f t="shared" si="10"/>
        <v>0</v>
      </c>
      <c r="F65" s="134">
        <f t="shared" si="10"/>
        <v>0</v>
      </c>
      <c r="G65" s="134">
        <f t="shared" si="10"/>
        <v>0</v>
      </c>
      <c r="H65" s="135">
        <f t="shared" si="10"/>
        <v>0</v>
      </c>
      <c r="I65" s="135">
        <f t="shared" si="10"/>
        <v>0</v>
      </c>
      <c r="J65" s="135">
        <f t="shared" si="10"/>
        <v>0</v>
      </c>
      <c r="K65" s="135">
        <f t="shared" si="10"/>
        <v>0</v>
      </c>
      <c r="L65" s="189">
        <f t="shared" si="3"/>
        <v>0</v>
      </c>
      <c r="M65" s="181">
        <f>SUM(M51:M64)</f>
        <v>0</v>
      </c>
      <c r="N65" s="181">
        <f t="shared" ca="1" si="5"/>
        <v>0</v>
      </c>
      <c r="O65" s="181">
        <f>SUM(O51:O64)</f>
        <v>0</v>
      </c>
      <c r="P65" s="181">
        <f t="shared" ca="1" si="7"/>
        <v>0</v>
      </c>
      <c r="Q65" s="186">
        <f>SUM(Q51:Q64)</f>
        <v>0</v>
      </c>
      <c r="R65" s="186">
        <f t="shared" ca="1" si="9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187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IFERROR(C31,0)</f>
        <v>0</v>
      </c>
      <c r="F69" s="187">
        <f t="shared" ref="F69:F74" si="11">IFERROR(E69/D69,0)</f>
        <v>0</v>
      </c>
      <c r="G69" s="184">
        <f>D69*$H$40-E69</f>
        <v>0</v>
      </c>
      <c r="H69" s="184">
        <f t="shared" ref="H69:H74" ca="1" si="12">IFERROR(G69/$C$3,0)</f>
        <v>0</v>
      </c>
      <c r="I69" s="204">
        <f>D69*$J$40-E69</f>
        <v>0</v>
      </c>
      <c r="J69" s="204">
        <f t="shared" ref="J69:J74" ca="1" si="13">IFERROR(I69/$C$3,0)</f>
        <v>0</v>
      </c>
      <c r="K69" s="185">
        <f>D69*$L$40-E69</f>
        <v>0</v>
      </c>
      <c r="L69" s="185">
        <f t="shared" ref="L69:L74" ca="1" si="14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TARGETS!O23</f>
        <v>0</v>
      </c>
      <c r="E70" s="114">
        <f>IFERROR(C32,0)</f>
        <v>0</v>
      </c>
      <c r="F70" s="187">
        <f t="shared" si="11"/>
        <v>0</v>
      </c>
      <c r="G70" s="184">
        <f>D70*$H$40-E70</f>
        <v>0</v>
      </c>
      <c r="H70" s="184">
        <f t="shared" ca="1" si="12"/>
        <v>0</v>
      </c>
      <c r="I70" s="204">
        <f>D70*$J$40-E70</f>
        <v>0</v>
      </c>
      <c r="J70" s="204">
        <f t="shared" ca="1" si="13"/>
        <v>0</v>
      </c>
      <c r="K70" s="185">
        <f>D70*$L$40-E70</f>
        <v>0</v>
      </c>
      <c r="L70" s="185">
        <f t="shared" ca="1" si="14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M21+M7</f>
        <v>0</v>
      </c>
      <c r="F71" s="187">
        <f t="shared" si="11"/>
        <v>0</v>
      </c>
      <c r="G71" s="184">
        <f>D71*$H$40-E71</f>
        <v>0</v>
      </c>
      <c r="H71" s="184">
        <f t="shared" ca="1" si="12"/>
        <v>0</v>
      </c>
      <c r="I71" s="204">
        <f>D71*$J$40-E71</f>
        <v>0</v>
      </c>
      <c r="J71" s="204">
        <f t="shared" ca="1" si="13"/>
        <v>0</v>
      </c>
      <c r="K71" s="185">
        <f>D71*$L$40-E71</f>
        <v>0</v>
      </c>
      <c r="L71" s="185">
        <f t="shared" ca="1" si="14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1"/>
        <v>0</v>
      </c>
      <c r="G72" s="184">
        <f>D72*$H$40-E72</f>
        <v>0</v>
      </c>
      <c r="H72" s="184">
        <f t="shared" ca="1" si="12"/>
        <v>0</v>
      </c>
      <c r="I72" s="204">
        <f>D72*$J$40-E72</f>
        <v>0</v>
      </c>
      <c r="J72" s="204">
        <f t="shared" ca="1" si="13"/>
        <v>0</v>
      </c>
      <c r="K72" s="185">
        <f>D72*$L$40-E72</f>
        <v>0</v>
      </c>
      <c r="L72" s="185">
        <f t="shared" ca="1" si="14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1"/>
        <v>0</v>
      </c>
      <c r="G73" s="184">
        <f>D73*$H$40-E73</f>
        <v>0</v>
      </c>
      <c r="H73" s="184">
        <f t="shared" ca="1" si="12"/>
        <v>0</v>
      </c>
      <c r="I73" s="204">
        <f>D73*$J$40-E73</f>
        <v>0</v>
      </c>
      <c r="J73" s="204">
        <f t="shared" ca="1" si="13"/>
        <v>0</v>
      </c>
      <c r="K73" s="185">
        <f>D73*$L$40-E73</f>
        <v>0</v>
      </c>
      <c r="L73" s="185">
        <f t="shared" ca="1" si="14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1"/>
        <v>0</v>
      </c>
      <c r="G74" s="181">
        <f>SUM(G69:G73)</f>
        <v>0</v>
      </c>
      <c r="H74" s="181">
        <f t="shared" ca="1" si="12"/>
        <v>0</v>
      </c>
      <c r="I74" s="186">
        <f>SUM(I69:I73)</f>
        <v>0</v>
      </c>
      <c r="J74" s="186">
        <f t="shared" ca="1" si="13"/>
        <v>0</v>
      </c>
      <c r="K74" s="186">
        <f>SUM(K69:K73)</f>
        <v>0</v>
      </c>
      <c r="L74" s="186">
        <f t="shared" ca="1" si="14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172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169</v>
      </c>
      <c r="T79" s="178" t="s">
        <v>217</v>
      </c>
      <c r="U79" s="178" t="s">
        <v>218</v>
      </c>
    </row>
    <row r="80" spans="2:21" ht="15.95" customHeight="1" x14ac:dyDescent="0.25">
      <c r="B80" s="50" t="s">
        <v>67</v>
      </c>
      <c r="C80" s="55" t="s">
        <v>68</v>
      </c>
      <c r="D80" s="131" cm="1">
        <f t="array" ref="D80">SUM(SUMIF($B$10:$B$26,$T80:$U80,$F$10:$F$26))</f>
        <v>0</v>
      </c>
      <c r="T80" t="str">
        <f t="shared" ref="T80:U93" si="15">T51</f>
        <v>Picrom Stalyon</v>
      </c>
      <c r="U80" t="str">
        <f t="shared" si="15"/>
        <v>n/a</v>
      </c>
    </row>
    <row r="81" spans="2:21" ht="15.95" customHeight="1" x14ac:dyDescent="0.25">
      <c r="B81" s="53" t="s">
        <v>69</v>
      </c>
      <c r="C81" s="56" t="s">
        <v>70</v>
      </c>
      <c r="D81" s="132" cm="1">
        <f t="array" ref="D81">SUM(SUMIF($B$10:$B$26,$T81:$U81,$F$10:$F$26))</f>
        <v>0</v>
      </c>
      <c r="T81" t="str">
        <f t="shared" si="15"/>
        <v>I MADE LUIH</v>
      </c>
      <c r="U81" t="str">
        <f t="shared" si="15"/>
        <v>I Made Luih (Sanur)</v>
      </c>
    </row>
    <row r="82" spans="2:21" ht="15.95" customHeight="1" x14ac:dyDescent="0.25">
      <c r="B82" s="53" t="s">
        <v>173</v>
      </c>
      <c r="C82" s="56" t="s">
        <v>174</v>
      </c>
      <c r="D82" s="132" cm="1">
        <f t="array" ref="D82">SUM(SUMIF($B$10:$B$26,$T82:$U82,$F$10:$F$26))</f>
        <v>0</v>
      </c>
      <c r="T82" t="str">
        <f t="shared" si="15"/>
        <v>NN Made Luih</v>
      </c>
      <c r="U82" t="str">
        <f t="shared" si="15"/>
        <v>n/a</v>
      </c>
    </row>
    <row r="83" spans="2:21" ht="15.95" customHeight="1" x14ac:dyDescent="0.25">
      <c r="B83" s="50" t="s">
        <v>71</v>
      </c>
      <c r="C83" s="55" t="s">
        <v>72</v>
      </c>
      <c r="D83" s="131" cm="1">
        <f t="array" ref="D83">SUM(SUMIF($B$10:$B$26,$T83:$U83,$F$10:$F$26))</f>
        <v>0</v>
      </c>
      <c r="T83" t="str">
        <f t="shared" si="15"/>
        <v>Juni</v>
      </c>
      <c r="U83" t="str">
        <f t="shared" si="15"/>
        <v>n/a</v>
      </c>
    </row>
    <row r="84" spans="2:21" ht="15.95" customHeight="1" x14ac:dyDescent="0.25">
      <c r="B84" s="53" t="s">
        <v>73</v>
      </c>
      <c r="C84" s="56" t="s">
        <v>74</v>
      </c>
      <c r="D84" s="132" cm="1">
        <f t="array" ref="D84">SUM(SUMIF($B$10:$B$26,$T84:$U84,$F$10:$F$26))</f>
        <v>0</v>
      </c>
      <c r="T84" t="str">
        <f t="shared" si="15"/>
        <v>FIB</v>
      </c>
      <c r="U84" t="str">
        <f t="shared" si="15"/>
        <v>n/a</v>
      </c>
    </row>
    <row r="85" spans="2:21" ht="15.95" customHeight="1" x14ac:dyDescent="0.25">
      <c r="B85" s="50" t="s">
        <v>75</v>
      </c>
      <c r="C85" s="55" t="s">
        <v>74</v>
      </c>
      <c r="D85" s="131" cm="1">
        <f t="array" ref="D85">SUM(SUMIF($B$10:$B$26,$T85:$U85,$F$10:$F$26))</f>
        <v>0</v>
      </c>
      <c r="T85" t="str">
        <f t="shared" si="15"/>
        <v>Vacant Hotel Kuta Seminyak</v>
      </c>
      <c r="U85" t="str">
        <f t="shared" si="15"/>
        <v>n/a</v>
      </c>
    </row>
    <row r="86" spans="2:21" ht="15.95" customHeight="1" x14ac:dyDescent="0.25">
      <c r="B86" s="53" t="s">
        <v>76</v>
      </c>
      <c r="C86" s="56" t="s">
        <v>77</v>
      </c>
      <c r="D86" s="132" cm="1">
        <f t="array" ref="D86">SUM(SUMIF($B$10:$B$26,$T86:$U86,$F$10:$F$26))</f>
        <v>0</v>
      </c>
      <c r="T86" t="str">
        <f t="shared" si="15"/>
        <v>Monica</v>
      </c>
      <c r="U86" t="str">
        <f t="shared" si="15"/>
        <v>n/a</v>
      </c>
    </row>
    <row r="87" spans="2:21" ht="15.95" customHeight="1" x14ac:dyDescent="0.25">
      <c r="B87" s="50" t="s">
        <v>78</v>
      </c>
      <c r="C87" s="55" t="s">
        <v>79</v>
      </c>
      <c r="D87" s="131" cm="1">
        <f t="array" ref="D87">SUM(SUMIF($B$10:$B$26,$T87:$U87,$F$10:$F$26))</f>
        <v>0</v>
      </c>
      <c r="T87" t="str">
        <f t="shared" si="15"/>
        <v>Sujana</v>
      </c>
      <c r="U87" t="str">
        <f t="shared" si="15"/>
        <v>n/a</v>
      </c>
    </row>
    <row r="88" spans="2:21" ht="15.95" customHeight="1" x14ac:dyDescent="0.25">
      <c r="B88" s="53" t="s">
        <v>173</v>
      </c>
      <c r="C88" s="56" t="s">
        <v>175</v>
      </c>
      <c r="D88" s="132" cm="1">
        <f t="array" ref="D88">SUM(SUMIF($B$10:$B$26,$T88:$U88,$F$10:$F$26))</f>
        <v>0</v>
      </c>
      <c r="T88" t="str">
        <f t="shared" si="15"/>
        <v>NN Sujana</v>
      </c>
      <c r="U88" t="str">
        <f t="shared" si="15"/>
        <v>n/a</v>
      </c>
    </row>
    <row r="89" spans="2:21" ht="15.95" customHeight="1" x14ac:dyDescent="0.25">
      <c r="B89" s="53" t="s">
        <v>80</v>
      </c>
      <c r="C89" s="56" t="s">
        <v>81</v>
      </c>
      <c r="D89" s="132" cm="1">
        <f t="array" ref="D89">SUM(SUMIF($B$10:$B$26,$T89:$U89,$F$10:$F$26))</f>
        <v>0</v>
      </c>
      <c r="T89" t="str">
        <f t="shared" si="15"/>
        <v>Eka</v>
      </c>
      <c r="U89" t="str">
        <f t="shared" si="15"/>
        <v>n/a</v>
      </c>
    </row>
    <row r="90" spans="2:21" ht="15.95" customHeight="1" x14ac:dyDescent="0.25">
      <c r="B90" s="50" t="s">
        <v>82</v>
      </c>
      <c r="C90" s="55" t="s">
        <v>83</v>
      </c>
      <c r="D90" s="131" cm="1">
        <f t="array" ref="D90">SUM(SUMIF($B$10:$B$26,$T90:$U90,$F$10:$F$26))</f>
        <v>0</v>
      </c>
      <c r="T90" t="str">
        <f t="shared" si="15"/>
        <v>Taufik</v>
      </c>
      <c r="U90" t="str">
        <f t="shared" si="15"/>
        <v>n/a</v>
      </c>
    </row>
    <row r="91" spans="2:21" ht="15.95" customHeight="1" x14ac:dyDescent="0.25">
      <c r="B91" s="53" t="s">
        <v>84</v>
      </c>
      <c r="C91" s="56" t="s">
        <v>85</v>
      </c>
      <c r="D91" s="132" cm="1">
        <f t="array" ref="D91">SUM(SUMIF($B$10:$B$26,$T91:$U91,$F$10:$F$26))</f>
        <v>0</v>
      </c>
      <c r="T91" t="str">
        <f t="shared" si="15"/>
        <v>Dewi Kristiani</v>
      </c>
      <c r="U91" t="str">
        <f t="shared" si="15"/>
        <v>n/a</v>
      </c>
    </row>
    <row r="92" spans="2:21" ht="15.95" customHeight="1" x14ac:dyDescent="0.25">
      <c r="B92" s="50" t="s">
        <v>86</v>
      </c>
      <c r="C92" s="55" t="s">
        <v>87</v>
      </c>
      <c r="D92" s="131" cm="1">
        <f t="array" ref="D92">SUM(SUMIF($B$10:$B$26,$T92:$U92,$F$10:$F$26))</f>
        <v>0</v>
      </c>
      <c r="T92" t="str">
        <f t="shared" si="15"/>
        <v>Wira</v>
      </c>
      <c r="U92" t="str">
        <f t="shared" si="15"/>
        <v>n/a</v>
      </c>
    </row>
    <row r="93" spans="2:21" ht="15.95" customHeight="1" x14ac:dyDescent="0.25">
      <c r="B93" s="53" t="s">
        <v>88</v>
      </c>
      <c r="C93" s="56" t="s">
        <v>89</v>
      </c>
      <c r="D93" s="132" cm="1">
        <f t="array" ref="D93">SUM(SUMIF($B$10:$B$26,$T93:$U93,$F$10:$F$26))</f>
        <v>0</v>
      </c>
      <c r="T93" t="str">
        <f t="shared" si="15"/>
        <v>Ni Ketut Sriasih (GT)</v>
      </c>
      <c r="U93" t="str">
        <f t="shared" si="15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2026-08-08T02:50:28Z</cp:lastPrinted>
  <dcterms:created xsi:type="dcterms:W3CDTF">2026-03-24T08:59:20Z</dcterms:created>
  <dcterms:modified xsi:type="dcterms:W3CDTF">2026-08-26T00:52:25Z</dcterms:modified>
  <dc:language>en-US</dc:language>
</cp:coreProperties>
</file>