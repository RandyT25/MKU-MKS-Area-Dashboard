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65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1" i="14" l="1" a="1"/>
  <c r="H51" i="14" s="1"/>
  <c r="I51" i="14" a="1"/>
  <c r="I51" i="14" s="1"/>
  <c r="J51" i="14" a="1"/>
  <c r="J51" i="14" s="1"/>
  <c r="H52" i="14" a="1"/>
  <c r="H52" i="14" s="1"/>
  <c r="I52" i="14" a="1"/>
  <c r="I52" i="14" s="1"/>
  <c r="J52" i="14" a="1"/>
  <c r="J52" i="14" s="1"/>
  <c r="H53" i="14" a="1"/>
  <c r="H53" i="14" s="1"/>
  <c r="I53" i="14" a="1"/>
  <c r="I53" i="14" s="1"/>
  <c r="J53" i="14" a="1"/>
  <c r="J53" i="14" s="1"/>
  <c r="H54" i="14" a="1"/>
  <c r="H54" i="14" s="1"/>
  <c r="I54" i="14" a="1"/>
  <c r="I54" i="14" s="1"/>
  <c r="J54" i="14" a="1"/>
  <c r="J54" i="14" s="1"/>
  <c r="H55" i="14" a="1"/>
  <c r="H55" i="14" s="1"/>
  <c r="I55" i="14" a="1"/>
  <c r="I55" i="14" s="1"/>
  <c r="J55" i="14" a="1"/>
  <c r="J55" i="14" s="1"/>
  <c r="H56" i="14" a="1"/>
  <c r="H56" i="14" s="1"/>
  <c r="I56" i="14" a="1"/>
  <c r="I56" i="14" s="1"/>
  <c r="J56" i="14" a="1"/>
  <c r="J56" i="14" s="1"/>
  <c r="H57" i="14" a="1"/>
  <c r="H57" i="14" s="1"/>
  <c r="I57" i="14" a="1"/>
  <c r="I57" i="14" s="1"/>
  <c r="J57" i="14" a="1"/>
  <c r="J57" i="14" s="1"/>
  <c r="H58" i="14" a="1"/>
  <c r="H58" i="14" s="1"/>
  <c r="I58" i="14" a="1"/>
  <c r="I58" i="14" s="1"/>
  <c r="J58" i="14" a="1"/>
  <c r="J58" i="14" s="1"/>
  <c r="H59" i="14" a="1"/>
  <c r="H59" i="14" s="1"/>
  <c r="I59" i="14" a="1"/>
  <c r="I59" i="14" s="1"/>
  <c r="J59" i="14" a="1"/>
  <c r="J59" i="14" s="1"/>
  <c r="H60" i="14" a="1"/>
  <c r="H60" i="14" s="1"/>
  <c r="I60" i="14" a="1"/>
  <c r="I60" i="14" s="1"/>
  <c r="J60" i="14" a="1"/>
  <c r="J60" i="14" s="1"/>
  <c r="H61" i="14" a="1"/>
  <c r="H61" i="14" s="1"/>
  <c r="I61" i="14" a="1"/>
  <c r="I61" i="14" s="1"/>
  <c r="J61" i="14" a="1"/>
  <c r="J61" i="14" s="1"/>
  <c r="H62" i="14" a="1"/>
  <c r="H62" i="14" s="1"/>
  <c r="I62" i="14" a="1"/>
  <c r="I62" i="14" s="1"/>
  <c r="J62" i="14" a="1"/>
  <c r="J62" i="14" s="1"/>
  <c r="H63" i="14" a="1"/>
  <c r="H63" i="14" s="1"/>
  <c r="I63" i="14" a="1"/>
  <c r="I63" i="14" s="1"/>
  <c r="J63" i="14" a="1"/>
  <c r="J63" i="14" s="1"/>
  <c r="H64" i="14" a="1"/>
  <c r="H64" i="14" s="1"/>
  <c r="I64" i="14" a="1"/>
  <c r="I64" i="14" s="1"/>
  <c r="J64" i="14" a="1"/>
  <c r="J64" i="14" s="1"/>
  <c r="T80" i="14"/>
  <c r="D80" i="14" s="1" a="1"/>
  <c r="D80" i="14" s="1"/>
  <c r="U80" i="14"/>
  <c r="T81" i="14"/>
  <c r="D81" i="14" s="1" a="1"/>
  <c r="D81" i="14" s="1"/>
  <c r="U81" i="14"/>
  <c r="T82" i="14"/>
  <c r="D82" i="14" s="1" a="1"/>
  <c r="D82" i="14" s="1"/>
  <c r="U82" i="14"/>
  <c r="T83" i="14"/>
  <c r="D83" i="14" s="1" a="1"/>
  <c r="D83" i="14" s="1"/>
  <c r="U83" i="14"/>
  <c r="T84" i="14"/>
  <c r="D84" i="14" s="1" a="1"/>
  <c r="D84" i="14" s="1"/>
  <c r="U84" i="14"/>
  <c r="T85" i="14"/>
  <c r="D85" i="14" s="1" a="1"/>
  <c r="D85" i="14" s="1"/>
  <c r="U85" i="14"/>
  <c r="T86" i="14"/>
  <c r="D86" i="14" s="1" a="1"/>
  <c r="D86" i="14" s="1"/>
  <c r="U86" i="14"/>
  <c r="T87" i="14"/>
  <c r="D87" i="14" s="1" a="1"/>
  <c r="D87" i="14" s="1"/>
  <c r="U87" i="14"/>
  <c r="T88" i="14"/>
  <c r="D88" i="14" s="1" a="1"/>
  <c r="D88" i="14" s="1"/>
  <c r="U88" i="14"/>
  <c r="T89" i="14"/>
  <c r="D89" i="14" s="1" a="1"/>
  <c r="D89" i="14" s="1"/>
  <c r="U89" i="14"/>
  <c r="T90" i="14"/>
  <c r="D90" i="14" s="1" a="1"/>
  <c r="D90" i="14" s="1"/>
  <c r="U90" i="14"/>
  <c r="T91" i="14"/>
  <c r="D91" i="14" s="1" a="1"/>
  <c r="D91" i="14" s="1"/>
  <c r="U91" i="14"/>
  <c r="T92" i="14"/>
  <c r="D92" i="14" s="1" a="1"/>
  <c r="D92" i="14" s="1"/>
  <c r="U92" i="14"/>
  <c r="T93" i="14"/>
  <c r="D93" i="14" s="1" a="1"/>
  <c r="D93" i="14" s="1"/>
  <c r="U93" i="14"/>
  <c r="H51" i="13" a="1"/>
  <c r="H51" i="13" s="1"/>
  <c r="I51" i="13" a="1"/>
  <c r="I51" i="13" s="1"/>
  <c r="J51" i="13" a="1"/>
  <c r="J51" i="13" s="1"/>
  <c r="H52" i="13" a="1"/>
  <c r="H52" i="13" s="1"/>
  <c r="I52" i="13" a="1"/>
  <c r="I52" i="13" s="1"/>
  <c r="J52" i="13" a="1"/>
  <c r="J52" i="13" s="1"/>
  <c r="H53" i="13" a="1"/>
  <c r="H53" i="13" s="1"/>
  <c r="I53" i="13" a="1"/>
  <c r="I53" i="13" s="1"/>
  <c r="J53" i="13" a="1"/>
  <c r="J53" i="13" s="1"/>
  <c r="H54" i="13" a="1"/>
  <c r="H54" i="13" s="1"/>
  <c r="I54" i="13" a="1"/>
  <c r="I54" i="13" s="1"/>
  <c r="J54" i="13" a="1"/>
  <c r="J54" i="13" s="1"/>
  <c r="H55" i="13" a="1"/>
  <c r="H55" i="13" s="1"/>
  <c r="I55" i="13" a="1"/>
  <c r="I55" i="13" s="1"/>
  <c r="J55" i="13" a="1"/>
  <c r="J55" i="13" s="1"/>
  <c r="H56" i="13" a="1"/>
  <c r="H56" i="13" s="1"/>
  <c r="I56" i="13" a="1"/>
  <c r="I56" i="13" s="1"/>
  <c r="J56" i="13" a="1"/>
  <c r="J56" i="13" s="1"/>
  <c r="H57" i="13" a="1"/>
  <c r="H57" i="13" s="1"/>
  <c r="I57" i="13" a="1"/>
  <c r="I57" i="13" s="1"/>
  <c r="J57" i="13" a="1"/>
  <c r="J57" i="13" s="1"/>
  <c r="H58" i="13" a="1"/>
  <c r="H58" i="13" s="1"/>
  <c r="I58" i="13" a="1"/>
  <c r="I58" i="13" s="1"/>
  <c r="J58" i="13" a="1"/>
  <c r="J58" i="13" s="1"/>
  <c r="H59" i="13" a="1"/>
  <c r="H59" i="13" s="1"/>
  <c r="I59" i="13" a="1"/>
  <c r="I59" i="13" s="1"/>
  <c r="J59" i="13" a="1"/>
  <c r="J59" i="13" s="1"/>
  <c r="H60" i="13" a="1"/>
  <c r="H60" i="13" s="1"/>
  <c r="I60" i="13" a="1"/>
  <c r="I60" i="13" s="1"/>
  <c r="J60" i="13" a="1"/>
  <c r="J60" i="13" s="1"/>
  <c r="H61" i="13" a="1"/>
  <c r="H61" i="13" s="1"/>
  <c r="I61" i="13" a="1"/>
  <c r="I61" i="13" s="1"/>
  <c r="J61" i="13" a="1"/>
  <c r="J61" i="13" s="1"/>
  <c r="H62" i="13" a="1"/>
  <c r="H62" i="13" s="1"/>
  <c r="I62" i="13" a="1"/>
  <c r="I62" i="13" s="1"/>
  <c r="J62" i="13" a="1"/>
  <c r="J62" i="13" s="1"/>
  <c r="H63" i="13" a="1"/>
  <c r="H63" i="13" s="1"/>
  <c r="K63" i="13" s="1"/>
  <c r="I63" i="13" a="1"/>
  <c r="I63" i="13" s="1"/>
  <c r="J63" i="13" a="1"/>
  <c r="J63" i="13" s="1"/>
  <c r="H64" i="13" a="1"/>
  <c r="H64" i="13" s="1"/>
  <c r="I64" i="13" a="1"/>
  <c r="I64" i="13" s="1"/>
  <c r="J64" i="13" a="1"/>
  <c r="J64" i="13" s="1"/>
  <c r="T80" i="13"/>
  <c r="D80" i="13" s="1" a="1"/>
  <c r="D80" i="13" s="1"/>
  <c r="U80" i="13"/>
  <c r="T81" i="13"/>
  <c r="D81" i="13" s="1" a="1"/>
  <c r="D81" i="13" s="1"/>
  <c r="U81" i="13"/>
  <c r="T82" i="13"/>
  <c r="D82" i="13" s="1" a="1"/>
  <c r="D82" i="13" s="1"/>
  <c r="U82" i="13"/>
  <c r="T83" i="13"/>
  <c r="D83" i="13" s="1" a="1"/>
  <c r="D83" i="13" s="1"/>
  <c r="U83" i="13"/>
  <c r="T84" i="13"/>
  <c r="D84" i="13" s="1" a="1"/>
  <c r="D84" i="13" s="1"/>
  <c r="U84" i="13"/>
  <c r="T85" i="13"/>
  <c r="D85" i="13" s="1" a="1"/>
  <c r="D85" i="13" s="1"/>
  <c r="U85" i="13"/>
  <c r="T86" i="13"/>
  <c r="D86" i="13" s="1" a="1"/>
  <c r="D86" i="13" s="1"/>
  <c r="U86" i="13"/>
  <c r="T87" i="13"/>
  <c r="D87" i="13" s="1" a="1"/>
  <c r="D87" i="13" s="1"/>
  <c r="U87" i="13"/>
  <c r="T88" i="13"/>
  <c r="D88" i="13" s="1" a="1"/>
  <c r="D88" i="13" s="1"/>
  <c r="U88" i="13"/>
  <c r="T89" i="13"/>
  <c r="D89" i="13" s="1" a="1"/>
  <c r="D89" i="13" s="1"/>
  <c r="U89" i="13"/>
  <c r="T90" i="13"/>
  <c r="D90" i="13" s="1" a="1"/>
  <c r="D90" i="13" s="1"/>
  <c r="U90" i="13"/>
  <c r="T91" i="13"/>
  <c r="D91" i="13" s="1" a="1"/>
  <c r="D91" i="13" s="1"/>
  <c r="U91" i="13"/>
  <c r="T92" i="13"/>
  <c r="D92" i="13" s="1" a="1"/>
  <c r="D92" i="13" s="1"/>
  <c r="U92" i="13"/>
  <c r="T93" i="13"/>
  <c r="D93" i="13" s="1" a="1"/>
  <c r="D93" i="13" s="1"/>
  <c r="U93" i="13"/>
  <c r="H51" i="12" a="1"/>
  <c r="H51" i="12" s="1"/>
  <c r="I51" i="12" a="1"/>
  <c r="I51" i="12" s="1"/>
  <c r="J51" i="12" a="1"/>
  <c r="J51" i="12" s="1"/>
  <c r="H52" i="12" a="1"/>
  <c r="H52" i="12" s="1"/>
  <c r="I52" i="12" a="1"/>
  <c r="I52" i="12" s="1"/>
  <c r="J52" i="12" a="1"/>
  <c r="J52" i="12" s="1"/>
  <c r="H53" i="12" a="1"/>
  <c r="H53" i="12" s="1"/>
  <c r="I53" i="12" a="1"/>
  <c r="I53" i="12" s="1"/>
  <c r="J53" i="12" a="1"/>
  <c r="J53" i="12" s="1"/>
  <c r="H54" i="12" a="1"/>
  <c r="H54" i="12" s="1"/>
  <c r="I54" i="12" a="1"/>
  <c r="I54" i="12" s="1"/>
  <c r="J54" i="12" a="1"/>
  <c r="J54" i="12" s="1"/>
  <c r="H55" i="12" a="1"/>
  <c r="H55" i="12" s="1"/>
  <c r="I55" i="12" a="1"/>
  <c r="I55" i="12" s="1"/>
  <c r="J55" i="12" a="1"/>
  <c r="J55" i="12" s="1"/>
  <c r="H56" i="12" a="1"/>
  <c r="H56" i="12" s="1"/>
  <c r="I56" i="12" a="1"/>
  <c r="I56" i="12" s="1"/>
  <c r="J56" i="12" a="1"/>
  <c r="J56" i="12" s="1"/>
  <c r="H57" i="12" a="1"/>
  <c r="H57" i="12" s="1"/>
  <c r="I57" i="12" a="1"/>
  <c r="I57" i="12" s="1"/>
  <c r="J57" i="12" a="1"/>
  <c r="J57" i="12" s="1"/>
  <c r="H58" i="12" a="1"/>
  <c r="H58" i="12" s="1"/>
  <c r="I58" i="12" a="1"/>
  <c r="I58" i="12" s="1"/>
  <c r="J58" i="12" a="1"/>
  <c r="J58" i="12" s="1"/>
  <c r="H59" i="12" a="1"/>
  <c r="H59" i="12" s="1"/>
  <c r="I59" i="12" a="1"/>
  <c r="I59" i="12" s="1"/>
  <c r="J59" i="12" a="1"/>
  <c r="J59" i="12" s="1"/>
  <c r="H60" i="12" a="1"/>
  <c r="H60" i="12" s="1"/>
  <c r="I60" i="12" a="1"/>
  <c r="I60" i="12" s="1"/>
  <c r="J60" i="12" a="1"/>
  <c r="J60" i="12" s="1"/>
  <c r="H61" i="12" a="1"/>
  <c r="H61" i="12" s="1"/>
  <c r="I61" i="12" a="1"/>
  <c r="I61" i="12" s="1"/>
  <c r="J61" i="12" a="1"/>
  <c r="J61" i="12" s="1"/>
  <c r="H62" i="12" a="1"/>
  <c r="H62" i="12" s="1"/>
  <c r="I62" i="12" a="1"/>
  <c r="I62" i="12" s="1"/>
  <c r="J62" i="12" a="1"/>
  <c r="J62" i="12" s="1"/>
  <c r="H63" i="12" a="1"/>
  <c r="H63" i="12" s="1"/>
  <c r="I63" i="12" a="1"/>
  <c r="I63" i="12" s="1"/>
  <c r="J63" i="12" a="1"/>
  <c r="J63" i="12" s="1"/>
  <c r="H64" i="12" a="1"/>
  <c r="H64" i="12" s="1"/>
  <c r="I64" i="12" a="1"/>
  <c r="I64" i="12" s="1"/>
  <c r="J64" i="12" a="1"/>
  <c r="J64" i="12" s="1"/>
  <c r="T80" i="12"/>
  <c r="D80" i="12" s="1" a="1"/>
  <c r="D80" i="12" s="1"/>
  <c r="U80" i="12"/>
  <c r="T81" i="12"/>
  <c r="D81" i="12" s="1" a="1"/>
  <c r="D81" i="12" s="1"/>
  <c r="U81" i="12"/>
  <c r="T82" i="12"/>
  <c r="D82" i="12" s="1" a="1"/>
  <c r="D82" i="12" s="1"/>
  <c r="U82" i="12"/>
  <c r="T83" i="12"/>
  <c r="D83" i="12" s="1" a="1"/>
  <c r="D83" i="12" s="1"/>
  <c r="U83" i="12"/>
  <c r="T84" i="12"/>
  <c r="D84" i="12" s="1" a="1"/>
  <c r="D84" i="12" s="1"/>
  <c r="U84" i="12"/>
  <c r="T85" i="12"/>
  <c r="D85" i="12" s="1" a="1"/>
  <c r="D85" i="12" s="1"/>
  <c r="U85" i="12"/>
  <c r="T86" i="12"/>
  <c r="D86" i="12" s="1" a="1"/>
  <c r="D86" i="12" s="1"/>
  <c r="U86" i="12"/>
  <c r="T87" i="12"/>
  <c r="D87" i="12" s="1" a="1"/>
  <c r="D87" i="12" s="1"/>
  <c r="U87" i="12"/>
  <c r="T88" i="12"/>
  <c r="D88" i="12" s="1" a="1"/>
  <c r="D88" i="12" s="1"/>
  <c r="U88" i="12"/>
  <c r="T89" i="12"/>
  <c r="D89" i="12" s="1" a="1"/>
  <c r="D89" i="12" s="1"/>
  <c r="U89" i="12"/>
  <c r="T90" i="12"/>
  <c r="D90" i="12" s="1" a="1"/>
  <c r="D90" i="12" s="1"/>
  <c r="U90" i="12"/>
  <c r="T91" i="12"/>
  <c r="D91" i="12" s="1" a="1"/>
  <c r="D91" i="12" s="1"/>
  <c r="U91" i="12"/>
  <c r="T92" i="12"/>
  <c r="D92" i="12" s="1" a="1"/>
  <c r="D92" i="12" s="1"/>
  <c r="U92" i="12"/>
  <c r="T93" i="12"/>
  <c r="D93" i="12" s="1" a="1"/>
  <c r="D93" i="12" s="1"/>
  <c r="U93" i="12"/>
  <c r="H51" i="11" a="1"/>
  <c r="H51" i="11" s="1"/>
  <c r="I51" i="11" a="1"/>
  <c r="I51" i="11" s="1"/>
  <c r="J51" i="11" a="1"/>
  <c r="J51" i="11" s="1"/>
  <c r="H52" i="11" a="1"/>
  <c r="H52" i="11" s="1"/>
  <c r="I52" i="11" a="1"/>
  <c r="I52" i="11" s="1"/>
  <c r="J52" i="11" a="1"/>
  <c r="J52" i="11" s="1"/>
  <c r="H53" i="11" a="1"/>
  <c r="H53" i="11" s="1"/>
  <c r="I53" i="11" a="1"/>
  <c r="I53" i="11" s="1"/>
  <c r="J53" i="11" a="1"/>
  <c r="J53" i="11" s="1"/>
  <c r="H54" i="11" a="1"/>
  <c r="H54" i="11" s="1"/>
  <c r="I54" i="11" a="1"/>
  <c r="I54" i="11" s="1"/>
  <c r="J54" i="11" a="1"/>
  <c r="J54" i="11" s="1"/>
  <c r="H55" i="11" a="1"/>
  <c r="H55" i="11" s="1"/>
  <c r="I55" i="11" a="1"/>
  <c r="I55" i="11" s="1"/>
  <c r="J55" i="11" a="1"/>
  <c r="J55" i="11" s="1"/>
  <c r="H56" i="11" a="1"/>
  <c r="H56" i="11" s="1"/>
  <c r="I56" i="11" a="1"/>
  <c r="I56" i="11" s="1"/>
  <c r="J56" i="11" a="1"/>
  <c r="J56" i="11" s="1"/>
  <c r="H57" i="11" a="1"/>
  <c r="H57" i="11" s="1"/>
  <c r="I57" i="11" a="1"/>
  <c r="I57" i="11" s="1"/>
  <c r="J57" i="11" a="1"/>
  <c r="J57" i="11" s="1"/>
  <c r="H58" i="11" a="1"/>
  <c r="H58" i="11" s="1"/>
  <c r="I58" i="11" a="1"/>
  <c r="I58" i="11" s="1"/>
  <c r="J58" i="11" a="1"/>
  <c r="J58" i="11" s="1"/>
  <c r="H59" i="11" a="1"/>
  <c r="H59" i="11" s="1"/>
  <c r="I59" i="11" a="1"/>
  <c r="I59" i="11" s="1"/>
  <c r="J59" i="11" a="1"/>
  <c r="J59" i="11" s="1"/>
  <c r="H60" i="11" a="1"/>
  <c r="H60" i="11" s="1"/>
  <c r="I60" i="11" a="1"/>
  <c r="I60" i="11" s="1"/>
  <c r="J60" i="11" a="1"/>
  <c r="J60" i="11" s="1"/>
  <c r="H61" i="11" a="1"/>
  <c r="H61" i="11" s="1"/>
  <c r="I61" i="11" a="1"/>
  <c r="I61" i="11" s="1"/>
  <c r="J61" i="11" a="1"/>
  <c r="J61" i="11" s="1"/>
  <c r="H62" i="11" a="1"/>
  <c r="H62" i="11" s="1"/>
  <c r="I62" i="11" a="1"/>
  <c r="I62" i="11" s="1"/>
  <c r="J62" i="11" a="1"/>
  <c r="J62" i="11" s="1"/>
  <c r="H63" i="11" a="1"/>
  <c r="H63" i="11" s="1"/>
  <c r="I63" i="11" a="1"/>
  <c r="I63" i="11" s="1"/>
  <c r="J63" i="11" a="1"/>
  <c r="J63" i="11" s="1"/>
  <c r="H64" i="11" a="1"/>
  <c r="H64" i="11" s="1"/>
  <c r="I64" i="11" a="1"/>
  <c r="I64" i="11" s="1"/>
  <c r="J64" i="11" a="1"/>
  <c r="J64" i="11" s="1"/>
  <c r="T80" i="11"/>
  <c r="D80" i="11" s="1" a="1"/>
  <c r="D80" i="11" s="1"/>
  <c r="U80" i="11"/>
  <c r="T81" i="11"/>
  <c r="D81" i="11" s="1" a="1"/>
  <c r="D81" i="11" s="1"/>
  <c r="U81" i="11"/>
  <c r="T82" i="11"/>
  <c r="D82" i="11" s="1" a="1"/>
  <c r="D82" i="11" s="1"/>
  <c r="U82" i="11"/>
  <c r="T83" i="11"/>
  <c r="D83" i="11" s="1" a="1"/>
  <c r="D83" i="11" s="1"/>
  <c r="U83" i="11"/>
  <c r="T84" i="11"/>
  <c r="D84" i="11" s="1" a="1"/>
  <c r="D84" i="11" s="1"/>
  <c r="U84" i="11"/>
  <c r="T85" i="11"/>
  <c r="D85" i="11" s="1" a="1"/>
  <c r="D85" i="11" s="1"/>
  <c r="U85" i="11"/>
  <c r="T86" i="11"/>
  <c r="D86" i="11" s="1" a="1"/>
  <c r="D86" i="11" s="1"/>
  <c r="U86" i="11"/>
  <c r="T87" i="11"/>
  <c r="D87" i="11" s="1" a="1"/>
  <c r="D87" i="11" s="1"/>
  <c r="U87" i="11"/>
  <c r="T88" i="11"/>
  <c r="D88" i="11" s="1" a="1"/>
  <c r="D88" i="11" s="1"/>
  <c r="U88" i="11"/>
  <c r="T89" i="11"/>
  <c r="D89" i="11" s="1" a="1"/>
  <c r="D89" i="11" s="1"/>
  <c r="U89" i="11"/>
  <c r="T90" i="11"/>
  <c r="D90" i="11" s="1" a="1"/>
  <c r="D90" i="11" s="1"/>
  <c r="U90" i="11"/>
  <c r="T91" i="11"/>
  <c r="D91" i="11" s="1" a="1"/>
  <c r="D91" i="11" s="1"/>
  <c r="U91" i="11"/>
  <c r="T92" i="11"/>
  <c r="D92" i="11" s="1" a="1"/>
  <c r="D92" i="11" s="1"/>
  <c r="U92" i="11"/>
  <c r="T93" i="11"/>
  <c r="D93" i="11" s="1" a="1"/>
  <c r="D93" i="11" s="1"/>
  <c r="U93" i="11"/>
  <c r="D93" i="10" a="1"/>
  <c r="D93" i="10" s="1"/>
  <c r="D92" i="10" a="1"/>
  <c r="D92" i="10" s="1"/>
  <c r="D91" i="10" a="1"/>
  <c r="D91" i="10" s="1"/>
  <c r="D90" i="10" a="1"/>
  <c r="D90" i="10" s="1"/>
  <c r="D89" i="10"/>
  <c r="D88" i="10" a="1"/>
  <c r="D88" i="10" s="1"/>
  <c r="D87" i="10" a="1"/>
  <c r="D87" i="10" s="1"/>
  <c r="D86" i="10" a="1"/>
  <c r="D86" i="10" s="1"/>
  <c r="D85" i="10" a="1"/>
  <c r="D85" i="10" s="1"/>
  <c r="D84" i="10"/>
  <c r="D83" i="10" a="1"/>
  <c r="D83" i="10" s="1"/>
  <c r="D82" i="10" a="1"/>
  <c r="D82" i="10"/>
  <c r="D81" i="10" a="1"/>
  <c r="D81" i="10" s="1"/>
  <c r="D80" i="10" a="1"/>
  <c r="D80" i="10" s="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J64" i="10" a="1"/>
  <c r="J64" i="10" s="1"/>
  <c r="I64" i="10" a="1"/>
  <c r="I64" i="10" s="1"/>
  <c r="H64" i="10" a="1"/>
  <c r="H64" i="10"/>
  <c r="J63" i="10" a="1"/>
  <c r="J63" i="10"/>
  <c r="I63" i="10" a="1"/>
  <c r="I63" i="10"/>
  <c r="H63" i="10" a="1"/>
  <c r="H63" i="10" s="1"/>
  <c r="J62" i="10" a="1"/>
  <c r="J62" i="10"/>
  <c r="I62" i="10" a="1"/>
  <c r="I62" i="10"/>
  <c r="H62" i="10" a="1"/>
  <c r="H62" i="10"/>
  <c r="J61" i="10" a="1"/>
  <c r="J61" i="10" s="1"/>
  <c r="I61" i="10" a="1"/>
  <c r="I61" i="10"/>
  <c r="H61" i="10" a="1"/>
  <c r="H61" i="10"/>
  <c r="J60" i="10"/>
  <c r="I60" i="10"/>
  <c r="H60" i="10"/>
  <c r="J59" i="10" a="1"/>
  <c r="J59" i="10" s="1"/>
  <c r="I59" i="10" a="1"/>
  <c r="I59" i="10"/>
  <c r="H59" i="10" a="1"/>
  <c r="H59" i="10" s="1"/>
  <c r="J58" i="10" a="1"/>
  <c r="J58" i="10"/>
  <c r="I58" i="10" a="1"/>
  <c r="I58" i="10" s="1"/>
  <c r="H58" i="10" a="1"/>
  <c r="H58" i="10"/>
  <c r="J57" i="10" a="1"/>
  <c r="J57" i="10"/>
  <c r="I57" i="10" a="1"/>
  <c r="I57" i="10"/>
  <c r="H57" i="10" a="1"/>
  <c r="H57" i="10" s="1"/>
  <c r="J56" i="10" a="1"/>
  <c r="J56" i="10"/>
  <c r="I56" i="10" a="1"/>
  <c r="I56" i="10" s="1"/>
  <c r="H56" i="10" a="1"/>
  <c r="H56" i="10" s="1"/>
  <c r="J55" i="10"/>
  <c r="I55" i="10"/>
  <c r="H55" i="10"/>
  <c r="K55" i="10" s="1"/>
  <c r="J54" i="10" a="1"/>
  <c r="J54" i="10" s="1"/>
  <c r="I54" i="10" a="1"/>
  <c r="I54" i="10" s="1"/>
  <c r="H54" i="10" a="1"/>
  <c r="H54" i="10" s="1"/>
  <c r="J53" i="10" a="1"/>
  <c r="J53" i="10" s="1"/>
  <c r="I53" i="10" a="1"/>
  <c r="I53" i="10" s="1"/>
  <c r="H53" i="10" a="1"/>
  <c r="H53" i="10" s="1"/>
  <c r="J52" i="10" a="1"/>
  <c r="J52" i="10"/>
  <c r="I52" i="10" a="1"/>
  <c r="I52" i="10"/>
  <c r="H52" i="10" a="1"/>
  <c r="H52" i="10" s="1"/>
  <c r="J51" i="10" a="1"/>
  <c r="J51" i="10" s="1"/>
  <c r="I51" i="10" a="1"/>
  <c r="I51" i="10" s="1"/>
  <c r="H51" i="10" a="1"/>
  <c r="H51" i="10" s="1"/>
  <c r="D44" i="14"/>
  <c r="K44" i="14" s="1"/>
  <c r="D43" i="14"/>
  <c r="D42" i="14"/>
  <c r="M20" i="14"/>
  <c r="M21" i="14" s="1"/>
  <c r="E45" i="14" s="1"/>
  <c r="O7" i="14"/>
  <c r="N7" i="14"/>
  <c r="M7" i="14"/>
  <c r="E65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D44" i="13"/>
  <c r="I44" i="13" s="1"/>
  <c r="D43" i="13"/>
  <c r="D42" i="13"/>
  <c r="M20" i="13"/>
  <c r="M21" i="13" s="1"/>
  <c r="E45" i="13" s="1"/>
  <c r="O7" i="13"/>
  <c r="N7" i="13"/>
  <c r="M7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D44" i="12"/>
  <c r="G44" i="12" s="1"/>
  <c r="D43" i="12"/>
  <c r="D42" i="12"/>
  <c r="M20" i="12"/>
  <c r="M21" i="12" s="1"/>
  <c r="E45" i="12" s="1"/>
  <c r="O7" i="12"/>
  <c r="N7" i="12"/>
  <c r="M7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D44" i="11"/>
  <c r="K44" i="11" s="1"/>
  <c r="D43" i="11"/>
  <c r="D42" i="11"/>
  <c r="M20" i="11"/>
  <c r="M21" i="11" s="1"/>
  <c r="E45" i="11" s="1"/>
  <c r="O7" i="11"/>
  <c r="N7" i="11"/>
  <c r="M7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D44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M20" i="10"/>
  <c r="M21" i="10" s="1"/>
  <c r="E45" i="10" s="1"/>
  <c r="O7" i="10"/>
  <c r="N7" i="10"/>
  <c r="M7" i="10"/>
  <c r="E3" i="14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49" i="14"/>
  <c r="N49" i="14"/>
  <c r="O49" i="14"/>
  <c r="P49" i="14"/>
  <c r="Q49" i="14"/>
  <c r="R49" i="14"/>
  <c r="G68" i="14"/>
  <c r="H68" i="14"/>
  <c r="I68" i="14"/>
  <c r="J68" i="14"/>
  <c r="K68" i="14"/>
  <c r="L68" i="14"/>
  <c r="G41" i="14"/>
  <c r="H41" i="14"/>
  <c r="I41" i="14"/>
  <c r="J41" i="14"/>
  <c r="K41" i="14"/>
  <c r="L41" i="14"/>
  <c r="M49" i="13"/>
  <c r="N49" i="13"/>
  <c r="O49" i="13"/>
  <c r="P49" i="13"/>
  <c r="Q49" i="13"/>
  <c r="R49" i="13"/>
  <c r="G68" i="13"/>
  <c r="H68" i="13"/>
  <c r="I68" i="13"/>
  <c r="J68" i="13"/>
  <c r="K68" i="13"/>
  <c r="L68" i="13"/>
  <c r="G41" i="13"/>
  <c r="H41" i="13"/>
  <c r="I41" i="13"/>
  <c r="J41" i="13"/>
  <c r="K41" i="13"/>
  <c r="L41" i="13"/>
  <c r="M49" i="12"/>
  <c r="N49" i="12"/>
  <c r="O49" i="12"/>
  <c r="P49" i="12"/>
  <c r="Q49" i="12"/>
  <c r="R49" i="12"/>
  <c r="G68" i="12"/>
  <c r="H68" i="12"/>
  <c r="I68" i="12"/>
  <c r="J68" i="12"/>
  <c r="K68" i="12"/>
  <c r="L68" i="12"/>
  <c r="G41" i="12"/>
  <c r="H41" i="12"/>
  <c r="I41" i="12"/>
  <c r="J41" i="12"/>
  <c r="K41" i="12"/>
  <c r="L41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49" i="11"/>
  <c r="N49" i="11"/>
  <c r="O49" i="11"/>
  <c r="P49" i="11"/>
  <c r="Q49" i="11"/>
  <c r="R49" i="11"/>
  <c r="M49" i="10"/>
  <c r="N49" i="10"/>
  <c r="O49" i="10"/>
  <c r="P49" i="10"/>
  <c r="Q49" i="10"/>
  <c r="R49" i="10"/>
  <c r="G68" i="11"/>
  <c r="H68" i="11"/>
  <c r="I68" i="11"/>
  <c r="J68" i="11"/>
  <c r="K68" i="11"/>
  <c r="L68" i="11"/>
  <c r="G41" i="11"/>
  <c r="H41" i="11"/>
  <c r="I41" i="11"/>
  <c r="J41" i="11"/>
  <c r="K41" i="11"/>
  <c r="L41" i="11"/>
  <c r="G68" i="10"/>
  <c r="H68" i="10"/>
  <c r="I68" i="10"/>
  <c r="J68" i="10"/>
  <c r="K68" i="10"/>
  <c r="L68" i="10"/>
  <c r="G41" i="10"/>
  <c r="H41" i="10"/>
  <c r="I41" i="10"/>
  <c r="J41" i="10"/>
  <c r="K41" i="10"/>
  <c r="L41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60" i="12" l="1"/>
  <c r="K54" i="13"/>
  <c r="K54" i="10"/>
  <c r="G44" i="11"/>
  <c r="K58" i="13"/>
  <c r="H65" i="11"/>
  <c r="E42" i="11" s="1"/>
  <c r="K57" i="11"/>
  <c r="K59" i="13"/>
  <c r="K64" i="12"/>
  <c r="K55" i="14"/>
  <c r="K64" i="13"/>
  <c r="K55" i="11"/>
  <c r="K64" i="11"/>
  <c r="K55" i="12"/>
  <c r="F65" i="12"/>
  <c r="G44" i="14"/>
  <c r="F65" i="14"/>
  <c r="K61" i="10"/>
  <c r="I44" i="11"/>
  <c r="J44" i="11" s="1"/>
  <c r="K44" i="13"/>
  <c r="L44" i="13" s="1"/>
  <c r="K53" i="14"/>
  <c r="F65" i="13"/>
  <c r="F65" i="11"/>
  <c r="H44" i="14"/>
  <c r="K59" i="11"/>
  <c r="K53" i="11"/>
  <c r="K59" i="12"/>
  <c r="K56" i="11"/>
  <c r="K62" i="12"/>
  <c r="I65" i="13"/>
  <c r="E43" i="13" s="1"/>
  <c r="K62" i="13"/>
  <c r="K52" i="14"/>
  <c r="K62" i="11"/>
  <c r="K60" i="10"/>
  <c r="K64" i="14"/>
  <c r="K61" i="12"/>
  <c r="K61" i="13"/>
  <c r="K56" i="14"/>
  <c r="K59" i="10"/>
  <c r="I44" i="14"/>
  <c r="J44" i="14" s="1"/>
  <c r="K58" i="10"/>
  <c r="K62" i="10"/>
  <c r="K53" i="10"/>
  <c r="K57" i="10"/>
  <c r="I65" i="10"/>
  <c r="E43" i="10" s="1"/>
  <c r="J65" i="10"/>
  <c r="E44" i="10" s="1"/>
  <c r="I44" i="10" s="1"/>
  <c r="J44" i="10" s="1"/>
  <c r="H65" i="10"/>
  <c r="E42" i="10" s="1"/>
  <c r="K52" i="10"/>
  <c r="K56" i="10"/>
  <c r="K63" i="10"/>
  <c r="K64" i="10"/>
  <c r="K51" i="10"/>
  <c r="F65" i="10"/>
  <c r="K60" i="14"/>
  <c r="K59" i="14"/>
  <c r="K63" i="14"/>
  <c r="I65" i="14"/>
  <c r="E43" i="14" s="1"/>
  <c r="K62" i="14"/>
  <c r="K61" i="14"/>
  <c r="H65" i="14"/>
  <c r="E42" i="14" s="1"/>
  <c r="K57" i="14"/>
  <c r="J65" i="14"/>
  <c r="E44" i="14" s="1"/>
  <c r="F44" i="14" s="1"/>
  <c r="K55" i="13"/>
  <c r="H65" i="13"/>
  <c r="E42" i="13" s="1"/>
  <c r="K56" i="13"/>
  <c r="K53" i="13"/>
  <c r="K60" i="13"/>
  <c r="K52" i="13"/>
  <c r="K56" i="12"/>
  <c r="H65" i="12"/>
  <c r="E42" i="12" s="1"/>
  <c r="K63" i="12"/>
  <c r="K53" i="12"/>
  <c r="K60" i="11"/>
  <c r="I65" i="11"/>
  <c r="E43" i="11" s="1"/>
  <c r="K61" i="11"/>
  <c r="K52" i="11"/>
  <c r="K58" i="11"/>
  <c r="K63" i="11"/>
  <c r="H44" i="11"/>
  <c r="L44" i="14"/>
  <c r="L44" i="11"/>
  <c r="H44" i="12"/>
  <c r="J44" i="13"/>
  <c r="K57" i="12"/>
  <c r="K57" i="13"/>
  <c r="K58" i="12"/>
  <c r="K54" i="14"/>
  <c r="I65" i="12"/>
  <c r="E43" i="12" s="1"/>
  <c r="J65" i="12"/>
  <c r="E44" i="12" s="1"/>
  <c r="F44" i="12" s="1"/>
  <c r="K52" i="12"/>
  <c r="K58" i="14"/>
  <c r="K54" i="11"/>
  <c r="K54" i="12"/>
  <c r="J65" i="11"/>
  <c r="E44" i="11" s="1"/>
  <c r="F44" i="11" s="1"/>
  <c r="J65" i="13"/>
  <c r="E44" i="13" s="1"/>
  <c r="F44" i="13" s="1"/>
  <c r="K51" i="12"/>
  <c r="G44" i="13"/>
  <c r="H44" i="13" s="1"/>
  <c r="K44" i="12"/>
  <c r="L44" i="12" s="1"/>
  <c r="I44" i="12"/>
  <c r="J44" i="12" s="1"/>
  <c r="K51" i="13"/>
  <c r="K51" i="11"/>
  <c r="K51" i="14"/>
  <c r="D94" i="9"/>
  <c r="D84" i="8"/>
  <c r="D94" i="8" s="1"/>
  <c r="E46" i="11" l="1"/>
  <c r="G44" i="10"/>
  <c r="H44" i="10" s="1"/>
  <c r="E46" i="14"/>
  <c r="K44" i="10"/>
  <c r="L44" i="10" s="1"/>
  <c r="F44" i="10"/>
  <c r="K65" i="10"/>
  <c r="E46" i="10"/>
  <c r="K65" i="14"/>
  <c r="K65" i="13"/>
  <c r="K65" i="12"/>
  <c r="K65" i="11"/>
  <c r="E46" i="12"/>
  <c r="E46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6" i="14" s="1"/>
  <c r="F46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G52" i="14" s="1"/>
  <c r="D51" i="14"/>
  <c r="F40" i="14"/>
  <c r="D73" i="13"/>
  <c r="D72" i="13"/>
  <c r="D71" i="13"/>
  <c r="D70" i="13"/>
  <c r="D69" i="13"/>
  <c r="D45" i="13"/>
  <c r="D46" i="13" s="1"/>
  <c r="F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G59" i="13" s="1"/>
  <c r="D58" i="13"/>
  <c r="G58" i="13" s="1"/>
  <c r="D57" i="13"/>
  <c r="D56" i="13"/>
  <c r="D55" i="13"/>
  <c r="D54" i="13"/>
  <c r="D53" i="13"/>
  <c r="D52" i="13"/>
  <c r="D51" i="13"/>
  <c r="F40" i="13"/>
  <c r="D73" i="12"/>
  <c r="D72" i="12"/>
  <c r="D71" i="12"/>
  <c r="D70" i="12"/>
  <c r="D69" i="12"/>
  <c r="D45" i="12"/>
  <c r="D46" i="12" s="1"/>
  <c r="F46" i="12" s="1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G62" i="12" s="1"/>
  <c r="D61" i="12"/>
  <c r="G61" i="12" s="1"/>
  <c r="D60" i="12"/>
  <c r="D59" i="12"/>
  <c r="D58" i="12"/>
  <c r="D57" i="12"/>
  <c r="D56" i="12"/>
  <c r="D55" i="12"/>
  <c r="D54" i="12"/>
  <c r="G54" i="12" s="1"/>
  <c r="D53" i="12"/>
  <c r="G53" i="12" s="1"/>
  <c r="D52" i="12"/>
  <c r="D51" i="12"/>
  <c r="F40" i="12"/>
  <c r="D73" i="11"/>
  <c r="D72" i="11"/>
  <c r="D71" i="11"/>
  <c r="D70" i="11"/>
  <c r="D69" i="11"/>
  <c r="D45" i="11"/>
  <c r="D46" i="11" s="1"/>
  <c r="F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G57" i="11" s="1"/>
  <c r="D56" i="11"/>
  <c r="D55" i="11"/>
  <c r="D54" i="11"/>
  <c r="D53" i="11"/>
  <c r="D52" i="11"/>
  <c r="D51" i="11"/>
  <c r="F40" i="11"/>
  <c r="D73" i="10"/>
  <c r="D72" i="10"/>
  <c r="D71" i="10"/>
  <c r="D70" i="10"/>
  <c r="D69" i="10"/>
  <c r="D45" i="10"/>
  <c r="D43" i="10"/>
  <c r="D42" i="10"/>
  <c r="D46" i="10" s="1"/>
  <c r="F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0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E73" i="14"/>
  <c r="F73" i="14" s="1"/>
  <c r="E72" i="14"/>
  <c r="F72" i="14" s="1"/>
  <c r="E70" i="14"/>
  <c r="E69" i="14"/>
  <c r="E73" i="13"/>
  <c r="E72" i="13"/>
  <c r="E70" i="13"/>
  <c r="E69" i="13"/>
  <c r="E73" i="12"/>
  <c r="E72" i="12"/>
  <c r="E70" i="12"/>
  <c r="E69" i="12"/>
  <c r="E73" i="11"/>
  <c r="E72" i="11"/>
  <c r="E70" i="11"/>
  <c r="E69" i="11"/>
  <c r="E73" i="10"/>
  <c r="E72" i="10"/>
  <c r="E70" i="10"/>
  <c r="E69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63" i="8"/>
  <c r="G53" i="10"/>
  <c r="G61" i="10"/>
  <c r="L61" i="10" s="1"/>
  <c r="G56" i="11"/>
  <c r="L56" i="11" s="1"/>
  <c r="G64" i="11"/>
  <c r="F52" i="7"/>
  <c r="F55" i="8"/>
  <c r="G54" i="10"/>
  <c r="G62" i="10"/>
  <c r="G53" i="13"/>
  <c r="G61" i="13"/>
  <c r="Q61" i="13" s="1"/>
  <c r="R61" i="13" s="1"/>
  <c r="G59" i="10"/>
  <c r="L59" i="10" s="1"/>
  <c r="G55" i="10"/>
  <c r="L55" i="10" s="1"/>
  <c r="F55" i="9"/>
  <c r="G56" i="10"/>
  <c r="G64" i="10"/>
  <c r="G59" i="11"/>
  <c r="G56" i="12"/>
  <c r="G64" i="12"/>
  <c r="L64" i="12" s="1"/>
  <c r="F58" i="7"/>
  <c r="F53" i="8"/>
  <c r="F56" i="9"/>
  <c r="F64" i="9"/>
  <c r="G57" i="10"/>
  <c r="E65" i="10"/>
  <c r="G52" i="11"/>
  <c r="G60" i="11"/>
  <c r="G57" i="12"/>
  <c r="Q57" i="12" s="1"/>
  <c r="R57" i="12" s="1"/>
  <c r="G54" i="13"/>
  <c r="Q54" i="13" s="1"/>
  <c r="R54" i="13" s="1"/>
  <c r="G62" i="13"/>
  <c r="G58" i="10"/>
  <c r="Q58" i="10" s="1"/>
  <c r="R58" i="10" s="1"/>
  <c r="G63" i="10"/>
  <c r="G52" i="10"/>
  <c r="G60" i="10"/>
  <c r="G51" i="10"/>
  <c r="D65" i="10"/>
  <c r="E65" i="11"/>
  <c r="D65" i="13"/>
  <c r="G51" i="13"/>
  <c r="L51" i="13" s="1"/>
  <c r="G58" i="11"/>
  <c r="G55" i="12"/>
  <c r="M55" i="12" s="1"/>
  <c r="N55" i="12" s="1"/>
  <c r="G63" i="12"/>
  <c r="M63" i="12" s="1"/>
  <c r="N63" i="12" s="1"/>
  <c r="G52" i="13"/>
  <c r="Q52" i="13" s="1"/>
  <c r="R52" i="13" s="1"/>
  <c r="G60" i="13"/>
  <c r="O60" i="13" s="1"/>
  <c r="P60" i="13" s="1"/>
  <c r="E65" i="12"/>
  <c r="D65" i="14"/>
  <c r="G51" i="14"/>
  <c r="G65" i="14" s="1"/>
  <c r="G51" i="11"/>
  <c r="D65" i="11"/>
  <c r="G53" i="11"/>
  <c r="G61" i="11"/>
  <c r="Q61" i="11" s="1"/>
  <c r="R61" i="11" s="1"/>
  <c r="G58" i="12"/>
  <c r="O58" i="12" s="1"/>
  <c r="P58" i="12" s="1"/>
  <c r="G55" i="13"/>
  <c r="M55" i="13" s="1"/>
  <c r="N55" i="13" s="1"/>
  <c r="G63" i="13"/>
  <c r="G54" i="11"/>
  <c r="M54" i="11" s="1"/>
  <c r="N54" i="11" s="1"/>
  <c r="G62" i="11"/>
  <c r="L62" i="11" s="1"/>
  <c r="D65" i="12"/>
  <c r="G51" i="12"/>
  <c r="G59" i="12"/>
  <c r="L59" i="12" s="1"/>
  <c r="G56" i="13"/>
  <c r="Q56" i="13" s="1"/>
  <c r="R56" i="13" s="1"/>
  <c r="G64" i="13"/>
  <c r="O64" i="13" s="1"/>
  <c r="P64" i="13" s="1"/>
  <c r="G55" i="11"/>
  <c r="O55" i="11" s="1"/>
  <c r="P55" i="11" s="1"/>
  <c r="G63" i="11"/>
  <c r="L63" i="11" s="1"/>
  <c r="G52" i="12"/>
  <c r="G60" i="12"/>
  <c r="O60" i="12" s="1"/>
  <c r="P60" i="12" s="1"/>
  <c r="G57" i="13"/>
  <c r="E65" i="13"/>
  <c r="F51" i="8"/>
  <c r="Q52" i="11"/>
  <c r="R52" i="11" s="1"/>
  <c r="L58" i="13"/>
  <c r="O63" i="10"/>
  <c r="P63" i="10" s="1"/>
  <c r="F69" i="13"/>
  <c r="M62" i="12"/>
  <c r="N62" i="12" s="1"/>
  <c r="M53" i="12"/>
  <c r="N53" i="12" s="1"/>
  <c r="L61" i="12"/>
  <c r="F73" i="12"/>
  <c r="D74" i="14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K69" i="8"/>
  <c r="L69" i="8" s="1"/>
  <c r="G69" i="8"/>
  <c r="I69" i="8"/>
  <c r="J69" i="8" s="1"/>
  <c r="G70" i="11"/>
  <c r="I70" i="11"/>
  <c r="J70" i="11" s="1"/>
  <c r="K70" i="11"/>
  <c r="L70" i="11" s="1"/>
  <c r="F69" i="14"/>
  <c r="G70" i="8"/>
  <c r="H70" i="8" s="1"/>
  <c r="I70" i="8"/>
  <c r="J70" i="8" s="1"/>
  <c r="K70" i="8"/>
  <c r="L70" i="8" s="1"/>
  <c r="K72" i="11"/>
  <c r="L72" i="11" s="1"/>
  <c r="G72" i="11"/>
  <c r="H72" i="11" s="1"/>
  <c r="I72" i="11"/>
  <c r="J72" i="11" s="1"/>
  <c r="L64" i="11"/>
  <c r="Q64" i="11"/>
  <c r="R64" i="11" s="1"/>
  <c r="M64" i="11"/>
  <c r="N64" i="11" s="1"/>
  <c r="O64" i="11"/>
  <c r="P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L53" i="13"/>
  <c r="O56" i="11"/>
  <c r="P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2" i="1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3" i="10"/>
  <c r="N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8" i="10"/>
  <c r="N58" i="10" s="1"/>
  <c r="M61" i="10"/>
  <c r="N61" i="10" s="1"/>
  <c r="Q61" i="10"/>
  <c r="R61" i="10" s="1"/>
  <c r="O58" i="13"/>
  <c r="P58" i="13" s="1"/>
  <c r="Q58" i="13"/>
  <c r="R58" i="13" s="1"/>
  <c r="Q51" i="14"/>
  <c r="M51" i="14"/>
  <c r="L59" i="14"/>
  <c r="O59" i="14"/>
  <c r="P59" i="14" s="1"/>
  <c r="Q59" i="14"/>
  <c r="R59" i="14" s="1"/>
  <c r="M59" i="14"/>
  <c r="N59" i="14" s="1"/>
  <c r="L55" i="14"/>
  <c r="O55" i="14"/>
  <c r="P55" i="14" s="1"/>
  <c r="Q55" i="14"/>
  <c r="R55" i="14" s="1"/>
  <c r="M55" i="14"/>
  <c r="N55" i="14" s="1"/>
  <c r="L57" i="14"/>
  <c r="M57" i="14"/>
  <c r="N57" i="14" s="1"/>
  <c r="O57" i="14"/>
  <c r="P57" i="14" s="1"/>
  <c r="Q57" i="14"/>
  <c r="R57" i="14" s="1"/>
  <c r="L61" i="14"/>
  <c r="M61" i="14"/>
  <c r="N61" i="14" s="1"/>
  <c r="O61" i="14"/>
  <c r="P61" i="14" s="1"/>
  <c r="Q61" i="14"/>
  <c r="R61" i="14" s="1"/>
  <c r="L56" i="12"/>
  <c r="Q56" i="12"/>
  <c r="R56" i="12" s="1"/>
  <c r="O56" i="12"/>
  <c r="P56" i="12" s="1"/>
  <c r="M56" i="12"/>
  <c r="N56" i="12" s="1"/>
  <c r="L59" i="13"/>
  <c r="O59" i="13"/>
  <c r="P59" i="13" s="1"/>
  <c r="Q59" i="13"/>
  <c r="R59" i="13" s="1"/>
  <c r="M59" i="13"/>
  <c r="N59" i="13" s="1"/>
  <c r="L52" i="14"/>
  <c r="Q52" i="14"/>
  <c r="R52" i="14" s="1"/>
  <c r="M52" i="14"/>
  <c r="N52" i="14" s="1"/>
  <c r="O52" i="14"/>
  <c r="P52" i="14" s="1"/>
  <c r="L62" i="14"/>
  <c r="M62" i="14"/>
  <c r="N62" i="14" s="1"/>
  <c r="O62" i="14"/>
  <c r="P62" i="14" s="1"/>
  <c r="Q62" i="14"/>
  <c r="R62" i="14" s="1"/>
  <c r="I73" i="14"/>
  <c r="J73" i="14" s="1"/>
  <c r="K73" i="14"/>
  <c r="L73" i="14" s="1"/>
  <c r="G73" i="14"/>
  <c r="H73" i="14" s="1"/>
  <c r="I69" i="14"/>
  <c r="K69" i="14"/>
  <c r="G69" i="14"/>
  <c r="L53" i="14"/>
  <c r="M53" i="14"/>
  <c r="N53" i="14" s="1"/>
  <c r="O53" i="14"/>
  <c r="P53" i="14" s="1"/>
  <c r="Q53" i="14"/>
  <c r="R53" i="14" s="1"/>
  <c r="L63" i="14"/>
  <c r="O63" i="14"/>
  <c r="P63" i="14" s="1"/>
  <c r="Q63" i="14"/>
  <c r="R63" i="14" s="1"/>
  <c r="M63" i="14"/>
  <c r="N63" i="14" s="1"/>
  <c r="I69" i="12"/>
  <c r="K69" i="12"/>
  <c r="G69" i="12"/>
  <c r="G72" i="13"/>
  <c r="H72" i="13" s="1"/>
  <c r="I72" i="13"/>
  <c r="J72" i="13" s="1"/>
  <c r="K72" i="13"/>
  <c r="L72" i="13" s="1"/>
  <c r="L56" i="14"/>
  <c r="Q56" i="14"/>
  <c r="R56" i="14" s="1"/>
  <c r="M56" i="14"/>
  <c r="N56" i="14" s="1"/>
  <c r="O56" i="14"/>
  <c r="P56" i="14" s="1"/>
  <c r="L54" i="14"/>
  <c r="M54" i="14"/>
  <c r="N54" i="14" s="1"/>
  <c r="O54" i="14"/>
  <c r="P54" i="14" s="1"/>
  <c r="Q54" i="14"/>
  <c r="R54" i="14" s="1"/>
  <c r="L64" i="14"/>
  <c r="Q64" i="14"/>
  <c r="R64" i="14" s="1"/>
  <c r="M64" i="14"/>
  <c r="N64" i="14" s="1"/>
  <c r="O64" i="14"/>
  <c r="P64" i="14" s="1"/>
  <c r="K70" i="12"/>
  <c r="L70" i="12" s="1"/>
  <c r="I70" i="12"/>
  <c r="J70" i="12" s="1"/>
  <c r="G70" i="12"/>
  <c r="H70" i="12" s="1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L54" i="13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L60" i="14"/>
  <c r="Q60" i="14"/>
  <c r="R60" i="14" s="1"/>
  <c r="M60" i="14"/>
  <c r="N60" i="14" s="1"/>
  <c r="O60" i="14"/>
  <c r="P60" i="14" s="1"/>
  <c r="I69" i="13"/>
  <c r="K69" i="13"/>
  <c r="G69" i="13"/>
  <c r="L58" i="14"/>
  <c r="M58" i="14"/>
  <c r="N58" i="14" s="1"/>
  <c r="O58" i="14"/>
  <c r="P58" i="14" s="1"/>
  <c r="Q58" i="14"/>
  <c r="R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45" i="10"/>
  <c r="F70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4" i="10"/>
  <c r="F53" i="9"/>
  <c r="F60" i="9"/>
  <c r="F69" i="12"/>
  <c r="F61" i="9"/>
  <c r="D46" i="9"/>
  <c r="F54" i="9"/>
  <c r="F62" i="9"/>
  <c r="D74" i="12"/>
  <c r="D74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0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2" i="12"/>
  <c r="F70" i="8"/>
  <c r="I56" i="9"/>
  <c r="J56" i="9" s="1"/>
  <c r="F72" i="11"/>
  <c r="G43" i="10"/>
  <c r="H43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3" i="13"/>
  <c r="L43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D94" i="11"/>
  <c r="F73" i="13"/>
  <c r="I63" i="7"/>
  <c r="F70" i="12"/>
  <c r="I56" i="8"/>
  <c r="H52" i="8"/>
  <c r="G43" i="12"/>
  <c r="H43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K42" i="12"/>
  <c r="I62" i="8"/>
  <c r="I58" i="9"/>
  <c r="K43" i="11"/>
  <c r="L43" i="11" s="1"/>
  <c r="I45" i="11"/>
  <c r="J45" i="11" s="1"/>
  <c r="E71" i="11"/>
  <c r="E74" i="11" s="1"/>
  <c r="G42" i="14"/>
  <c r="E71" i="14"/>
  <c r="E74" i="14" s="1"/>
  <c r="K45" i="14"/>
  <c r="L45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I58" i="7"/>
  <c r="E71" i="8"/>
  <c r="E74" i="8" s="1"/>
  <c r="F69" i="10"/>
  <c r="I60" i="7"/>
  <c r="O60" i="7" s="1"/>
  <c r="P60" i="7" s="1"/>
  <c r="I64" i="7"/>
  <c r="I54" i="8"/>
  <c r="I51" i="8"/>
  <c r="I53" i="8"/>
  <c r="K53" i="8" s="1"/>
  <c r="L53" i="8" s="1"/>
  <c r="I59" i="8"/>
  <c r="E44" i="9"/>
  <c r="F44" i="9" s="1"/>
  <c r="H52" i="9"/>
  <c r="K42" i="10"/>
  <c r="F72" i="10"/>
  <c r="G42" i="13"/>
  <c r="F72" i="13"/>
  <c r="F73" i="11"/>
  <c r="G42" i="11"/>
  <c r="G65" i="9"/>
  <c r="E43" i="9" s="1"/>
  <c r="F43" i="9" s="1"/>
  <c r="E71" i="10"/>
  <c r="E74" i="10" s="1"/>
  <c r="F45" i="13"/>
  <c r="F69" i="11"/>
  <c r="E71" i="12"/>
  <c r="G71" i="12" s="1"/>
  <c r="H71" i="12" s="1"/>
  <c r="K45" i="12"/>
  <c r="L45" i="12" s="1"/>
  <c r="F70" i="10"/>
  <c r="F70" i="13"/>
  <c r="F70" i="9"/>
  <c r="F72" i="9"/>
  <c r="E71" i="13"/>
  <c r="G71" i="13" s="1"/>
  <c r="H71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K51" i="8" l="1"/>
  <c r="Q60" i="13"/>
  <c r="R60" i="13" s="1"/>
  <c r="L58" i="10"/>
  <c r="L61" i="11"/>
  <c r="M60" i="13"/>
  <c r="N60" i="13" s="1"/>
  <c r="L60" i="13"/>
  <c r="O61" i="10"/>
  <c r="P61" i="10" s="1"/>
  <c r="M56" i="11"/>
  <c r="N56" i="11" s="1"/>
  <c r="Q56" i="11"/>
  <c r="R56" i="11" s="1"/>
  <c r="K58" i="7"/>
  <c r="L58" i="7" s="1"/>
  <c r="L52" i="13"/>
  <c r="M59" i="12"/>
  <c r="N59" i="12" s="1"/>
  <c r="O51" i="14"/>
  <c r="P51" i="14" s="1"/>
  <c r="O58" i="10"/>
  <c r="P58" i="10" s="1"/>
  <c r="O59" i="12"/>
  <c r="P59" i="12" s="1"/>
  <c r="L51" i="14"/>
  <c r="O54" i="13"/>
  <c r="P54" i="13" s="1"/>
  <c r="G65" i="10"/>
  <c r="G65" i="12"/>
  <c r="Q59" i="12"/>
  <c r="R59" i="12" s="1"/>
  <c r="J53" i="9"/>
  <c r="M52" i="13"/>
  <c r="N52" i="13" s="1"/>
  <c r="O52" i="13"/>
  <c r="P52" i="13" s="1"/>
  <c r="Q55" i="12"/>
  <c r="R55" i="12" s="1"/>
  <c r="O61" i="11"/>
  <c r="P61" i="11" s="1"/>
  <c r="M61" i="11"/>
  <c r="N61" i="11" s="1"/>
  <c r="G65" i="11"/>
  <c r="G65" i="13"/>
  <c r="G46" i="13"/>
  <c r="H46" i="13" s="1"/>
  <c r="F74" i="14"/>
  <c r="L51" i="12"/>
  <c r="O55" i="12"/>
  <c r="P55" i="12" s="1"/>
  <c r="L55" i="12"/>
  <c r="M58" i="13"/>
  <c r="N58" i="13" s="1"/>
  <c r="O61" i="12"/>
  <c r="P61" i="12" s="1"/>
  <c r="L53" i="12"/>
  <c r="M55" i="11"/>
  <c r="N55" i="11" s="1"/>
  <c r="Q59" i="10"/>
  <c r="R59" i="10" s="1"/>
  <c r="Q63" i="10"/>
  <c r="R63" i="10" s="1"/>
  <c r="Q64" i="13"/>
  <c r="R64" i="13" s="1"/>
  <c r="L63" i="10"/>
  <c r="M63" i="10"/>
  <c r="N63" i="10" s="1"/>
  <c r="L64" i="13"/>
  <c r="Q55" i="10"/>
  <c r="R55" i="10" s="1"/>
  <c r="M55" i="10"/>
  <c r="N55" i="10" s="1"/>
  <c r="O55" i="10"/>
  <c r="P55" i="10" s="1"/>
  <c r="O62" i="12"/>
  <c r="P62" i="12" s="1"/>
  <c r="F74" i="11"/>
  <c r="Q60" i="12"/>
  <c r="R60" i="12" s="1"/>
  <c r="Q61" i="12"/>
  <c r="R61" i="12" s="1"/>
  <c r="O61" i="13"/>
  <c r="P61" i="13" s="1"/>
  <c r="L62" i="12"/>
  <c r="M60" i="12"/>
  <c r="N60" i="12" s="1"/>
  <c r="M53" i="13"/>
  <c r="N53" i="13" s="1"/>
  <c r="M51" i="13"/>
  <c r="N51" i="13" s="1"/>
  <c r="L56" i="13"/>
  <c r="Q63" i="12"/>
  <c r="R63" i="12" s="1"/>
  <c r="M61" i="12"/>
  <c r="N61" i="12" s="1"/>
  <c r="M64" i="13"/>
  <c r="N64" i="13" s="1"/>
  <c r="Q55" i="13"/>
  <c r="R55" i="13" s="1"/>
  <c r="M56" i="13"/>
  <c r="N56" i="13" s="1"/>
  <c r="O51" i="12"/>
  <c r="P51" i="12" s="1"/>
  <c r="O56" i="13"/>
  <c r="P56" i="13" s="1"/>
  <c r="M51" i="12"/>
  <c r="N51" i="12" s="1"/>
  <c r="Q62" i="12"/>
  <c r="R62" i="12" s="1"/>
  <c r="O63" i="12"/>
  <c r="P63" i="12" s="1"/>
  <c r="O55" i="13"/>
  <c r="P55" i="13" s="1"/>
  <c r="L60" i="12"/>
  <c r="O53" i="12"/>
  <c r="P53" i="12" s="1"/>
  <c r="L58" i="12"/>
  <c r="L63" i="12"/>
  <c r="L55" i="13"/>
  <c r="Q53" i="12"/>
  <c r="R53" i="12" s="1"/>
  <c r="M57" i="12"/>
  <c r="N57" i="12" s="1"/>
  <c r="O53" i="13"/>
  <c r="P53" i="13" s="1"/>
  <c r="Q51" i="12"/>
  <c r="R51" i="12" s="1"/>
  <c r="J64" i="8"/>
  <c r="L57" i="12"/>
  <c r="M64" i="12"/>
  <c r="N64" i="12" s="1"/>
  <c r="O64" i="12"/>
  <c r="P64" i="12" s="1"/>
  <c r="Q53" i="13"/>
  <c r="R53" i="13" s="1"/>
  <c r="J59" i="9"/>
  <c r="M59" i="10"/>
  <c r="N59" i="10" s="1"/>
  <c r="L55" i="11"/>
  <c r="M58" i="12"/>
  <c r="N58" i="12" s="1"/>
  <c r="Q51" i="13"/>
  <c r="R51" i="13" s="1"/>
  <c r="L54" i="11"/>
  <c r="J60" i="9"/>
  <c r="Q62" i="11"/>
  <c r="R62" i="11" s="1"/>
  <c r="M61" i="13"/>
  <c r="N61" i="13" s="1"/>
  <c r="Q58" i="12"/>
  <c r="R58" i="12" s="1"/>
  <c r="O57" i="12"/>
  <c r="P57" i="12" s="1"/>
  <c r="O59" i="10"/>
  <c r="P59" i="10" s="1"/>
  <c r="Q63" i="11"/>
  <c r="R63" i="11" s="1"/>
  <c r="Q54" i="11"/>
  <c r="R54" i="11" s="1"/>
  <c r="O62" i="11"/>
  <c r="P62" i="11" s="1"/>
  <c r="J58" i="9"/>
  <c r="L61" i="13"/>
  <c r="O63" i="11"/>
  <c r="P63" i="11" s="1"/>
  <c r="O54" i="11"/>
  <c r="P54" i="11" s="1"/>
  <c r="M62" i="11"/>
  <c r="N62" i="11" s="1"/>
  <c r="M63" i="11"/>
  <c r="N63" i="11" s="1"/>
  <c r="O53" i="10"/>
  <c r="P53" i="10" s="1"/>
  <c r="O51" i="13"/>
  <c r="P51" i="13" s="1"/>
  <c r="Q55" i="11"/>
  <c r="R55" i="11" s="1"/>
  <c r="J57" i="9"/>
  <c r="Q53" i="10"/>
  <c r="R53" i="10" s="1"/>
  <c r="Q64" i="12"/>
  <c r="R64" i="12" s="1"/>
  <c r="L53" i="10"/>
  <c r="J60" i="3"/>
  <c r="J54" i="3"/>
  <c r="G43" i="13"/>
  <c r="H43" i="13" s="1"/>
  <c r="M52" i="7"/>
  <c r="N52" i="7" s="1"/>
  <c r="J53" i="7"/>
  <c r="J54" i="8"/>
  <c r="J62" i="7"/>
  <c r="J63" i="9"/>
  <c r="K43" i="12"/>
  <c r="L43" i="12" s="1"/>
  <c r="I43" i="12"/>
  <c r="J43" i="12" s="1"/>
  <c r="I46" i="7"/>
  <c r="J46" i="7" s="1"/>
  <c r="J43" i="7"/>
  <c r="L51" i="8"/>
  <c r="H42" i="11"/>
  <c r="M62" i="8"/>
  <c r="N62" i="8" s="1"/>
  <c r="O62" i="8"/>
  <c r="P62" i="8" s="1"/>
  <c r="K62" i="8"/>
  <c r="L62" i="8" s="1"/>
  <c r="L58" i="11"/>
  <c r="M58" i="11"/>
  <c r="N58" i="11" s="1"/>
  <c r="O58" i="11"/>
  <c r="P58" i="11" s="1"/>
  <c r="Q58" i="11"/>
  <c r="R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3" i="11"/>
  <c r="M53" i="11"/>
  <c r="N53" i="11" s="1"/>
  <c r="O53" i="11"/>
  <c r="P53" i="11" s="1"/>
  <c r="Q53" i="11"/>
  <c r="R53" i="11" s="1"/>
  <c r="I42" i="12"/>
  <c r="K63" i="8"/>
  <c r="L63" i="8" s="1"/>
  <c r="K60" i="7"/>
  <c r="L60" i="7" s="1"/>
  <c r="K42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2" i="12"/>
  <c r="O55" i="8"/>
  <c r="P55" i="8" s="1"/>
  <c r="I42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59" i="11"/>
  <c r="O59" i="11"/>
  <c r="P59" i="11" s="1"/>
  <c r="Q59" i="11"/>
  <c r="R59" i="11" s="1"/>
  <c r="M59" i="11"/>
  <c r="N59" i="11" s="1"/>
  <c r="I45" i="14"/>
  <c r="J45" i="14" s="1"/>
  <c r="M55" i="8"/>
  <c r="N55" i="8" s="1"/>
  <c r="J69" i="11"/>
  <c r="J69" i="7"/>
  <c r="K71" i="11"/>
  <c r="L71" i="11" s="1"/>
  <c r="G44" i="8"/>
  <c r="H44" i="8" s="1"/>
  <c r="I43" i="11"/>
  <c r="J43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L51" i="11"/>
  <c r="O51" i="11"/>
  <c r="Q51" i="11"/>
  <c r="M51" i="11"/>
  <c r="K57" i="7"/>
  <c r="L57" i="7" s="1"/>
  <c r="M57" i="7"/>
  <c r="N57" i="7" s="1"/>
  <c r="O57" i="7"/>
  <c r="P57" i="7" s="1"/>
  <c r="G43" i="11"/>
  <c r="H43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7" i="11"/>
  <c r="N57" i="11" s="1"/>
  <c r="O57" i="11"/>
  <c r="P57" i="11" s="1"/>
  <c r="Q57" i="11"/>
  <c r="R57" i="11" s="1"/>
  <c r="K61" i="7"/>
  <c r="L61" i="7" s="1"/>
  <c r="M61" i="7"/>
  <c r="N61" i="7" s="1"/>
  <c r="O61" i="7"/>
  <c r="P61" i="7" s="1"/>
  <c r="L60" i="11"/>
  <c r="M60" i="11"/>
  <c r="N60" i="11" s="1"/>
  <c r="O60" i="11"/>
  <c r="P60" i="11" s="1"/>
  <c r="Q60" i="11"/>
  <c r="R60" i="11" s="1"/>
  <c r="I71" i="7"/>
  <c r="J71" i="7" s="1"/>
  <c r="I71" i="8"/>
  <c r="G71" i="10"/>
  <c r="H71" i="10" s="1"/>
  <c r="K71" i="10"/>
  <c r="L71" i="10" s="1"/>
  <c r="I71" i="10"/>
  <c r="J71" i="10" s="1"/>
  <c r="I42" i="10"/>
  <c r="G42" i="10"/>
  <c r="G46" i="10" s="1"/>
  <c r="H46" i="10" s="1"/>
  <c r="K43" i="10"/>
  <c r="L43" i="10" s="1"/>
  <c r="I43" i="10"/>
  <c r="J43" i="10" s="1"/>
  <c r="F74" i="10"/>
  <c r="J69" i="10"/>
  <c r="H69" i="10"/>
  <c r="L69" i="10"/>
  <c r="L64" i="10"/>
  <c r="M64" i="10"/>
  <c r="N64" i="10" s="1"/>
  <c r="Q64" i="10"/>
  <c r="R64" i="10" s="1"/>
  <c r="O64" i="10"/>
  <c r="P64" i="10" s="1"/>
  <c r="L62" i="10"/>
  <c r="M62" i="10"/>
  <c r="N62" i="10" s="1"/>
  <c r="Q62" i="10"/>
  <c r="R62" i="10" s="1"/>
  <c r="O62" i="10"/>
  <c r="P62" i="10" s="1"/>
  <c r="M52" i="10"/>
  <c r="N52" i="10" s="1"/>
  <c r="Q52" i="10"/>
  <c r="R52" i="10" s="1"/>
  <c r="O52" i="10"/>
  <c r="P52" i="10" s="1"/>
  <c r="L51" i="10"/>
  <c r="O51" i="10"/>
  <c r="P51" i="10" s="1"/>
  <c r="M51" i="10"/>
  <c r="N51" i="10" s="1"/>
  <c r="Q51" i="10"/>
  <c r="R51" i="10" s="1"/>
  <c r="L60" i="10"/>
  <c r="M60" i="10"/>
  <c r="N60" i="10" s="1"/>
  <c r="Q60" i="10"/>
  <c r="R60" i="10" s="1"/>
  <c r="O60" i="10"/>
  <c r="P60" i="10" s="1"/>
  <c r="L56" i="10"/>
  <c r="M56" i="10"/>
  <c r="N56" i="10" s="1"/>
  <c r="Q56" i="10"/>
  <c r="R56" i="10" s="1"/>
  <c r="O56" i="10"/>
  <c r="P56" i="10" s="1"/>
  <c r="L54" i="10"/>
  <c r="O54" i="10"/>
  <c r="P54" i="10" s="1"/>
  <c r="M54" i="10"/>
  <c r="N54" i="10" s="1"/>
  <c r="Q54" i="10"/>
  <c r="R54" i="10" s="1"/>
  <c r="L57" i="10"/>
  <c r="O57" i="10"/>
  <c r="M57" i="10"/>
  <c r="Q57" i="10"/>
  <c r="L42" i="10"/>
  <c r="H42" i="13"/>
  <c r="L42" i="12"/>
  <c r="H42" i="14"/>
  <c r="K42" i="13"/>
  <c r="K46" i="13" s="1"/>
  <c r="J69" i="13"/>
  <c r="O63" i="13"/>
  <c r="P63" i="13" s="1"/>
  <c r="Q63" i="13"/>
  <c r="R63" i="13" s="1"/>
  <c r="M63" i="13"/>
  <c r="N63" i="13" s="1"/>
  <c r="L69" i="13"/>
  <c r="G45" i="14"/>
  <c r="H45" i="14" s="1"/>
  <c r="H69" i="14"/>
  <c r="I42" i="13"/>
  <c r="G74" i="12"/>
  <c r="H74" i="12" s="1"/>
  <c r="H69" i="12"/>
  <c r="L69" i="14"/>
  <c r="I71" i="13"/>
  <c r="J71" i="13" s="1"/>
  <c r="L54" i="12"/>
  <c r="M54" i="12"/>
  <c r="N54" i="12" s="1"/>
  <c r="O54" i="12"/>
  <c r="P54" i="12" s="1"/>
  <c r="Q54" i="12"/>
  <c r="R54" i="12" s="1"/>
  <c r="L62" i="13"/>
  <c r="M62" i="13"/>
  <c r="N62" i="13" s="1"/>
  <c r="O62" i="13"/>
  <c r="P62" i="13" s="1"/>
  <c r="Q62" i="13"/>
  <c r="R62" i="13" s="1"/>
  <c r="L69" i="12"/>
  <c r="J69" i="14"/>
  <c r="K71" i="13"/>
  <c r="L71" i="13" s="1"/>
  <c r="R51" i="14"/>
  <c r="Q65" i="14"/>
  <c r="R65" i="14" s="1"/>
  <c r="L52" i="12"/>
  <c r="Q52" i="12"/>
  <c r="R52" i="12" s="1"/>
  <c r="O52" i="12"/>
  <c r="P52" i="12" s="1"/>
  <c r="M52" i="12"/>
  <c r="N52" i="12" s="1"/>
  <c r="I71" i="12"/>
  <c r="J71" i="12" s="1"/>
  <c r="K42" i="14"/>
  <c r="I71" i="14"/>
  <c r="J71" i="14" s="1"/>
  <c r="I43" i="13"/>
  <c r="J43" i="13" s="1"/>
  <c r="I43" i="14"/>
  <c r="J43" i="14" s="1"/>
  <c r="K43" i="14"/>
  <c r="L43" i="14" s="1"/>
  <c r="G43" i="14"/>
  <c r="H43" i="14" s="1"/>
  <c r="K71" i="14"/>
  <c r="L71" i="14" s="1"/>
  <c r="J69" i="12"/>
  <c r="M65" i="14"/>
  <c r="N65" i="14" s="1"/>
  <c r="N51" i="14"/>
  <c r="G71" i="14"/>
  <c r="H71" i="14" s="1"/>
  <c r="G45" i="12"/>
  <c r="H45" i="12" s="1"/>
  <c r="K71" i="12"/>
  <c r="L71" i="12" s="1"/>
  <c r="I42" i="14"/>
  <c r="I45" i="12"/>
  <c r="J45" i="12" s="1"/>
  <c r="L57" i="13"/>
  <c r="O57" i="13"/>
  <c r="P57" i="13" s="1"/>
  <c r="M57" i="13"/>
  <c r="N57" i="13" s="1"/>
  <c r="Q57" i="13"/>
  <c r="R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2" i="10"/>
  <c r="L63" i="13"/>
  <c r="L57" i="11"/>
  <c r="J54" i="9"/>
  <c r="F65" i="8"/>
  <c r="J58" i="8"/>
  <c r="E46" i="9"/>
  <c r="F46" i="9" s="1"/>
  <c r="J61" i="7"/>
  <c r="M58" i="3"/>
  <c r="N58" i="3" s="1"/>
  <c r="F74" i="7"/>
  <c r="F65" i="9"/>
  <c r="J62" i="9"/>
  <c r="F43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3" i="14"/>
  <c r="M59" i="3"/>
  <c r="N59" i="3" s="1"/>
  <c r="F43" i="13"/>
  <c r="J64" i="9"/>
  <c r="E70" i="3"/>
  <c r="F70" i="3" s="1"/>
  <c r="J53" i="3"/>
  <c r="J64" i="7"/>
  <c r="I55" i="7"/>
  <c r="J55" i="7" s="1"/>
  <c r="F43" i="7"/>
  <c r="J63" i="7"/>
  <c r="H65" i="7"/>
  <c r="J51" i="9"/>
  <c r="F43" i="12"/>
  <c r="G41" i="3"/>
  <c r="H41" i="3" s="1"/>
  <c r="M50" i="3"/>
  <c r="N50" i="3" s="1"/>
  <c r="G67" i="3"/>
  <c r="H67" i="3" s="1"/>
  <c r="E74" i="9"/>
  <c r="F74" i="9" s="1"/>
  <c r="L65" i="14"/>
  <c r="F71" i="13"/>
  <c r="F45" i="12"/>
  <c r="E46" i="8"/>
  <c r="F46" i="8" s="1"/>
  <c r="F43" i="8"/>
  <c r="F71" i="7"/>
  <c r="F44" i="7"/>
  <c r="J58" i="7"/>
  <c r="F42" i="13"/>
  <c r="F42" i="12"/>
  <c r="E74" i="13"/>
  <c r="F74" i="13" s="1"/>
  <c r="F42" i="11"/>
  <c r="F71" i="11"/>
  <c r="H65" i="9"/>
  <c r="J51" i="7"/>
  <c r="H69" i="9"/>
  <c r="F45" i="14"/>
  <c r="F42" i="14"/>
  <c r="F45" i="11"/>
  <c r="E46" i="7"/>
  <c r="F46" i="7" s="1"/>
  <c r="I52" i="9"/>
  <c r="M52" i="9" s="1"/>
  <c r="N52" i="9" s="1"/>
  <c r="F71" i="10"/>
  <c r="F42" i="10"/>
  <c r="J53" i="8"/>
  <c r="J60" i="7"/>
  <c r="F71" i="14"/>
  <c r="J62" i="8"/>
  <c r="J57" i="8"/>
  <c r="E74" i="12"/>
  <c r="F74" i="12" s="1"/>
  <c r="F71" i="12"/>
  <c r="J51" i="8"/>
  <c r="F71" i="8"/>
  <c r="F43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O65" i="14" l="1"/>
  <c r="P65" i="14" s="1"/>
  <c r="K46" i="14"/>
  <c r="I46" i="13"/>
  <c r="J46" i="13" s="1"/>
  <c r="I46" i="14"/>
  <c r="J46" i="14" s="1"/>
  <c r="K46" i="11"/>
  <c r="L46" i="11" s="1"/>
  <c r="K46" i="10"/>
  <c r="L46" i="10" s="1"/>
  <c r="J42" i="10"/>
  <c r="I46" i="10"/>
  <c r="J46" i="10" s="1"/>
  <c r="K46" i="12"/>
  <c r="L46" i="12" s="1"/>
  <c r="J42" i="12"/>
  <c r="I46" i="12"/>
  <c r="J46" i="12" s="1"/>
  <c r="I46" i="11"/>
  <c r="J46" i="11" s="1"/>
  <c r="G46" i="11"/>
  <c r="H46" i="11" s="1"/>
  <c r="H42" i="12"/>
  <c r="G46" i="12"/>
  <c r="H46" i="12" s="1"/>
  <c r="G46" i="14"/>
  <c r="H46" i="14" s="1"/>
  <c r="H42" i="10"/>
  <c r="I74" i="10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74" i="14"/>
  <c r="H74" i="14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5" i="11"/>
  <c r="N65" i="11" s="1"/>
  <c r="N51" i="11"/>
  <c r="L42" i="11"/>
  <c r="L51" i="7"/>
  <c r="Q65" i="11"/>
  <c r="R65" i="11" s="1"/>
  <c r="R51" i="11"/>
  <c r="N53" i="7"/>
  <c r="O52" i="8"/>
  <c r="P52" i="8" s="1"/>
  <c r="I74" i="12"/>
  <c r="J74" i="12" s="1"/>
  <c r="O65" i="12"/>
  <c r="P65" i="12" s="1"/>
  <c r="O65" i="11"/>
  <c r="P65" i="11" s="1"/>
  <c r="P51" i="11"/>
  <c r="K46" i="8"/>
  <c r="L46" i="8" s="1"/>
  <c r="L43" i="8"/>
  <c r="P54" i="7"/>
  <c r="M52" i="8"/>
  <c r="G74" i="11"/>
  <c r="H74" i="11" s="1"/>
  <c r="I46" i="8"/>
  <c r="J46" i="8" s="1"/>
  <c r="J43" i="8"/>
  <c r="K74" i="11"/>
  <c r="L74" i="11" s="1"/>
  <c r="K52" i="8"/>
  <c r="L65" i="10"/>
  <c r="I74" i="14"/>
  <c r="J74" i="14" s="1"/>
  <c r="K55" i="7"/>
  <c r="L55" i="7" s="1"/>
  <c r="J42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Q65" i="10"/>
  <c r="R65" i="10" s="1"/>
  <c r="R57" i="10"/>
  <c r="O65" i="10"/>
  <c r="P65" i="10" s="1"/>
  <c r="P57" i="10"/>
  <c r="M65" i="10"/>
  <c r="N65" i="10" s="1"/>
  <c r="N57" i="10"/>
  <c r="I46" i="9"/>
  <c r="J46" i="9" s="1"/>
  <c r="L42" i="14"/>
  <c r="L46" i="14"/>
  <c r="O65" i="13"/>
  <c r="P65" i="13" s="1"/>
  <c r="Q65" i="12"/>
  <c r="R65" i="12" s="1"/>
  <c r="J42" i="13"/>
  <c r="K74" i="13"/>
  <c r="L74" i="13" s="1"/>
  <c r="M65" i="13"/>
  <c r="N65" i="13" s="1"/>
  <c r="L42" i="13"/>
  <c r="L46" i="13"/>
  <c r="J42" i="14"/>
  <c r="L65" i="13"/>
  <c r="M65" i="12"/>
  <c r="N65" i="12" s="1"/>
  <c r="Q65" i="13"/>
  <c r="R65" i="13" s="1"/>
  <c r="I74" i="13"/>
  <c r="J74" i="13" s="1"/>
  <c r="I65" i="8"/>
  <c r="J65" i="8" s="1"/>
  <c r="L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5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  <comment ref="T5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INDUSTRI = baris 12.</t>
        </r>
      </text>
    </comment>
    <comment ref="T60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LEGIAN = baris 11.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<sst xmlns="http://schemas.openxmlformats.org/spreadsheetml/2006/main" count="2107" uniqueCount="223">
  <si>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</si>
  <si>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</si>
  <si>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</si>
  <si>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</si>
  <si>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</si>
  <si>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</si>
  <si>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</si>
  <si>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</si>
  <si>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</si>
  <si>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</si>
  <si>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</si>
  <si>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</si>
  <si>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</si>
  <si>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</si>
  <si>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</si>
  <si>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</si>
  <si>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</si>
  <si>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</si>
  <si>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</si>
  <si>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</si>
  <si>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</si>
  <si>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</si>
  <si>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</si>
  <si>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</si>
  <si>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</si>
  <si>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</si>
  <si>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</si>
  <si>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</si>
  <si>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</si>
  <si>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</si>
  <si>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</si>
  <si>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</si>
  <si>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</si>
  <si>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</si>
  <si>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</si>
  <si>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</si>
  <si>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</si>
  <si>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</si>
  <si>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</si>
  <si>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</si>
  <si>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</si>
  <si>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</si>
  <si>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</si>
  <si>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</si>
  <si>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</si>
  <si>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</si>
  <si>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</si>
  <si>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</si>
  <si>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</si>
  <si>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</si>
  <si>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</si>
  <si>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</si>
  <si>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</si>
  <si>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</si>
  <si>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</si>
  <si>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</si>
  <si>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</si>
  <si>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</si>
  <si>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</si>
  <si>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</si>
  <si>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</si>
  <si>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</si>
  <si>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</si>
  <si>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</si>
  <si>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</si>
  <si>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</si>
  <si>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</si>
  <si>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</si>
  <si>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</si>
  <si>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</si>
  <si>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</si>
  <si>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</si>
  <si>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</si>
  <si>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</si>
  <si>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</si>
  <si>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</si>
  <si>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</si>
  <si>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</si>
  <si>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</si>
  <si>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</si>
  <si>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</si>
  <si>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</si>
  <si>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</si>
  <si>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</si>
  <si>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</si>
  <si>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</si>
  <si>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</si>
  <si>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</si>
  <si>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</si>
  <si>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</si>
  <si>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</si>
  <si>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</si>
  <si>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</si>
  <si>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</si>
  <si>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</si>
  <si>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</si>
  <si>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</si>
  <si>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</si>
  <si>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</si>
  <si>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</si>
  <si>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</si>
  <si>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</si>
  <si>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</si>
  <si>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</si>
  <si>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</si>
  <si>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</si>
  <si>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</si>
  <si>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</si>
  <si>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</si>
  <si>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</si>
  <si>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</si>
  <si>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</si>
  <si>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</si>
  <si>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</si>
  <si>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</si>
  <si>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</si>
  <si>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</si>
  <si>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</si>
  <si>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</si>
  <si>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</si>
  <si>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</si>
  <si>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</si>
  <si>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</si>
  <si>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</si>
  <si>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</si>
  <si>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</si>
  <si>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</si>
  <si>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</si>
  <si>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</si>
  <si>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</si>
  <si>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</si>
  <si>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</si>
  <si>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</si>
  <si>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</si>
  <si>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</si>
  <si>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</si>
  <si>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</si>
  <si>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</si>
  <si>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</si>
  <si>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</si>
  <si>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</si>
  <si>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</si>
  <si>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</si>
  <si>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</si>
  <si>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</si>
  <si>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</si>
  <si>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</si>
  <si>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</si>
  <si>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</si>
  <si>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</si>
  <si>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</si>
  <si>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</si>
  <si>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</si>
  <si>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</si>
  <si>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</si>
  <si>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</si>
  <si>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</si>
  <si>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</si>
  <si>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</si>
  <si>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</si>
  <si>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</si>
  <si>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</si>
  <si>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</si>
  <si>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</si>
  <si>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</si>
  <si>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</si>
  <si>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</si>
  <si>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</si>
  <si>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</si>
  <si>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</si>
  <si>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</si>
  <si>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</si>
  <si>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</si>
  <si>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</si>
  <si>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</si>
  <si>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</si>
  <si>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</si>
  <si>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</si>
  <si>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</si>
  <si>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</si>
  <si>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</si>
  <si>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</si>
  <si>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</si>
  <si>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</si>
  <si>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</si>
  <si>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</si>
  <si>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</si>
  <si>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</si>
  <si>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</si>
  <si>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</si>
  <si>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</si>
  <si>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</si>
  <si>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</si>
  <si>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</si>
  <si>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</si>
  <si>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</si>
  <si>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</si>
  <si>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</si>
  <si>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</si>
  <si>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</si>
  <si>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</si>
  <si>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</si>
  <si>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</si>
  <si>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</si>
  <si>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</si>
  <si>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</si>
  <si>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</si>
  <si>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</si>
  <si>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</si>
  <si>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</si>
  <si>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</si>
  <si>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</si>
  <si>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</si>
  <si>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</si>
  <si>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</si>
  <si>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</si>
  <si>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</si>
  <si>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</si>
  <si>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</si>
  <si>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</si>
  <si>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→ baris 12 (manual)</t>
  </si>
  <si>
    <t>→ baris 11 (manual)</t>
  </si>
  <si>
    <t>DATA PENCAPAIAN — GLOBAL — 28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</si>
</sst>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69" t="s">
        <v>179</v>
      </c>
      <c r="C41" s="270"/>
      <c r="D41" s="27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69" t="s">
        <v>181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69" t="s">
        <v>190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abSelected="1" topLeftCell="A69" zoomScale="87" zoomScaleNormal="91" workbookViewId="0">
      <selection activeCell="F80" sqref="F8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5703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1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234">
        <v>154694290.09064901</v>
      </c>
      <c r="D10" s="234">
        <v>36267010.544587001</v>
      </c>
      <c r="E10" s="234">
        <v>214145320.63250801</v>
      </c>
      <c r="F10" s="234">
        <v>167621123.88999999</v>
      </c>
      <c r="G10" s="234">
        <v>572727745.15774405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216</v>
      </c>
      <c r="C11" s="234">
        <v>358406837.42937499</v>
      </c>
      <c r="D11" s="234">
        <v>80741214.985740006</v>
      </c>
      <c r="E11" s="234">
        <v>122700164.769355</v>
      </c>
      <c r="F11" s="234">
        <v>283614221.24000001</v>
      </c>
      <c r="G11" s="234">
        <v>845462438.42446995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215</v>
      </c>
      <c r="C12" s="234">
        <v>3123423.4199979999</v>
      </c>
      <c r="D12" s="234">
        <v>30403216.600000001</v>
      </c>
      <c r="E12" s="234">
        <v>317144145.67874002</v>
      </c>
      <c r="F12" s="234">
        <v>0</v>
      </c>
      <c r="G12" s="234">
        <v>350670785.69873798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234">
        <v>180549299.75767401</v>
      </c>
      <c r="D13" s="234">
        <v>59621483.846670002</v>
      </c>
      <c r="E13" s="234">
        <v>171097877.05953401</v>
      </c>
      <c r="F13" s="234">
        <v>84762026.650000006</v>
      </c>
      <c r="G13" s="234">
        <v>496030687.313878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234">
        <v>41598131.450832002</v>
      </c>
      <c r="D14" s="234">
        <v>27530631.089956</v>
      </c>
      <c r="E14" s="234">
        <v>229284252.70932299</v>
      </c>
      <c r="F14" s="234">
        <v>57289865.280000001</v>
      </c>
      <c r="G14" s="234">
        <v>355702880.53011101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234">
        <v>769093591.18776405</v>
      </c>
      <c r="D15" s="234">
        <v>28388679.159852002</v>
      </c>
      <c r="E15" s="234">
        <v>178391225.47001001</v>
      </c>
      <c r="F15" s="234">
        <v>415082617.73978102</v>
      </c>
      <c r="G15" s="234">
        <v>1390956113.5574069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234">
        <v>491379626.78906298</v>
      </c>
      <c r="D16" s="234">
        <v>1283864.864998</v>
      </c>
      <c r="E16" s="234">
        <v>101627728.64993501</v>
      </c>
      <c r="F16" s="234">
        <v>16648919.109999999</v>
      </c>
      <c r="G16" s="234">
        <v>610940139.41399598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234">
        <v>672896171.15605295</v>
      </c>
      <c r="D17" s="234">
        <v>81995392.819728002</v>
      </c>
      <c r="E17" s="234">
        <v>343958559.29945201</v>
      </c>
      <c r="F17" s="234">
        <v>1521201448.0399261</v>
      </c>
      <c r="G17" s="234">
        <v>2620051571.3151588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234">
        <v>116411125.823663</v>
      </c>
      <c r="D18" s="234">
        <v>15763472.888874</v>
      </c>
      <c r="E18" s="234">
        <v>113827569.00857</v>
      </c>
      <c r="F18" s="234">
        <v>37575676.409999996</v>
      </c>
      <c r="G18" s="234">
        <v>283577844.13110697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234">
        <v>16705380.559998</v>
      </c>
      <c r="D19" s="234">
        <v>112259700.25078</v>
      </c>
      <c r="E19" s="234">
        <v>43544445.5</v>
      </c>
      <c r="F19" s="234">
        <v>100810812.94</v>
      </c>
      <c r="G19" s="234">
        <v>273320339.25077802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170</v>
      </c>
      <c r="C20" s="234">
        <v>186567960.96000001</v>
      </c>
      <c r="D20" s="234">
        <v>0</v>
      </c>
      <c r="E20" s="234">
        <v>0</v>
      </c>
      <c r="F20" s="234">
        <v>13081080.720000001</v>
      </c>
      <c r="G20" s="234">
        <v>199649041.68000001</v>
      </c>
      <c r="H20" s="111"/>
      <c r="I20" s="111"/>
      <c r="J20" s="111"/>
      <c r="M20" s="14">
        <f>SUM(C30,C35)</f>
        <v>822000</v>
      </c>
      <c r="N20" s="10" t="s">
        <v>119</v>
      </c>
    </row>
    <row r="21" spans="2:15" x14ac:dyDescent="0.25">
      <c r="B21" s="72" t="s">
        <v>171</v>
      </c>
      <c r="C21" s="234">
        <v>396542452.69999999</v>
      </c>
      <c r="D21" s="234">
        <v>0</v>
      </c>
      <c r="E21" s="234">
        <v>0</v>
      </c>
      <c r="F21" s="234">
        <v>16384323.880000001</v>
      </c>
      <c r="G21" s="234">
        <v>412926776.57999998</v>
      </c>
      <c r="H21" s="111"/>
      <c r="I21" s="111"/>
      <c r="J21" s="111"/>
      <c r="M21" s="14">
        <f>SUM(C33,C34)+M20</f>
        <v>735412514.72769308</v>
      </c>
      <c r="N21" s="10" t="s">
        <v>121</v>
      </c>
    </row>
    <row r="22" spans="2:15" x14ac:dyDescent="0.25">
      <c r="B22" s="72" t="s">
        <v>124</v>
      </c>
      <c r="C22" s="234">
        <v>282481262.24235302</v>
      </c>
      <c r="D22" s="234">
        <v>52185533.949468002</v>
      </c>
      <c r="E22" s="234">
        <v>146721532.039738</v>
      </c>
      <c r="F22" s="234">
        <v>493033931.35983503</v>
      </c>
      <c r="G22" s="234">
        <v>974422259.59139395</v>
      </c>
      <c r="H22" s="111"/>
      <c r="I22" s="111"/>
      <c r="J22" s="111"/>
    </row>
    <row r="23" spans="2:15" x14ac:dyDescent="0.25">
      <c r="B23" s="72" t="s">
        <v>125</v>
      </c>
      <c r="C23" s="234">
        <v>315327015.43198401</v>
      </c>
      <c r="D23" s="234">
        <v>87869748.189792007</v>
      </c>
      <c r="E23" s="234">
        <v>216956895.123656</v>
      </c>
      <c r="F23" s="234">
        <v>387932966.869304</v>
      </c>
      <c r="G23" s="234">
        <v>1008086625.614736</v>
      </c>
      <c r="H23" s="111"/>
      <c r="I23" s="111"/>
      <c r="J23" s="111"/>
    </row>
    <row r="24" spans="2:15" x14ac:dyDescent="0.25">
      <c r="B24" s="72" t="s">
        <v>126</v>
      </c>
      <c r="C24" s="234">
        <v>421828384.19394398</v>
      </c>
      <c r="D24" s="234">
        <v>59701234.240413003</v>
      </c>
      <c r="E24" s="234">
        <v>217370930.69993499</v>
      </c>
      <c r="F24" s="234">
        <v>680297913.00916898</v>
      </c>
      <c r="G24" s="234">
        <v>1379198462.143461</v>
      </c>
      <c r="H24" s="111"/>
      <c r="I24" s="111"/>
      <c r="J24" s="111"/>
    </row>
    <row r="25" spans="2:15" x14ac:dyDescent="0.25">
      <c r="B25" s="72" t="s">
        <v>184</v>
      </c>
      <c r="C25" s="234">
        <v>143881598.971928</v>
      </c>
      <c r="D25" s="234">
        <v>105369092.55757301</v>
      </c>
      <c r="E25" s="234">
        <v>173853826.30960199</v>
      </c>
      <c r="F25" s="234">
        <v>55810729.240000002</v>
      </c>
      <c r="G25" s="234">
        <v>478915247.07910299</v>
      </c>
      <c r="H25" s="111"/>
      <c r="I25" s="111"/>
      <c r="J25" s="111"/>
    </row>
    <row r="26" spans="2:15" x14ac:dyDescent="0.25">
      <c r="B26" s="72" t="s">
        <v>127</v>
      </c>
      <c r="C26" s="234">
        <v>339823021.38530099</v>
      </c>
      <c r="D26" s="234">
        <v>304738554.78604698</v>
      </c>
      <c r="E26" s="234">
        <v>320043402.94672</v>
      </c>
      <c r="F26" s="234">
        <v>20800432.859000001</v>
      </c>
      <c r="G26" s="234">
        <v>985405411.97706795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234">
        <v>260197932.058994</v>
      </c>
      <c r="G31" s="111"/>
      <c r="H31" s="111"/>
      <c r="I31" s="111"/>
    </row>
    <row r="32" spans="2:15" x14ac:dyDescent="0.25">
      <c r="B32" s="81" t="s">
        <v>132</v>
      </c>
      <c r="C32" s="234">
        <v>457286641.51147097</v>
      </c>
      <c r="G32" s="111"/>
      <c r="H32" s="111"/>
      <c r="I32" s="111"/>
    </row>
    <row r="33" spans="2:19" x14ac:dyDescent="0.25">
      <c r="B33" s="81" t="s">
        <v>133</v>
      </c>
      <c r="C33" s="234">
        <v>148212672.324233</v>
      </c>
      <c r="G33" s="111"/>
      <c r="H33" s="111"/>
      <c r="I33" s="111"/>
    </row>
    <row r="34" spans="2:19" x14ac:dyDescent="0.25">
      <c r="B34" s="81" t="s">
        <v>134</v>
      </c>
      <c r="C34" s="234">
        <v>586377842.40346003</v>
      </c>
      <c r="G34" s="111"/>
      <c r="H34" s="111"/>
      <c r="I34" s="111"/>
    </row>
    <row r="35" spans="2:19" x14ac:dyDescent="0.25">
      <c r="B35" s="81" t="s">
        <v>135</v>
      </c>
      <c r="C35" s="234">
        <v>822000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186</v>
      </c>
    </row>
    <row r="40" spans="2:19" ht="18.75" x14ac:dyDescent="0.25">
      <c r="B40" s="269" t="s">
        <v>222</v>
      </c>
      <c r="C40" s="270"/>
      <c r="D40" s="271"/>
      <c r="E40" s="66" t="s">
        <v>137</v>
      </c>
      <c r="F40" s="174">
        <f ca="1">IF(MONTH(TODAY())=8,DAY(TODAY())/DAY(EOMONTH(TODAY(),0)),IF(MONTH(TODAY())&gt;8,1,0))</f>
        <v>0.90322580645161288</v>
      </c>
      <c r="G40" s="192" t="s">
        <v>188</v>
      </c>
      <c r="H40" s="198">
        <v>1</v>
      </c>
      <c r="I40" s="201" t="s">
        <v>188</v>
      </c>
      <c r="J40" s="199">
        <v>1</v>
      </c>
      <c r="K40" s="194" t="s">
        <v>189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4399929946.7615166</v>
      </c>
      <c r="F42" s="176">
        <f>IFERROR(E42/D42,0)</f>
        <v>0.89291585362040704</v>
      </c>
      <c r="G42" s="184">
        <f>D42*$H$40-E42</f>
        <v>527667574.23848343</v>
      </c>
      <c r="H42" s="184">
        <f ca="1">IFERROR(G42/$C$3,0)</f>
        <v>527667574.23848343</v>
      </c>
      <c r="I42" s="204">
        <f>D42*$J$40-E42</f>
        <v>527667574.23848343</v>
      </c>
      <c r="J42" s="204">
        <f ca="1">IFERROR(I42/$C$3,0)</f>
        <v>527667574.23848343</v>
      </c>
      <c r="K42" s="185">
        <f>D42*$L$40-E42</f>
        <v>527667574.23848343</v>
      </c>
      <c r="L42" s="185">
        <f ca="1">IFERROR(K42/$C$3,0)</f>
        <v>527667574.23848343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1082834965.9094801</v>
      </c>
      <c r="F43" s="176">
        <f>IFERROR(E43/D43,0)</f>
        <v>0.83652580146772559</v>
      </c>
      <c r="G43" s="184">
        <f>D43*$H$40-E43</f>
        <v>211608031.55645943</v>
      </c>
      <c r="H43" s="184">
        <f ca="1">IFERROR(G43/$C$3,0)</f>
        <v>211608031.55645943</v>
      </c>
      <c r="I43" s="204">
        <f>D43*$J$40-E43</f>
        <v>211608031.55645943</v>
      </c>
      <c r="J43" s="204">
        <f ca="1">IFERROR(I43/$C$3,0)</f>
        <v>211608031.55645943</v>
      </c>
      <c r="K43" s="185">
        <f>D43*$L$40-E43</f>
        <v>211608031.55645943</v>
      </c>
      <c r="L43" s="185">
        <f ca="1">IFERROR(K43/$C$3,0)</f>
        <v>211608031.55645943</v>
      </c>
      <c r="S43" s="173">
        <v>0.85</v>
      </c>
    </row>
    <row r="44" spans="2:19" x14ac:dyDescent="0.25">
      <c r="B44" s="109" t="s">
        <v>209</v>
      </c>
      <c r="C44" s="41" t="s">
        <v>143</v>
      </c>
      <c r="D44" s="45">
        <f>SUM(TARGETS!AA5:AA18)</f>
        <v>3216211725</v>
      </c>
      <c r="E44" s="46">
        <f>J65</f>
        <v>2809040147.2471433</v>
      </c>
      <c r="F44" s="176">
        <f>IFERROR(E44/D44,0)</f>
        <v>0.87340025702043711</v>
      </c>
      <c r="G44" s="184">
        <f>IF(D44=0,0,D44*$H$40-E44)</f>
        <v>407171577.75285673</v>
      </c>
      <c r="H44" s="184">
        <f ca="1">IFERROR(G44/$C$3,0)</f>
        <v>407171577.75285673</v>
      </c>
      <c r="I44" s="204">
        <f>IF(D44=0,0,D44*$J$40-E44)</f>
        <v>407171577.75285673</v>
      </c>
      <c r="J44" s="204">
        <f ca="1">IFERROR(I44/$C$3,0)</f>
        <v>407171577.75285673</v>
      </c>
      <c r="K44" s="185">
        <f>IF(D44=0,0,D44*$L$40-E44)</f>
        <v>407171577.75285673</v>
      </c>
      <c r="L44" s="185">
        <f ca="1">IFERROR(K44/$C$3,0)</f>
        <v>407171577.75285673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SUM(C31,C32)+M21</f>
        <v>1452897088.2981582</v>
      </c>
      <c r="F45" s="176">
        <f>IFERROR(E45/D45,0)</f>
        <v>0.77863355929319755</v>
      </c>
      <c r="G45" s="184">
        <f>D45*$H$40-E45</f>
        <v>413060358.51035261</v>
      </c>
      <c r="H45" s="184">
        <f ca="1">IFERROR(G45/$C$3,0)</f>
        <v>413060358.51035261</v>
      </c>
      <c r="I45" s="204">
        <f>D45*$J$40-E45</f>
        <v>413060358.51035261</v>
      </c>
      <c r="J45" s="204">
        <f ca="1">IFERROR(I45/$C$3,0)</f>
        <v>413060358.51035261</v>
      </c>
      <c r="K45" s="185">
        <f>D45*$L$40-E45</f>
        <v>413060358.51035261</v>
      </c>
      <c r="L45" s="185">
        <f ca="1">IFERROR(K45/$C$3,0)</f>
        <v>413060358.51035261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9744702148.2162991</v>
      </c>
      <c r="F46" s="177">
        <f>IFERROR(E46/D46,0)</f>
        <v>0.86204187777940211</v>
      </c>
      <c r="G46" s="181">
        <f>SUM(G42:G45)</f>
        <v>1559507542.0581522</v>
      </c>
      <c r="H46" s="181">
        <f ca="1">IFERROR(G46/$C$3,0)</f>
        <v>1559507542.0581522</v>
      </c>
      <c r="I46" s="186">
        <f>SUM(I42:I45)</f>
        <v>1559507542.0581522</v>
      </c>
      <c r="J46" s="186">
        <f ca="1">IFERROR(I46/$C$3,0)</f>
        <v>1559507542.0581522</v>
      </c>
      <c r="K46" s="186">
        <f>SUM(K42:K45)</f>
        <v>1559507542.0581522</v>
      </c>
      <c r="L46" s="186">
        <f ca="1">IFERROR(K46/$C$3,0)</f>
        <v>1559507542.0581522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214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100%</v>
      </c>
      <c r="N49" s="263" t="str">
        <f>"PER HARI"&amp;CHAR(10)&amp;TEXT($H$40,"0%")</f>
        <v>PER HARI
100%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217</v>
      </c>
      <c r="U50" s="172" t="s">
        <v>218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 cm="1">
        <f t="array" ref="H51">SUM(SUMIF($B$10:$B$26,$T51:$U51,C$10:C$26))</f>
        <v>282481262.24235302</v>
      </c>
      <c r="I51" s="114" cm="1">
        <f t="array" ref="I51">SUM(SUMIF($B$10:$B$26,$T51:$U51,D$10:D$26))</f>
        <v>52185533.949468002</v>
      </c>
      <c r="J51" s="114" cm="1">
        <f t="array" ref="J51">SUM(SUMIF($B$10:$B$26,$T51:$U51,E$10:E$26))</f>
        <v>146721532.039738</v>
      </c>
      <c r="K51" s="114">
        <f t="shared" ref="K51:K64" si="1">SUM(H51:J51)</f>
        <v>481388328.23155904</v>
      </c>
      <c r="L51" s="187">
        <f t="shared" ref="L51:L65" si="2">IFERROR(K51/G51,0)</f>
        <v>0.85069754183266721</v>
      </c>
      <c r="M51" s="184">
        <f t="shared" ref="M51:M64" si="3">G51*$H$40-K51</f>
        <v>84486503.373689055</v>
      </c>
      <c r="N51" s="184">
        <f t="shared" ref="N51:N65" ca="1" si="4">IFERROR(M51/$C$3,0)</f>
        <v>84486503.373689055</v>
      </c>
      <c r="O51" s="180">
        <f t="shared" ref="O51:O64" si="5">G51*$J$40-K51</f>
        <v>84486503.373689055</v>
      </c>
      <c r="P51" s="180">
        <f t="shared" ref="P51:P65" ca="1" si="6">IFERROR(O51/$C$3,0)</f>
        <v>84486503.373689055</v>
      </c>
      <c r="Q51" s="185">
        <f t="shared" ref="Q51:Q64" si="7">G51*$L$40-K51</f>
        <v>84486503.373689055</v>
      </c>
      <c r="R51" s="185">
        <f t="shared" ref="R51:R65" ca="1" si="8">IFERROR(Q51/$C$3,0)</f>
        <v>84486503.373689055</v>
      </c>
      <c r="T51" t="s">
        <v>124</v>
      </c>
      <c r="U51" t="s">
        <v>219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 cm="1">
        <f t="array" ref="H52">SUM(SUMIF($B$10:$B$26,$T52:$U52,C$10:C$26))</f>
        <v>222147431.20850602</v>
      </c>
      <c r="I52" s="114" cm="1">
        <f t="array" ref="I52">SUM(SUMIF($B$10:$B$26,$T52:$U52,D$10:D$26))</f>
        <v>87152114.936626002</v>
      </c>
      <c r="J52" s="114" cm="1">
        <f t="array" ref="J52">SUM(SUMIF($B$10:$B$26,$T52:$U52,E$10:E$26))</f>
        <v>400382129.768857</v>
      </c>
      <c r="K52" s="114">
        <f t="shared" si="1"/>
        <v>709681675.91398907</v>
      </c>
      <c r="L52" s="187">
        <f t="shared" si="2"/>
        <v>0.84785570896212414</v>
      </c>
      <c r="M52" s="184">
        <f t="shared" si="3"/>
        <v>127349517.49829984</v>
      </c>
      <c r="N52" s="184">
        <f t="shared" ca="1" si="4"/>
        <v>127349517.49829984</v>
      </c>
      <c r="O52" s="180">
        <f t="shared" si="5"/>
        <v>127349517.49829984</v>
      </c>
      <c r="P52" s="180">
        <f t="shared" ca="1" si="6"/>
        <v>127349517.49829984</v>
      </c>
      <c r="Q52" s="185">
        <f t="shared" si="7"/>
        <v>127349517.49829984</v>
      </c>
      <c r="R52" s="185">
        <f t="shared" ca="1" si="8"/>
        <v>127349517.49829984</v>
      </c>
      <c r="T52" t="s">
        <v>70</v>
      </c>
      <c r="U52" t="s">
        <v>114</v>
      </c>
    </row>
    <row r="53" spans="2:21" x14ac:dyDescent="0.25">
      <c r="B53" s="136" t="s">
        <v>173</v>
      </c>
      <c r="C53" s="137" t="s">
        <v>174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 cm="1">
        <f t="array" ref="H53">SUM(SUMIF($B$10:$B$26,$T53:$U53,C$10:C$26))</f>
        <v>186567960.96000001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1"/>
        <v>186567960.96000001</v>
      </c>
      <c r="L53" s="187">
        <f t="shared" si="2"/>
        <v>0.70951039334561194</v>
      </c>
      <c r="M53" s="184">
        <f t="shared" si="3"/>
        <v>76385144.039999992</v>
      </c>
      <c r="N53" s="184">
        <f t="shared" ca="1" si="4"/>
        <v>76385144.039999992</v>
      </c>
      <c r="O53" s="180">
        <f t="shared" si="5"/>
        <v>76385144.039999992</v>
      </c>
      <c r="P53" s="180">
        <f t="shared" ca="1" si="6"/>
        <v>76385144.039999992</v>
      </c>
      <c r="Q53" s="185">
        <f t="shared" si="7"/>
        <v>76385144.039999992</v>
      </c>
      <c r="R53" s="185">
        <f t="shared" ca="1" si="8"/>
        <v>76385144.039999992</v>
      </c>
      <c r="T53" t="s">
        <v>170</v>
      </c>
      <c r="U53" t="s">
        <v>219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 cm="1">
        <f t="array" ref="H54">SUM(SUMIF($B$10:$B$26,$T54:$U54,C$10:C$26))</f>
        <v>769093591.18776405</v>
      </c>
      <c r="I54" s="114" cm="1">
        <f t="array" ref="I54">SUM(SUMIF($B$10:$B$26,$T54:$U54,D$10:D$26))</f>
        <v>28388679.159852002</v>
      </c>
      <c r="J54" s="114" cm="1">
        <f t="array" ref="J54">SUM(SUMIF($B$10:$B$26,$T54:$U54,E$10:E$26))</f>
        <v>178391225.47001001</v>
      </c>
      <c r="K54" s="114">
        <f t="shared" si="1"/>
        <v>975873495.81762612</v>
      </c>
      <c r="L54" s="187">
        <f t="shared" si="2"/>
        <v>1.25404739013497</v>
      </c>
      <c r="M54" s="184">
        <f t="shared" si="3"/>
        <v>-197694374.76176608</v>
      </c>
      <c r="N54" s="184">
        <f t="shared" ca="1" si="4"/>
        <v>-197694374.76176608</v>
      </c>
      <c r="O54" s="180">
        <f t="shared" si="5"/>
        <v>-197694374.76176608</v>
      </c>
      <c r="P54" s="180">
        <f t="shared" ca="1" si="6"/>
        <v>-197694374.76176608</v>
      </c>
      <c r="Q54" s="185">
        <f t="shared" si="7"/>
        <v>-197694374.76176608</v>
      </c>
      <c r="R54" s="185">
        <f t="shared" ca="1" si="8"/>
        <v>-197694374.76176608</v>
      </c>
      <c r="T54" t="s">
        <v>115</v>
      </c>
      <c r="U54" t="s">
        <v>219</v>
      </c>
    </row>
    <row r="55" spans="2:21" x14ac:dyDescent="0.25">
      <c r="B55" s="50" t="s">
        <v>73</v>
      </c>
      <c r="C55" s="55" t="s">
        <v>191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>C12</f>
        <v>3123423.4199979999</v>
      </c>
      <c r="I55" s="114">
        <f>D12</f>
        <v>30403216.600000001</v>
      </c>
      <c r="J55" s="114">
        <f>E12</f>
        <v>317144145.67874002</v>
      </c>
      <c r="K55" s="114">
        <f t="shared" si="1"/>
        <v>350670785.69873804</v>
      </c>
      <c r="L55" s="187">
        <f t="shared" si="2"/>
        <v>0.6365332358143998</v>
      </c>
      <c r="M55" s="184">
        <f t="shared" si="3"/>
        <v>200236481.93211752</v>
      </c>
      <c r="N55" s="184">
        <f t="shared" ca="1" si="4"/>
        <v>200236481.93211752</v>
      </c>
      <c r="O55" s="180">
        <f t="shared" si="5"/>
        <v>200236481.93211752</v>
      </c>
      <c r="P55" s="180">
        <f t="shared" ca="1" si="6"/>
        <v>200236481.93211752</v>
      </c>
      <c r="Q55" s="185">
        <f t="shared" si="7"/>
        <v>200236481.93211752</v>
      </c>
      <c r="R55" s="185">
        <f t="shared" ca="1" si="8"/>
        <v>200236481.93211752</v>
      </c>
      <c r="T55" t="s">
        <v>220</v>
      </c>
      <c r="U55" t="s">
        <v>219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 cm="1">
        <f t="array" ref="H56">SUM(SUMIF($B$10:$B$26,$T56:$U56,C$10:C$26))</f>
        <v>143881598.971928</v>
      </c>
      <c r="I56" s="114" cm="1">
        <f t="array" ref="I56">SUM(SUMIF($B$10:$B$26,$T56:$U56,D$10:D$26))</f>
        <v>105369092.55757301</v>
      </c>
      <c r="J56" s="114" cm="1">
        <f t="array" ref="J56">SUM(SUMIF($B$10:$B$26,$T56:$U56,E$10:E$26))</f>
        <v>173853826.30960199</v>
      </c>
      <c r="K56" s="114">
        <f t="shared" si="1"/>
        <v>423104517.83910298</v>
      </c>
      <c r="L56" s="187">
        <f t="shared" si="2"/>
        <v>0.67539674056051202</v>
      </c>
      <c r="M56" s="184">
        <f t="shared" si="3"/>
        <v>203348783.50192571</v>
      </c>
      <c r="N56" s="184">
        <f t="shared" ca="1" si="4"/>
        <v>203348783.50192571</v>
      </c>
      <c r="O56" s="180">
        <f t="shared" si="5"/>
        <v>203348783.50192571</v>
      </c>
      <c r="P56" s="180">
        <f t="shared" ca="1" si="6"/>
        <v>203348783.50192571</v>
      </c>
      <c r="Q56" s="185">
        <f t="shared" si="7"/>
        <v>203348783.50192571</v>
      </c>
      <c r="R56" s="185">
        <f t="shared" ca="1" si="8"/>
        <v>203348783.50192571</v>
      </c>
      <c r="T56" t="s">
        <v>184</v>
      </c>
      <c r="U56" t="s">
        <v>219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 cm="1">
        <f t="array" ref="H57">SUM(SUMIF($B$10:$B$26,$T57:$U57,C$10:C$26))</f>
        <v>672896171.15605295</v>
      </c>
      <c r="I57" s="114" cm="1">
        <f t="array" ref="I57">SUM(SUMIF($B$10:$B$26,$T57:$U57,D$10:D$26))</f>
        <v>81995392.819728002</v>
      </c>
      <c r="J57" s="114" cm="1">
        <f t="array" ref="J57">SUM(SUMIF($B$10:$B$26,$T57:$U57,E$10:E$26))</f>
        <v>343958559.29945201</v>
      </c>
      <c r="K57" s="114">
        <f t="shared" si="1"/>
        <v>1098850123.275233</v>
      </c>
      <c r="L57" s="187">
        <f t="shared" si="2"/>
        <v>0.94672032957849184</v>
      </c>
      <c r="M57" s="184">
        <f t="shared" si="3"/>
        <v>61841254.044692039</v>
      </c>
      <c r="N57" s="184">
        <f t="shared" ca="1" si="4"/>
        <v>61841254.044692039</v>
      </c>
      <c r="O57" s="180">
        <f t="shared" si="5"/>
        <v>61841254.044692039</v>
      </c>
      <c r="P57" s="180">
        <f t="shared" ca="1" si="6"/>
        <v>61841254.044692039</v>
      </c>
      <c r="Q57" s="185">
        <f t="shared" si="7"/>
        <v>61841254.044692039</v>
      </c>
      <c r="R57" s="185">
        <f t="shared" ca="1" si="8"/>
        <v>61841254.044692039</v>
      </c>
      <c r="T57" t="s">
        <v>120</v>
      </c>
      <c r="U57" t="s">
        <v>219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 cm="1">
        <f t="array" ref="H58">SUM(SUMIF($B$10:$B$26,$T58:$U58,C$10:C$26))</f>
        <v>315327015.43198401</v>
      </c>
      <c r="I58" s="114" cm="1">
        <f t="array" ref="I58">SUM(SUMIF($B$10:$B$26,$T58:$U58,D$10:D$26))</f>
        <v>87869748.189792007</v>
      </c>
      <c r="J58" s="114" cm="1">
        <f t="array" ref="J58">SUM(SUMIF($B$10:$B$26,$T58:$U58,E$10:E$26))</f>
        <v>216956895.123656</v>
      </c>
      <c r="K58" s="114">
        <f t="shared" si="1"/>
        <v>620153658.74543202</v>
      </c>
      <c r="L58" s="187">
        <f t="shared" si="2"/>
        <v>0.93103837485345997</v>
      </c>
      <c r="M58" s="184">
        <f t="shared" si="3"/>
        <v>45934523.541405082</v>
      </c>
      <c r="N58" s="184">
        <f t="shared" ca="1" si="4"/>
        <v>45934523.541405082</v>
      </c>
      <c r="O58" s="180">
        <f t="shared" si="5"/>
        <v>45934523.541405082</v>
      </c>
      <c r="P58" s="180">
        <f t="shared" ca="1" si="6"/>
        <v>45934523.541405082</v>
      </c>
      <c r="Q58" s="185">
        <f t="shared" si="7"/>
        <v>45934523.541405082</v>
      </c>
      <c r="R58" s="185">
        <f t="shared" ca="1" si="8"/>
        <v>45934523.541405082</v>
      </c>
      <c r="T58" t="s">
        <v>125</v>
      </c>
      <c r="U58" t="s">
        <v>219</v>
      </c>
    </row>
    <row r="59" spans="2:21" x14ac:dyDescent="0.25">
      <c r="B59" s="136" t="s">
        <v>173</v>
      </c>
      <c r="C59" s="137" t="s">
        <v>175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 cm="1">
        <f t="array" ref="H59">SUM(SUMIF($B$10:$B$26,$T59:$U59,C$10:C$26))</f>
        <v>396542452.69999999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1"/>
        <v>396542452.69999999</v>
      </c>
      <c r="L59" s="187">
        <f t="shared" si="2"/>
        <v>0.89342207209211388</v>
      </c>
      <c r="M59" s="184">
        <f t="shared" si="3"/>
        <v>47304263.300000012</v>
      </c>
      <c r="N59" s="184">
        <f t="shared" ca="1" si="4"/>
        <v>47304263.300000012</v>
      </c>
      <c r="O59" s="180">
        <f t="shared" si="5"/>
        <v>47304263.300000012</v>
      </c>
      <c r="P59" s="180">
        <f t="shared" ca="1" si="6"/>
        <v>47304263.300000012</v>
      </c>
      <c r="Q59" s="185">
        <f t="shared" si="7"/>
        <v>47304263.300000012</v>
      </c>
      <c r="R59" s="185">
        <f t="shared" ca="1" si="8"/>
        <v>47304263.300000012</v>
      </c>
      <c r="T59" t="s">
        <v>171</v>
      </c>
      <c r="U59" t="s">
        <v>219</v>
      </c>
    </row>
    <row r="60" spans="2:21" x14ac:dyDescent="0.25">
      <c r="B60" s="53" t="s">
        <v>80</v>
      </c>
      <c r="C60" s="56" t="s">
        <v>191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>C11</f>
        <v>358406837.42937499</v>
      </c>
      <c r="I60" s="114">
        <f>D11</f>
        <v>80741214.985740006</v>
      </c>
      <c r="J60" s="114">
        <f>E11</f>
        <v>122700164.769355</v>
      </c>
      <c r="K60" s="114">
        <f t="shared" si="1"/>
        <v>561848217.18446994</v>
      </c>
      <c r="L60" s="187">
        <f t="shared" si="2"/>
        <v>0.89084190469881219</v>
      </c>
      <c r="M60" s="184">
        <f t="shared" si="3"/>
        <v>68845303.428962708</v>
      </c>
      <c r="N60" s="184">
        <f t="shared" ca="1" si="4"/>
        <v>68845303.428962708</v>
      </c>
      <c r="O60" s="180">
        <f t="shared" si="5"/>
        <v>68845303.428962708</v>
      </c>
      <c r="P60" s="180">
        <f t="shared" ca="1" si="6"/>
        <v>68845303.428962708</v>
      </c>
      <c r="Q60" s="185">
        <f t="shared" si="7"/>
        <v>68845303.428962708</v>
      </c>
      <c r="R60" s="185">
        <f t="shared" ca="1" si="8"/>
        <v>68845303.428962708</v>
      </c>
      <c r="T60" t="s">
        <v>221</v>
      </c>
      <c r="U60" t="s">
        <v>219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 cm="1">
        <f t="array" ref="H61">SUM(SUMIF($B$10:$B$26,$T61:$U61,C$10:C$26))</f>
        <v>421828384.19394398</v>
      </c>
      <c r="I61" s="114" cm="1">
        <f t="array" ref="I61">SUM(SUMIF($B$10:$B$26,$T61:$U61,D$10:D$26))</f>
        <v>59701234.240413003</v>
      </c>
      <c r="J61" s="114" cm="1">
        <f t="array" ref="J61">SUM(SUMIF($B$10:$B$26,$T61:$U61,E$10:E$26))</f>
        <v>217370930.69993499</v>
      </c>
      <c r="K61" s="114">
        <f t="shared" si="1"/>
        <v>698900549.13429201</v>
      </c>
      <c r="L61" s="187">
        <f t="shared" si="2"/>
        <v>0.90990814381131824</v>
      </c>
      <c r="M61" s="184">
        <f t="shared" si="3"/>
        <v>69199565.023185492</v>
      </c>
      <c r="N61" s="184">
        <f t="shared" ca="1" si="4"/>
        <v>69199565.023185492</v>
      </c>
      <c r="O61" s="180">
        <f t="shared" si="5"/>
        <v>69199565.023185492</v>
      </c>
      <c r="P61" s="180">
        <f t="shared" ca="1" si="6"/>
        <v>69199565.023185492</v>
      </c>
      <c r="Q61" s="185">
        <f t="shared" si="7"/>
        <v>69199565.023185492</v>
      </c>
      <c r="R61" s="185">
        <f t="shared" ca="1" si="8"/>
        <v>69199565.023185492</v>
      </c>
      <c r="T61" t="s">
        <v>126</v>
      </c>
      <c r="U61" t="s">
        <v>219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 cm="1">
        <f t="array" ref="H62">SUM(SUMIF($B$10:$B$26,$T62:$U62,C$10:C$26))</f>
        <v>154694290.09064901</v>
      </c>
      <c r="I62" s="114" cm="1">
        <f t="array" ref="I62">SUM(SUMIF($B$10:$B$26,$T62:$U62,D$10:D$26))</f>
        <v>36267010.544587001</v>
      </c>
      <c r="J62" s="114" cm="1">
        <f t="array" ref="J62">SUM(SUMIF($B$10:$B$26,$T62:$U62,E$10:E$26))</f>
        <v>214145320.63250801</v>
      </c>
      <c r="K62" s="114">
        <f t="shared" si="1"/>
        <v>405106621.26774406</v>
      </c>
      <c r="L62" s="187">
        <f t="shared" si="2"/>
        <v>0.76647718054257119</v>
      </c>
      <c r="M62" s="184">
        <f t="shared" si="3"/>
        <v>123423948.91958833</v>
      </c>
      <c r="N62" s="184">
        <f t="shared" ca="1" si="4"/>
        <v>123423948.91958833</v>
      </c>
      <c r="O62" s="180">
        <f t="shared" si="5"/>
        <v>123423948.91958833</v>
      </c>
      <c r="P62" s="180">
        <f t="shared" ca="1" si="6"/>
        <v>123423948.91958833</v>
      </c>
      <c r="Q62" s="185">
        <f t="shared" si="7"/>
        <v>123423948.91958833</v>
      </c>
      <c r="R62" s="185">
        <f t="shared" ca="1" si="8"/>
        <v>123423948.91958833</v>
      </c>
      <c r="T62" t="s">
        <v>112</v>
      </c>
      <c r="U62" t="s">
        <v>219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 cm="1">
        <f t="array" ref="H63">SUM(SUMIF($B$10:$B$26,$T63:$U63,C$10:C$26))</f>
        <v>339823021.38530099</v>
      </c>
      <c r="I63" s="114" cm="1">
        <f t="array" ref="I63">SUM(SUMIF($B$10:$B$26,$T63:$U63,D$10:D$26))</f>
        <v>304738554.78604698</v>
      </c>
      <c r="J63" s="114" cm="1">
        <f t="array" ref="J63">SUM(SUMIF($B$10:$B$26,$T63:$U63,E$10:E$26))</f>
        <v>320043402.94672</v>
      </c>
      <c r="K63" s="114">
        <f t="shared" si="1"/>
        <v>964604979.11806798</v>
      </c>
      <c r="L63" s="187">
        <f t="shared" si="2"/>
        <v>0.93607227084836753</v>
      </c>
      <c r="M63" s="184">
        <f t="shared" si="3"/>
        <v>65876330.026834965</v>
      </c>
      <c r="N63" s="184">
        <f t="shared" ca="1" si="4"/>
        <v>65876330.026834965</v>
      </c>
      <c r="O63" s="180">
        <f t="shared" si="5"/>
        <v>65876330.026834965</v>
      </c>
      <c r="P63" s="180">
        <f t="shared" ca="1" si="6"/>
        <v>65876330.026834965</v>
      </c>
      <c r="Q63" s="185">
        <f t="shared" si="7"/>
        <v>65876330.026834965</v>
      </c>
      <c r="R63" s="185">
        <f t="shared" ca="1" si="8"/>
        <v>65876330.026834965</v>
      </c>
      <c r="T63" t="s">
        <v>127</v>
      </c>
      <c r="U63" t="s">
        <v>219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 cm="1">
        <f t="array" ref="H64">SUM(SUMIF($B$10:$B$26,$T64:$U64,C$10:C$26))</f>
        <v>133116506.383661</v>
      </c>
      <c r="I64" s="114" cm="1">
        <f t="array" ref="I64">SUM(SUMIF($B$10:$B$26,$T64:$U64,D$10:D$26))</f>
        <v>128023173.139654</v>
      </c>
      <c r="J64" s="114" cm="1">
        <f t="array" ref="J64">SUM(SUMIF($B$10:$B$26,$T64:$U64,E$10:E$26))</f>
        <v>157372014.50857002</v>
      </c>
      <c r="K64" s="114">
        <f t="shared" si="1"/>
        <v>418511694.03188503</v>
      </c>
      <c r="L64" s="187">
        <f t="shared" si="2"/>
        <v>0.71124457371261796</v>
      </c>
      <c r="M64" s="184">
        <f t="shared" si="3"/>
        <v>169909939.67886555</v>
      </c>
      <c r="N64" s="184">
        <f t="shared" ca="1" si="4"/>
        <v>169909939.67886555</v>
      </c>
      <c r="O64" s="180">
        <f t="shared" si="5"/>
        <v>169909939.67886555</v>
      </c>
      <c r="P64" s="180">
        <f t="shared" ca="1" si="6"/>
        <v>169909939.67886555</v>
      </c>
      <c r="Q64" s="185">
        <f t="shared" si="7"/>
        <v>169909939.67886555</v>
      </c>
      <c r="R64" s="185">
        <f t="shared" ca="1" si="8"/>
        <v>169909939.67886555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9">SUM(D51:D64)</f>
        <v>4927597521</v>
      </c>
      <c r="E65" s="134">
        <f t="shared" si="9"/>
        <v>1294442997.4659395</v>
      </c>
      <c r="F65" s="134">
        <f t="shared" si="9"/>
        <v>3216211725</v>
      </c>
      <c r="G65" s="134">
        <f t="shared" si="9"/>
        <v>9438252243.4659405</v>
      </c>
      <c r="H65" s="135">
        <f t="shared" si="9"/>
        <v>4399929946.7615166</v>
      </c>
      <c r="I65" s="135">
        <f t="shared" si="9"/>
        <v>1082834965.9094801</v>
      </c>
      <c r="J65" s="135">
        <f t="shared" si="9"/>
        <v>2809040147.2471433</v>
      </c>
      <c r="K65" s="135">
        <f t="shared" si="9"/>
        <v>8291805059.9181395</v>
      </c>
      <c r="L65" s="189">
        <f t="shared" si="2"/>
        <v>0.8785318347110842</v>
      </c>
      <c r="M65" s="181">
        <f>SUM(M51:M64)</f>
        <v>1146447183.5478001</v>
      </c>
      <c r="N65" s="181">
        <f t="shared" ca="1" si="4"/>
        <v>1146447183.5478001</v>
      </c>
      <c r="O65" s="181">
        <f>SUM(O51:O64)</f>
        <v>1146447183.5478001</v>
      </c>
      <c r="P65" s="181">
        <f t="shared" ca="1" si="6"/>
        <v>1146447183.5478001</v>
      </c>
      <c r="Q65" s="186">
        <f>SUM(Q51:Q64)</f>
        <v>1146447183.5478001</v>
      </c>
      <c r="R65" s="186">
        <f t="shared" ca="1" si="8"/>
        <v>1146447183.5478001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187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IFERROR(C31,0)</f>
        <v>260197932.058994</v>
      </c>
      <c r="F69" s="187">
        <f t="shared" ref="F69:F74" si="10">IFERROR(E69/D69,0)</f>
        <v>0.87285020024023652</v>
      </c>
      <c r="G69" s="184">
        <f>D69*$H$40-E69</f>
        <v>37903542.841715336</v>
      </c>
      <c r="H69" s="184">
        <f t="shared" ref="H69:H74" ca="1" si="11">IFERROR(G69/$C$3,0)</f>
        <v>37903542.841715336</v>
      </c>
      <c r="I69" s="204">
        <f>D69*$J$40-E69</f>
        <v>37903542.841715336</v>
      </c>
      <c r="J69" s="204">
        <f t="shared" ref="J69:J74" ca="1" si="12">IFERROR(I69/$C$3,0)</f>
        <v>37903542.841715336</v>
      </c>
      <c r="K69" s="185">
        <f>D69*$L$40-E69</f>
        <v>37903542.841715336</v>
      </c>
      <c r="L69" s="185">
        <f t="shared" ref="L69:L74" ca="1" si="13">IFERROR(K69/$C$3,0)</f>
        <v>37903542.841715336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IFERROR(C32,0)</f>
        <v>457286641.51147097</v>
      </c>
      <c r="F70" s="187">
        <f t="shared" si="10"/>
        <v>1.0359858899500975</v>
      </c>
      <c r="G70" s="184">
        <f>D70*$H$40-E70</f>
        <v>-15884257.610761642</v>
      </c>
      <c r="H70" s="184">
        <f t="shared" ca="1" si="11"/>
        <v>-15884257.610761642</v>
      </c>
      <c r="I70" s="204">
        <f>D70*$J$40-E70</f>
        <v>-15884257.610761642</v>
      </c>
      <c r="J70" s="204">
        <f t="shared" ca="1" si="12"/>
        <v>-15884257.610761642</v>
      </c>
      <c r="K70" s="185">
        <f>D70*$L$40-E70</f>
        <v>-15884257.610761642</v>
      </c>
      <c r="L70" s="185">
        <f t="shared" ca="1" si="13"/>
        <v>-15884257.610761642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M21+M7</f>
        <v>735412514.72769308</v>
      </c>
      <c r="F71" s="187">
        <f t="shared" si="10"/>
        <v>0.65285647145815906</v>
      </c>
      <c r="G71" s="184">
        <f>D71*$H$40-E71</f>
        <v>391041073.27939916</v>
      </c>
      <c r="H71" s="184">
        <f t="shared" ca="1" si="11"/>
        <v>391041073.27939916</v>
      </c>
      <c r="I71" s="204">
        <f>D71*$J$40-E71</f>
        <v>391041073.27939916</v>
      </c>
      <c r="J71" s="204">
        <f t="shared" ca="1" si="12"/>
        <v>391041073.27939916</v>
      </c>
      <c r="K71" s="185">
        <f>D71*$L$40-E71</f>
        <v>391041073.27939916</v>
      </c>
      <c r="L71" s="185">
        <f t="shared" ca="1" si="13"/>
        <v>391041073.27939916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0"/>
        <v>0</v>
      </c>
      <c r="G72" s="184">
        <f>D72*$H$40-E72</f>
        <v>0</v>
      </c>
      <c r="H72" s="184">
        <f t="shared" ca="1" si="11"/>
        <v>0</v>
      </c>
      <c r="I72" s="204">
        <f>D72*$J$40-E72</f>
        <v>0</v>
      </c>
      <c r="J72" s="204">
        <f t="shared" ca="1" si="12"/>
        <v>0</v>
      </c>
      <c r="K72" s="185">
        <f>D72*$L$40-E72</f>
        <v>0</v>
      </c>
      <c r="L72" s="185">
        <f t="shared" ca="1" si="13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0"/>
        <v>0</v>
      </c>
      <c r="G73" s="184">
        <f>D73*$H$40-E73</f>
        <v>0</v>
      </c>
      <c r="H73" s="184">
        <f t="shared" ca="1" si="11"/>
        <v>0</v>
      </c>
      <c r="I73" s="204">
        <f>D73*$J$40-E73</f>
        <v>0</v>
      </c>
      <c r="J73" s="204">
        <f t="shared" ca="1" si="12"/>
        <v>0</v>
      </c>
      <c r="K73" s="185">
        <f>D73*$L$40-E73</f>
        <v>0</v>
      </c>
      <c r="L73" s="185">
        <f t="shared" ca="1" si="13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1452897088.2981582</v>
      </c>
      <c r="F74" s="177">
        <f t="shared" si="10"/>
        <v>0.77863355929319755</v>
      </c>
      <c r="G74" s="181">
        <f>SUM(G69:G73)</f>
        <v>413060358.51035285</v>
      </c>
      <c r="H74" s="181">
        <f t="shared" ca="1" si="11"/>
        <v>413060358.51035285</v>
      </c>
      <c r="I74" s="186">
        <f>SUM(I69:I73)</f>
        <v>413060358.51035285</v>
      </c>
      <c r="J74" s="186">
        <f t="shared" ca="1" si="12"/>
        <v>413060358.51035285</v>
      </c>
      <c r="K74" s="186">
        <f>SUM(K69:K73)</f>
        <v>413060358.51035285</v>
      </c>
      <c r="L74" s="186">
        <f t="shared" ca="1" si="13"/>
        <v>413060358.51035285</v>
      </c>
    </row>
    <row r="77" spans="2:21" ht="20.100000000000001" customHeight="1" x14ac:dyDescent="0.25">
      <c r="B77" s="249" t="s">
        <v>172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169</v>
      </c>
      <c r="T79" s="172" t="s">
        <v>217</v>
      </c>
      <c r="U79" s="172" t="s">
        <v>218</v>
      </c>
    </row>
    <row r="80" spans="2:21" x14ac:dyDescent="0.25">
      <c r="B80" s="50" t="s">
        <v>67</v>
      </c>
      <c r="C80" s="55" t="s">
        <v>68</v>
      </c>
      <c r="D80" s="131" cm="1">
        <f t="array" ref="D80">SUM(SUMIF($B$10:$B$26,$T80:$U80,$F$10:$F$26))</f>
        <v>493033931.35983503</v>
      </c>
      <c r="T80" t="str">
        <f t="shared" ref="T80:U93" si="14">T51</f>
        <v>Picrom Stalyon</v>
      </c>
      <c r="U80" t="str">
        <f t="shared" si="14"/>
        <v>n/a</v>
      </c>
    </row>
    <row r="81" spans="2:21" x14ac:dyDescent="0.25">
      <c r="B81" s="53" t="s">
        <v>69</v>
      </c>
      <c r="C81" s="56" t="s">
        <v>70</v>
      </c>
      <c r="D81" s="132" cm="1">
        <f t="array" ref="D81">SUM(SUMIF($B$10:$B$26,$T81:$U81,$F$10:$F$26))</f>
        <v>142051891.93000001</v>
      </c>
      <c r="T81" t="str">
        <f t="shared" si="14"/>
        <v>I MADE LUIH</v>
      </c>
      <c r="U81" t="str">
        <f t="shared" si="14"/>
        <v>I Made Luih (Sanur)</v>
      </c>
    </row>
    <row r="82" spans="2:21" x14ac:dyDescent="0.25">
      <c r="B82" s="53" t="s">
        <v>173</v>
      </c>
      <c r="C82" s="56" t="s">
        <v>174</v>
      </c>
      <c r="D82" s="132" cm="1">
        <f t="array" ref="D82">SUM(SUMIF($B$10:$B$26,$T82:$U82,$F$10:$F$26))</f>
        <v>13081080.720000001</v>
      </c>
      <c r="T82" t="str">
        <f t="shared" si="14"/>
        <v>NN Made Luih</v>
      </c>
      <c r="U82" t="str">
        <f t="shared" si="14"/>
        <v>n/a</v>
      </c>
    </row>
    <row r="83" spans="2:21" x14ac:dyDescent="0.25">
      <c r="B83" s="50" t="s">
        <v>71</v>
      </c>
      <c r="C83" s="55" t="s">
        <v>72</v>
      </c>
      <c r="D83" s="131" cm="1">
        <f t="array" ref="D83">SUM(SUMIF($B$10:$B$26,$T83:$U83,$F$10:$F$26))</f>
        <v>415082617.73978102</v>
      </c>
      <c r="T83" t="str">
        <f t="shared" si="14"/>
        <v>Juni</v>
      </c>
      <c r="U83" t="str">
        <f t="shared" si="14"/>
        <v>n/a</v>
      </c>
    </row>
    <row r="84" spans="2:21" x14ac:dyDescent="0.25">
      <c r="B84" s="53" t="s">
        <v>73</v>
      </c>
      <c r="C84" s="56" t="s">
        <v>191</v>
      </c>
      <c r="D84" s="132">
        <f>F12</f>
        <v>0</v>
      </c>
      <c r="T84" t="str">
        <f t="shared" si="14"/>
        <v>→ baris 12 (manual)</v>
      </c>
      <c r="U84" t="str">
        <f t="shared" si="14"/>
        <v>n/a</v>
      </c>
    </row>
    <row r="85" spans="2:21" x14ac:dyDescent="0.25">
      <c r="B85" s="50" t="s">
        <v>75</v>
      </c>
      <c r="C85" s="55" t="s">
        <v>99</v>
      </c>
      <c r="D85" s="131" cm="1">
        <f t="array" ref="D85">SUM(SUMIF($B$10:$B$26,$T85:$U85,$F$10:$F$26))</f>
        <v>55810729.240000002</v>
      </c>
      <c r="T85" t="str">
        <f t="shared" si="14"/>
        <v>Vacant Hotel Kuta Seminyak</v>
      </c>
      <c r="U85" t="str">
        <f t="shared" si="14"/>
        <v>n/a</v>
      </c>
    </row>
    <row r="86" spans="2:21" x14ac:dyDescent="0.25">
      <c r="B86" s="53" t="s">
        <v>76</v>
      </c>
      <c r="C86" s="56" t="s">
        <v>77</v>
      </c>
      <c r="D86" s="132" cm="1">
        <f t="array" ref="D86">SUM(SUMIF($B$10:$B$26,$T86:$U86,$F$10:$F$26))</f>
        <v>1521201448.0399261</v>
      </c>
      <c r="T86" t="str">
        <f t="shared" si="14"/>
        <v>Monica</v>
      </c>
      <c r="U86" t="str">
        <f t="shared" si="14"/>
        <v>n/a</v>
      </c>
    </row>
    <row r="87" spans="2:21" x14ac:dyDescent="0.25">
      <c r="B87" s="50" t="s">
        <v>78</v>
      </c>
      <c r="C87" s="55" t="s">
        <v>79</v>
      </c>
      <c r="D87" s="131" cm="1">
        <f t="array" ref="D87">SUM(SUMIF($B$10:$B$26,$T87:$U87,$F$10:$F$26))</f>
        <v>387932966.869304</v>
      </c>
      <c r="T87" t="str">
        <f t="shared" si="14"/>
        <v>Sujana</v>
      </c>
      <c r="U87" t="str">
        <f t="shared" si="14"/>
        <v>n/a</v>
      </c>
    </row>
    <row r="88" spans="2:21" x14ac:dyDescent="0.25">
      <c r="B88" s="53" t="s">
        <v>173</v>
      </c>
      <c r="C88" s="56" t="s">
        <v>175</v>
      </c>
      <c r="D88" s="132" cm="1">
        <f t="array" ref="D88">SUM(SUMIF($B$10:$B$26,$T88:$U88,$F$10:$F$26))</f>
        <v>16384323.880000001</v>
      </c>
      <c r="T88" t="str">
        <f t="shared" si="14"/>
        <v>NN Sujana</v>
      </c>
      <c r="U88" t="str">
        <f t="shared" si="14"/>
        <v>n/a</v>
      </c>
    </row>
    <row r="89" spans="2:21" x14ac:dyDescent="0.25">
      <c r="B89" s="53" t="s">
        <v>80</v>
      </c>
      <c r="C89" s="56" t="s">
        <v>191</v>
      </c>
      <c r="D89" s="132">
        <f>F11</f>
        <v>283614221.24000001</v>
      </c>
      <c r="T89" t="str">
        <f t="shared" si="14"/>
        <v>→ baris 11 (manual)</v>
      </c>
      <c r="U89" t="str">
        <f t="shared" si="14"/>
        <v>n/a</v>
      </c>
    </row>
    <row r="90" spans="2:21" x14ac:dyDescent="0.25">
      <c r="B90" s="50" t="s">
        <v>82</v>
      </c>
      <c r="C90" s="55" t="s">
        <v>83</v>
      </c>
      <c r="D90" s="131" cm="1">
        <f t="array" ref="D90">SUM(SUMIF($B$10:$B$26,$T90:$U90,$F$10:$F$26))</f>
        <v>680297913.00916898</v>
      </c>
      <c r="T90" t="str">
        <f t="shared" si="14"/>
        <v>Taufik</v>
      </c>
      <c r="U90" t="str">
        <f t="shared" si="14"/>
        <v>n/a</v>
      </c>
    </row>
    <row r="91" spans="2:21" x14ac:dyDescent="0.25">
      <c r="B91" s="53" t="s">
        <v>84</v>
      </c>
      <c r="C91" s="56" t="s">
        <v>85</v>
      </c>
      <c r="D91" s="132" cm="1">
        <f t="array" ref="D91">SUM(SUMIF($B$10:$B$26,$T91:$U91,$F$10:$F$26))</f>
        <v>167621123.88999999</v>
      </c>
      <c r="T91" t="str">
        <f t="shared" si="14"/>
        <v>Dewi Kristiani</v>
      </c>
      <c r="U91" t="str">
        <f t="shared" si="14"/>
        <v>n/a</v>
      </c>
    </row>
    <row r="92" spans="2:21" x14ac:dyDescent="0.25">
      <c r="B92" s="50" t="s">
        <v>86</v>
      </c>
      <c r="C92" s="55" t="s">
        <v>87</v>
      </c>
      <c r="D92" s="131" cm="1">
        <f t="array" ref="D92">SUM(SUMIF($B$10:$B$26,$T92:$U92,$F$10:$F$26))</f>
        <v>20800432.859000001</v>
      </c>
      <c r="T92" t="str">
        <f t="shared" si="14"/>
        <v>Wira</v>
      </c>
      <c r="U92" t="str">
        <f t="shared" si="14"/>
        <v>n/a</v>
      </c>
    </row>
    <row r="93" spans="2:21" x14ac:dyDescent="0.25">
      <c r="B93" s="53" t="s">
        <v>88</v>
      </c>
      <c r="C93" s="56" t="s">
        <v>89</v>
      </c>
      <c r="D93" s="132" cm="1">
        <f t="array" ref="D93">SUM(SUMIF($B$10:$B$26,$T93:$U93,$F$10:$F$26))</f>
        <v>138386489.34999999</v>
      </c>
      <c r="T93" t="str">
        <f t="shared" si="14"/>
        <v>Ni Ketut Sriasih (GT)</v>
      </c>
      <c r="U93" t="str">
        <f t="shared" si="14"/>
        <v>Ni Ketut Sriasih (MT)</v>
      </c>
    </row>
    <row r="94" spans="2:21" x14ac:dyDescent="0.25">
      <c r="B94" s="57" t="s">
        <v>151</v>
      </c>
      <c r="C94" s="58"/>
      <c r="D94" s="120">
        <f>SUM(D80:D93)</f>
        <v>4335299170.1270161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162</v>
      </c>
      <c r="C40" s="270"/>
      <c r="D40" s="271"/>
      <c r="E40" s="66" t="s">
        <v>137</v>
      </c>
      <c r="F40" s="174">
        <f ca="1">IF(MONTH(TODAY())=9,DAY(TODAY())/DAY(EOMONTH(TODAY(),0)),IF(MONTH(TODAY())&gt;9,1,0))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SUM(TARGETS!AD5:AD18)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0</v>
      </c>
      <c r="E51" s="118">
        <f>TARGETS!AC5</f>
        <v>0</v>
      </c>
      <c r="F51" s="118">
        <f>TARGETS!AD5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0</v>
      </c>
      <c r="E52" s="119">
        <f>TARGETS!AC6</f>
        <v>0</v>
      </c>
      <c r="F52" s="119">
        <f>TARGETS!AD6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TARGETS!AB7</f>
        <v>0</v>
      </c>
      <c r="E53" s="138">
        <f>TARGETS!AC7</f>
        <v>0</v>
      </c>
      <c r="F53" s="138">
        <f>TARGETS!AD7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0</v>
      </c>
      <c r="E54" s="119">
        <f>TARGETS!AC8</f>
        <v>0</v>
      </c>
      <c r="F54" s="119">
        <f>TARGETS!AD8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TARGETS!AB9</f>
        <v>0</v>
      </c>
      <c r="E55" s="118">
        <f>TARGETS!AC9</f>
        <v>0</v>
      </c>
      <c r="F55" s="118">
        <f>TARGETS!AD9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0</v>
      </c>
      <c r="E56" s="119">
        <f>TARGETS!AC10</f>
        <v>0</v>
      </c>
      <c r="F56" s="119">
        <f>TARGETS!AD10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0</v>
      </c>
      <c r="E57" s="118">
        <f>TARGETS!AC11</f>
        <v>0</v>
      </c>
      <c r="F57" s="118">
        <f>TARGETS!AD11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0</v>
      </c>
      <c r="E58" s="119">
        <f>TARGETS!AC12</f>
        <v>0</v>
      </c>
      <c r="F58" s="119">
        <f>TARGETS!AD12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TARGETS!AB13</f>
        <v>0</v>
      </c>
      <c r="E59" s="138">
        <f>TARGETS!AC13</f>
        <v>0</v>
      </c>
      <c r="F59" s="138">
        <f>TARGETS!AD13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TARGETS!AB14</f>
        <v>0</v>
      </c>
      <c r="E60" s="119">
        <f>TARGETS!AC14</f>
        <v>0</v>
      </c>
      <c r="F60" s="119">
        <f>TARGETS!AD14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0</v>
      </c>
      <c r="E61" s="118">
        <f>TARGETS!AC15</f>
        <v>0</v>
      </c>
      <c r="F61" s="118">
        <f>TARGETS!AD15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0</v>
      </c>
      <c r="E62" s="119">
        <f>TARGETS!AC16</f>
        <v>0</v>
      </c>
      <c r="F62" s="119">
        <f>TARGETS!AD16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0</v>
      </c>
      <c r="E63" s="118">
        <f>TARGETS!AC17</f>
        <v>0</v>
      </c>
      <c r="F63" s="118">
        <f>TARGETS!AD17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0</v>
      </c>
      <c r="E64" s="119">
        <f>TARGETS!AC18</f>
        <v>0</v>
      </c>
      <c r="F64" s="119">
        <f>TARGETS!AD18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TARGETS!L23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TARGETS!L24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164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176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178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2026-08-28T00:48:36Z</dcterms:modified>
  <dc:language>en-US</dc:language>
</cp:coreProperties>
</file>