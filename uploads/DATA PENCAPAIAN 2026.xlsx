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<sst xmlns="http://schemas.openxmlformats.org/spreadsheetml/2006/main" count="1843" uniqueCount="193">
  <si>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</si>
  <si>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</si>
  <si>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</si>
  <si>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</si>
  <si>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</si>
  <si>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</si>
  <si>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</si>
  <si>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</si>
  <si>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</si>
  <si>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</si>
  <si>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</si>
  <si>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</si>
  <si>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</si>
  <si>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</si>
  <si>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</si>
  <si>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</si>
  <si>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</si>
  <si>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</si>
  <si>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</si>
  <si>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</si>
  <si>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</si>
  <si>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</si>
  <si>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</si>
  <si>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</si>
  <si>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</si>
  <si>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</si>
  <si>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</si>
  <si>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</si>
  <si>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</si>
  <si>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</si>
  <si>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</si>
  <si>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</si>
  <si>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</si>
  <si>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</si>
  <si>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</si>
  <si>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</si>
  <si>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</si>
  <si>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</si>
  <si>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</si>
  <si>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</si>
  <si>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</si>
  <si>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</si>
  <si>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</si>
  <si>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</si>
  <si>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</si>
  <si>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</si>
  <si>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</si>
  <si>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</si>
  <si>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</si>
  <si>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</si>
  <si>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</si>
  <si>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</si>
  <si>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</si>
  <si>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</si>
  <si>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</si>
  <si>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</si>
  <si>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</si>
  <si>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</si>
  <si>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</si>
  <si>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</si>
  <si>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</si>
  <si>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</si>
  <si>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</si>
  <si>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</si>
  <si>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</si>
  <si>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</si>
  <si>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</si>
  <si>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</si>
  <si>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</si>
  <si>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</si>
  <si>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</si>
  <si>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</si>
  <si>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</si>
  <si>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</si>
  <si>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</si>
  <si>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</si>
  <si>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</si>
  <si>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</si>
  <si>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</si>
  <si>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</si>
  <si>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</si>
  <si>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</si>
  <si>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</si>
  <si>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</si>
  <si>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</si>
  <si>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</si>
  <si>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</si>
  <si>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</si>
  <si>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</si>
  <si>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</si>
  <si>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</si>
  <si>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</si>
  <si>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</si>
  <si>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</si>
  <si>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</si>
  <si>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</si>
  <si>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</si>
  <si>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</si>
  <si>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</si>
  <si>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</si>
  <si>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</si>
  <si>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</si>
  <si>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</si>
  <si>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</si>
  <si>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</si>
  <si>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</si>
  <si>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</si>
  <si>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</si>
  <si>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</si>
  <si>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</si>
  <si>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</si>
  <si>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</si>
  <si>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</si>
  <si>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</si>
  <si>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</si>
  <si>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</si>
  <si>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</si>
  <si>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</si>
  <si>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</si>
  <si>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</si>
  <si>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</si>
  <si>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</si>
  <si>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</si>
  <si>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</si>
  <si>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</si>
  <si>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</si>
  <si>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</si>
  <si>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</si>
  <si>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</si>
  <si>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</si>
  <si>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</si>
  <si>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</si>
  <si>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</si>
  <si>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</si>
  <si>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</si>
  <si>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</si>
  <si>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</si>
  <si>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</si>
  <si>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</si>
  <si>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</si>
  <si>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</si>
  <si>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</si>
  <si>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</si>
  <si>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</si>
  <si>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</si>
  <si>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</si>
  <si>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</si>
  <si>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</si>
  <si>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</si>
  <si>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</si>
  <si>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</si>
  <si>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</si>
  <si>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</si>
  <si>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</si>
  <si>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</si>
  <si>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</si>
  <si>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</si>
  <si>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</si>
  <si>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</si>
  <si>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</si>
  <si>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</si>
  <si>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</si>
  <si>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</si>
  <si>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</si>
  <si>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</si>
  <si>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</si>
  <si>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</si>
  <si>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</si>
  <si>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</si>
  <si>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</si>
  <si>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</si>
  <si>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</si>
  <si>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</si>
  <si>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</si>
  <si>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</si>
  <si>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</si>
  <si>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</si>
  <si>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</si>
  <si>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</si>
  <si>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</si>
  <si>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</si>
  <si>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</si>
  <si>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</si>
  <si>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</si>
  <si>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</si>
  <si>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</si>
  <si>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</si>
  <si>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</si>
  <si>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</si>
  <si>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</si>
  <si>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</si>
  <si>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</si>
  <si>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3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</si>
</sst>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25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0" t="s">
        <v>181</v>
      </c>
      <c r="C41" s="271"/>
      <c r="D41" s="272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-2045354.1195357132</v>
      </c>
      <c r="I43" s="218">
        <f>D43*$J$41-E43</f>
        <v>290830113.6116066</v>
      </c>
      <c r="J43" s="218">
        <f ca="1">IFERROR(I43/$C$3,0)</f>
        <v>11633204.544464264</v>
      </c>
      <c r="K43" s="198">
        <f>D43*$L$41-E43</f>
        <v>632794080.21160698</v>
      </c>
      <c r="L43" s="198">
        <f ca="1">IFERROR(K43/$C$3,0)</f>
        <v>25311763.20846428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16322433.891786184</v>
      </c>
      <c r="I44" s="218">
        <f>D44*$J$41-E44</f>
        <v>481824088.50567269</v>
      </c>
      <c r="J44" s="218">
        <f ca="1">IFERROR(I44/$C$3,0)</f>
        <v>19272963.540226907</v>
      </c>
      <c r="K44" s="198">
        <f>D44*$L$41-E44</f>
        <v>555587329.71669078</v>
      </c>
      <c r="L44" s="198">
        <f ca="1">IFERROR(K44/$C$3,0)</f>
        <v>22223493.188667633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-2741014.304028511</v>
      </c>
      <c r="I45" s="218">
        <f>D45*$J$41-E45</f>
        <v>20623578.569499731</v>
      </c>
      <c r="J45" s="218">
        <f ca="1">IFERROR(I45/$C$3,0)</f>
        <v>824943.14277998928</v>
      </c>
      <c r="K45" s="198">
        <f>D45*$L$41-E45</f>
        <v>109772514.73971272</v>
      </c>
      <c r="L45" s="198">
        <f ca="1">IFERROR(K45/$C$3,0)</f>
        <v>4390900.5895885089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11536065.468221961</v>
      </c>
      <c r="I46" s="199">
        <f>I43+I44+I45</f>
        <v>793277780.68677902</v>
      </c>
      <c r="J46" s="199">
        <f ca="1">IFERROR(I46/$C$3,0)</f>
        <v>31731111.227471162</v>
      </c>
      <c r="K46" s="199">
        <f>K43+K44+K45</f>
        <v>1298153924.6680105</v>
      </c>
      <c r="L46" s="199">
        <f ca="1">IFERROR(K46/$C$3,0)</f>
        <v>51926156.98672042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4137949.4161799145</v>
      </c>
      <c r="M51" s="193">
        <f t="shared" ref="M51:M64" si="5">F51*$J$41-I51</f>
        <v>127696429.36553055</v>
      </c>
      <c r="N51" s="193">
        <f t="shared" ref="N51:N65" ca="1" si="6">IFERROR(M51/$C$3,0)</f>
        <v>5107857.1746212216</v>
      </c>
      <c r="O51" s="198">
        <f t="shared" ref="O51:O64" si="7">F51*$L$41-I51</f>
        <v>151944123.3265633</v>
      </c>
      <c r="P51" s="198">
        <f t="shared" ref="P51:P65" ca="1" si="8">IFERROR(O51/$C$3,0)</f>
        <v>6077764.933062532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2451068.7794908001</v>
      </c>
      <c r="M52" s="193">
        <f t="shared" si="5"/>
        <v>98613177.237269998</v>
      </c>
      <c r="N52" s="193">
        <f t="shared" ca="1" si="6"/>
        <v>3944527.0894907997</v>
      </c>
      <c r="O52" s="198">
        <f t="shared" si="7"/>
        <v>135949634.98727</v>
      </c>
      <c r="P52" s="198">
        <f t="shared" ca="1" si="8"/>
        <v>5437985.3994907998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790323.81600000022</v>
      </c>
      <c r="M53" s="193">
        <f t="shared" si="5"/>
        <v>31831758.799999982</v>
      </c>
      <c r="N53" s="193">
        <f t="shared" ca="1" si="6"/>
        <v>1273270.3519999993</v>
      </c>
      <c r="O53" s="198">
        <f t="shared" si="7"/>
        <v>43905422.199999988</v>
      </c>
      <c r="P53" s="198">
        <f t="shared" ca="1" si="8"/>
        <v>1756216.8879999996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-4244325.4947104212</v>
      </c>
      <c r="M54" s="193">
        <f t="shared" si="5"/>
        <v>-73228422.42689395</v>
      </c>
      <c r="N54" s="193">
        <f t="shared" ca="1" si="6"/>
        <v>-2929136.8970757578</v>
      </c>
      <c r="O54" s="198">
        <f t="shared" si="7"/>
        <v>-40348707.486027122</v>
      </c>
      <c r="P54" s="198">
        <f t="shared" ca="1" si="8"/>
        <v>-1613948.299441085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3280044.70769495</v>
      </c>
      <c r="M55" s="193">
        <f t="shared" si="5"/>
        <v>106397747.65194988</v>
      </c>
      <c r="N55" s="193">
        <f t="shared" ca="1" si="6"/>
        <v>4255909.906077995</v>
      </c>
      <c r="O55" s="198">
        <f t="shared" si="7"/>
        <v>130794377.61152613</v>
      </c>
      <c r="P55" s="198">
        <f t="shared" ca="1" si="8"/>
        <v>5231775.104461045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1006867.2737071323</v>
      </c>
      <c r="M56" s="193">
        <f t="shared" si="5"/>
        <v>52929593.148810923</v>
      </c>
      <c r="N56" s="193">
        <f t="shared" ca="1" si="6"/>
        <v>2117183.7259524371</v>
      </c>
      <c r="O56" s="198">
        <f t="shared" si="7"/>
        <v>80687504.454943657</v>
      </c>
      <c r="P56" s="198">
        <f t="shared" ca="1" si="8"/>
        <v>3227500.1781977462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-5219433.1121062087</v>
      </c>
      <c r="M57" s="193">
        <f t="shared" si="5"/>
        <v>-77801481.735697389</v>
      </c>
      <c r="N57" s="193">
        <f t="shared" ca="1" si="6"/>
        <v>-3112059.2694278955</v>
      </c>
      <c r="O57" s="198">
        <f t="shared" si="7"/>
        <v>-25117135.668739557</v>
      </c>
      <c r="P57" s="198">
        <f t="shared" ca="1" si="8"/>
        <v>-1004685.4267495823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2156303.2774116015</v>
      </c>
      <c r="M58" s="193">
        <f t="shared" si="5"/>
        <v>82361005.085290074</v>
      </c>
      <c r="N58" s="193">
        <f t="shared" ca="1" si="6"/>
        <v>3294440.2034116029</v>
      </c>
      <c r="O58" s="198">
        <f t="shared" si="7"/>
        <v>110814428.23529005</v>
      </c>
      <c r="P58" s="198">
        <f t="shared" ca="1" si="8"/>
        <v>4432577.1294116024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2527950.9508010005</v>
      </c>
      <c r="M59" s="193">
        <f t="shared" si="5"/>
        <v>83405456.970024943</v>
      </c>
      <c r="N59" s="193">
        <f t="shared" ca="1" si="6"/>
        <v>3336218.2788009979</v>
      </c>
      <c r="O59" s="198">
        <f t="shared" si="7"/>
        <v>103612140.17002499</v>
      </c>
      <c r="P59" s="198">
        <f t="shared" ca="1" si="8"/>
        <v>4144485.6068009995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854551.10941923375</v>
      </c>
      <c r="M60" s="193">
        <f t="shared" si="5"/>
        <v>48487862.696380615</v>
      </c>
      <c r="N60" s="193">
        <f t="shared" ca="1" si="6"/>
        <v>1939514.5078552247</v>
      </c>
      <c r="O60" s="198">
        <f t="shared" si="7"/>
        <v>75611947.657280385</v>
      </c>
      <c r="P60" s="198">
        <f t="shared" ca="1" si="8"/>
        <v>3024477.9062912152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4327961.5097926306</v>
      </c>
      <c r="M61" s="193">
        <f t="shared" si="5"/>
        <v>142717597.57534701</v>
      </c>
      <c r="N61" s="193">
        <f t="shared" ca="1" si="6"/>
        <v>5708703.9030138804</v>
      </c>
      <c r="O61" s="198">
        <f t="shared" si="7"/>
        <v>177236157.40587825</v>
      </c>
      <c r="P61" s="198">
        <f t="shared" ca="1" si="8"/>
        <v>7089446.2962351302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2933744.415287659</v>
      </c>
      <c r="M62" s="193">
        <f t="shared" si="5"/>
        <v>95858969.272182167</v>
      </c>
      <c r="N62" s="193">
        <f t="shared" ca="1" si="6"/>
        <v>3834358.7708872869</v>
      </c>
      <c r="O62" s="198">
        <f t="shared" si="7"/>
        <v>118374328.16217285</v>
      </c>
      <c r="P62" s="198">
        <f t="shared" ca="1" si="8"/>
        <v>4734973.1264869142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-2268404.229451051</v>
      </c>
      <c r="M63" s="193">
        <f t="shared" si="5"/>
        <v>-11052211.386640549</v>
      </c>
      <c r="N63" s="193">
        <f t="shared" ca="1" si="6"/>
        <v>-442088.45546562196</v>
      </c>
      <c r="O63" s="198">
        <f t="shared" si="7"/>
        <v>34605682.96299541</v>
      </c>
      <c r="P63" s="198">
        <f t="shared" ca="1" si="8"/>
        <v>1384227.3185198165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1542477.3527332712</v>
      </c>
      <c r="M64" s="193">
        <f t="shared" si="5"/>
        <v>64436719.86372602</v>
      </c>
      <c r="N64" s="193">
        <f t="shared" ca="1" si="6"/>
        <v>2577468.794549041</v>
      </c>
      <c r="O64" s="198">
        <f t="shared" si="7"/>
        <v>90311505.909120381</v>
      </c>
      <c r="P64" s="198">
        <f t="shared" ca="1" si="8"/>
        <v>3612460.2363648154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14277079.772250514</v>
      </c>
      <c r="M65" s="194">
        <f>SUM(M51:M64)</f>
        <v>772654202.11728036</v>
      </c>
      <c r="N65" s="194">
        <f t="shared" ca="1" si="6"/>
        <v>30906168.084691215</v>
      </c>
      <c r="O65" s="199">
        <f>SUM(O51:O64)</f>
        <v>1188381409.9282987</v>
      </c>
      <c r="P65" s="199">
        <f t="shared" ca="1" si="8"/>
        <v>47535256.39713195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-1646777.5882677364</v>
      </c>
      <c r="I69" s="218">
        <f>D69*$J$41-E69</f>
        <v>-27266208.811482966</v>
      </c>
      <c r="J69" s="218">
        <f t="shared" ref="J69:J74" ca="1" si="14">IFERROR(I69/$C$3,0)</f>
        <v>-1090648.3524593187</v>
      </c>
      <c r="K69" s="198">
        <f>D69*$L$41-E69</f>
        <v>-13362977.916272461</v>
      </c>
      <c r="L69" s="198">
        <f t="shared" ref="L69:L74" ca="1" si="15">IFERROR(K69/$C$3,0)</f>
        <v>-534519.11665089848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-2411653.5222613835</v>
      </c>
      <c r="I70" s="218">
        <f>D70*$J$41-E70</f>
        <v>-39410410.397208512</v>
      </c>
      <c r="J70" s="218">
        <f t="shared" ca="1" si="14"/>
        <v>-1576416.4158883404</v>
      </c>
      <c r="K70" s="198">
        <f>D70*$L$41-E70</f>
        <v>-18529482.737882435</v>
      </c>
      <c r="L70" s="198">
        <f t="shared" ca="1" si="15"/>
        <v>-741179.30951529741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1317416.8065006114</v>
      </c>
      <c r="I71" s="218">
        <f>D71*$J$41-E71</f>
        <v>87300197.778191447</v>
      </c>
      <c r="J71" s="218">
        <f t="shared" ca="1" si="14"/>
        <v>3492007.9111276581</v>
      </c>
      <c r="K71" s="198">
        <f>D71*$L$41-E71</f>
        <v>141664975.39386773</v>
      </c>
      <c r="L71" s="198">
        <f t="shared" ca="1" si="15"/>
        <v>5666599.015754709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-2741014.3040285087</v>
      </c>
      <c r="I74" s="199">
        <f>SUM(I69:I73)</f>
        <v>20623578.569499969</v>
      </c>
      <c r="J74" s="199">
        <f t="shared" ca="1" si="14"/>
        <v>824943.14277999883</v>
      </c>
      <c r="K74" s="199">
        <f>SUM(K69:K73)</f>
        <v>109772514.73971283</v>
      </c>
      <c r="L74" s="199">
        <f t="shared" ca="1" si="15"/>
        <v>4390900.5895885136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182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H11" sqref="H11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233">
        <v>393617269.45962203</v>
      </c>
      <c r="D10" s="233">
        <v>52106885.865496002</v>
      </c>
      <c r="E10" s="233">
        <v>178626089.13999999</v>
      </c>
      <c r="F10" s="233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233">
        <v>324688224.63140702</v>
      </c>
      <c r="D11" s="233">
        <v>130969678.577117</v>
      </c>
      <c r="E11" s="233">
        <v>123485070.23999999</v>
      </c>
      <c r="F11" s="233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233">
        <v>341819821.47863901</v>
      </c>
      <c r="D12" s="233">
        <v>43800016.100000001</v>
      </c>
      <c r="E12" s="233" t="s">
        <v>167</v>
      </c>
      <c r="F12" s="233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233">
        <v>335783257.01891601</v>
      </c>
      <c r="D13" s="233">
        <v>116240171.81246901</v>
      </c>
      <c r="E13" s="233">
        <v>62660260.079999998</v>
      </c>
      <c r="F13" s="233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233">
        <v>309974778.642878</v>
      </c>
      <c r="D14" s="233">
        <v>38873783.709844001</v>
      </c>
      <c r="E14" s="233">
        <v>61782485.780000001</v>
      </c>
      <c r="F14" s="233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233">
        <v>1054671906.6945471</v>
      </c>
      <c r="D15" s="233">
        <v>29495978.518279999</v>
      </c>
      <c r="E15" s="233">
        <v>410218259.94994998</v>
      </c>
      <c r="F15" s="233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233">
        <v>1554416407.7220271</v>
      </c>
      <c r="D16" s="233">
        <v>10384914.213416999</v>
      </c>
      <c r="E16" s="233">
        <v>8032432.3600000003</v>
      </c>
      <c r="F16" s="233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233">
        <v>1425026257.5066569</v>
      </c>
      <c r="D17" s="233">
        <v>87442239.299614996</v>
      </c>
      <c r="E17" s="233">
        <v>1305012954.6799581</v>
      </c>
      <c r="F17" s="233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233">
        <v>269119168.26818502</v>
      </c>
      <c r="D18" s="233">
        <v>21889933.159789</v>
      </c>
      <c r="E18" s="233">
        <v>7372973.1399999997</v>
      </c>
      <c r="F18" s="233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233">
        <v>72833049.799989</v>
      </c>
      <c r="D19" s="233">
        <v>128966591.851889</v>
      </c>
      <c r="E19" s="233">
        <v>85016217.859999999</v>
      </c>
      <c r="F19" s="233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448510399.46910501</v>
      </c>
      <c r="D22" s="233">
        <v>63011769.152930997</v>
      </c>
      <c r="E22" s="233">
        <v>503698656.98984998</v>
      </c>
      <c r="F22" s="233">
        <v>1015220825.611886</v>
      </c>
      <c r="H22" s="116"/>
      <c r="I22" s="116"/>
      <c r="J22" s="116"/>
    </row>
    <row r="23" spans="2:14" x14ac:dyDescent="0.25">
      <c r="B23" s="74" t="s">
        <v>126</v>
      </c>
      <c r="C23" s="233">
        <v>537624961.29726696</v>
      </c>
      <c r="D23" s="233">
        <v>72473352.539875999</v>
      </c>
      <c r="E23" s="233">
        <v>310958467.80928099</v>
      </c>
      <c r="F23" s="233">
        <v>921056781.64642406</v>
      </c>
      <c r="H23" s="116"/>
      <c r="I23" s="116"/>
      <c r="J23" s="116"/>
    </row>
    <row r="24" spans="2:14" x14ac:dyDescent="0.25">
      <c r="B24" s="74" t="s">
        <v>127</v>
      </c>
      <c r="C24" s="233">
        <v>687182241.108935</v>
      </c>
      <c r="D24" s="233">
        <v>61286832.419910997</v>
      </c>
      <c r="E24" s="233">
        <v>792137124.23901403</v>
      </c>
      <c r="F24" s="233">
        <v>1540606197.7678599</v>
      </c>
      <c r="H24" s="116"/>
      <c r="I24" s="116"/>
      <c r="J24" s="116"/>
    </row>
    <row r="25" spans="2:14" x14ac:dyDescent="0.25">
      <c r="B25" s="74" t="s">
        <v>185</v>
      </c>
      <c r="C25" s="233">
        <v>267316450.13510299</v>
      </c>
      <c r="D25" s="233">
        <v>6945068.9099909998</v>
      </c>
      <c r="E25" s="233">
        <v>65202431.659999996</v>
      </c>
      <c r="F25" s="233">
        <v>339463950.70509398</v>
      </c>
      <c r="H25" s="116"/>
      <c r="I25" s="116"/>
      <c r="J25" s="116"/>
    </row>
    <row r="26" spans="2:14" x14ac:dyDescent="0.25">
      <c r="B26" s="74" t="s">
        <v>186</v>
      </c>
      <c r="C26" s="233">
        <v>138084633.55645701</v>
      </c>
      <c r="D26" s="233">
        <v>103844000.433377</v>
      </c>
      <c r="E26" s="233" t="s">
        <v>167</v>
      </c>
      <c r="F26" s="233">
        <v>241928633.98983401</v>
      </c>
      <c r="H26" s="116"/>
      <c r="I26" s="116"/>
      <c r="J26" s="116"/>
    </row>
    <row r="27" spans="2:14" x14ac:dyDescent="0.25">
      <c r="B27" s="74" t="s">
        <v>128</v>
      </c>
      <c r="C27" s="233">
        <v>887123024.85446894</v>
      </c>
      <c r="D27" s="233">
        <v>267781372.49532399</v>
      </c>
      <c r="E27" s="233">
        <v>17830594.9778</v>
      </c>
      <c r="F27" s="233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52" t="s">
        <v>191</v>
      </c>
      <c r="C41" s="253"/>
      <c r="D41" s="254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69" zoomScaleNormal="100" workbookViewId="0">
      <selection activeCell="D87" sqref="D8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25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34521489.477385998</v>
      </c>
      <c r="N8" s="11">
        <f>D22</f>
        <v>2535828.84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40554026.902718</v>
      </c>
      <c r="N9" s="11">
        <f>D13+D14</f>
        <v>14511036.419993</v>
      </c>
    </row>
    <row r="10" spans="2:14" x14ac:dyDescent="0.25">
      <c r="B10" s="74" t="s">
        <v>113</v>
      </c>
      <c r="C10" s="233">
        <v>29103823.732540999</v>
      </c>
      <c r="D10" s="233">
        <v>6344935.1399999997</v>
      </c>
      <c r="E10" s="233">
        <v>11463062.640000001</v>
      </c>
      <c r="F10" s="233">
        <v>46911821.512541004</v>
      </c>
      <c r="H10" s="116"/>
      <c r="I10" s="116"/>
      <c r="J10" s="116"/>
      <c r="M10" s="11">
        <f>C15</f>
        <v>98896511.439996004</v>
      </c>
      <c r="N10" s="11">
        <f>D15</f>
        <v>3792229.719976</v>
      </c>
    </row>
    <row r="11" spans="2:14" x14ac:dyDescent="0.25">
      <c r="B11" s="74" t="s">
        <v>114</v>
      </c>
      <c r="C11" s="233">
        <v>39153741.173912004</v>
      </c>
      <c r="D11" s="233">
        <v>5074409.9999670004</v>
      </c>
      <c r="E11" s="233">
        <v>810810.8</v>
      </c>
      <c r="F11" s="233">
        <v>45038961.973879002</v>
      </c>
      <c r="H11" s="116"/>
      <c r="I11" s="116"/>
      <c r="J11" s="116"/>
      <c r="M11" s="11">
        <f>C12</f>
        <v>63091892.199749999</v>
      </c>
      <c r="N11" s="11">
        <f>D12</f>
        <v>0</v>
      </c>
    </row>
    <row r="12" spans="2:14" x14ac:dyDescent="0.25">
      <c r="B12" s="74" t="s">
        <v>184</v>
      </c>
      <c r="C12" s="233">
        <v>63091892.199749999</v>
      </c>
      <c r="D12" s="233">
        <v>0</v>
      </c>
      <c r="E12" s="233">
        <v>0</v>
      </c>
      <c r="F12" s="233">
        <v>63091892.199749999</v>
      </c>
      <c r="H12" s="116"/>
      <c r="I12" s="116"/>
      <c r="J12" s="116"/>
      <c r="M12" s="11">
        <f>C25+C26</f>
        <v>28929008.617364001</v>
      </c>
      <c r="N12" s="11">
        <f>D25+D26</f>
        <v>1847324.3699970001</v>
      </c>
    </row>
    <row r="13" spans="2:14" x14ac:dyDescent="0.25">
      <c r="B13" s="74" t="s">
        <v>70</v>
      </c>
      <c r="C13" s="233">
        <v>16496351.309824999</v>
      </c>
      <c r="D13" s="233">
        <v>12643473.289998</v>
      </c>
      <c r="E13" s="233">
        <v>3891891.84</v>
      </c>
      <c r="F13" s="233">
        <v>33031716.439823002</v>
      </c>
      <c r="H13" s="116"/>
      <c r="I13" s="116"/>
      <c r="J13" s="116"/>
      <c r="M13" s="11">
        <f>C17</f>
        <v>68711138.362908006</v>
      </c>
      <c r="N13" s="11">
        <f>D17</f>
        <v>13462238.669988001</v>
      </c>
    </row>
    <row r="14" spans="2:14" x14ac:dyDescent="0.25">
      <c r="B14" s="74" t="s">
        <v>115</v>
      </c>
      <c r="C14" s="233">
        <v>24057675.592893001</v>
      </c>
      <c r="D14" s="233">
        <v>1867563.1299950001</v>
      </c>
      <c r="E14" s="233">
        <v>5585585.5</v>
      </c>
      <c r="F14" s="233">
        <v>31510824.222888</v>
      </c>
      <c r="H14" s="116"/>
      <c r="I14" s="116"/>
      <c r="J14" s="116"/>
      <c r="M14" s="11">
        <f>C23</f>
        <v>55244852.772550002</v>
      </c>
      <c r="N14" s="11">
        <f>D23</f>
        <v>7940297.2999999998</v>
      </c>
    </row>
    <row r="15" spans="2:14" x14ac:dyDescent="0.25">
      <c r="B15" s="84" t="s">
        <v>116</v>
      </c>
      <c r="C15" s="233">
        <v>98896511.439996004</v>
      </c>
      <c r="D15" s="233">
        <v>3792229.719976</v>
      </c>
      <c r="E15" s="233">
        <v>29931531.469999999</v>
      </c>
      <c r="F15" s="233">
        <v>132620272.629972</v>
      </c>
      <c r="H15" s="116"/>
      <c r="I15" s="116"/>
      <c r="J15" s="116"/>
      <c r="M15" s="11">
        <f>C11</f>
        <v>39153741.173912004</v>
      </c>
      <c r="N15" s="11">
        <f>D11</f>
        <v>5074409.9999670004</v>
      </c>
    </row>
    <row r="16" spans="2:14" x14ac:dyDescent="0.25">
      <c r="B16" s="74" t="s">
        <v>119</v>
      </c>
      <c r="C16" s="233">
        <v>9621824.6299619991</v>
      </c>
      <c r="D16" s="233">
        <v>0</v>
      </c>
      <c r="E16" s="233">
        <v>0</v>
      </c>
      <c r="F16" s="233">
        <v>9621824.6299619991</v>
      </c>
      <c r="H16" s="116"/>
      <c r="I16" s="116"/>
      <c r="J16" s="116"/>
      <c r="M16" s="11">
        <f>C24</f>
        <v>44641778.353794999</v>
      </c>
      <c r="N16" s="11">
        <f>D24</f>
        <v>3444000</v>
      </c>
    </row>
    <row r="17" spans="2:14" x14ac:dyDescent="0.25">
      <c r="B17" s="74" t="s">
        <v>121</v>
      </c>
      <c r="C17" s="233">
        <v>68711138.362908006</v>
      </c>
      <c r="D17" s="233">
        <v>13462238.669988001</v>
      </c>
      <c r="E17" s="233">
        <v>122332432.549987</v>
      </c>
      <c r="F17" s="233">
        <v>204505809.582883</v>
      </c>
      <c r="H17" s="116"/>
      <c r="I17" s="116"/>
      <c r="J17" s="116"/>
      <c r="M17" s="11">
        <f>C10</f>
        <v>29103823.732540999</v>
      </c>
      <c r="N17" s="11">
        <f>D10</f>
        <v>6344935.1399999997</v>
      </c>
    </row>
    <row r="18" spans="2:14" x14ac:dyDescent="0.25">
      <c r="B18" s="74" t="s">
        <v>123</v>
      </c>
      <c r="C18" s="233">
        <v>17602994.049957</v>
      </c>
      <c r="D18" s="233">
        <v>0</v>
      </c>
      <c r="E18" s="233">
        <v>2335135.2000000002</v>
      </c>
      <c r="F18" s="233">
        <v>19938129.249956999</v>
      </c>
      <c r="H18" s="116"/>
      <c r="I18" s="116"/>
      <c r="J18" s="116"/>
      <c r="M18" s="11">
        <f>C27</f>
        <v>29738947.49179</v>
      </c>
      <c r="N18" s="11">
        <f>D27</f>
        <v>6194918.8799520005</v>
      </c>
    </row>
    <row r="19" spans="2:14" x14ac:dyDescent="0.25">
      <c r="B19" s="74" t="s">
        <v>124</v>
      </c>
      <c r="C19" s="233">
        <v>2067900</v>
      </c>
      <c r="D19" s="233">
        <v>11259520.469873</v>
      </c>
      <c r="E19" s="233">
        <v>983783.8</v>
      </c>
      <c r="F19" s="233">
        <v>14311204.269873001</v>
      </c>
      <c r="H19" s="116"/>
      <c r="I19" s="116"/>
      <c r="J19" s="116"/>
      <c r="M19" s="11">
        <f>C18+C19</f>
        <v>19670894.049957</v>
      </c>
      <c r="N19" s="11">
        <f>D18+D19</f>
        <v>11259520.469873</v>
      </c>
    </row>
    <row r="20" spans="2:14" x14ac:dyDescent="0.25">
      <c r="B20" s="74" t="s">
        <v>171</v>
      </c>
      <c r="C20" s="233">
        <v>0</v>
      </c>
      <c r="D20" s="233">
        <v>0</v>
      </c>
      <c r="E20" s="233">
        <v>0</v>
      </c>
      <c r="F20" s="233"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>
        <v>21071160</v>
      </c>
      <c r="D21" s="233">
        <v>0</v>
      </c>
      <c r="E21" s="233">
        <v>1729729.68</v>
      </c>
      <c r="F21" s="233">
        <v>22800889.68</v>
      </c>
      <c r="H21" s="116"/>
      <c r="I21" s="116"/>
      <c r="J21" s="116"/>
      <c r="M21" s="14">
        <f>IFERROR(C34,0)+IFERROR(C35,0)+M20</f>
        <v>68181843.779318005</v>
      </c>
      <c r="N21" s="10" t="s">
        <v>122</v>
      </c>
    </row>
    <row r="22" spans="2:14" x14ac:dyDescent="0.25">
      <c r="B22" s="74" t="s">
        <v>125</v>
      </c>
      <c r="C22" s="233">
        <v>34521489.477385998</v>
      </c>
      <c r="D22" s="233">
        <v>2535828.84</v>
      </c>
      <c r="E22" s="233">
        <v>14529729.439999999</v>
      </c>
      <c r="F22" s="233">
        <v>51587047.757385999</v>
      </c>
      <c r="H22" s="116"/>
      <c r="I22" s="116"/>
      <c r="J22" s="116"/>
    </row>
    <row r="23" spans="2:14" x14ac:dyDescent="0.25">
      <c r="B23" s="74" t="s">
        <v>126</v>
      </c>
      <c r="C23" s="233">
        <v>55244852.772550002</v>
      </c>
      <c r="D23" s="233">
        <v>7940297.2999999998</v>
      </c>
      <c r="E23" s="233">
        <v>24518919.269939002</v>
      </c>
      <c r="F23" s="233">
        <v>87704069.342489004</v>
      </c>
      <c r="H23" s="116"/>
      <c r="I23" s="116"/>
      <c r="J23" s="116"/>
    </row>
    <row r="24" spans="2:14" x14ac:dyDescent="0.25">
      <c r="B24" s="74" t="s">
        <v>127</v>
      </c>
      <c r="C24" s="233">
        <v>44641778.353794999</v>
      </c>
      <c r="D24" s="233">
        <v>3444000</v>
      </c>
      <c r="E24" s="233">
        <v>25540901.119972002</v>
      </c>
      <c r="F24" s="233">
        <v>73626679.473766997</v>
      </c>
      <c r="H24" s="116"/>
      <c r="I24" s="116"/>
      <c r="J24" s="116"/>
    </row>
    <row r="25" spans="2:14" x14ac:dyDescent="0.25">
      <c r="B25" s="74" t="s">
        <v>185</v>
      </c>
      <c r="C25" s="233">
        <v>18007915.524994001</v>
      </c>
      <c r="D25" s="233">
        <v>546000</v>
      </c>
      <c r="E25" s="233">
        <v>4864864.8</v>
      </c>
      <c r="F25" s="233">
        <v>23418780.324994002</v>
      </c>
      <c r="H25" s="116"/>
      <c r="I25" s="116"/>
      <c r="J25" s="116"/>
    </row>
    <row r="26" spans="2:14" x14ac:dyDescent="0.25">
      <c r="B26" s="74" t="s">
        <v>186</v>
      </c>
      <c r="C26" s="233">
        <v>10921093.09237</v>
      </c>
      <c r="D26" s="233">
        <v>1301324.3699970001</v>
      </c>
      <c r="E26" s="233">
        <v>0</v>
      </c>
      <c r="F26" s="233">
        <v>12222417.462367</v>
      </c>
      <c r="H26" s="116"/>
      <c r="I26" s="116"/>
      <c r="J26" s="116"/>
    </row>
    <row r="27" spans="2:14" x14ac:dyDescent="0.25">
      <c r="B27" s="74" t="s">
        <v>128</v>
      </c>
      <c r="C27" s="233">
        <v>29738947.49179</v>
      </c>
      <c r="D27" s="233">
        <v>6194918.8799520005</v>
      </c>
      <c r="E27" s="233">
        <v>194594.6</v>
      </c>
      <c r="F27" s="233">
        <v>36128460.971741997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13222883.19998</v>
      </c>
      <c r="G32" s="116"/>
      <c r="H32" s="116"/>
      <c r="I32" s="116"/>
    </row>
    <row r="33" spans="2:19" x14ac:dyDescent="0.25">
      <c r="B33" s="84" t="s">
        <v>133</v>
      </c>
      <c r="C33" s="233">
        <v>39491365.929448999</v>
      </c>
      <c r="G33" s="116"/>
      <c r="H33" s="116"/>
      <c r="I33" s="116"/>
    </row>
    <row r="34" spans="2:19" x14ac:dyDescent="0.25">
      <c r="B34" s="84" t="s">
        <v>134</v>
      </c>
      <c r="C34" s="233">
        <v>15915901.139818</v>
      </c>
      <c r="G34" s="116"/>
      <c r="H34" s="116"/>
      <c r="I34" s="116"/>
    </row>
    <row r="35" spans="2:19" x14ac:dyDescent="0.25">
      <c r="B35" s="84" t="s">
        <v>135</v>
      </c>
      <c r="C35" s="233">
        <v>52265942.6395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192</v>
      </c>
      <c r="C41" s="253"/>
      <c r="D41" s="254"/>
      <c r="E41" s="67" t="s">
        <v>138</v>
      </c>
      <c r="F41" s="185">
        <f ca="1">IF(MONTH(TODAY())=8,DAY(TODAY())/DAY(EOMONTH(TODAY(),0)),IF(MONTH(TODAY())&gt;8,1,0))</f>
        <v>9.6774193548387094E-2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573329264.5746671</v>
      </c>
      <c r="F43" s="187">
        <f>IFERROR(E43/D43,0)</f>
        <v>7.0400625479166312E-2</v>
      </c>
      <c r="G43" s="197">
        <f>D43*$H$41-E43</f>
        <v>6756099055.2049551</v>
      </c>
      <c r="H43" s="197">
        <f ca="1">IFERROR(G43/$C$3,0)</f>
        <v>270243962.20819819</v>
      </c>
      <c r="I43" s="218">
        <f>D43*$J$41-E43</f>
        <v>7163289517.4149342</v>
      </c>
      <c r="J43" s="218">
        <f ca="1">IFERROR(I43/$C$3,0)</f>
        <v>286531580.69659734</v>
      </c>
      <c r="K43" s="198">
        <f>D43*$L$41-E43</f>
        <v>7570479979.6249132</v>
      </c>
      <c r="L43" s="198">
        <f ca="1">IFERROR(K43/$C$3,0)</f>
        <v>302819199.18499655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76406739.809745997</v>
      </c>
      <c r="F44" s="187">
        <f>IFERROR(E44/D44,0)</f>
        <v>5.9026731929736037E-2</v>
      </c>
      <c r="G44" s="197">
        <f>D44*$H$41-E44</f>
        <v>1088591957.9095995</v>
      </c>
      <c r="H44" s="197">
        <f ca="1">IFERROR(G44/$C$3,0)</f>
        <v>43543678.31638398</v>
      </c>
      <c r="I44" s="218">
        <f>D44*$J$41-E44</f>
        <v>1153314107.7828965</v>
      </c>
      <c r="J44" s="218">
        <f ca="1">IFERROR(I44/$C$3,0)</f>
        <v>46132564.311315864</v>
      </c>
      <c r="K44" s="198">
        <f>D44*$L$41-E44</f>
        <v>1218036257.6561935</v>
      </c>
      <c r="L44" s="198">
        <f ca="1">IFERROR(K44/$C$3,0)</f>
        <v>48721450.306247741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120896092.908747</v>
      </c>
      <c r="F45" s="187">
        <f>IFERROR(E45/D45,0)</f>
        <v>6.4790380464208763E-2</v>
      </c>
      <c r="G45" s="197">
        <f>D45*$H$41-E45</f>
        <v>1558465609.2189128</v>
      </c>
      <c r="H45" s="197">
        <f ca="1">IFERROR(G45/$C$3,0)</f>
        <v>62338624.36875651</v>
      </c>
      <c r="I45" s="218">
        <f>D45*$J$41-E45</f>
        <v>1651763481.5593381</v>
      </c>
      <c r="J45" s="218">
        <f ca="1">IFERROR(I45/$C$3,0)</f>
        <v>66070539.262373522</v>
      </c>
      <c r="K45" s="198">
        <f>D45*$L$41-E45</f>
        <v>1745061353.8997638</v>
      </c>
      <c r="L45" s="198">
        <f ca="1">IFERROR(K45/$C$3,0)</f>
        <v>69802454.155990556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>
        <f>E43+E44+E45</f>
        <v>770632097.29316008</v>
      </c>
      <c r="F46" s="188">
        <f>IFERROR(E46/D46,0)</f>
        <v>6.817213396872053E-2</v>
      </c>
      <c r="G46" s="194">
        <f>G43+G44+G45</f>
        <v>9403156622.3334675</v>
      </c>
      <c r="H46" s="194">
        <f ca="1">IFERROR(G46/$C$3,0)</f>
        <v>376126264.89333868</v>
      </c>
      <c r="I46" s="199">
        <f>I43+I44+I45</f>
        <v>9968367106.7571678</v>
      </c>
      <c r="J46" s="199">
        <f ca="1">IFERROR(I46/$C$3,0)</f>
        <v>398734684.27028674</v>
      </c>
      <c r="K46" s="199">
        <f>K43+K44+K45</f>
        <v>10533577591.18087</v>
      </c>
      <c r="L46" s="199">
        <f ca="1">IFERROR(K46/$C$3,0)</f>
        <v>421343103.6472348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34521489.477385998</v>
      </c>
      <c r="H51" s="119">
        <f>N8</f>
        <v>2535828.84</v>
      </c>
      <c r="I51" s="119">
        <f t="shared" ref="I51:I64" si="1">G51+H51</f>
        <v>37057318.317386001</v>
      </c>
      <c r="J51" s="200">
        <f t="shared" ref="J51:J64" si="2">IFERROR(I51/F51,0)</f>
        <v>6.548677591125511E-2</v>
      </c>
      <c r="K51" s="197">
        <f t="shared" ref="K51:K64" si="3">F51*$H$41-I51</f>
        <v>472230030.48787582</v>
      </c>
      <c r="L51" s="197">
        <f t="shared" ref="L51:L65" ca="1" si="4">IFERROR(K51/$C$3,0)</f>
        <v>18889201.219515033</v>
      </c>
      <c r="M51" s="193">
        <f t="shared" ref="M51:M64" si="5">F51*$J$41-I51</f>
        <v>500523772.08816814</v>
      </c>
      <c r="N51" s="193">
        <f t="shared" ref="N51:N65" ca="1" si="6">IFERROR(M51/$C$3,0)</f>
        <v>20020950.883526728</v>
      </c>
      <c r="O51" s="198">
        <f t="shared" ref="O51:O64" si="7">F51*$L$41-I51</f>
        <v>528817513.68846047</v>
      </c>
      <c r="P51" s="198">
        <f t="shared" ref="P51:P65" ca="1" si="8">IFERROR(O51/$C$3,0)</f>
        <v>21152700.547538418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40554026.902718</v>
      </c>
      <c r="H52" s="119">
        <f>N9</f>
        <v>14511036.419993</v>
      </c>
      <c r="I52" s="119">
        <f t="shared" si="1"/>
        <v>55065063.322710998</v>
      </c>
      <c r="J52" s="200">
        <f t="shared" si="2"/>
        <v>6.5786154384381276E-2</v>
      </c>
      <c r="K52" s="197">
        <f t="shared" si="3"/>
        <v>698263010.86254525</v>
      </c>
      <c r="L52" s="197">
        <f t="shared" ca="1" si="4"/>
        <v>27930520.434501812</v>
      </c>
      <c r="M52" s="193">
        <f t="shared" si="5"/>
        <v>740114570.53950393</v>
      </c>
      <c r="N52" s="193">
        <f t="shared" ca="1" si="6"/>
        <v>29604582.821580157</v>
      </c>
      <c r="O52" s="198">
        <f t="shared" si="7"/>
        <v>781966130.21646261</v>
      </c>
      <c r="P52" s="198">
        <f t="shared" ca="1" si="8"/>
        <v>31278645.208658505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3"/>
        <v>236657794.55670968</v>
      </c>
      <c r="L53" s="197">
        <f t="shared" ca="1" si="4"/>
        <v>9466311.7822683863</v>
      </c>
      <c r="M53" s="193">
        <f t="shared" si="5"/>
        <v>249805449.8098602</v>
      </c>
      <c r="N53" s="193">
        <f t="shared" ca="1" si="6"/>
        <v>9992217.9923944082</v>
      </c>
      <c r="O53" s="198">
        <f t="shared" si="7"/>
        <v>262953105.06301075</v>
      </c>
      <c r="P53" s="198">
        <f t="shared" ca="1" si="8"/>
        <v>10518124.20252043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98896511.439996004</v>
      </c>
      <c r="H54" s="119">
        <f t="shared" ref="H54:H58" si="9">N10</f>
        <v>3792229.719976</v>
      </c>
      <c r="I54" s="119">
        <f t="shared" si="1"/>
        <v>102688741.159972</v>
      </c>
      <c r="J54" s="200">
        <f t="shared" si="2"/>
        <v>0.13196028832097351</v>
      </c>
      <c r="K54" s="197">
        <f t="shared" si="3"/>
        <v>597672467.65443599</v>
      </c>
      <c r="L54" s="197">
        <f t="shared" ca="1" si="4"/>
        <v>23906898.70617744</v>
      </c>
      <c r="M54" s="193">
        <f t="shared" si="5"/>
        <v>636581423.69968081</v>
      </c>
      <c r="N54" s="193">
        <f t="shared" ca="1" si="6"/>
        <v>25463256.947987232</v>
      </c>
      <c r="O54" s="198">
        <f t="shared" si="7"/>
        <v>675490379.74492574</v>
      </c>
      <c r="P54" s="198">
        <f t="shared" ca="1" si="8"/>
        <v>27019615.189797029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63091892.199749999</v>
      </c>
      <c r="H55" s="119">
        <f t="shared" si="9"/>
        <v>0</v>
      </c>
      <c r="I55" s="119">
        <f t="shared" si="1"/>
        <v>63091892.199749999</v>
      </c>
      <c r="J55" s="200">
        <f t="shared" si="2"/>
        <v>0.11452361574284095</v>
      </c>
      <c r="K55" s="197">
        <f t="shared" si="3"/>
        <v>432724648.44527036</v>
      </c>
      <c r="L55" s="197">
        <f t="shared" ca="1" si="4"/>
        <v>17308985.937810816</v>
      </c>
      <c r="M55" s="193">
        <f t="shared" si="5"/>
        <v>460270011.81443816</v>
      </c>
      <c r="N55" s="193">
        <f t="shared" ca="1" si="6"/>
        <v>18410800.472577527</v>
      </c>
      <c r="O55" s="198">
        <f t="shared" si="7"/>
        <v>487815375.18360597</v>
      </c>
      <c r="P55" s="198">
        <f t="shared" ca="1" si="8"/>
        <v>19512615.007344238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28929008.617364001</v>
      </c>
      <c r="H56" s="119">
        <f t="shared" si="9"/>
        <v>1847324.3699970001</v>
      </c>
      <c r="I56" s="119">
        <f t="shared" si="1"/>
        <v>30776332.987360999</v>
      </c>
      <c r="J56" s="200">
        <f t="shared" si="2"/>
        <v>4.9127896615659195E-2</v>
      </c>
      <c r="K56" s="197">
        <f t="shared" si="3"/>
        <v>533031637.56996423</v>
      </c>
      <c r="L56" s="197">
        <f t="shared" ca="1" si="4"/>
        <v>21321265.502798568</v>
      </c>
      <c r="M56" s="193">
        <f t="shared" si="5"/>
        <v>564354302.60092676</v>
      </c>
      <c r="N56" s="193">
        <f t="shared" ca="1" si="6"/>
        <v>22574172.104037069</v>
      </c>
      <c r="O56" s="198">
        <f t="shared" si="7"/>
        <v>595676967.63188934</v>
      </c>
      <c r="P56" s="198">
        <f t="shared" ca="1" si="8"/>
        <v>23827078.705275573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68711138.362908006</v>
      </c>
      <c r="H57" s="119">
        <f t="shared" si="9"/>
        <v>13462238.669988001</v>
      </c>
      <c r="I57" s="119">
        <f t="shared" si="1"/>
        <v>82173377.032896012</v>
      </c>
      <c r="J57" s="200">
        <f t="shared" si="2"/>
        <v>7.079692208940952E-2</v>
      </c>
      <c r="K57" s="197">
        <f t="shared" si="3"/>
        <v>962448862.84650493</v>
      </c>
      <c r="L57" s="197">
        <f t="shared" ca="1" si="4"/>
        <v>38497954.513860196</v>
      </c>
      <c r="M57" s="193">
        <f t="shared" si="5"/>
        <v>1020483431.7286937</v>
      </c>
      <c r="N57" s="193">
        <f t="shared" ca="1" si="6"/>
        <v>40819337.269147746</v>
      </c>
      <c r="O57" s="198">
        <f t="shared" si="7"/>
        <v>1078518000.6108828</v>
      </c>
      <c r="P57" s="198">
        <f t="shared" ca="1" si="8"/>
        <v>43140720.024435312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55244852.772550002</v>
      </c>
      <c r="H58" s="119">
        <f t="shared" si="9"/>
        <v>7940297.2999999998</v>
      </c>
      <c r="I58" s="119">
        <f>G58+H58</f>
        <v>63185150.072549999</v>
      </c>
      <c r="J58" s="200">
        <f>IFERROR(I58/F58,0)</f>
        <v>9.4860037682616694E-2</v>
      </c>
      <c r="K58" s="197">
        <f t="shared" si="3"/>
        <v>536294213.99390489</v>
      </c>
      <c r="L58" s="197">
        <f t="shared" ca="1" si="4"/>
        <v>21451768.559756197</v>
      </c>
      <c r="M58" s="193">
        <f t="shared" si="5"/>
        <v>569598623.1087079</v>
      </c>
      <c r="N58" s="193">
        <f t="shared" ca="1" si="6"/>
        <v>22783944.924348317</v>
      </c>
      <c r="O58" s="198">
        <f t="shared" si="7"/>
        <v>602903032.22351098</v>
      </c>
      <c r="P58" s="198">
        <f t="shared" ca="1" si="8"/>
        <v>24116121.288940441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21071160</v>
      </c>
      <c r="H59" s="119">
        <f>IF(D21="",0,D21)</f>
        <v>0</v>
      </c>
      <c r="I59" s="119">
        <f>G59+H59</f>
        <v>21071160</v>
      </c>
      <c r="J59" s="200">
        <f>IFERROR(I59/F59,0)</f>
        <v>4.7473957248134781E-2</v>
      </c>
      <c r="K59" s="197">
        <f t="shared" si="3"/>
        <v>378390884.01877803</v>
      </c>
      <c r="L59" s="197">
        <f t="shared" ca="1" si="4"/>
        <v>15135635.36075112</v>
      </c>
      <c r="M59" s="193">
        <f t="shared" si="5"/>
        <v>400583219.79759902</v>
      </c>
      <c r="N59" s="193">
        <f t="shared" ca="1" si="6"/>
        <v>16023328.791903961</v>
      </c>
      <c r="O59" s="198">
        <f t="shared" si="7"/>
        <v>422775555.57642001</v>
      </c>
      <c r="P59" s="198">
        <f t="shared" ca="1" si="8"/>
        <v>16911022.223056801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39153741.173912004</v>
      </c>
      <c r="H60" s="119">
        <f t="shared" ref="H60:H64" si="10">N15</f>
        <v>5074409.9999670004</v>
      </c>
      <c r="I60" s="119">
        <f t="shared" si="1"/>
        <v>44228151.173879005</v>
      </c>
      <c r="J60" s="200">
        <f t="shared" si="2"/>
        <v>7.012621780506019E-2</v>
      </c>
      <c r="K60" s="197">
        <f t="shared" si="3"/>
        <v>523396017.10999525</v>
      </c>
      <c r="L60" s="197">
        <f t="shared" ca="1" si="4"/>
        <v>20935840.68439981</v>
      </c>
      <c r="M60" s="193">
        <f t="shared" si="5"/>
        <v>554930693.12576604</v>
      </c>
      <c r="N60" s="193">
        <f t="shared" ca="1" si="6"/>
        <v>22197227.725030642</v>
      </c>
      <c r="O60" s="198">
        <f t="shared" si="7"/>
        <v>586465369.14153683</v>
      </c>
      <c r="P60" s="198">
        <f t="shared" ca="1" si="8"/>
        <v>23458614.765661474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44641778.353794999</v>
      </c>
      <c r="H61" s="119">
        <f t="shared" si="10"/>
        <v>3444000</v>
      </c>
      <c r="I61" s="119">
        <f t="shared" si="1"/>
        <v>48085778.353794999</v>
      </c>
      <c r="J61" s="200">
        <f t="shared" si="2"/>
        <v>6.2603529797569571E-2</v>
      </c>
      <c r="K61" s="197">
        <f t="shared" si="3"/>
        <v>643204323.95119715</v>
      </c>
      <c r="L61" s="197">
        <f t="shared" ca="1" si="4"/>
        <v>25728172.958047885</v>
      </c>
      <c r="M61" s="193">
        <f t="shared" si="5"/>
        <v>681609329.63480783</v>
      </c>
      <c r="N61" s="193">
        <f t="shared" ca="1" si="6"/>
        <v>27264373.185392313</v>
      </c>
      <c r="O61" s="198">
        <f t="shared" si="7"/>
        <v>720014335.3184185</v>
      </c>
      <c r="P61" s="198">
        <f t="shared" ca="1" si="8"/>
        <v>28800573.41273674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29103823.732540999</v>
      </c>
      <c r="H62" s="119">
        <f t="shared" si="10"/>
        <v>6344935.1399999997</v>
      </c>
      <c r="I62" s="119">
        <f t="shared" si="1"/>
        <v>35448758.872540995</v>
      </c>
      <c r="J62" s="200">
        <f t="shared" si="2"/>
        <v>6.7070404071451706E-2</v>
      </c>
      <c r="K62" s="197">
        <f t="shared" si="3"/>
        <v>440228753.83930916</v>
      </c>
      <c r="L62" s="197">
        <f t="shared" ca="1" si="4"/>
        <v>17609150.153572366</v>
      </c>
      <c r="M62" s="193">
        <f t="shared" si="5"/>
        <v>466655282.32330084</v>
      </c>
      <c r="N62" s="193">
        <f t="shared" ca="1" si="6"/>
        <v>18666211.292932034</v>
      </c>
      <c r="O62" s="198">
        <f t="shared" si="7"/>
        <v>493081810.80729252</v>
      </c>
      <c r="P62" s="198">
        <f t="shared" ca="1" si="8"/>
        <v>19723272.432291701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29738947.49179</v>
      </c>
      <c r="H63" s="119">
        <f t="shared" si="10"/>
        <v>6194918.8799520005</v>
      </c>
      <c r="I63" s="119">
        <f t="shared" si="1"/>
        <v>35933866.371742003</v>
      </c>
      <c r="J63" s="200">
        <f t="shared" si="2"/>
        <v>3.4870954032360749E-2</v>
      </c>
      <c r="K63" s="197">
        <f t="shared" si="3"/>
        <v>891499312.09981263</v>
      </c>
      <c r="L63" s="197">
        <f t="shared" ca="1" si="4"/>
        <v>35659972.483992502</v>
      </c>
      <c r="M63" s="193">
        <f t="shared" si="5"/>
        <v>943023377.57045448</v>
      </c>
      <c r="N63" s="193">
        <f t="shared" ca="1" si="6"/>
        <v>37720935.102818176</v>
      </c>
      <c r="O63" s="198">
        <f t="shared" si="7"/>
        <v>994547443.04109645</v>
      </c>
      <c r="P63" s="198">
        <f t="shared" ca="1" si="8"/>
        <v>39781897.721643858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19670894.049957</v>
      </c>
      <c r="H64" s="119">
        <f t="shared" si="10"/>
        <v>11259520.469873</v>
      </c>
      <c r="I64" s="119">
        <f t="shared" si="1"/>
        <v>30930414.51983</v>
      </c>
      <c r="J64" s="200">
        <f t="shared" si="2"/>
        <v>5.2565053281681949E-2</v>
      </c>
      <c r="K64" s="197">
        <f t="shared" si="3"/>
        <v>498649055.67825055</v>
      </c>
      <c r="L64" s="197">
        <f t="shared" ca="1" si="4"/>
        <v>19945962.227130022</v>
      </c>
      <c r="M64" s="193">
        <f t="shared" si="5"/>
        <v>528070137.35592163</v>
      </c>
      <c r="N64" s="193">
        <f t="shared" ca="1" si="6"/>
        <v>21122805.494236864</v>
      </c>
      <c r="O64" s="198">
        <f t="shared" si="7"/>
        <v>557491219.03359282</v>
      </c>
      <c r="P64" s="198">
        <f t="shared" ca="1" si="8"/>
        <v>22299648.761343714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573329264.5746671</v>
      </c>
      <c r="H65" s="144">
        <f>SUM(H51:H64)</f>
        <v>76406739.809745997</v>
      </c>
      <c r="I65" s="144">
        <f>SUM(I51:I64)</f>
        <v>649736004.384413</v>
      </c>
      <c r="J65" s="203">
        <f>IFERROR(I65/F65,0)</f>
        <v>6.8840712003450072E-2</v>
      </c>
      <c r="K65" s="194">
        <f>SUM(K51:K64)</f>
        <v>7844691013.1145525</v>
      </c>
      <c r="L65" s="194">
        <f t="shared" ca="1" si="4"/>
        <v>313787640.52458209</v>
      </c>
      <c r="M65" s="194">
        <f>SUM(M51:M64)</f>
        <v>8316603625.1978302</v>
      </c>
      <c r="N65" s="194">
        <f t="shared" ca="1" si="6"/>
        <v>332664145.00791323</v>
      </c>
      <c r="O65" s="199">
        <f>SUM(O51:O64)</f>
        <v>8788516237.281105</v>
      </c>
      <c r="P65" s="199">
        <f t="shared" ca="1" si="8"/>
        <v>351540649.4912442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13222883.19998</v>
      </c>
      <c r="F69" s="200">
        <f t="shared" ref="F69:F74" si="12">IFERROR(E69/D69,0)</f>
        <v>4.4356986842766323E-2</v>
      </c>
      <c r="G69" s="197">
        <f>D69*$H$41-E69</f>
        <v>255068444.2106584</v>
      </c>
      <c r="H69" s="197">
        <f t="shared" ref="H69:H74" ca="1" si="13">IFERROR(G69/$C$3,0)</f>
        <v>10202737.768426336</v>
      </c>
      <c r="I69" s="218">
        <f>D69*$J$41-E69</f>
        <v>269973517.95569384</v>
      </c>
      <c r="J69" s="218">
        <f t="shared" ref="J69:J74" ca="1" si="14">IFERROR(I69/$C$3,0)</f>
        <v>10798940.718227753</v>
      </c>
      <c r="K69" s="198">
        <f>D69*$L$41-E69</f>
        <v>284878591.70072931</v>
      </c>
      <c r="L69" s="198">
        <f t="shared" ref="L69:L74" ca="1" si="15">IFERROR(K69/$C$3,0)</f>
        <v>11395143.668029172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39491365.929448999</v>
      </c>
      <c r="F70" s="200">
        <f t="shared" si="12"/>
        <v>8.9467948905170236E-2</v>
      </c>
      <c r="G70" s="197">
        <f>D70*$H$41-E70</f>
        <v>357770779.58118939</v>
      </c>
      <c r="H70" s="197">
        <f t="shared" ca="1" si="13"/>
        <v>14310831.183247576</v>
      </c>
      <c r="I70" s="218">
        <f>D70*$J$41-E70</f>
        <v>379840898.77622485</v>
      </c>
      <c r="J70" s="218">
        <f t="shared" ca="1" si="14"/>
        <v>15193635.951048994</v>
      </c>
      <c r="K70" s="198">
        <f>D70*$L$41-E70</f>
        <v>401911017.97126031</v>
      </c>
      <c r="L70" s="198">
        <f t="shared" ca="1" si="15"/>
        <v>16076440.718850411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68181843.779318005</v>
      </c>
      <c r="F71" s="200">
        <f t="shared" si="12"/>
        <v>6.0527876607809894E-2</v>
      </c>
      <c r="G71" s="197">
        <f>D71*$H$41-E71</f>
        <v>945626385.42706501</v>
      </c>
      <c r="H71" s="197">
        <f t="shared" ca="1" si="13"/>
        <v>37825055.4170826</v>
      </c>
      <c r="I71" s="218">
        <f>D71*$J$41-E71</f>
        <v>1001949064.8274196</v>
      </c>
      <c r="J71" s="218">
        <f t="shared" ca="1" si="14"/>
        <v>40077962.593096785</v>
      </c>
      <c r="K71" s="198">
        <f>D71*$L$41-E71</f>
        <v>1058271744.2277743</v>
      </c>
      <c r="L71" s="198">
        <f t="shared" ca="1" si="15"/>
        <v>42330869.76911097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120896092.908747</v>
      </c>
      <c r="F74" s="188">
        <f t="shared" si="12"/>
        <v>6.4790380464208763E-2</v>
      </c>
      <c r="G74" s="194">
        <f>SUM(G69:G73)</f>
        <v>1558465609.2189128</v>
      </c>
      <c r="H74" s="194">
        <f t="shared" ca="1" si="13"/>
        <v>62338624.36875651</v>
      </c>
      <c r="I74" s="199">
        <f>SUM(I69:I73)</f>
        <v>1651763481.5593383</v>
      </c>
      <c r="J74" s="199">
        <f t="shared" ca="1" si="14"/>
        <v>66070539.262373537</v>
      </c>
      <c r="K74" s="199">
        <f>SUM(K69:K73)</f>
        <v>1745061353.8997641</v>
      </c>
      <c r="L74" s="199">
        <f t="shared" ca="1" si="15"/>
        <v>69802454.155990556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14529729.439999999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9477477.3399999999</v>
      </c>
    </row>
    <row r="82" spans="2:4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29931531.469999999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4864864.8</v>
      </c>
    </row>
    <row r="86" spans="2:4" x14ac:dyDescent="0.25">
      <c r="B86" s="53" t="s">
        <v>76</v>
      </c>
      <c r="C86" s="56" t="s">
        <v>77</v>
      </c>
      <c r="D86" s="141">
        <f>IF(E17="",0,E17)</f>
        <v>122332432.549987</v>
      </c>
    </row>
    <row r="87" spans="2:4" x14ac:dyDescent="0.25">
      <c r="B87" s="50" t="s">
        <v>78</v>
      </c>
      <c r="C87" s="55" t="s">
        <v>79</v>
      </c>
      <c r="D87" s="140">
        <f>IF(E23="",0,E23)</f>
        <v>24518919.269939002</v>
      </c>
    </row>
    <row r="88" spans="2:4" x14ac:dyDescent="0.25">
      <c r="B88" s="53" t="s">
        <v>174</v>
      </c>
      <c r="C88" s="56" t="s">
        <v>176</v>
      </c>
      <c r="D88" s="141">
        <f>IF(E21="",0,E21)</f>
        <v>1729729.68</v>
      </c>
    </row>
    <row r="89" spans="2:4" x14ac:dyDescent="0.25">
      <c r="B89" s="53" t="s">
        <v>80</v>
      </c>
      <c r="C89" s="56" t="s">
        <v>81</v>
      </c>
      <c r="D89" s="141">
        <f>IF(E11="",0,E11)</f>
        <v>810810.8</v>
      </c>
    </row>
    <row r="90" spans="2:4" x14ac:dyDescent="0.25">
      <c r="B90" s="50" t="s">
        <v>82</v>
      </c>
      <c r="C90" s="55" t="s">
        <v>83</v>
      </c>
      <c r="D90" s="140">
        <f>IF(E24="",0,E24)</f>
        <v>25540901.119972002</v>
      </c>
    </row>
    <row r="91" spans="2:4" x14ac:dyDescent="0.25">
      <c r="B91" s="53" t="s">
        <v>84</v>
      </c>
      <c r="C91" s="56" t="s">
        <v>85</v>
      </c>
      <c r="D91" s="141">
        <f>IF(E10="",0,E10)</f>
        <v>11463062.640000001</v>
      </c>
    </row>
    <row r="92" spans="2:4" x14ac:dyDescent="0.25">
      <c r="B92" s="50" t="s">
        <v>86</v>
      </c>
      <c r="C92" s="55" t="s">
        <v>87</v>
      </c>
      <c r="D92" s="140">
        <f>IF(E27="",0,E27)</f>
        <v>194594.6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3318919</v>
      </c>
    </row>
    <row r="94" spans="2:4" x14ac:dyDescent="0.25">
      <c r="B94" s="57" t="s">
        <v>152</v>
      </c>
      <c r="C94" s="58"/>
      <c r="D94" s="125">
        <f>SUM(D80:D93)</f>
        <v>248712972.70989802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163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165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177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179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2026-08-03T00:52:12Z</dcterms:modified>
  <dc:language>en-US</dc:language>
</cp:coreProperties>
</file>