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1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w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20490" windowHeight="7755" tabRatio="500" firstSheet="4" activeTab="11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9" i="14" l="1"/>
  <c r="E70" i="14"/>
  <c r="E72" i="14"/>
  <c r="E73" i="14"/>
  <c r="E69" i="13"/>
  <c r="E70" i="13"/>
  <c r="E72" i="13"/>
  <c r="E73" i="13"/>
  <c r="E69" i="12"/>
  <c r="E70" i="12"/>
  <c r="E72" i="12"/>
  <c r="E73" i="12"/>
  <c r="E69" i="11"/>
  <c r="E70" i="11"/>
  <c r="E72" i="11"/>
  <c r="E73" i="11"/>
  <c r="E69" i="10"/>
  <c r="E70" i="10"/>
  <c r="E72" i="10"/>
  <c r="E73" i="10"/>
  <c r="J64" i="14"/>
  <c r="I64" i="14"/>
  <c r="H64" i="14"/>
  <c r="J63" i="14"/>
  <c r="I63" i="14"/>
  <c r="H63" i="14"/>
  <c r="J62" i="14"/>
  <c r="I62" i="14"/>
  <c r="H62" i="14"/>
  <c r="J61" i="14"/>
  <c r="I61" i="14"/>
  <c r="H61" i="14"/>
  <c r="J60" i="14"/>
  <c r="I60" i="14"/>
  <c r="H60" i="14"/>
  <c r="J59" i="14"/>
  <c r="I59" i="14"/>
  <c r="H59" i="14"/>
  <c r="J58" i="14"/>
  <c r="I58" i="14"/>
  <c r="H58" i="14"/>
  <c r="J57" i="14"/>
  <c r="I57" i="14"/>
  <c r="H57" i="14"/>
  <c r="J56" i="14"/>
  <c r="I56" i="14"/>
  <c r="H56" i="14"/>
  <c r="J55" i="14"/>
  <c r="I55" i="14"/>
  <c r="H55" i="14"/>
  <c r="J54" i="14"/>
  <c r="I54" i="14"/>
  <c r="H54" i="14"/>
  <c r="J53" i="14"/>
  <c r="I53" i="14"/>
  <c r="H53" i="14"/>
  <c r="J52" i="14"/>
  <c r="I52" i="14"/>
  <c r="H52" i="14"/>
  <c r="J51" i="14"/>
  <c r="I51" i="14"/>
  <c r="H51" i="14"/>
  <c r="J64" i="13"/>
  <c r="I64" i="13"/>
  <c r="H64" i="13"/>
  <c r="J63" i="13"/>
  <c r="I63" i="13"/>
  <c r="H63" i="13"/>
  <c r="J62" i="13"/>
  <c r="I62" i="13"/>
  <c r="H62" i="13"/>
  <c r="J61" i="13"/>
  <c r="I61" i="13"/>
  <c r="H61" i="13"/>
  <c r="J60" i="13"/>
  <c r="I60" i="13"/>
  <c r="H60" i="13"/>
  <c r="J59" i="13"/>
  <c r="I59" i="13"/>
  <c r="H59" i="13"/>
  <c r="J58" i="13"/>
  <c r="I58" i="13"/>
  <c r="H58" i="13"/>
  <c r="J57" i="13"/>
  <c r="I57" i="13"/>
  <c r="H57" i="13"/>
  <c r="J56" i="13"/>
  <c r="I56" i="13"/>
  <c r="H56" i="13"/>
  <c r="J55" i="13"/>
  <c r="I55" i="13"/>
  <c r="H55" i="13"/>
  <c r="J54" i="13"/>
  <c r="I54" i="13"/>
  <c r="H54" i="13"/>
  <c r="J53" i="13"/>
  <c r="I53" i="13"/>
  <c r="H53" i="13"/>
  <c r="J52" i="13"/>
  <c r="I52" i="13"/>
  <c r="H52" i="13"/>
  <c r="J51" i="13"/>
  <c r="I51" i="13"/>
  <c r="H51" i="13"/>
  <c r="J64" i="12"/>
  <c r="I64" i="12"/>
  <c r="H64" i="12"/>
  <c r="J63" i="12"/>
  <c r="I63" i="12"/>
  <c r="H63" i="12"/>
  <c r="J62" i="12"/>
  <c r="I62" i="12"/>
  <c r="H62" i="12"/>
  <c r="J61" i="12"/>
  <c r="I61" i="12"/>
  <c r="H61" i="12"/>
  <c r="J60" i="12"/>
  <c r="I60" i="12"/>
  <c r="H60" i="12"/>
  <c r="J59" i="12"/>
  <c r="I59" i="12"/>
  <c r="H59" i="12"/>
  <c r="J58" i="12"/>
  <c r="I58" i="12"/>
  <c r="H58" i="12"/>
  <c r="J57" i="12"/>
  <c r="I57" i="12"/>
  <c r="H57" i="12"/>
  <c r="J56" i="12"/>
  <c r="I56" i="12"/>
  <c r="H56" i="12"/>
  <c r="J55" i="12"/>
  <c r="I55" i="12"/>
  <c r="H55" i="12"/>
  <c r="J54" i="12"/>
  <c r="I54" i="12"/>
  <c r="H54" i="12"/>
  <c r="J53" i="12"/>
  <c r="I53" i="12"/>
  <c r="H53" i="12"/>
  <c r="J52" i="12"/>
  <c r="I52" i="12"/>
  <c r="H52" i="12"/>
  <c r="J51" i="12"/>
  <c r="I51" i="12"/>
  <c r="H51" i="12"/>
  <c r="J64" i="10"/>
  <c r="I64" i="10"/>
  <c r="H64" i="10"/>
  <c r="J63" i="10"/>
  <c r="I63" i="10"/>
  <c r="H63" i="10"/>
  <c r="J62" i="10"/>
  <c r="I62" i="10"/>
  <c r="H62" i="10"/>
  <c r="J61" i="10"/>
  <c r="I61" i="10"/>
  <c r="H61" i="10"/>
  <c r="J60" i="10"/>
  <c r="I60" i="10"/>
  <c r="H60" i="10"/>
  <c r="J59" i="10"/>
  <c r="I59" i="10"/>
  <c r="H59" i="10"/>
  <c r="J58" i="10"/>
  <c r="I58" i="10"/>
  <c r="H58" i="10"/>
  <c r="J57" i="10"/>
  <c r="I57" i="10"/>
  <c r="H57" i="10"/>
  <c r="J56" i="10"/>
  <c r="I56" i="10"/>
  <c r="H56" i="10"/>
  <c r="J55" i="10"/>
  <c r="I55" i="10"/>
  <c r="H55" i="10"/>
  <c r="J54" i="10"/>
  <c r="I54" i="10"/>
  <c r="H54" i="10"/>
  <c r="J53" i="10"/>
  <c r="I53" i="10"/>
  <c r="H53" i="10"/>
  <c r="J52" i="10"/>
  <c r="I52" i="10"/>
  <c r="H52" i="10"/>
  <c r="J51" i="10"/>
  <c r="I51" i="10"/>
  <c r="H51" i="10"/>
  <c r="J64" i="11" l="1"/>
  <c r="I64" i="11"/>
  <c r="H64" i="11"/>
  <c r="J63" i="11"/>
  <c r="I63" i="11"/>
  <c r="H63" i="11"/>
  <c r="J62" i="11"/>
  <c r="I62" i="11"/>
  <c r="H62" i="11"/>
  <c r="J61" i="11"/>
  <c r="I61" i="11"/>
  <c r="H61" i="11"/>
  <c r="J60" i="11"/>
  <c r="I60" i="11"/>
  <c r="H60" i="11"/>
  <c r="J59" i="11"/>
  <c r="I59" i="11"/>
  <c r="H59" i="11"/>
  <c r="J58" i="11"/>
  <c r="I58" i="11"/>
  <c r="H58" i="11"/>
  <c r="J57" i="11"/>
  <c r="I57" i="11"/>
  <c r="H57" i="11"/>
  <c r="J56" i="11"/>
  <c r="I56" i="11"/>
  <c r="H56" i="11"/>
  <c r="J55" i="11"/>
  <c r="I55" i="11"/>
  <c r="H55" i="11"/>
  <c r="J54" i="11"/>
  <c r="I54" i="11"/>
  <c r="H54" i="11"/>
  <c r="J53" i="11"/>
  <c r="I53" i="11"/>
  <c r="H53" i="11"/>
  <c r="J52" i="11"/>
  <c r="I52" i="11"/>
  <c r="H52" i="11"/>
  <c r="J51" i="11"/>
  <c r="I51" i="11"/>
  <c r="H51" i="11"/>
  <c r="M7" i="11"/>
  <c r="M20" i="11" s="1"/>
  <c r="M21" i="11" s="1"/>
  <c r="E71" i="11" s="1"/>
  <c r="N7" i="11"/>
  <c r="U93" i="14" l="1"/>
  <c r="T93" i="14"/>
  <c r="D93" i="14" s="1"/>
  <c r="U92" i="14"/>
  <c r="T92" i="14"/>
  <c r="D92" i="14" s="1"/>
  <c r="U91" i="14"/>
  <c r="T91" i="14"/>
  <c r="D91" i="14" s="1"/>
  <c r="U90" i="14"/>
  <c r="T90" i="14"/>
  <c r="U89" i="14"/>
  <c r="T89" i="14"/>
  <c r="D89" i="14" s="1"/>
  <c r="U88" i="14"/>
  <c r="T88" i="14"/>
  <c r="D88" i="14" s="1"/>
  <c r="U87" i="14"/>
  <c r="T87" i="14"/>
  <c r="D87" i="14" s="1"/>
  <c r="U86" i="14"/>
  <c r="T86" i="14"/>
  <c r="U85" i="14"/>
  <c r="T85" i="14"/>
  <c r="D85" i="14" s="1"/>
  <c r="U84" i="14"/>
  <c r="T84" i="14"/>
  <c r="D84" i="14" s="1"/>
  <c r="U83" i="14"/>
  <c r="T83" i="14"/>
  <c r="D83" i="14" s="1"/>
  <c r="U82" i="14"/>
  <c r="T82" i="14"/>
  <c r="U81" i="14"/>
  <c r="T81" i="14"/>
  <c r="D81" i="14" s="1"/>
  <c r="U80" i="14"/>
  <c r="T80" i="14"/>
  <c r="D80" i="14" s="1"/>
  <c r="D73" i="14"/>
  <c r="K73" i="14" s="1"/>
  <c r="D72" i="14"/>
  <c r="D71" i="14"/>
  <c r="D70" i="14"/>
  <c r="D69" i="14"/>
  <c r="K69" i="14" s="1"/>
  <c r="L68" i="14"/>
  <c r="K68" i="14"/>
  <c r="J68" i="14"/>
  <c r="I68" i="14"/>
  <c r="H68" i="14"/>
  <c r="G68" i="14"/>
  <c r="E65" i="14"/>
  <c r="F64" i="14"/>
  <c r="D64" i="14"/>
  <c r="K63" i="14"/>
  <c r="F63" i="14"/>
  <c r="D63" i="14"/>
  <c r="K62" i="14"/>
  <c r="F62" i="14"/>
  <c r="D62" i="14"/>
  <c r="K61" i="14"/>
  <c r="F61" i="14"/>
  <c r="D61" i="14"/>
  <c r="F60" i="14"/>
  <c r="D60" i="14"/>
  <c r="F59" i="14"/>
  <c r="D59" i="14"/>
  <c r="K58" i="14"/>
  <c r="F58" i="14"/>
  <c r="D58" i="14"/>
  <c r="K57" i="14"/>
  <c r="F57" i="14"/>
  <c r="D57" i="14"/>
  <c r="K56" i="14"/>
  <c r="F56" i="14"/>
  <c r="D56" i="14"/>
  <c r="F55" i="14"/>
  <c r="D55" i="14"/>
  <c r="G55" i="14" s="1"/>
  <c r="F54" i="14"/>
  <c r="D54" i="14"/>
  <c r="G54" i="14" s="1"/>
  <c r="F53" i="14"/>
  <c r="D53" i="14"/>
  <c r="F52" i="14"/>
  <c r="D52" i="14"/>
  <c r="F51" i="14"/>
  <c r="D51" i="14"/>
  <c r="R49" i="14"/>
  <c r="Q49" i="14"/>
  <c r="P49" i="14"/>
  <c r="O49" i="14"/>
  <c r="N49" i="14"/>
  <c r="M49" i="14"/>
  <c r="D45" i="14"/>
  <c r="D44" i="14"/>
  <c r="D43" i="14"/>
  <c r="D42" i="14"/>
  <c r="L41" i="14"/>
  <c r="K41" i="14"/>
  <c r="J41" i="14"/>
  <c r="I41" i="14"/>
  <c r="H41" i="14"/>
  <c r="G41" i="14"/>
  <c r="F40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O7" i="14"/>
  <c r="N7" i="14"/>
  <c r="M7" i="14"/>
  <c r="M20" i="14" s="1"/>
  <c r="M21" i="14" s="1"/>
  <c r="E71" i="14" s="1"/>
  <c r="E3" i="14"/>
  <c r="J2" i="14" s="1"/>
  <c r="C3" i="14"/>
  <c r="U93" i="13"/>
  <c r="T93" i="13"/>
  <c r="U92" i="13"/>
  <c r="T92" i="13"/>
  <c r="U91" i="13"/>
  <c r="T91" i="13"/>
  <c r="U90" i="13"/>
  <c r="T90" i="13"/>
  <c r="U89" i="13"/>
  <c r="T89" i="13"/>
  <c r="U88" i="13"/>
  <c r="T88" i="13"/>
  <c r="U87" i="13"/>
  <c r="T87" i="13"/>
  <c r="U86" i="13"/>
  <c r="T86" i="13"/>
  <c r="U85" i="13"/>
  <c r="T85" i="13"/>
  <c r="U84" i="13"/>
  <c r="T84" i="13"/>
  <c r="U83" i="13"/>
  <c r="T83" i="13"/>
  <c r="U82" i="13"/>
  <c r="T82" i="13"/>
  <c r="U81" i="13"/>
  <c r="T81" i="13"/>
  <c r="U80" i="13"/>
  <c r="T80" i="13"/>
  <c r="D73" i="13"/>
  <c r="G73" i="13" s="1"/>
  <c r="D72" i="13"/>
  <c r="D71" i="13"/>
  <c r="D70" i="13"/>
  <c r="D69" i="13"/>
  <c r="K69" i="13" s="1"/>
  <c r="L68" i="13"/>
  <c r="K68" i="13"/>
  <c r="J68" i="13"/>
  <c r="I68" i="13"/>
  <c r="H68" i="13"/>
  <c r="G68" i="13"/>
  <c r="F64" i="13"/>
  <c r="E64" i="13"/>
  <c r="D64" i="13"/>
  <c r="K63" i="13"/>
  <c r="F63" i="13"/>
  <c r="E63" i="13"/>
  <c r="D63" i="13"/>
  <c r="F62" i="13"/>
  <c r="E62" i="13"/>
  <c r="D62" i="13"/>
  <c r="F61" i="13"/>
  <c r="E61" i="13"/>
  <c r="D61" i="13"/>
  <c r="F60" i="13"/>
  <c r="E60" i="13"/>
  <c r="D60" i="13"/>
  <c r="K59" i="13"/>
  <c r="F59" i="13"/>
  <c r="E59" i="13"/>
  <c r="D59" i="13"/>
  <c r="F58" i="13"/>
  <c r="E58" i="13"/>
  <c r="D58" i="13"/>
  <c r="F57" i="13"/>
  <c r="E57" i="13"/>
  <c r="D57" i="13"/>
  <c r="K56" i="13"/>
  <c r="F56" i="13"/>
  <c r="E56" i="13"/>
  <c r="D56" i="13"/>
  <c r="K55" i="13"/>
  <c r="F55" i="13"/>
  <c r="E55" i="13"/>
  <c r="D55" i="13"/>
  <c r="F54" i="13"/>
  <c r="E54" i="13"/>
  <c r="D54" i="13"/>
  <c r="K53" i="13"/>
  <c r="F53" i="13"/>
  <c r="E53" i="13"/>
  <c r="D53" i="13"/>
  <c r="F52" i="13"/>
  <c r="E52" i="13"/>
  <c r="D52" i="13"/>
  <c r="F51" i="13"/>
  <c r="E51" i="13"/>
  <c r="D51" i="13"/>
  <c r="R49" i="13"/>
  <c r="Q49" i="13"/>
  <c r="P49" i="13"/>
  <c r="O49" i="13"/>
  <c r="N49" i="13"/>
  <c r="M49" i="13"/>
  <c r="D45" i="13"/>
  <c r="D44" i="13"/>
  <c r="K44" i="13" s="1"/>
  <c r="D43" i="13"/>
  <c r="D42" i="13"/>
  <c r="L41" i="13"/>
  <c r="K41" i="13"/>
  <c r="J41" i="13"/>
  <c r="I41" i="13"/>
  <c r="H41" i="13"/>
  <c r="G41" i="13"/>
  <c r="F40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O7" i="13"/>
  <c r="N7" i="13"/>
  <c r="M7" i="13"/>
  <c r="M20" i="13" s="1"/>
  <c r="M21" i="13" s="1"/>
  <c r="E71" i="13" s="1"/>
  <c r="E3" i="13"/>
  <c r="J2" i="13" s="1"/>
  <c r="C3" i="13"/>
  <c r="U93" i="12"/>
  <c r="T93" i="12"/>
  <c r="U92" i="12"/>
  <c r="T92" i="12"/>
  <c r="U91" i="12"/>
  <c r="T91" i="12"/>
  <c r="U90" i="12"/>
  <c r="T90" i="12"/>
  <c r="D90" i="12" s="1"/>
  <c r="U89" i="12"/>
  <c r="T89" i="12"/>
  <c r="U88" i="12"/>
  <c r="T88" i="12"/>
  <c r="D88" i="12" s="1"/>
  <c r="U87" i="12"/>
  <c r="T87" i="12"/>
  <c r="U86" i="12"/>
  <c r="T86" i="12"/>
  <c r="D86" i="12" s="1"/>
  <c r="U85" i="12"/>
  <c r="T85" i="12"/>
  <c r="U84" i="12"/>
  <c r="T84" i="12"/>
  <c r="D84" i="12" s="1"/>
  <c r="U83" i="12"/>
  <c r="T83" i="12"/>
  <c r="U82" i="12"/>
  <c r="T82" i="12"/>
  <c r="D82" i="12" s="1"/>
  <c r="U81" i="12"/>
  <c r="T81" i="12"/>
  <c r="U80" i="12"/>
  <c r="T80" i="12"/>
  <c r="D80" i="12" s="1"/>
  <c r="D73" i="12"/>
  <c r="F73" i="12" s="1"/>
  <c r="D72" i="12"/>
  <c r="D71" i="12"/>
  <c r="D70" i="12"/>
  <c r="D69" i="12"/>
  <c r="L68" i="12"/>
  <c r="K68" i="12"/>
  <c r="J68" i="12"/>
  <c r="I68" i="12"/>
  <c r="H68" i="12"/>
  <c r="G68" i="12"/>
  <c r="K64" i="12"/>
  <c r="F64" i="12"/>
  <c r="E64" i="12"/>
  <c r="D64" i="12"/>
  <c r="F63" i="12"/>
  <c r="E63" i="12"/>
  <c r="D63" i="12"/>
  <c r="F62" i="12"/>
  <c r="E62" i="12"/>
  <c r="D62" i="12"/>
  <c r="F61" i="12"/>
  <c r="E61" i="12"/>
  <c r="D61" i="12"/>
  <c r="F60" i="12"/>
  <c r="E60" i="12"/>
  <c r="D60" i="12"/>
  <c r="K59" i="12"/>
  <c r="F59" i="12"/>
  <c r="E59" i="12"/>
  <c r="D59" i="12"/>
  <c r="F58" i="12"/>
  <c r="E58" i="12"/>
  <c r="D58" i="12"/>
  <c r="K57" i="12"/>
  <c r="F57" i="12"/>
  <c r="E57" i="12"/>
  <c r="D57" i="12"/>
  <c r="K56" i="12"/>
  <c r="F56" i="12"/>
  <c r="E56" i="12"/>
  <c r="D56" i="12"/>
  <c r="F55" i="12"/>
  <c r="E55" i="12"/>
  <c r="D55" i="12"/>
  <c r="K54" i="12"/>
  <c r="F54" i="12"/>
  <c r="E54" i="12"/>
  <c r="D54" i="12"/>
  <c r="F53" i="12"/>
  <c r="E53" i="12"/>
  <c r="D53" i="12"/>
  <c r="F52" i="12"/>
  <c r="E52" i="12"/>
  <c r="D52" i="12"/>
  <c r="F51" i="12"/>
  <c r="E51" i="12"/>
  <c r="D51" i="12"/>
  <c r="R49" i="12"/>
  <c r="Q49" i="12"/>
  <c r="P49" i="12"/>
  <c r="O49" i="12"/>
  <c r="N49" i="12"/>
  <c r="M49" i="12"/>
  <c r="D45" i="12"/>
  <c r="D44" i="12"/>
  <c r="D43" i="12"/>
  <c r="D42" i="12"/>
  <c r="L41" i="12"/>
  <c r="K41" i="12"/>
  <c r="J41" i="12"/>
  <c r="I41" i="12"/>
  <c r="H41" i="12"/>
  <c r="G41" i="12"/>
  <c r="F40" i="12"/>
  <c r="O7" i="12"/>
  <c r="N7" i="12"/>
  <c r="M7" i="12"/>
  <c r="M20" i="12" s="1"/>
  <c r="M21" i="12" s="1"/>
  <c r="E71" i="12" s="1"/>
  <c r="E3" i="12"/>
  <c r="J2" i="12" s="1"/>
  <c r="C3" i="12"/>
  <c r="U93" i="11"/>
  <c r="T93" i="11"/>
  <c r="U92" i="11"/>
  <c r="T92" i="11"/>
  <c r="U91" i="11"/>
  <c r="T91" i="11"/>
  <c r="U90" i="11"/>
  <c r="T90" i="11"/>
  <c r="U89" i="11"/>
  <c r="T89" i="11"/>
  <c r="U88" i="11"/>
  <c r="T88" i="11"/>
  <c r="U87" i="11"/>
  <c r="T87" i="11"/>
  <c r="U86" i="11"/>
  <c r="T86" i="11"/>
  <c r="U85" i="11"/>
  <c r="T85" i="11"/>
  <c r="U84" i="11"/>
  <c r="T84" i="11"/>
  <c r="U83" i="11"/>
  <c r="T83" i="11"/>
  <c r="U82" i="11"/>
  <c r="T82" i="11"/>
  <c r="U81" i="11"/>
  <c r="T81" i="11"/>
  <c r="U80" i="11"/>
  <c r="T80" i="11"/>
  <c r="D73" i="11"/>
  <c r="D72" i="11"/>
  <c r="D71" i="11"/>
  <c r="D70" i="11"/>
  <c r="D69" i="11"/>
  <c r="L68" i="11"/>
  <c r="K68" i="11"/>
  <c r="J68" i="11"/>
  <c r="I68" i="11"/>
  <c r="H68" i="11"/>
  <c r="G68" i="11"/>
  <c r="K64" i="11"/>
  <c r="F64" i="11"/>
  <c r="E64" i="11"/>
  <c r="D64" i="11"/>
  <c r="F63" i="11"/>
  <c r="E63" i="11"/>
  <c r="D63" i="11"/>
  <c r="F62" i="11"/>
  <c r="E62" i="11"/>
  <c r="D62" i="11"/>
  <c r="F61" i="11"/>
  <c r="E61" i="11"/>
  <c r="D61" i="11"/>
  <c r="K60" i="11"/>
  <c r="F60" i="11"/>
  <c r="E60" i="11"/>
  <c r="D60" i="11"/>
  <c r="F59" i="11"/>
  <c r="E59" i="11"/>
  <c r="D59" i="11"/>
  <c r="F58" i="11"/>
  <c r="E58" i="11"/>
  <c r="D58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E53" i="11"/>
  <c r="D53" i="11"/>
  <c r="F52" i="11"/>
  <c r="E52" i="11"/>
  <c r="D52" i="11"/>
  <c r="F51" i="11"/>
  <c r="E51" i="11"/>
  <c r="D51" i="11"/>
  <c r="R49" i="11"/>
  <c r="Q49" i="11"/>
  <c r="P49" i="11"/>
  <c r="O49" i="11"/>
  <c r="N49" i="11"/>
  <c r="M49" i="11"/>
  <c r="D45" i="11"/>
  <c r="D44" i="11"/>
  <c r="D43" i="11"/>
  <c r="D42" i="11"/>
  <c r="L41" i="11"/>
  <c r="K41" i="11"/>
  <c r="J41" i="11"/>
  <c r="I41" i="11"/>
  <c r="H41" i="11"/>
  <c r="G41" i="11"/>
  <c r="F40" i="11"/>
  <c r="O7" i="11"/>
  <c r="E3" i="11"/>
  <c r="J2" i="11" s="1"/>
  <c r="C3" i="11"/>
  <c r="U93" i="10"/>
  <c r="T93" i="10"/>
  <c r="U92" i="10"/>
  <c r="T92" i="10"/>
  <c r="U91" i="10"/>
  <c r="T91" i="10"/>
  <c r="U90" i="10"/>
  <c r="T90" i="10"/>
  <c r="U89" i="10"/>
  <c r="T89" i="10"/>
  <c r="U88" i="10"/>
  <c r="T88" i="10"/>
  <c r="U87" i="10"/>
  <c r="T87" i="10"/>
  <c r="U86" i="10"/>
  <c r="T86" i="10"/>
  <c r="U85" i="10"/>
  <c r="T85" i="10"/>
  <c r="U84" i="10"/>
  <c r="T84" i="10"/>
  <c r="U83" i="10"/>
  <c r="T83" i="10"/>
  <c r="U82" i="10"/>
  <c r="T82" i="10"/>
  <c r="U81" i="10"/>
  <c r="T81" i="10"/>
  <c r="U80" i="10"/>
  <c r="T80" i="10"/>
  <c r="D73" i="10"/>
  <c r="F73" i="10" s="1"/>
  <c r="D72" i="10"/>
  <c r="D71" i="10"/>
  <c r="D70" i="10"/>
  <c r="D69" i="10"/>
  <c r="L68" i="10"/>
  <c r="K68" i="10"/>
  <c r="J68" i="10"/>
  <c r="I68" i="10"/>
  <c r="H68" i="10"/>
  <c r="G68" i="10"/>
  <c r="F64" i="10"/>
  <c r="E64" i="10"/>
  <c r="D64" i="10"/>
  <c r="F63" i="10"/>
  <c r="E63" i="10"/>
  <c r="D63" i="10"/>
  <c r="K62" i="10"/>
  <c r="F62" i="10"/>
  <c r="E62" i="10"/>
  <c r="D62" i="10"/>
  <c r="K61" i="10"/>
  <c r="F61" i="10"/>
  <c r="E61" i="10"/>
  <c r="D61" i="10"/>
  <c r="F60" i="10"/>
  <c r="E60" i="10"/>
  <c r="D60" i="10"/>
  <c r="F59" i="10"/>
  <c r="E59" i="10"/>
  <c r="D59" i="10"/>
  <c r="F58" i="10"/>
  <c r="E58" i="10"/>
  <c r="D58" i="10"/>
  <c r="F57" i="10"/>
  <c r="E57" i="10"/>
  <c r="D57" i="10"/>
  <c r="F56" i="10"/>
  <c r="E56" i="10"/>
  <c r="D56" i="10"/>
  <c r="F55" i="10"/>
  <c r="E55" i="10"/>
  <c r="D55" i="10"/>
  <c r="F54" i="10"/>
  <c r="E54" i="10"/>
  <c r="D54" i="10"/>
  <c r="F53" i="10"/>
  <c r="E53" i="10"/>
  <c r="D53" i="10"/>
  <c r="K52" i="10"/>
  <c r="F52" i="10"/>
  <c r="E52" i="10"/>
  <c r="D52" i="10"/>
  <c r="F51" i="10"/>
  <c r="E51" i="10"/>
  <c r="D51" i="10"/>
  <c r="R49" i="10"/>
  <c r="Q49" i="10"/>
  <c r="P49" i="10"/>
  <c r="O49" i="10"/>
  <c r="N49" i="10"/>
  <c r="M49" i="10"/>
  <c r="D45" i="10"/>
  <c r="D44" i="10"/>
  <c r="D43" i="10"/>
  <c r="D42" i="10"/>
  <c r="L41" i="10"/>
  <c r="K41" i="10"/>
  <c r="J41" i="10"/>
  <c r="I41" i="10"/>
  <c r="H41" i="10"/>
  <c r="G41" i="10"/>
  <c r="F40" i="10"/>
  <c r="O7" i="10"/>
  <c r="N7" i="10"/>
  <c r="M7" i="10"/>
  <c r="M20" i="10" s="1"/>
  <c r="M21" i="10" s="1"/>
  <c r="E71" i="10" s="1"/>
  <c r="E3" i="10"/>
  <c r="J2" i="10" s="1"/>
  <c r="C3" i="10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E73" i="9"/>
  <c r="D73" i="9"/>
  <c r="E72" i="9"/>
  <c r="D72" i="9"/>
  <c r="D71" i="9"/>
  <c r="E70" i="9"/>
  <c r="D70" i="9"/>
  <c r="E69" i="9"/>
  <c r="D69" i="9"/>
  <c r="L68" i="9"/>
  <c r="K68" i="9"/>
  <c r="J68" i="9"/>
  <c r="I68" i="9"/>
  <c r="H68" i="9"/>
  <c r="G68" i="9"/>
  <c r="E64" i="9"/>
  <c r="D64" i="9"/>
  <c r="E63" i="9"/>
  <c r="D63" i="9"/>
  <c r="E62" i="9"/>
  <c r="D62" i="9"/>
  <c r="E61" i="9"/>
  <c r="D61" i="9"/>
  <c r="E60" i="9"/>
  <c r="D60" i="9"/>
  <c r="H59" i="9"/>
  <c r="G59" i="9"/>
  <c r="E59" i="9"/>
  <c r="D59" i="9"/>
  <c r="E58" i="9"/>
  <c r="D58" i="9"/>
  <c r="E57" i="9"/>
  <c r="D57" i="9"/>
  <c r="E56" i="9"/>
  <c r="D56" i="9"/>
  <c r="E55" i="9"/>
  <c r="D55" i="9"/>
  <c r="E54" i="9"/>
  <c r="D54" i="9"/>
  <c r="H53" i="9"/>
  <c r="G53" i="9"/>
  <c r="E53" i="9"/>
  <c r="D53" i="9"/>
  <c r="E52" i="9"/>
  <c r="D52" i="9"/>
  <c r="E51" i="9"/>
  <c r="D51" i="9"/>
  <c r="P49" i="9"/>
  <c r="O49" i="9"/>
  <c r="N49" i="9"/>
  <c r="M49" i="9"/>
  <c r="L49" i="9"/>
  <c r="K49" i="9"/>
  <c r="D45" i="9"/>
  <c r="D44" i="9"/>
  <c r="D43" i="9"/>
  <c r="L42" i="9"/>
  <c r="K42" i="9"/>
  <c r="J42" i="9"/>
  <c r="I42" i="9"/>
  <c r="H42" i="9"/>
  <c r="G42" i="9"/>
  <c r="F41" i="9"/>
  <c r="M20" i="9"/>
  <c r="M21" i="9" s="1"/>
  <c r="N19" i="9"/>
  <c r="H64" i="9" s="1"/>
  <c r="M19" i="9"/>
  <c r="G64" i="9" s="1"/>
  <c r="N18" i="9"/>
  <c r="H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M15" i="9"/>
  <c r="G60" i="9" s="1"/>
  <c r="N14" i="9"/>
  <c r="H58" i="9" s="1"/>
  <c r="M14" i="9"/>
  <c r="G58" i="9" s="1"/>
  <c r="N13" i="9"/>
  <c r="H57" i="9" s="1"/>
  <c r="M13" i="9"/>
  <c r="G57" i="9" s="1"/>
  <c r="I57" i="9" s="1"/>
  <c r="N12" i="9"/>
  <c r="H56" i="9" s="1"/>
  <c r="M12" i="9"/>
  <c r="G56" i="9" s="1"/>
  <c r="N11" i="9"/>
  <c r="H55" i="9" s="1"/>
  <c r="M11" i="9"/>
  <c r="G55" i="9" s="1"/>
  <c r="N10" i="9"/>
  <c r="H54" i="9" s="1"/>
  <c r="M10" i="9"/>
  <c r="G54" i="9" s="1"/>
  <c r="N9" i="9"/>
  <c r="H52" i="9" s="1"/>
  <c r="M9" i="9"/>
  <c r="G52" i="9" s="1"/>
  <c r="I52" i="9" s="1"/>
  <c r="N8" i="9"/>
  <c r="H51" i="9" s="1"/>
  <c r="M8" i="9"/>
  <c r="G51" i="9" s="1"/>
  <c r="N7" i="9"/>
  <c r="M7" i="9"/>
  <c r="E3" i="9"/>
  <c r="J2" i="9" s="1"/>
  <c r="C3" i="9"/>
  <c r="D84" i="8"/>
  <c r="D94" i="8" s="1"/>
  <c r="E73" i="8"/>
  <c r="D73" i="8"/>
  <c r="E72" i="8"/>
  <c r="D72" i="8"/>
  <c r="D71" i="8"/>
  <c r="E70" i="8"/>
  <c r="D70" i="8"/>
  <c r="E69" i="8"/>
  <c r="D69" i="8"/>
  <c r="F69" i="8" s="1"/>
  <c r="L68" i="8"/>
  <c r="K68" i="8"/>
  <c r="J68" i="8"/>
  <c r="I68" i="8"/>
  <c r="H68" i="8"/>
  <c r="G68" i="8"/>
  <c r="E64" i="8"/>
  <c r="D64" i="8"/>
  <c r="F64" i="8" s="1"/>
  <c r="E63" i="8"/>
  <c r="D63" i="8"/>
  <c r="E62" i="8"/>
  <c r="D62" i="8"/>
  <c r="E61" i="8"/>
  <c r="D61" i="8"/>
  <c r="E60" i="8"/>
  <c r="D60" i="8"/>
  <c r="F60" i="8" s="1"/>
  <c r="H59" i="8"/>
  <c r="G59" i="8"/>
  <c r="E59" i="8"/>
  <c r="D59" i="8"/>
  <c r="E58" i="8"/>
  <c r="D58" i="8"/>
  <c r="E57" i="8"/>
  <c r="D57" i="8"/>
  <c r="F57" i="8" s="1"/>
  <c r="E56" i="8"/>
  <c r="D56" i="8"/>
  <c r="E55" i="8"/>
  <c r="D55" i="8"/>
  <c r="E54" i="8"/>
  <c r="D54" i="8"/>
  <c r="H53" i="8"/>
  <c r="G53" i="8"/>
  <c r="I53" i="8" s="1"/>
  <c r="E53" i="8"/>
  <c r="D53" i="8"/>
  <c r="E52" i="8"/>
  <c r="D52" i="8"/>
  <c r="E51" i="8"/>
  <c r="D51" i="8"/>
  <c r="P49" i="8"/>
  <c r="O49" i="8"/>
  <c r="N49" i="8"/>
  <c r="M49" i="8"/>
  <c r="L49" i="8"/>
  <c r="K49" i="8"/>
  <c r="D45" i="8"/>
  <c r="D44" i="8"/>
  <c r="D43" i="8"/>
  <c r="L42" i="8"/>
  <c r="K42" i="8"/>
  <c r="J42" i="8"/>
  <c r="I42" i="8"/>
  <c r="H42" i="8"/>
  <c r="G42" i="8"/>
  <c r="F41" i="8"/>
  <c r="M20" i="8"/>
  <c r="M21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H52" i="8" s="1"/>
  <c r="M9" i="8"/>
  <c r="G52" i="8" s="1"/>
  <c r="N8" i="8"/>
  <c r="H51" i="8" s="1"/>
  <c r="M8" i="8"/>
  <c r="G51" i="8" s="1"/>
  <c r="N7" i="8"/>
  <c r="M7" i="8"/>
  <c r="E3" i="8"/>
  <c r="J2" i="8" s="1"/>
  <c r="C3" i="8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E73" i="7"/>
  <c r="D73" i="7"/>
  <c r="E72" i="7"/>
  <c r="D72" i="7"/>
  <c r="D71" i="7"/>
  <c r="E70" i="7"/>
  <c r="D70" i="7"/>
  <c r="E69" i="7"/>
  <c r="D69" i="7"/>
  <c r="L68" i="7"/>
  <c r="K68" i="7"/>
  <c r="J68" i="7"/>
  <c r="I68" i="7"/>
  <c r="H68" i="7"/>
  <c r="G68" i="7"/>
  <c r="E64" i="7"/>
  <c r="D64" i="7"/>
  <c r="E63" i="7"/>
  <c r="D63" i="7"/>
  <c r="E62" i="7"/>
  <c r="D62" i="7"/>
  <c r="E61" i="7"/>
  <c r="D61" i="7"/>
  <c r="F61" i="7" s="1"/>
  <c r="E60" i="7"/>
  <c r="D60" i="7"/>
  <c r="H59" i="7"/>
  <c r="G59" i="7"/>
  <c r="E59" i="7"/>
  <c r="D59" i="7"/>
  <c r="E58" i="7"/>
  <c r="D58" i="7"/>
  <c r="F58" i="7" s="1"/>
  <c r="E57" i="7"/>
  <c r="D57" i="7"/>
  <c r="E56" i="7"/>
  <c r="D56" i="7"/>
  <c r="E55" i="7"/>
  <c r="D55" i="7"/>
  <c r="E54" i="7"/>
  <c r="D54" i="7"/>
  <c r="F54" i="7" s="1"/>
  <c r="H53" i="7"/>
  <c r="G53" i="7"/>
  <c r="E53" i="7"/>
  <c r="D53" i="7"/>
  <c r="E52" i="7"/>
  <c r="D52" i="7"/>
  <c r="E51" i="7"/>
  <c r="D51" i="7"/>
  <c r="P49" i="7"/>
  <c r="O49" i="7"/>
  <c r="N49" i="7"/>
  <c r="M49" i="7"/>
  <c r="L49" i="7"/>
  <c r="K49" i="7"/>
  <c r="D45" i="7"/>
  <c r="D44" i="7"/>
  <c r="D43" i="7"/>
  <c r="L42" i="7"/>
  <c r="K42" i="7"/>
  <c r="J42" i="7"/>
  <c r="I42" i="7"/>
  <c r="H42" i="7"/>
  <c r="G42" i="7"/>
  <c r="M20" i="7"/>
  <c r="M21" i="7" s="1"/>
  <c r="N19" i="7"/>
  <c r="H64" i="7" s="1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I61" i="7" s="1"/>
  <c r="J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I56" i="7" s="1"/>
  <c r="N11" i="7"/>
  <c r="H55" i="7" s="1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E3" i="7"/>
  <c r="J2" i="7" s="1"/>
  <c r="C3" i="7"/>
  <c r="D93" i="6"/>
  <c r="D92" i="6"/>
  <c r="D91" i="6"/>
  <c r="D90" i="6"/>
  <c r="D89" i="6"/>
  <c r="D88" i="6"/>
  <c r="D87" i="6"/>
  <c r="D86" i="6"/>
  <c r="D84" i="6"/>
  <c r="D83" i="6"/>
  <c r="D82" i="6"/>
  <c r="D81" i="6"/>
  <c r="D80" i="6"/>
  <c r="E73" i="6"/>
  <c r="D73" i="6"/>
  <c r="E72" i="6"/>
  <c r="D72" i="6"/>
  <c r="D71" i="6"/>
  <c r="E70" i="6"/>
  <c r="D70" i="6"/>
  <c r="E69" i="6"/>
  <c r="D69" i="6"/>
  <c r="L68" i="6"/>
  <c r="K68" i="6"/>
  <c r="J68" i="6"/>
  <c r="I68" i="6"/>
  <c r="H68" i="6"/>
  <c r="G68" i="6"/>
  <c r="E64" i="6"/>
  <c r="D64" i="6"/>
  <c r="E63" i="6"/>
  <c r="D63" i="6"/>
  <c r="E62" i="6"/>
  <c r="D62" i="6"/>
  <c r="E61" i="6"/>
  <c r="D61" i="6"/>
  <c r="F61" i="6" s="1"/>
  <c r="E60" i="6"/>
  <c r="D60" i="6"/>
  <c r="H59" i="6"/>
  <c r="G59" i="6"/>
  <c r="E59" i="6"/>
  <c r="D59" i="6"/>
  <c r="E58" i="6"/>
  <c r="D58" i="6"/>
  <c r="F58" i="6" s="1"/>
  <c r="E57" i="6"/>
  <c r="D57" i="6"/>
  <c r="E56" i="6"/>
  <c r="D56" i="6"/>
  <c r="E55" i="6"/>
  <c r="D55" i="6"/>
  <c r="E54" i="6"/>
  <c r="D54" i="6"/>
  <c r="F54" i="6" s="1"/>
  <c r="H53" i="6"/>
  <c r="G53" i="6"/>
  <c r="E53" i="6"/>
  <c r="D53" i="6"/>
  <c r="E52" i="6"/>
  <c r="D52" i="6"/>
  <c r="E51" i="6"/>
  <c r="D51" i="6"/>
  <c r="P49" i="6"/>
  <c r="O49" i="6"/>
  <c r="N49" i="6"/>
  <c r="M49" i="6"/>
  <c r="L49" i="6"/>
  <c r="K49" i="6"/>
  <c r="D45" i="6"/>
  <c r="D44" i="6"/>
  <c r="D43" i="6"/>
  <c r="L42" i="6"/>
  <c r="K42" i="6"/>
  <c r="J42" i="6"/>
  <c r="I42" i="6"/>
  <c r="H42" i="6"/>
  <c r="G42" i="6"/>
  <c r="M20" i="6"/>
  <c r="M21" i="6" s="1"/>
  <c r="N19" i="6"/>
  <c r="H64" i="6" s="1"/>
  <c r="M19" i="6"/>
  <c r="G64" i="6" s="1"/>
  <c r="N18" i="6"/>
  <c r="H63" i="6" s="1"/>
  <c r="M18" i="6"/>
  <c r="G63" i="6" s="1"/>
  <c r="N17" i="6"/>
  <c r="H62" i="6" s="1"/>
  <c r="M17" i="6"/>
  <c r="G62" i="6" s="1"/>
  <c r="N16" i="6"/>
  <c r="H61" i="6" s="1"/>
  <c r="M16" i="6"/>
  <c r="G61" i="6" s="1"/>
  <c r="N15" i="6"/>
  <c r="H60" i="6" s="1"/>
  <c r="M15" i="6"/>
  <c r="G60" i="6" s="1"/>
  <c r="N14" i="6"/>
  <c r="H58" i="6" s="1"/>
  <c r="M14" i="6"/>
  <c r="G58" i="6" s="1"/>
  <c r="N13" i="6"/>
  <c r="H57" i="6" s="1"/>
  <c r="M13" i="6"/>
  <c r="G57" i="6" s="1"/>
  <c r="N12" i="6"/>
  <c r="H56" i="6" s="1"/>
  <c r="M12" i="6"/>
  <c r="G56" i="6" s="1"/>
  <c r="N11" i="6"/>
  <c r="H55" i="6" s="1"/>
  <c r="M11" i="6"/>
  <c r="G55" i="6" s="1"/>
  <c r="N10" i="6"/>
  <c r="H54" i="6" s="1"/>
  <c r="M10" i="6"/>
  <c r="G54" i="6" s="1"/>
  <c r="N9" i="6"/>
  <c r="H52" i="6" s="1"/>
  <c r="M9" i="6"/>
  <c r="G52" i="6" s="1"/>
  <c r="N8" i="6"/>
  <c r="H51" i="6" s="1"/>
  <c r="M8" i="6"/>
  <c r="G51" i="6" s="1"/>
  <c r="N7" i="6"/>
  <c r="M7" i="6"/>
  <c r="E3" i="6"/>
  <c r="J2" i="6" s="1"/>
  <c r="C3" i="6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Q15" i="5"/>
  <c r="H56" i="5" s="1"/>
  <c r="P15" i="5"/>
  <c r="G56" i="5" s="1"/>
  <c r="Q14" i="5"/>
  <c r="H55" i="5" s="1"/>
  <c r="P14" i="5"/>
  <c r="G55" i="5" s="1"/>
  <c r="Q13" i="5"/>
  <c r="H54" i="5" s="1"/>
  <c r="P13" i="5"/>
  <c r="G54" i="5" s="1"/>
  <c r="Q12" i="5"/>
  <c r="H53" i="5" s="1"/>
  <c r="P12" i="5"/>
  <c r="G53" i="5" s="1"/>
  <c r="Q11" i="5"/>
  <c r="H52" i="5" s="1"/>
  <c r="P11" i="5"/>
  <c r="G52" i="5" s="1"/>
  <c r="Q10" i="5"/>
  <c r="H51" i="5" s="1"/>
  <c r="P10" i="5"/>
  <c r="G51" i="5" s="1"/>
  <c r="Q9" i="5"/>
  <c r="H50" i="5" s="1"/>
  <c r="P9" i="5"/>
  <c r="G50" i="5" s="1"/>
  <c r="Q8" i="5"/>
  <c r="H49" i="5" s="1"/>
  <c r="P8" i="5"/>
  <c r="G49" i="5" s="1"/>
  <c r="Q7" i="5"/>
  <c r="P7" i="5"/>
  <c r="E3" i="5"/>
  <c r="J2" i="5" s="1"/>
  <c r="C3" i="5"/>
  <c r="E69" i="4"/>
  <c r="D69" i="4"/>
  <c r="E68" i="4"/>
  <c r="D68" i="4"/>
  <c r="D67" i="4"/>
  <c r="E66" i="4"/>
  <c r="D66" i="4"/>
  <c r="E65" i="4"/>
  <c r="D65" i="4"/>
  <c r="E60" i="4"/>
  <c r="D60" i="4"/>
  <c r="F60" i="4" s="1"/>
  <c r="E59" i="4"/>
  <c r="D59" i="4"/>
  <c r="F59" i="4" s="1"/>
  <c r="E58" i="4"/>
  <c r="D58" i="4"/>
  <c r="E57" i="4"/>
  <c r="D57" i="4"/>
  <c r="E56" i="4"/>
  <c r="D56" i="4"/>
  <c r="F56" i="4" s="1"/>
  <c r="E55" i="4"/>
  <c r="D55" i="4"/>
  <c r="E54" i="4"/>
  <c r="D54" i="4"/>
  <c r="E53" i="4"/>
  <c r="D53" i="4"/>
  <c r="E52" i="4"/>
  <c r="D52" i="4"/>
  <c r="F52" i="4" s="1"/>
  <c r="E51" i="4"/>
  <c r="D51" i="4"/>
  <c r="E50" i="4"/>
  <c r="D50" i="4"/>
  <c r="E49" i="4"/>
  <c r="D49" i="4"/>
  <c r="D43" i="4"/>
  <c r="D42" i="4"/>
  <c r="D41" i="4"/>
  <c r="P20" i="4"/>
  <c r="P21" i="4" s="1"/>
  <c r="Q19" i="4"/>
  <c r="H60" i="4" s="1"/>
  <c r="P19" i="4"/>
  <c r="G60" i="4" s="1"/>
  <c r="Q18" i="4"/>
  <c r="H59" i="4" s="1"/>
  <c r="P18" i="4"/>
  <c r="G59" i="4" s="1"/>
  <c r="Q17" i="4"/>
  <c r="H58" i="4" s="1"/>
  <c r="P17" i="4"/>
  <c r="G58" i="4" s="1"/>
  <c r="Q16" i="4"/>
  <c r="H57" i="4" s="1"/>
  <c r="P16" i="4"/>
  <c r="G57" i="4" s="1"/>
  <c r="Q15" i="4"/>
  <c r="H56" i="4" s="1"/>
  <c r="P15" i="4"/>
  <c r="G56" i="4" s="1"/>
  <c r="Q14" i="4"/>
  <c r="H55" i="4" s="1"/>
  <c r="P14" i="4"/>
  <c r="G55" i="4" s="1"/>
  <c r="Q13" i="4"/>
  <c r="H54" i="4" s="1"/>
  <c r="P13" i="4"/>
  <c r="G54" i="4" s="1"/>
  <c r="Q12" i="4"/>
  <c r="H53" i="4" s="1"/>
  <c r="P12" i="4"/>
  <c r="G53" i="4" s="1"/>
  <c r="Q11" i="4"/>
  <c r="H52" i="4" s="1"/>
  <c r="P11" i="4"/>
  <c r="G52" i="4" s="1"/>
  <c r="Q10" i="4"/>
  <c r="H51" i="4" s="1"/>
  <c r="P10" i="4"/>
  <c r="G51" i="4" s="1"/>
  <c r="Q9" i="4"/>
  <c r="H50" i="4" s="1"/>
  <c r="P9" i="4"/>
  <c r="G50" i="4" s="1"/>
  <c r="Q8" i="4"/>
  <c r="H49" i="4" s="1"/>
  <c r="P8" i="4"/>
  <c r="G49" i="4" s="1"/>
  <c r="Q7" i="4"/>
  <c r="P7" i="4"/>
  <c r="E3" i="4"/>
  <c r="J2" i="4" s="1"/>
  <c r="C3" i="4"/>
  <c r="E69" i="3"/>
  <c r="D69" i="3"/>
  <c r="E68" i="3"/>
  <c r="D68" i="3"/>
  <c r="D67" i="3"/>
  <c r="E66" i="3"/>
  <c r="D66" i="3"/>
  <c r="E65" i="3"/>
  <c r="D65" i="3"/>
  <c r="E60" i="3"/>
  <c r="D60" i="3"/>
  <c r="E59" i="3"/>
  <c r="D59" i="3"/>
  <c r="E58" i="3"/>
  <c r="D58" i="3"/>
  <c r="F58" i="3" s="1"/>
  <c r="E57" i="3"/>
  <c r="D57" i="3"/>
  <c r="E56" i="3"/>
  <c r="D56" i="3"/>
  <c r="E55" i="3"/>
  <c r="D55" i="3"/>
  <c r="F55" i="3" s="1"/>
  <c r="E54" i="3"/>
  <c r="D54" i="3"/>
  <c r="F54" i="3" s="1"/>
  <c r="E53" i="3"/>
  <c r="D53" i="3"/>
  <c r="F53" i="3" s="1"/>
  <c r="E52" i="3"/>
  <c r="D52" i="3"/>
  <c r="E51" i="3"/>
  <c r="D51" i="3"/>
  <c r="F51" i="3" s="1"/>
  <c r="E50" i="3"/>
  <c r="D50" i="3"/>
  <c r="F50" i="3" s="1"/>
  <c r="E49" i="3"/>
  <c r="D49" i="3"/>
  <c r="D43" i="3"/>
  <c r="D42" i="3"/>
  <c r="D41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E3" i="3"/>
  <c r="J2" i="3" s="1"/>
  <c r="C3" i="3"/>
  <c r="I62" i="9" l="1"/>
  <c r="F57" i="3"/>
  <c r="L59" i="5"/>
  <c r="F59" i="3"/>
  <c r="D92" i="12"/>
  <c r="F55" i="5"/>
  <c r="F59" i="5"/>
  <c r="D46" i="6"/>
  <c r="G52" i="11"/>
  <c r="D81" i="11"/>
  <c r="D82" i="11"/>
  <c r="D85" i="11"/>
  <c r="D86" i="11"/>
  <c r="D89" i="11"/>
  <c r="D90" i="11"/>
  <c r="D93" i="11"/>
  <c r="L57" i="5"/>
  <c r="L51" i="3"/>
  <c r="L55" i="3"/>
  <c r="L59" i="3"/>
  <c r="F53" i="4"/>
  <c r="F57" i="4"/>
  <c r="F52" i="5"/>
  <c r="F56" i="5"/>
  <c r="D83" i="13"/>
  <c r="D87" i="13"/>
  <c r="D91" i="13"/>
  <c r="D80" i="13"/>
  <c r="D84" i="13"/>
  <c r="D88" i="13"/>
  <c r="D92" i="13"/>
  <c r="K72" i="7"/>
  <c r="F52" i="8"/>
  <c r="F55" i="8"/>
  <c r="F59" i="8"/>
  <c r="F62" i="8"/>
  <c r="I55" i="9"/>
  <c r="I60" i="9"/>
  <c r="I64" i="9"/>
  <c r="L53" i="4"/>
  <c r="L57" i="4"/>
  <c r="I55" i="6"/>
  <c r="I60" i="6"/>
  <c r="I53" i="6"/>
  <c r="F57" i="6"/>
  <c r="K57" i="6" s="1"/>
  <c r="L57" i="6" s="1"/>
  <c r="F60" i="6"/>
  <c r="O60" i="6" s="1"/>
  <c r="P60" i="6" s="1"/>
  <c r="F64" i="6"/>
  <c r="I55" i="7"/>
  <c r="I60" i="7"/>
  <c r="I64" i="7"/>
  <c r="I53" i="7"/>
  <c r="F57" i="7"/>
  <c r="F60" i="7"/>
  <c r="K60" i="7" s="1"/>
  <c r="L60" i="7" s="1"/>
  <c r="F64" i="7"/>
  <c r="F69" i="7"/>
  <c r="F53" i="8"/>
  <c r="F56" i="8"/>
  <c r="I59" i="8"/>
  <c r="F63" i="8"/>
  <c r="I56" i="9"/>
  <c r="I61" i="9"/>
  <c r="D82" i="10"/>
  <c r="D86" i="10"/>
  <c r="D90" i="10"/>
  <c r="F54" i="9"/>
  <c r="F58" i="9"/>
  <c r="F61" i="9"/>
  <c r="K70" i="9"/>
  <c r="D83" i="11"/>
  <c r="D87" i="11"/>
  <c r="D91" i="11"/>
  <c r="D82" i="13"/>
  <c r="D86" i="13"/>
  <c r="D90" i="13"/>
  <c r="F53" i="6"/>
  <c r="F56" i="6"/>
  <c r="I59" i="6"/>
  <c r="F63" i="6"/>
  <c r="I54" i="7"/>
  <c r="I58" i="7"/>
  <c r="J58" i="7" s="1"/>
  <c r="I63" i="7"/>
  <c r="F56" i="7"/>
  <c r="J56" i="7" s="1"/>
  <c r="I59" i="7"/>
  <c r="F63" i="7"/>
  <c r="G59" i="10"/>
  <c r="G54" i="11"/>
  <c r="G53" i="12"/>
  <c r="F58" i="5"/>
  <c r="F73" i="7"/>
  <c r="I54" i="8"/>
  <c r="I58" i="8"/>
  <c r="I63" i="8"/>
  <c r="I53" i="9"/>
  <c r="K53" i="9" s="1"/>
  <c r="L53" i="9" s="1"/>
  <c r="F57" i="9"/>
  <c r="J57" i="9" s="1"/>
  <c r="F60" i="9"/>
  <c r="F64" i="9"/>
  <c r="D81" i="10"/>
  <c r="D85" i="10"/>
  <c r="D89" i="10"/>
  <c r="D93" i="10"/>
  <c r="D83" i="12"/>
  <c r="D87" i="12"/>
  <c r="D91" i="12"/>
  <c r="G57" i="13"/>
  <c r="G62" i="13"/>
  <c r="G69" i="5"/>
  <c r="G53" i="10"/>
  <c r="G61" i="10"/>
  <c r="G63" i="10"/>
  <c r="D80" i="10"/>
  <c r="D84" i="10"/>
  <c r="D88" i="10"/>
  <c r="D92" i="10"/>
  <c r="G57" i="12"/>
  <c r="L57" i="12" s="1"/>
  <c r="I44" i="13"/>
  <c r="D82" i="14"/>
  <c r="D86" i="14"/>
  <c r="D90" i="14"/>
  <c r="E71" i="9"/>
  <c r="F71" i="9" s="1"/>
  <c r="G69" i="4"/>
  <c r="G63" i="12"/>
  <c r="G59" i="14"/>
  <c r="I51" i="5"/>
  <c r="F60" i="5"/>
  <c r="F52" i="9"/>
  <c r="J52" i="9" s="1"/>
  <c r="F55" i="9"/>
  <c r="K55" i="9" s="1"/>
  <c r="L55" i="9" s="1"/>
  <c r="F59" i="9"/>
  <c r="F62" i="9"/>
  <c r="G70" i="9"/>
  <c r="G58" i="11"/>
  <c r="G61" i="13"/>
  <c r="G69" i="3"/>
  <c r="L55" i="4"/>
  <c r="L59" i="4"/>
  <c r="E42" i="3"/>
  <c r="G42" i="3" s="1"/>
  <c r="H42" i="3" s="1"/>
  <c r="D44" i="3"/>
  <c r="F58" i="4"/>
  <c r="L55" i="5"/>
  <c r="F53" i="5"/>
  <c r="F57" i="5"/>
  <c r="F52" i="6"/>
  <c r="F55" i="6"/>
  <c r="J55" i="6" s="1"/>
  <c r="F59" i="6"/>
  <c r="M59" i="6" s="1"/>
  <c r="N59" i="6" s="1"/>
  <c r="F62" i="6"/>
  <c r="I57" i="7"/>
  <c r="I62" i="7"/>
  <c r="F52" i="7"/>
  <c r="F55" i="7"/>
  <c r="F59" i="7"/>
  <c r="J59" i="7" s="1"/>
  <c r="F62" i="7"/>
  <c r="K62" i="7" s="1"/>
  <c r="L62" i="7" s="1"/>
  <c r="H65" i="8"/>
  <c r="D46" i="8"/>
  <c r="F54" i="8"/>
  <c r="F58" i="8"/>
  <c r="F61" i="8"/>
  <c r="I54" i="9"/>
  <c r="J54" i="9" s="1"/>
  <c r="I58" i="9"/>
  <c r="J58" i="9" s="1"/>
  <c r="I63" i="9"/>
  <c r="D83" i="10"/>
  <c r="D87" i="10"/>
  <c r="D91" i="10"/>
  <c r="G52" i="12"/>
  <c r="G61" i="12"/>
  <c r="G52" i="13"/>
  <c r="G59" i="13"/>
  <c r="O59" i="13" s="1"/>
  <c r="P59" i="13" s="1"/>
  <c r="G60" i="14"/>
  <c r="F52" i="3"/>
  <c r="F56" i="3"/>
  <c r="F60" i="3"/>
  <c r="F55" i="4"/>
  <c r="F53" i="9"/>
  <c r="F56" i="9"/>
  <c r="J56" i="9" s="1"/>
  <c r="I59" i="9"/>
  <c r="J59" i="9" s="1"/>
  <c r="F63" i="9"/>
  <c r="G72" i="9"/>
  <c r="H72" i="9" s="1"/>
  <c r="G56" i="11"/>
  <c r="D80" i="11"/>
  <c r="D84" i="11"/>
  <c r="D88" i="11"/>
  <c r="D92" i="11"/>
  <c r="D81" i="12"/>
  <c r="D85" i="12"/>
  <c r="D89" i="12"/>
  <c r="D93" i="12"/>
  <c r="D46" i="13"/>
  <c r="D81" i="13"/>
  <c r="D85" i="13"/>
  <c r="D89" i="13"/>
  <c r="D93" i="13"/>
  <c r="E65" i="10"/>
  <c r="G55" i="12"/>
  <c r="D65" i="14"/>
  <c r="I51" i="4"/>
  <c r="L53" i="5"/>
  <c r="G44" i="13"/>
  <c r="D74" i="11"/>
  <c r="K62" i="11"/>
  <c r="K55" i="12"/>
  <c r="Q55" i="12" s="1"/>
  <c r="R55" i="12" s="1"/>
  <c r="K61" i="11"/>
  <c r="K63" i="12"/>
  <c r="Q63" i="12" s="1"/>
  <c r="R63" i="12" s="1"/>
  <c r="K63" i="10"/>
  <c r="K61" i="12"/>
  <c r="I55" i="4"/>
  <c r="J55" i="4" s="1"/>
  <c r="G65" i="4"/>
  <c r="J54" i="8"/>
  <c r="G54" i="10"/>
  <c r="O54" i="10" s="1"/>
  <c r="P54" i="10" s="1"/>
  <c r="G63" i="11"/>
  <c r="D61" i="3"/>
  <c r="D44" i="4"/>
  <c r="D44" i="5"/>
  <c r="H65" i="6"/>
  <c r="E44" i="6"/>
  <c r="K44" i="6" s="1"/>
  <c r="L44" i="6" s="1"/>
  <c r="D65" i="6"/>
  <c r="D74" i="6"/>
  <c r="D94" i="6"/>
  <c r="D65" i="7"/>
  <c r="J62" i="9"/>
  <c r="D65" i="9"/>
  <c r="K72" i="9"/>
  <c r="K54" i="10"/>
  <c r="Q54" i="10" s="1"/>
  <c r="R54" i="10" s="1"/>
  <c r="F65" i="11"/>
  <c r="K63" i="11"/>
  <c r="E61" i="3"/>
  <c r="F51" i="4"/>
  <c r="M51" i="4" s="1"/>
  <c r="N51" i="4" s="1"/>
  <c r="F54" i="4"/>
  <c r="F51" i="5"/>
  <c r="J51" i="5" s="1"/>
  <c r="F54" i="5"/>
  <c r="I52" i="6"/>
  <c r="I57" i="6"/>
  <c r="J57" i="6" s="1"/>
  <c r="E65" i="6"/>
  <c r="E65" i="7"/>
  <c r="I56" i="8"/>
  <c r="J56" i="8" s="1"/>
  <c r="I61" i="8"/>
  <c r="F70" i="9"/>
  <c r="D65" i="10"/>
  <c r="G57" i="10"/>
  <c r="K72" i="10"/>
  <c r="L72" i="10" s="1"/>
  <c r="E65" i="12"/>
  <c r="K52" i="12"/>
  <c r="Q52" i="12" s="1"/>
  <c r="R52" i="12" s="1"/>
  <c r="G62" i="12"/>
  <c r="F69" i="12"/>
  <c r="F65" i="13"/>
  <c r="G54" i="13"/>
  <c r="K57" i="13"/>
  <c r="O57" i="13" s="1"/>
  <c r="P57" i="13" s="1"/>
  <c r="K61" i="13"/>
  <c r="Q61" i="13" s="1"/>
  <c r="R61" i="13" s="1"/>
  <c r="G64" i="13"/>
  <c r="K73" i="13"/>
  <c r="K53" i="14"/>
  <c r="G56" i="14"/>
  <c r="M56" i="14" s="1"/>
  <c r="N56" i="14" s="1"/>
  <c r="G57" i="14"/>
  <c r="G61" i="14"/>
  <c r="G62" i="14"/>
  <c r="O62" i="14" s="1"/>
  <c r="P62" i="14" s="1"/>
  <c r="G53" i="11"/>
  <c r="G57" i="11"/>
  <c r="F72" i="11"/>
  <c r="F65" i="12"/>
  <c r="G54" i="12"/>
  <c r="L54" i="12" s="1"/>
  <c r="K60" i="12"/>
  <c r="K52" i="14"/>
  <c r="I55" i="5"/>
  <c r="J55" i="5" s="1"/>
  <c r="L51" i="5"/>
  <c r="G65" i="5"/>
  <c r="H65" i="5" s="1"/>
  <c r="I54" i="6"/>
  <c r="J54" i="6" s="1"/>
  <c r="I58" i="6"/>
  <c r="J58" i="6" s="1"/>
  <c r="F72" i="6"/>
  <c r="I52" i="8"/>
  <c r="J52" i="8" s="1"/>
  <c r="I57" i="8"/>
  <c r="J57" i="8" s="1"/>
  <c r="I62" i="8"/>
  <c r="J62" i="8" s="1"/>
  <c r="E65" i="8"/>
  <c r="E65" i="9"/>
  <c r="D94" i="9"/>
  <c r="F65" i="10"/>
  <c r="G52" i="10"/>
  <c r="O52" i="10" s="1"/>
  <c r="P52" i="10" s="1"/>
  <c r="G56" i="10"/>
  <c r="G60" i="10"/>
  <c r="G62" i="10"/>
  <c r="L62" i="10" s="1"/>
  <c r="F69" i="10"/>
  <c r="G61" i="11"/>
  <c r="K73" i="11"/>
  <c r="L73" i="11" s="1"/>
  <c r="H65" i="12"/>
  <c r="E42" i="12" s="1"/>
  <c r="F42" i="12" s="1"/>
  <c r="G56" i="12"/>
  <c r="L56" i="12" s="1"/>
  <c r="G64" i="12"/>
  <c r="I65" i="13"/>
  <c r="E43" i="13" s="1"/>
  <c r="F43" i="13" s="1"/>
  <c r="G53" i="13"/>
  <c r="L53" i="13" s="1"/>
  <c r="K60" i="13"/>
  <c r="Q60" i="13" s="1"/>
  <c r="R60" i="13" s="1"/>
  <c r="G63" i="13"/>
  <c r="O63" i="13" s="1"/>
  <c r="P63" i="13" s="1"/>
  <c r="F65" i="14"/>
  <c r="K62" i="12"/>
  <c r="L62" i="12" s="1"/>
  <c r="J65" i="13"/>
  <c r="E44" i="13" s="1"/>
  <c r="F44" i="13" s="1"/>
  <c r="K54" i="13"/>
  <c r="G58" i="13"/>
  <c r="K64" i="13"/>
  <c r="L64" i="13" s="1"/>
  <c r="H65" i="14"/>
  <c r="E42" i="14" s="1"/>
  <c r="F42" i="14" s="1"/>
  <c r="G69" i="14"/>
  <c r="F73" i="14"/>
  <c r="D61" i="4"/>
  <c r="D70" i="4"/>
  <c r="D61" i="5"/>
  <c r="D70" i="5"/>
  <c r="I65" i="14"/>
  <c r="E43" i="14" s="1"/>
  <c r="G73" i="14"/>
  <c r="H73" i="14" s="1"/>
  <c r="G65" i="3"/>
  <c r="H65" i="3" s="1"/>
  <c r="I59" i="4"/>
  <c r="J59" i="4" s="1"/>
  <c r="L51" i="4"/>
  <c r="I59" i="5"/>
  <c r="J59" i="5" s="1"/>
  <c r="L53" i="3"/>
  <c r="L57" i="3"/>
  <c r="D70" i="3"/>
  <c r="J55" i="9"/>
  <c r="I65" i="12"/>
  <c r="E43" i="12" s="1"/>
  <c r="F43" i="12" s="1"/>
  <c r="E61" i="4"/>
  <c r="E61" i="5"/>
  <c r="J58" i="8"/>
  <c r="G64" i="10"/>
  <c r="J65" i="12"/>
  <c r="E44" i="12" s="1"/>
  <c r="F44" i="12" s="1"/>
  <c r="G58" i="12"/>
  <c r="K73" i="6"/>
  <c r="L73" i="6" s="1"/>
  <c r="J55" i="7"/>
  <c r="K72" i="8"/>
  <c r="L72" i="8" s="1"/>
  <c r="F72" i="9"/>
  <c r="G55" i="10"/>
  <c r="K60" i="10"/>
  <c r="D65" i="11"/>
  <c r="G55" i="11"/>
  <c r="D46" i="12"/>
  <c r="G59" i="12"/>
  <c r="L59" i="12" s="1"/>
  <c r="G56" i="13"/>
  <c r="M56" i="13" s="1"/>
  <c r="N56" i="13" s="1"/>
  <c r="J65" i="14"/>
  <c r="E44" i="14" s="1"/>
  <c r="F44" i="14" s="1"/>
  <c r="K55" i="14"/>
  <c r="M55" i="14" s="1"/>
  <c r="N55" i="14" s="1"/>
  <c r="G58" i="14"/>
  <c r="L58" i="14" s="1"/>
  <c r="K60" i="14"/>
  <c r="G63" i="14"/>
  <c r="O63" i="14" s="1"/>
  <c r="P63" i="14" s="1"/>
  <c r="G64" i="14"/>
  <c r="I51" i="3"/>
  <c r="J51" i="3" s="1"/>
  <c r="F68" i="3"/>
  <c r="I53" i="4"/>
  <c r="J53" i="4" s="1"/>
  <c r="I57" i="4"/>
  <c r="F50" i="4"/>
  <c r="F68" i="4"/>
  <c r="I53" i="5"/>
  <c r="I57" i="5"/>
  <c r="J57" i="5" s="1"/>
  <c r="F50" i="5"/>
  <c r="F68" i="5"/>
  <c r="I56" i="6"/>
  <c r="K69" i="6"/>
  <c r="L69" i="6" s="1"/>
  <c r="D46" i="7"/>
  <c r="D94" i="7"/>
  <c r="I55" i="8"/>
  <c r="J55" i="8" s="1"/>
  <c r="I60" i="8"/>
  <c r="J60" i="8" s="1"/>
  <c r="I64" i="8"/>
  <c r="J64" i="8" s="1"/>
  <c r="F73" i="8"/>
  <c r="H65" i="9"/>
  <c r="D46" i="9"/>
  <c r="G58" i="10"/>
  <c r="M58" i="10" s="1"/>
  <c r="N58" i="10" s="1"/>
  <c r="E65" i="11"/>
  <c r="F70" i="11"/>
  <c r="K53" i="12"/>
  <c r="L53" i="12" s="1"/>
  <c r="G60" i="12"/>
  <c r="M60" i="12" s="1"/>
  <c r="N60" i="12" s="1"/>
  <c r="K72" i="12"/>
  <c r="D65" i="13"/>
  <c r="G55" i="13"/>
  <c r="O55" i="13" s="1"/>
  <c r="P55" i="13" s="1"/>
  <c r="K58" i="13"/>
  <c r="Q58" i="13" s="1"/>
  <c r="R58" i="13" s="1"/>
  <c r="G69" i="13"/>
  <c r="H69" i="13" s="1"/>
  <c r="F73" i="13"/>
  <c r="G52" i="14"/>
  <c r="G53" i="14"/>
  <c r="Q53" i="14" s="1"/>
  <c r="R53" i="14" s="1"/>
  <c r="K54" i="14"/>
  <c r="O54" i="14" s="1"/>
  <c r="P54" i="14" s="1"/>
  <c r="K59" i="14"/>
  <c r="L59" i="14" s="1"/>
  <c r="E42" i="4"/>
  <c r="G42" i="4" s="1"/>
  <c r="H42" i="4" s="1"/>
  <c r="E42" i="5"/>
  <c r="G42" i="5" s="1"/>
  <c r="H42" i="5" s="1"/>
  <c r="D65" i="8"/>
  <c r="G42" i="12"/>
  <c r="H42" i="12" s="1"/>
  <c r="K58" i="12"/>
  <c r="L58" i="12" s="1"/>
  <c r="E65" i="13"/>
  <c r="K52" i="13"/>
  <c r="G60" i="13"/>
  <c r="K62" i="13"/>
  <c r="L62" i="13" s="1"/>
  <c r="K64" i="14"/>
  <c r="Q64" i="14" s="1"/>
  <c r="R64" i="14" s="1"/>
  <c r="G59" i="11"/>
  <c r="D46" i="11"/>
  <c r="G60" i="11"/>
  <c r="L60" i="11" s="1"/>
  <c r="G62" i="11"/>
  <c r="G64" i="11"/>
  <c r="L64" i="11" s="1"/>
  <c r="I65" i="11"/>
  <c r="E43" i="11" s="1"/>
  <c r="F43" i="11" s="1"/>
  <c r="J65" i="11"/>
  <c r="E44" i="11" s="1"/>
  <c r="K53" i="10"/>
  <c r="O53" i="10" s="1"/>
  <c r="P53" i="10" s="1"/>
  <c r="K56" i="10"/>
  <c r="K57" i="10"/>
  <c r="O57" i="10" s="1"/>
  <c r="P57" i="10" s="1"/>
  <c r="K58" i="10"/>
  <c r="K59" i="10"/>
  <c r="L59" i="10" s="1"/>
  <c r="K64" i="10"/>
  <c r="I65" i="10"/>
  <c r="E43" i="10" s="1"/>
  <c r="I43" i="10" s="1"/>
  <c r="J43" i="10" s="1"/>
  <c r="K55" i="10"/>
  <c r="M55" i="10" s="1"/>
  <c r="N55" i="10" s="1"/>
  <c r="H69" i="4"/>
  <c r="H44" i="13"/>
  <c r="L44" i="13"/>
  <c r="H69" i="3"/>
  <c r="H69" i="5"/>
  <c r="J44" i="13"/>
  <c r="L50" i="3"/>
  <c r="G61" i="3"/>
  <c r="I49" i="3"/>
  <c r="K50" i="3"/>
  <c r="I50" i="3"/>
  <c r="J50" i="3" s="1"/>
  <c r="K52" i="3"/>
  <c r="I52" i="3"/>
  <c r="I53" i="3"/>
  <c r="J53" i="3" s="1"/>
  <c r="K54" i="3"/>
  <c r="I54" i="3"/>
  <c r="J54" i="3" s="1"/>
  <c r="I55" i="3"/>
  <c r="J55" i="3" s="1"/>
  <c r="K56" i="3"/>
  <c r="I56" i="3"/>
  <c r="J56" i="3" s="1"/>
  <c r="I57" i="3"/>
  <c r="J57" i="3" s="1"/>
  <c r="K58" i="3"/>
  <c r="I58" i="3"/>
  <c r="J58" i="3" s="1"/>
  <c r="I59" i="3"/>
  <c r="J59" i="3" s="1"/>
  <c r="K60" i="3"/>
  <c r="I60" i="3"/>
  <c r="E67" i="3"/>
  <c r="E70" i="3" s="1"/>
  <c r="F70" i="3" s="1"/>
  <c r="E43" i="3"/>
  <c r="F43" i="3" s="1"/>
  <c r="L52" i="3"/>
  <c r="L54" i="3"/>
  <c r="L56" i="3"/>
  <c r="L58" i="3"/>
  <c r="L60" i="3"/>
  <c r="H61" i="4"/>
  <c r="L50" i="4"/>
  <c r="L54" i="4"/>
  <c r="M57" i="4"/>
  <c r="N57" i="4" s="1"/>
  <c r="L58" i="4"/>
  <c r="G61" i="5"/>
  <c r="I49" i="5"/>
  <c r="K50" i="5"/>
  <c r="I50" i="5"/>
  <c r="K52" i="5"/>
  <c r="I52" i="5"/>
  <c r="J52" i="5" s="1"/>
  <c r="K54" i="5"/>
  <c r="I54" i="5"/>
  <c r="K56" i="5"/>
  <c r="I56" i="5"/>
  <c r="J56" i="5" s="1"/>
  <c r="K58" i="5"/>
  <c r="I58" i="5"/>
  <c r="J58" i="5" s="1"/>
  <c r="K60" i="5"/>
  <c r="I60" i="5"/>
  <c r="J60" i="5" s="1"/>
  <c r="E67" i="5"/>
  <c r="E70" i="5" s="1"/>
  <c r="F70" i="5" s="1"/>
  <c r="E43" i="5"/>
  <c r="F43" i="5" s="1"/>
  <c r="M51" i="5"/>
  <c r="N51" i="5" s="1"/>
  <c r="L52" i="5"/>
  <c r="L56" i="5"/>
  <c r="M58" i="5"/>
  <c r="N58" i="5" s="1"/>
  <c r="L60" i="5"/>
  <c r="K52" i="6"/>
  <c r="L52" i="6" s="1"/>
  <c r="O53" i="6"/>
  <c r="P53" i="6" s="1"/>
  <c r="M53" i="6"/>
  <c r="N53" i="6" s="1"/>
  <c r="K53" i="6"/>
  <c r="L53" i="6" s="1"/>
  <c r="M55" i="6"/>
  <c r="N55" i="6" s="1"/>
  <c r="K55" i="6"/>
  <c r="L55" i="6" s="1"/>
  <c r="M58" i="6"/>
  <c r="N58" i="6" s="1"/>
  <c r="M60" i="6"/>
  <c r="N60" i="6" s="1"/>
  <c r="K60" i="6"/>
  <c r="L60" i="6" s="1"/>
  <c r="H61" i="3"/>
  <c r="G61" i="4"/>
  <c r="I49" i="4"/>
  <c r="K50" i="4"/>
  <c r="I50" i="4"/>
  <c r="K52" i="4"/>
  <c r="I52" i="4"/>
  <c r="J52" i="4" s="1"/>
  <c r="K54" i="4"/>
  <c r="I54" i="4"/>
  <c r="K56" i="4"/>
  <c r="I56" i="4"/>
  <c r="J56" i="4" s="1"/>
  <c r="K58" i="4"/>
  <c r="I58" i="4"/>
  <c r="J58" i="4" s="1"/>
  <c r="K60" i="4"/>
  <c r="I60" i="4"/>
  <c r="J60" i="4" s="1"/>
  <c r="E67" i="4"/>
  <c r="E70" i="4" s="1"/>
  <c r="E43" i="4"/>
  <c r="F43" i="4" s="1"/>
  <c r="L52" i="4"/>
  <c r="M55" i="4"/>
  <c r="N55" i="4" s="1"/>
  <c r="L56" i="4"/>
  <c r="L60" i="4"/>
  <c r="H65" i="4"/>
  <c r="H61" i="5"/>
  <c r="L50" i="5"/>
  <c r="L54" i="5"/>
  <c r="L58" i="5"/>
  <c r="G65" i="6"/>
  <c r="E43" i="6" s="1"/>
  <c r="I51" i="6"/>
  <c r="I61" i="6"/>
  <c r="J61" i="6" s="1"/>
  <c r="I62" i="6"/>
  <c r="J62" i="6" s="1"/>
  <c r="I63" i="6"/>
  <c r="J63" i="6" s="1"/>
  <c r="I64" i="6"/>
  <c r="J64" i="6" s="1"/>
  <c r="E71" i="6"/>
  <c r="E74" i="6" s="1"/>
  <c r="F74" i="6" s="1"/>
  <c r="E45" i="6"/>
  <c r="F45" i="6" s="1"/>
  <c r="G65" i="7"/>
  <c r="E43" i="7" s="1"/>
  <c r="I43" i="7" s="1"/>
  <c r="I51" i="7"/>
  <c r="E71" i="7"/>
  <c r="F71" i="7" s="1"/>
  <c r="E45" i="7"/>
  <c r="F45" i="7" s="1"/>
  <c r="O54" i="7"/>
  <c r="P54" i="7" s="1"/>
  <c r="M54" i="7"/>
  <c r="N54" i="7" s="1"/>
  <c r="K54" i="7"/>
  <c r="L54" i="7" s="1"/>
  <c r="E41" i="3"/>
  <c r="G41" i="3" s="1"/>
  <c r="K49" i="3"/>
  <c r="K51" i="3"/>
  <c r="K53" i="3"/>
  <c r="K55" i="3"/>
  <c r="K57" i="3"/>
  <c r="K59" i="3"/>
  <c r="F65" i="3"/>
  <c r="G66" i="3"/>
  <c r="H66" i="3" s="1"/>
  <c r="G68" i="3"/>
  <c r="H68" i="3" s="1"/>
  <c r="F69" i="3"/>
  <c r="E41" i="4"/>
  <c r="G41" i="4" s="1"/>
  <c r="K49" i="4"/>
  <c r="K51" i="4"/>
  <c r="K53" i="4"/>
  <c r="K55" i="4"/>
  <c r="K57" i="4"/>
  <c r="K59" i="4"/>
  <c r="F65" i="4"/>
  <c r="G66" i="4"/>
  <c r="H66" i="4" s="1"/>
  <c r="G68" i="4"/>
  <c r="H68" i="4" s="1"/>
  <c r="F69" i="4"/>
  <c r="E41" i="5"/>
  <c r="G41" i="5" s="1"/>
  <c r="K49" i="5"/>
  <c r="K51" i="5"/>
  <c r="K53" i="5"/>
  <c r="K55" i="5"/>
  <c r="K57" i="5"/>
  <c r="K59" i="5"/>
  <c r="F65" i="5"/>
  <c r="G66" i="5"/>
  <c r="H66" i="5" s="1"/>
  <c r="G68" i="5"/>
  <c r="H68" i="5" s="1"/>
  <c r="F69" i="5"/>
  <c r="G43" i="6"/>
  <c r="I43" i="6"/>
  <c r="K43" i="6"/>
  <c r="G45" i="6"/>
  <c r="H45" i="6" s="1"/>
  <c r="F69" i="6"/>
  <c r="G70" i="6"/>
  <c r="H70" i="6" s="1"/>
  <c r="I70" i="6"/>
  <c r="J70" i="6" s="1"/>
  <c r="K70" i="6"/>
  <c r="L70" i="6" s="1"/>
  <c r="G72" i="6"/>
  <c r="H72" i="6" s="1"/>
  <c r="I72" i="6"/>
  <c r="J72" i="6" s="1"/>
  <c r="K72" i="6"/>
  <c r="L72" i="6" s="1"/>
  <c r="F73" i="6"/>
  <c r="H65" i="7"/>
  <c r="G43" i="7"/>
  <c r="K43" i="7"/>
  <c r="F53" i="7"/>
  <c r="J53" i="7" s="1"/>
  <c r="O53" i="8"/>
  <c r="P53" i="8" s="1"/>
  <c r="M53" i="8"/>
  <c r="N53" i="8" s="1"/>
  <c r="K53" i="8"/>
  <c r="L53" i="8" s="1"/>
  <c r="J53" i="8"/>
  <c r="M54" i="8"/>
  <c r="N54" i="8" s="1"/>
  <c r="K54" i="8"/>
  <c r="L54" i="8" s="1"/>
  <c r="M56" i="8"/>
  <c r="N56" i="8" s="1"/>
  <c r="O57" i="8"/>
  <c r="P57" i="8" s="1"/>
  <c r="M57" i="8"/>
  <c r="N57" i="8" s="1"/>
  <c r="O58" i="8"/>
  <c r="P58" i="8" s="1"/>
  <c r="M58" i="8"/>
  <c r="N58" i="8" s="1"/>
  <c r="K58" i="8"/>
  <c r="L58" i="8" s="1"/>
  <c r="O59" i="8"/>
  <c r="P59" i="8" s="1"/>
  <c r="M59" i="8"/>
  <c r="N59" i="8" s="1"/>
  <c r="K59" i="8"/>
  <c r="L59" i="8" s="1"/>
  <c r="J59" i="8"/>
  <c r="O61" i="8"/>
  <c r="P61" i="8" s="1"/>
  <c r="M61" i="8"/>
  <c r="N61" i="8" s="1"/>
  <c r="O63" i="8"/>
  <c r="P63" i="8" s="1"/>
  <c r="K63" i="8"/>
  <c r="L63" i="8" s="1"/>
  <c r="O64" i="8"/>
  <c r="P64" i="8" s="1"/>
  <c r="K64" i="8"/>
  <c r="L64" i="8" s="1"/>
  <c r="Q52" i="10"/>
  <c r="R52" i="10" s="1"/>
  <c r="L52" i="10"/>
  <c r="F49" i="3"/>
  <c r="L49" i="3"/>
  <c r="F66" i="3"/>
  <c r="F49" i="4"/>
  <c r="L49" i="4"/>
  <c r="F66" i="4"/>
  <c r="F49" i="5"/>
  <c r="L49" i="5"/>
  <c r="F66" i="5"/>
  <c r="G44" i="6"/>
  <c r="H44" i="6" s="1"/>
  <c r="I44" i="6"/>
  <c r="J44" i="6" s="1"/>
  <c r="F51" i="6"/>
  <c r="G69" i="6"/>
  <c r="I69" i="6"/>
  <c r="F70" i="6"/>
  <c r="G73" i="6"/>
  <c r="H73" i="6" s="1"/>
  <c r="I73" i="6"/>
  <c r="J73" i="6" s="1"/>
  <c r="I52" i="7"/>
  <c r="J52" i="7" s="1"/>
  <c r="J54" i="7"/>
  <c r="E44" i="7"/>
  <c r="O55" i="7"/>
  <c r="P55" i="7" s="1"/>
  <c r="M55" i="7"/>
  <c r="N55" i="7" s="1"/>
  <c r="K55" i="7"/>
  <c r="L55" i="7" s="1"/>
  <c r="O56" i="7"/>
  <c r="P56" i="7" s="1"/>
  <c r="M56" i="7"/>
  <c r="N56" i="7" s="1"/>
  <c r="K56" i="7"/>
  <c r="L56" i="7" s="1"/>
  <c r="O57" i="7"/>
  <c r="P57" i="7" s="1"/>
  <c r="M57" i="7"/>
  <c r="N57" i="7" s="1"/>
  <c r="K57" i="7"/>
  <c r="L57" i="7" s="1"/>
  <c r="O58" i="7"/>
  <c r="P58" i="7" s="1"/>
  <c r="M58" i="7"/>
  <c r="N58" i="7" s="1"/>
  <c r="K58" i="7"/>
  <c r="L58" i="7" s="1"/>
  <c r="O59" i="7"/>
  <c r="P59" i="7" s="1"/>
  <c r="M59" i="7"/>
  <c r="N59" i="7" s="1"/>
  <c r="K59" i="7"/>
  <c r="L59" i="7" s="1"/>
  <c r="O60" i="7"/>
  <c r="P60" i="7" s="1"/>
  <c r="M60" i="7"/>
  <c r="N60" i="7" s="1"/>
  <c r="O61" i="7"/>
  <c r="P61" i="7" s="1"/>
  <c r="M61" i="7"/>
  <c r="N61" i="7" s="1"/>
  <c r="K61" i="7"/>
  <c r="L61" i="7" s="1"/>
  <c r="O62" i="7"/>
  <c r="P62" i="7" s="1"/>
  <c r="O63" i="7"/>
  <c r="P63" i="7" s="1"/>
  <c r="M63" i="7"/>
  <c r="N63" i="7" s="1"/>
  <c r="K63" i="7"/>
  <c r="L63" i="7" s="1"/>
  <c r="O64" i="7"/>
  <c r="P64" i="7" s="1"/>
  <c r="M64" i="7"/>
  <c r="N64" i="7" s="1"/>
  <c r="K64" i="7"/>
  <c r="L64" i="7" s="1"/>
  <c r="L72" i="7"/>
  <c r="G65" i="8"/>
  <c r="E43" i="8" s="1"/>
  <c r="I51" i="8"/>
  <c r="E45" i="8"/>
  <c r="E71" i="8"/>
  <c r="F71" i="8" s="1"/>
  <c r="G65" i="9"/>
  <c r="E43" i="9" s="1"/>
  <c r="K43" i="9" s="1"/>
  <c r="I51" i="9"/>
  <c r="O52" i="9"/>
  <c r="P52" i="9" s="1"/>
  <c r="K52" i="9"/>
  <c r="L52" i="9" s="1"/>
  <c r="M53" i="9"/>
  <c r="N53" i="9" s="1"/>
  <c r="O54" i="9"/>
  <c r="P54" i="9" s="1"/>
  <c r="M54" i="9"/>
  <c r="N54" i="9" s="1"/>
  <c r="K54" i="9"/>
  <c r="L54" i="9" s="1"/>
  <c r="O55" i="9"/>
  <c r="P55" i="9" s="1"/>
  <c r="O56" i="9"/>
  <c r="P56" i="9" s="1"/>
  <c r="M56" i="9"/>
  <c r="N56" i="9" s="1"/>
  <c r="K56" i="9"/>
  <c r="L56" i="9" s="1"/>
  <c r="O57" i="9"/>
  <c r="P57" i="9" s="1"/>
  <c r="M57" i="9"/>
  <c r="N57" i="9" s="1"/>
  <c r="K57" i="9"/>
  <c r="L57" i="9" s="1"/>
  <c r="K58" i="9"/>
  <c r="L58" i="9" s="1"/>
  <c r="O59" i="9"/>
  <c r="P59" i="9" s="1"/>
  <c r="O60" i="9"/>
  <c r="P60" i="9" s="1"/>
  <c r="M60" i="9"/>
  <c r="N60" i="9" s="1"/>
  <c r="K60" i="9"/>
  <c r="L60" i="9" s="1"/>
  <c r="O61" i="9"/>
  <c r="P61" i="9" s="1"/>
  <c r="M61" i="9"/>
  <c r="N61" i="9" s="1"/>
  <c r="O62" i="9"/>
  <c r="P62" i="9" s="1"/>
  <c r="M62" i="9"/>
  <c r="N62" i="9" s="1"/>
  <c r="K62" i="9"/>
  <c r="L62" i="9" s="1"/>
  <c r="O63" i="9"/>
  <c r="P63" i="9" s="1"/>
  <c r="M63" i="9"/>
  <c r="N63" i="9" s="1"/>
  <c r="K63" i="9"/>
  <c r="L63" i="9" s="1"/>
  <c r="O64" i="9"/>
  <c r="P64" i="9" s="1"/>
  <c r="M64" i="9"/>
  <c r="N64" i="9" s="1"/>
  <c r="K64" i="9"/>
  <c r="L64" i="9" s="1"/>
  <c r="F51" i="7"/>
  <c r="G69" i="7"/>
  <c r="I69" i="7"/>
  <c r="K69" i="7"/>
  <c r="F70" i="7"/>
  <c r="F72" i="7"/>
  <c r="G73" i="7"/>
  <c r="H73" i="7" s="1"/>
  <c r="I73" i="7"/>
  <c r="J73" i="7" s="1"/>
  <c r="K73" i="7"/>
  <c r="L73" i="7" s="1"/>
  <c r="D74" i="7"/>
  <c r="E44" i="8"/>
  <c r="F44" i="8" s="1"/>
  <c r="F51" i="8"/>
  <c r="G69" i="8"/>
  <c r="I69" i="8"/>
  <c r="K69" i="8"/>
  <c r="F70" i="8"/>
  <c r="F72" i="8"/>
  <c r="G73" i="8"/>
  <c r="H73" i="8" s="1"/>
  <c r="I73" i="8"/>
  <c r="J73" i="8" s="1"/>
  <c r="K73" i="8"/>
  <c r="L73" i="8" s="1"/>
  <c r="D74" i="8"/>
  <c r="E45" i="9"/>
  <c r="F45" i="9" s="1"/>
  <c r="I70" i="9"/>
  <c r="J70" i="9" s="1"/>
  <c r="K71" i="9"/>
  <c r="L71" i="9" s="1"/>
  <c r="G71" i="9"/>
  <c r="H71" i="9" s="1"/>
  <c r="I72" i="9"/>
  <c r="J72" i="9" s="1"/>
  <c r="K73" i="9"/>
  <c r="L73" i="9" s="1"/>
  <c r="I73" i="9"/>
  <c r="J73" i="9" s="1"/>
  <c r="G73" i="9"/>
  <c r="H73" i="9" s="1"/>
  <c r="F73" i="9"/>
  <c r="E74" i="9"/>
  <c r="F71" i="10"/>
  <c r="D46" i="10"/>
  <c r="G51" i="10"/>
  <c r="H65" i="10"/>
  <c r="E42" i="10" s="1"/>
  <c r="K51" i="10"/>
  <c r="J65" i="10"/>
  <c r="E44" i="10" s="1"/>
  <c r="F44" i="10" s="1"/>
  <c r="L61" i="10"/>
  <c r="O62" i="10"/>
  <c r="P62" i="10" s="1"/>
  <c r="L63" i="10"/>
  <c r="F71" i="11"/>
  <c r="H65" i="11"/>
  <c r="E42" i="11" s="1"/>
  <c r="K51" i="11"/>
  <c r="K52" i="11"/>
  <c r="L52" i="11" s="1"/>
  <c r="K53" i="11"/>
  <c r="K54" i="11"/>
  <c r="K55" i="11"/>
  <c r="K56" i="11"/>
  <c r="K57" i="11"/>
  <c r="K58" i="11"/>
  <c r="L58" i="11" s="1"/>
  <c r="K59" i="11"/>
  <c r="Q60" i="11"/>
  <c r="R60" i="11" s="1"/>
  <c r="M64" i="11"/>
  <c r="N64" i="11" s="1"/>
  <c r="K71" i="11"/>
  <c r="L71" i="11" s="1"/>
  <c r="F71" i="12"/>
  <c r="M52" i="12"/>
  <c r="N52" i="12" s="1"/>
  <c r="G70" i="7"/>
  <c r="H70" i="7" s="1"/>
  <c r="I70" i="7"/>
  <c r="J70" i="7" s="1"/>
  <c r="K70" i="7"/>
  <c r="L70" i="7" s="1"/>
  <c r="G72" i="7"/>
  <c r="H72" i="7" s="1"/>
  <c r="I72" i="7"/>
  <c r="J72" i="7" s="1"/>
  <c r="G70" i="8"/>
  <c r="H70" i="8" s="1"/>
  <c r="I70" i="8"/>
  <c r="J70" i="8" s="1"/>
  <c r="K70" i="8"/>
  <c r="L70" i="8" s="1"/>
  <c r="G72" i="8"/>
  <c r="H72" i="8" s="1"/>
  <c r="I72" i="8"/>
  <c r="J72" i="8" s="1"/>
  <c r="E44" i="9"/>
  <c r="F51" i="9"/>
  <c r="D74" i="9"/>
  <c r="K69" i="9"/>
  <c r="I69" i="9"/>
  <c r="G69" i="9"/>
  <c r="F69" i="9"/>
  <c r="H70" i="9"/>
  <c r="L70" i="9"/>
  <c r="L72" i="9"/>
  <c r="Q61" i="10"/>
  <c r="R61" i="10" s="1"/>
  <c r="O61" i="10"/>
  <c r="P61" i="10" s="1"/>
  <c r="M61" i="10"/>
  <c r="N61" i="10" s="1"/>
  <c r="O63" i="10"/>
  <c r="P63" i="10" s="1"/>
  <c r="M63" i="10"/>
  <c r="N63" i="10" s="1"/>
  <c r="G69" i="10"/>
  <c r="I69" i="10"/>
  <c r="K69" i="10"/>
  <c r="F70" i="10"/>
  <c r="F72" i="10"/>
  <c r="G73" i="10"/>
  <c r="H73" i="10" s="1"/>
  <c r="I73" i="10"/>
  <c r="J73" i="10" s="1"/>
  <c r="K73" i="10"/>
  <c r="L73" i="10" s="1"/>
  <c r="D74" i="10"/>
  <c r="G51" i="11"/>
  <c r="F69" i="11"/>
  <c r="G70" i="11"/>
  <c r="H70" i="11" s="1"/>
  <c r="I70" i="11"/>
  <c r="J70" i="11" s="1"/>
  <c r="K70" i="11"/>
  <c r="L70" i="11" s="1"/>
  <c r="G72" i="11"/>
  <c r="H72" i="11" s="1"/>
  <c r="I72" i="11"/>
  <c r="J72" i="11" s="1"/>
  <c r="K72" i="11"/>
  <c r="L72" i="11" s="1"/>
  <c r="F73" i="11"/>
  <c r="O53" i="12"/>
  <c r="P53" i="12" s="1"/>
  <c r="Q54" i="12"/>
  <c r="R54" i="12" s="1"/>
  <c r="Q57" i="12"/>
  <c r="R57" i="12" s="1"/>
  <c r="O57" i="12"/>
  <c r="P57" i="12" s="1"/>
  <c r="M57" i="12"/>
  <c r="N57" i="12" s="1"/>
  <c r="M59" i="12"/>
  <c r="N59" i="12" s="1"/>
  <c r="L64" i="12"/>
  <c r="Q52" i="13"/>
  <c r="R52" i="13" s="1"/>
  <c r="M52" i="13"/>
  <c r="N52" i="13" s="1"/>
  <c r="M54" i="13"/>
  <c r="N54" i="13" s="1"/>
  <c r="Q55" i="13"/>
  <c r="R55" i="13" s="1"/>
  <c r="M55" i="13"/>
  <c r="N55" i="13" s="1"/>
  <c r="M57" i="13"/>
  <c r="N57" i="13" s="1"/>
  <c r="G70" i="10"/>
  <c r="H70" i="10" s="1"/>
  <c r="I70" i="10"/>
  <c r="J70" i="10" s="1"/>
  <c r="K70" i="10"/>
  <c r="L70" i="10" s="1"/>
  <c r="G72" i="10"/>
  <c r="H72" i="10" s="1"/>
  <c r="I72" i="10"/>
  <c r="J72" i="10" s="1"/>
  <c r="G69" i="11"/>
  <c r="I69" i="11"/>
  <c r="K69" i="11"/>
  <c r="I71" i="11"/>
  <c r="J71" i="11" s="1"/>
  <c r="G73" i="11"/>
  <c r="H73" i="11" s="1"/>
  <c r="I73" i="11"/>
  <c r="J73" i="11" s="1"/>
  <c r="G51" i="12"/>
  <c r="D65" i="12"/>
  <c r="K51" i="12"/>
  <c r="Q56" i="12"/>
  <c r="R56" i="12" s="1"/>
  <c r="O56" i="12"/>
  <c r="P56" i="12" s="1"/>
  <c r="M56" i="12"/>
  <c r="N56" i="12" s="1"/>
  <c r="Q64" i="12"/>
  <c r="R64" i="12" s="1"/>
  <c r="O64" i="12"/>
  <c r="P64" i="12" s="1"/>
  <c r="M64" i="12"/>
  <c r="N64" i="12" s="1"/>
  <c r="L72" i="12"/>
  <c r="E74" i="13"/>
  <c r="E45" i="13" s="1"/>
  <c r="F45" i="13" s="1"/>
  <c r="H65" i="13"/>
  <c r="E42" i="13" s="1"/>
  <c r="K51" i="13"/>
  <c r="O56" i="13"/>
  <c r="P56" i="13" s="1"/>
  <c r="Q56" i="13"/>
  <c r="R56" i="13" s="1"/>
  <c r="G69" i="12"/>
  <c r="I69" i="12"/>
  <c r="K69" i="12"/>
  <c r="F70" i="12"/>
  <c r="G71" i="12"/>
  <c r="H71" i="12" s="1"/>
  <c r="I71" i="12"/>
  <c r="J71" i="12" s="1"/>
  <c r="F72" i="12"/>
  <c r="G73" i="12"/>
  <c r="H73" i="12" s="1"/>
  <c r="I73" i="12"/>
  <c r="J73" i="12" s="1"/>
  <c r="K73" i="12"/>
  <c r="L73" i="12" s="1"/>
  <c r="D74" i="12"/>
  <c r="G51" i="13"/>
  <c r="M59" i="13"/>
  <c r="N59" i="13" s="1"/>
  <c r="Q59" i="13"/>
  <c r="R59" i="13" s="1"/>
  <c r="M52" i="14"/>
  <c r="N52" i="14" s="1"/>
  <c r="G70" i="12"/>
  <c r="H70" i="12" s="1"/>
  <c r="I70" i="12"/>
  <c r="J70" i="12" s="1"/>
  <c r="K70" i="12"/>
  <c r="L70" i="12" s="1"/>
  <c r="G72" i="12"/>
  <c r="H72" i="12" s="1"/>
  <c r="I72" i="12"/>
  <c r="J72" i="12" s="1"/>
  <c r="Q54" i="14"/>
  <c r="R54" i="14" s="1"/>
  <c r="M54" i="14"/>
  <c r="N54" i="14" s="1"/>
  <c r="L54" i="14"/>
  <c r="Q62" i="13"/>
  <c r="R62" i="13" s="1"/>
  <c r="Q63" i="13"/>
  <c r="R63" i="13" s="1"/>
  <c r="F69" i="13"/>
  <c r="I69" i="13"/>
  <c r="K70" i="13"/>
  <c r="L70" i="13" s="1"/>
  <c r="I70" i="13"/>
  <c r="J70" i="13" s="1"/>
  <c r="G70" i="13"/>
  <c r="H70" i="13" s="1"/>
  <c r="F70" i="13"/>
  <c r="I73" i="13"/>
  <c r="J73" i="13" s="1"/>
  <c r="D74" i="13"/>
  <c r="F71" i="14"/>
  <c r="K71" i="14"/>
  <c r="L71" i="14" s="1"/>
  <c r="G71" i="14"/>
  <c r="H71" i="14" s="1"/>
  <c r="I71" i="14"/>
  <c r="J71" i="14" s="1"/>
  <c r="K42" i="14"/>
  <c r="I43" i="14"/>
  <c r="J43" i="14" s="1"/>
  <c r="K44" i="14"/>
  <c r="L44" i="14" s="1"/>
  <c r="I44" i="14"/>
  <c r="J44" i="14" s="1"/>
  <c r="G44" i="14"/>
  <c r="H44" i="14" s="1"/>
  <c r="D46" i="14"/>
  <c r="K51" i="14"/>
  <c r="O53" i="14"/>
  <c r="P53" i="14" s="1"/>
  <c r="Q56" i="14"/>
  <c r="R56" i="14" s="1"/>
  <c r="O56" i="14"/>
  <c r="P56" i="14" s="1"/>
  <c r="Q57" i="14"/>
  <c r="R57" i="14" s="1"/>
  <c r="O57" i="14"/>
  <c r="P57" i="14" s="1"/>
  <c r="M57" i="14"/>
  <c r="N57" i="14" s="1"/>
  <c r="L57" i="14"/>
  <c r="Q61" i="14"/>
  <c r="R61" i="14" s="1"/>
  <c r="O61" i="14"/>
  <c r="P61" i="14" s="1"/>
  <c r="M61" i="14"/>
  <c r="N61" i="14" s="1"/>
  <c r="L61" i="14"/>
  <c r="L69" i="13"/>
  <c r="K72" i="13"/>
  <c r="L72" i="13" s="1"/>
  <c r="I72" i="13"/>
  <c r="J72" i="13" s="1"/>
  <c r="G72" i="13"/>
  <c r="H72" i="13" s="1"/>
  <c r="F72" i="13"/>
  <c r="H73" i="13"/>
  <c r="L73" i="13"/>
  <c r="M53" i="14"/>
  <c r="N53" i="14" s="1"/>
  <c r="Q55" i="14"/>
  <c r="R55" i="14" s="1"/>
  <c r="O55" i="14"/>
  <c r="P55" i="14" s="1"/>
  <c r="L55" i="14"/>
  <c r="L56" i="14"/>
  <c r="Q58" i="14"/>
  <c r="R58" i="14" s="1"/>
  <c r="O59" i="14"/>
  <c r="P59" i="14" s="1"/>
  <c r="Q60" i="14"/>
  <c r="R60" i="14" s="1"/>
  <c r="M62" i="14"/>
  <c r="N62" i="14" s="1"/>
  <c r="Q62" i="14"/>
  <c r="R62" i="14" s="1"/>
  <c r="H69" i="14"/>
  <c r="L69" i="14"/>
  <c r="K72" i="14"/>
  <c r="L72" i="14" s="1"/>
  <c r="I72" i="14"/>
  <c r="J72" i="14" s="1"/>
  <c r="G72" i="14"/>
  <c r="H72" i="14" s="1"/>
  <c r="F72" i="14"/>
  <c r="L73" i="14"/>
  <c r="G51" i="14"/>
  <c r="E74" i="14"/>
  <c r="E45" i="14" s="1"/>
  <c r="F69" i="14"/>
  <c r="I69" i="14"/>
  <c r="K70" i="14"/>
  <c r="L70" i="14" s="1"/>
  <c r="I70" i="14"/>
  <c r="J70" i="14" s="1"/>
  <c r="G70" i="14"/>
  <c r="H70" i="14" s="1"/>
  <c r="F70" i="14"/>
  <c r="I73" i="14"/>
  <c r="J73" i="14" s="1"/>
  <c r="D74" i="14"/>
  <c r="M64" i="14" l="1"/>
  <c r="N64" i="14" s="1"/>
  <c r="Q64" i="13"/>
  <c r="R64" i="13" s="1"/>
  <c r="L57" i="13"/>
  <c r="O52" i="12"/>
  <c r="P52" i="12" s="1"/>
  <c r="M62" i="12"/>
  <c r="N62" i="12" s="1"/>
  <c r="M61" i="12"/>
  <c r="N61" i="12" s="1"/>
  <c r="M53" i="12"/>
  <c r="N53" i="12" s="1"/>
  <c r="I44" i="12"/>
  <c r="J44" i="12" s="1"/>
  <c r="G44" i="12"/>
  <c r="H44" i="12" s="1"/>
  <c r="Q58" i="12"/>
  <c r="R58" i="12" s="1"/>
  <c r="K44" i="12"/>
  <c r="L44" i="12" s="1"/>
  <c r="Q61" i="12"/>
  <c r="R61" i="12" s="1"/>
  <c r="M55" i="12"/>
  <c r="N55" i="12" s="1"/>
  <c r="Q62" i="12"/>
  <c r="R62" i="12" s="1"/>
  <c r="D94" i="12"/>
  <c r="L57" i="11"/>
  <c r="L54" i="11"/>
  <c r="Q63" i="14"/>
  <c r="R63" i="14" s="1"/>
  <c r="M56" i="5"/>
  <c r="N56" i="5" s="1"/>
  <c r="G42" i="14"/>
  <c r="H42" i="14" s="1"/>
  <c r="M63" i="13"/>
  <c r="N63" i="13" s="1"/>
  <c r="M58" i="12"/>
  <c r="N58" i="12" s="1"/>
  <c r="L56" i="13"/>
  <c r="G43" i="12"/>
  <c r="H43" i="12" s="1"/>
  <c r="M58" i="9"/>
  <c r="N58" i="9" s="1"/>
  <c r="M55" i="9"/>
  <c r="N55" i="9" s="1"/>
  <c r="M52" i="9"/>
  <c r="N52" i="9" s="1"/>
  <c r="M62" i="7"/>
  <c r="N62" i="7" s="1"/>
  <c r="M60" i="8"/>
  <c r="N60" i="8" s="1"/>
  <c r="K57" i="8"/>
  <c r="L57" i="8" s="1"/>
  <c r="M53" i="4"/>
  <c r="N53" i="4" s="1"/>
  <c r="L52" i="12"/>
  <c r="Q61" i="11"/>
  <c r="R61" i="11" s="1"/>
  <c r="J64" i="9"/>
  <c r="O55" i="12"/>
  <c r="P55" i="12" s="1"/>
  <c r="M59" i="9"/>
  <c r="N59" i="9" s="1"/>
  <c r="J60" i="9"/>
  <c r="O55" i="6"/>
  <c r="P55" i="6" s="1"/>
  <c r="L60" i="14"/>
  <c r="L63" i="14"/>
  <c r="L54" i="10"/>
  <c r="K62" i="8"/>
  <c r="L62" i="8" s="1"/>
  <c r="O56" i="8"/>
  <c r="P56" i="8" s="1"/>
  <c r="M53" i="13"/>
  <c r="N53" i="13" s="1"/>
  <c r="M63" i="14"/>
  <c r="N63" i="14" s="1"/>
  <c r="M58" i="13"/>
  <c r="N58" i="13" s="1"/>
  <c r="O53" i="13"/>
  <c r="P53" i="13" s="1"/>
  <c r="M62" i="10"/>
  <c r="N62" i="10" s="1"/>
  <c r="I71" i="9"/>
  <c r="J71" i="9" s="1"/>
  <c r="K59" i="9"/>
  <c r="L59" i="9" s="1"/>
  <c r="O62" i="8"/>
  <c r="P62" i="8" s="1"/>
  <c r="K55" i="8"/>
  <c r="L55" i="8" s="1"/>
  <c r="O59" i="6"/>
  <c r="P59" i="6" s="1"/>
  <c r="M59" i="14"/>
  <c r="N59" i="14" s="1"/>
  <c r="J57" i="4"/>
  <c r="O53" i="9"/>
  <c r="P53" i="9" s="1"/>
  <c r="O61" i="12"/>
  <c r="P61" i="12" s="1"/>
  <c r="M53" i="5"/>
  <c r="N53" i="5" s="1"/>
  <c r="J53" i="6"/>
  <c r="J61" i="9"/>
  <c r="M63" i="8"/>
  <c r="N63" i="8" s="1"/>
  <c r="J60" i="6"/>
  <c r="O55" i="8"/>
  <c r="P55" i="8" s="1"/>
  <c r="K58" i="6"/>
  <c r="L58" i="6" s="1"/>
  <c r="J52" i="3"/>
  <c r="Q63" i="10"/>
  <c r="R63" i="10" s="1"/>
  <c r="O54" i="8"/>
  <c r="P54" i="8" s="1"/>
  <c r="L63" i="11"/>
  <c r="L61" i="11"/>
  <c r="O63" i="11"/>
  <c r="P63" i="11" s="1"/>
  <c r="M60" i="11"/>
  <c r="N60" i="11" s="1"/>
  <c r="L53" i="11"/>
  <c r="Q63" i="11"/>
  <c r="R63" i="11" s="1"/>
  <c r="M63" i="11"/>
  <c r="N63" i="11" s="1"/>
  <c r="O61" i="11"/>
  <c r="P61" i="11" s="1"/>
  <c r="M61" i="11"/>
  <c r="N61" i="11" s="1"/>
  <c r="D94" i="11"/>
  <c r="M60" i="14"/>
  <c r="N60" i="14" s="1"/>
  <c r="M62" i="13"/>
  <c r="N62" i="13" s="1"/>
  <c r="O58" i="12"/>
  <c r="P58" i="12" s="1"/>
  <c r="Q57" i="13"/>
  <c r="R57" i="13" s="1"/>
  <c r="Q53" i="13"/>
  <c r="R53" i="13" s="1"/>
  <c r="G43" i="9"/>
  <c r="K61" i="9"/>
  <c r="L61" i="9" s="1"/>
  <c r="J53" i="9"/>
  <c r="L61" i="5"/>
  <c r="L55" i="10"/>
  <c r="J59" i="6"/>
  <c r="L56" i="10"/>
  <c r="J53" i="5"/>
  <c r="D94" i="10"/>
  <c r="M52" i="8"/>
  <c r="N52" i="8" s="1"/>
  <c r="F42" i="4"/>
  <c r="M60" i="13"/>
  <c r="N60" i="13" s="1"/>
  <c r="Q64" i="10"/>
  <c r="R64" i="10" s="1"/>
  <c r="J63" i="8"/>
  <c r="M58" i="14"/>
  <c r="N58" i="14" s="1"/>
  <c r="L58" i="13"/>
  <c r="I43" i="12"/>
  <c r="J43" i="12" s="1"/>
  <c r="J61" i="8"/>
  <c r="J64" i="7"/>
  <c r="F42" i="5"/>
  <c r="O62" i="12"/>
  <c r="P62" i="12" s="1"/>
  <c r="J51" i="4"/>
  <c r="J57" i="7"/>
  <c r="J63" i="7"/>
  <c r="J60" i="7"/>
  <c r="M52" i="10"/>
  <c r="N52" i="10" s="1"/>
  <c r="M62" i="8"/>
  <c r="N62" i="8" s="1"/>
  <c r="K56" i="8"/>
  <c r="L56" i="8" s="1"/>
  <c r="M50" i="5"/>
  <c r="N50" i="5" s="1"/>
  <c r="O58" i="13"/>
  <c r="P58" i="13" s="1"/>
  <c r="O54" i="13"/>
  <c r="P54" i="13" s="1"/>
  <c r="O52" i="6"/>
  <c r="P52" i="6" s="1"/>
  <c r="L61" i="12"/>
  <c r="Q59" i="14"/>
  <c r="R59" i="14" s="1"/>
  <c r="I42" i="12"/>
  <c r="J42" i="12" s="1"/>
  <c r="Q62" i="10"/>
  <c r="R62" i="10" s="1"/>
  <c r="M54" i="10"/>
  <c r="N54" i="10" s="1"/>
  <c r="K60" i="8"/>
  <c r="L60" i="8" s="1"/>
  <c r="M55" i="8"/>
  <c r="N55" i="8" s="1"/>
  <c r="K52" i="8"/>
  <c r="L52" i="8" s="1"/>
  <c r="I45" i="6"/>
  <c r="J45" i="6" s="1"/>
  <c r="F42" i="3"/>
  <c r="M51" i="3"/>
  <c r="N51" i="3" s="1"/>
  <c r="M50" i="4"/>
  <c r="N50" i="4" s="1"/>
  <c r="M60" i="3"/>
  <c r="N60" i="3" s="1"/>
  <c r="O59" i="12"/>
  <c r="P59" i="12" s="1"/>
  <c r="O54" i="12"/>
  <c r="P54" i="12" s="1"/>
  <c r="L59" i="11"/>
  <c r="Q59" i="10"/>
  <c r="R59" i="10" s="1"/>
  <c r="O52" i="8"/>
  <c r="P52" i="8" s="1"/>
  <c r="M57" i="5"/>
  <c r="N57" i="5" s="1"/>
  <c r="M58" i="4"/>
  <c r="N58" i="4" s="1"/>
  <c r="L52" i="13"/>
  <c r="J56" i="6"/>
  <c r="L60" i="10"/>
  <c r="L61" i="13"/>
  <c r="O60" i="10"/>
  <c r="P60" i="10" s="1"/>
  <c r="M60" i="10"/>
  <c r="N60" i="10" s="1"/>
  <c r="M56" i="3"/>
  <c r="N56" i="3" s="1"/>
  <c r="L55" i="13"/>
  <c r="L55" i="12"/>
  <c r="L59" i="13"/>
  <c r="O58" i="14"/>
  <c r="P58" i="14" s="1"/>
  <c r="O52" i="13"/>
  <c r="P52" i="13" s="1"/>
  <c r="Q53" i="12"/>
  <c r="R53" i="12" s="1"/>
  <c r="O60" i="8"/>
  <c r="P60" i="8" s="1"/>
  <c r="O58" i="6"/>
  <c r="P58" i="6" s="1"/>
  <c r="M55" i="5"/>
  <c r="N55" i="5" s="1"/>
  <c r="J50" i="5"/>
  <c r="M50" i="3"/>
  <c r="N50" i="3" s="1"/>
  <c r="L58" i="10"/>
  <c r="L62" i="11"/>
  <c r="L60" i="12"/>
  <c r="J63" i="9"/>
  <c r="O56" i="6"/>
  <c r="P56" i="6" s="1"/>
  <c r="E46" i="14"/>
  <c r="F46" i="14" s="1"/>
  <c r="I42" i="14"/>
  <c r="Q59" i="12"/>
  <c r="R59" i="12" s="1"/>
  <c r="M54" i="12"/>
  <c r="N54" i="12" s="1"/>
  <c r="K43" i="12"/>
  <c r="L43" i="12" s="1"/>
  <c r="Q64" i="11"/>
  <c r="R64" i="11" s="1"/>
  <c r="L56" i="11"/>
  <c r="Q60" i="10"/>
  <c r="R60" i="10" s="1"/>
  <c r="O58" i="9"/>
  <c r="P58" i="9" s="1"/>
  <c r="M64" i="8"/>
  <c r="N64" i="8" s="1"/>
  <c r="K61" i="8"/>
  <c r="L61" i="8" s="1"/>
  <c r="F44" i="6"/>
  <c r="J54" i="4"/>
  <c r="K59" i="6"/>
  <c r="L59" i="6" s="1"/>
  <c r="J60" i="3"/>
  <c r="Q52" i="14"/>
  <c r="R52" i="14" s="1"/>
  <c r="L63" i="12"/>
  <c r="M59" i="4"/>
  <c r="N59" i="4" s="1"/>
  <c r="F70" i="4"/>
  <c r="M59" i="3"/>
  <c r="N59" i="3" s="1"/>
  <c r="J54" i="5"/>
  <c r="Q55" i="10"/>
  <c r="R55" i="10" s="1"/>
  <c r="L64" i="14"/>
  <c r="L54" i="13"/>
  <c r="J52" i="6"/>
  <c r="J62" i="7"/>
  <c r="M61" i="13"/>
  <c r="N61" i="13" s="1"/>
  <c r="L52" i="14"/>
  <c r="M64" i="13"/>
  <c r="N64" i="13" s="1"/>
  <c r="O61" i="13"/>
  <c r="P61" i="13" s="1"/>
  <c r="O52" i="14"/>
  <c r="P52" i="14" s="1"/>
  <c r="I43" i="13"/>
  <c r="J43" i="13" s="1"/>
  <c r="M63" i="12"/>
  <c r="N63" i="12" s="1"/>
  <c r="O60" i="13"/>
  <c r="P60" i="13" s="1"/>
  <c r="G43" i="13"/>
  <c r="H43" i="13" s="1"/>
  <c r="O63" i="12"/>
  <c r="P63" i="12" s="1"/>
  <c r="I43" i="9"/>
  <c r="J43" i="9" s="1"/>
  <c r="G71" i="8"/>
  <c r="H71" i="8" s="1"/>
  <c r="G45" i="7"/>
  <c r="H45" i="7" s="1"/>
  <c r="M59" i="5"/>
  <c r="N59" i="5" s="1"/>
  <c r="D94" i="13"/>
  <c r="D94" i="14"/>
  <c r="O64" i="13"/>
  <c r="P64" i="13" s="1"/>
  <c r="L61" i="3"/>
  <c r="G43" i="4"/>
  <c r="H43" i="4" s="1"/>
  <c r="E74" i="10"/>
  <c r="K42" i="12"/>
  <c r="L42" i="12" s="1"/>
  <c r="F43" i="14"/>
  <c r="K43" i="14"/>
  <c r="L43" i="14" s="1"/>
  <c r="G43" i="14"/>
  <c r="H43" i="14" s="1"/>
  <c r="K71" i="12"/>
  <c r="L71" i="12" s="1"/>
  <c r="O60" i="12"/>
  <c r="P60" i="12" s="1"/>
  <c r="Q54" i="13"/>
  <c r="R54" i="13" s="1"/>
  <c r="E74" i="12"/>
  <c r="E45" i="12" s="1"/>
  <c r="E46" i="12" s="1"/>
  <c r="F46" i="12" s="1"/>
  <c r="I45" i="9"/>
  <c r="J45" i="9" s="1"/>
  <c r="Q56" i="10"/>
  <c r="R56" i="10" s="1"/>
  <c r="M52" i="5"/>
  <c r="N52" i="5" s="1"/>
  <c r="M58" i="3"/>
  <c r="N58" i="3" s="1"/>
  <c r="M57" i="6"/>
  <c r="N57" i="6" s="1"/>
  <c r="K54" i="6"/>
  <c r="L54" i="6" s="1"/>
  <c r="M52" i="6"/>
  <c r="N52" i="6" s="1"/>
  <c r="M54" i="5"/>
  <c r="N54" i="5" s="1"/>
  <c r="L63" i="13"/>
  <c r="L60" i="13"/>
  <c r="Q60" i="12"/>
  <c r="R60" i="12" s="1"/>
  <c r="M62" i="11"/>
  <c r="N62" i="11" s="1"/>
  <c r="G45" i="9"/>
  <c r="H45" i="9" s="1"/>
  <c r="I71" i="7"/>
  <c r="J71" i="7" s="1"/>
  <c r="E74" i="7"/>
  <c r="F74" i="7" s="1"/>
  <c r="M54" i="4"/>
  <c r="N54" i="4" s="1"/>
  <c r="O57" i="6"/>
  <c r="P57" i="6" s="1"/>
  <c r="M54" i="6"/>
  <c r="N54" i="6" s="1"/>
  <c r="O64" i="14"/>
  <c r="P64" i="14" s="1"/>
  <c r="O60" i="14"/>
  <c r="P60" i="14" s="1"/>
  <c r="L53" i="14"/>
  <c r="G45" i="13"/>
  <c r="H45" i="13" s="1"/>
  <c r="I71" i="10"/>
  <c r="J71" i="10" s="1"/>
  <c r="Q62" i="11"/>
  <c r="R62" i="11" s="1"/>
  <c r="L55" i="11"/>
  <c r="I44" i="8"/>
  <c r="J44" i="8" s="1"/>
  <c r="G71" i="7"/>
  <c r="H71" i="7" s="1"/>
  <c r="M53" i="10"/>
  <c r="N53" i="10" s="1"/>
  <c r="L61" i="4"/>
  <c r="M60" i="5"/>
  <c r="N60" i="5" s="1"/>
  <c r="J50" i="4"/>
  <c r="M55" i="3"/>
  <c r="N55" i="3" s="1"/>
  <c r="K56" i="6"/>
  <c r="L56" i="6" s="1"/>
  <c r="O54" i="6"/>
  <c r="P54" i="6" s="1"/>
  <c r="L64" i="10"/>
  <c r="O62" i="13"/>
  <c r="P62" i="13" s="1"/>
  <c r="G71" i="10"/>
  <c r="H71" i="10" s="1"/>
  <c r="K71" i="10"/>
  <c r="L71" i="10" s="1"/>
  <c r="I71" i="8"/>
  <c r="J71" i="8" s="1"/>
  <c r="K71" i="7"/>
  <c r="L71" i="7" s="1"/>
  <c r="I45" i="7"/>
  <c r="J45" i="7" s="1"/>
  <c r="M53" i="3"/>
  <c r="N53" i="3" s="1"/>
  <c r="M56" i="6"/>
  <c r="N56" i="6" s="1"/>
  <c r="L62" i="14"/>
  <c r="K43" i="13"/>
  <c r="L43" i="13" s="1"/>
  <c r="G71" i="11"/>
  <c r="H71" i="11" s="1"/>
  <c r="E74" i="11"/>
  <c r="E45" i="11" s="1"/>
  <c r="O53" i="11"/>
  <c r="P53" i="11" s="1"/>
  <c r="F44" i="11"/>
  <c r="G44" i="11"/>
  <c r="H44" i="11" s="1"/>
  <c r="K44" i="11"/>
  <c r="L44" i="11" s="1"/>
  <c r="I44" i="11"/>
  <c r="J44" i="11" s="1"/>
  <c r="O62" i="11"/>
  <c r="P62" i="11" s="1"/>
  <c r="O64" i="11"/>
  <c r="P64" i="11" s="1"/>
  <c r="O60" i="11"/>
  <c r="P60" i="11" s="1"/>
  <c r="M57" i="10"/>
  <c r="N57" i="10" s="1"/>
  <c r="M64" i="10"/>
  <c r="N64" i="10" s="1"/>
  <c r="Q58" i="10"/>
  <c r="R58" i="10" s="1"/>
  <c r="O55" i="10"/>
  <c r="P55" i="10" s="1"/>
  <c r="O56" i="10"/>
  <c r="P56" i="10" s="1"/>
  <c r="M59" i="10"/>
  <c r="N59" i="10" s="1"/>
  <c r="L57" i="10"/>
  <c r="Q53" i="10"/>
  <c r="R53" i="10" s="1"/>
  <c r="O59" i="10"/>
  <c r="P59" i="10" s="1"/>
  <c r="Q57" i="10"/>
  <c r="R57" i="10" s="1"/>
  <c r="L53" i="10"/>
  <c r="I43" i="11"/>
  <c r="J43" i="11" s="1"/>
  <c r="O57" i="11"/>
  <c r="P57" i="11" s="1"/>
  <c r="G43" i="11"/>
  <c r="H43" i="11" s="1"/>
  <c r="O59" i="11"/>
  <c r="P59" i="11" s="1"/>
  <c r="O55" i="11"/>
  <c r="P55" i="11" s="1"/>
  <c r="K43" i="11"/>
  <c r="L43" i="11" s="1"/>
  <c r="O58" i="11"/>
  <c r="P58" i="11" s="1"/>
  <c r="O56" i="11"/>
  <c r="P56" i="11" s="1"/>
  <c r="O54" i="11"/>
  <c r="P54" i="11" s="1"/>
  <c r="O52" i="11"/>
  <c r="P52" i="11" s="1"/>
  <c r="M58" i="11"/>
  <c r="N58" i="11" s="1"/>
  <c r="Q58" i="11"/>
  <c r="R58" i="11" s="1"/>
  <c r="M56" i="11"/>
  <c r="N56" i="11" s="1"/>
  <c r="Q56" i="11"/>
  <c r="R56" i="11" s="1"/>
  <c r="M54" i="11"/>
  <c r="N54" i="11" s="1"/>
  <c r="Q54" i="11"/>
  <c r="R54" i="11" s="1"/>
  <c r="M52" i="11"/>
  <c r="N52" i="11" s="1"/>
  <c r="Q52" i="11"/>
  <c r="R52" i="11" s="1"/>
  <c r="M59" i="11"/>
  <c r="N59" i="11" s="1"/>
  <c r="Q59" i="11"/>
  <c r="R59" i="11" s="1"/>
  <c r="M57" i="11"/>
  <c r="N57" i="11" s="1"/>
  <c r="Q57" i="11"/>
  <c r="R57" i="11" s="1"/>
  <c r="M55" i="11"/>
  <c r="N55" i="11" s="1"/>
  <c r="Q55" i="11"/>
  <c r="R55" i="11" s="1"/>
  <c r="M53" i="11"/>
  <c r="N53" i="11" s="1"/>
  <c r="Q53" i="11"/>
  <c r="R53" i="11" s="1"/>
  <c r="O64" i="10"/>
  <c r="P64" i="10" s="1"/>
  <c r="O58" i="10"/>
  <c r="P58" i="10" s="1"/>
  <c r="M56" i="10"/>
  <c r="N56" i="10" s="1"/>
  <c r="I44" i="10"/>
  <c r="J44" i="10" s="1"/>
  <c r="F43" i="10"/>
  <c r="K43" i="10"/>
  <c r="L43" i="10" s="1"/>
  <c r="G43" i="10"/>
  <c r="H43" i="10" s="1"/>
  <c r="I74" i="14"/>
  <c r="J74" i="14" s="1"/>
  <c r="J69" i="14"/>
  <c r="K74" i="14"/>
  <c r="L74" i="14" s="1"/>
  <c r="G74" i="14"/>
  <c r="H74" i="14" s="1"/>
  <c r="G65" i="14"/>
  <c r="Q51" i="14"/>
  <c r="M51" i="14"/>
  <c r="O51" i="14"/>
  <c r="L42" i="14"/>
  <c r="I45" i="13"/>
  <c r="J45" i="13" s="1"/>
  <c r="L69" i="12"/>
  <c r="G74" i="12"/>
  <c r="H74" i="12" s="1"/>
  <c r="H69" i="12"/>
  <c r="K65" i="13"/>
  <c r="L51" i="13"/>
  <c r="K45" i="13"/>
  <c r="L45" i="13" s="1"/>
  <c r="F71" i="13"/>
  <c r="I71" i="13"/>
  <c r="J71" i="13" s="1"/>
  <c r="K71" i="13"/>
  <c r="G71" i="13"/>
  <c r="K65" i="12"/>
  <c r="L51" i="12"/>
  <c r="G65" i="12"/>
  <c r="O51" i="12"/>
  <c r="Q51" i="12"/>
  <c r="M51" i="12"/>
  <c r="I74" i="11"/>
  <c r="J74" i="11" s="1"/>
  <c r="J69" i="11"/>
  <c r="L69" i="10"/>
  <c r="H69" i="10"/>
  <c r="G74" i="9"/>
  <c r="H74" i="9" s="1"/>
  <c r="H69" i="9"/>
  <c r="K74" i="9"/>
  <c r="L74" i="9" s="1"/>
  <c r="L69" i="9"/>
  <c r="F65" i="9"/>
  <c r="O51" i="9"/>
  <c r="M51" i="9"/>
  <c r="K51" i="9"/>
  <c r="K65" i="11"/>
  <c r="L51" i="11"/>
  <c r="F42" i="10"/>
  <c r="G44" i="10"/>
  <c r="H44" i="10" s="1"/>
  <c r="K44" i="10"/>
  <c r="L44" i="10" s="1"/>
  <c r="G42" i="10"/>
  <c r="K42" i="10"/>
  <c r="F74" i="9"/>
  <c r="L69" i="8"/>
  <c r="H69" i="8"/>
  <c r="K44" i="8"/>
  <c r="L44" i="8" s="1"/>
  <c r="G44" i="8"/>
  <c r="H44" i="8" s="1"/>
  <c r="L69" i="7"/>
  <c r="H69" i="7"/>
  <c r="I65" i="9"/>
  <c r="J51" i="9"/>
  <c r="E74" i="8"/>
  <c r="F74" i="8" s="1"/>
  <c r="K45" i="8"/>
  <c r="L45" i="8" s="1"/>
  <c r="I45" i="8"/>
  <c r="J45" i="8" s="1"/>
  <c r="G45" i="8"/>
  <c r="H45" i="8" s="1"/>
  <c r="F45" i="8"/>
  <c r="K43" i="8"/>
  <c r="I43" i="8"/>
  <c r="G43" i="8"/>
  <c r="E46" i="8"/>
  <c r="F46" i="8" s="1"/>
  <c r="F43" i="8"/>
  <c r="K44" i="7"/>
  <c r="L44" i="7" s="1"/>
  <c r="I44" i="7"/>
  <c r="J44" i="7" s="1"/>
  <c r="G44" i="7"/>
  <c r="H44" i="7" s="1"/>
  <c r="F44" i="7"/>
  <c r="J69" i="6"/>
  <c r="F65" i="6"/>
  <c r="O51" i="6"/>
  <c r="M51" i="6"/>
  <c r="K51" i="6"/>
  <c r="F61" i="4"/>
  <c r="M49" i="4"/>
  <c r="K71" i="8"/>
  <c r="L71" i="8" s="1"/>
  <c r="L43" i="7"/>
  <c r="H43" i="7"/>
  <c r="L43" i="6"/>
  <c r="G46" i="6"/>
  <c r="H46" i="6" s="1"/>
  <c r="H43" i="6"/>
  <c r="E44" i="5"/>
  <c r="F44" i="5" s="1"/>
  <c r="F41" i="5"/>
  <c r="E44" i="4"/>
  <c r="F44" i="4" s="1"/>
  <c r="F41" i="4"/>
  <c r="E44" i="3"/>
  <c r="F44" i="3" s="1"/>
  <c r="F41" i="3"/>
  <c r="M52" i="7"/>
  <c r="N52" i="7" s="1"/>
  <c r="I65" i="7"/>
  <c r="J51" i="7"/>
  <c r="K45" i="6"/>
  <c r="L45" i="6" s="1"/>
  <c r="K71" i="6"/>
  <c r="L71" i="6" s="1"/>
  <c r="I71" i="6"/>
  <c r="J71" i="6" s="1"/>
  <c r="G71" i="6"/>
  <c r="H71" i="6" s="1"/>
  <c r="F71" i="6"/>
  <c r="E46" i="6"/>
  <c r="F46" i="6" s="1"/>
  <c r="F43" i="6"/>
  <c r="J49" i="4"/>
  <c r="I61" i="4"/>
  <c r="K64" i="6"/>
  <c r="L64" i="6" s="1"/>
  <c r="O64" i="6"/>
  <c r="P64" i="6" s="1"/>
  <c r="M63" i="6"/>
  <c r="N63" i="6" s="1"/>
  <c r="K62" i="6"/>
  <c r="L62" i="6" s="1"/>
  <c r="O62" i="6"/>
  <c r="P62" i="6" s="1"/>
  <c r="M61" i="6"/>
  <c r="N61" i="6" s="1"/>
  <c r="G43" i="5"/>
  <c r="H43" i="5" s="1"/>
  <c r="G67" i="5"/>
  <c r="H67" i="5" s="1"/>
  <c r="F67" i="5"/>
  <c r="M56" i="4"/>
  <c r="N56" i="4" s="1"/>
  <c r="J49" i="3"/>
  <c r="I61" i="3"/>
  <c r="M57" i="3"/>
  <c r="N57" i="3" s="1"/>
  <c r="M52" i="3"/>
  <c r="N52" i="3" s="1"/>
  <c r="F74" i="14"/>
  <c r="K65" i="14"/>
  <c r="L51" i="14"/>
  <c r="F45" i="14"/>
  <c r="K45" i="14"/>
  <c r="L45" i="14" s="1"/>
  <c r="G45" i="14"/>
  <c r="H45" i="14" s="1"/>
  <c r="I45" i="14"/>
  <c r="J45" i="14" s="1"/>
  <c r="J42" i="14"/>
  <c r="J69" i="13"/>
  <c r="F74" i="13"/>
  <c r="G65" i="13"/>
  <c r="Q51" i="13"/>
  <c r="O51" i="13"/>
  <c r="M51" i="13"/>
  <c r="I74" i="12"/>
  <c r="J74" i="12" s="1"/>
  <c r="J69" i="12"/>
  <c r="E46" i="13"/>
  <c r="F46" i="13" s="1"/>
  <c r="K42" i="13"/>
  <c r="I42" i="13"/>
  <c r="G42" i="13"/>
  <c r="F42" i="13"/>
  <c r="K74" i="11"/>
  <c r="L74" i="11" s="1"/>
  <c r="L69" i="11"/>
  <c r="H69" i="11"/>
  <c r="Q51" i="11"/>
  <c r="O51" i="11"/>
  <c r="M51" i="11"/>
  <c r="G65" i="11"/>
  <c r="J69" i="10"/>
  <c r="J69" i="9"/>
  <c r="I74" i="9"/>
  <c r="J74" i="9" s="1"/>
  <c r="K44" i="9"/>
  <c r="L44" i="9" s="1"/>
  <c r="I44" i="9"/>
  <c r="J44" i="9" s="1"/>
  <c r="G44" i="9"/>
  <c r="H44" i="9" s="1"/>
  <c r="F44" i="9"/>
  <c r="K42" i="11"/>
  <c r="I42" i="11"/>
  <c r="G42" i="11"/>
  <c r="F42" i="11"/>
  <c r="K65" i="10"/>
  <c r="L51" i="10"/>
  <c r="G65" i="10"/>
  <c r="Q51" i="10"/>
  <c r="O51" i="10"/>
  <c r="M51" i="10"/>
  <c r="I42" i="10"/>
  <c r="L43" i="9"/>
  <c r="H43" i="9"/>
  <c r="J69" i="8"/>
  <c r="O51" i="8"/>
  <c r="M51" i="8"/>
  <c r="K51" i="8"/>
  <c r="F65" i="8"/>
  <c r="I74" i="7"/>
  <c r="J74" i="7" s="1"/>
  <c r="J69" i="7"/>
  <c r="F65" i="7"/>
  <c r="O51" i="7"/>
  <c r="K51" i="7"/>
  <c r="M51" i="7"/>
  <c r="E46" i="9"/>
  <c r="F46" i="9" s="1"/>
  <c r="F43" i="9"/>
  <c r="I65" i="8"/>
  <c r="J51" i="8"/>
  <c r="G74" i="6"/>
  <c r="H74" i="6" s="1"/>
  <c r="H69" i="6"/>
  <c r="F61" i="5"/>
  <c r="M49" i="5"/>
  <c r="F61" i="3"/>
  <c r="M49" i="3"/>
  <c r="K45" i="9"/>
  <c r="L45" i="9" s="1"/>
  <c r="O53" i="7"/>
  <c r="P53" i="7" s="1"/>
  <c r="K53" i="7"/>
  <c r="L53" i="7" s="1"/>
  <c r="M53" i="7"/>
  <c r="N53" i="7" s="1"/>
  <c r="J43" i="7"/>
  <c r="I46" i="6"/>
  <c r="J46" i="6" s="1"/>
  <c r="J43" i="6"/>
  <c r="K61" i="5"/>
  <c r="H41" i="5"/>
  <c r="K61" i="4"/>
  <c r="H41" i="4"/>
  <c r="K61" i="3"/>
  <c r="H41" i="3"/>
  <c r="K52" i="7"/>
  <c r="L52" i="7" s="1"/>
  <c r="O52" i="7"/>
  <c r="P52" i="7" s="1"/>
  <c r="E46" i="7"/>
  <c r="F46" i="7" s="1"/>
  <c r="F43" i="7"/>
  <c r="J51" i="6"/>
  <c r="I65" i="6"/>
  <c r="G67" i="4"/>
  <c r="H67" i="4" s="1"/>
  <c r="F67" i="4"/>
  <c r="K45" i="7"/>
  <c r="L45" i="7" s="1"/>
  <c r="M64" i="6"/>
  <c r="N64" i="6" s="1"/>
  <c r="K63" i="6"/>
  <c r="L63" i="6" s="1"/>
  <c r="O63" i="6"/>
  <c r="P63" i="6" s="1"/>
  <c r="M62" i="6"/>
  <c r="N62" i="6" s="1"/>
  <c r="K61" i="6"/>
  <c r="L61" i="6" s="1"/>
  <c r="O61" i="6"/>
  <c r="P61" i="6" s="1"/>
  <c r="J49" i="5"/>
  <c r="I61" i="5"/>
  <c r="M60" i="4"/>
  <c r="N60" i="4" s="1"/>
  <c r="M52" i="4"/>
  <c r="N52" i="4" s="1"/>
  <c r="G43" i="3"/>
  <c r="H43" i="3" s="1"/>
  <c r="G67" i="3"/>
  <c r="H67" i="3" s="1"/>
  <c r="F67" i="3"/>
  <c r="M54" i="3"/>
  <c r="N54" i="3" s="1"/>
  <c r="F45" i="12" l="1"/>
  <c r="F74" i="12"/>
  <c r="G74" i="7"/>
  <c r="H74" i="7" s="1"/>
  <c r="I46" i="7"/>
  <c r="J46" i="7" s="1"/>
  <c r="G74" i="8"/>
  <c r="H74" i="8" s="1"/>
  <c r="E45" i="10"/>
  <c r="I74" i="13"/>
  <c r="J74" i="13" s="1"/>
  <c r="K74" i="6"/>
  <c r="L74" i="6" s="1"/>
  <c r="I74" i="8"/>
  <c r="J74" i="8" s="1"/>
  <c r="L65" i="14"/>
  <c r="J61" i="4"/>
  <c r="I46" i="14"/>
  <c r="J46" i="14" s="1"/>
  <c r="K74" i="7"/>
  <c r="L74" i="7" s="1"/>
  <c r="G74" i="10"/>
  <c r="H74" i="10" s="1"/>
  <c r="K74" i="10"/>
  <c r="L74" i="10" s="1"/>
  <c r="G44" i="4"/>
  <c r="H44" i="4" s="1"/>
  <c r="J61" i="5"/>
  <c r="K45" i="12"/>
  <c r="I45" i="12"/>
  <c r="G45" i="12"/>
  <c r="F74" i="10"/>
  <c r="F74" i="11"/>
  <c r="G74" i="11"/>
  <c r="H74" i="11" s="1"/>
  <c r="I74" i="10"/>
  <c r="J74" i="10" s="1"/>
  <c r="G46" i="7"/>
  <c r="H46" i="7" s="1"/>
  <c r="J65" i="9"/>
  <c r="G44" i="5"/>
  <c r="H44" i="5" s="1"/>
  <c r="J65" i="6"/>
  <c r="K46" i="6"/>
  <c r="L46" i="6" s="1"/>
  <c r="K74" i="12"/>
  <c r="L74" i="12" s="1"/>
  <c r="G44" i="3"/>
  <c r="H44" i="3" s="1"/>
  <c r="N49" i="3"/>
  <c r="M61" i="3"/>
  <c r="N61" i="3" s="1"/>
  <c r="N49" i="5"/>
  <c r="M61" i="5"/>
  <c r="N61" i="5" s="1"/>
  <c r="M65" i="7"/>
  <c r="N65" i="7" s="1"/>
  <c r="N51" i="7"/>
  <c r="O65" i="7"/>
  <c r="P65" i="7" s="1"/>
  <c r="P51" i="7"/>
  <c r="M65" i="8"/>
  <c r="N65" i="8" s="1"/>
  <c r="N51" i="8"/>
  <c r="J42" i="10"/>
  <c r="O65" i="10"/>
  <c r="P65" i="10" s="1"/>
  <c r="P51" i="10"/>
  <c r="L65" i="10"/>
  <c r="H42" i="11"/>
  <c r="L42" i="11"/>
  <c r="O65" i="11"/>
  <c r="P65" i="11" s="1"/>
  <c r="P51" i="11"/>
  <c r="G46" i="13"/>
  <c r="H46" i="13" s="1"/>
  <c r="H42" i="13"/>
  <c r="K46" i="13"/>
  <c r="L46" i="13" s="1"/>
  <c r="L42" i="13"/>
  <c r="M65" i="13"/>
  <c r="N65" i="13" s="1"/>
  <c r="N51" i="13"/>
  <c r="Q65" i="13"/>
  <c r="R65" i="13" s="1"/>
  <c r="R51" i="13"/>
  <c r="J61" i="3"/>
  <c r="G70" i="5"/>
  <c r="H70" i="5" s="1"/>
  <c r="K46" i="7"/>
  <c r="L46" i="7" s="1"/>
  <c r="N51" i="6"/>
  <c r="M65" i="6"/>
  <c r="N65" i="6" s="1"/>
  <c r="I74" i="6"/>
  <c r="J74" i="6" s="1"/>
  <c r="I46" i="8"/>
  <c r="J46" i="8" s="1"/>
  <c r="J43" i="8"/>
  <c r="K74" i="8"/>
  <c r="L74" i="8" s="1"/>
  <c r="I46" i="9"/>
  <c r="J46" i="9" s="1"/>
  <c r="L42" i="10"/>
  <c r="L65" i="11"/>
  <c r="M65" i="9"/>
  <c r="N65" i="9" s="1"/>
  <c r="N51" i="9"/>
  <c r="M65" i="12"/>
  <c r="N65" i="12" s="1"/>
  <c r="N51" i="12"/>
  <c r="O65" i="12"/>
  <c r="P65" i="12" s="1"/>
  <c r="P51" i="12"/>
  <c r="H71" i="13"/>
  <c r="G74" i="13"/>
  <c r="H74" i="13" s="1"/>
  <c r="L65" i="13"/>
  <c r="O65" i="14"/>
  <c r="P65" i="14" s="1"/>
  <c r="P51" i="14"/>
  <c r="Q65" i="14"/>
  <c r="R65" i="14" s="1"/>
  <c r="R51" i="14"/>
  <c r="G70" i="3"/>
  <c r="H70" i="3" s="1"/>
  <c r="G70" i="4"/>
  <c r="H70" i="4" s="1"/>
  <c r="J65" i="8"/>
  <c r="K65" i="7"/>
  <c r="L65" i="7" s="1"/>
  <c r="L51" i="7"/>
  <c r="K65" i="8"/>
  <c r="L65" i="8" s="1"/>
  <c r="L51" i="8"/>
  <c r="O65" i="8"/>
  <c r="P65" i="8" s="1"/>
  <c r="P51" i="8"/>
  <c r="G46" i="9"/>
  <c r="H46" i="9" s="1"/>
  <c r="K46" i="9"/>
  <c r="L46" i="9" s="1"/>
  <c r="M65" i="10"/>
  <c r="N65" i="10" s="1"/>
  <c r="N51" i="10"/>
  <c r="Q65" i="10"/>
  <c r="R65" i="10" s="1"/>
  <c r="R51" i="10"/>
  <c r="J42" i="11"/>
  <c r="M65" i="11"/>
  <c r="N65" i="11" s="1"/>
  <c r="N51" i="11"/>
  <c r="Q65" i="11"/>
  <c r="R65" i="11" s="1"/>
  <c r="R51" i="11"/>
  <c r="I46" i="13"/>
  <c r="J46" i="13" s="1"/>
  <c r="J42" i="13"/>
  <c r="O65" i="13"/>
  <c r="P65" i="13" s="1"/>
  <c r="P51" i="13"/>
  <c r="J65" i="7"/>
  <c r="N49" i="4"/>
  <c r="M61" i="4"/>
  <c r="N61" i="4" s="1"/>
  <c r="L51" i="6"/>
  <c r="K65" i="6"/>
  <c r="L65" i="6" s="1"/>
  <c r="P51" i="6"/>
  <c r="O65" i="6"/>
  <c r="P65" i="6" s="1"/>
  <c r="G46" i="8"/>
  <c r="H46" i="8" s="1"/>
  <c r="H43" i="8"/>
  <c r="K46" i="8"/>
  <c r="L46" i="8" s="1"/>
  <c r="L43" i="8"/>
  <c r="H42" i="10"/>
  <c r="L51" i="9"/>
  <c r="K65" i="9"/>
  <c r="L65" i="9" s="1"/>
  <c r="P51" i="9"/>
  <c r="O65" i="9"/>
  <c r="P65" i="9" s="1"/>
  <c r="Q65" i="12"/>
  <c r="R65" i="12" s="1"/>
  <c r="R51" i="12"/>
  <c r="L65" i="12"/>
  <c r="L71" i="13"/>
  <c r="K74" i="13"/>
  <c r="L74" i="13" s="1"/>
  <c r="K46" i="14"/>
  <c r="L46" i="14" s="1"/>
  <c r="G46" i="14"/>
  <c r="H46" i="14" s="1"/>
  <c r="M65" i="14"/>
  <c r="N65" i="14" s="1"/>
  <c r="N51" i="14"/>
  <c r="K45" i="10" l="1"/>
  <c r="G45" i="10"/>
  <c r="I45" i="10"/>
  <c r="E46" i="10"/>
  <c r="F46" i="10" s="1"/>
  <c r="F45" i="10"/>
  <c r="H45" i="12"/>
  <c r="G46" i="12"/>
  <c r="H46" i="12" s="1"/>
  <c r="J45" i="12"/>
  <c r="I46" i="12"/>
  <c r="J46" i="12" s="1"/>
  <c r="L45" i="12"/>
  <c r="K46" i="12"/>
  <c r="L46" i="12" s="1"/>
  <c r="G45" i="11"/>
  <c r="F45" i="11"/>
  <c r="K45" i="11"/>
  <c r="I45" i="11"/>
  <c r="E46" i="11"/>
  <c r="F46" i="11" s="1"/>
  <c r="J45" i="10" l="1"/>
  <c r="I46" i="10"/>
  <c r="J46" i="10" s="1"/>
  <c r="H45" i="10"/>
  <c r="G46" i="10"/>
  <c r="H46" i="10" s="1"/>
  <c r="L45" i="10"/>
  <c r="K46" i="10"/>
  <c r="L46" i="10" s="1"/>
  <c r="J45" i="11"/>
  <c r="I46" i="11"/>
  <c r="J46" i="11" s="1"/>
  <c r="L45" i="11"/>
  <c r="K46" i="11"/>
  <c r="L46" i="11" s="1"/>
  <c r="H45" i="11"/>
  <c r="G46" i="11"/>
  <c r="H46" i="11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<sst xmlns="http://schemas.openxmlformats.org/spreadsheetml/2006/main" count="2122" uniqueCount="228">
  <si>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</si>
  <si>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</si>
  <si>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</si>
  <si>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</si>
  <si>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</si>
  <si>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</si>
  <si>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</si>
  <si>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</si>
  <si>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</si>
  <si>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</si>
  <si>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</si>
  <si>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</si>
  <si>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</si>
  <si>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</si>
  <si>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</si>
  <si>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</si>
  <si>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</si>
  <si>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</si>
  <si>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</si>
  <si>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</si>
  <si>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</si>
  <si>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</si>
  <si>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</si>
  <si>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</si>
  <si>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</si>
  <si>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</si>
  <si>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</si>
  <si>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</si>
  <si>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</si>
  <si>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</si>
  <si>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</si>
  <si>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</si>
  <si>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</si>
  <si>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</si>
  <si>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</si>
  <si>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</si>
  <si>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</si>
  <si>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</si>
  <si>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</si>
  <si>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</si>
  <si>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</si>
  <si>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</si>
  <si>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</si>
  <si>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</si>
  <si>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</si>
  <si>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</si>
  <si>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</si>
  <si>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</si>
  <si>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</si>
  <si>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</si>
  <si>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</si>
  <si>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</si>
  <si>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</si>
  <si>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</si>
  <si>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</si>
  <si>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</si>
  <si>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</si>
  <si>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</si>
  <si>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</si>
  <si>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</si>
  <si>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</si>
  <si>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</si>
  <si>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</si>
  <si>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</si>
  <si>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</si>
  <si>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</si>
  <si>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</si>
  <si>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</si>
  <si>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</si>
  <si>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</si>
  <si>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</si>
  <si>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</si>
  <si>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</si>
  <si>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</si>
  <si>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</si>
  <si>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</si>
  <si>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</si>
  <si>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</si>
  <si>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</si>
  <si>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</si>
  <si>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</si>
  <si>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</si>
  <si>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</si>
  <si>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</si>
  <si>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</si>
  <si>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</si>
  <si>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</si>
  <si>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</si>
  <si>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</si>
  <si>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</si>
  <si>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</si>
  <si>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</si>
  <si>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</si>
  <si>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</si>
  <si>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</si>
  <si>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</si>
  <si>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</si>
  <si>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</si>
  <si>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</si>
  <si>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</si>
  <si>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</si>
  <si>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</si>
  <si>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</si>
  <si>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</si>
  <si>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</si>
  <si>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</si>
  <si>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</si>
  <si>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</si>
  <si>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</si>
  <si>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</si>
  <si>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</si>
  <si>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</si>
  <si>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</si>
  <si>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</si>
  <si>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</si>
  <si>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</si>
  <si>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</si>
  <si>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</si>
  <si>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</si>
  <si>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</si>
  <si>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</si>
  <si>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</si>
  <si>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</si>
  <si>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</si>
  <si>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</si>
  <si>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</si>
  <si>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</si>
  <si>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</si>
  <si>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</si>
  <si>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</si>
  <si>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</si>
  <si>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</si>
  <si>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</si>
  <si>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</si>
  <si>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</si>
  <si>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</si>
  <si>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</si>
  <si>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</si>
  <si>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</si>
  <si>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</si>
  <si>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</si>
  <si>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</si>
  <si>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</si>
  <si>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</si>
  <si>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</si>
  <si>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</si>
  <si>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</si>
  <si>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</si>
  <si>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</si>
  <si>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</si>
  <si>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</si>
  <si>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</si>
  <si>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</si>
  <si>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</si>
  <si>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</si>
  <si>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</si>
  <si>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</si>
  <si>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</si>
  <si>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</si>
  <si>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</si>
  <si>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</si>
  <si>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</si>
  <si>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</si>
  <si>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</si>
  <si>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</si>
  <si>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</si>
  <si>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</si>
  <si>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</si>
  <si>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</si>
  <si>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</si>
  <si>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</si>
  <si>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</si>
  <si>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</si>
  <si>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</si>
  <si>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</si>
  <si>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</si>
  <si>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</si>
  <si>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</si>
  <si>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</si>
  <si>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</si>
  <si>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</si>
  <si>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</si>
  <si>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</si>
  <si>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</si>
  <si>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</si>
  <si>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</si>
  <si>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</si>
  <si>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</si>
  <si>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</si>
  <si>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</si>
  <si>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</si>
  <si>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</si>
  <si>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</si>
  <si>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</si>
  <si>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</si>
  <si>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</si>
  <si>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</si>
  <si>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</si>
  <si>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</si>
  <si>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</si>
  <si>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</si>
  <si>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</si>
  <si>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</si>
  <si>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</si>
  <si>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</si>
  <si>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</si>
  <si>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</si>
  <si>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</si>
  <si>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</si>
  <si>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</si>
  <si>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</si>
  <si>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</si>
  <si>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FOOD, BEVERAGES &amp; BAKERY</t>
  </si>
  <si>
    <t>Eka/Wahyu - FIB</t>
  </si>
  <si>
    <t>Eka/Wahyu - Kuta/Legian</t>
  </si>
  <si>
    <t>KEY 1 (Nama_Kry)</t>
  </si>
  <si>
    <t>KEY 2 (opsional)</t>
  </si>
  <si>
    <t>n/a</t>
  </si>
  <si>
    <t>DATA PENCAPAIAN — GLOBAL — 31 AGUSTUS 2026</t>
  </si>
  <si>
    <t>Wahyu</t>
  </si>
  <si>
    <t>WAHYU</t>
  </si>
  <si>
    <t>WAHYU FIB</t>
  </si>
  <si>
    <t>NP5_calc = baris kosong (C30) + NP5 raw (C35) + KA dari MKS (M7)</t>
  </si>
  <si>
    <t>NP3_final = NP3 raw (C33) + NP4 (C34) + NP5_calc (M20)</t>
  </si>
  <si>
    <t>Ronald</t>
  </si>
  <si>
    <t>RONALD</t>
  </si>
  <si>
    <t>DATA PENCAPAIAN — GLOBAL —  30 SEPTEMBER 2026</t>
  </si>
  <si>
    <t>DATA PENCAPAIAN — GLOBAL —  16 OKTOBER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</si>
</sst>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300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41" fontId="49" fillId="33" borderId="13" xfId="0" applyNumberFormat="1" applyFont="1" applyFill="1" applyBorder="1" applyAlignment="1">
      <alignment horizontal="center" vertical="center" wrapText="1"/>
    </xf>
    <xf numFmtId="41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41" fontId="47" fillId="33" borderId="13" xfId="0" applyNumberFormat="1" applyFont="1" applyFill="1" applyBorder="1" applyAlignment="1">
      <alignment horizontal="center" vertical="center" wrapText="1"/>
    </xf>
    <xf numFmtId="41" fontId="47" fillId="35" borderId="13" xfId="0" applyNumberFormat="1" applyFont="1" applyFill="1" applyBorder="1" applyAlignment="1">
      <alignment horizontal="center" vertical="center" wrapText="1"/>
    </xf>
    <xf numFmtId="0" fontId="9" fillId="12" borderId="7" xfId="0" applyFont="1" applyFill="1" applyBorder="1" applyAlignment="1">
      <alignment vertical="center"/>
    </xf>
    <xf numFmtId="164" fontId="0" fillId="0" borderId="4" xfId="0" applyNumberFormat="1" applyFont="1" applyBorder="1" applyAlignment="1">
      <alignment vertical="center"/>
    </xf>
    <xf numFmtId="41" fontId="0" fillId="0" borderId="1" xfId="0" applyNumberFormat="1" applyBorder="1" applyAlignment="1">
      <alignment vertical="center"/>
    </xf>
    <xf numFmtId="41" fontId="0" fillId="0" borderId="12" xfId="0" applyNumberFormat="1" applyBorder="1" applyAlignment="1">
      <alignment vertical="center"/>
    </xf>
    <xf numFmtId="164" fontId="0" fillId="0" borderId="13" xfId="0" applyNumberFormat="1" applyBorder="1" applyAlignment="1">
      <alignment vertical="center"/>
    </xf>
    <xf numFmtId="164" fontId="0" fillId="0" borderId="1" xfId="0" applyNumberFormat="1" applyBorder="1"/>
    <xf numFmtId="164" fontId="0" fillId="0" borderId="1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41" fontId="29" fillId="15" borderId="2" xfId="0" applyNumberFormat="1" applyFont="1" applyFill="1" applyBorder="1" applyAlignment="1">
      <alignment horizontal="center" vertical="center" wrapText="1"/>
    </xf>
    <xf numFmtId="41" fontId="29" fillId="15" borderId="6" xfId="0" applyNumberFormat="1" applyFont="1" applyFill="1" applyBorder="1" applyAlignment="1">
      <alignment horizontal="center" vertical="center" wrapText="1"/>
    </xf>
    <xf numFmtId="41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microsoft.com/office/2017/10/relationships/person" Target="persons/person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microsoft.com/office/2017/10/relationships/person" Target="persons/person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9"/>
  <sheetViews>
    <sheetView showGridLines="0" zoomScale="171" zoomScaleNormal="110" workbookViewId="0">
      <selection activeCell="B16" sqref="B16:C17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41" t="s">
        <v>0</v>
      </c>
      <c r="C1" s="241"/>
    </row>
    <row r="3" spans="2:3" x14ac:dyDescent="0.25">
      <c r="B3" s="242" t="s">
        <v>1</v>
      </c>
      <c r="C3" s="242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43" t="s">
        <v>14</v>
      </c>
      <c r="C11" s="243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210</v>
      </c>
      <c r="C19" s="2" t="s">
        <v>211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M29"/>
  <sheetViews>
    <sheetView showGridLines="0" topLeftCell="A7" zoomScale="86" zoomScaleNormal="86" workbookViewId="0">
      <selection activeCell="O12" sqref="O12"/>
    </sheetView>
  </sheetViews>
  <sheetFormatPr defaultColWidth="8.7109375" defaultRowHeight="15" x14ac:dyDescent="0.25"/>
  <cols>
    <col min="1" max="1" width="2" customWidth="1"/>
    <col min="2" max="2" width="32.7109375" bestFit="1" customWidth="1"/>
    <col min="3" max="3" width="14.28515625" bestFit="1" customWidth="1"/>
    <col min="4" max="5" width="12.85546875" customWidth="1"/>
    <col min="6" max="6" width="11.140625" customWidth="1"/>
    <col min="7" max="12" width="12.85546875" customWidth="1"/>
    <col min="13" max="13" width="12.7109375" bestFit="1" customWidth="1"/>
    <col min="14" max="14" width="11.140625" customWidth="1"/>
    <col min="15" max="15" width="8.28515625" customWidth="1"/>
    <col min="16" max="17" width="11.140625" customWidth="1"/>
    <col min="18" max="18" width="8.28515625" customWidth="1"/>
    <col min="19" max="20" width="11.140625" customWidth="1"/>
    <col min="21" max="21" width="8.28515625" customWidth="1"/>
    <col min="22" max="22" width="12.85546875" customWidth="1"/>
    <col min="23" max="23" width="11.140625" customWidth="1"/>
    <col min="24" max="24" width="8.28515625" customWidth="1"/>
    <col min="25" max="30" width="11.140625" customWidth="1"/>
    <col min="31" max="33" width="11.140625" bestFit="1" customWidth="1"/>
    <col min="34" max="34" width="6.140625" bestFit="1" customWidth="1"/>
    <col min="35" max="35" width="5.7109375" bestFit="1" customWidth="1"/>
    <col min="36" max="36" width="8.28515625" bestFit="1" customWidth="1"/>
    <col min="37" max="37" width="6.140625" bestFit="1" customWidth="1"/>
    <col min="39" max="39" width="8.28515625" bestFit="1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42" t="s">
        <v>28</v>
      </c>
      <c r="C3" s="242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38.2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195</v>
      </c>
      <c r="G4" s="4" t="s">
        <v>45</v>
      </c>
      <c r="H4" s="4" t="s">
        <v>46</v>
      </c>
      <c r="I4" s="4" t="s">
        <v>196</v>
      </c>
      <c r="J4" s="4" t="s">
        <v>47</v>
      </c>
      <c r="K4" s="4" t="s">
        <v>48</v>
      </c>
      <c r="L4" s="4" t="s">
        <v>197</v>
      </c>
      <c r="M4" s="4" t="s">
        <v>49</v>
      </c>
      <c r="N4" s="4" t="s">
        <v>50</v>
      </c>
      <c r="O4" s="4" t="s">
        <v>198</v>
      </c>
      <c r="P4" s="4" t="s">
        <v>51</v>
      </c>
      <c r="Q4" s="4" t="s">
        <v>52</v>
      </c>
      <c r="R4" s="4" t="s">
        <v>199</v>
      </c>
      <c r="S4" s="4" t="s">
        <v>53</v>
      </c>
      <c r="T4" s="4" t="s">
        <v>54</v>
      </c>
      <c r="U4" s="4" t="s">
        <v>200</v>
      </c>
      <c r="V4" s="4" t="s">
        <v>55</v>
      </c>
      <c r="W4" s="4" t="s">
        <v>56</v>
      </c>
      <c r="X4" s="4" t="s">
        <v>201</v>
      </c>
      <c r="Y4" s="4" t="s">
        <v>57</v>
      </c>
      <c r="Z4" s="4" t="s">
        <v>58</v>
      </c>
      <c r="AA4" s="4" t="s">
        <v>202</v>
      </c>
      <c r="AB4" s="4" t="s">
        <v>59</v>
      </c>
      <c r="AC4" s="4" t="s">
        <v>60</v>
      </c>
      <c r="AD4" s="4" t="s">
        <v>203</v>
      </c>
      <c r="AE4" s="4" t="s">
        <v>61</v>
      </c>
      <c r="AF4" s="4" t="s">
        <v>62</v>
      </c>
      <c r="AG4" s="4" t="s">
        <v>204</v>
      </c>
      <c r="AH4" s="4" t="s">
        <v>63</v>
      </c>
      <c r="AI4" s="4" t="s">
        <v>64</v>
      </c>
      <c r="AJ4" s="4" t="s">
        <v>205</v>
      </c>
      <c r="AK4" s="4" t="s">
        <v>65</v>
      </c>
      <c r="AL4" s="4" t="s">
        <v>66</v>
      </c>
      <c r="AM4" s="4" t="s">
        <v>206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269047799.19044793</v>
      </c>
      <c r="AC5" s="7">
        <v>69550316.359371036</v>
      </c>
      <c r="AD5" s="7">
        <v>175769404.33699557</v>
      </c>
      <c r="AE5" s="7">
        <v>264756949.64136907</v>
      </c>
      <c r="AF5" s="7">
        <v>58508748.413354225</v>
      </c>
      <c r="AG5" s="7">
        <v>172968793.98622558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184343826.51079065</v>
      </c>
      <c r="AC6" s="7">
        <v>174486695.16641188</v>
      </c>
      <c r="AD6" s="7">
        <v>426693359.74293905</v>
      </c>
      <c r="AE6" s="7">
        <v>180052976.96171179</v>
      </c>
      <c r="AF6" s="7">
        <v>163445127.22039506</v>
      </c>
      <c r="AG6" s="7">
        <v>423892749.39216906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171</v>
      </c>
      <c r="C7" s="129" t="s">
        <v>172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>
        <v>262953105.06301075</v>
      </c>
      <c r="AC7" s="7">
        <v>0</v>
      </c>
      <c r="AD7" s="7">
        <v>0</v>
      </c>
      <c r="AE7" s="7">
        <v>262953105.06301075</v>
      </c>
      <c r="AF7" s="7">
        <v>0</v>
      </c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595245101.89060342</v>
      </c>
      <c r="AC8" s="7">
        <v>44704504.809982933</v>
      </c>
      <c r="AD8" s="7">
        <v>86722202.085279256</v>
      </c>
      <c r="AE8" s="7">
        <v>590954252.3415246</v>
      </c>
      <c r="AF8" s="7">
        <v>33662936.863966122</v>
      </c>
      <c r="AG8" s="7">
        <v>83921591.734509259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221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5575801.9517222047</v>
      </c>
      <c r="AC9" s="7">
        <v>63507750.38497854</v>
      </c>
      <c r="AD9" s="7">
        <v>468117447.23398483</v>
      </c>
      <c r="AE9" s="7">
        <v>5575801.9517222047</v>
      </c>
      <c r="AF9" s="7">
        <v>63507750.38497854</v>
      </c>
      <c r="AG9" s="7">
        <v>468117447.23398483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225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271811720.41502386</v>
      </c>
      <c r="AC10" s="7">
        <v>116173959.09515169</v>
      </c>
      <c r="AD10" s="7">
        <v>186960308.99004278</v>
      </c>
      <c r="AE10" s="7">
        <v>267520870.86594501</v>
      </c>
      <c r="AF10" s="7">
        <v>105132391.14913487</v>
      </c>
      <c r="AG10" s="7">
        <v>184159698.63927278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668891000.09319413</v>
      </c>
      <c r="AC11" s="7">
        <v>94358636.074047983</v>
      </c>
      <c r="AD11" s="7">
        <v>345934429.35750455</v>
      </c>
      <c r="AE11" s="7">
        <v>664600150.5441153</v>
      </c>
      <c r="AF11" s="7">
        <v>83317068.128031164</v>
      </c>
      <c r="AG11" s="7">
        <v>343133819.00673455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264283926.94792593</v>
      </c>
      <c r="AC12" s="7">
        <v>97886673.040960073</v>
      </c>
      <c r="AD12" s="7">
        <v>252410270.18814293</v>
      </c>
      <c r="AE12" s="7">
        <v>259993077.39884707</v>
      </c>
      <c r="AF12" s="7">
        <v>86845105.094943255</v>
      </c>
      <c r="AG12" s="7">
        <v>249609659.83737293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171</v>
      </c>
      <c r="C13" s="129" t="s">
        <v>173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>
        <v>443846715.57642001</v>
      </c>
      <c r="AC13" s="7">
        <v>0</v>
      </c>
      <c r="AD13" s="7">
        <v>0</v>
      </c>
      <c r="AE13" s="7">
        <v>443846715.57642001</v>
      </c>
      <c r="AF13" s="7">
        <v>0</v>
      </c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220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350028087.21575695</v>
      </c>
      <c r="AC14" s="7">
        <v>110885070.36755566</v>
      </c>
      <c r="AD14" s="7">
        <v>118273050.61307113</v>
      </c>
      <c r="AE14" s="7">
        <v>345737237.66667807</v>
      </c>
      <c r="AF14" s="7">
        <v>99843502.42153886</v>
      </c>
      <c r="AG14" s="7">
        <v>115472440.26230113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481086994.53224033</v>
      </c>
      <c r="AC15" s="7">
        <v>64167598.911600403</v>
      </c>
      <c r="AD15" s="7">
        <v>171338208.10934076</v>
      </c>
      <c r="AE15" s="7">
        <v>476796144.98316145</v>
      </c>
      <c r="AF15" s="7">
        <v>53126030.965583593</v>
      </c>
      <c r="AG15" s="7">
        <v>168537597.75857076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172797999.38105893</v>
      </c>
      <c r="AC16" s="7">
        <v>41572866.941455372</v>
      </c>
      <c r="AD16" s="7">
        <v>262652391.23828724</v>
      </c>
      <c r="AE16" s="7">
        <v>168507149.83198008</v>
      </c>
      <c r="AF16" s="7">
        <v>30531298.995438561</v>
      </c>
      <c r="AG16" s="7">
        <v>259851780.88751724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414259691.91367406</v>
      </c>
      <c r="AC17" s="7">
        <v>319339041.89902592</v>
      </c>
      <c r="AD17" s="7">
        <v>245375263.48110652</v>
      </c>
      <c r="AE17" s="7">
        <v>409968842.36459517</v>
      </c>
      <c r="AF17" s="7">
        <v>308297473.95300913</v>
      </c>
      <c r="AG17" s="7">
        <v>242574653.13033652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127614263.01752643</v>
      </c>
      <c r="AC18" s="7">
        <v>204732197.46487355</v>
      </c>
      <c r="AD18" s="7">
        <v>204567860.95199081</v>
      </c>
      <c r="AE18" s="7">
        <v>123323413.46844758</v>
      </c>
      <c r="AF18" s="7">
        <v>193690629.51885673</v>
      </c>
      <c r="AG18" s="7">
        <v>201767250.60122082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256257503.30496463</v>
      </c>
      <c r="M22" s="7">
        <v>269378070.68085116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99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399558412.3049646</v>
      </c>
      <c r="M23" s="7">
        <v>412678979.6808511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1084609616.3049645</v>
      </c>
      <c r="M24" s="7">
        <v>1097730183.680851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44" t="s">
        <v>102</v>
      </c>
      <c r="C29" s="244"/>
      <c r="D29" s="244"/>
      <c r="E29" s="244"/>
      <c r="F29" s="244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topLeftCell="A7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166</v>
      </c>
      <c r="C1" s="83"/>
      <c r="D1" s="83"/>
      <c r="E1" s="83"/>
      <c r="F1" s="83"/>
      <c r="G1" s="215" t="s">
        <v>190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191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9" t="s">
        <v>145</v>
      </c>
      <c r="C44" s="250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51" t="s">
        <v>41</v>
      </c>
      <c r="C47" s="251" t="s">
        <v>42</v>
      </c>
      <c r="D47" s="252" t="s">
        <v>137</v>
      </c>
      <c r="E47" s="253"/>
      <c r="F47" s="254"/>
      <c r="G47" s="98" t="s">
        <v>138</v>
      </c>
      <c r="H47" s="98"/>
      <c r="I47" s="98"/>
      <c r="J47" s="251" t="s">
        <v>139</v>
      </c>
      <c r="K47" s="99" t="s">
        <v>147</v>
      </c>
      <c r="L47" s="99"/>
      <c r="M47" s="99"/>
      <c r="N47" s="248" t="s">
        <v>148</v>
      </c>
    </row>
    <row r="48" spans="2:14" ht="15.75" x14ac:dyDescent="0.25">
      <c r="B48" s="251"/>
      <c r="C48" s="251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51"/>
      <c r="K48" s="101" t="s">
        <v>142</v>
      </c>
      <c r="L48" s="101" t="s">
        <v>110</v>
      </c>
      <c r="M48" s="101" t="s">
        <v>145</v>
      </c>
      <c r="N48" s="248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45" t="s">
        <v>144</v>
      </c>
      <c r="C63" s="246"/>
      <c r="D63" s="246"/>
      <c r="E63" s="246"/>
      <c r="F63" s="246"/>
      <c r="G63" s="246"/>
      <c r="H63" s="247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166</v>
      </c>
      <c r="C1" s="83"/>
      <c r="D1" s="83"/>
      <c r="E1" s="83"/>
      <c r="F1" s="83"/>
      <c r="G1" s="215" t="s">
        <v>190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191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9" t="s">
        <v>145</v>
      </c>
      <c r="C44" s="250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51" t="s">
        <v>41</v>
      </c>
      <c r="C47" s="251" t="s">
        <v>42</v>
      </c>
      <c r="D47" s="252" t="s">
        <v>137</v>
      </c>
      <c r="E47" s="253"/>
      <c r="F47" s="254"/>
      <c r="G47" s="98" t="s">
        <v>138</v>
      </c>
      <c r="H47" s="98"/>
      <c r="I47" s="98"/>
      <c r="J47" s="251" t="s">
        <v>139</v>
      </c>
      <c r="K47" s="99" t="s">
        <v>147</v>
      </c>
      <c r="L47" s="99"/>
      <c r="M47" s="99"/>
      <c r="N47" s="248" t="s">
        <v>148</v>
      </c>
    </row>
    <row r="48" spans="2:14" ht="15.75" x14ac:dyDescent="0.25">
      <c r="B48" s="251"/>
      <c r="C48" s="251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51"/>
      <c r="K48" s="101" t="s">
        <v>142</v>
      </c>
      <c r="L48" s="101" t="s">
        <v>110</v>
      </c>
      <c r="M48" s="101" t="s">
        <v>145</v>
      </c>
      <c r="N48" s="248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45" t="s">
        <v>144</v>
      </c>
      <c r="C63" s="246"/>
      <c r="D63" s="246"/>
      <c r="E63" s="246"/>
      <c r="F63" s="246"/>
      <c r="G63" s="246"/>
      <c r="H63" s="247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190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191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165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164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164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62" t="s">
        <v>145</v>
      </c>
      <c r="C44" s="263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64" t="s">
        <v>41</v>
      </c>
      <c r="C47" s="264" t="s">
        <v>42</v>
      </c>
      <c r="D47" s="259" t="s">
        <v>137</v>
      </c>
      <c r="E47" s="260"/>
      <c r="F47" s="261"/>
      <c r="G47" s="69" t="s">
        <v>138</v>
      </c>
      <c r="H47" s="69"/>
      <c r="I47" s="69"/>
      <c r="J47" s="264" t="s">
        <v>139</v>
      </c>
      <c r="K47" s="35" t="s">
        <v>147</v>
      </c>
      <c r="L47" s="35"/>
      <c r="M47" s="35"/>
      <c r="N47" s="258" t="s">
        <v>148</v>
      </c>
    </row>
    <row r="48" spans="2:17" ht="15.75" x14ac:dyDescent="0.25">
      <c r="B48" s="264"/>
      <c r="C48" s="264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64"/>
      <c r="K48" s="34" t="s">
        <v>142</v>
      </c>
      <c r="L48" s="34" t="s">
        <v>110</v>
      </c>
      <c r="M48" s="34" t="s">
        <v>145</v>
      </c>
      <c r="N48" s="258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H60" si="7">P16</f>
        <v>391231932.82522798</v>
      </c>
      <c r="H57" s="52">
        <f t="shared" si="7"/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7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7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7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8">SUM(D49:D60)</f>
        <v>6726156407</v>
      </c>
      <c r="E61" s="36">
        <f t="shared" si="8"/>
        <v>1269766212</v>
      </c>
      <c r="F61" s="36">
        <f t="shared" si="8"/>
        <v>7995922619</v>
      </c>
      <c r="G61" s="36">
        <f t="shared" si="8"/>
        <v>4565958013.3156729</v>
      </c>
      <c r="H61" s="36">
        <f t="shared" si="8"/>
        <v>850498025.18287301</v>
      </c>
      <c r="I61" s="36">
        <f t="shared" si="8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55" t="s">
        <v>144</v>
      </c>
      <c r="C63" s="256"/>
      <c r="D63" s="256"/>
      <c r="E63" s="256"/>
      <c r="F63" s="256"/>
      <c r="G63" s="256"/>
      <c r="H63" s="257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9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9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9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9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9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9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5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192</v>
      </c>
      <c r="J3" s="218">
        <v>0</v>
      </c>
    </row>
    <row r="4" spans="2:14" x14ac:dyDescent="0.25">
      <c r="G4" s="221" t="s">
        <v>193</v>
      </c>
      <c r="J4" s="218">
        <v>0</v>
      </c>
    </row>
    <row r="5" spans="2:14" x14ac:dyDescent="0.25">
      <c r="G5" s="221" t="s">
        <v>194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164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164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164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164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168</v>
      </c>
      <c r="C22" s="15">
        <v>38884328.600000001</v>
      </c>
      <c r="D22" s="15" t="s">
        <v>164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169</v>
      </c>
      <c r="C23" s="15">
        <v>120550492.72</v>
      </c>
      <c r="D23" s="15" t="s">
        <v>164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164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184</v>
      </c>
    </row>
    <row r="41" spans="2:19" ht="27.95" customHeight="1" x14ac:dyDescent="0.25">
      <c r="B41" s="265" t="s">
        <v>177</v>
      </c>
      <c r="C41" s="266"/>
      <c r="D41" s="267"/>
      <c r="E41" s="66" t="s">
        <v>137</v>
      </c>
      <c r="F41" s="174">
        <v>1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62" t="s">
        <v>145</v>
      </c>
      <c r="C46" s="263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68" t="s">
        <v>146</v>
      </c>
      <c r="C48" s="269"/>
      <c r="D48" s="269"/>
      <c r="E48" s="269"/>
      <c r="F48" s="269"/>
      <c r="G48" s="269"/>
      <c r="H48" s="269"/>
      <c r="I48" s="269"/>
      <c r="J48" s="269"/>
      <c r="K48" s="275" t="s">
        <v>185</v>
      </c>
      <c r="L48" s="276"/>
      <c r="M48" s="276"/>
      <c r="N48" s="276"/>
      <c r="O48" s="276"/>
      <c r="P48" s="277"/>
      <c r="Q48"/>
      <c r="R48"/>
    </row>
    <row r="49" spans="2:18" s="139" customFormat="1" ht="33.950000000000003" customHeight="1" x14ac:dyDescent="0.25">
      <c r="B49" s="273" t="s">
        <v>41</v>
      </c>
      <c r="C49" s="273" t="s">
        <v>42</v>
      </c>
      <c r="D49" s="270" t="s">
        <v>137</v>
      </c>
      <c r="E49" s="271"/>
      <c r="F49" s="272"/>
      <c r="G49" s="140" t="s">
        <v>138</v>
      </c>
      <c r="H49" s="140"/>
      <c r="I49" s="140"/>
      <c r="J49" s="270" t="s">
        <v>139</v>
      </c>
      <c r="K49" s="278" t="str">
        <f>"SELISIH"&amp;CHAR(10)&amp;TEXT($H$41,"0%")</f>
        <v>SELISIH
90%</v>
      </c>
      <c r="L49" s="278" t="str">
        <f>"PER HARI"&amp;CHAR(10)&amp;TEXT($H$41,"0%")</f>
        <v>PER HARI
90%</v>
      </c>
      <c r="M49" s="280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82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73"/>
      <c r="C50" s="273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70"/>
      <c r="K50" s="279"/>
      <c r="L50" s="279"/>
      <c r="M50" s="281"/>
      <c r="N50" s="188"/>
      <c r="O50" s="183"/>
      <c r="P50" s="283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171</v>
      </c>
      <c r="C53" s="154" t="s">
        <v>172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 t="shared" ref="G54:H58" si="9">M10</f>
        <v>537997275.46389103</v>
      </c>
      <c r="H54" s="144">
        <f t="shared" si="9"/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 t="shared" si="9"/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 t="shared" si="9"/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 t="shared" si="9"/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 t="shared" si="9"/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171</v>
      </c>
      <c r="C59" s="154" t="s">
        <v>173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 t="shared" ref="G60:H64" si="10">M15</f>
        <v>304137742.30899602</v>
      </c>
      <c r="H60" s="144">
        <f t="shared" si="10"/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 t="shared" si="10"/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 t="shared" si="10"/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 t="shared" si="10"/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 t="shared" si="10"/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55" t="s">
        <v>144</v>
      </c>
      <c r="C67" s="256"/>
      <c r="D67" s="256"/>
      <c r="E67" s="256"/>
      <c r="F67" s="256"/>
      <c r="G67" s="256"/>
      <c r="H67" s="256"/>
      <c r="I67" s="256"/>
      <c r="J67" s="256"/>
      <c r="K67" s="256"/>
      <c r="L67" s="257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1">IFERROR(E69/D69,0)</f>
        <v>0.85985886378694742</v>
      </c>
      <c r="G69" s="207">
        <f>D69*$H$41-E69</f>
        <v>11215108.126728177</v>
      </c>
      <c r="H69" s="207">
        <f t="shared" ref="H69:H74" ca="1" si="12">IFERROR(G69/$C$3,0)</f>
        <v>0</v>
      </c>
      <c r="I69" s="208">
        <f>D69*$J$41-E69</f>
        <v>25184702.892560154</v>
      </c>
      <c r="J69" s="208">
        <f t="shared" ref="J69:J74" ca="1" si="13">IFERROR(I69/$C$3,0)</f>
        <v>0</v>
      </c>
      <c r="K69" s="209">
        <f>D69*$L$41-E69</f>
        <v>39154297.658392191</v>
      </c>
      <c r="L69" s="209">
        <f t="shared" ref="L69:L74" ca="1" si="14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1"/>
        <v>1.0722614884868884</v>
      </c>
      <c r="G70" s="207">
        <f>D70*$H$41-E70</f>
        <v>-72282980.673233986</v>
      </c>
      <c r="H70" s="207">
        <f t="shared" ca="1" si="12"/>
        <v>0</v>
      </c>
      <c r="I70" s="208">
        <f>D70*$J$41-E70</f>
        <v>-51302382.71481812</v>
      </c>
      <c r="J70" s="208">
        <f t="shared" ca="1" si="13"/>
        <v>0</v>
      </c>
      <c r="K70" s="209">
        <f>D70*$L$41-E70</f>
        <v>-30321784.756402135</v>
      </c>
      <c r="L70" s="209">
        <f t="shared" ca="1" si="14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1"/>
        <v>0.82118296091496634</v>
      </c>
      <c r="G71" s="207">
        <f>D71*$H$41-E71</f>
        <v>86106472.922168493</v>
      </c>
      <c r="H71" s="207">
        <f t="shared" ca="1" si="12"/>
        <v>0</v>
      </c>
      <c r="I71" s="208">
        <f>D71*$J$41-E71</f>
        <v>140730748.28302681</v>
      </c>
      <c r="J71" s="208">
        <f t="shared" ca="1" si="13"/>
        <v>0</v>
      </c>
      <c r="K71" s="209">
        <f>D71*$L$41-E71</f>
        <v>195355023.64388537</v>
      </c>
      <c r="L71" s="209">
        <f t="shared" ca="1" si="14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1"/>
        <v>0</v>
      </c>
      <c r="G72" s="207">
        <f>D72*$H$41-E72</f>
        <v>0</v>
      </c>
      <c r="H72" s="207">
        <f t="shared" ca="1" si="12"/>
        <v>0</v>
      </c>
      <c r="I72" s="208">
        <f>D72*$J$41-E72</f>
        <v>0</v>
      </c>
      <c r="J72" s="208">
        <f t="shared" ca="1" si="13"/>
        <v>0</v>
      </c>
      <c r="K72" s="209">
        <f>D72*$L$41-E72</f>
        <v>0</v>
      </c>
      <c r="L72" s="209">
        <f t="shared" ca="1" si="14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1"/>
        <v>0</v>
      </c>
      <c r="G73" s="207">
        <f>D73*$H$41-E73</f>
        <v>0</v>
      </c>
      <c r="H73" s="207">
        <f t="shared" ca="1" si="12"/>
        <v>0</v>
      </c>
      <c r="I73" s="208">
        <f>D73*$J$41-E73</f>
        <v>0</v>
      </c>
      <c r="J73" s="208">
        <f t="shared" ca="1" si="13"/>
        <v>0</v>
      </c>
      <c r="K73" s="209">
        <f>D73*$L$41-E73</f>
        <v>0</v>
      </c>
      <c r="L73" s="209">
        <f t="shared" ca="1" si="14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1"/>
        <v>0.88602358411334747</v>
      </c>
      <c r="G74" s="210">
        <f>SUM(G69:G73)</f>
        <v>25038600.375662684</v>
      </c>
      <c r="H74" s="210">
        <f t="shared" ca="1" si="12"/>
        <v>0</v>
      </c>
      <c r="I74" s="211">
        <f>SUM(I69:I73)</f>
        <v>114613068.46076885</v>
      </c>
      <c r="J74" s="211">
        <f t="shared" ca="1" si="13"/>
        <v>0</v>
      </c>
      <c r="K74" s="211">
        <f>SUM(K69:K73)</f>
        <v>204187536.54587543</v>
      </c>
      <c r="L74" s="211">
        <f t="shared" ca="1" si="14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55" t="s">
        <v>170</v>
      </c>
      <c r="C77" s="256"/>
      <c r="D77" s="257"/>
      <c r="G77"/>
      <c r="H77"/>
      <c r="I77"/>
    </row>
    <row r="78" spans="1:19" ht="20.100000000000001" customHeight="1" x14ac:dyDescent="0.25">
      <c r="B78" s="274" t="s">
        <v>41</v>
      </c>
      <c r="C78" s="274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64"/>
      <c r="C79" s="264"/>
      <c r="D79" s="70" t="s">
        <v>167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171</v>
      </c>
      <c r="C82" s="152" t="s">
        <v>172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171</v>
      </c>
      <c r="C88" s="152" t="s">
        <v>173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  <mergeCell ref="B41:D41"/>
    <mergeCell ref="B48:J48"/>
    <mergeCell ref="D49:F49"/>
    <mergeCell ref="B46:C46"/>
    <mergeCell ref="B49:B50"/>
    <mergeCell ref="C49:C50"/>
    <mergeCell ref="J49:J50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1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164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168</v>
      </c>
      <c r="C22" s="15">
        <v>197567845.80000001</v>
      </c>
      <c r="D22" s="15" t="s">
        <v>164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169</v>
      </c>
      <c r="C23" s="15">
        <v>300521523.82997501</v>
      </c>
      <c r="D23" s="15" t="s">
        <v>164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184</v>
      </c>
    </row>
    <row r="41" spans="2:19" ht="27.95" customHeight="1" x14ac:dyDescent="0.25">
      <c r="B41" s="284" t="s">
        <v>178</v>
      </c>
      <c r="C41" s="285"/>
      <c r="D41" s="286"/>
      <c r="E41" s="66" t="s">
        <v>137</v>
      </c>
      <c r="F41" s="174">
        <v>0.97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62" t="s">
        <v>145</v>
      </c>
      <c r="C46" s="263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68" t="s">
        <v>146</v>
      </c>
      <c r="C48" s="269"/>
      <c r="D48" s="269"/>
      <c r="E48" s="269"/>
      <c r="F48" s="269"/>
      <c r="G48" s="269"/>
      <c r="H48" s="269"/>
      <c r="I48" s="269"/>
      <c r="J48" s="269"/>
      <c r="K48" s="275" t="s">
        <v>185</v>
      </c>
      <c r="L48" s="276"/>
      <c r="M48" s="276"/>
      <c r="N48" s="276"/>
      <c r="O48" s="276"/>
      <c r="P48" s="277"/>
    </row>
    <row r="49" spans="2:16" ht="33.950000000000003" customHeight="1" x14ac:dyDescent="0.25">
      <c r="B49" s="264" t="s">
        <v>41</v>
      </c>
      <c r="C49" s="264" t="s">
        <v>42</v>
      </c>
      <c r="D49" s="259" t="s">
        <v>137</v>
      </c>
      <c r="E49" s="260"/>
      <c r="F49" s="261"/>
      <c r="G49" s="112" t="s">
        <v>138</v>
      </c>
      <c r="H49" s="112"/>
      <c r="I49" s="112"/>
      <c r="J49" s="259" t="s">
        <v>139</v>
      </c>
      <c r="K49" s="278" t="str">
        <f>"SELISIH"&amp;CHAR(10)&amp;TEXT($H$41,"0%")</f>
        <v>SELISIH
90%</v>
      </c>
      <c r="L49" s="278" t="str">
        <f>"PER HARI"&amp;CHAR(10)&amp;TEXT($H$41,"0%")</f>
        <v>PER HARI
90%</v>
      </c>
      <c r="M49" s="280" t="str">
        <f>"SELISIH"&amp;CHAR(10)&amp;TEXT($J$41,"0%")</f>
        <v>SELISIH
95%</v>
      </c>
      <c r="N49" s="280" t="str">
        <f>"PER HARI"&amp;CHAR(10)&amp;TEXT($J$41,"0%")</f>
        <v>PER HARI
95%</v>
      </c>
      <c r="O49" s="282" t="str">
        <f>"SELISIH"&amp;CHAR(10)&amp;TEXT($L$41,"0%")</f>
        <v>SELISIH
100%</v>
      </c>
      <c r="P49" s="282" t="str">
        <f>"PER HARI"&amp;CHAR(10)&amp;TEXT($L$41,"0%")</f>
        <v>PER HARI
100%</v>
      </c>
    </row>
    <row r="50" spans="2:16" ht="22.5" customHeight="1" x14ac:dyDescent="0.25">
      <c r="B50" s="264"/>
      <c r="C50" s="264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9"/>
      <c r="K50" s="279"/>
      <c r="L50" s="279"/>
      <c r="M50" s="281"/>
      <c r="N50" s="281"/>
      <c r="O50" s="283"/>
      <c r="P50" s="283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171</v>
      </c>
      <c r="C53" s="137" t="s">
        <v>172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 t="shared" ref="G54:H58" si="9">M10</f>
        <v>670664362.43227303</v>
      </c>
      <c r="H54" s="114">
        <f t="shared" si="9"/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 t="shared" si="9"/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 t="shared" si="9"/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 t="shared" si="9"/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 t="shared" si="9"/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171</v>
      </c>
      <c r="C59" s="137" t="s">
        <v>173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 t="shared" ref="G60:H64" si="10">M15</f>
        <v>374466810.62618703</v>
      </c>
      <c r="H60" s="114">
        <f t="shared" si="10"/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 t="shared" si="10"/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 t="shared" si="10"/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 t="shared" si="10"/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 t="shared" si="10"/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5" t="s">
        <v>144</v>
      </c>
      <c r="C67" s="256"/>
      <c r="D67" s="256"/>
      <c r="E67" s="256"/>
      <c r="F67" s="256"/>
      <c r="G67" s="256"/>
      <c r="H67" s="256"/>
      <c r="I67" s="256"/>
      <c r="J67" s="256"/>
      <c r="K67" s="256"/>
      <c r="L67" s="257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1">IFERROR(E69/D69,0)</f>
        <v>1.0480570955664552</v>
      </c>
      <c r="G69" s="184">
        <f>D69*$H$41-E69</f>
        <v>-41169439.706693411</v>
      </c>
      <c r="H69" s="184">
        <f t="shared" ref="H69:H74" ca="1" si="12">IFERROR(G69/$C$3,0)</f>
        <v>0</v>
      </c>
      <c r="I69" s="204">
        <f>D69*$J$41-E69</f>
        <v>-27266208.811482966</v>
      </c>
      <c r="J69" s="204">
        <f t="shared" ref="J69:J74" ca="1" si="13">IFERROR(I69/$C$3,0)</f>
        <v>0</v>
      </c>
      <c r="K69" s="185">
        <f>D69*$L$41-E69</f>
        <v>-13362977.916272461</v>
      </c>
      <c r="L69" s="185">
        <f t="shared" ref="L69:L74" ca="1" si="14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1"/>
        <v>1.0443693954602793</v>
      </c>
      <c r="G70" s="184">
        <f>D70*$H$41-E70</f>
        <v>-60291338.056534588</v>
      </c>
      <c r="H70" s="184">
        <f t="shared" ca="1" si="12"/>
        <v>0</v>
      </c>
      <c r="I70" s="204">
        <f>D70*$J$41-E70</f>
        <v>-39410410.397208512</v>
      </c>
      <c r="J70" s="204">
        <f t="shared" ca="1" si="13"/>
        <v>0</v>
      </c>
      <c r="K70" s="185">
        <f>D70*$L$41-E70</f>
        <v>-18529482.737882435</v>
      </c>
      <c r="L70" s="185">
        <f t="shared" ca="1" si="14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1"/>
        <v>0.86970886150280302</v>
      </c>
      <c r="G71" s="184">
        <f>D71*$H$41-E71</f>
        <v>32935420.162515283</v>
      </c>
      <c r="H71" s="184">
        <f t="shared" ca="1" si="12"/>
        <v>0</v>
      </c>
      <c r="I71" s="204">
        <f>D71*$J$41-E71</f>
        <v>87300197.778191447</v>
      </c>
      <c r="J71" s="204">
        <f t="shared" ca="1" si="13"/>
        <v>0</v>
      </c>
      <c r="K71" s="185">
        <f>D71*$L$41-E71</f>
        <v>141664975.39386773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1"/>
        <v>0.93843307645863372</v>
      </c>
      <c r="G74" s="181">
        <f>SUM(G69:G73)</f>
        <v>-68525357.600712717</v>
      </c>
      <c r="H74" s="181">
        <f t="shared" ca="1" si="12"/>
        <v>0</v>
      </c>
      <c r="I74" s="186">
        <f>SUM(I69:I73)</f>
        <v>20623578.569499969</v>
      </c>
      <c r="J74" s="186">
        <f t="shared" ca="1" si="13"/>
        <v>0</v>
      </c>
      <c r="K74" s="186">
        <f>SUM(K69:K73)</f>
        <v>109772514.73971283</v>
      </c>
      <c r="L74" s="186">
        <f t="shared" ca="1" si="14"/>
        <v>0</v>
      </c>
    </row>
    <row r="77" spans="2:16" ht="20.100000000000001" customHeight="1" x14ac:dyDescent="0.25">
      <c r="B77" s="255" t="s">
        <v>170</v>
      </c>
      <c r="C77" s="256"/>
      <c r="D77" s="257"/>
    </row>
    <row r="78" spans="2:16" ht="18.75" customHeight="1" x14ac:dyDescent="0.25">
      <c r="B78" s="274" t="s">
        <v>41</v>
      </c>
      <c r="C78" s="274" t="s">
        <v>42</v>
      </c>
      <c r="D78" s="231" t="s">
        <v>138</v>
      </c>
    </row>
    <row r="79" spans="2:16" ht="18" customHeight="1" x14ac:dyDescent="0.25">
      <c r="B79" s="264"/>
      <c r="C79" s="264"/>
      <c r="D79" s="70" t="s">
        <v>167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171</v>
      </c>
      <c r="C82" s="168" t="s">
        <v>172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171</v>
      </c>
      <c r="C88" s="168" t="s">
        <v>173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D49:F49"/>
    <mergeCell ref="J49:J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164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168</v>
      </c>
      <c r="C22" s="15">
        <v>167671841.09999999</v>
      </c>
      <c r="D22" s="15" t="s">
        <v>164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169</v>
      </c>
      <c r="C23" s="15">
        <v>388937679.18000001</v>
      </c>
      <c r="D23" s="15" t="s">
        <v>164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184</v>
      </c>
    </row>
    <row r="41" spans="2:19" ht="27.95" customHeight="1" x14ac:dyDescent="0.25">
      <c r="B41" s="265" t="s">
        <v>179</v>
      </c>
      <c r="C41" s="266"/>
      <c r="D41" s="267"/>
      <c r="E41" s="66" t="s">
        <v>137</v>
      </c>
      <c r="F41" s="174">
        <f ca="1">IF(MONTH(TODAY())=6,DAY(TODAY())/DAY(EOMONTH(TODAY(),0)),IF(MONTH(TODAY())&gt;6,1,0))</f>
        <v>1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62" t="s">
        <v>145</v>
      </c>
      <c r="C46" s="263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68" t="s">
        <v>146</v>
      </c>
      <c r="C48" s="269"/>
      <c r="D48" s="269"/>
      <c r="E48" s="269"/>
      <c r="F48" s="269"/>
      <c r="G48" s="269"/>
      <c r="H48" s="269"/>
      <c r="I48" s="269"/>
      <c r="J48" s="269"/>
      <c r="K48" s="275" t="s">
        <v>185</v>
      </c>
      <c r="L48" s="276"/>
      <c r="M48" s="276"/>
      <c r="N48" s="276"/>
      <c r="O48" s="276"/>
      <c r="P48" s="277"/>
    </row>
    <row r="49" spans="2:16" ht="33.950000000000003" customHeight="1" x14ac:dyDescent="0.25">
      <c r="B49" s="264" t="s">
        <v>41</v>
      </c>
      <c r="C49" s="264" t="s">
        <v>42</v>
      </c>
      <c r="D49" s="259" t="s">
        <v>137</v>
      </c>
      <c r="E49" s="260"/>
      <c r="F49" s="261"/>
      <c r="G49" s="112" t="s">
        <v>138</v>
      </c>
      <c r="H49" s="112"/>
      <c r="I49" s="112"/>
      <c r="J49" s="259" t="s">
        <v>139</v>
      </c>
      <c r="K49" s="278" t="str">
        <f>"SELISIH"&amp;CHAR(10)&amp;TEXT($H$41,"0%")</f>
        <v>SELISIH
90%</v>
      </c>
      <c r="L49" s="278" t="str">
        <f>"PER HARI"&amp;CHAR(10)&amp;TEXT($H$41,"0%")</f>
        <v>PER HARI
90%</v>
      </c>
      <c r="M49" s="280" t="str">
        <f>"SELISIH"&amp;CHAR(10)&amp;TEXT($J$41,"0%")</f>
        <v>SELISIH
95%</v>
      </c>
      <c r="N49" s="280" t="str">
        <f>"PER HARI"&amp;CHAR(10)&amp;TEXT($J$41,"0%")</f>
        <v>PER HARI
95%</v>
      </c>
      <c r="O49" s="282" t="str">
        <f>"SELISIH"&amp;CHAR(10)&amp;TEXT($L$41,"0%")</f>
        <v>SELISIH
100%</v>
      </c>
      <c r="P49" s="282" t="str">
        <f>"PER HARI"&amp;CHAR(10)&amp;TEXT($L$41,"0%")</f>
        <v>PER HARI
100%</v>
      </c>
    </row>
    <row r="50" spans="2:16" ht="19.5" customHeight="1" x14ac:dyDescent="0.25">
      <c r="B50" s="264"/>
      <c r="C50" s="264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9"/>
      <c r="K50" s="279"/>
      <c r="L50" s="279"/>
      <c r="M50" s="281"/>
      <c r="N50" s="281"/>
      <c r="O50" s="283"/>
      <c r="P50" s="283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171</v>
      </c>
      <c r="C53" s="137" t="s">
        <v>172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 t="shared" ref="G54:H58" si="9">M10</f>
        <v>989456477.77127802</v>
      </c>
      <c r="H54" s="114">
        <f t="shared" si="9"/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 t="shared" si="9"/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 t="shared" si="9"/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 t="shared" si="9"/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 t="shared" si="9"/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171</v>
      </c>
      <c r="C59" s="137" t="s">
        <v>173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 t="shared" ref="G60:H64" si="10">M15</f>
        <v>350800236.759597</v>
      </c>
      <c r="H60" s="114">
        <f t="shared" si="10"/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 t="shared" si="10"/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 t="shared" si="10"/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 t="shared" si="10"/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 t="shared" si="10"/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5" t="s">
        <v>144</v>
      </c>
      <c r="C67" s="256"/>
      <c r="D67" s="256"/>
      <c r="E67" s="256"/>
      <c r="F67" s="256"/>
      <c r="G67" s="256"/>
      <c r="H67" s="256"/>
      <c r="I67" s="256"/>
      <c r="J67" s="256"/>
      <c r="K67" s="256"/>
      <c r="L67" s="257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1">IFERROR(E69/D69,0)</f>
        <v>0.64887113406306818</v>
      </c>
      <c r="G69" s="184">
        <f>D69*$H$41-E69</f>
        <v>71704963.965235025</v>
      </c>
      <c r="H69" s="184">
        <f t="shared" ref="H69:H74" ca="1" si="12">IFERROR(G69/$C$3,0)</f>
        <v>0</v>
      </c>
      <c r="I69" s="204">
        <f>D69*$J$41-E69</f>
        <v>85981491.615234971</v>
      </c>
      <c r="J69" s="204">
        <f t="shared" ref="J69:J74" ca="1" si="13">IFERROR(I69/$C$3,0)</f>
        <v>0</v>
      </c>
      <c r="K69" s="185">
        <f>D69*$L$41-E69</f>
        <v>100258019.26523501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1"/>
        <v>0.78089344213613221</v>
      </c>
      <c r="G70" s="184">
        <f>D70*$H$41-E70</f>
        <v>51076639.342550039</v>
      </c>
      <c r="H70" s="184">
        <f t="shared" ca="1" si="12"/>
        <v>0</v>
      </c>
      <c r="I70" s="204">
        <f>D70*$J$41-E70</f>
        <v>72518212.442550004</v>
      </c>
      <c r="J70" s="204">
        <f t="shared" ca="1" si="13"/>
        <v>0</v>
      </c>
      <c r="K70" s="185">
        <f>D70*$L$41-E70</f>
        <v>93959785.542550027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1"/>
        <v>1.08249150767518</v>
      </c>
      <c r="G71" s="184">
        <f>D71*$H$41-E71</f>
        <v>-203749769.85483778</v>
      </c>
      <c r="H71" s="184">
        <f t="shared" ca="1" si="12"/>
        <v>0</v>
      </c>
      <c r="I71" s="204">
        <f>D71*$J$41-E71</f>
        <v>-147925317.40483785</v>
      </c>
      <c r="J71" s="204">
        <f t="shared" ca="1" si="13"/>
        <v>0</v>
      </c>
      <c r="K71" s="185">
        <f>D71*$L$41-E71</f>
        <v>-92100864.954837799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1"/>
        <v>0.9442243326828319</v>
      </c>
      <c r="G74" s="181">
        <f>SUM(G69:G73)</f>
        <v>-80968166.547052711</v>
      </c>
      <c r="H74" s="181">
        <f t="shared" ca="1" si="12"/>
        <v>0</v>
      </c>
      <c r="I74" s="186">
        <f>SUM(I69:I73)</f>
        <v>10574386.652947128</v>
      </c>
      <c r="J74" s="186">
        <f t="shared" ca="1" si="13"/>
        <v>0</v>
      </c>
      <c r="K74" s="186">
        <f>SUM(K69:K73)</f>
        <v>102116939.85294724</v>
      </c>
      <c r="L74" s="186">
        <f t="shared" ca="1" si="14"/>
        <v>0</v>
      </c>
    </row>
    <row r="77" spans="2:16" ht="20.100000000000001" customHeight="1" x14ac:dyDescent="0.25">
      <c r="B77" s="255" t="s">
        <v>170</v>
      </c>
      <c r="C77" s="256"/>
      <c r="D77" s="257"/>
    </row>
    <row r="78" spans="2:16" ht="15.75" x14ac:dyDescent="0.25">
      <c r="B78" s="274" t="s">
        <v>41</v>
      </c>
      <c r="C78" s="274" t="s">
        <v>42</v>
      </c>
      <c r="D78" s="231" t="s">
        <v>138</v>
      </c>
    </row>
    <row r="79" spans="2:16" ht="15.75" x14ac:dyDescent="0.25">
      <c r="B79" s="264"/>
      <c r="C79" s="264"/>
      <c r="D79" s="70" t="s">
        <v>167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171</v>
      </c>
      <c r="C82" s="56" t="s">
        <v>172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171</v>
      </c>
      <c r="C88" s="56" t="s">
        <v>173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D49:F49"/>
    <mergeCell ref="J49:J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opLeftCell="A46" zoomScale="91" zoomScaleNormal="91" workbookViewId="0">
      <selection activeCell="M6" sqref="M6:N21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181</v>
      </c>
      <c r="C12" s="15">
        <v>341819821.47863901</v>
      </c>
      <c r="D12" s="15">
        <v>43800016.100000001</v>
      </c>
      <c r="E12" s="15" t="s">
        <v>164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168</v>
      </c>
      <c r="C20" s="15">
        <v>195476199.69999999</v>
      </c>
      <c r="D20" s="15" t="s">
        <v>164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169</v>
      </c>
      <c r="C21" s="15">
        <v>288524887.39999998</v>
      </c>
      <c r="D21" s="15" t="s">
        <v>164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182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183</v>
      </c>
      <c r="C26" s="15">
        <v>138084633.55645701</v>
      </c>
      <c r="D26" s="15">
        <v>103844000.433377</v>
      </c>
      <c r="E26" s="15" t="s">
        <v>164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184</v>
      </c>
    </row>
    <row r="41" spans="2:19" s="191" customFormat="1" ht="27.95" customHeight="1" x14ac:dyDescent="0.25">
      <c r="B41" s="265" t="s">
        <v>188</v>
      </c>
      <c r="C41" s="266"/>
      <c r="D41" s="267"/>
      <c r="E41" s="66" t="s">
        <v>137</v>
      </c>
      <c r="F41" s="174">
        <f ca="1">IF(MONTH(TODAY())=7,DAY(TODAY())/DAY(EOMONTH(TODAY(),0)),IF(MONTH(TODAY())&gt;7,1,0))</f>
        <v>1</v>
      </c>
      <c r="G41" s="192" t="s">
        <v>186</v>
      </c>
      <c r="H41" s="198">
        <v>0.9</v>
      </c>
      <c r="I41" s="193" t="s">
        <v>186</v>
      </c>
      <c r="J41" s="199">
        <v>0.95</v>
      </c>
      <c r="K41" s="194" t="s">
        <v>187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62" t="s">
        <v>145</v>
      </c>
      <c r="C46" s="263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68" t="s">
        <v>146</v>
      </c>
      <c r="C48" s="269"/>
      <c r="D48" s="269"/>
      <c r="E48" s="269"/>
      <c r="F48" s="269"/>
      <c r="G48" s="269"/>
      <c r="H48" s="269"/>
      <c r="I48" s="269"/>
      <c r="J48" s="269"/>
      <c r="K48" s="275" t="s">
        <v>185</v>
      </c>
      <c r="L48" s="276"/>
      <c r="M48" s="276"/>
      <c r="N48" s="276"/>
      <c r="O48" s="276"/>
      <c r="P48" s="277"/>
    </row>
    <row r="49" spans="2:16" ht="15.75" x14ac:dyDescent="0.25">
      <c r="B49" s="264" t="s">
        <v>41</v>
      </c>
      <c r="C49" s="264" t="s">
        <v>42</v>
      </c>
      <c r="D49" s="259" t="s">
        <v>137</v>
      </c>
      <c r="E49" s="260"/>
      <c r="F49" s="261"/>
      <c r="G49" s="112" t="s">
        <v>138</v>
      </c>
      <c r="H49" s="112"/>
      <c r="I49" s="112"/>
      <c r="J49" s="259" t="s">
        <v>139</v>
      </c>
      <c r="K49" s="278" t="str">
        <f>"SELISIH"&amp;CHAR(10)&amp;TEXT($H$41,"0%")</f>
        <v>SELISIH
90%</v>
      </c>
      <c r="L49" s="278" t="str">
        <f>"PER HARI"&amp;CHAR(10)&amp;TEXT($H$41,"0%")</f>
        <v>PER HARI
90%</v>
      </c>
      <c r="M49" s="280" t="str">
        <f>"SELISIH"&amp;CHAR(10)&amp;TEXT($J$41,"0%")</f>
        <v>SELISIH
95%</v>
      </c>
      <c r="N49" s="280" t="str">
        <f>"PER HARI"&amp;CHAR(10)&amp;TEXT($J$41,"0%")</f>
        <v>PER HARI
95%</v>
      </c>
      <c r="O49" s="287" t="str">
        <f>"SELISIH"&amp;CHAR(10)&amp;TEXT($L$41,"0%")</f>
        <v>SELISIH
100%</v>
      </c>
      <c r="P49" s="287" t="str">
        <f>"PER HARI"&amp;CHAR(10)&amp;TEXT($L$41,"0%")</f>
        <v>PER HARI
100%</v>
      </c>
    </row>
    <row r="50" spans="2:16" ht="15.75" x14ac:dyDescent="0.25">
      <c r="B50" s="264"/>
      <c r="C50" s="264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9"/>
      <c r="K50" s="279"/>
      <c r="L50" s="279"/>
      <c r="M50" s="281"/>
      <c r="N50" s="281"/>
      <c r="O50" s="288"/>
      <c r="P50" s="288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171</v>
      </c>
      <c r="C53" s="137" t="s">
        <v>172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 t="shared" ref="G54:H58" si="9">M10</f>
        <v>1054671906.6945471</v>
      </c>
      <c r="H54" s="114">
        <f t="shared" si="9"/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180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 t="shared" si="9"/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 t="shared" si="9"/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 t="shared" si="9"/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 t="shared" si="9"/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171</v>
      </c>
      <c r="C59" s="137" t="s">
        <v>173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 t="shared" ref="G60:H64" si="10">M15</f>
        <v>324688224.63140702</v>
      </c>
      <c r="H60" s="114">
        <f t="shared" si="10"/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 t="shared" si="10"/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 t="shared" si="10"/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 t="shared" si="10"/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 t="shared" si="10"/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5" t="s">
        <v>144</v>
      </c>
      <c r="C67" s="256"/>
      <c r="D67" s="256"/>
      <c r="E67" s="256"/>
      <c r="F67" s="256"/>
      <c r="G67" s="256"/>
      <c r="H67" s="256"/>
      <c r="I67" s="256"/>
      <c r="J67" s="256"/>
      <c r="K67" s="256"/>
      <c r="L67" s="257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1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2">IFERROR(I69/$C$3,0)</f>
        <v>0</v>
      </c>
      <c r="K69" s="185">
        <f>D69*$L$41-E69</f>
        <v>46119727.030567139</v>
      </c>
      <c r="L69" s="185">
        <f t="shared" ref="L69:L74" ca="1" si="13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1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2"/>
        <v>0</v>
      </c>
      <c r="K70" s="185">
        <f>D70*$L$41-E70</f>
        <v>-167090136.62658083</v>
      </c>
      <c r="L70" s="185">
        <f t="shared" ca="1" si="13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1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2"/>
        <v>0</v>
      </c>
      <c r="K71" s="185">
        <f>D71*$L$41-E71</f>
        <v>451126403.48817897</v>
      </c>
      <c r="L71" s="185">
        <f t="shared" ca="1" si="13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2"/>
        <v>0</v>
      </c>
      <c r="K72" s="185">
        <f>D72*$L$41-E72</f>
        <v>0</v>
      </c>
      <c r="L72" s="185">
        <f t="shared" ca="1" si="13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2"/>
        <v>0</v>
      </c>
      <c r="K73" s="185">
        <f>D73*$L$41-E73</f>
        <v>0</v>
      </c>
      <c r="L73" s="185">
        <f t="shared" ca="1" si="13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1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2"/>
        <v>0</v>
      </c>
      <c r="K74" s="186">
        <f>SUM(K69:K73)</f>
        <v>330155993.8921653</v>
      </c>
      <c r="L74" s="186">
        <f t="shared" ca="1" si="13"/>
        <v>0</v>
      </c>
    </row>
    <row r="77" spans="2:16" ht="20.100000000000001" customHeight="1" x14ac:dyDescent="0.25">
      <c r="B77" s="255" t="s">
        <v>170</v>
      </c>
      <c r="C77" s="256"/>
      <c r="D77" s="257"/>
    </row>
    <row r="78" spans="2:16" ht="15.75" x14ac:dyDescent="0.25">
      <c r="B78" s="274" t="s">
        <v>41</v>
      </c>
      <c r="C78" s="274" t="s">
        <v>42</v>
      </c>
      <c r="D78" s="231" t="s">
        <v>138</v>
      </c>
    </row>
    <row r="79" spans="2:16" ht="15.75" x14ac:dyDescent="0.25">
      <c r="B79" s="264"/>
      <c r="C79" s="264"/>
      <c r="D79" s="70" t="s">
        <v>167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171</v>
      </c>
      <c r="C82" s="56" t="s">
        <v>172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180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171</v>
      </c>
      <c r="C88" s="56" t="s">
        <v>173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U94"/>
  <sheetViews>
    <sheetView showGridLines="0" topLeftCell="A46" zoomScale="87" zoomScaleNormal="91" workbookViewId="0">
      <selection activeCell="F69" sqref="F69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7" width="18.42578125" customWidth="1"/>
    <col min="8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191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0</v>
      </c>
      <c r="D3" s="76" t="s">
        <v>104</v>
      </c>
      <c r="E3" s="77">
        <f ca="1">DAY(EOMONTH(DATE(YEAR(TODAY()),8,1),0))</f>
        <v>31</v>
      </c>
      <c r="G3" s="221" t="s">
        <v>192</v>
      </c>
      <c r="H3" s="111"/>
      <c r="I3" s="111"/>
      <c r="J3" s="218">
        <v>2</v>
      </c>
    </row>
    <row r="4" spans="2:15" x14ac:dyDescent="0.25">
      <c r="G4" s="221" t="s">
        <v>193</v>
      </c>
      <c r="H4" s="111"/>
      <c r="I4" s="111"/>
      <c r="J4" s="218">
        <v>0</v>
      </c>
    </row>
    <row r="5" spans="2:15" x14ac:dyDescent="0.25">
      <c r="G5" s="221" t="s">
        <v>194</v>
      </c>
      <c r="H5" s="111"/>
      <c r="I5" s="111"/>
      <c r="J5" s="218">
        <v>0</v>
      </c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x14ac:dyDescent="0.25">
      <c r="B10" s="72" t="s">
        <v>112</v>
      </c>
      <c r="C10" s="15">
        <v>168537898.23074001</v>
      </c>
      <c r="D10" s="15">
        <v>36713911.444587</v>
      </c>
      <c r="E10" s="15">
        <v>237910140.663104</v>
      </c>
      <c r="F10" s="15">
        <v>184105876.08000001</v>
      </c>
      <c r="G10" s="15">
        <v>627267826.41843104</v>
      </c>
      <c r="H10" s="111"/>
      <c r="I10" s="111"/>
      <c r="J10" s="111"/>
      <c r="M10" s="11"/>
      <c r="N10" s="11"/>
      <c r="O10" s="171"/>
    </row>
    <row r="11" spans="2:15" x14ac:dyDescent="0.25">
      <c r="B11" s="72" t="s">
        <v>214</v>
      </c>
      <c r="C11" s="15">
        <v>391754161.13883197</v>
      </c>
      <c r="D11" s="15">
        <v>83228394.506621003</v>
      </c>
      <c r="E11" s="15">
        <v>131095974.767517</v>
      </c>
      <c r="F11" s="15">
        <v>303884492.08999997</v>
      </c>
      <c r="G11" s="15">
        <v>909963022.50296998</v>
      </c>
      <c r="H11" s="111"/>
      <c r="I11" s="111"/>
      <c r="J11" s="111"/>
      <c r="M11" s="11"/>
      <c r="N11" s="11"/>
      <c r="O11" s="171"/>
    </row>
    <row r="12" spans="2:15" x14ac:dyDescent="0.25">
      <c r="B12" s="72" t="s">
        <v>213</v>
      </c>
      <c r="C12" s="15">
        <v>3123423.4199979999</v>
      </c>
      <c r="D12" s="15">
        <v>30403216.600000001</v>
      </c>
      <c r="E12" s="15">
        <v>352954956.67859</v>
      </c>
      <c r="F12" s="15" t="s">
        <v>164</v>
      </c>
      <c r="G12" s="15">
        <v>386481596.69858801</v>
      </c>
      <c r="H12" s="111"/>
      <c r="I12" s="111"/>
      <c r="J12" s="111"/>
      <c r="M12" s="11"/>
      <c r="N12" s="11"/>
      <c r="O12" s="171"/>
    </row>
    <row r="13" spans="2:15" x14ac:dyDescent="0.25">
      <c r="B13" s="72" t="s">
        <v>70</v>
      </c>
      <c r="C13" s="15">
        <v>182059272.42829499</v>
      </c>
      <c r="D13" s="15">
        <v>62051192.866664</v>
      </c>
      <c r="E13" s="15">
        <v>176084363.819534</v>
      </c>
      <c r="F13" s="15">
        <v>118555854.65000001</v>
      </c>
      <c r="G13" s="15">
        <v>538750683.76449299</v>
      </c>
      <c r="H13" s="111"/>
      <c r="I13" s="111"/>
      <c r="J13" s="111"/>
      <c r="M13" s="11"/>
      <c r="N13" s="11"/>
      <c r="O13" s="171"/>
    </row>
    <row r="14" spans="2:15" x14ac:dyDescent="0.25">
      <c r="B14" s="72" t="s">
        <v>114</v>
      </c>
      <c r="C14" s="15">
        <v>42773807.140831001</v>
      </c>
      <c r="D14" s="15">
        <v>38226126.239827</v>
      </c>
      <c r="E14" s="15">
        <v>246989162.909273</v>
      </c>
      <c r="F14" s="15">
        <v>60587162.560000002</v>
      </c>
      <c r="G14" s="15">
        <v>388576258.849931</v>
      </c>
      <c r="H14" s="111"/>
      <c r="I14" s="111"/>
      <c r="J14" s="111"/>
      <c r="M14" s="11"/>
      <c r="N14" s="11"/>
      <c r="O14" s="171"/>
    </row>
    <row r="15" spans="2:15" x14ac:dyDescent="0.25">
      <c r="B15" s="81" t="s">
        <v>115</v>
      </c>
      <c r="C15" s="15">
        <v>806935617.24687099</v>
      </c>
      <c r="D15" s="15">
        <v>28388679.159852002</v>
      </c>
      <c r="E15" s="15">
        <v>176552657.81004</v>
      </c>
      <c r="F15" s="15">
        <v>440469451.51974601</v>
      </c>
      <c r="G15" s="15">
        <v>1452346405.7365091</v>
      </c>
      <c r="H15" s="111"/>
      <c r="I15" s="111"/>
      <c r="J15" s="111"/>
      <c r="M15" s="11"/>
      <c r="N15" s="11"/>
      <c r="O15" s="171"/>
    </row>
    <row r="16" spans="2:15" x14ac:dyDescent="0.25">
      <c r="B16" s="72" t="s">
        <v>118</v>
      </c>
      <c r="C16" s="15">
        <v>898604000.859828</v>
      </c>
      <c r="D16" s="15">
        <v>1359864.864998</v>
      </c>
      <c r="E16" s="15">
        <v>102675476.399931</v>
      </c>
      <c r="F16" s="15">
        <v>18108378.600000001</v>
      </c>
      <c r="G16" s="15">
        <v>1020747720.724757</v>
      </c>
      <c r="H16" s="111"/>
      <c r="I16" s="111"/>
      <c r="J16" s="111"/>
      <c r="M16" s="11"/>
      <c r="N16" s="11"/>
      <c r="O16" s="171"/>
    </row>
    <row r="17" spans="2:15" x14ac:dyDescent="0.25">
      <c r="B17" s="72" t="s">
        <v>120</v>
      </c>
      <c r="C17" s="15">
        <v>694746397.13682199</v>
      </c>
      <c r="D17" s="15">
        <v>83310744.179726005</v>
      </c>
      <c r="E17" s="15">
        <v>361895856.40941203</v>
      </c>
      <c r="F17" s="15">
        <v>1726626492.0199161</v>
      </c>
      <c r="G17" s="15">
        <v>2866579489.7458758</v>
      </c>
      <c r="H17" s="111"/>
      <c r="I17" s="111"/>
      <c r="J17" s="111"/>
      <c r="M17" s="11"/>
      <c r="N17" s="11"/>
      <c r="O17" s="171"/>
    </row>
    <row r="18" spans="2:15" x14ac:dyDescent="0.25">
      <c r="B18" s="72" t="s">
        <v>122</v>
      </c>
      <c r="C18" s="15">
        <v>121267711.473663</v>
      </c>
      <c r="D18" s="15">
        <v>15763472.888874</v>
      </c>
      <c r="E18" s="15">
        <v>118453741.00843</v>
      </c>
      <c r="F18" s="15">
        <v>44710811.710000001</v>
      </c>
      <c r="G18" s="15">
        <v>300195737.08096701</v>
      </c>
      <c r="H18" s="111"/>
      <c r="I18" s="111"/>
      <c r="J18" s="111"/>
      <c r="M18" s="11"/>
      <c r="N18" s="11"/>
      <c r="O18" s="171"/>
    </row>
    <row r="19" spans="2:15" x14ac:dyDescent="0.25">
      <c r="B19" s="72" t="s">
        <v>123</v>
      </c>
      <c r="C19" s="15">
        <v>18170680.559997998</v>
      </c>
      <c r="D19" s="15">
        <v>119479519.93068799</v>
      </c>
      <c r="E19" s="15">
        <v>53705085.5</v>
      </c>
      <c r="F19" s="15">
        <v>121772975.45999999</v>
      </c>
      <c r="G19" s="15">
        <v>313128261.45068598</v>
      </c>
      <c r="H19" s="111"/>
      <c r="I19" s="111"/>
      <c r="J19" s="111"/>
      <c r="M19" s="11"/>
      <c r="N19" s="11"/>
      <c r="O19" s="171"/>
    </row>
    <row r="20" spans="2:15" x14ac:dyDescent="0.25">
      <c r="B20" s="72" t="s">
        <v>168</v>
      </c>
      <c r="C20" s="15">
        <v>186237371.06</v>
      </c>
      <c r="D20" s="15" t="s">
        <v>164</v>
      </c>
      <c r="E20" s="15" t="s">
        <v>164</v>
      </c>
      <c r="F20" s="15">
        <v>13081080.720000001</v>
      </c>
      <c r="G20" s="15">
        <v>199318451.78</v>
      </c>
      <c r="H20" s="111"/>
      <c r="I20" s="111"/>
      <c r="J20" s="111"/>
      <c r="M20" s="14">
        <f>SUM(C30,C35)+M7</f>
        <v>155439124.9975</v>
      </c>
      <c r="N20" s="10" t="s">
        <v>222</v>
      </c>
    </row>
    <row r="21" spans="2:15" x14ac:dyDescent="0.25">
      <c r="B21" s="72" t="s">
        <v>169</v>
      </c>
      <c r="C21" s="15">
        <v>427491232.60000002</v>
      </c>
      <c r="D21" s="15" t="s">
        <v>164</v>
      </c>
      <c r="E21" s="15" t="s">
        <v>164</v>
      </c>
      <c r="F21" s="15">
        <v>16534323.880000001</v>
      </c>
      <c r="G21" s="15">
        <v>444025556.48000002</v>
      </c>
      <c r="H21" s="111"/>
      <c r="I21" s="111"/>
      <c r="J21" s="111"/>
      <c r="M21" s="14">
        <f>SUM(C33,C34)+M20</f>
        <v>957241971.304317</v>
      </c>
      <c r="N21" s="10" t="s">
        <v>223</v>
      </c>
    </row>
    <row r="22" spans="2:15" x14ac:dyDescent="0.25">
      <c r="B22" s="72" t="s">
        <v>124</v>
      </c>
      <c r="C22" s="15">
        <v>290128013.316342</v>
      </c>
      <c r="D22" s="15">
        <v>54566849.259464003</v>
      </c>
      <c r="E22" s="15">
        <v>153361081.649728</v>
      </c>
      <c r="F22" s="15">
        <v>551744030.62983501</v>
      </c>
      <c r="G22" s="15">
        <v>1049799974.855369</v>
      </c>
      <c r="H22" s="111"/>
      <c r="I22" s="111"/>
      <c r="J22" s="111"/>
    </row>
    <row r="23" spans="2:15" x14ac:dyDescent="0.25">
      <c r="B23" s="72" t="s">
        <v>125</v>
      </c>
      <c r="C23" s="15">
        <v>336624600.15198898</v>
      </c>
      <c r="D23" s="15">
        <v>91520734.704789996</v>
      </c>
      <c r="E23" s="15">
        <v>231931490.0036</v>
      </c>
      <c r="F23" s="15">
        <v>403022156.07930398</v>
      </c>
      <c r="G23" s="15">
        <v>1063098980.939683</v>
      </c>
      <c r="H23" s="111"/>
      <c r="I23" s="111"/>
      <c r="J23" s="111"/>
    </row>
    <row r="24" spans="2:15" x14ac:dyDescent="0.25">
      <c r="B24" s="72" t="s">
        <v>126</v>
      </c>
      <c r="C24" s="15">
        <v>444619443.18372798</v>
      </c>
      <c r="D24" s="15">
        <v>61211234.240413003</v>
      </c>
      <c r="E24" s="15">
        <v>226294669.539931</v>
      </c>
      <c r="F24" s="15">
        <v>726681246.82912803</v>
      </c>
      <c r="G24" s="15">
        <v>1458806593.7932</v>
      </c>
      <c r="H24" s="111"/>
      <c r="I24" s="111"/>
      <c r="J24" s="111"/>
    </row>
    <row r="25" spans="2:15" x14ac:dyDescent="0.25">
      <c r="B25" s="72" t="s">
        <v>182</v>
      </c>
      <c r="C25" s="15">
        <v>160197012.810229</v>
      </c>
      <c r="D25" s="15">
        <v>107670163.37918</v>
      </c>
      <c r="E25" s="15">
        <v>177455267.749598</v>
      </c>
      <c r="F25" s="15">
        <v>57669377.93</v>
      </c>
      <c r="G25" s="15">
        <v>502991821.86900699</v>
      </c>
      <c r="H25" s="111"/>
      <c r="I25" s="111"/>
      <c r="J25" s="111"/>
    </row>
    <row r="26" spans="2:15" x14ac:dyDescent="0.25">
      <c r="B26" s="72" t="s">
        <v>127</v>
      </c>
      <c r="C26" s="15">
        <v>352299598.35567099</v>
      </c>
      <c r="D26" s="15">
        <v>306965581.86604702</v>
      </c>
      <c r="E26" s="15">
        <v>346692952.41662002</v>
      </c>
      <c r="F26" s="15">
        <v>20800432.859000001</v>
      </c>
      <c r="G26" s="15">
        <v>1026758565.4973381</v>
      </c>
      <c r="H26" s="111"/>
      <c r="I26" s="111"/>
      <c r="J26" s="111"/>
    </row>
    <row r="27" spans="2:15" x14ac:dyDescent="0.25">
      <c r="G27" s="111"/>
      <c r="H27" s="111"/>
      <c r="I27" s="111"/>
    </row>
    <row r="28" spans="2:15" x14ac:dyDescent="0.25">
      <c r="B28" s="79" t="s">
        <v>128</v>
      </c>
      <c r="C28" s="79"/>
      <c r="G28" s="111"/>
      <c r="H28" s="111"/>
      <c r="I28" s="111"/>
    </row>
    <row r="29" spans="2:15" x14ac:dyDescent="0.25">
      <c r="B29" s="80" t="s">
        <v>129</v>
      </c>
      <c r="C29" s="80" t="s">
        <v>130</v>
      </c>
      <c r="G29" s="111"/>
      <c r="H29" s="111"/>
      <c r="I29" s="111"/>
    </row>
    <row r="30" spans="2:15" x14ac:dyDescent="0.25">
      <c r="B30" s="73"/>
      <c r="C30" s="107"/>
      <c r="G30" s="111"/>
      <c r="H30" s="111"/>
      <c r="I30" s="111"/>
    </row>
    <row r="31" spans="2:15" x14ac:dyDescent="0.25">
      <c r="B31" s="81" t="s">
        <v>131</v>
      </c>
      <c r="C31" s="15">
        <v>270468251.94897401</v>
      </c>
      <c r="G31" s="111"/>
      <c r="H31" s="111"/>
      <c r="I31" s="111"/>
    </row>
    <row r="32" spans="2:15" x14ac:dyDescent="0.25">
      <c r="B32" s="81" t="s">
        <v>132</v>
      </c>
      <c r="C32" s="15">
        <v>459125956.89144701</v>
      </c>
      <c r="G32" s="111"/>
      <c r="H32" s="111"/>
      <c r="I32" s="111"/>
    </row>
    <row r="33" spans="2:19" x14ac:dyDescent="0.25">
      <c r="B33" s="81" t="s">
        <v>133</v>
      </c>
      <c r="C33" s="15">
        <v>154558519.26416701</v>
      </c>
      <c r="G33" s="111"/>
      <c r="H33" s="111"/>
      <c r="I33" s="111"/>
    </row>
    <row r="34" spans="2:19" x14ac:dyDescent="0.25">
      <c r="B34" s="81" t="s">
        <v>134</v>
      </c>
      <c r="C34" s="15">
        <v>647244327.04264998</v>
      </c>
      <c r="G34" s="111"/>
      <c r="H34" s="111"/>
      <c r="I34" s="111"/>
    </row>
    <row r="35" spans="2:19" x14ac:dyDescent="0.25">
      <c r="B35" s="81" t="s">
        <v>135</v>
      </c>
      <c r="C35" s="15">
        <v>155439124.9975</v>
      </c>
      <c r="G35" s="111"/>
      <c r="H35" s="111"/>
      <c r="I35" s="111"/>
    </row>
    <row r="36" spans="2:19" x14ac:dyDescent="0.25">
      <c r="B36" s="81"/>
      <c r="C36" s="82"/>
      <c r="G36" s="111"/>
      <c r="H36" s="111"/>
      <c r="I36" s="111"/>
    </row>
    <row r="37" spans="2:19" x14ac:dyDescent="0.25">
      <c r="B37" s="73"/>
      <c r="C37" s="82"/>
      <c r="G37" s="111"/>
      <c r="H37" s="111"/>
      <c r="I37" s="111"/>
    </row>
    <row r="38" spans="2:19" x14ac:dyDescent="0.25">
      <c r="G38" s="111"/>
      <c r="H38" s="111"/>
      <c r="I38" s="111"/>
    </row>
    <row r="39" spans="2:19" x14ac:dyDescent="0.25">
      <c r="G39" s="111"/>
      <c r="H39" s="111"/>
      <c r="I39" s="111"/>
      <c r="S39" s="172" t="s">
        <v>184</v>
      </c>
    </row>
    <row r="40" spans="2:19" ht="18.75" x14ac:dyDescent="0.25">
      <c r="B40" s="265" t="s">
        <v>218</v>
      </c>
      <c r="C40" s="266"/>
      <c r="D40" s="267"/>
      <c r="E40" s="66" t="s">
        <v>137</v>
      </c>
      <c r="F40" s="174">
        <f ca="1">IF(MONTH(TODAY())=8,DAY(TODAY())/DAY(EOMONTH(TODAY(),0)),IF(MONTH(TODAY())&gt;8,1,0))</f>
        <v>1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25.5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x14ac:dyDescent="0.25">
      <c r="B42" s="109" t="s">
        <v>142</v>
      </c>
      <c r="C42" s="41" t="s">
        <v>143</v>
      </c>
      <c r="D42" s="45">
        <f>SUM(TARGETS!Y5:Y7,TARGETS!Y8:Y13,TARGETS!Y14:Y18)</f>
        <v>4927597521</v>
      </c>
      <c r="E42" s="46">
        <f>H65</f>
        <v>4626966240.2540092</v>
      </c>
      <c r="F42" s="176">
        <f>IFERROR(E42/D42,0)</f>
        <v>0.93899029304548776</v>
      </c>
      <c r="G42" s="184">
        <f>D42*$H$40-E42</f>
        <v>-192128471.35400867</v>
      </c>
      <c r="H42" s="184">
        <f ca="1">IFERROR(G42/$C$3,0)</f>
        <v>0</v>
      </c>
      <c r="I42" s="204">
        <f>D42*$J$40-E42</f>
        <v>54251404.695990562</v>
      </c>
      <c r="J42" s="204">
        <f ca="1">IFERROR(I42/$C$3,0)</f>
        <v>0</v>
      </c>
      <c r="K42" s="185">
        <f>D42*$L$40-E42</f>
        <v>300631280.74599075</v>
      </c>
      <c r="L42" s="185">
        <f ca="1">IFERROR(K42/$C$3,0)</f>
        <v>0</v>
      </c>
      <c r="S42" s="173">
        <v>0.8</v>
      </c>
    </row>
    <row r="43" spans="2:19" x14ac:dyDescent="0.25">
      <c r="B43" s="109" t="s">
        <v>110</v>
      </c>
      <c r="C43" s="41" t="s">
        <v>143</v>
      </c>
      <c r="D43" s="45">
        <f>SUM(TARGETS!Z5:Z6,TARGETS!Z8:Z12,TARGETS!Z14:Z18)</f>
        <v>1294442997.4659395</v>
      </c>
      <c r="E43" s="46">
        <f>I65</f>
        <v>1119499821.2667329</v>
      </c>
      <c r="F43" s="176">
        <f>IFERROR(E43/D43,0)</f>
        <v>0.86485061409294706</v>
      </c>
      <c r="G43" s="184">
        <f>D43*$H$40-E43</f>
        <v>45498876.452612638</v>
      </c>
      <c r="H43" s="184">
        <f ca="1">IFERROR(G43/$C$3,0)</f>
        <v>0</v>
      </c>
      <c r="I43" s="204">
        <f>D43*$J$40-E43</f>
        <v>110221026.32590961</v>
      </c>
      <c r="J43" s="204">
        <f ca="1">IFERROR(I43/$C$3,0)</f>
        <v>0</v>
      </c>
      <c r="K43" s="185">
        <f>D43*$L$40-E43</f>
        <v>174943176.19920659</v>
      </c>
      <c r="L43" s="185">
        <f ca="1">IFERROR(K43/$C$3,0)</f>
        <v>0</v>
      </c>
      <c r="S43" s="173">
        <v>0.85</v>
      </c>
    </row>
    <row r="44" spans="2:19" x14ac:dyDescent="0.25">
      <c r="B44" s="109" t="s">
        <v>207</v>
      </c>
      <c r="C44" s="41" t="s">
        <v>143</v>
      </c>
      <c r="D44" s="45">
        <f>SUM(TARGETS!AA5:AA18)</f>
        <v>3216211725</v>
      </c>
      <c r="E44" s="46">
        <f>J65</f>
        <v>2991377400.9253774</v>
      </c>
      <c r="F44" s="176">
        <f>IFERROR(E44/D44,0)</f>
        <v>0.93009343186987403</v>
      </c>
      <c r="G44" s="184">
        <f>IF(D44=0,0,D44*$H$40-E44)</f>
        <v>-96786848.425377369</v>
      </c>
      <c r="H44" s="184">
        <f ca="1">IFERROR(G44/$C$3,0)</f>
        <v>0</v>
      </c>
      <c r="I44" s="204">
        <f>IF(D44=0,0,D44*$J$40-E44)</f>
        <v>64023737.824622631</v>
      </c>
      <c r="J44" s="204">
        <f ca="1">IFERROR(I44/$C$3,0)</f>
        <v>0</v>
      </c>
      <c r="K44" s="185">
        <f>IF(D44=0,0,D44*$L$40-E44)</f>
        <v>224834324.07462263</v>
      </c>
      <c r="L44" s="185">
        <f ca="1">IFERROR(K44/$C$3,0)</f>
        <v>0</v>
      </c>
      <c r="S44" s="173">
        <v>0.9</v>
      </c>
    </row>
    <row r="45" spans="2:19" x14ac:dyDescent="0.25">
      <c r="B45" s="109" t="s">
        <v>144</v>
      </c>
      <c r="C45" s="41" t="s">
        <v>143</v>
      </c>
      <c r="D45" s="45">
        <f>SUM(TARGETS!K22:K26)</f>
        <v>1865957446.8085108</v>
      </c>
      <c r="E45" s="46">
        <f>E74</f>
        <v>1686836180.144738</v>
      </c>
      <c r="F45" s="176">
        <f>IFERROR(E45/D45,0)</f>
        <v>0.90400570657699741</v>
      </c>
      <c r="G45" s="184">
        <f>D45*$H$40-E45</f>
        <v>-7474478.0170781612</v>
      </c>
      <c r="H45" s="184">
        <f ca="1">IFERROR(G45/$C$3,0)</f>
        <v>0</v>
      </c>
      <c r="I45" s="204">
        <f>D45*$J$40-E45</f>
        <v>85823394.323347092</v>
      </c>
      <c r="J45" s="204">
        <f ca="1">IFERROR(I45/$C$3,0)</f>
        <v>0</v>
      </c>
      <c r="K45" s="185">
        <f>D45*$L$40-E45</f>
        <v>179121266.66377282</v>
      </c>
      <c r="L45" s="185">
        <f ca="1">IFERROR(K45/$C$3,0)</f>
        <v>0</v>
      </c>
      <c r="S45" s="173">
        <v>0.95</v>
      </c>
    </row>
    <row r="46" spans="2:19" x14ac:dyDescent="0.25">
      <c r="B46" s="262" t="s">
        <v>145</v>
      </c>
      <c r="C46" s="263"/>
      <c r="D46" s="47">
        <f>SUM(D42:D45)</f>
        <v>11304209690.274448</v>
      </c>
      <c r="E46" s="47">
        <f>SUM(E42:E45)</f>
        <v>10424679642.590857</v>
      </c>
      <c r="F46" s="177">
        <f>IFERROR(E46/D46,0)</f>
        <v>0.92219446809799599</v>
      </c>
      <c r="G46" s="181">
        <f>SUM(G42:G45)</f>
        <v>-250890921.34385157</v>
      </c>
      <c r="H46" s="181">
        <f ca="1">IFERROR(G46/$C$3,0)</f>
        <v>0</v>
      </c>
      <c r="I46" s="186">
        <f>SUM(I42:I45)</f>
        <v>314319563.1698699</v>
      </c>
      <c r="J46" s="186">
        <f ca="1">IFERROR(I46/$C$3,0)</f>
        <v>0</v>
      </c>
      <c r="K46" s="186">
        <f>SUM(K42:K45)</f>
        <v>879530047.6835928</v>
      </c>
      <c r="L46" s="186">
        <f ca="1">IFERROR(K46/$C$3,0)</f>
        <v>0</v>
      </c>
      <c r="S46" s="173">
        <v>1</v>
      </c>
    </row>
    <row r="47" spans="2:19" x14ac:dyDescent="0.25">
      <c r="G47" s="111"/>
      <c r="H47" s="111"/>
      <c r="I47" s="111"/>
      <c r="S47" s="173"/>
    </row>
    <row r="48" spans="2:19" ht="18.95" customHeight="1" x14ac:dyDescent="0.25">
      <c r="B48" s="268" t="s">
        <v>212</v>
      </c>
      <c r="C48" s="269"/>
      <c r="D48" s="269"/>
      <c r="E48" s="269"/>
      <c r="F48" s="269"/>
      <c r="G48" s="269"/>
      <c r="H48" s="269"/>
      <c r="I48" s="269"/>
      <c r="J48" s="269"/>
      <c r="K48" s="269"/>
      <c r="L48" s="292"/>
      <c r="M48" s="275" t="s">
        <v>185</v>
      </c>
      <c r="N48" s="276"/>
      <c r="O48" s="276"/>
      <c r="P48" s="276"/>
      <c r="Q48" s="276"/>
      <c r="R48" s="277"/>
    </row>
    <row r="49" spans="2:21" ht="17.100000000000001" customHeight="1" x14ac:dyDescent="0.25">
      <c r="B49" s="293" t="s">
        <v>41</v>
      </c>
      <c r="C49" s="293" t="s">
        <v>42</v>
      </c>
      <c r="D49" s="259" t="s">
        <v>137</v>
      </c>
      <c r="E49" s="260"/>
      <c r="F49" s="260"/>
      <c r="G49" s="261"/>
      <c r="H49" s="294" t="s">
        <v>138</v>
      </c>
      <c r="I49" s="295"/>
      <c r="J49" s="295"/>
      <c r="K49" s="296"/>
      <c r="L49" s="297" t="s">
        <v>139</v>
      </c>
      <c r="M49" s="278" t="str">
        <f>"SELISIH"&amp;CHAR(10)&amp;TEXT($H$40,"0%")</f>
        <v>SELISIH
90%</v>
      </c>
      <c r="N49" s="278" t="str">
        <f>"PER HARI"&amp;CHAR(10)&amp;TEXT($H$40,"0%")</f>
        <v>PER HARI
90%</v>
      </c>
      <c r="O49" s="280" t="str">
        <f>"SELISIH"&amp;CHAR(10)&amp;TEXT($J$40,"0%")</f>
        <v>SELISIH
95%</v>
      </c>
      <c r="P49" s="280" t="str">
        <f>"PER HARI"&amp;CHAR(10)&amp;TEXT($J$40,"0%")</f>
        <v>PER HARI
95%</v>
      </c>
      <c r="Q49" s="282" t="str">
        <f>"SELISIH"&amp;CHAR(10)&amp;TEXT($L$40,"0%")</f>
        <v>SELISIH
100%</v>
      </c>
      <c r="R49" s="282" t="str">
        <f>"PER HARI"&amp;CHAR(10)&amp;TEXT($L$40,"0%")</f>
        <v>PER HARI
100%</v>
      </c>
    </row>
    <row r="50" spans="2:21" ht="15.75" x14ac:dyDescent="0.25">
      <c r="B50" s="274"/>
      <c r="C50" s="274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8"/>
      <c r="M50" s="279"/>
      <c r="N50" s="279"/>
      <c r="O50" s="281"/>
      <c r="P50" s="281"/>
      <c r="Q50" s="283"/>
      <c r="R50" s="283"/>
      <c r="T50" s="172" t="s">
        <v>215</v>
      </c>
      <c r="U50" s="172" t="s">
        <v>216</v>
      </c>
    </row>
    <row r="51" spans="2:21" x14ac:dyDescent="0.25">
      <c r="B51" s="50" t="s">
        <v>67</v>
      </c>
      <c r="C51" s="55" t="s">
        <v>68</v>
      </c>
      <c r="D51" s="118">
        <f>TARGETS!Y5</f>
        <v>306848843</v>
      </c>
      <c r="E51" s="118">
        <f>TARGETS!Z5</f>
        <v>60640123.605248079</v>
      </c>
      <c r="F51" s="118">
        <f>TARGETS!AA5</f>
        <v>198385865</v>
      </c>
      <c r="G51" s="118">
        <f t="shared" ref="G51:G64" si="0">SUM(D51:F51)</f>
        <v>565874831.60524809</v>
      </c>
      <c r="H51" s="114">
        <f>SUMIF($B$10:$B$26,$T51,C$10:C$26)+SUMIF($B$10:$B$26,$U51,C$10:C$26)</f>
        <v>290128013.316342</v>
      </c>
      <c r="I51" s="114">
        <f t="shared" ref="I51:I64" si="1">SUMIF($B$10:$B$26,$T51,D$10:D$26)+SUMIF($B$10:$B$26,$U51,D$10:D$26)</f>
        <v>54566849.259464003</v>
      </c>
      <c r="J51" s="114">
        <f t="shared" ref="J51:J64" si="2">SUMIF($B$10:$B$26,$T51,E$10:E$26)+SUMIF($B$10:$B$26,$U51,E$10:E$26)</f>
        <v>153361081.649728</v>
      </c>
      <c r="K51" s="114">
        <f t="shared" ref="K51:K64" si="3">SUM(H51:J51)</f>
        <v>498055944.22553402</v>
      </c>
      <c r="L51" s="187">
        <f t="shared" ref="L51:L65" si="4">IFERROR(K51/G51,0)</f>
        <v>0.88015214038177214</v>
      </c>
      <c r="M51" s="184">
        <f t="shared" ref="M51:M64" si="5">G51*$H$40-K51</f>
        <v>11231404.219189286</v>
      </c>
      <c r="N51" s="184">
        <f t="shared" ref="N51:N65" ca="1" si="6">IFERROR(M51/$C$3,0)</f>
        <v>0</v>
      </c>
      <c r="O51" s="180">
        <f t="shared" ref="O51:O64" si="7">G51*$J$40-K51</f>
        <v>39525145.799451649</v>
      </c>
      <c r="P51" s="180">
        <f t="shared" ref="P51:P65" ca="1" si="8">IFERROR(O51/$C$3,0)</f>
        <v>0</v>
      </c>
      <c r="Q51" s="185">
        <f t="shared" ref="Q51:Q64" si="9">G51*$L$40-K51</f>
        <v>67818887.379714072</v>
      </c>
      <c r="R51" s="185">
        <f t="shared" ref="R51:R65" ca="1" si="10">IFERROR(Q51/$C$3,0)</f>
        <v>0</v>
      </c>
      <c r="T51" t="s">
        <v>124</v>
      </c>
      <c r="U51" t="s">
        <v>217</v>
      </c>
    </row>
    <row r="52" spans="2:21" x14ac:dyDescent="0.25">
      <c r="B52" s="53" t="s">
        <v>69</v>
      </c>
      <c r="C52" s="56" t="s">
        <v>70</v>
      </c>
      <c r="D52" s="119">
        <f>TARGETS!Y6</f>
        <v>222144871</v>
      </c>
      <c r="E52" s="119">
        <f>TARGETS!Z6</f>
        <v>165576502.41228893</v>
      </c>
      <c r="F52" s="119">
        <f>TARGETS!AA6</f>
        <v>449309820</v>
      </c>
      <c r="G52" s="119">
        <f t="shared" si="0"/>
        <v>837031193.4122889</v>
      </c>
      <c r="H52" s="114">
        <f t="shared" ref="H52:H64" si="11">SUMIF($B$10:$B$26,$T52,C$10:C$26)+SUMIF($B$10:$B$26,$U52,C$10:C$26)</f>
        <v>224833079.56912598</v>
      </c>
      <c r="I52" s="114">
        <f t="shared" si="1"/>
        <v>100277319.106491</v>
      </c>
      <c r="J52" s="114">
        <f t="shared" si="2"/>
        <v>423073526.72880697</v>
      </c>
      <c r="K52" s="114">
        <f t="shared" si="3"/>
        <v>748183925.40442395</v>
      </c>
      <c r="L52" s="187">
        <f t="shared" si="4"/>
        <v>0.89385429275859463</v>
      </c>
      <c r="M52" s="184">
        <f t="shared" si="5"/>
        <v>5144148.6666361094</v>
      </c>
      <c r="N52" s="184">
        <f t="shared" ca="1" si="6"/>
        <v>0</v>
      </c>
      <c r="O52" s="180">
        <f t="shared" si="7"/>
        <v>46995708.337250471</v>
      </c>
      <c r="P52" s="180">
        <f t="shared" ca="1" si="8"/>
        <v>0</v>
      </c>
      <c r="Q52" s="185">
        <f t="shared" si="9"/>
        <v>88847268.007864952</v>
      </c>
      <c r="R52" s="185">
        <f t="shared" ca="1" si="10"/>
        <v>0</v>
      </c>
      <c r="T52" t="s">
        <v>70</v>
      </c>
      <c r="U52" t="s">
        <v>114</v>
      </c>
    </row>
    <row r="53" spans="2:21" x14ac:dyDescent="0.25">
      <c r="B53" s="136" t="s">
        <v>171</v>
      </c>
      <c r="C53" s="137" t="s">
        <v>172</v>
      </c>
      <c r="D53" s="138">
        <f>TARGETS!Y7</f>
        <v>262953105</v>
      </c>
      <c r="E53" s="138">
        <f>TARGETS!Z7</f>
        <v>0</v>
      </c>
      <c r="F53" s="138">
        <f>TARGETS!AA7</f>
        <v>0</v>
      </c>
      <c r="G53" s="138">
        <f t="shared" si="0"/>
        <v>262953105</v>
      </c>
      <c r="H53" s="114">
        <f t="shared" si="11"/>
        <v>186237371.06</v>
      </c>
      <c r="I53" s="114">
        <f t="shared" si="1"/>
        <v>0</v>
      </c>
      <c r="J53" s="114">
        <f t="shared" si="2"/>
        <v>0</v>
      </c>
      <c r="K53" s="114">
        <f t="shared" si="3"/>
        <v>186237371.06</v>
      </c>
      <c r="L53" s="187">
        <f t="shared" si="4"/>
        <v>0.70825317335575866</v>
      </c>
      <c r="M53" s="184">
        <f t="shared" si="5"/>
        <v>50420423.439999998</v>
      </c>
      <c r="N53" s="184">
        <f t="shared" ca="1" si="6"/>
        <v>0</v>
      </c>
      <c r="O53" s="180">
        <f t="shared" si="7"/>
        <v>63568078.689999998</v>
      </c>
      <c r="P53" s="180">
        <f t="shared" ca="1" si="8"/>
        <v>0</v>
      </c>
      <c r="Q53" s="185">
        <f t="shared" si="9"/>
        <v>76715733.939999998</v>
      </c>
      <c r="R53" s="185">
        <f t="shared" ca="1" si="10"/>
        <v>0</v>
      </c>
      <c r="T53" t="s">
        <v>168</v>
      </c>
      <c r="U53" t="s">
        <v>217</v>
      </c>
    </row>
    <row r="54" spans="2:21" x14ac:dyDescent="0.25">
      <c r="B54" s="53" t="s">
        <v>71</v>
      </c>
      <c r="C54" s="56" t="s">
        <v>72</v>
      </c>
      <c r="D54" s="119">
        <f>TARGETS!Y8</f>
        <v>633046146</v>
      </c>
      <c r="E54" s="119">
        <f>TARGETS!Z8</f>
        <v>35794312.055859983</v>
      </c>
      <c r="F54" s="119">
        <f>TARGETS!AA8</f>
        <v>109338663</v>
      </c>
      <c r="G54" s="119">
        <f t="shared" si="0"/>
        <v>778179121.05586004</v>
      </c>
      <c r="H54" s="114">
        <f t="shared" si="11"/>
        <v>806935617.24687099</v>
      </c>
      <c r="I54" s="114">
        <f t="shared" si="1"/>
        <v>28388679.159852002</v>
      </c>
      <c r="J54" s="114">
        <f t="shared" si="2"/>
        <v>176552657.81004</v>
      </c>
      <c r="K54" s="114">
        <f t="shared" si="3"/>
        <v>1011876954.216763</v>
      </c>
      <c r="L54" s="187">
        <f t="shared" si="4"/>
        <v>1.3003136769383041</v>
      </c>
      <c r="M54" s="184">
        <f t="shared" si="5"/>
        <v>-311515745.26648891</v>
      </c>
      <c r="N54" s="184">
        <f t="shared" ca="1" si="6"/>
        <v>0</v>
      </c>
      <c r="O54" s="180">
        <f t="shared" si="7"/>
        <v>-272606789.213696</v>
      </c>
      <c r="P54" s="180">
        <f t="shared" ca="1" si="8"/>
        <v>0</v>
      </c>
      <c r="Q54" s="185">
        <f t="shared" si="9"/>
        <v>-233697833.16090298</v>
      </c>
      <c r="R54" s="185">
        <f t="shared" ca="1" si="10"/>
        <v>0</v>
      </c>
      <c r="T54" t="s">
        <v>115</v>
      </c>
      <c r="U54" t="s">
        <v>217</v>
      </c>
    </row>
    <row r="55" spans="2:21" x14ac:dyDescent="0.25">
      <c r="B55" s="50" t="s">
        <v>73</v>
      </c>
      <c r="C55" s="55" t="s">
        <v>189</v>
      </c>
      <c r="D55" s="118">
        <f>TARGETS!Y9</f>
        <v>5575802</v>
      </c>
      <c r="E55" s="118">
        <f>TARGETS!Z9</f>
        <v>54597557.63085559</v>
      </c>
      <c r="F55" s="118">
        <f>TARGETS!AA9</f>
        <v>490733908</v>
      </c>
      <c r="G55" s="118">
        <f t="shared" si="0"/>
        <v>550907267.63085556</v>
      </c>
      <c r="H55" s="114">
        <f t="shared" si="11"/>
        <v>3123423.4199979999</v>
      </c>
      <c r="I55" s="114">
        <f t="shared" si="1"/>
        <v>30403216.600000001</v>
      </c>
      <c r="J55" s="114">
        <f t="shared" si="2"/>
        <v>352954956.67859</v>
      </c>
      <c r="K55" s="114">
        <f t="shared" si="3"/>
        <v>386481596.69858801</v>
      </c>
      <c r="L55" s="187">
        <f t="shared" si="4"/>
        <v>0.70153657322516272</v>
      </c>
      <c r="M55" s="184">
        <f t="shared" si="5"/>
        <v>109334944.169182</v>
      </c>
      <c r="N55" s="184">
        <f t="shared" ca="1" si="6"/>
        <v>0</v>
      </c>
      <c r="O55" s="180">
        <f t="shared" si="7"/>
        <v>136880307.55072474</v>
      </c>
      <c r="P55" s="180">
        <f t="shared" ca="1" si="8"/>
        <v>0</v>
      </c>
      <c r="Q55" s="185">
        <f t="shared" si="9"/>
        <v>164425670.93226755</v>
      </c>
      <c r="R55" s="185">
        <f t="shared" ca="1" si="10"/>
        <v>0</v>
      </c>
      <c r="T55" t="s">
        <v>213</v>
      </c>
      <c r="U55" t="s">
        <v>217</v>
      </c>
    </row>
    <row r="56" spans="2:21" x14ac:dyDescent="0.25">
      <c r="B56" s="53" t="s">
        <v>75</v>
      </c>
      <c r="C56" s="56" t="s">
        <v>99</v>
      </c>
      <c r="D56" s="119">
        <f>TARGETS!Y10</f>
        <v>309612765</v>
      </c>
      <c r="E56" s="119">
        <f>TARGETS!Z10</f>
        <v>107263766.34102874</v>
      </c>
      <c r="F56" s="119">
        <f>TARGETS!AA10</f>
        <v>209576770</v>
      </c>
      <c r="G56" s="119">
        <f t="shared" si="0"/>
        <v>626453301.34102869</v>
      </c>
      <c r="H56" s="114">
        <f t="shared" si="11"/>
        <v>160197012.810229</v>
      </c>
      <c r="I56" s="114">
        <f t="shared" si="1"/>
        <v>107670163.37918</v>
      </c>
      <c r="J56" s="114">
        <f t="shared" si="2"/>
        <v>177455267.749598</v>
      </c>
      <c r="K56" s="114">
        <f t="shared" si="3"/>
        <v>445322443.93900704</v>
      </c>
      <c r="L56" s="187">
        <f t="shared" si="4"/>
        <v>0.71086295336894134</v>
      </c>
      <c r="M56" s="184">
        <f t="shared" si="5"/>
        <v>118485527.26791883</v>
      </c>
      <c r="N56" s="184">
        <f t="shared" ca="1" si="6"/>
        <v>0</v>
      </c>
      <c r="O56" s="180">
        <f t="shared" si="7"/>
        <v>149808192.33497024</v>
      </c>
      <c r="P56" s="180">
        <f t="shared" ca="1" si="8"/>
        <v>0</v>
      </c>
      <c r="Q56" s="185">
        <f t="shared" si="9"/>
        <v>181130857.40202165</v>
      </c>
      <c r="R56" s="185">
        <f t="shared" ca="1" si="10"/>
        <v>0</v>
      </c>
      <c r="T56" t="s">
        <v>182</v>
      </c>
      <c r="U56" t="s">
        <v>217</v>
      </c>
    </row>
    <row r="57" spans="2:21" x14ac:dyDescent="0.25">
      <c r="B57" s="50" t="s">
        <v>76</v>
      </c>
      <c r="C57" s="55" t="s">
        <v>77</v>
      </c>
      <c r="D57" s="118">
        <f>TARGETS!Y11</f>
        <v>706692044</v>
      </c>
      <c r="E57" s="118">
        <f>TARGETS!Z11</f>
        <v>85448443.319925025</v>
      </c>
      <c r="F57" s="118">
        <f>TARGETS!AA11</f>
        <v>368550890</v>
      </c>
      <c r="G57" s="118">
        <f t="shared" si="0"/>
        <v>1160691377.3199251</v>
      </c>
      <c r="H57" s="114">
        <f t="shared" si="11"/>
        <v>694746397.13682199</v>
      </c>
      <c r="I57" s="114">
        <f t="shared" si="1"/>
        <v>83310744.179726005</v>
      </c>
      <c r="J57" s="114">
        <f t="shared" si="2"/>
        <v>361895856.40941203</v>
      </c>
      <c r="K57" s="114">
        <f t="shared" si="3"/>
        <v>1139952997.72596</v>
      </c>
      <c r="L57" s="187">
        <f t="shared" si="4"/>
        <v>0.98213273571321713</v>
      </c>
      <c r="M57" s="184">
        <f t="shared" si="5"/>
        <v>-95330758.13802743</v>
      </c>
      <c r="N57" s="184">
        <f t="shared" ca="1" si="6"/>
        <v>0</v>
      </c>
      <c r="O57" s="180">
        <f t="shared" si="7"/>
        <v>-37296189.272031307</v>
      </c>
      <c r="P57" s="180">
        <f t="shared" ca="1" si="8"/>
        <v>0</v>
      </c>
      <c r="Q57" s="185">
        <f t="shared" si="9"/>
        <v>20738379.593965054</v>
      </c>
      <c r="R57" s="185">
        <f t="shared" ca="1" si="10"/>
        <v>0</v>
      </c>
      <c r="T57" t="s">
        <v>120</v>
      </c>
      <c r="U57" t="s">
        <v>217</v>
      </c>
    </row>
    <row r="58" spans="2:21" x14ac:dyDescent="0.25">
      <c r="B58" s="53" t="s">
        <v>78</v>
      </c>
      <c r="C58" s="56" t="s">
        <v>79</v>
      </c>
      <c r="D58" s="119">
        <f>TARGETS!Y12</f>
        <v>302084971</v>
      </c>
      <c r="E58" s="119">
        <f>TARGETS!Z12</f>
        <v>88976480.286837116</v>
      </c>
      <c r="F58" s="119">
        <f>TARGETS!AA12</f>
        <v>275026731</v>
      </c>
      <c r="G58" s="119">
        <f t="shared" si="0"/>
        <v>666088182.2868371</v>
      </c>
      <c r="H58" s="114">
        <f t="shared" si="11"/>
        <v>336624600.15198898</v>
      </c>
      <c r="I58" s="114">
        <f t="shared" si="1"/>
        <v>91520734.704789996</v>
      </c>
      <c r="J58" s="114">
        <f t="shared" si="2"/>
        <v>231931490.0036</v>
      </c>
      <c r="K58" s="114">
        <f t="shared" si="3"/>
        <v>660076824.86037898</v>
      </c>
      <c r="L58" s="187">
        <f t="shared" si="4"/>
        <v>0.9909751327432057</v>
      </c>
      <c r="M58" s="184">
        <f t="shared" si="5"/>
        <v>-60597460.80222559</v>
      </c>
      <c r="N58" s="184">
        <f t="shared" ca="1" si="6"/>
        <v>0</v>
      </c>
      <c r="O58" s="180">
        <f t="shared" si="7"/>
        <v>-27293051.687883735</v>
      </c>
      <c r="P58" s="180">
        <f t="shared" ca="1" si="8"/>
        <v>0</v>
      </c>
      <c r="Q58" s="185">
        <f t="shared" si="9"/>
        <v>6011357.4264581203</v>
      </c>
      <c r="R58" s="185">
        <f t="shared" ca="1" si="10"/>
        <v>0</v>
      </c>
      <c r="T58" t="s">
        <v>125</v>
      </c>
      <c r="U58" t="s">
        <v>217</v>
      </c>
    </row>
    <row r="59" spans="2:21" x14ac:dyDescent="0.25">
      <c r="B59" s="136" t="s">
        <v>171</v>
      </c>
      <c r="C59" s="137" t="s">
        <v>173</v>
      </c>
      <c r="D59" s="138">
        <f>TARGETS!Y13</f>
        <v>443846716</v>
      </c>
      <c r="E59" s="138">
        <f>TARGETS!Z13</f>
        <v>0</v>
      </c>
      <c r="F59" s="138">
        <f>TARGETS!AA13</f>
        <v>0</v>
      </c>
      <c r="G59" s="138">
        <f t="shared" si="0"/>
        <v>443846716</v>
      </c>
      <c r="H59" s="114">
        <f t="shared" si="11"/>
        <v>427491232.60000002</v>
      </c>
      <c r="I59" s="114">
        <f t="shared" si="1"/>
        <v>0</v>
      </c>
      <c r="J59" s="114">
        <f t="shared" si="2"/>
        <v>0</v>
      </c>
      <c r="K59" s="114">
        <f t="shared" si="3"/>
        <v>427491232.60000002</v>
      </c>
      <c r="L59" s="187">
        <f t="shared" si="4"/>
        <v>0.96315060400266661</v>
      </c>
      <c r="M59" s="184">
        <f t="shared" si="5"/>
        <v>-28029188.199999988</v>
      </c>
      <c r="N59" s="184">
        <f t="shared" ca="1" si="6"/>
        <v>0</v>
      </c>
      <c r="O59" s="180">
        <f t="shared" si="7"/>
        <v>-5836852.4000000358</v>
      </c>
      <c r="P59" s="180">
        <f t="shared" ca="1" si="8"/>
        <v>0</v>
      </c>
      <c r="Q59" s="185">
        <f t="shared" si="9"/>
        <v>16355483.399999976</v>
      </c>
      <c r="R59" s="185">
        <f t="shared" ca="1" si="10"/>
        <v>0</v>
      </c>
      <c r="T59" t="s">
        <v>169</v>
      </c>
      <c r="U59" t="s">
        <v>217</v>
      </c>
    </row>
    <row r="60" spans="2:21" x14ac:dyDescent="0.25">
      <c r="B60" s="53" t="s">
        <v>80</v>
      </c>
      <c r="C60" s="56" t="s">
        <v>189</v>
      </c>
      <c r="D60" s="119">
        <f>TARGETS!Y14</f>
        <v>387829132</v>
      </c>
      <c r="E60" s="119">
        <f>TARGETS!Z14</f>
        <v>101974877.61343271</v>
      </c>
      <c r="F60" s="119">
        <f>TARGETS!AA14</f>
        <v>140889511</v>
      </c>
      <c r="G60" s="119">
        <f t="shared" si="0"/>
        <v>630693520.61343265</v>
      </c>
      <c r="H60" s="114">
        <f t="shared" si="11"/>
        <v>391754161.13883197</v>
      </c>
      <c r="I60" s="114">
        <f t="shared" si="1"/>
        <v>83228394.506621003</v>
      </c>
      <c r="J60" s="114">
        <f t="shared" si="2"/>
        <v>131095974.767517</v>
      </c>
      <c r="K60" s="114">
        <f t="shared" si="3"/>
        <v>606078530.41296995</v>
      </c>
      <c r="L60" s="187">
        <f t="shared" si="4"/>
        <v>0.96097155052977024</v>
      </c>
      <c r="M60" s="184">
        <f t="shared" si="5"/>
        <v>-38454361.860880494</v>
      </c>
      <c r="N60" s="184">
        <f t="shared" ca="1" si="6"/>
        <v>0</v>
      </c>
      <c r="O60" s="180">
        <f t="shared" si="7"/>
        <v>-6919685.8302090168</v>
      </c>
      <c r="P60" s="180">
        <f t="shared" ca="1" si="8"/>
        <v>0</v>
      </c>
      <c r="Q60" s="185">
        <f t="shared" si="9"/>
        <v>24614990.200462699</v>
      </c>
      <c r="R60" s="185">
        <f t="shared" ca="1" si="10"/>
        <v>0</v>
      </c>
      <c r="T60" t="s">
        <v>214</v>
      </c>
      <c r="U60" t="s">
        <v>217</v>
      </c>
    </row>
    <row r="61" spans="2:21" x14ac:dyDescent="0.25">
      <c r="B61" s="50" t="s">
        <v>82</v>
      </c>
      <c r="C61" s="55" t="s">
        <v>83</v>
      </c>
      <c r="D61" s="118">
        <f>TARGETS!Y15</f>
        <v>518888039</v>
      </c>
      <c r="E61" s="118">
        <f>TARGETS!Z15</f>
        <v>55257406.157477453</v>
      </c>
      <c r="F61" s="118">
        <f>TARGETS!AA15</f>
        <v>193954669</v>
      </c>
      <c r="G61" s="118">
        <f t="shared" si="0"/>
        <v>768100114.1574775</v>
      </c>
      <c r="H61" s="114">
        <f t="shared" si="11"/>
        <v>444619443.18372798</v>
      </c>
      <c r="I61" s="114">
        <f t="shared" si="1"/>
        <v>61211234.240413003</v>
      </c>
      <c r="J61" s="114">
        <f t="shared" si="2"/>
        <v>226294669.539931</v>
      </c>
      <c r="K61" s="114">
        <f t="shared" si="3"/>
        <v>732125346.96407199</v>
      </c>
      <c r="L61" s="187">
        <f t="shared" si="4"/>
        <v>0.95316396062137565</v>
      </c>
      <c r="M61" s="184">
        <f t="shared" si="5"/>
        <v>-40835244.222342253</v>
      </c>
      <c r="N61" s="184">
        <f t="shared" ca="1" si="6"/>
        <v>0</v>
      </c>
      <c r="O61" s="180">
        <f t="shared" si="7"/>
        <v>-2430238.5144684315</v>
      </c>
      <c r="P61" s="180">
        <f t="shared" ca="1" si="8"/>
        <v>0</v>
      </c>
      <c r="Q61" s="185">
        <f t="shared" si="9"/>
        <v>35974767.193405509</v>
      </c>
      <c r="R61" s="185">
        <f t="shared" ca="1" si="10"/>
        <v>0</v>
      </c>
      <c r="T61" t="s">
        <v>126</v>
      </c>
      <c r="U61" t="s">
        <v>217</v>
      </c>
    </row>
    <row r="62" spans="2:21" x14ac:dyDescent="0.25">
      <c r="B62" s="53" t="s">
        <v>84</v>
      </c>
      <c r="C62" s="56" t="s">
        <v>85</v>
      </c>
      <c r="D62" s="119">
        <f>TARGETS!Y16</f>
        <v>210599044</v>
      </c>
      <c r="E62" s="119">
        <f>TARGETS!Z16</f>
        <v>32662674.187332422</v>
      </c>
      <c r="F62" s="119">
        <f>TARGETS!AA16</f>
        <v>285268852</v>
      </c>
      <c r="G62" s="119">
        <f t="shared" si="0"/>
        <v>528530570.18733239</v>
      </c>
      <c r="H62" s="114">
        <f t="shared" si="11"/>
        <v>168537898.23074001</v>
      </c>
      <c r="I62" s="114">
        <f t="shared" si="1"/>
        <v>36713911.444587</v>
      </c>
      <c r="J62" s="114">
        <f t="shared" si="2"/>
        <v>237910140.663104</v>
      </c>
      <c r="K62" s="114">
        <f t="shared" si="3"/>
        <v>443161950.338431</v>
      </c>
      <c r="L62" s="187">
        <f t="shared" si="4"/>
        <v>0.83847931479414084</v>
      </c>
      <c r="M62" s="184">
        <f t="shared" si="5"/>
        <v>32515562.830168188</v>
      </c>
      <c r="N62" s="184">
        <f t="shared" ca="1" si="6"/>
        <v>0</v>
      </c>
      <c r="O62" s="180">
        <f t="shared" si="7"/>
        <v>58942091.33953476</v>
      </c>
      <c r="P62" s="180">
        <f t="shared" ca="1" si="8"/>
        <v>0</v>
      </c>
      <c r="Q62" s="185">
        <f t="shared" si="9"/>
        <v>85368619.848901391</v>
      </c>
      <c r="R62" s="185">
        <f t="shared" ca="1" si="10"/>
        <v>0</v>
      </c>
      <c r="T62" t="s">
        <v>112</v>
      </c>
      <c r="U62" t="s">
        <v>217</v>
      </c>
    </row>
    <row r="63" spans="2:21" x14ac:dyDescent="0.25">
      <c r="B63" s="50" t="s">
        <v>86</v>
      </c>
      <c r="C63" s="55" t="s">
        <v>87</v>
      </c>
      <c r="D63" s="118">
        <f>TARGETS!Y17</f>
        <v>452060736</v>
      </c>
      <c r="E63" s="118">
        <f>TARGETS!Z17</f>
        <v>310428849.14490294</v>
      </c>
      <c r="F63" s="118">
        <f>TARGETS!AA17</f>
        <v>267991724</v>
      </c>
      <c r="G63" s="118">
        <f t="shared" si="0"/>
        <v>1030481309.1449029</v>
      </c>
      <c r="H63" s="114">
        <f t="shared" si="11"/>
        <v>352299598.35567099</v>
      </c>
      <c r="I63" s="114">
        <f t="shared" si="1"/>
        <v>306965581.86604702</v>
      </c>
      <c r="J63" s="114">
        <f t="shared" si="2"/>
        <v>346692952.41662002</v>
      </c>
      <c r="K63" s="114">
        <f t="shared" si="3"/>
        <v>1005958132.6383381</v>
      </c>
      <c r="L63" s="187">
        <f t="shared" si="4"/>
        <v>0.97620221124931006</v>
      </c>
      <c r="M63" s="184">
        <f t="shared" si="5"/>
        <v>-78524954.407925367</v>
      </c>
      <c r="N63" s="184">
        <f t="shared" ca="1" si="6"/>
        <v>0</v>
      </c>
      <c r="O63" s="180">
        <f t="shared" si="7"/>
        <v>-27000888.950680375</v>
      </c>
      <c r="P63" s="180">
        <f t="shared" ca="1" si="8"/>
        <v>0</v>
      </c>
      <c r="Q63" s="185">
        <f t="shared" si="9"/>
        <v>24523176.506564856</v>
      </c>
      <c r="R63" s="185">
        <f t="shared" ca="1" si="10"/>
        <v>0</v>
      </c>
      <c r="T63" t="s">
        <v>127</v>
      </c>
      <c r="U63" t="s">
        <v>217</v>
      </c>
    </row>
    <row r="64" spans="2:21" x14ac:dyDescent="0.25">
      <c r="B64" s="53" t="s">
        <v>88</v>
      </c>
      <c r="C64" s="56" t="s">
        <v>89</v>
      </c>
      <c r="D64" s="119">
        <f>TARGETS!Y18</f>
        <v>165415307</v>
      </c>
      <c r="E64" s="119">
        <f>TARGETS!Z18</f>
        <v>195822004.71075061</v>
      </c>
      <c r="F64" s="119">
        <f>TARGETS!AA18</f>
        <v>227184322</v>
      </c>
      <c r="G64" s="119">
        <f t="shared" si="0"/>
        <v>588421633.71075058</v>
      </c>
      <c r="H64" s="114">
        <f t="shared" si="11"/>
        <v>139438392.03366101</v>
      </c>
      <c r="I64" s="114">
        <f t="shared" si="1"/>
        <v>135242992.81956199</v>
      </c>
      <c r="J64" s="114">
        <f t="shared" si="2"/>
        <v>172158826.50843</v>
      </c>
      <c r="K64" s="114">
        <f t="shared" si="3"/>
        <v>446840211.36165297</v>
      </c>
      <c r="L64" s="187">
        <f t="shared" si="4"/>
        <v>0.7593878024907994</v>
      </c>
      <c r="M64" s="184">
        <f t="shared" si="5"/>
        <v>82739258.978022575</v>
      </c>
      <c r="N64" s="184">
        <f t="shared" ca="1" si="6"/>
        <v>0</v>
      </c>
      <c r="O64" s="180">
        <f t="shared" si="7"/>
        <v>112160340.66356003</v>
      </c>
      <c r="P64" s="180">
        <f t="shared" ca="1" si="8"/>
        <v>0</v>
      </c>
      <c r="Q64" s="185">
        <f t="shared" si="9"/>
        <v>141581422.34909761</v>
      </c>
      <c r="R64" s="185">
        <f t="shared" ca="1" si="10"/>
        <v>0</v>
      </c>
      <c r="T64" t="s">
        <v>122</v>
      </c>
      <c r="U64" t="s">
        <v>123</v>
      </c>
    </row>
    <row r="65" spans="2:21" x14ac:dyDescent="0.25">
      <c r="B65" s="57" t="s">
        <v>151</v>
      </c>
      <c r="C65" s="58"/>
      <c r="D65" s="134">
        <f t="shared" ref="D65:K65" si="12">SUM(D51:D64)</f>
        <v>4927597521</v>
      </c>
      <c r="E65" s="134">
        <f t="shared" si="12"/>
        <v>1294442997.4659395</v>
      </c>
      <c r="F65" s="134">
        <f t="shared" si="12"/>
        <v>3216211725</v>
      </c>
      <c r="G65" s="134">
        <f t="shared" si="12"/>
        <v>9438252243.4659405</v>
      </c>
      <c r="H65" s="135">
        <f t="shared" si="12"/>
        <v>4626966240.2540092</v>
      </c>
      <c r="I65" s="135">
        <f t="shared" si="12"/>
        <v>1119499821.2667329</v>
      </c>
      <c r="J65" s="135">
        <f t="shared" si="12"/>
        <v>2991377400.9253774</v>
      </c>
      <c r="K65" s="135">
        <f t="shared" si="12"/>
        <v>8737843462.4461193</v>
      </c>
      <c r="L65" s="189">
        <f t="shared" si="4"/>
        <v>0.9257904151158165</v>
      </c>
      <c r="M65" s="181">
        <f>SUM(M51:M64)</f>
        <v>-243416443.32677305</v>
      </c>
      <c r="N65" s="181">
        <f t="shared" ca="1" si="6"/>
        <v>0</v>
      </c>
      <c r="O65" s="181">
        <f>SUM(O51:O64)</f>
        <v>228496168.84652299</v>
      </c>
      <c r="P65" s="181">
        <f t="shared" ca="1" si="8"/>
        <v>0</v>
      </c>
      <c r="Q65" s="186">
        <f>SUM(Q51:Q64)</f>
        <v>700408781.01982045</v>
      </c>
      <c r="R65" s="186">
        <f t="shared" ca="1" si="10"/>
        <v>0</v>
      </c>
    </row>
    <row r="66" spans="2:21" x14ac:dyDescent="0.25">
      <c r="G66" s="111"/>
      <c r="H66" s="111"/>
      <c r="I66" s="111"/>
    </row>
    <row r="67" spans="2:21" ht="18.95" customHeight="1" x14ac:dyDescent="0.25">
      <c r="B67" s="289" t="s">
        <v>144</v>
      </c>
      <c r="C67" s="290"/>
      <c r="D67" s="290"/>
      <c r="E67" s="290"/>
      <c r="F67" s="291"/>
      <c r="G67" s="275" t="s">
        <v>185</v>
      </c>
      <c r="H67" s="276"/>
      <c r="I67" s="276"/>
      <c r="J67" s="276"/>
      <c r="K67" s="276"/>
      <c r="L67" s="277"/>
    </row>
    <row r="68" spans="2:21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x14ac:dyDescent="0.25">
      <c r="B69" s="50" t="s">
        <v>92</v>
      </c>
      <c r="C69" s="55" t="s">
        <v>93</v>
      </c>
      <c r="D69" s="116">
        <f>TARGETS!K22</f>
        <v>298101474.90070933</v>
      </c>
      <c r="E69" s="114">
        <f>IFERROR($C$31,0)</f>
        <v>270468251.94897401</v>
      </c>
      <c r="F69" s="187">
        <f t="shared" ref="F69:F74" si="13">IFERROR(E69/D69,0)</f>
        <v>0.90730262921060922</v>
      </c>
      <c r="G69" s="184">
        <f>D69*$H$40-E69</f>
        <v>-2176924.5383356214</v>
      </c>
      <c r="H69" s="184">
        <f t="shared" ref="H69:H74" ca="1" si="14">IFERROR(G69/$C$3,0)</f>
        <v>0</v>
      </c>
      <c r="I69" s="204">
        <f>D69*$J$40-E69</f>
        <v>12728149.206699848</v>
      </c>
      <c r="J69" s="204">
        <f t="shared" ref="J69:J74" ca="1" si="15">IFERROR(I69/$C$3,0)</f>
        <v>0</v>
      </c>
      <c r="K69" s="185">
        <f>D69*$L$40-E69</f>
        <v>27633222.951735318</v>
      </c>
      <c r="L69" s="185">
        <f t="shared" ref="L69:L74" ca="1" si="16">IFERROR(K69/$C$3,0)</f>
        <v>0</v>
      </c>
    </row>
    <row r="70" spans="2:21" x14ac:dyDescent="0.25">
      <c r="B70" s="53" t="s">
        <v>94</v>
      </c>
      <c r="C70" s="56" t="s">
        <v>99</v>
      </c>
      <c r="D70" s="117">
        <f>TARGETS!K23</f>
        <v>441402383.90070933</v>
      </c>
      <c r="E70" s="114">
        <f>IFERROR($C$32,0)</f>
        <v>459125956.89144701</v>
      </c>
      <c r="F70" s="187">
        <f t="shared" si="13"/>
        <v>1.0401528710246488</v>
      </c>
      <c r="G70" s="184">
        <f>D70*$H$40-E70</f>
        <v>-61863811.380808592</v>
      </c>
      <c r="H70" s="184">
        <f t="shared" ca="1" si="14"/>
        <v>0</v>
      </c>
      <c r="I70" s="204">
        <f>D70*$J$40-E70</f>
        <v>-39793692.185773134</v>
      </c>
      <c r="J70" s="204">
        <f t="shared" ca="1" si="15"/>
        <v>0</v>
      </c>
      <c r="K70" s="185">
        <f>D70*$L$40-E70</f>
        <v>-17723572.990737677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TARGETS!K24</f>
        <v>1126453588.0070922</v>
      </c>
      <c r="E71" s="114">
        <f>M21</f>
        <v>957241971.304317</v>
      </c>
      <c r="F71" s="187">
        <f t="shared" si="13"/>
        <v>0.84978376516857446</v>
      </c>
      <c r="G71" s="184">
        <f>D71*$H$40-E71</f>
        <v>56566257.902065992</v>
      </c>
      <c r="H71" s="184">
        <f t="shared" ca="1" si="14"/>
        <v>0</v>
      </c>
      <c r="I71" s="204">
        <f>D71*$J$40-E71</f>
        <v>112888937.30242062</v>
      </c>
      <c r="J71" s="204">
        <f t="shared" ca="1" si="15"/>
        <v>0</v>
      </c>
      <c r="K71" s="185">
        <f>D71*$L$40-E71</f>
        <v>169211616.70277524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TARGETS!K25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TARGETS!K26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1865957446.8085108</v>
      </c>
      <c r="E74" s="115">
        <f>SUM(E69:E73)</f>
        <v>1686836180.144738</v>
      </c>
      <c r="F74" s="177">
        <f t="shared" si="13"/>
        <v>0.90400570657699741</v>
      </c>
      <c r="G74" s="181">
        <f>SUM(G69:G73)</f>
        <v>-7474478.0170782208</v>
      </c>
      <c r="H74" s="181">
        <f t="shared" ca="1" si="14"/>
        <v>0</v>
      </c>
      <c r="I74" s="186">
        <f>SUM(I69:I73)</f>
        <v>85823394.32334733</v>
      </c>
      <c r="J74" s="186">
        <f t="shared" ca="1" si="15"/>
        <v>0</v>
      </c>
      <c r="K74" s="186">
        <f>SUM(K69:K73)</f>
        <v>179121266.66377288</v>
      </c>
      <c r="L74" s="186">
        <f t="shared" ca="1" si="16"/>
        <v>0</v>
      </c>
    </row>
    <row r="77" spans="2:21" ht="20.100000000000001" customHeight="1" x14ac:dyDescent="0.25">
      <c r="B77" s="255" t="s">
        <v>170</v>
      </c>
      <c r="C77" s="256"/>
      <c r="D77" s="257"/>
    </row>
    <row r="78" spans="2:21" ht="15.75" x14ac:dyDescent="0.25">
      <c r="B78" s="274" t="s">
        <v>41</v>
      </c>
      <c r="C78" s="274" t="s">
        <v>42</v>
      </c>
      <c r="D78" s="231" t="s">
        <v>138</v>
      </c>
    </row>
    <row r="79" spans="2:21" ht="15.75" x14ac:dyDescent="0.25">
      <c r="B79" s="264"/>
      <c r="C79" s="264"/>
      <c r="D79" s="70" t="s">
        <v>167</v>
      </c>
      <c r="T79" s="172" t="s">
        <v>215</v>
      </c>
      <c r="U79" s="172" t="s">
        <v>216</v>
      </c>
    </row>
    <row r="80" spans="2:21" x14ac:dyDescent="0.25">
      <c r="B80" s="50" t="s">
        <v>67</v>
      </c>
      <c r="C80" s="55" t="s">
        <v>68</v>
      </c>
      <c r="D80" s="131">
        <f>SUMIF($B$10:$B$26,$T80,$F$10:$F$26)+SUMIF($B$10:$B$26,$U80,$F$10:$F$26)</f>
        <v>551744030.62983501</v>
      </c>
      <c r="T80" t="str">
        <f t="shared" ref="T80:U93" si="17">T51</f>
        <v>Picrom Stalyon</v>
      </c>
      <c r="U80" t="str">
        <f t="shared" si="17"/>
        <v>n/a</v>
      </c>
    </row>
    <row r="81" spans="2:2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179143017.21000001</v>
      </c>
      <c r="T81" t="str">
        <f t="shared" si="17"/>
        <v>I MADE LUIH</v>
      </c>
      <c r="U81" t="str">
        <f t="shared" si="17"/>
        <v>I Made Luih (Sanur)</v>
      </c>
    </row>
    <row r="82" spans="2:21" x14ac:dyDescent="0.25">
      <c r="B82" s="53" t="s">
        <v>171</v>
      </c>
      <c r="C82" s="56" t="s">
        <v>172</v>
      </c>
      <c r="D82" s="132">
        <f t="shared" si="18"/>
        <v>13081080.720000001</v>
      </c>
      <c r="T82" t="str">
        <f t="shared" si="17"/>
        <v>NN Made Luih</v>
      </c>
      <c r="U82" t="str">
        <f t="shared" si="17"/>
        <v>n/a</v>
      </c>
    </row>
    <row r="83" spans="2:21" x14ac:dyDescent="0.25">
      <c r="B83" s="50" t="s">
        <v>71</v>
      </c>
      <c r="C83" s="55" t="s">
        <v>72</v>
      </c>
      <c r="D83" s="131">
        <f t="shared" si="18"/>
        <v>440469451.51974601</v>
      </c>
      <c r="T83" t="str">
        <f t="shared" si="17"/>
        <v>Juni</v>
      </c>
      <c r="U83" t="str">
        <f t="shared" si="17"/>
        <v>n/a</v>
      </c>
    </row>
    <row r="84" spans="2:21" x14ac:dyDescent="0.25">
      <c r="B84" s="53" t="s">
        <v>73</v>
      </c>
      <c r="C84" s="56" t="s">
        <v>189</v>
      </c>
      <c r="D84" s="132">
        <f t="shared" si="18"/>
        <v>0</v>
      </c>
      <c r="T84" t="str">
        <f t="shared" si="17"/>
        <v>Eka/Wahyu - FIB</v>
      </c>
      <c r="U84" t="str">
        <f t="shared" si="17"/>
        <v>n/a</v>
      </c>
    </row>
    <row r="85" spans="2:21" x14ac:dyDescent="0.25">
      <c r="B85" s="50" t="s">
        <v>75</v>
      </c>
      <c r="C85" s="55" t="s">
        <v>99</v>
      </c>
      <c r="D85" s="131">
        <f t="shared" si="18"/>
        <v>57669377.93</v>
      </c>
      <c r="T85" t="str">
        <f t="shared" si="17"/>
        <v>Vacant Hotel Kuta Seminyak</v>
      </c>
      <c r="U85" t="str">
        <f t="shared" si="17"/>
        <v>n/a</v>
      </c>
    </row>
    <row r="86" spans="2:21" x14ac:dyDescent="0.25">
      <c r="B86" s="53" t="s">
        <v>76</v>
      </c>
      <c r="C86" s="56" t="s">
        <v>77</v>
      </c>
      <c r="D86" s="132">
        <f t="shared" si="18"/>
        <v>1726626492.0199161</v>
      </c>
      <c r="T86" t="str">
        <f t="shared" si="17"/>
        <v>Monica</v>
      </c>
      <c r="U86" t="str">
        <f t="shared" si="17"/>
        <v>n/a</v>
      </c>
    </row>
    <row r="87" spans="2:21" x14ac:dyDescent="0.25">
      <c r="B87" s="50" t="s">
        <v>78</v>
      </c>
      <c r="C87" s="55" t="s">
        <v>79</v>
      </c>
      <c r="D87" s="131">
        <f t="shared" si="18"/>
        <v>403022156.07930398</v>
      </c>
      <c r="T87" t="str">
        <f t="shared" si="17"/>
        <v>Sujana</v>
      </c>
      <c r="U87" t="str">
        <f t="shared" si="17"/>
        <v>n/a</v>
      </c>
    </row>
    <row r="88" spans="2:21" x14ac:dyDescent="0.25">
      <c r="B88" s="53" t="s">
        <v>171</v>
      </c>
      <c r="C88" s="56" t="s">
        <v>173</v>
      </c>
      <c r="D88" s="132">
        <f t="shared" si="18"/>
        <v>16534323.880000001</v>
      </c>
      <c r="T88" t="str">
        <f t="shared" si="17"/>
        <v>NN Sujana</v>
      </c>
      <c r="U88" t="str">
        <f t="shared" si="17"/>
        <v>n/a</v>
      </c>
    </row>
    <row r="89" spans="2:21" x14ac:dyDescent="0.25">
      <c r="B89" s="53" t="s">
        <v>80</v>
      </c>
      <c r="C89" s="56" t="s">
        <v>189</v>
      </c>
      <c r="D89" s="132">
        <f t="shared" si="18"/>
        <v>303884492.08999997</v>
      </c>
      <c r="T89" t="str">
        <f t="shared" si="17"/>
        <v>Eka/Wahyu - Kuta/Legian</v>
      </c>
      <c r="U89" t="str">
        <f t="shared" si="17"/>
        <v>n/a</v>
      </c>
    </row>
    <row r="90" spans="2:21" x14ac:dyDescent="0.25">
      <c r="B90" s="50" t="s">
        <v>82</v>
      </c>
      <c r="C90" s="55" t="s">
        <v>83</v>
      </c>
      <c r="D90" s="131">
        <f t="shared" si="18"/>
        <v>726681246.82912803</v>
      </c>
      <c r="T90" t="str">
        <f t="shared" si="17"/>
        <v>Taufik</v>
      </c>
      <c r="U90" t="str">
        <f t="shared" si="17"/>
        <v>n/a</v>
      </c>
    </row>
    <row r="91" spans="2:21" x14ac:dyDescent="0.25">
      <c r="B91" s="53" t="s">
        <v>84</v>
      </c>
      <c r="C91" s="56" t="s">
        <v>85</v>
      </c>
      <c r="D91" s="132">
        <f t="shared" si="18"/>
        <v>184105876.08000001</v>
      </c>
      <c r="T91" t="str">
        <f t="shared" si="17"/>
        <v>Dewi Kristiani</v>
      </c>
      <c r="U91" t="str">
        <f t="shared" si="17"/>
        <v>n/a</v>
      </c>
    </row>
    <row r="92" spans="2:21" x14ac:dyDescent="0.25">
      <c r="B92" s="50" t="s">
        <v>86</v>
      </c>
      <c r="C92" s="55" t="s">
        <v>87</v>
      </c>
      <c r="D92" s="131">
        <f t="shared" si="18"/>
        <v>20800432.859000001</v>
      </c>
      <c r="T92" t="str">
        <f t="shared" si="17"/>
        <v>Wira</v>
      </c>
      <c r="U92" t="str">
        <f t="shared" si="17"/>
        <v>n/a</v>
      </c>
    </row>
    <row r="93" spans="2:21" x14ac:dyDescent="0.25">
      <c r="B93" s="53" t="s">
        <v>88</v>
      </c>
      <c r="C93" s="56" t="s">
        <v>89</v>
      </c>
      <c r="D93" s="132">
        <f t="shared" si="18"/>
        <v>166483787.16999999</v>
      </c>
      <c r="T93" t="str">
        <f t="shared" si="17"/>
        <v>Ni Ketut Sriasih (GT)</v>
      </c>
      <c r="U93" t="str">
        <f t="shared" si="17"/>
        <v>Ni Ketut Sriasih (MT)</v>
      </c>
    </row>
    <row r="94" spans="2:21" x14ac:dyDescent="0.25">
      <c r="B94" s="57" t="s">
        <v>151</v>
      </c>
      <c r="C94" s="58"/>
      <c r="D94" s="120">
        <f>SUM(D80:D93)</f>
        <v>4790245765.0169296</v>
      </c>
    </row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14" priority="1">
      <formula>L51&gt;=$F$41-0.05</formula>
    </cfRule>
    <cfRule type="expression" dxfId="13" priority="2">
      <formula>AND(L51&gt;=$F$41-0.2,L51&lt;$F$41-0.05)</formula>
    </cfRule>
    <cfRule type="expression" dxfId="12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5"/>
  <sheetViews>
    <sheetView showGridLines="0" topLeftCell="A40" zoomScale="84" zoomScaleNormal="84" workbookViewId="0">
      <selection activeCell="B8" sqref="B8:G26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5.140625" bestFit="1" customWidth="1"/>
    <col min="4" max="6" width="16.42578125" customWidth="1"/>
    <col min="7" max="7" width="18.42578125" customWidth="1"/>
    <col min="8" max="10" width="16.42578125" customWidth="1"/>
    <col min="11" max="11" width="17.42578125" bestFit="1" customWidth="1"/>
    <col min="12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0</v>
      </c>
      <c r="D3" s="76" t="s">
        <v>104</v>
      </c>
      <c r="E3" s="77">
        <f ca="1">DAY(EOMONTH(DATE(YEAR(TODAY()),9,1),0))</f>
        <v>30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M9" s="11"/>
      <c r="N9" s="11"/>
      <c r="O9" s="171"/>
    </row>
    <row r="10" spans="2:15" ht="15" customHeight="1" x14ac:dyDescent="0.25">
      <c r="B10" s="72" t="s">
        <v>112</v>
      </c>
      <c r="C10" s="235">
        <v>144740163.23579499</v>
      </c>
      <c r="D10" s="235">
        <v>42947490.453594998</v>
      </c>
      <c r="E10" s="235">
        <v>203025937.43701801</v>
      </c>
      <c r="F10" s="235">
        <v>167020820.35991901</v>
      </c>
      <c r="G10" s="235">
        <v>557734411.48632705</v>
      </c>
      <c r="H10" s="111"/>
      <c r="I10" s="111"/>
      <c r="M10" s="11"/>
      <c r="N10" s="11"/>
      <c r="O10" s="171"/>
    </row>
    <row r="11" spans="2:15" ht="15" customHeight="1" x14ac:dyDescent="0.25">
      <c r="B11" s="72" t="s">
        <v>181</v>
      </c>
      <c r="C11" s="235">
        <v>5673423.4199980004</v>
      </c>
      <c r="D11" s="235">
        <v>42317826.700000003</v>
      </c>
      <c r="E11" s="235">
        <v>294873875.35879999</v>
      </c>
      <c r="F11" s="235" t="s">
        <v>164</v>
      </c>
      <c r="G11" s="235">
        <v>342865125.47879797</v>
      </c>
      <c r="H11" s="111"/>
      <c r="I11" s="111"/>
      <c r="M11" s="11"/>
      <c r="N11" s="11"/>
      <c r="O11" s="171"/>
    </row>
    <row r="12" spans="2:15" ht="15" customHeight="1" x14ac:dyDescent="0.25">
      <c r="B12" s="72" t="s">
        <v>70</v>
      </c>
      <c r="C12" s="235">
        <v>184342048.20793799</v>
      </c>
      <c r="D12" s="235">
        <v>73221834.879611</v>
      </c>
      <c r="E12" s="235">
        <v>179141986.31949699</v>
      </c>
      <c r="F12" s="235">
        <v>73537256.650000006</v>
      </c>
      <c r="G12" s="235">
        <v>510243126.057046</v>
      </c>
      <c r="H12" s="111"/>
      <c r="I12" s="111"/>
      <c r="M12" s="11"/>
      <c r="N12" s="11"/>
      <c r="O12" s="171"/>
    </row>
    <row r="13" spans="2:15" ht="15" customHeight="1" x14ac:dyDescent="0.25">
      <c r="B13" s="72" t="s">
        <v>114</v>
      </c>
      <c r="C13" s="235">
        <v>34096172.366747998</v>
      </c>
      <c r="D13" s="235">
        <v>24478710.189963002</v>
      </c>
      <c r="E13" s="235">
        <v>220912974.83954</v>
      </c>
      <c r="F13" s="235">
        <v>92206408.069999993</v>
      </c>
      <c r="G13" s="235">
        <v>371694265.46625102</v>
      </c>
      <c r="H13" s="111"/>
      <c r="I13" s="111"/>
      <c r="M13" s="11"/>
      <c r="N13" s="11"/>
      <c r="O13" s="171"/>
    </row>
    <row r="14" spans="2:15" ht="15" customHeight="1" x14ac:dyDescent="0.25">
      <c r="B14" s="72" t="s">
        <v>115</v>
      </c>
      <c r="C14" s="235">
        <v>519605596.399562</v>
      </c>
      <c r="D14" s="235">
        <v>46985541.356622003</v>
      </c>
      <c r="E14" s="235">
        <v>154687892.139853</v>
      </c>
      <c r="F14" s="235">
        <v>435182498.96969998</v>
      </c>
      <c r="G14" s="235">
        <v>1156461528.865737</v>
      </c>
      <c r="H14" s="111"/>
      <c r="I14" s="111"/>
      <c r="M14" s="11"/>
      <c r="N14" s="11"/>
      <c r="O14" s="171"/>
    </row>
    <row r="15" spans="2:15" ht="15" customHeight="1" x14ac:dyDescent="0.25">
      <c r="B15" s="72" t="s">
        <v>118</v>
      </c>
      <c r="C15" s="235">
        <v>1671930373.3399069</v>
      </c>
      <c r="D15" s="235">
        <v>12877002.040921999</v>
      </c>
      <c r="E15" s="235">
        <v>95420197.059935004</v>
      </c>
      <c r="F15" s="235">
        <v>18848648.969999999</v>
      </c>
      <c r="G15" s="235">
        <v>1799076221.410764</v>
      </c>
      <c r="H15" s="111"/>
      <c r="I15" s="111"/>
      <c r="M15" s="11"/>
      <c r="N15" s="11"/>
      <c r="O15" s="171"/>
    </row>
    <row r="16" spans="2:15" ht="15" customHeight="1" x14ac:dyDescent="0.25">
      <c r="B16" s="72" t="s">
        <v>120</v>
      </c>
      <c r="C16" s="235">
        <v>521089786.50765902</v>
      </c>
      <c r="D16" s="235">
        <v>57488125.779923998</v>
      </c>
      <c r="E16" s="235">
        <v>331550587.10936803</v>
      </c>
      <c r="F16" s="235">
        <v>1085995754.9499691</v>
      </c>
      <c r="G16" s="235">
        <v>1996124254.34692</v>
      </c>
      <c r="H16" s="111"/>
      <c r="I16" s="111"/>
      <c r="M16" s="11"/>
      <c r="N16" s="11"/>
      <c r="O16" s="171"/>
    </row>
    <row r="17" spans="2:15" ht="15" customHeight="1" x14ac:dyDescent="0.25">
      <c r="B17" s="72" t="s">
        <v>122</v>
      </c>
      <c r="C17" s="235">
        <v>109815225.42588399</v>
      </c>
      <c r="D17" s="235">
        <v>13122554.039898001</v>
      </c>
      <c r="E17" s="235">
        <v>111572926.73874199</v>
      </c>
      <c r="F17" s="235">
        <v>50871892.898000002</v>
      </c>
      <c r="G17" s="235">
        <v>285382599.10252398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35">
        <v>15069697.589996999</v>
      </c>
      <c r="D18" s="235">
        <v>159433424.38816899</v>
      </c>
      <c r="E18" s="235">
        <v>64345106.100000001</v>
      </c>
      <c r="F18" s="235">
        <v>109416218.59999999</v>
      </c>
      <c r="G18" s="235">
        <v>348264446.67816597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168</v>
      </c>
      <c r="C19" s="235">
        <v>48019875.460000001</v>
      </c>
      <c r="D19" s="235" t="s">
        <v>164</v>
      </c>
      <c r="E19" s="235" t="s">
        <v>164</v>
      </c>
      <c r="F19" s="235">
        <v>9945945.6799999997</v>
      </c>
      <c r="G19" s="235">
        <v>57965821.140000001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235">
        <v>228406676.46000001</v>
      </c>
      <c r="D20" s="235" t="s">
        <v>164</v>
      </c>
      <c r="E20" s="235" t="s">
        <v>164</v>
      </c>
      <c r="F20" s="235">
        <v>13579549.18</v>
      </c>
      <c r="G20" s="235">
        <v>241986225.63999999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124</v>
      </c>
      <c r="C21" s="235">
        <v>293251949.48080099</v>
      </c>
      <c r="D21" s="235">
        <v>52174490.493436001</v>
      </c>
      <c r="E21" s="235">
        <v>160692167.65973499</v>
      </c>
      <c r="F21" s="235">
        <v>440958537.05983001</v>
      </c>
      <c r="G21" s="235">
        <v>947077144.693802</v>
      </c>
      <c r="H21" s="111"/>
      <c r="I21" s="111"/>
      <c r="J21" s="111"/>
      <c r="M21" s="14">
        <f>SUM(C33,C34)+M20</f>
        <v>1048400865.610592</v>
      </c>
      <c r="N21" s="10" t="s">
        <v>223</v>
      </c>
    </row>
    <row r="22" spans="2:15" ht="15" customHeight="1" x14ac:dyDescent="0.25">
      <c r="B22" s="72" t="s">
        <v>224</v>
      </c>
      <c r="C22" s="235">
        <v>203254368.21468899</v>
      </c>
      <c r="D22" s="235">
        <v>64276669.089911997</v>
      </c>
      <c r="E22" s="235">
        <v>164086145.60814101</v>
      </c>
      <c r="F22" s="235">
        <v>65793423.229999997</v>
      </c>
      <c r="G22" s="235">
        <v>497410606.14274198</v>
      </c>
      <c r="H22" s="111"/>
      <c r="I22" s="111"/>
      <c r="J22" s="111"/>
    </row>
    <row r="23" spans="2:15" ht="15" customHeight="1" x14ac:dyDescent="0.25">
      <c r="B23" s="72" t="s">
        <v>125</v>
      </c>
      <c r="C23" s="235">
        <v>282011574.08168399</v>
      </c>
      <c r="D23" s="235">
        <v>74809273.259940997</v>
      </c>
      <c r="E23" s="235">
        <v>193650083.903642</v>
      </c>
      <c r="F23" s="235">
        <v>347098526.07937998</v>
      </c>
      <c r="G23" s="235">
        <v>897569457.32464695</v>
      </c>
      <c r="H23" s="111"/>
      <c r="I23" s="111"/>
      <c r="J23" s="111"/>
    </row>
    <row r="24" spans="2:15" ht="15" customHeight="1" x14ac:dyDescent="0.25">
      <c r="B24" s="72" t="s">
        <v>126</v>
      </c>
      <c r="C24" s="235">
        <v>473358692.59722602</v>
      </c>
      <c r="D24" s="235">
        <v>68355376.974876001</v>
      </c>
      <c r="E24" s="235">
        <v>214221011.39987901</v>
      </c>
      <c r="F24" s="235">
        <v>637076364.45931995</v>
      </c>
      <c r="G24" s="235">
        <v>1393011445.4313011</v>
      </c>
      <c r="H24" s="111"/>
      <c r="I24" s="111"/>
      <c r="J24" s="111"/>
    </row>
    <row r="25" spans="2:15" ht="15" customHeight="1" x14ac:dyDescent="0.25">
      <c r="B25" s="72" t="s">
        <v>219</v>
      </c>
      <c r="C25" s="235">
        <v>350127609.35823399</v>
      </c>
      <c r="D25" s="235">
        <v>90343081.166443005</v>
      </c>
      <c r="E25" s="235">
        <v>104230158.082516</v>
      </c>
      <c r="F25" s="235">
        <v>50324325.43</v>
      </c>
      <c r="G25" s="235">
        <v>595025174.03719294</v>
      </c>
      <c r="H25" s="111"/>
      <c r="I25" s="111"/>
      <c r="J25" s="111"/>
    </row>
    <row r="26" spans="2:15" ht="15" customHeight="1" x14ac:dyDescent="0.25">
      <c r="B26" s="72" t="s">
        <v>127</v>
      </c>
      <c r="C26" s="235">
        <v>547959392.77456105</v>
      </c>
      <c r="D26" s="235">
        <v>290879574.89086801</v>
      </c>
      <c r="E26" s="235">
        <v>286513427.54513299</v>
      </c>
      <c r="F26" s="235">
        <v>21926703.130399998</v>
      </c>
      <c r="G26" s="235">
        <v>1147279098.3409619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234"/>
      <c r="C30" s="236"/>
      <c r="G30" s="111"/>
      <c r="H30" s="111"/>
      <c r="I30" s="111"/>
    </row>
    <row r="31" spans="2:15" ht="15" customHeight="1" x14ac:dyDescent="0.25">
      <c r="B31" s="81" t="s">
        <v>131</v>
      </c>
      <c r="C31" s="171">
        <v>280535172.19189399</v>
      </c>
      <c r="G31" s="111"/>
      <c r="H31" s="111"/>
      <c r="I31" s="111"/>
    </row>
    <row r="32" spans="2:15" ht="15" customHeight="1" x14ac:dyDescent="0.25">
      <c r="B32" s="81" t="s">
        <v>132</v>
      </c>
      <c r="C32" s="235">
        <v>473492851.69265503</v>
      </c>
      <c r="G32" s="111"/>
      <c r="H32" s="111"/>
      <c r="I32" s="111"/>
    </row>
    <row r="33" spans="2:19" ht="15" customHeight="1" x14ac:dyDescent="0.25">
      <c r="B33" s="81" t="s">
        <v>133</v>
      </c>
      <c r="C33" s="235">
        <v>515158924.34026402</v>
      </c>
      <c r="G33" s="111"/>
      <c r="H33" s="111"/>
      <c r="I33" s="111"/>
    </row>
    <row r="34" spans="2:19" ht="15" customHeight="1" x14ac:dyDescent="0.25">
      <c r="B34" s="81" t="s">
        <v>134</v>
      </c>
      <c r="C34" s="235">
        <v>533241941.27032799</v>
      </c>
      <c r="G34" s="111"/>
      <c r="H34" s="111"/>
      <c r="I34" s="111"/>
    </row>
    <row r="35" spans="2:19" ht="15" customHeight="1" x14ac:dyDescent="0.25">
      <c r="B35" s="81" t="s">
        <v>135</v>
      </c>
      <c r="C35" s="23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65" t="s">
        <v>226</v>
      </c>
      <c r="C40" s="266"/>
      <c r="D40" s="267"/>
      <c r="E40" s="66" t="s">
        <v>137</v>
      </c>
      <c r="F40" s="174">
        <f ca="1">IF(MONTH(TODAY())=9,DAY(TODAY())/DAY(EOMONTH(TODAY(),0)),IF(MONTH(TODAY())&gt;9,1,0))</f>
        <v>1</v>
      </c>
      <c r="G40" s="192" t="s">
        <v>186</v>
      </c>
      <c r="H40" s="198">
        <v>0.95</v>
      </c>
      <c r="I40" s="201" t="s">
        <v>186</v>
      </c>
      <c r="J40" s="199">
        <v>1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95%</v>
      </c>
      <c r="H41" s="182" t="str">
        <f>"PER HARI"&amp;CHAR(10)&amp;TEXT($H$40,"0%")</f>
        <v>PER HARI
95%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SUM(TARGETS!AB5:AB18)</f>
        <v>4511786033.6993961</v>
      </c>
      <c r="E42" s="46">
        <f>H65</f>
        <v>3960822251.5807762</v>
      </c>
      <c r="F42" s="176">
        <f>IFERROR(E42/D42,0)</f>
        <v>0.87788344172277555</v>
      </c>
      <c r="G42" s="184">
        <f>D42*$H$40-E42</f>
        <v>325374480.43365002</v>
      </c>
      <c r="H42" s="184">
        <f ca="1">IFERROR(G42/$C$3,0)</f>
        <v>0</v>
      </c>
      <c r="I42" s="204">
        <f>D42*$J$40-E42</f>
        <v>550963782.11861992</v>
      </c>
      <c r="J42" s="204">
        <f ca="1">IFERROR(I42/$C$3,0)</f>
        <v>0</v>
      </c>
      <c r="K42" s="185">
        <f>D42*$L$40-E42</f>
        <v>550963782.11861992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SUM(TARGETS!AC5:AC18)</f>
        <v>1401365310.515415</v>
      </c>
      <c r="E43" s="46">
        <f>I65</f>
        <v>1100833973.6632581</v>
      </c>
      <c r="F43" s="176">
        <f>IFERROR(E43/D43,0)</f>
        <v>0.78554390165286525</v>
      </c>
      <c r="G43" s="184">
        <f>D43*$H$40-E43</f>
        <v>230463071.32638597</v>
      </c>
      <c r="H43" s="184">
        <f ca="1">IFERROR(G43/$C$3,0)</f>
        <v>0</v>
      </c>
      <c r="I43" s="204">
        <f>D43*$J$40-E43</f>
        <v>300531336.85215688</v>
      </c>
      <c r="J43" s="204">
        <f ca="1">IFERROR(I43/$C$3,0)</f>
        <v>0</v>
      </c>
      <c r="K43" s="185">
        <f>D43*$L$40-E43</f>
        <v>300531336.85215688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SUM(TARGETS!AD5:AD18)</f>
        <v>2944814196.3286853</v>
      </c>
      <c r="E44" s="46">
        <f>J65</f>
        <v>2683504280.2418637</v>
      </c>
      <c r="F44" s="176">
        <f>IFERROR(E44/D44,0)</f>
        <v>0.91126437912021818</v>
      </c>
      <c r="G44" s="184">
        <f>IF(D44=0,0,D44*$H$40-E44)</f>
        <v>114069206.27038717</v>
      </c>
      <c r="H44" s="184">
        <f ca="1">IFERROR(G44/$C$3,0)</f>
        <v>0</v>
      </c>
      <c r="I44" s="204">
        <f>IF(D44=0,0,D44*$J$40-E44)</f>
        <v>261309916.08682156</v>
      </c>
      <c r="J44" s="204">
        <f ca="1">IFERROR(I44/$C$3,0)</f>
        <v>0</v>
      </c>
      <c r="K44" s="185">
        <f>IF(D44=0,0,D44*$L$40-E44)</f>
        <v>261309916.08682156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SUM(TARGETS!L22:L26)</f>
        <v>1740425531.9148936</v>
      </c>
      <c r="E45" s="46">
        <f>E74</f>
        <v>1802428889.495141</v>
      </c>
      <c r="F45" s="176">
        <f>IFERROR(E45/D45,0)</f>
        <v>1.0356254010546653</v>
      </c>
      <c r="G45" s="184">
        <f>D45*$H$40-E45</f>
        <v>-149024634.17599225</v>
      </c>
      <c r="H45" s="184">
        <f ca="1">IFERROR(G45/$C$3,0)</f>
        <v>0</v>
      </c>
      <c r="I45" s="204">
        <f>D45*$J$40-E45</f>
        <v>-62003357.580247402</v>
      </c>
      <c r="J45" s="204">
        <f ca="1">IFERROR(I45/$C$3,0)</f>
        <v>0</v>
      </c>
      <c r="K45" s="185">
        <f>D45*$L$40-E45</f>
        <v>-62003357.580247402</v>
      </c>
      <c r="L45" s="185">
        <f ca="1">IFERROR(K45/$C$3,0)</f>
        <v>0</v>
      </c>
      <c r="S45" s="173">
        <v>0.95</v>
      </c>
    </row>
    <row r="46" spans="2:19" ht="15" customHeight="1" x14ac:dyDescent="0.25">
      <c r="B46" s="262" t="s">
        <v>145</v>
      </c>
      <c r="C46" s="263"/>
      <c r="D46" s="47">
        <f>SUM(D42:D45)</f>
        <v>10598391072.458391</v>
      </c>
      <c r="E46" s="47">
        <f>SUM(E42:E45)</f>
        <v>9547589394.9810371</v>
      </c>
      <c r="F46" s="177">
        <f>IFERROR(E46/D46,0)</f>
        <v>0.90085271714420601</v>
      </c>
      <c r="G46" s="181">
        <f>SUM(G42:G45)</f>
        <v>520882123.85443091</v>
      </c>
      <c r="H46" s="181">
        <f ca="1">IFERROR(G46/$C$3,0)</f>
        <v>0</v>
      </c>
      <c r="I46" s="186">
        <f>SUM(I42:I45)</f>
        <v>1050801677.477351</v>
      </c>
      <c r="J46" s="186">
        <f ca="1">IFERROR(I46/$C$3,0)</f>
        <v>0</v>
      </c>
      <c r="K46" s="186">
        <f>SUM(K42:K45)</f>
        <v>1050801677.477351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8" t="s">
        <v>212</v>
      </c>
      <c r="C48" s="269"/>
      <c r="D48" s="269"/>
      <c r="E48" s="269"/>
      <c r="F48" s="269"/>
      <c r="G48" s="269"/>
      <c r="H48" s="269"/>
      <c r="I48" s="269"/>
      <c r="J48" s="269"/>
      <c r="K48" s="269"/>
      <c r="L48" s="292"/>
      <c r="M48" s="275" t="s">
        <v>185</v>
      </c>
      <c r="N48" s="276"/>
      <c r="O48" s="276"/>
      <c r="P48" s="276"/>
      <c r="Q48" s="276"/>
      <c r="R48" s="277"/>
    </row>
    <row r="49" spans="2:21" ht="17.100000000000001" customHeight="1" x14ac:dyDescent="0.25">
      <c r="B49" s="293" t="s">
        <v>41</v>
      </c>
      <c r="C49" s="293" t="s">
        <v>42</v>
      </c>
      <c r="D49" s="259" t="s">
        <v>137</v>
      </c>
      <c r="E49" s="260"/>
      <c r="F49" s="260"/>
      <c r="G49" s="261"/>
      <c r="H49" s="294" t="s">
        <v>138</v>
      </c>
      <c r="I49" s="295"/>
      <c r="J49" s="295"/>
      <c r="K49" s="296"/>
      <c r="L49" s="297" t="s">
        <v>139</v>
      </c>
      <c r="M49" s="278" t="str">
        <f>"SELISIH"&amp;CHAR(10)&amp;TEXT($H$40,"0%")</f>
        <v>SELISIH
95%</v>
      </c>
      <c r="N49" s="278" t="str">
        <f>"PER HARI"&amp;CHAR(10)&amp;TEXT($H$40,"0%")</f>
        <v>PER HARI
95%</v>
      </c>
      <c r="O49" s="280" t="str">
        <f>"SELISIH"&amp;CHAR(10)&amp;TEXT($J$40,"0%")</f>
        <v>SELISIH
100%</v>
      </c>
      <c r="P49" s="280" t="str">
        <f>"PER HARI"&amp;CHAR(10)&amp;TEXT($J$40,"0%")</f>
        <v>PER HARI
100%</v>
      </c>
      <c r="Q49" s="282" t="str">
        <f>"SELISIH"&amp;CHAR(10)&amp;TEXT($L$40,"0%")</f>
        <v>SELISIH
100%</v>
      </c>
      <c r="R49" s="282" t="str">
        <f>"PER HARI"&amp;CHAR(10)&amp;TEXT($L$40,"0%")</f>
        <v>PER HARI
100%</v>
      </c>
    </row>
    <row r="50" spans="2:21" ht="17.100000000000001" customHeight="1" x14ac:dyDescent="0.25">
      <c r="B50" s="274"/>
      <c r="C50" s="274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8"/>
      <c r="M50" s="279"/>
      <c r="N50" s="279"/>
      <c r="O50" s="281"/>
      <c r="P50" s="281"/>
      <c r="Q50" s="283"/>
      <c r="R50" s="283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TARGETS!AB5</f>
        <v>269047799.19044793</v>
      </c>
      <c r="E51" s="118">
        <f>TARGETS!AC5</f>
        <v>69550316.359371036</v>
      </c>
      <c r="F51" s="118">
        <f>TARGETS!AD5</f>
        <v>175769404.33699557</v>
      </c>
      <c r="G51" s="118">
        <f t="shared" ref="G51:G64" si="0">SUM(D51:F51)</f>
        <v>514367519.88681459</v>
      </c>
      <c r="H51" s="114">
        <f t="shared" ref="H51:H64" si="1">SUMIF($B$10:$B$26,$T51,C$10:C$26)+SUMIF($B$10:$B$26,$U51,C$10:C$26)</f>
        <v>293251949.48080099</v>
      </c>
      <c r="I51" s="114">
        <f t="shared" ref="I51:I64" si="2">SUMIF($B$10:$B$26,$T51,D$10:D$26)+SUMIF($B$10:$B$26,$U51,D$10:D$26)</f>
        <v>52174490.493436001</v>
      </c>
      <c r="J51" s="114">
        <f t="shared" ref="J51:J64" si="3">SUMIF($B$10:$B$26,$T51,E$10:E$26)+SUMIF($B$10:$B$26,$U51,E$10:E$26)</f>
        <v>160692167.65973499</v>
      </c>
      <c r="K51" s="114">
        <f t="shared" ref="K51:K64" si="4">SUM(H51:J51)</f>
        <v>506118607.63397193</v>
      </c>
      <c r="L51" s="187">
        <f t="shared" ref="L51:L65" si="5">IFERROR(K51/G51,0)</f>
        <v>0.98396299934595832</v>
      </c>
      <c r="M51" s="184">
        <f t="shared" ref="M51:M64" si="6">G51*$H$40-K51</f>
        <v>-17469463.741498113</v>
      </c>
      <c r="N51" s="184">
        <f t="shared" ref="N51:N65" ca="1" si="7">IFERROR(M51/$C$3,0)</f>
        <v>0</v>
      </c>
      <c r="O51" s="180">
        <f t="shared" ref="O51:O64" si="8">G51*$J$40-K51</f>
        <v>8248912.2528426647</v>
      </c>
      <c r="P51" s="180">
        <f t="shared" ref="P51:P65" ca="1" si="9">IFERROR(O51/$C$3,0)</f>
        <v>0</v>
      </c>
      <c r="Q51" s="185">
        <f t="shared" ref="Q51:Q64" si="10">G51*$L$40-K51</f>
        <v>8248912.2528426647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TARGETS!AB6</f>
        <v>184343826.51079065</v>
      </c>
      <c r="E52" s="119">
        <f>TARGETS!AC6</f>
        <v>174486695.16641188</v>
      </c>
      <c r="F52" s="119">
        <f>TARGETS!AD6</f>
        <v>426693359.74293905</v>
      </c>
      <c r="G52" s="119">
        <f t="shared" si="0"/>
        <v>785523881.42014158</v>
      </c>
      <c r="H52" s="114">
        <f t="shared" si="1"/>
        <v>218438220.57468599</v>
      </c>
      <c r="I52" s="114">
        <f t="shared" si="2"/>
        <v>97700545.069573998</v>
      </c>
      <c r="J52" s="114">
        <f t="shared" si="3"/>
        <v>400054961.15903699</v>
      </c>
      <c r="K52" s="114">
        <f t="shared" si="4"/>
        <v>716193726.80329704</v>
      </c>
      <c r="L52" s="187">
        <f t="shared" si="5"/>
        <v>0.911740233165791</v>
      </c>
      <c r="M52" s="184">
        <f t="shared" si="6"/>
        <v>30053960.545837402</v>
      </c>
      <c r="N52" s="184">
        <f t="shared" ca="1" si="7"/>
        <v>0</v>
      </c>
      <c r="O52" s="180">
        <f t="shared" si="8"/>
        <v>69330154.616844535</v>
      </c>
      <c r="P52" s="180">
        <f t="shared" ca="1" si="9"/>
        <v>0</v>
      </c>
      <c r="Q52" s="185">
        <f t="shared" si="10"/>
        <v>69330154.616844535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TARGETS!AB7</f>
        <v>262953105.06301075</v>
      </c>
      <c r="E53" s="138">
        <f>TARGETS!AC7</f>
        <v>0</v>
      </c>
      <c r="F53" s="138">
        <f>TARGETS!AD7</f>
        <v>0</v>
      </c>
      <c r="G53" s="138">
        <f t="shared" si="0"/>
        <v>262953105.06301075</v>
      </c>
      <c r="H53" s="114">
        <f t="shared" si="1"/>
        <v>48019875.460000001</v>
      </c>
      <c r="I53" s="114">
        <f t="shared" si="2"/>
        <v>0</v>
      </c>
      <c r="J53" s="114">
        <f t="shared" si="3"/>
        <v>0</v>
      </c>
      <c r="K53" s="114">
        <f t="shared" si="4"/>
        <v>48019875.460000001</v>
      </c>
      <c r="L53" s="187">
        <f t="shared" si="5"/>
        <v>0.18261763993428839</v>
      </c>
      <c r="M53" s="184">
        <f t="shared" si="6"/>
        <v>201785574.34986019</v>
      </c>
      <c r="N53" s="184">
        <f t="shared" ca="1" si="7"/>
        <v>0</v>
      </c>
      <c r="O53" s="180">
        <f t="shared" si="8"/>
        <v>214933229.60301074</v>
      </c>
      <c r="P53" s="180">
        <f t="shared" ca="1" si="9"/>
        <v>0</v>
      </c>
      <c r="Q53" s="185">
        <f t="shared" si="10"/>
        <v>214933229.60301074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TARGETS!AB8</f>
        <v>595245101.89060342</v>
      </c>
      <c r="E54" s="119">
        <f>TARGETS!AC8</f>
        <v>44704504.809982933</v>
      </c>
      <c r="F54" s="119">
        <f>TARGETS!AD8</f>
        <v>86722202.085279256</v>
      </c>
      <c r="G54" s="119">
        <f t="shared" si="0"/>
        <v>726671808.78586555</v>
      </c>
      <c r="H54" s="114">
        <f t="shared" si="1"/>
        <v>519605596.399562</v>
      </c>
      <c r="I54" s="114">
        <f t="shared" si="2"/>
        <v>46985541.356622003</v>
      </c>
      <c r="J54" s="114">
        <f t="shared" si="3"/>
        <v>154687892.139853</v>
      </c>
      <c r="K54" s="114">
        <f t="shared" si="4"/>
        <v>721279029.89603698</v>
      </c>
      <c r="L54" s="187">
        <f t="shared" si="5"/>
        <v>0.99257879716176289</v>
      </c>
      <c r="M54" s="184">
        <f t="shared" si="6"/>
        <v>-30940811.549464703</v>
      </c>
      <c r="N54" s="184">
        <f t="shared" ca="1" si="7"/>
        <v>0</v>
      </c>
      <c r="O54" s="180">
        <f t="shared" si="8"/>
        <v>5392778.8898285627</v>
      </c>
      <c r="P54" s="180">
        <f t="shared" ca="1" si="9"/>
        <v>0</v>
      </c>
      <c r="Q54" s="185">
        <f t="shared" si="10"/>
        <v>5392778.8898285627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TARGETS!AB9</f>
        <v>5575801.9517222047</v>
      </c>
      <c r="E55" s="118">
        <f>TARGETS!AC9</f>
        <v>63507750.38497854</v>
      </c>
      <c r="F55" s="118">
        <f>TARGETS!AD9</f>
        <v>468117447.23398483</v>
      </c>
      <c r="G55" s="118">
        <f t="shared" si="0"/>
        <v>537200999.57068563</v>
      </c>
      <c r="H55" s="114">
        <f t="shared" si="1"/>
        <v>5673423.4199980004</v>
      </c>
      <c r="I55" s="114">
        <f t="shared" si="2"/>
        <v>42317826.700000003</v>
      </c>
      <c r="J55" s="114">
        <f t="shared" si="3"/>
        <v>294873875.35879999</v>
      </c>
      <c r="K55" s="114">
        <f t="shared" si="4"/>
        <v>342865125.47879797</v>
      </c>
      <c r="L55" s="187">
        <f t="shared" si="5"/>
        <v>0.63824364763432151</v>
      </c>
      <c r="M55" s="184">
        <f t="shared" si="6"/>
        <v>167475824.11335337</v>
      </c>
      <c r="N55" s="184">
        <f t="shared" ca="1" si="7"/>
        <v>0</v>
      </c>
      <c r="O55" s="180">
        <f t="shared" si="8"/>
        <v>194335874.09188765</v>
      </c>
      <c r="P55" s="180">
        <f t="shared" ca="1" si="9"/>
        <v>0</v>
      </c>
      <c r="Q55" s="185">
        <f t="shared" si="10"/>
        <v>194335874.09188765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TARGETS!AB10</f>
        <v>271811720.41502386</v>
      </c>
      <c r="E56" s="119">
        <f>TARGETS!AC10</f>
        <v>116173959.09515169</v>
      </c>
      <c r="F56" s="119">
        <f>TARGETS!AD10</f>
        <v>186960308.99004278</v>
      </c>
      <c r="G56" s="119">
        <f t="shared" si="0"/>
        <v>574945988.50021839</v>
      </c>
      <c r="H56" s="114">
        <f t="shared" si="1"/>
        <v>203254368.21468899</v>
      </c>
      <c r="I56" s="114">
        <f t="shared" si="2"/>
        <v>64276669.089911997</v>
      </c>
      <c r="J56" s="114">
        <f t="shared" si="3"/>
        <v>164086145.60814101</v>
      </c>
      <c r="K56" s="114">
        <f t="shared" si="4"/>
        <v>431617182.91274202</v>
      </c>
      <c r="L56" s="187">
        <f t="shared" si="5"/>
        <v>0.7507090953684914</v>
      </c>
      <c r="M56" s="184">
        <f t="shared" si="6"/>
        <v>114581506.16246545</v>
      </c>
      <c r="N56" s="184">
        <f t="shared" ca="1" si="7"/>
        <v>0</v>
      </c>
      <c r="O56" s="180">
        <f t="shared" si="8"/>
        <v>143328805.58747637</v>
      </c>
      <c r="P56" s="180">
        <f t="shared" ca="1" si="9"/>
        <v>0</v>
      </c>
      <c r="Q56" s="185">
        <f t="shared" si="10"/>
        <v>143328805.58747637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TARGETS!AB11</f>
        <v>668891000.09319413</v>
      </c>
      <c r="E57" s="118">
        <f>TARGETS!AC11</f>
        <v>94358636.074047983</v>
      </c>
      <c r="F57" s="118">
        <f>TARGETS!AD11</f>
        <v>345934429.35750455</v>
      </c>
      <c r="G57" s="118">
        <f t="shared" si="0"/>
        <v>1109184065.5247467</v>
      </c>
      <c r="H57" s="114">
        <f t="shared" si="1"/>
        <v>521089786.50765902</v>
      </c>
      <c r="I57" s="114">
        <f t="shared" si="2"/>
        <v>57488125.779923998</v>
      </c>
      <c r="J57" s="114">
        <f t="shared" si="3"/>
        <v>331550587.10936803</v>
      </c>
      <c r="K57" s="114">
        <f t="shared" si="4"/>
        <v>910128499.39695096</v>
      </c>
      <c r="L57" s="187">
        <f t="shared" si="5"/>
        <v>0.82053874346488742</v>
      </c>
      <c r="M57" s="184">
        <f t="shared" si="6"/>
        <v>143596362.85155833</v>
      </c>
      <c r="N57" s="184">
        <f t="shared" ca="1" si="7"/>
        <v>0</v>
      </c>
      <c r="O57" s="180">
        <f t="shared" si="8"/>
        <v>199055566.1277957</v>
      </c>
      <c r="P57" s="180">
        <f t="shared" ca="1" si="9"/>
        <v>0</v>
      </c>
      <c r="Q57" s="185">
        <f t="shared" si="10"/>
        <v>199055566.1277957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TARGETS!AB12</f>
        <v>264283926.94792593</v>
      </c>
      <c r="E58" s="119">
        <f>TARGETS!AC12</f>
        <v>97886673.040960073</v>
      </c>
      <c r="F58" s="119">
        <f>TARGETS!AD12</f>
        <v>252410270.18814293</v>
      </c>
      <c r="G58" s="119">
        <f t="shared" si="0"/>
        <v>614580870.17702889</v>
      </c>
      <c r="H58" s="114">
        <f t="shared" si="1"/>
        <v>282011574.08168399</v>
      </c>
      <c r="I58" s="114">
        <f t="shared" si="2"/>
        <v>74809273.259940997</v>
      </c>
      <c r="J58" s="114">
        <f t="shared" si="3"/>
        <v>193650083.903642</v>
      </c>
      <c r="K58" s="114">
        <f t="shared" si="4"/>
        <v>550470931.24526691</v>
      </c>
      <c r="L58" s="187">
        <f t="shared" si="5"/>
        <v>0.89568510501588627</v>
      </c>
      <c r="M58" s="184">
        <f t="shared" si="6"/>
        <v>33380895.422910452</v>
      </c>
      <c r="N58" s="184">
        <f t="shared" ca="1" si="7"/>
        <v>0</v>
      </c>
      <c r="O58" s="180">
        <f t="shared" si="8"/>
        <v>64109938.93176198</v>
      </c>
      <c r="P58" s="180">
        <f t="shared" ca="1" si="9"/>
        <v>0</v>
      </c>
      <c r="Q58" s="185">
        <f t="shared" si="10"/>
        <v>64109938.93176198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TARGETS!AB13</f>
        <v>443846715.57642001</v>
      </c>
      <c r="E59" s="138">
        <f>TARGETS!AC13</f>
        <v>0</v>
      </c>
      <c r="F59" s="138">
        <f>TARGETS!AD13</f>
        <v>0</v>
      </c>
      <c r="G59" s="138">
        <f t="shared" si="0"/>
        <v>443846715.57642001</v>
      </c>
      <c r="H59" s="114">
        <f t="shared" si="1"/>
        <v>228406676.46000001</v>
      </c>
      <c r="I59" s="114">
        <f t="shared" si="2"/>
        <v>0</v>
      </c>
      <c r="J59" s="114">
        <f t="shared" si="3"/>
        <v>0</v>
      </c>
      <c r="K59" s="114">
        <f t="shared" si="4"/>
        <v>228406676.46000001</v>
      </c>
      <c r="L59" s="187">
        <f t="shared" si="5"/>
        <v>0.51460711196965869</v>
      </c>
      <c r="M59" s="184">
        <f t="shared" si="6"/>
        <v>193247703.33759901</v>
      </c>
      <c r="N59" s="184">
        <f t="shared" ca="1" si="7"/>
        <v>0</v>
      </c>
      <c r="O59" s="180">
        <f t="shared" si="8"/>
        <v>215440039.11642</v>
      </c>
      <c r="P59" s="180">
        <f t="shared" ca="1" si="9"/>
        <v>0</v>
      </c>
      <c r="Q59" s="185">
        <f t="shared" si="10"/>
        <v>215440039.11642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TARGETS!AB14</f>
        <v>350028087.21575695</v>
      </c>
      <c r="E60" s="119">
        <f>TARGETS!AC14</f>
        <v>110885070.36755566</v>
      </c>
      <c r="F60" s="119">
        <f>TARGETS!AD14</f>
        <v>118273050.61307113</v>
      </c>
      <c r="G60" s="119">
        <f t="shared" si="0"/>
        <v>579186208.19638371</v>
      </c>
      <c r="H60" s="114">
        <f t="shared" si="1"/>
        <v>350127609.35823399</v>
      </c>
      <c r="I60" s="114">
        <f t="shared" si="2"/>
        <v>90343081.166443005</v>
      </c>
      <c r="J60" s="114">
        <f t="shared" si="3"/>
        <v>104230158.082516</v>
      </c>
      <c r="K60" s="114">
        <f t="shared" si="4"/>
        <v>544700848.60719299</v>
      </c>
      <c r="L60" s="187">
        <f t="shared" si="5"/>
        <v>0.94045894204459746</v>
      </c>
      <c r="M60" s="184">
        <f t="shared" si="6"/>
        <v>5526049.1793714762</v>
      </c>
      <c r="N60" s="184">
        <f t="shared" ca="1" si="7"/>
        <v>0</v>
      </c>
      <c r="O60" s="180">
        <f t="shared" si="8"/>
        <v>34485359.589190722</v>
      </c>
      <c r="P60" s="180">
        <f t="shared" ca="1" si="9"/>
        <v>0</v>
      </c>
      <c r="Q60" s="185">
        <f t="shared" si="10"/>
        <v>34485359.589190722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TARGETS!AB15</f>
        <v>481086994.53224033</v>
      </c>
      <c r="E61" s="118">
        <f>TARGETS!AC15</f>
        <v>64167598.911600403</v>
      </c>
      <c r="F61" s="118">
        <f>TARGETS!AD15</f>
        <v>171338208.10934076</v>
      </c>
      <c r="G61" s="118">
        <f t="shared" si="0"/>
        <v>716592801.55318153</v>
      </c>
      <c r="H61" s="114">
        <f t="shared" si="1"/>
        <v>473358692.59722602</v>
      </c>
      <c r="I61" s="114">
        <f t="shared" si="2"/>
        <v>68355376.974876001</v>
      </c>
      <c r="J61" s="114">
        <f t="shared" si="3"/>
        <v>214221011.39987901</v>
      </c>
      <c r="K61" s="114">
        <f t="shared" si="4"/>
        <v>755935080.97198105</v>
      </c>
      <c r="L61" s="187">
        <f t="shared" si="5"/>
        <v>1.0549018624433946</v>
      </c>
      <c r="M61" s="184">
        <f t="shared" si="6"/>
        <v>-75171919.49645865</v>
      </c>
      <c r="N61" s="184">
        <f t="shared" ca="1" si="7"/>
        <v>0</v>
      </c>
      <c r="O61" s="180">
        <f t="shared" si="8"/>
        <v>-39342279.41879952</v>
      </c>
      <c r="P61" s="180">
        <f t="shared" ca="1" si="9"/>
        <v>0</v>
      </c>
      <c r="Q61" s="185">
        <f t="shared" si="10"/>
        <v>-39342279.41879952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TARGETS!AB16</f>
        <v>172797999.38105893</v>
      </c>
      <c r="E62" s="119">
        <f>TARGETS!AC16</f>
        <v>41572866.941455372</v>
      </c>
      <c r="F62" s="119">
        <f>TARGETS!AD16</f>
        <v>262652391.23828724</v>
      </c>
      <c r="G62" s="119">
        <f t="shared" si="0"/>
        <v>477023257.56080151</v>
      </c>
      <c r="H62" s="114">
        <f t="shared" si="1"/>
        <v>144740163.23579499</v>
      </c>
      <c r="I62" s="114">
        <f t="shared" si="2"/>
        <v>42947490.453594998</v>
      </c>
      <c r="J62" s="114">
        <f t="shared" si="3"/>
        <v>203025937.43701801</v>
      </c>
      <c r="K62" s="114">
        <f t="shared" si="4"/>
        <v>390713591.12640798</v>
      </c>
      <c r="L62" s="187">
        <f t="shared" si="5"/>
        <v>0.81906612504445342</v>
      </c>
      <c r="M62" s="184">
        <f t="shared" si="6"/>
        <v>62458503.55635345</v>
      </c>
      <c r="N62" s="184">
        <f t="shared" ca="1" si="7"/>
        <v>0</v>
      </c>
      <c r="O62" s="180">
        <f t="shared" si="8"/>
        <v>86309666.434393525</v>
      </c>
      <c r="P62" s="180">
        <f t="shared" ca="1" si="9"/>
        <v>0</v>
      </c>
      <c r="Q62" s="185">
        <f t="shared" si="10"/>
        <v>86309666.434393525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TARGETS!AB17</f>
        <v>414259691.91367406</v>
      </c>
      <c r="E63" s="118">
        <f>TARGETS!AC17</f>
        <v>319339041.89902592</v>
      </c>
      <c r="F63" s="118">
        <f>TARGETS!AD17</f>
        <v>245375263.48110652</v>
      </c>
      <c r="G63" s="118">
        <f t="shared" si="0"/>
        <v>978973997.29380655</v>
      </c>
      <c r="H63" s="114">
        <f t="shared" si="1"/>
        <v>547959392.77456105</v>
      </c>
      <c r="I63" s="114">
        <f t="shared" si="2"/>
        <v>290879574.89086801</v>
      </c>
      <c r="J63" s="114">
        <f t="shared" si="3"/>
        <v>286513427.54513299</v>
      </c>
      <c r="K63" s="114">
        <f t="shared" si="4"/>
        <v>1125352395.2105622</v>
      </c>
      <c r="L63" s="187">
        <f t="shared" si="5"/>
        <v>1.149522253217544</v>
      </c>
      <c r="M63" s="184">
        <f t="shared" si="6"/>
        <v>-195327097.7814461</v>
      </c>
      <c r="N63" s="184">
        <f t="shared" ca="1" si="7"/>
        <v>0</v>
      </c>
      <c r="O63" s="180">
        <f t="shared" si="8"/>
        <v>-146378397.91675568</v>
      </c>
      <c r="P63" s="180">
        <f t="shared" ca="1" si="9"/>
        <v>0</v>
      </c>
      <c r="Q63" s="185">
        <f t="shared" si="10"/>
        <v>-146378397.91675568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TARGETS!AB18</f>
        <v>127614263.01752643</v>
      </c>
      <c r="E64" s="119">
        <f>TARGETS!AC18</f>
        <v>204732197.46487355</v>
      </c>
      <c r="F64" s="119">
        <f>TARGETS!AD18</f>
        <v>204567860.95199081</v>
      </c>
      <c r="G64" s="119">
        <f t="shared" si="0"/>
        <v>536914321.43439078</v>
      </c>
      <c r="H64" s="114">
        <f t="shared" si="1"/>
        <v>124884923.01588099</v>
      </c>
      <c r="I64" s="114">
        <f t="shared" si="2"/>
        <v>172555978.428067</v>
      </c>
      <c r="J64" s="114">
        <f t="shared" si="3"/>
        <v>175918032.83874199</v>
      </c>
      <c r="K64" s="114">
        <f t="shared" si="4"/>
        <v>473358934.28268993</v>
      </c>
      <c r="L64" s="187">
        <f t="shared" si="5"/>
        <v>0.88162843750952713</v>
      </c>
      <c r="M64" s="184">
        <f t="shared" si="6"/>
        <v>36709671.079981267</v>
      </c>
      <c r="N64" s="184">
        <f t="shared" ca="1" si="7"/>
        <v>0</v>
      </c>
      <c r="O64" s="180">
        <f t="shared" si="8"/>
        <v>63555387.151700854</v>
      </c>
      <c r="P64" s="180">
        <f t="shared" ca="1" si="9"/>
        <v>0</v>
      </c>
      <c r="Q64" s="185">
        <f t="shared" si="10"/>
        <v>63555387.151700854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4511786033.6993961</v>
      </c>
      <c r="E65" s="134">
        <f t="shared" si="12"/>
        <v>1401365310.515415</v>
      </c>
      <c r="F65" s="134">
        <f t="shared" si="12"/>
        <v>2944814196.3286853</v>
      </c>
      <c r="G65" s="134">
        <f t="shared" si="12"/>
        <v>8857965540.5434952</v>
      </c>
      <c r="H65" s="135">
        <f t="shared" si="12"/>
        <v>3960822251.5807762</v>
      </c>
      <c r="I65" s="135">
        <f t="shared" si="12"/>
        <v>1100833973.6632581</v>
      </c>
      <c r="J65" s="135">
        <f t="shared" si="12"/>
        <v>2683504280.2418637</v>
      </c>
      <c r="K65" s="135">
        <f t="shared" si="12"/>
        <v>7745160505.4858971</v>
      </c>
      <c r="L65" s="189">
        <f t="shared" si="5"/>
        <v>0.87437239059418148</v>
      </c>
      <c r="M65" s="181">
        <f>SUM(M51:M64)</f>
        <v>669906758.03042293</v>
      </c>
      <c r="N65" s="181">
        <f t="shared" ca="1" si="7"/>
        <v>0</v>
      </c>
      <c r="O65" s="181">
        <f>SUM(O51:O64)</f>
        <v>1112805035.0575981</v>
      </c>
      <c r="P65" s="181">
        <f t="shared" ca="1" si="9"/>
        <v>0</v>
      </c>
      <c r="Q65" s="186">
        <f>SUM(Q51:Q64)</f>
        <v>1112805035.0575981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9" t="s">
        <v>144</v>
      </c>
      <c r="C67" s="290"/>
      <c r="D67" s="290"/>
      <c r="E67" s="290"/>
      <c r="F67" s="299"/>
      <c r="G67" s="275" t="s">
        <v>185</v>
      </c>
      <c r="H67" s="276"/>
      <c r="I67" s="276"/>
      <c r="J67" s="276"/>
      <c r="K67" s="276"/>
      <c r="L67" s="277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95%</v>
      </c>
      <c r="H68" s="232" t="str">
        <f>"PER HARI"&amp;CHAR(10)&amp;TEXT($H$40,"0%")</f>
        <v>PER HARI
95%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TARGETS!L22</f>
        <v>256257503.30496463</v>
      </c>
      <c r="E69" s="114">
        <f>IFERROR($C$31,0)</f>
        <v>280535172.19189399</v>
      </c>
      <c r="F69" s="187">
        <f t="shared" ref="F69:F74" si="13">IFERROR(E69/D69,0)</f>
        <v>1.0947393484047068</v>
      </c>
      <c r="G69" s="184">
        <f>D69*$H$40-E69</f>
        <v>-37090544.052177608</v>
      </c>
      <c r="H69" s="184">
        <f t="shared" ref="H69:H74" ca="1" si="14">IFERROR(G69/$C$3,0)</f>
        <v>0</v>
      </c>
      <c r="I69" s="204">
        <f>D69*$J$40-E69</f>
        <v>-24277668.886929363</v>
      </c>
      <c r="J69" s="204">
        <f t="shared" ref="J69:J74" ca="1" si="15">IFERROR(I69/$C$3,0)</f>
        <v>0</v>
      </c>
      <c r="K69" s="185">
        <f>D69*$L$40-E69</f>
        <v>-24277668.886929363</v>
      </c>
      <c r="L69" s="185">
        <f t="shared" ref="L69:L74" ca="1" si="16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TARGETS!L23</f>
        <v>399558412.3049646</v>
      </c>
      <c r="E70" s="114">
        <f>IFERROR($C$32,0)</f>
        <v>473492851.69265503</v>
      </c>
      <c r="F70" s="187">
        <f t="shared" si="13"/>
        <v>1.1850403773535361</v>
      </c>
      <c r="G70" s="184">
        <f>D70*$H$40-E70</f>
        <v>-93912360.002938688</v>
      </c>
      <c r="H70" s="184">
        <f t="shared" ca="1" si="14"/>
        <v>0</v>
      </c>
      <c r="I70" s="204">
        <f>D70*$J$40-E70</f>
        <v>-73934439.387690425</v>
      </c>
      <c r="J70" s="204">
        <f t="shared" ca="1" si="15"/>
        <v>0</v>
      </c>
      <c r="K70" s="185">
        <f>D70*$L$40-E70</f>
        <v>-73934439.387690425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TARGETS!L24</f>
        <v>1084609616.3049645</v>
      </c>
      <c r="E71" s="114">
        <f>M21</f>
        <v>1048400865.610592</v>
      </c>
      <c r="F71" s="187">
        <f t="shared" si="13"/>
        <v>0.96661586791224652</v>
      </c>
      <c r="G71" s="184">
        <f>D71*$H$40-E71</f>
        <v>-18021730.120875716</v>
      </c>
      <c r="H71" s="184">
        <f t="shared" ca="1" si="14"/>
        <v>0</v>
      </c>
      <c r="I71" s="204">
        <f>D71*$J$40-E71</f>
        <v>36208750.694372535</v>
      </c>
      <c r="J71" s="204">
        <f t="shared" ca="1" si="15"/>
        <v>0</v>
      </c>
      <c r="K71" s="185">
        <f>D71*$L$40-E71</f>
        <v>36208750.694372535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TARGETS!L25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TARGETS!L26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1740425531.9148936</v>
      </c>
      <c r="E74" s="115">
        <f>SUM(E69:E73)</f>
        <v>1802428889.495141</v>
      </c>
      <c r="F74" s="177">
        <f t="shared" si="13"/>
        <v>1.0356254010546653</v>
      </c>
      <c r="G74" s="181">
        <f>SUM(G69:G73)</f>
        <v>-149024634.17599201</v>
      </c>
      <c r="H74" s="181">
        <f t="shared" ca="1" si="14"/>
        <v>0</v>
      </c>
      <c r="I74" s="186">
        <f>SUM(I69:I73)</f>
        <v>-62003357.580247253</v>
      </c>
      <c r="J74" s="186">
        <f t="shared" ca="1" si="15"/>
        <v>0</v>
      </c>
      <c r="K74" s="186">
        <f>SUM(K69:K73)</f>
        <v>-62003357.580247253</v>
      </c>
      <c r="L74" s="186">
        <f t="shared" ca="1" si="16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5" t="s">
        <v>170</v>
      </c>
      <c r="C77" s="256"/>
      <c r="D77" s="257"/>
    </row>
    <row r="78" spans="2:21" ht="17.100000000000001" customHeight="1" x14ac:dyDescent="0.25">
      <c r="B78" s="274" t="s">
        <v>41</v>
      </c>
      <c r="C78" s="274" t="s">
        <v>42</v>
      </c>
      <c r="D78" s="231" t="s">
        <v>138</v>
      </c>
    </row>
    <row r="79" spans="2:21" ht="17.100000000000001" customHeight="1" x14ac:dyDescent="0.25">
      <c r="B79" s="264"/>
      <c r="C79" s="264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 t="shared" ref="D80:D93" si="17">SUMIF($B$10:$B$26,$T80,$F$10:$F$26)+SUMIF($B$10:$B$26,$U80,$F$10:$F$26)</f>
        <v>440958537.05983001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si="17"/>
        <v>165743664.72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7"/>
        <v>9945945.6799999997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7"/>
        <v>435182498.96969998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7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7"/>
        <v>65793423.229999997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7"/>
        <v>1085995754.9499691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7"/>
        <v>347098526.07937998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7"/>
        <v>13579549.18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7"/>
        <v>50324325.43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7"/>
        <v>637076364.45931995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7"/>
        <v>167020820.35991901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7"/>
        <v>21926703.130399998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7"/>
        <v>160288111.498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3600934224.7465181</v>
      </c>
    </row>
    <row r="95" spans="2:21" ht="15" customHeight="1" x14ac:dyDescent="0.25"/>
  </sheetData>
  <mergeCells count="20"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  <mergeCell ref="B48:L48"/>
    <mergeCell ref="G67:L67"/>
  </mergeCells>
  <conditionalFormatting sqref="L51:L64">
    <cfRule type="expression" dxfId="11" priority="1">
      <formula>L51&gt;=$F$41-0.05</formula>
    </cfRule>
    <cfRule type="expression" dxfId="10" priority="2">
      <formula>AND(L51&gt;=$F$41-0.2,L51&lt;$F$41-0.05)</formula>
    </cfRule>
    <cfRule type="expression" dxfId="9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45" right="0.45" top="0.5" bottom="0.5" header="0.3" footer="0.3"/>
  <pageSetup paperSize="9" scale="40" fitToHeight="10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5"/>
  <sheetViews>
    <sheetView showGridLines="0" tabSelected="1" topLeftCell="A64" zoomScale="73" zoomScaleNormal="73" workbookViewId="0">
      <selection activeCell="F82" sqref="F82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8" bestFit="1" customWidth="1"/>
    <col min="4" max="5" width="16.42578125" customWidth="1"/>
    <col min="6" max="6" width="18" bestFit="1" customWidth="1"/>
    <col min="7" max="7" width="18.42578125" customWidth="1"/>
    <col min="8" max="18" width="16.42578125" customWidth="1"/>
  </cols>
  <sheetData>
    <row r="1" spans="2:15" ht="18.95" customHeight="1" x14ac:dyDescent="0.25">
      <c r="B1" s="83" t="s">
        <v>162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14</v>
      </c>
      <c r="D3" s="76" t="s">
        <v>104</v>
      </c>
      <c r="E3" s="77">
        <f ca="1">DAY(EOMONTH(DATE(YEAR(TODAY()),10,1),0))</f>
        <v>31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235">
        <v>117046740.40318801</v>
      </c>
      <c r="D10" s="235">
        <v>28853402.252997</v>
      </c>
      <c r="E10" s="235">
        <v>108063564.576048</v>
      </c>
      <c r="F10" s="235">
        <v>93609969.109950006</v>
      </c>
      <c r="G10" s="235">
        <v>347573676.34218299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181</v>
      </c>
      <c r="C11" s="235">
        <v>2020270.259994</v>
      </c>
      <c r="D11" s="235">
        <v>11321748</v>
      </c>
      <c r="E11" s="235">
        <v>211283787.97999999</v>
      </c>
      <c r="F11" s="235" t="s">
        <v>164</v>
      </c>
      <c r="G11" s="235">
        <v>224625806.23999399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70</v>
      </c>
      <c r="C12" s="235">
        <v>96711014.051764995</v>
      </c>
      <c r="D12" s="235">
        <v>32771062.608451001</v>
      </c>
      <c r="E12" s="235">
        <v>109050209.029688</v>
      </c>
      <c r="F12" s="235">
        <v>72870138.879999995</v>
      </c>
      <c r="G12" s="235">
        <v>311402424.56990403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114</v>
      </c>
      <c r="C13" s="235">
        <v>14776347.166142</v>
      </c>
      <c r="D13" s="235">
        <v>30611208.919801999</v>
      </c>
      <c r="E13" s="235">
        <v>148978714.10948801</v>
      </c>
      <c r="F13" s="235">
        <v>42770271.799999997</v>
      </c>
      <c r="G13" s="235">
        <v>237136541.99543199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115</v>
      </c>
      <c r="C14" s="235">
        <v>240243097.04486001</v>
      </c>
      <c r="D14" s="235">
        <v>21886807.423951</v>
      </c>
      <c r="E14" s="235">
        <v>92148852.360563993</v>
      </c>
      <c r="F14" s="235">
        <v>192882292.48984</v>
      </c>
      <c r="G14" s="235">
        <v>547161049.31921506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72" t="s">
        <v>118</v>
      </c>
      <c r="C15" s="235">
        <v>281045081.88687801</v>
      </c>
      <c r="D15" s="235">
        <v>3384531.5399989998</v>
      </c>
      <c r="E15" s="235">
        <v>7333011.4199369997</v>
      </c>
      <c r="F15" s="235">
        <v>8868108.2860000003</v>
      </c>
      <c r="G15" s="235">
        <v>300630733.13281399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120</v>
      </c>
      <c r="C16" s="235">
        <v>320114920.10827601</v>
      </c>
      <c r="D16" s="235">
        <v>47455997.059772998</v>
      </c>
      <c r="E16" s="235">
        <v>210655316.869607</v>
      </c>
      <c r="F16" s="235">
        <v>816877564.10985398</v>
      </c>
      <c r="G16" s="235">
        <v>1395103798.1475101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122</v>
      </c>
      <c r="C17" s="235">
        <v>56873356.850353003</v>
      </c>
      <c r="D17" s="235">
        <v>17330721.166446</v>
      </c>
      <c r="E17" s="235">
        <v>42246897.489179999</v>
      </c>
      <c r="F17" s="235">
        <v>29467568.309999999</v>
      </c>
      <c r="G17" s="235">
        <v>145918543.815979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35">
        <v>13183880</v>
      </c>
      <c r="D18" s="235">
        <v>68341324.359715998</v>
      </c>
      <c r="E18" s="235">
        <v>26786614.5</v>
      </c>
      <c r="F18" s="235">
        <v>84291893.659999996</v>
      </c>
      <c r="G18" s="235">
        <v>192603712.51971599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168</v>
      </c>
      <c r="C19" s="235">
        <v>17250536.079999998</v>
      </c>
      <c r="D19" s="235" t="s">
        <v>164</v>
      </c>
      <c r="E19" s="235" t="s">
        <v>164</v>
      </c>
      <c r="F19" s="235">
        <v>12245044.800000001</v>
      </c>
      <c r="G19" s="235">
        <v>29495580.879999999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235">
        <v>93111858.079999998</v>
      </c>
      <c r="D20" s="235" t="s">
        <v>164</v>
      </c>
      <c r="E20" s="235" t="s">
        <v>164</v>
      </c>
      <c r="F20" s="235">
        <v>6144143.9800000004</v>
      </c>
      <c r="G20" s="235">
        <v>99256002.060000002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124</v>
      </c>
      <c r="C21" s="235">
        <v>175837610.339607</v>
      </c>
      <c r="D21" s="235">
        <v>25766837.948453002</v>
      </c>
      <c r="E21" s="235">
        <v>87540735.619848996</v>
      </c>
      <c r="F21" s="235">
        <v>294977012.87987</v>
      </c>
      <c r="G21" s="235">
        <v>584122196.78777897</v>
      </c>
      <c r="H21" s="111"/>
      <c r="I21" s="111"/>
      <c r="J21" s="111"/>
      <c r="M21" s="14">
        <f>SUM(C33,C34)+M20</f>
        <v>458026634.67293298</v>
      </c>
      <c r="N21" s="10" t="s">
        <v>223</v>
      </c>
    </row>
    <row r="22" spans="2:15" ht="15" customHeight="1" x14ac:dyDescent="0.25">
      <c r="B22" s="72" t="s">
        <v>224</v>
      </c>
      <c r="C22" s="235">
        <v>118842989.50662</v>
      </c>
      <c r="D22" s="235">
        <v>39425047.344106004</v>
      </c>
      <c r="E22" s="235">
        <v>73150694.479926005</v>
      </c>
      <c r="F22" s="235">
        <v>79579369.599987999</v>
      </c>
      <c r="G22" s="235">
        <v>310998100.93063998</v>
      </c>
      <c r="H22" s="111"/>
      <c r="I22" s="111"/>
      <c r="J22" s="111"/>
    </row>
    <row r="23" spans="2:15" ht="15" customHeight="1" x14ac:dyDescent="0.25">
      <c r="B23" s="72" t="s">
        <v>125</v>
      </c>
      <c r="C23" s="235">
        <v>176300910.18004</v>
      </c>
      <c r="D23" s="235">
        <v>39678388.409927003</v>
      </c>
      <c r="E23" s="235">
        <v>96838462.415483996</v>
      </c>
      <c r="F23" s="235">
        <v>172755134.34970999</v>
      </c>
      <c r="G23" s="235">
        <v>485572895.35516101</v>
      </c>
      <c r="H23" s="111"/>
      <c r="I23" s="111"/>
      <c r="J23" s="111"/>
    </row>
    <row r="24" spans="2:15" ht="15" customHeight="1" x14ac:dyDescent="0.25">
      <c r="B24" s="72" t="s">
        <v>126</v>
      </c>
      <c r="C24" s="235">
        <v>251863042.205567</v>
      </c>
      <c r="D24" s="235">
        <v>36401914.459980004</v>
      </c>
      <c r="E24" s="235">
        <v>105291712.499964</v>
      </c>
      <c r="F24" s="235">
        <v>417959277.73934501</v>
      </c>
      <c r="G24" s="235">
        <v>811515946.90485597</v>
      </c>
      <c r="H24" s="111"/>
      <c r="I24" s="111"/>
      <c r="J24" s="111"/>
    </row>
    <row r="25" spans="2:15" ht="15" customHeight="1" x14ac:dyDescent="0.25">
      <c r="B25" s="72" t="s">
        <v>219</v>
      </c>
      <c r="C25" s="235">
        <v>167554928.172721</v>
      </c>
      <c r="D25" s="235">
        <v>50979819.944176003</v>
      </c>
      <c r="E25" s="235">
        <v>66211564.611613996</v>
      </c>
      <c r="F25" s="235">
        <v>7732432.6699999999</v>
      </c>
      <c r="G25" s="235">
        <v>292478745.39851099</v>
      </c>
      <c r="H25" s="111"/>
      <c r="I25" s="111"/>
      <c r="J25" s="111"/>
    </row>
    <row r="26" spans="2:15" ht="15" customHeight="1" x14ac:dyDescent="0.25">
      <c r="B26" s="72" t="s">
        <v>127</v>
      </c>
      <c r="C26" s="235">
        <v>312461669.11095101</v>
      </c>
      <c r="D26" s="235">
        <v>102582674.691796</v>
      </c>
      <c r="E26" s="235">
        <v>150900984.86772299</v>
      </c>
      <c r="F26" s="235">
        <v>13020108.380999999</v>
      </c>
      <c r="G26" s="235">
        <v>578965437.05147004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237"/>
      <c r="G30" s="111"/>
      <c r="H30" s="111"/>
      <c r="I30" s="111"/>
    </row>
    <row r="31" spans="2:15" ht="15" customHeight="1" x14ac:dyDescent="0.25">
      <c r="B31" s="81" t="s">
        <v>131</v>
      </c>
      <c r="C31" s="239">
        <v>127058978.879344</v>
      </c>
      <c r="G31" s="111"/>
      <c r="H31" s="111"/>
      <c r="I31" s="111"/>
    </row>
    <row r="32" spans="2:15" ht="15" customHeight="1" x14ac:dyDescent="0.25">
      <c r="B32" s="81" t="s">
        <v>132</v>
      </c>
      <c r="C32" s="239">
        <v>87616146.607191995</v>
      </c>
      <c r="G32" s="111"/>
      <c r="H32" s="111"/>
      <c r="I32" s="111"/>
    </row>
    <row r="33" spans="2:19" ht="15" customHeight="1" x14ac:dyDescent="0.25">
      <c r="B33" s="81" t="s">
        <v>133</v>
      </c>
      <c r="C33" s="240">
        <v>93687010.471846998</v>
      </c>
      <c r="G33" s="111"/>
      <c r="H33" s="111"/>
      <c r="I33" s="111"/>
    </row>
    <row r="34" spans="2:19" ht="15" customHeight="1" x14ac:dyDescent="0.25">
      <c r="B34" s="81" t="s">
        <v>134</v>
      </c>
      <c r="C34" s="240">
        <v>364339624.20108598</v>
      </c>
      <c r="G34" s="111"/>
      <c r="H34" s="111"/>
      <c r="I34" s="111"/>
    </row>
    <row r="35" spans="2:19" ht="15" customHeight="1" x14ac:dyDescent="0.25">
      <c r="B35" s="81" t="s">
        <v>135</v>
      </c>
      <c r="C35" s="238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65" t="s">
        <v>227</v>
      </c>
      <c r="C40" s="266"/>
      <c r="D40" s="267"/>
      <c r="E40" s="66" t="s">
        <v>137</v>
      </c>
      <c r="F40" s="174">
        <f ca="1">IF(MONTH(TODAY())=10,DAY(TODAY())/DAY(EOMONTH(TODAY(),0)),IF(MONTH(TODAY())&gt;10,1,0))</f>
        <v>0.5161290322580645</v>
      </c>
      <c r="G40" s="192" t="s">
        <v>186</v>
      </c>
      <c r="H40" s="198">
        <v>1</v>
      </c>
      <c r="I40" s="201" t="s">
        <v>186</v>
      </c>
      <c r="J40" s="199">
        <v>1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100%</v>
      </c>
      <c r="H41" s="182" t="str">
        <f>"PER HARI"&amp;CHAR(10)&amp;TEXT($H$40,"0%")</f>
        <v>PER HARI
100%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SUM(TARGETS!AE5:AE18)</f>
        <v>4464586688.6595287</v>
      </c>
      <c r="E42" s="46">
        <f>H65</f>
        <v>2174193169.5600839</v>
      </c>
      <c r="F42" s="176">
        <f>IFERROR(E42/D42,0)</f>
        <v>0.48698643820328086</v>
      </c>
      <c r="G42" s="184">
        <f>D42*$H$40-E42</f>
        <v>2290393519.0994449</v>
      </c>
      <c r="H42" s="184">
        <f ca="1">IFERROR(G42/$C$3,0)</f>
        <v>163599537.07853177</v>
      </c>
      <c r="I42" s="204">
        <f>D42*$J$40-E42</f>
        <v>2290393519.0994449</v>
      </c>
      <c r="J42" s="204">
        <f ca="1">IFERROR(I42/$C$3,0)</f>
        <v>163599537.07853177</v>
      </c>
      <c r="K42" s="185">
        <f>D42*$L$40-E42</f>
        <v>2290393519.0994449</v>
      </c>
      <c r="L42" s="185">
        <f ca="1">IFERROR(K42/$C$3,0)</f>
        <v>163599537.07853177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SUM(TARGETS!AF5:AF18)</f>
        <v>1279908063.1092303</v>
      </c>
      <c r="E43" s="46">
        <f>I65</f>
        <v>553406954.58957398</v>
      </c>
      <c r="F43" s="176">
        <f>IFERROR(E43/D43,0)</f>
        <v>0.43238023928469071</v>
      </c>
      <c r="G43" s="184">
        <f>D43*$H$40-E43</f>
        <v>726501108.5196563</v>
      </c>
      <c r="H43" s="184">
        <f ca="1">IFERROR(G43/$C$3,0)</f>
        <v>51892936.322832592</v>
      </c>
      <c r="I43" s="204">
        <f>D43*$J$40-E43</f>
        <v>726501108.5196563</v>
      </c>
      <c r="J43" s="204">
        <f ca="1">IFERROR(I43/$C$3,0)</f>
        <v>51892936.322832592</v>
      </c>
      <c r="K43" s="185">
        <f>D43*$L$40-E43</f>
        <v>726501108.5196563</v>
      </c>
      <c r="L43" s="185">
        <f ca="1">IFERROR(K43/$C$3,0)</f>
        <v>51892936.322832592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SUM(TARGETS!AG5:AG18)</f>
        <v>2914007482.4702153</v>
      </c>
      <c r="E44" s="46">
        <f>J65</f>
        <v>1529148111.4091349</v>
      </c>
      <c r="F44" s="176">
        <f>IFERROR(E44/D44,0)</f>
        <v>0.52475778480598478</v>
      </c>
      <c r="G44" s="184">
        <f>IF(D44=0,0,D44*$H$40-E44)</f>
        <v>1384859371.0610805</v>
      </c>
      <c r="H44" s="184">
        <f ca="1">IFERROR(G44/$C$3,0)</f>
        <v>98918526.504362896</v>
      </c>
      <c r="I44" s="204">
        <f>IF(D44=0,0,D44*$J$40-E44)</f>
        <v>1384859371.0610805</v>
      </c>
      <c r="J44" s="204">
        <f ca="1">IFERROR(I44/$C$3,0)</f>
        <v>98918526.504362896</v>
      </c>
      <c r="K44" s="185">
        <f>IF(D44=0,0,D44*$L$40-E44)</f>
        <v>1384859371.0610805</v>
      </c>
      <c r="L44" s="185">
        <f ca="1">IFERROR(K44/$C$3,0)</f>
        <v>98918526.504362896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SUM(TARGETS!M22:M26)</f>
        <v>1779787234.0425532</v>
      </c>
      <c r="E45" s="46">
        <f>E74</f>
        <v>672701760.15946901</v>
      </c>
      <c r="F45" s="176">
        <f>IFERROR(E45/D45,0)</f>
        <v>0.37796751616850022</v>
      </c>
      <c r="G45" s="184">
        <f>D45*$H$40-E45</f>
        <v>1107085473.8830843</v>
      </c>
      <c r="H45" s="184">
        <f ca="1">IFERROR(G45/$C$3,0)</f>
        <v>79077533.848791733</v>
      </c>
      <c r="I45" s="204">
        <f>D45*$J$40-E45</f>
        <v>1107085473.8830843</v>
      </c>
      <c r="J45" s="204">
        <f ca="1">IFERROR(I45/$C$3,0)</f>
        <v>79077533.848791733</v>
      </c>
      <c r="K45" s="185">
        <f>D45*$L$40-E45</f>
        <v>1107085473.8830843</v>
      </c>
      <c r="L45" s="185">
        <f ca="1">IFERROR(K45/$C$3,0)</f>
        <v>79077533.848791733</v>
      </c>
      <c r="S45" s="173">
        <v>0.95</v>
      </c>
    </row>
    <row r="46" spans="2:19" ht="15" customHeight="1" x14ac:dyDescent="0.25">
      <c r="B46" s="262" t="s">
        <v>145</v>
      </c>
      <c r="C46" s="263"/>
      <c r="D46" s="47">
        <f>SUM(D42:D45)</f>
        <v>10438289468.281527</v>
      </c>
      <c r="E46" s="47">
        <f>SUM(E42:E45)</f>
        <v>4929449995.7182617</v>
      </c>
      <c r="F46" s="177">
        <f>IFERROR(E46/D46,0)</f>
        <v>0.47224691465945767</v>
      </c>
      <c r="G46" s="181">
        <f>SUM(G42:G45)</f>
        <v>5508839472.5632658</v>
      </c>
      <c r="H46" s="181">
        <f ca="1">IFERROR(G46/$C$3,0)</f>
        <v>393488533.75451899</v>
      </c>
      <c r="I46" s="186">
        <f>SUM(I42:I45)</f>
        <v>5508839472.5632658</v>
      </c>
      <c r="J46" s="186">
        <f ca="1">IFERROR(I46/$C$3,0)</f>
        <v>393488533.75451899</v>
      </c>
      <c r="K46" s="186">
        <f>SUM(K42:K45)</f>
        <v>5508839472.5632658</v>
      </c>
      <c r="L46" s="186">
        <f ca="1">IFERROR(K46/$C$3,0)</f>
        <v>393488533.75451899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8" t="s">
        <v>212</v>
      </c>
      <c r="C48" s="269"/>
      <c r="D48" s="269"/>
      <c r="E48" s="269"/>
      <c r="F48" s="269"/>
      <c r="G48" s="269"/>
      <c r="H48" s="269"/>
      <c r="I48" s="269"/>
      <c r="J48" s="269"/>
      <c r="K48" s="269"/>
      <c r="L48" s="292"/>
      <c r="M48" s="275" t="s">
        <v>185</v>
      </c>
      <c r="N48" s="276"/>
      <c r="O48" s="276"/>
      <c r="P48" s="276"/>
      <c r="Q48" s="276"/>
      <c r="R48" s="277"/>
    </row>
    <row r="49" spans="2:21" ht="17.100000000000001" customHeight="1" x14ac:dyDescent="0.25">
      <c r="B49" s="293" t="s">
        <v>41</v>
      </c>
      <c r="C49" s="293" t="s">
        <v>42</v>
      </c>
      <c r="D49" s="259" t="s">
        <v>137</v>
      </c>
      <c r="E49" s="260"/>
      <c r="F49" s="260"/>
      <c r="G49" s="261"/>
      <c r="H49" s="294" t="s">
        <v>138</v>
      </c>
      <c r="I49" s="295"/>
      <c r="J49" s="295"/>
      <c r="K49" s="296"/>
      <c r="L49" s="297" t="s">
        <v>139</v>
      </c>
      <c r="M49" s="278" t="str">
        <f>"SELISIH"&amp;CHAR(10)&amp;TEXT($H$40,"0%")</f>
        <v>SELISIH
100%</v>
      </c>
      <c r="N49" s="278" t="str">
        <f>"PER HARI"&amp;CHAR(10)&amp;TEXT($H$40,"0%")</f>
        <v>PER HARI
100%</v>
      </c>
      <c r="O49" s="280" t="str">
        <f>"SELISIH"&amp;CHAR(10)&amp;TEXT($J$40,"0%")</f>
        <v>SELISIH
100%</v>
      </c>
      <c r="P49" s="280" t="str">
        <f>"PER HARI"&amp;CHAR(10)&amp;TEXT($J$40,"0%")</f>
        <v>PER HARI
100%</v>
      </c>
      <c r="Q49" s="282" t="str">
        <f>"SELISIH"&amp;CHAR(10)&amp;TEXT($L$40,"0%")</f>
        <v>SELISIH
100%</v>
      </c>
      <c r="R49" s="282" t="str">
        <f>"PER HARI"&amp;CHAR(10)&amp;TEXT($L$40,"0%")</f>
        <v>PER HARI
100%</v>
      </c>
    </row>
    <row r="50" spans="2:21" ht="17.100000000000001" customHeight="1" x14ac:dyDescent="0.25">
      <c r="B50" s="274"/>
      <c r="C50" s="274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8"/>
      <c r="M50" s="279"/>
      <c r="N50" s="279"/>
      <c r="O50" s="281"/>
      <c r="P50" s="281"/>
      <c r="Q50" s="283"/>
      <c r="R50" s="283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TARGETS!AE5</f>
        <v>264756949.64136907</v>
      </c>
      <c r="E51" s="118">
        <f>TARGETS!AF5</f>
        <v>58508748.413354225</v>
      </c>
      <c r="F51" s="118">
        <f>TARGETS!AG5</f>
        <v>172968793.98622558</v>
      </c>
      <c r="G51" s="118">
        <f t="shared" ref="G51:G64" si="0">SUM(D51:F51)</f>
        <v>496234492.04094887</v>
      </c>
      <c r="H51" s="114">
        <f>SUMIF($B$10:$B$26,$T51,C$10:C$26)+SUMIF($B$10:$B$26,$U51,C$10:C$26)</f>
        <v>175837610.339607</v>
      </c>
      <c r="I51" s="114">
        <f t="shared" ref="I51:I64" si="1">SUMIF($B$10:$B$26,$T51,D$10:D$26)+SUMIF($B$10:$B$26,$U51,D$10:D$26)</f>
        <v>25766837.948453002</v>
      </c>
      <c r="J51" s="114">
        <f t="shared" ref="J51:J64" si="2">SUMIF($B$10:$B$26,$T51,E$10:E$26)+SUMIF($B$10:$B$26,$U51,E$10:E$26)</f>
        <v>87540735.619848996</v>
      </c>
      <c r="K51" s="114">
        <f t="shared" ref="K51:K64" si="3">SUM(H51:J51)</f>
        <v>289145183.90790904</v>
      </c>
      <c r="L51" s="187">
        <f t="shared" ref="L51:L65" si="4">IFERROR(K51/G51,0)</f>
        <v>0.58267852909355811</v>
      </c>
      <c r="M51" s="184">
        <f t="shared" ref="M51:M64" si="5">G51*$H$40-K51</f>
        <v>207089308.13303983</v>
      </c>
      <c r="N51" s="184">
        <f t="shared" ref="N51:N65" ca="1" si="6">IFERROR(M51/$C$3,0)</f>
        <v>14792093.438074274</v>
      </c>
      <c r="O51" s="180">
        <f t="shared" ref="O51:O64" si="7">G51*$J$40-K51</f>
        <v>207089308.13303983</v>
      </c>
      <c r="P51" s="180">
        <f t="shared" ref="P51:P65" ca="1" si="8">IFERROR(O51/$C$3,0)</f>
        <v>14792093.438074274</v>
      </c>
      <c r="Q51" s="185">
        <f t="shared" ref="Q51:Q64" si="9">G51*$L$40-K51</f>
        <v>207089308.13303983</v>
      </c>
      <c r="R51" s="185">
        <f t="shared" ref="R51:R65" ca="1" si="10">IFERROR(Q51/$C$3,0)</f>
        <v>14792093.438074274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TARGETS!AE6</f>
        <v>180052976.96171179</v>
      </c>
      <c r="E52" s="119">
        <f>TARGETS!AF6</f>
        <v>163445127.22039506</v>
      </c>
      <c r="F52" s="119">
        <f>TARGETS!AG6</f>
        <v>423892749.39216906</v>
      </c>
      <c r="G52" s="119">
        <f t="shared" si="0"/>
        <v>767390853.57427597</v>
      </c>
      <c r="H52" s="114">
        <f t="shared" ref="H52:H64" si="11">SUMIF($B$10:$B$26,$T52,C$10:C$26)+SUMIF($B$10:$B$26,$U52,C$10:C$26)</f>
        <v>111487361.217907</v>
      </c>
      <c r="I52" s="114">
        <f t="shared" si="1"/>
        <v>63382271.528253004</v>
      </c>
      <c r="J52" s="114">
        <f t="shared" si="2"/>
        <v>258028923.13917601</v>
      </c>
      <c r="K52" s="114">
        <f t="shared" si="3"/>
        <v>432898555.88533604</v>
      </c>
      <c r="L52" s="187">
        <f t="shared" si="4"/>
        <v>0.56411742968921852</v>
      </c>
      <c r="M52" s="184">
        <f t="shared" si="5"/>
        <v>334492297.68893993</v>
      </c>
      <c r="N52" s="184">
        <f t="shared" ca="1" si="6"/>
        <v>23892306.977781422</v>
      </c>
      <c r="O52" s="180">
        <f t="shared" si="7"/>
        <v>334492297.68893993</v>
      </c>
      <c r="P52" s="180">
        <f t="shared" ca="1" si="8"/>
        <v>23892306.977781422</v>
      </c>
      <c r="Q52" s="185">
        <f t="shared" si="9"/>
        <v>334492297.68893993</v>
      </c>
      <c r="R52" s="185">
        <f t="shared" ca="1" si="10"/>
        <v>23892306.977781422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TARGETS!AE7</f>
        <v>262953105.06301075</v>
      </c>
      <c r="E53" s="138">
        <f>TARGETS!AF7</f>
        <v>0</v>
      </c>
      <c r="F53" s="138">
        <f>TARGETS!AG7</f>
        <v>0</v>
      </c>
      <c r="G53" s="138">
        <f t="shared" si="0"/>
        <v>262953105.06301075</v>
      </c>
      <c r="H53" s="114">
        <f t="shared" si="11"/>
        <v>17250536.079999998</v>
      </c>
      <c r="I53" s="114">
        <f t="shared" si="1"/>
        <v>0</v>
      </c>
      <c r="J53" s="114">
        <f t="shared" si="2"/>
        <v>0</v>
      </c>
      <c r="K53" s="114">
        <f t="shared" si="3"/>
        <v>17250536.079999998</v>
      </c>
      <c r="L53" s="187">
        <f t="shared" si="4"/>
        <v>6.5603089478126903E-2</v>
      </c>
      <c r="M53" s="184">
        <f t="shared" si="5"/>
        <v>245702568.98301077</v>
      </c>
      <c r="N53" s="184">
        <f t="shared" ca="1" si="6"/>
        <v>17550183.498786483</v>
      </c>
      <c r="O53" s="180">
        <f t="shared" si="7"/>
        <v>245702568.98301077</v>
      </c>
      <c r="P53" s="180">
        <f t="shared" ca="1" si="8"/>
        <v>17550183.498786483</v>
      </c>
      <c r="Q53" s="185">
        <f t="shared" si="9"/>
        <v>245702568.98301077</v>
      </c>
      <c r="R53" s="185">
        <f t="shared" ca="1" si="10"/>
        <v>17550183.498786483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TARGETS!AE8</f>
        <v>590954252.3415246</v>
      </c>
      <c r="E54" s="119">
        <f>TARGETS!AF8</f>
        <v>33662936.863966122</v>
      </c>
      <c r="F54" s="119">
        <f>TARGETS!AG8</f>
        <v>83921591.734509259</v>
      </c>
      <c r="G54" s="119">
        <f t="shared" si="0"/>
        <v>708538780.93999994</v>
      </c>
      <c r="H54" s="114">
        <f t="shared" si="11"/>
        <v>240243097.04486001</v>
      </c>
      <c r="I54" s="114">
        <f t="shared" si="1"/>
        <v>21886807.423951</v>
      </c>
      <c r="J54" s="114">
        <f t="shared" si="2"/>
        <v>92148852.360563993</v>
      </c>
      <c r="K54" s="114">
        <f t="shared" si="3"/>
        <v>354278756.82937503</v>
      </c>
      <c r="L54" s="187">
        <f t="shared" si="4"/>
        <v>0.50001321926142506</v>
      </c>
      <c r="M54" s="184">
        <f t="shared" si="5"/>
        <v>354260024.11062491</v>
      </c>
      <c r="N54" s="184">
        <f t="shared" ca="1" si="6"/>
        <v>25304287.436473209</v>
      </c>
      <c r="O54" s="180">
        <f t="shared" si="7"/>
        <v>354260024.11062491</v>
      </c>
      <c r="P54" s="180">
        <f t="shared" ca="1" si="8"/>
        <v>25304287.436473209</v>
      </c>
      <c r="Q54" s="185">
        <f t="shared" si="9"/>
        <v>354260024.11062491</v>
      </c>
      <c r="R54" s="185">
        <f t="shared" ca="1" si="10"/>
        <v>25304287.436473209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TARGETS!AE9</f>
        <v>5575801.9517222047</v>
      </c>
      <c r="E55" s="118">
        <f>TARGETS!AF9</f>
        <v>63507750.38497854</v>
      </c>
      <c r="F55" s="118">
        <f>TARGETS!AG9</f>
        <v>468117447.23398483</v>
      </c>
      <c r="G55" s="118">
        <f t="shared" si="0"/>
        <v>537200999.57068563</v>
      </c>
      <c r="H55" s="114">
        <f t="shared" si="11"/>
        <v>2020270.259994</v>
      </c>
      <c r="I55" s="114">
        <f t="shared" si="1"/>
        <v>11321748</v>
      </c>
      <c r="J55" s="114">
        <f t="shared" si="2"/>
        <v>211283787.97999999</v>
      </c>
      <c r="K55" s="114">
        <f t="shared" si="3"/>
        <v>224625806.23999399</v>
      </c>
      <c r="L55" s="187">
        <f t="shared" si="4"/>
        <v>0.4181410801906697</v>
      </c>
      <c r="M55" s="184">
        <f t="shared" si="5"/>
        <v>312575193.33069164</v>
      </c>
      <c r="N55" s="184">
        <f t="shared" ca="1" si="6"/>
        <v>22326799.523620833</v>
      </c>
      <c r="O55" s="180">
        <f t="shared" si="7"/>
        <v>312575193.33069164</v>
      </c>
      <c r="P55" s="180">
        <f t="shared" ca="1" si="8"/>
        <v>22326799.523620833</v>
      </c>
      <c r="Q55" s="185">
        <f t="shared" si="9"/>
        <v>312575193.33069164</v>
      </c>
      <c r="R55" s="185">
        <f t="shared" ca="1" si="10"/>
        <v>22326799.523620833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TARGETS!AE10</f>
        <v>267520870.86594501</v>
      </c>
      <c r="E56" s="119">
        <f>TARGETS!AF10</f>
        <v>105132391.14913487</v>
      </c>
      <c r="F56" s="119">
        <f>TARGETS!AG10</f>
        <v>184159698.63927278</v>
      </c>
      <c r="G56" s="119">
        <f t="shared" si="0"/>
        <v>556812960.65435266</v>
      </c>
      <c r="H56" s="114">
        <f t="shared" si="11"/>
        <v>118842989.50662</v>
      </c>
      <c r="I56" s="114">
        <f t="shared" si="1"/>
        <v>39425047.344106004</v>
      </c>
      <c r="J56" s="114">
        <f t="shared" si="2"/>
        <v>73150694.479926005</v>
      </c>
      <c r="K56" s="114">
        <f t="shared" si="3"/>
        <v>231418731.330652</v>
      </c>
      <c r="L56" s="187">
        <f t="shared" si="4"/>
        <v>0.4156130472586243</v>
      </c>
      <c r="M56" s="184">
        <f t="shared" si="5"/>
        <v>325394229.32370067</v>
      </c>
      <c r="N56" s="184">
        <f t="shared" ca="1" si="6"/>
        <v>23242444.951692905</v>
      </c>
      <c r="O56" s="180">
        <f t="shared" si="7"/>
        <v>325394229.32370067</v>
      </c>
      <c r="P56" s="180">
        <f t="shared" ca="1" si="8"/>
        <v>23242444.951692905</v>
      </c>
      <c r="Q56" s="185">
        <f t="shared" si="9"/>
        <v>325394229.32370067</v>
      </c>
      <c r="R56" s="185">
        <f t="shared" ca="1" si="10"/>
        <v>23242444.951692905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TARGETS!AE11</f>
        <v>664600150.5441153</v>
      </c>
      <c r="E57" s="118">
        <f>TARGETS!AF11</f>
        <v>83317068.128031164</v>
      </c>
      <c r="F57" s="118">
        <f>TARGETS!AG11</f>
        <v>343133819.00673455</v>
      </c>
      <c r="G57" s="118">
        <f t="shared" si="0"/>
        <v>1091051037.6788809</v>
      </c>
      <c r="H57" s="114">
        <f t="shared" si="11"/>
        <v>320114920.10827601</v>
      </c>
      <c r="I57" s="114">
        <f t="shared" si="1"/>
        <v>47455997.059772998</v>
      </c>
      <c r="J57" s="114">
        <f t="shared" si="2"/>
        <v>210655316.869607</v>
      </c>
      <c r="K57" s="114">
        <f t="shared" si="3"/>
        <v>578226234.03765595</v>
      </c>
      <c r="L57" s="187">
        <f t="shared" si="4"/>
        <v>0.52997175573727839</v>
      </c>
      <c r="M57" s="184">
        <f t="shared" si="5"/>
        <v>512824803.64122498</v>
      </c>
      <c r="N57" s="184">
        <f t="shared" ca="1" si="6"/>
        <v>36630343.117230356</v>
      </c>
      <c r="O57" s="180">
        <f t="shared" si="7"/>
        <v>512824803.64122498</v>
      </c>
      <c r="P57" s="180">
        <f t="shared" ca="1" si="8"/>
        <v>36630343.117230356</v>
      </c>
      <c r="Q57" s="185">
        <f t="shared" si="9"/>
        <v>512824803.64122498</v>
      </c>
      <c r="R57" s="185">
        <f t="shared" ca="1" si="10"/>
        <v>36630343.117230356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TARGETS!AE12</f>
        <v>259993077.39884707</v>
      </c>
      <c r="E58" s="119">
        <f>TARGETS!AF12</f>
        <v>86845105.094943255</v>
      </c>
      <c r="F58" s="119">
        <f>TARGETS!AG12</f>
        <v>249609659.83737293</v>
      </c>
      <c r="G58" s="119">
        <f t="shared" si="0"/>
        <v>596447842.33116329</v>
      </c>
      <c r="H58" s="114">
        <f t="shared" si="11"/>
        <v>176300910.18004</v>
      </c>
      <c r="I58" s="114">
        <f t="shared" si="1"/>
        <v>39678388.409927003</v>
      </c>
      <c r="J58" s="114">
        <f t="shared" si="2"/>
        <v>96838462.415483996</v>
      </c>
      <c r="K58" s="114">
        <f t="shared" si="3"/>
        <v>312817761.00545102</v>
      </c>
      <c r="L58" s="187">
        <f t="shared" si="4"/>
        <v>0.52446792293326217</v>
      </c>
      <c r="M58" s="184">
        <f t="shared" si="5"/>
        <v>283630081.32571226</v>
      </c>
      <c r="N58" s="184">
        <f t="shared" ca="1" si="6"/>
        <v>20259291.523265161</v>
      </c>
      <c r="O58" s="180">
        <f t="shared" si="7"/>
        <v>283630081.32571226</v>
      </c>
      <c r="P58" s="180">
        <f t="shared" ca="1" si="8"/>
        <v>20259291.523265161</v>
      </c>
      <c r="Q58" s="185">
        <f t="shared" si="9"/>
        <v>283630081.32571226</v>
      </c>
      <c r="R58" s="185">
        <f t="shared" ca="1" si="10"/>
        <v>20259291.523265161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TARGETS!AE13</f>
        <v>443846715.57642001</v>
      </c>
      <c r="E59" s="138">
        <f>TARGETS!AF13</f>
        <v>0</v>
      </c>
      <c r="F59" s="138">
        <f>TARGETS!AG13</f>
        <v>0</v>
      </c>
      <c r="G59" s="138">
        <f t="shared" si="0"/>
        <v>443846715.57642001</v>
      </c>
      <c r="H59" s="114">
        <f t="shared" si="11"/>
        <v>93111858.079999998</v>
      </c>
      <c r="I59" s="114">
        <f t="shared" si="1"/>
        <v>0</v>
      </c>
      <c r="J59" s="114">
        <f t="shared" si="2"/>
        <v>0</v>
      </c>
      <c r="K59" s="114">
        <f t="shared" si="3"/>
        <v>93111858.079999998</v>
      </c>
      <c r="L59" s="187">
        <f t="shared" si="4"/>
        <v>0.20978381682756492</v>
      </c>
      <c r="M59" s="184">
        <f t="shared" si="5"/>
        <v>350734857.49642003</v>
      </c>
      <c r="N59" s="184">
        <f t="shared" ca="1" si="6"/>
        <v>25052489.82117286</v>
      </c>
      <c r="O59" s="180">
        <f t="shared" si="7"/>
        <v>350734857.49642003</v>
      </c>
      <c r="P59" s="180">
        <f t="shared" ca="1" si="8"/>
        <v>25052489.82117286</v>
      </c>
      <c r="Q59" s="185">
        <f t="shared" si="9"/>
        <v>350734857.49642003</v>
      </c>
      <c r="R59" s="185">
        <f t="shared" ca="1" si="10"/>
        <v>25052489.82117286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TARGETS!AE14</f>
        <v>345737237.66667807</v>
      </c>
      <c r="E60" s="119">
        <f>TARGETS!AF14</f>
        <v>99843502.42153886</v>
      </c>
      <c r="F60" s="119">
        <f>TARGETS!AG14</f>
        <v>115472440.26230113</v>
      </c>
      <c r="G60" s="119">
        <f t="shared" si="0"/>
        <v>561053180.35051799</v>
      </c>
      <c r="H60" s="114">
        <f t="shared" si="11"/>
        <v>167554928.172721</v>
      </c>
      <c r="I60" s="114">
        <f t="shared" si="1"/>
        <v>50979819.944176003</v>
      </c>
      <c r="J60" s="114">
        <f t="shared" si="2"/>
        <v>66211564.611613996</v>
      </c>
      <c r="K60" s="114">
        <f t="shared" si="3"/>
        <v>284746312.72851098</v>
      </c>
      <c r="L60" s="187">
        <f t="shared" si="4"/>
        <v>0.50752107411745839</v>
      </c>
      <c r="M60" s="184">
        <f t="shared" si="5"/>
        <v>276306867.62200701</v>
      </c>
      <c r="N60" s="184">
        <f t="shared" ca="1" si="6"/>
        <v>19736204.830143359</v>
      </c>
      <c r="O60" s="180">
        <f t="shared" si="7"/>
        <v>276306867.62200701</v>
      </c>
      <c r="P60" s="180">
        <f t="shared" ca="1" si="8"/>
        <v>19736204.830143359</v>
      </c>
      <c r="Q60" s="185">
        <f t="shared" si="9"/>
        <v>276306867.62200701</v>
      </c>
      <c r="R60" s="185">
        <f t="shared" ca="1" si="10"/>
        <v>19736204.830143359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TARGETS!AE15</f>
        <v>476796144.98316145</v>
      </c>
      <c r="E61" s="118">
        <f>TARGETS!AF15</f>
        <v>53126030.965583593</v>
      </c>
      <c r="F61" s="118">
        <f>TARGETS!AG15</f>
        <v>168537597.75857076</v>
      </c>
      <c r="G61" s="118">
        <f t="shared" si="0"/>
        <v>698459773.7073158</v>
      </c>
      <c r="H61" s="114">
        <f t="shared" si="11"/>
        <v>251863042.205567</v>
      </c>
      <c r="I61" s="114">
        <f t="shared" si="1"/>
        <v>36401914.459980004</v>
      </c>
      <c r="J61" s="114">
        <f t="shared" si="2"/>
        <v>105291712.499964</v>
      </c>
      <c r="K61" s="114">
        <f t="shared" si="3"/>
        <v>393556669.16551101</v>
      </c>
      <c r="L61" s="187">
        <f t="shared" si="4"/>
        <v>0.56346361520087751</v>
      </c>
      <c r="M61" s="184">
        <f t="shared" si="5"/>
        <v>304903104.54180479</v>
      </c>
      <c r="N61" s="184">
        <f t="shared" ca="1" si="6"/>
        <v>21778793.181557484</v>
      </c>
      <c r="O61" s="180">
        <f t="shared" si="7"/>
        <v>304903104.54180479</v>
      </c>
      <c r="P61" s="180">
        <f t="shared" ca="1" si="8"/>
        <v>21778793.181557484</v>
      </c>
      <c r="Q61" s="185">
        <f t="shared" si="9"/>
        <v>304903104.54180479</v>
      </c>
      <c r="R61" s="185">
        <f t="shared" ca="1" si="10"/>
        <v>21778793.181557484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TARGETS!AE16</f>
        <v>168507149.83198008</v>
      </c>
      <c r="E62" s="119">
        <f>TARGETS!AF16</f>
        <v>30531298.995438561</v>
      </c>
      <c r="F62" s="119">
        <f>TARGETS!AG16</f>
        <v>259851780.88751724</v>
      </c>
      <c r="G62" s="119">
        <f t="shared" si="0"/>
        <v>458890229.7149359</v>
      </c>
      <c r="H62" s="114">
        <f t="shared" si="11"/>
        <v>117046740.40318801</v>
      </c>
      <c r="I62" s="114">
        <f t="shared" si="1"/>
        <v>28853402.252997</v>
      </c>
      <c r="J62" s="114">
        <f t="shared" si="2"/>
        <v>108063564.576048</v>
      </c>
      <c r="K62" s="114">
        <f t="shared" si="3"/>
        <v>253963707.23223299</v>
      </c>
      <c r="L62" s="187">
        <f t="shared" si="4"/>
        <v>0.55343019046188036</v>
      </c>
      <c r="M62" s="184">
        <f t="shared" si="5"/>
        <v>204926522.48270291</v>
      </c>
      <c r="N62" s="184">
        <f t="shared" ca="1" si="6"/>
        <v>14637608.748764494</v>
      </c>
      <c r="O62" s="180">
        <f t="shared" si="7"/>
        <v>204926522.48270291</v>
      </c>
      <c r="P62" s="180">
        <f t="shared" ca="1" si="8"/>
        <v>14637608.748764494</v>
      </c>
      <c r="Q62" s="185">
        <f t="shared" si="9"/>
        <v>204926522.48270291</v>
      </c>
      <c r="R62" s="185">
        <f t="shared" ca="1" si="10"/>
        <v>14637608.748764494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TARGETS!AE17</f>
        <v>409968842.36459517</v>
      </c>
      <c r="E63" s="118">
        <f>TARGETS!AF17</f>
        <v>308297473.95300913</v>
      </c>
      <c r="F63" s="118">
        <f>TARGETS!AG17</f>
        <v>242574653.13033652</v>
      </c>
      <c r="G63" s="118">
        <f t="shared" si="0"/>
        <v>960840969.44794083</v>
      </c>
      <c r="H63" s="114">
        <f t="shared" si="11"/>
        <v>312461669.11095101</v>
      </c>
      <c r="I63" s="114">
        <f t="shared" si="1"/>
        <v>102582674.691796</v>
      </c>
      <c r="J63" s="114">
        <f t="shared" si="2"/>
        <v>150900984.86772299</v>
      </c>
      <c r="K63" s="114">
        <f t="shared" si="3"/>
        <v>565945328.67047</v>
      </c>
      <c r="L63" s="187">
        <f t="shared" si="4"/>
        <v>0.58901040512004665</v>
      </c>
      <c r="M63" s="184">
        <f t="shared" si="5"/>
        <v>394895640.77747083</v>
      </c>
      <c r="N63" s="184">
        <f t="shared" ca="1" si="6"/>
        <v>28206831.484105058</v>
      </c>
      <c r="O63" s="180">
        <f t="shared" si="7"/>
        <v>394895640.77747083</v>
      </c>
      <c r="P63" s="180">
        <f t="shared" ca="1" si="8"/>
        <v>28206831.484105058</v>
      </c>
      <c r="Q63" s="185">
        <f t="shared" si="9"/>
        <v>394895640.77747083</v>
      </c>
      <c r="R63" s="185">
        <f t="shared" ca="1" si="10"/>
        <v>28206831.484105058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TARGETS!AE18</f>
        <v>123323413.46844758</v>
      </c>
      <c r="E64" s="119">
        <f>TARGETS!AF18</f>
        <v>193690629.51885673</v>
      </c>
      <c r="F64" s="119">
        <f>TARGETS!AG18</f>
        <v>201767250.60122082</v>
      </c>
      <c r="G64" s="119">
        <f t="shared" si="0"/>
        <v>518781293.58852518</v>
      </c>
      <c r="H64" s="114">
        <f t="shared" si="11"/>
        <v>70057236.850353003</v>
      </c>
      <c r="I64" s="114">
        <f t="shared" si="1"/>
        <v>85672045.526161999</v>
      </c>
      <c r="J64" s="114">
        <f t="shared" si="2"/>
        <v>69033511.989179999</v>
      </c>
      <c r="K64" s="114">
        <f t="shared" si="3"/>
        <v>224762794.365695</v>
      </c>
      <c r="L64" s="187">
        <f t="shared" si="4"/>
        <v>0.43325153999089083</v>
      </c>
      <c r="M64" s="184">
        <f t="shared" si="5"/>
        <v>294018499.22283018</v>
      </c>
      <c r="N64" s="184">
        <f t="shared" ca="1" si="6"/>
        <v>21001321.373059299</v>
      </c>
      <c r="O64" s="180">
        <f t="shared" si="7"/>
        <v>294018499.22283018</v>
      </c>
      <c r="P64" s="180">
        <f t="shared" ca="1" si="8"/>
        <v>21001321.373059299</v>
      </c>
      <c r="Q64" s="185">
        <f t="shared" si="9"/>
        <v>294018499.22283018</v>
      </c>
      <c r="R64" s="185">
        <f t="shared" ca="1" si="10"/>
        <v>21001321.373059299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4464586688.6595287</v>
      </c>
      <c r="E65" s="134">
        <f t="shared" si="12"/>
        <v>1279908063.1092303</v>
      </c>
      <c r="F65" s="134">
        <f t="shared" si="12"/>
        <v>2914007482.4702153</v>
      </c>
      <c r="G65" s="134">
        <f t="shared" si="12"/>
        <v>8658502234.2389736</v>
      </c>
      <c r="H65" s="135">
        <f t="shared" si="12"/>
        <v>2174193169.5600839</v>
      </c>
      <c r="I65" s="135">
        <f t="shared" si="12"/>
        <v>553406954.58957398</v>
      </c>
      <c r="J65" s="135">
        <f t="shared" si="12"/>
        <v>1529148111.4091349</v>
      </c>
      <c r="K65" s="135">
        <f t="shared" si="12"/>
        <v>4256748235.5587931</v>
      </c>
      <c r="L65" s="189">
        <f t="shared" si="4"/>
        <v>0.49162639454269702</v>
      </c>
      <c r="M65" s="181">
        <f>SUM(M51:M64)</f>
        <v>4401753998.6801796</v>
      </c>
      <c r="N65" s="181">
        <f t="shared" ca="1" si="6"/>
        <v>314410999.90572709</v>
      </c>
      <c r="O65" s="181">
        <f>SUM(O51:O64)</f>
        <v>4401753998.6801796</v>
      </c>
      <c r="P65" s="181">
        <f t="shared" ca="1" si="8"/>
        <v>314410999.90572709</v>
      </c>
      <c r="Q65" s="186">
        <f>SUM(Q51:Q64)</f>
        <v>4401753998.6801796</v>
      </c>
      <c r="R65" s="186">
        <f t="shared" ca="1" si="10"/>
        <v>314410999.90572709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9" t="s">
        <v>144</v>
      </c>
      <c r="C67" s="290"/>
      <c r="D67" s="290"/>
      <c r="E67" s="290"/>
      <c r="F67" s="299"/>
      <c r="G67" s="275" t="s">
        <v>185</v>
      </c>
      <c r="H67" s="276"/>
      <c r="I67" s="276"/>
      <c r="J67" s="276"/>
      <c r="K67" s="276"/>
      <c r="L67" s="277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100%</v>
      </c>
      <c r="H68" s="232" t="str">
        <f>"PER HARI"&amp;CHAR(10)&amp;TEXT($H$40,"0%")</f>
        <v>PER HARI
100%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TARGETS!M22</f>
        <v>269378070.68085116</v>
      </c>
      <c r="E69" s="114">
        <f>IFERROR($C$31,0)</f>
        <v>127058978.879344</v>
      </c>
      <c r="F69" s="187">
        <f t="shared" ref="F69:F74" si="13">IFERROR(E69/D69,0)</f>
        <v>0.47167528729492841</v>
      </c>
      <c r="G69" s="184">
        <f>D69*$H$40-E69</f>
        <v>142319091.80150717</v>
      </c>
      <c r="H69" s="184">
        <f t="shared" ref="H69:H74" ca="1" si="14">IFERROR(G69/$C$3,0)</f>
        <v>10165649.414393369</v>
      </c>
      <c r="I69" s="204">
        <f>D69*$J$40-E69</f>
        <v>142319091.80150717</v>
      </c>
      <c r="J69" s="204">
        <f t="shared" ref="J69:J74" ca="1" si="15">IFERROR(I69/$C$3,0)</f>
        <v>10165649.414393369</v>
      </c>
      <c r="K69" s="185">
        <f>D69*$L$40-E69</f>
        <v>142319091.80150717</v>
      </c>
      <c r="L69" s="185">
        <f t="shared" ref="L69:L74" ca="1" si="16">IFERROR(K69/$C$3,0)</f>
        <v>10165649.414393369</v>
      </c>
    </row>
    <row r="70" spans="2:21" ht="15.95" customHeight="1" x14ac:dyDescent="0.25">
      <c r="B70" s="53" t="s">
        <v>94</v>
      </c>
      <c r="C70" s="56" t="s">
        <v>99</v>
      </c>
      <c r="D70" s="117">
        <f>TARGETS!M23</f>
        <v>412678979.6808511</v>
      </c>
      <c r="E70" s="114">
        <f>IFERROR($C$32,0)</f>
        <v>87616146.607191995</v>
      </c>
      <c r="F70" s="187">
        <f t="shared" si="13"/>
        <v>0.21231066015271896</v>
      </c>
      <c r="G70" s="184">
        <f>D70*$H$40-E70</f>
        <v>325062833.07365912</v>
      </c>
      <c r="H70" s="184">
        <f t="shared" ca="1" si="14"/>
        <v>23218773.790975653</v>
      </c>
      <c r="I70" s="204">
        <f>D70*$J$40-E70</f>
        <v>325062833.07365912</v>
      </c>
      <c r="J70" s="204">
        <f t="shared" ca="1" si="15"/>
        <v>23218773.790975653</v>
      </c>
      <c r="K70" s="185">
        <f>D70*$L$40-E70</f>
        <v>325062833.07365912</v>
      </c>
      <c r="L70" s="185">
        <f t="shared" ca="1" si="16"/>
        <v>23218773.790975653</v>
      </c>
    </row>
    <row r="71" spans="2:21" ht="15.95" customHeight="1" x14ac:dyDescent="0.25">
      <c r="B71" s="50" t="s">
        <v>96</v>
      </c>
      <c r="C71" s="55" t="s">
        <v>97</v>
      </c>
      <c r="D71" s="116">
        <f>TARGETS!M24</f>
        <v>1097730183.680851</v>
      </c>
      <c r="E71" s="114">
        <f>M21</f>
        <v>458026634.67293298</v>
      </c>
      <c r="F71" s="187">
        <f t="shared" si="13"/>
        <v>0.41724882988741568</v>
      </c>
      <c r="G71" s="184">
        <f>D71*$H$40-E71</f>
        <v>639703549.007918</v>
      </c>
      <c r="H71" s="184">
        <f t="shared" ca="1" si="14"/>
        <v>45693110.643422715</v>
      </c>
      <c r="I71" s="204">
        <f>D71*$J$40-E71</f>
        <v>639703549.007918</v>
      </c>
      <c r="J71" s="204">
        <f t="shared" ca="1" si="15"/>
        <v>45693110.643422715</v>
      </c>
      <c r="K71" s="185">
        <f>D71*$L$40-E71</f>
        <v>639703549.007918</v>
      </c>
      <c r="L71" s="185">
        <f t="shared" ca="1" si="16"/>
        <v>45693110.643422715</v>
      </c>
    </row>
    <row r="72" spans="2:21" hidden="1" x14ac:dyDescent="0.25">
      <c r="B72" s="53" t="s">
        <v>98</v>
      </c>
      <c r="C72" s="56" t="s">
        <v>99</v>
      </c>
      <c r="D72" s="117">
        <f>TARGETS!M25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TARGETS!M26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ht="15.95" customHeight="1" x14ac:dyDescent="0.25">
      <c r="B74" s="57" t="s">
        <v>151</v>
      </c>
      <c r="C74" s="58"/>
      <c r="D74" s="115">
        <f>SUM(D69:D73)</f>
        <v>1779787234.0425532</v>
      </c>
      <c r="E74" s="115">
        <f>SUM(E69:E73)</f>
        <v>672701760.15946901</v>
      </c>
      <c r="F74" s="177">
        <f t="shared" si="13"/>
        <v>0.37796751616850022</v>
      </c>
      <c r="G74" s="181">
        <f>SUM(G69:G73)</f>
        <v>1107085473.8830843</v>
      </c>
      <c r="H74" s="181">
        <f t="shared" ca="1" si="14"/>
        <v>79077533.848791733</v>
      </c>
      <c r="I74" s="186">
        <f>SUM(I69:I73)</f>
        <v>1107085473.8830843</v>
      </c>
      <c r="J74" s="186">
        <f t="shared" ca="1" si="15"/>
        <v>79077533.848791733</v>
      </c>
      <c r="K74" s="186">
        <f>SUM(K69:K73)</f>
        <v>1107085473.8830843</v>
      </c>
      <c r="L74" s="186">
        <f t="shared" ca="1" si="16"/>
        <v>79077533.848791733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5" t="s">
        <v>170</v>
      </c>
      <c r="C77" s="256"/>
      <c r="D77" s="257"/>
    </row>
    <row r="78" spans="2:21" ht="17.100000000000001" customHeight="1" x14ac:dyDescent="0.25">
      <c r="B78" s="274" t="s">
        <v>41</v>
      </c>
      <c r="C78" s="274" t="s">
        <v>42</v>
      </c>
      <c r="D78" s="231" t="s">
        <v>138</v>
      </c>
    </row>
    <row r="79" spans="2:21" ht="17.100000000000001" customHeight="1" x14ac:dyDescent="0.25">
      <c r="B79" s="264"/>
      <c r="C79" s="264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294977012.87987</v>
      </c>
      <c r="T80" t="str">
        <f t="shared" ref="T80:U93" si="17">T51</f>
        <v>Picrom Stalyon</v>
      </c>
      <c r="U80" t="str">
        <f t="shared" si="17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115640410.67999999</v>
      </c>
      <c r="T81" t="str">
        <f t="shared" si="17"/>
        <v>I MADE LUIH</v>
      </c>
      <c r="U81" t="str">
        <f t="shared" si="17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8"/>
        <v>12245044.800000001</v>
      </c>
      <c r="T82" t="str">
        <f t="shared" si="17"/>
        <v>NN Made Luih</v>
      </c>
      <c r="U82" t="str">
        <f t="shared" si="17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8"/>
        <v>192882292.48984</v>
      </c>
      <c r="T83" t="str">
        <f t="shared" si="17"/>
        <v>Juni</v>
      </c>
      <c r="U83" t="str">
        <f t="shared" si="17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8"/>
        <v>0</v>
      </c>
      <c r="T84" t="str">
        <f t="shared" si="17"/>
        <v>FIB</v>
      </c>
      <c r="U84" t="str">
        <f t="shared" si="17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8"/>
        <v>79579369.599987999</v>
      </c>
      <c r="T85" t="str">
        <f t="shared" si="17"/>
        <v>Ronald</v>
      </c>
      <c r="U85" t="str">
        <f t="shared" si="17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8"/>
        <v>816877564.10985398</v>
      </c>
      <c r="T86" t="str">
        <f t="shared" si="17"/>
        <v>Monica</v>
      </c>
      <c r="U86" t="str">
        <f t="shared" si="17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8"/>
        <v>172755134.34970999</v>
      </c>
      <c r="T87" t="str">
        <f t="shared" si="17"/>
        <v>Sujana</v>
      </c>
      <c r="U87" t="str">
        <f t="shared" si="17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8"/>
        <v>6144143.9800000004</v>
      </c>
      <c r="T88" t="str">
        <f t="shared" si="17"/>
        <v>NN Sujana</v>
      </c>
      <c r="U88" t="str">
        <f t="shared" si="17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8"/>
        <v>7732432.6699999999</v>
      </c>
      <c r="T89" t="str">
        <f t="shared" si="17"/>
        <v>Wahyu</v>
      </c>
      <c r="U89" t="str">
        <f t="shared" si="17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8"/>
        <v>417959277.73934501</v>
      </c>
      <c r="T90" t="str">
        <f t="shared" si="17"/>
        <v>Taufik</v>
      </c>
      <c r="U90" t="str">
        <f t="shared" si="17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8"/>
        <v>93609969.109950006</v>
      </c>
      <c r="T91" t="str">
        <f t="shared" si="17"/>
        <v>Dewi Kristiani</v>
      </c>
      <c r="U91" t="str">
        <f t="shared" si="17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8"/>
        <v>13020108.380999999</v>
      </c>
      <c r="T92" t="str">
        <f t="shared" si="17"/>
        <v>Wira</v>
      </c>
      <c r="U92" t="str">
        <f t="shared" si="17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8"/>
        <v>113759461.97</v>
      </c>
      <c r="T93" t="str">
        <f t="shared" si="17"/>
        <v>Ni Ketut Sriasih (GT)</v>
      </c>
      <c r="U93" t="str">
        <f t="shared" si="17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2337182222.7595568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8" priority="1">
      <formula>L51&gt;=$F$41-0.05</formula>
    </cfRule>
    <cfRule type="expression" dxfId="7" priority="2">
      <formula>AND(L51&gt;=$F$41-0.2,L51&lt;$F$41-0.05)</formula>
    </cfRule>
    <cfRule type="expression" dxfId="6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38" fitToHeight="10" orientation="landscape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zoomScaleNormal="100" workbookViewId="0">
      <selection activeCell="D90" sqref="D90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163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219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181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168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169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223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224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65" t="s">
        <v>174</v>
      </c>
      <c r="C40" s="266"/>
      <c r="D40" s="267"/>
      <c r="E40" s="66" t="s">
        <v>137</v>
      </c>
      <c r="F40" s="174">
        <f ca="1">IF(MONTH(TODAY())=11,DAY(TODAY())/DAY(EOMONTH(TODAY(),0)),IF(MONTH(TODAY())&gt;11,1,0))</f>
        <v>0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SUM(TARGETS!AH5:AH18)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SUM(TARGETS!AI5:AI18)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SUM(TARGETS!AJ5:AJ18)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SUM(TARGETS!N22:N26)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62" t="s">
        <v>145</v>
      </c>
      <c r="C46" s="263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8" t="s">
        <v>146</v>
      </c>
      <c r="C48" s="269"/>
      <c r="D48" s="269"/>
      <c r="E48" s="269"/>
      <c r="F48" s="269"/>
      <c r="G48" s="269"/>
      <c r="H48" s="269"/>
      <c r="I48" s="269"/>
      <c r="J48" s="269"/>
      <c r="K48" s="269"/>
      <c r="L48" s="292"/>
      <c r="M48" s="275" t="s">
        <v>185</v>
      </c>
      <c r="N48" s="276"/>
      <c r="O48" s="276"/>
      <c r="P48" s="276"/>
      <c r="Q48" s="276"/>
      <c r="R48" s="277"/>
    </row>
    <row r="49" spans="2:21" ht="17.100000000000001" customHeight="1" x14ac:dyDescent="0.25">
      <c r="B49" s="293" t="s">
        <v>41</v>
      </c>
      <c r="C49" s="293" t="s">
        <v>42</v>
      </c>
      <c r="D49" s="259" t="s">
        <v>137</v>
      </c>
      <c r="E49" s="260"/>
      <c r="F49" s="260"/>
      <c r="G49" s="261"/>
      <c r="H49" s="294" t="s">
        <v>138</v>
      </c>
      <c r="I49" s="295"/>
      <c r="J49" s="295"/>
      <c r="K49" s="296"/>
      <c r="L49" s="297" t="s">
        <v>139</v>
      </c>
      <c r="M49" s="278" t="str">
        <f>"SELISIH"&amp;CHAR(10)&amp;TEXT($H$40,"0%")</f>
        <v>SELISIH
90%</v>
      </c>
      <c r="N49" s="278" t="str">
        <f>"PER HARI"&amp;CHAR(10)&amp;TEXT($H$40,"0%")</f>
        <v>PER HARI
90%</v>
      </c>
      <c r="O49" s="280" t="str">
        <f>"SELISIH"&amp;CHAR(10)&amp;TEXT($J$40,"0%")</f>
        <v>SELISIH
95%</v>
      </c>
      <c r="P49" s="280" t="str">
        <f>"PER HARI"&amp;CHAR(10)&amp;TEXT($J$40,"0%")</f>
        <v>PER HARI
95%</v>
      </c>
      <c r="Q49" s="282" t="str">
        <f>"SELISIH"&amp;CHAR(10)&amp;TEXT($L$40,"0%")</f>
        <v>SELISIH
100%</v>
      </c>
      <c r="R49" s="282" t="str">
        <f>"PER HARI"&amp;CHAR(10)&amp;TEXT($L$40,"0%")</f>
        <v>PER HARI
100%</v>
      </c>
    </row>
    <row r="50" spans="2:21" ht="17.100000000000001" customHeight="1" x14ac:dyDescent="0.25">
      <c r="B50" s="274"/>
      <c r="C50" s="274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8"/>
      <c r="M50" s="279"/>
      <c r="N50" s="279"/>
      <c r="O50" s="281"/>
      <c r="P50" s="281"/>
      <c r="Q50" s="283"/>
      <c r="R50" s="283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TARGETS!AH5</f>
        <v>0</v>
      </c>
      <c r="E51" s="118">
        <f>TARGETS!AI5</f>
        <v>0</v>
      </c>
      <c r="F51" s="118">
        <f>TARGETS!AJ5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TARGETS!AH6</f>
        <v>0</v>
      </c>
      <c r="E52" s="119">
        <f>TARGETS!AI6</f>
        <v>0</v>
      </c>
      <c r="F52" s="119">
        <f>TARGETS!AJ6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TARGETS!AH7</f>
        <v>0</v>
      </c>
      <c r="E53" s="138">
        <f>TARGETS!AI7</f>
        <v>0</v>
      </c>
      <c r="F53" s="138">
        <f>TARGETS!AJ7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TARGETS!AH8</f>
        <v>0</v>
      </c>
      <c r="E54" s="119">
        <f>TARGETS!AI8</f>
        <v>0</v>
      </c>
      <c r="F54" s="119">
        <f>TARGETS!AJ8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TARGETS!AH9</f>
        <v>0</v>
      </c>
      <c r="E55" s="118">
        <f>TARGETS!AI9</f>
        <v>0</v>
      </c>
      <c r="F55" s="118">
        <f>TARGETS!AJ9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TARGETS!AH10</f>
        <v>0</v>
      </c>
      <c r="E56" s="119">
        <f>TARGETS!AI10</f>
        <v>0</v>
      </c>
      <c r="F56" s="119">
        <f>TARGETS!AJ10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TARGETS!AH11</f>
        <v>0</v>
      </c>
      <c r="E57" s="118">
        <f>TARGETS!AI11</f>
        <v>0</v>
      </c>
      <c r="F57" s="118">
        <f>TARGETS!AJ11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TARGETS!AH12</f>
        <v>0</v>
      </c>
      <c r="E58" s="119">
        <f>TARGETS!AI12</f>
        <v>0</v>
      </c>
      <c r="F58" s="119">
        <f>TARGETS!AJ12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TARGETS!AH13</f>
        <v>0</v>
      </c>
      <c r="E59" s="138">
        <f>TARGETS!AI13</f>
        <v>0</v>
      </c>
      <c r="F59" s="138">
        <f>TARGETS!AJ13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TARGETS!AH14</f>
        <v>0</v>
      </c>
      <c r="E60" s="119">
        <f>TARGETS!AI14</f>
        <v>0</v>
      </c>
      <c r="F60" s="119">
        <f>TARGETS!AJ14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TARGETS!AH15</f>
        <v>0</v>
      </c>
      <c r="E61" s="118">
        <f>TARGETS!AI15</f>
        <v>0</v>
      </c>
      <c r="F61" s="118">
        <f>TARGETS!AJ15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TARGETS!AH16</f>
        <v>0</v>
      </c>
      <c r="E62" s="119">
        <f>TARGETS!AI16</f>
        <v>0</v>
      </c>
      <c r="F62" s="119">
        <f>TARGETS!AJ16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TARGETS!AH17</f>
        <v>0</v>
      </c>
      <c r="E63" s="118">
        <f>TARGETS!AI17</f>
        <v>0</v>
      </c>
      <c r="F63" s="118">
        <f>TARGETS!AJ17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TARGETS!AH18</f>
        <v>0</v>
      </c>
      <c r="E64" s="119">
        <f>TARGETS!AI18</f>
        <v>0</v>
      </c>
      <c r="F64" s="119">
        <f>TARGETS!AJ18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9" t="s">
        <v>144</v>
      </c>
      <c r="C67" s="290"/>
      <c r="D67" s="290"/>
      <c r="E67" s="290"/>
      <c r="F67" s="299"/>
      <c r="G67" s="275" t="s">
        <v>185</v>
      </c>
      <c r="H67" s="276"/>
      <c r="I67" s="276"/>
      <c r="J67" s="276"/>
      <c r="K67" s="276"/>
      <c r="L67" s="277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TARGETS!N22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TARGETS!N23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TARGETS!N24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TARGETS!N25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TARGETS!N26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5" t="s">
        <v>170</v>
      </c>
      <c r="C77" s="256"/>
      <c r="D77" s="257"/>
    </row>
    <row r="78" spans="2:21" ht="17.100000000000001" customHeight="1" x14ac:dyDescent="0.25">
      <c r="B78" s="274" t="s">
        <v>41</v>
      </c>
      <c r="C78" s="274" t="s">
        <v>42</v>
      </c>
      <c r="D78" s="231" t="s">
        <v>138</v>
      </c>
    </row>
    <row r="79" spans="2:21" ht="17.100000000000001" customHeight="1" x14ac:dyDescent="0.25">
      <c r="B79" s="264"/>
      <c r="C79" s="264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9"/>
        <v>0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5" priority="1">
      <formula>L51&gt;=$F$41-0.05</formula>
    </cfRule>
    <cfRule type="expression" dxfId="4" priority="2">
      <formula>AND(L51&gt;=$F$41-0.2,L51&lt;$F$41-0.05)</formula>
    </cfRule>
    <cfRule type="expression" dxfId="3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A56" zoomScaleNormal="100" workbookViewId="0">
      <selection activeCell="E86" sqref="E86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175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219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181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168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169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223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224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65" t="s">
        <v>176</v>
      </c>
      <c r="C40" s="266"/>
      <c r="D40" s="267"/>
      <c r="E40" s="66" t="s">
        <v>137</v>
      </c>
      <c r="F40" s="174">
        <f ca="1">IF(MONTH(TODAY())=12,DAY(TODAY())/DAY(EOMONTH(TODAY(),0)),IF(MONTH(TODAY())&gt;12,1,0))</f>
        <v>0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SUM(TARGETS!AK5:AK18)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SUM(TARGETS!AL5:AL18)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SUM(TARGETS!AM5:AM18)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SUM(TARGETS!O22:O26)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62" t="s">
        <v>145</v>
      </c>
      <c r="C46" s="263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8" t="s">
        <v>146</v>
      </c>
      <c r="C48" s="269"/>
      <c r="D48" s="269"/>
      <c r="E48" s="269"/>
      <c r="F48" s="269"/>
      <c r="G48" s="269"/>
      <c r="H48" s="269"/>
      <c r="I48" s="269"/>
      <c r="J48" s="269"/>
      <c r="K48" s="269"/>
      <c r="L48" s="292"/>
      <c r="M48" s="275" t="s">
        <v>185</v>
      </c>
      <c r="N48" s="276"/>
      <c r="O48" s="276"/>
      <c r="P48" s="276"/>
      <c r="Q48" s="276"/>
      <c r="R48" s="277"/>
    </row>
    <row r="49" spans="2:21" ht="17.100000000000001" customHeight="1" x14ac:dyDescent="0.25">
      <c r="B49" s="293" t="s">
        <v>41</v>
      </c>
      <c r="C49" s="293" t="s">
        <v>42</v>
      </c>
      <c r="D49" s="259" t="s">
        <v>137</v>
      </c>
      <c r="E49" s="260"/>
      <c r="F49" s="260"/>
      <c r="G49" s="261"/>
      <c r="H49" s="294" t="s">
        <v>138</v>
      </c>
      <c r="I49" s="295"/>
      <c r="J49" s="295"/>
      <c r="K49" s="296"/>
      <c r="L49" s="297" t="s">
        <v>139</v>
      </c>
      <c r="M49" s="278" t="str">
        <f>"SELISIH"&amp;CHAR(10)&amp;TEXT($H$40,"0%")</f>
        <v>SELISIH
90%</v>
      </c>
      <c r="N49" s="278" t="str">
        <f>"PER HARI"&amp;CHAR(10)&amp;TEXT($H$40,"0%")</f>
        <v>PER HARI
90%</v>
      </c>
      <c r="O49" s="280" t="str">
        <f>"SELISIH"&amp;CHAR(10)&amp;TEXT($J$40,"0%")</f>
        <v>SELISIH
95%</v>
      </c>
      <c r="P49" s="280" t="str">
        <f>"PER HARI"&amp;CHAR(10)&amp;TEXT($J$40,"0%")</f>
        <v>PER HARI
95%</v>
      </c>
      <c r="Q49" s="282" t="str">
        <f>"SELISIH"&amp;CHAR(10)&amp;TEXT($L$40,"0%")</f>
        <v>SELISIH
100%</v>
      </c>
      <c r="R49" s="282" t="str">
        <f>"PER HARI"&amp;CHAR(10)&amp;TEXT($L$40,"0%")</f>
        <v>PER HARI
100%</v>
      </c>
    </row>
    <row r="50" spans="2:21" ht="17.100000000000001" customHeight="1" x14ac:dyDescent="0.25">
      <c r="B50" s="274"/>
      <c r="C50" s="274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8"/>
      <c r="M50" s="279"/>
      <c r="N50" s="279"/>
      <c r="O50" s="281"/>
      <c r="P50" s="281"/>
      <c r="Q50" s="283"/>
      <c r="R50" s="283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TARGETS!AK5</f>
        <v>0</v>
      </c>
      <c r="E51" s="118">
        <v>0</v>
      </c>
      <c r="F51" s="118">
        <f>TARGETS!AM5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TARGETS!AK6</f>
        <v>0</v>
      </c>
      <c r="E52" s="119">
        <v>0</v>
      </c>
      <c r="F52" s="119">
        <f>TARGETS!AM6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TARGETS!AK7</f>
        <v>0</v>
      </c>
      <c r="E53" s="138">
        <v>0</v>
      </c>
      <c r="F53" s="138">
        <f>TARGETS!AM7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TARGETS!AK8</f>
        <v>0</v>
      </c>
      <c r="E54" s="119">
        <v>0</v>
      </c>
      <c r="F54" s="119">
        <f>TARGETS!AM8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TARGETS!AK9</f>
        <v>0</v>
      </c>
      <c r="E55" s="118">
        <v>0</v>
      </c>
      <c r="F55" s="118">
        <f>TARGETS!AM9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TARGETS!AK10</f>
        <v>0</v>
      </c>
      <c r="E56" s="119">
        <v>0</v>
      </c>
      <c r="F56" s="119">
        <f>TARGETS!AM10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TARGETS!AK11</f>
        <v>0</v>
      </c>
      <c r="E57" s="118">
        <v>0</v>
      </c>
      <c r="F57" s="118">
        <f>TARGETS!AM11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TARGETS!AK12</f>
        <v>0</v>
      </c>
      <c r="E58" s="119">
        <v>0</v>
      </c>
      <c r="F58" s="119">
        <f>TARGETS!AM12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TARGETS!AK13</f>
        <v>0</v>
      </c>
      <c r="E59" s="138">
        <v>0</v>
      </c>
      <c r="F59" s="138">
        <f>TARGETS!AM13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TARGETS!AK14</f>
        <v>0</v>
      </c>
      <c r="E60" s="119">
        <v>0</v>
      </c>
      <c r="F60" s="119">
        <f>TARGETS!AM14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TARGETS!AK15</f>
        <v>0</v>
      </c>
      <c r="E61" s="118">
        <v>0</v>
      </c>
      <c r="F61" s="118">
        <f>TARGETS!AM15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TARGETS!AK16</f>
        <v>0</v>
      </c>
      <c r="E62" s="119">
        <v>0</v>
      </c>
      <c r="F62" s="119">
        <f>TARGETS!AM16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TARGETS!AK17</f>
        <v>0</v>
      </c>
      <c r="E63" s="118">
        <v>0</v>
      </c>
      <c r="F63" s="118">
        <f>TARGETS!AM17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TARGETS!AK18</f>
        <v>0</v>
      </c>
      <c r="E64" s="119">
        <v>0</v>
      </c>
      <c r="F64" s="119">
        <f>TARGETS!AM18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9" t="s">
        <v>144</v>
      </c>
      <c r="C67" s="290"/>
      <c r="D67" s="290"/>
      <c r="E67" s="290"/>
      <c r="F67" s="299"/>
      <c r="G67" s="275" t="s">
        <v>185</v>
      </c>
      <c r="H67" s="276"/>
      <c r="I67" s="276"/>
      <c r="J67" s="276"/>
      <c r="K67" s="276"/>
      <c r="L67" s="277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TARGETS!O22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TARGETS!O23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TARGETS!O24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TARGETS!O25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TARGETS!O26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5" t="s">
        <v>170</v>
      </c>
      <c r="C77" s="256"/>
      <c r="D77" s="257"/>
    </row>
    <row r="78" spans="2:21" ht="17.100000000000001" customHeight="1" x14ac:dyDescent="0.25">
      <c r="B78" s="274" t="s">
        <v>41</v>
      </c>
      <c r="C78" s="274" t="s">
        <v>42</v>
      </c>
      <c r="D78" s="231" t="s">
        <v>138</v>
      </c>
    </row>
    <row r="79" spans="2:21" ht="17.100000000000001" customHeight="1" x14ac:dyDescent="0.25">
      <c r="B79" s="264"/>
      <c r="C79" s="264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9"/>
        <v>0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2" priority="1">
      <formula>L51&gt;=$F$41-0.05</formula>
    </cfRule>
    <cfRule type="expression" dxfId="1" priority="2">
      <formula>AND(L51&gt;=$F$41-0.2,L51&lt;$F$41-0.05)</formula>
    </cfRule>
    <cfRule type="expression" dxfId="0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2026-10-02T08:01:49Z</cp:lastPrinted>
  <dcterms:created xsi:type="dcterms:W3CDTF">2026-03-24T08:59:20Z</dcterms:created>
  <dcterms:modified xsi:type="dcterms:W3CDTF">2026-10-16T00:53:06Z</dcterms:modified>
  <dc:language>en-US</dc:language>
</cp:coreProperties>
</file>