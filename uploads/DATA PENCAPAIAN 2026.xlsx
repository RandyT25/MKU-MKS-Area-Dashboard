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  <Override PartName="/xl/persons/person1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65" tabRatio="500" firstSheet="6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51" i="14" l="1" a="1"/>
  <c r="H51" i="14" s="1"/>
  <c r="I51" i="14" a="1"/>
  <c r="I51" i="14" s="1"/>
  <c r="J51" i="14" a="1"/>
  <c r="J51" i="14" s="1"/>
  <c r="H52" i="14" a="1"/>
  <c r="H52" i="14" s="1"/>
  <c r="I52" i="14" a="1"/>
  <c r="I52" i="14" s="1"/>
  <c r="J52" i="14" a="1"/>
  <c r="J52" i="14" s="1"/>
  <c r="H53" i="14" a="1"/>
  <c r="H53" i="14" s="1"/>
  <c r="I53" i="14" a="1"/>
  <c r="I53" i="14" s="1"/>
  <c r="J53" i="14" a="1"/>
  <c r="J53" i="14" s="1"/>
  <c r="H54" i="14" a="1"/>
  <c r="H54" i="14" s="1"/>
  <c r="I54" i="14" a="1"/>
  <c r="I54" i="14" s="1"/>
  <c r="J54" i="14" a="1"/>
  <c r="J54" i="14" s="1"/>
  <c r="H55" i="14" a="1"/>
  <c r="H55" i="14" s="1"/>
  <c r="I55" i="14" a="1"/>
  <c r="I55" i="14" s="1"/>
  <c r="J55" i="14" a="1"/>
  <c r="J55" i="14" s="1"/>
  <c r="H56" i="14" a="1"/>
  <c r="H56" i="14" s="1"/>
  <c r="I56" i="14" a="1"/>
  <c r="I56" i="14" s="1"/>
  <c r="J56" i="14" a="1"/>
  <c r="J56" i="14" s="1"/>
  <c r="H57" i="14" a="1"/>
  <c r="H57" i="14" s="1"/>
  <c r="I57" i="14" a="1"/>
  <c r="I57" i="14" s="1"/>
  <c r="J57" i="14" a="1"/>
  <c r="J57" i="14" s="1"/>
  <c r="H58" i="14" a="1"/>
  <c r="H58" i="14" s="1"/>
  <c r="I58" i="14" a="1"/>
  <c r="I58" i="14" s="1"/>
  <c r="J58" i="14" a="1"/>
  <c r="J58" i="14" s="1"/>
  <c r="H59" i="14" a="1"/>
  <c r="H59" i="14" s="1"/>
  <c r="I59" i="14" a="1"/>
  <c r="I59" i="14" s="1"/>
  <c r="J59" i="14" a="1"/>
  <c r="J59" i="14" s="1"/>
  <c r="H60" i="14" a="1"/>
  <c r="H60" i="14" s="1"/>
  <c r="I60" i="14" a="1"/>
  <c r="I60" i="14" s="1"/>
  <c r="J60" i="14" a="1"/>
  <c r="J60" i="14" s="1"/>
  <c r="H61" i="14" a="1"/>
  <c r="H61" i="14" s="1"/>
  <c r="I61" i="14" a="1"/>
  <c r="I61" i="14" s="1"/>
  <c r="J61" i="14" a="1"/>
  <c r="J61" i="14" s="1"/>
  <c r="H62" i="14" a="1"/>
  <c r="H62" i="14" s="1"/>
  <c r="I62" i="14" a="1"/>
  <c r="I62" i="14" s="1"/>
  <c r="J62" i="14" a="1"/>
  <c r="J62" i="14" s="1"/>
  <c r="H63" i="14" a="1"/>
  <c r="H63" i="14" s="1"/>
  <c r="I63" i="14" a="1"/>
  <c r="I63" i="14" s="1"/>
  <c r="J63" i="14" a="1"/>
  <c r="J63" i="14" s="1"/>
  <c r="H64" i="14" a="1"/>
  <c r="H64" i="14" s="1"/>
  <c r="I64" i="14" a="1"/>
  <c r="I64" i="14" s="1"/>
  <c r="J64" i="14" a="1"/>
  <c r="J64" i="14" s="1"/>
  <c r="T80" i="14"/>
  <c r="D80" i="14" s="1" a="1"/>
  <c r="D80" i="14" s="1"/>
  <c r="U80" i="14"/>
  <c r="T81" i="14"/>
  <c r="D81" i="14" s="1" a="1"/>
  <c r="D81" i="14" s="1"/>
  <c r="U81" i="14"/>
  <c r="T82" i="14"/>
  <c r="D82" i="14" s="1" a="1"/>
  <c r="D82" i="14" s="1"/>
  <c r="U82" i="14"/>
  <c r="T83" i="14"/>
  <c r="D83" i="14" s="1" a="1"/>
  <c r="D83" i="14" s="1"/>
  <c r="U83" i="14"/>
  <c r="T84" i="14"/>
  <c r="D84" i="14" s="1" a="1"/>
  <c r="D84" i="14" s="1"/>
  <c r="U84" i="14"/>
  <c r="T85" i="14"/>
  <c r="D85" i="14" s="1" a="1"/>
  <c r="D85" i="14" s="1"/>
  <c r="U85" i="14"/>
  <c r="T86" i="14"/>
  <c r="D86" i="14" s="1" a="1"/>
  <c r="D86" i="14" s="1"/>
  <c r="U86" i="14"/>
  <c r="T87" i="14"/>
  <c r="D87" i="14" s="1" a="1"/>
  <c r="D87" i="14" s="1"/>
  <c r="U87" i="14"/>
  <c r="T88" i="14"/>
  <c r="D88" i="14" s="1" a="1"/>
  <c r="D88" i="14" s="1"/>
  <c r="U88" i="14"/>
  <c r="T89" i="14"/>
  <c r="D89" i="14" s="1" a="1"/>
  <c r="D89" i="14" s="1"/>
  <c r="U89" i="14"/>
  <c r="T90" i="14"/>
  <c r="D90" i="14" s="1" a="1"/>
  <c r="D90" i="14" s="1"/>
  <c r="U90" i="14"/>
  <c r="T91" i="14"/>
  <c r="D91" i="14" s="1" a="1"/>
  <c r="D91" i="14" s="1"/>
  <c r="U91" i="14"/>
  <c r="T92" i="14"/>
  <c r="D92" i="14" s="1" a="1"/>
  <c r="D92" i="14" s="1"/>
  <c r="U92" i="14"/>
  <c r="T93" i="14"/>
  <c r="D93" i="14" s="1" a="1"/>
  <c r="D93" i="14" s="1"/>
  <c r="U93" i="14"/>
  <c r="H51" i="13" a="1"/>
  <c r="H51" i="13" s="1"/>
  <c r="I51" i="13" a="1"/>
  <c r="I51" i="13" s="1"/>
  <c r="J51" i="13" a="1"/>
  <c r="J51" i="13" s="1"/>
  <c r="H52" i="13" a="1"/>
  <c r="H52" i="13" s="1"/>
  <c r="I52" i="13" a="1"/>
  <c r="I52" i="13" s="1"/>
  <c r="J52" i="13" a="1"/>
  <c r="J52" i="13" s="1"/>
  <c r="H53" i="13" a="1"/>
  <c r="H53" i="13" s="1"/>
  <c r="I53" i="13" a="1"/>
  <c r="I53" i="13" s="1"/>
  <c r="J53" i="13" a="1"/>
  <c r="J53" i="13" s="1"/>
  <c r="H54" i="13" a="1"/>
  <c r="H54" i="13" s="1"/>
  <c r="I54" i="13" a="1"/>
  <c r="I54" i="13" s="1"/>
  <c r="J54" i="13" a="1"/>
  <c r="J54" i="13" s="1"/>
  <c r="H55" i="13" a="1"/>
  <c r="H55" i="13" s="1"/>
  <c r="I55" i="13" a="1"/>
  <c r="I55" i="13" s="1"/>
  <c r="J55" i="13" a="1"/>
  <c r="J55" i="13" s="1"/>
  <c r="H56" i="13" a="1"/>
  <c r="H56" i="13" s="1"/>
  <c r="I56" i="13" a="1"/>
  <c r="I56" i="13" s="1"/>
  <c r="J56" i="13" a="1"/>
  <c r="J56" i="13" s="1"/>
  <c r="H57" i="13" a="1"/>
  <c r="H57" i="13" s="1"/>
  <c r="I57" i="13" a="1"/>
  <c r="I57" i="13" s="1"/>
  <c r="J57" i="13" a="1"/>
  <c r="J57" i="13" s="1"/>
  <c r="H58" i="13" a="1"/>
  <c r="H58" i="13" s="1"/>
  <c r="I58" i="13" a="1"/>
  <c r="I58" i="13" s="1"/>
  <c r="J58" i="13" a="1"/>
  <c r="J58" i="13" s="1"/>
  <c r="H59" i="13" a="1"/>
  <c r="H59" i="13" s="1"/>
  <c r="I59" i="13" a="1"/>
  <c r="I59" i="13" s="1"/>
  <c r="J59" i="13" a="1"/>
  <c r="J59" i="13" s="1"/>
  <c r="H60" i="13" a="1"/>
  <c r="H60" i="13" s="1"/>
  <c r="I60" i="13" a="1"/>
  <c r="I60" i="13" s="1"/>
  <c r="J60" i="13" a="1"/>
  <c r="J60" i="13" s="1"/>
  <c r="H61" i="13" a="1"/>
  <c r="H61" i="13" s="1"/>
  <c r="I61" i="13" a="1"/>
  <c r="I61" i="13" s="1"/>
  <c r="J61" i="13" a="1"/>
  <c r="J61" i="13" s="1"/>
  <c r="H62" i="13" a="1"/>
  <c r="H62" i="13" s="1"/>
  <c r="I62" i="13" a="1"/>
  <c r="I62" i="13" s="1"/>
  <c r="J62" i="13" a="1"/>
  <c r="J62" i="13" s="1"/>
  <c r="H63" i="13" a="1"/>
  <c r="H63" i="13" s="1"/>
  <c r="K63" i="13" s="1"/>
  <c r="I63" i="13" a="1"/>
  <c r="I63" i="13" s="1"/>
  <c r="J63" i="13" a="1"/>
  <c r="J63" i="13" s="1"/>
  <c r="H64" i="13" a="1"/>
  <c r="H64" i="13" s="1"/>
  <c r="I64" i="13" a="1"/>
  <c r="I64" i="13" s="1"/>
  <c r="J64" i="13" a="1"/>
  <c r="J64" i="13" s="1"/>
  <c r="T80" i="13"/>
  <c r="D80" i="13" s="1" a="1"/>
  <c r="D80" i="13" s="1"/>
  <c r="U80" i="13"/>
  <c r="T81" i="13"/>
  <c r="D81" i="13" s="1" a="1"/>
  <c r="D81" i="13" s="1"/>
  <c r="U81" i="13"/>
  <c r="T82" i="13"/>
  <c r="D82" i="13" s="1" a="1"/>
  <c r="D82" i="13" s="1"/>
  <c r="U82" i="13"/>
  <c r="T83" i="13"/>
  <c r="D83" i="13" s="1" a="1"/>
  <c r="D83" i="13" s="1"/>
  <c r="U83" i="13"/>
  <c r="T84" i="13"/>
  <c r="D84" i="13" s="1" a="1"/>
  <c r="D84" i="13" s="1"/>
  <c r="U84" i="13"/>
  <c r="T85" i="13"/>
  <c r="D85" i="13" s="1" a="1"/>
  <c r="D85" i="13" s="1"/>
  <c r="U85" i="13"/>
  <c r="T86" i="13"/>
  <c r="D86" i="13" s="1" a="1"/>
  <c r="D86" i="13" s="1"/>
  <c r="U86" i="13"/>
  <c r="T87" i="13"/>
  <c r="D87" i="13" s="1" a="1"/>
  <c r="D87" i="13" s="1"/>
  <c r="U87" i="13"/>
  <c r="T88" i="13"/>
  <c r="D88" i="13" s="1" a="1"/>
  <c r="D88" i="13" s="1"/>
  <c r="U88" i="13"/>
  <c r="T89" i="13"/>
  <c r="D89" i="13" s="1" a="1"/>
  <c r="D89" i="13" s="1"/>
  <c r="U89" i="13"/>
  <c r="T90" i="13"/>
  <c r="D90" i="13" s="1" a="1"/>
  <c r="D90" i="13" s="1"/>
  <c r="U90" i="13"/>
  <c r="T91" i="13"/>
  <c r="D91" i="13" s="1" a="1"/>
  <c r="D91" i="13" s="1"/>
  <c r="U91" i="13"/>
  <c r="T92" i="13"/>
  <c r="D92" i="13" s="1" a="1"/>
  <c r="D92" i="13" s="1"/>
  <c r="U92" i="13"/>
  <c r="T93" i="13"/>
  <c r="D93" i="13" s="1" a="1"/>
  <c r="D93" i="13" s="1"/>
  <c r="U93" i="13"/>
  <c r="H51" i="12" a="1"/>
  <c r="H51" i="12" s="1"/>
  <c r="I51" i="12" a="1"/>
  <c r="I51" i="12" s="1"/>
  <c r="J51" i="12" a="1"/>
  <c r="J51" i="12" s="1"/>
  <c r="H52" i="12" a="1"/>
  <c r="H52" i="12" s="1"/>
  <c r="I52" i="12" a="1"/>
  <c r="I52" i="12" s="1"/>
  <c r="J52" i="12" a="1"/>
  <c r="J52" i="12" s="1"/>
  <c r="H53" i="12" a="1"/>
  <c r="H53" i="12" s="1"/>
  <c r="I53" i="12" a="1"/>
  <c r="I53" i="12" s="1"/>
  <c r="J53" i="12" a="1"/>
  <c r="J53" i="12" s="1"/>
  <c r="H54" i="12" a="1"/>
  <c r="H54" i="12" s="1"/>
  <c r="I54" i="12" a="1"/>
  <c r="I54" i="12" s="1"/>
  <c r="J54" i="12" a="1"/>
  <c r="J54" i="12" s="1"/>
  <c r="H55" i="12" a="1"/>
  <c r="H55" i="12" s="1"/>
  <c r="I55" i="12" a="1"/>
  <c r="I55" i="12" s="1"/>
  <c r="J55" i="12" a="1"/>
  <c r="J55" i="12" s="1"/>
  <c r="H56" i="12" a="1"/>
  <c r="H56" i="12" s="1"/>
  <c r="I56" i="12" a="1"/>
  <c r="I56" i="12" s="1"/>
  <c r="J56" i="12" a="1"/>
  <c r="J56" i="12" s="1"/>
  <c r="H57" i="12" a="1"/>
  <c r="H57" i="12" s="1"/>
  <c r="I57" i="12" a="1"/>
  <c r="I57" i="12" s="1"/>
  <c r="J57" i="12" a="1"/>
  <c r="J57" i="12" s="1"/>
  <c r="H58" i="12" a="1"/>
  <c r="H58" i="12" s="1"/>
  <c r="I58" i="12" a="1"/>
  <c r="I58" i="12" s="1"/>
  <c r="J58" i="12" a="1"/>
  <c r="J58" i="12" s="1"/>
  <c r="H59" i="12" a="1"/>
  <c r="H59" i="12" s="1"/>
  <c r="I59" i="12" a="1"/>
  <c r="I59" i="12" s="1"/>
  <c r="J59" i="12" a="1"/>
  <c r="J59" i="12" s="1"/>
  <c r="H60" i="12" a="1"/>
  <c r="H60" i="12" s="1"/>
  <c r="I60" i="12" a="1"/>
  <c r="I60" i="12" s="1"/>
  <c r="J60" i="12" a="1"/>
  <c r="J60" i="12" s="1"/>
  <c r="H61" i="12" a="1"/>
  <c r="H61" i="12" s="1"/>
  <c r="I61" i="12" a="1"/>
  <c r="I61" i="12" s="1"/>
  <c r="J61" i="12" a="1"/>
  <c r="J61" i="12" s="1"/>
  <c r="H62" i="12" a="1"/>
  <c r="H62" i="12" s="1"/>
  <c r="I62" i="12" a="1"/>
  <c r="I62" i="12" s="1"/>
  <c r="J62" i="12" a="1"/>
  <c r="J62" i="12" s="1"/>
  <c r="H63" i="12" a="1"/>
  <c r="H63" i="12" s="1"/>
  <c r="I63" i="12" a="1"/>
  <c r="I63" i="12" s="1"/>
  <c r="J63" i="12" a="1"/>
  <c r="J63" i="12" s="1"/>
  <c r="H64" i="12" a="1"/>
  <c r="H64" i="12" s="1"/>
  <c r="I64" i="12" a="1"/>
  <c r="I64" i="12" s="1"/>
  <c r="J64" i="12" a="1"/>
  <c r="J64" i="12" s="1"/>
  <c r="T80" i="12"/>
  <c r="D80" i="12" s="1" a="1"/>
  <c r="D80" i="12" s="1"/>
  <c r="U80" i="12"/>
  <c r="T81" i="12"/>
  <c r="D81" i="12" s="1" a="1"/>
  <c r="D81" i="12" s="1"/>
  <c r="U81" i="12"/>
  <c r="T82" i="12"/>
  <c r="D82" i="12" s="1" a="1"/>
  <c r="D82" i="12" s="1"/>
  <c r="U82" i="12"/>
  <c r="T83" i="12"/>
  <c r="D83" i="12" s="1" a="1"/>
  <c r="D83" i="12" s="1"/>
  <c r="U83" i="12"/>
  <c r="T84" i="12"/>
  <c r="D84" i="12" s="1" a="1"/>
  <c r="D84" i="12" s="1"/>
  <c r="U84" i="12"/>
  <c r="T85" i="12"/>
  <c r="D85" i="12" s="1" a="1"/>
  <c r="D85" i="12" s="1"/>
  <c r="U85" i="12"/>
  <c r="T86" i="12"/>
  <c r="D86" i="12" s="1" a="1"/>
  <c r="D86" i="12" s="1"/>
  <c r="U86" i="12"/>
  <c r="T87" i="12"/>
  <c r="D87" i="12" s="1" a="1"/>
  <c r="D87" i="12" s="1"/>
  <c r="U87" i="12"/>
  <c r="T88" i="12"/>
  <c r="D88" i="12" s="1" a="1"/>
  <c r="D88" i="12" s="1"/>
  <c r="U88" i="12"/>
  <c r="T89" i="12"/>
  <c r="D89" i="12" s="1" a="1"/>
  <c r="D89" i="12" s="1"/>
  <c r="U89" i="12"/>
  <c r="T90" i="12"/>
  <c r="D90" i="12" s="1" a="1"/>
  <c r="D90" i="12" s="1"/>
  <c r="U90" i="12"/>
  <c r="T91" i="12"/>
  <c r="D91" i="12" s="1" a="1"/>
  <c r="D91" i="12" s="1"/>
  <c r="U91" i="12"/>
  <c r="T92" i="12"/>
  <c r="D92" i="12" s="1" a="1"/>
  <c r="D92" i="12" s="1"/>
  <c r="U92" i="12"/>
  <c r="T93" i="12"/>
  <c r="D93" i="12" s="1" a="1"/>
  <c r="D93" i="12" s="1"/>
  <c r="U93" i="12"/>
  <c r="H51" i="11" a="1"/>
  <c r="H51" i="11" s="1"/>
  <c r="I51" i="11" a="1"/>
  <c r="I51" i="11" s="1"/>
  <c r="J51" i="11" a="1"/>
  <c r="J51" i="11" s="1"/>
  <c r="H52" i="11" a="1"/>
  <c r="H52" i="11" s="1"/>
  <c r="I52" i="11" a="1"/>
  <c r="I52" i="11" s="1"/>
  <c r="J52" i="11" a="1"/>
  <c r="J52" i="11" s="1"/>
  <c r="H53" i="11" a="1"/>
  <c r="H53" i="11" s="1"/>
  <c r="I53" i="11" a="1"/>
  <c r="I53" i="11" s="1"/>
  <c r="J53" i="11" a="1"/>
  <c r="J53" i="11" s="1"/>
  <c r="H54" i="11" a="1"/>
  <c r="H54" i="11" s="1"/>
  <c r="I54" i="11" a="1"/>
  <c r="I54" i="11" s="1"/>
  <c r="J54" i="11" a="1"/>
  <c r="J54" i="11" s="1"/>
  <c r="H55" i="11" a="1"/>
  <c r="H55" i="11" s="1"/>
  <c r="I55" i="11" a="1"/>
  <c r="I55" i="11" s="1"/>
  <c r="J55" i="11" a="1"/>
  <c r="J55" i="11" s="1"/>
  <c r="H56" i="11" a="1"/>
  <c r="H56" i="11" s="1"/>
  <c r="I56" i="11" a="1"/>
  <c r="I56" i="11" s="1"/>
  <c r="J56" i="11" a="1"/>
  <c r="J56" i="11" s="1"/>
  <c r="H57" i="11" a="1"/>
  <c r="H57" i="11" s="1"/>
  <c r="I57" i="11" a="1"/>
  <c r="I57" i="11" s="1"/>
  <c r="J57" i="11" a="1"/>
  <c r="J57" i="11" s="1"/>
  <c r="H58" i="11" a="1"/>
  <c r="H58" i="11" s="1"/>
  <c r="I58" i="11" a="1"/>
  <c r="I58" i="11" s="1"/>
  <c r="J58" i="11" a="1"/>
  <c r="J58" i="11" s="1"/>
  <c r="H59" i="11" a="1"/>
  <c r="H59" i="11" s="1"/>
  <c r="I59" i="11" a="1"/>
  <c r="I59" i="11" s="1"/>
  <c r="J59" i="11" a="1"/>
  <c r="J59" i="11" s="1"/>
  <c r="H60" i="11" a="1"/>
  <c r="H60" i="11" s="1"/>
  <c r="I60" i="11" a="1"/>
  <c r="I60" i="11" s="1"/>
  <c r="J60" i="11" a="1"/>
  <c r="J60" i="11" s="1"/>
  <c r="H61" i="11" a="1"/>
  <c r="H61" i="11" s="1"/>
  <c r="I61" i="11" a="1"/>
  <c r="I61" i="11" s="1"/>
  <c r="J61" i="11" a="1"/>
  <c r="J61" i="11" s="1"/>
  <c r="H62" i="11" a="1"/>
  <c r="H62" i="11" s="1"/>
  <c r="I62" i="11" a="1"/>
  <c r="I62" i="11" s="1"/>
  <c r="J62" i="11" a="1"/>
  <c r="J62" i="11" s="1"/>
  <c r="H63" i="11" a="1"/>
  <c r="H63" i="11" s="1"/>
  <c r="I63" i="11" a="1"/>
  <c r="I63" i="11" s="1"/>
  <c r="J63" i="11" a="1"/>
  <c r="J63" i="11" s="1"/>
  <c r="H64" i="11" a="1"/>
  <c r="H64" i="11" s="1"/>
  <c r="I64" i="11" a="1"/>
  <c r="I64" i="11" s="1"/>
  <c r="J64" i="11" a="1"/>
  <c r="J64" i="11" s="1"/>
  <c r="T80" i="11"/>
  <c r="D80" i="11" s="1" a="1"/>
  <c r="D80" i="11" s="1"/>
  <c r="U80" i="11"/>
  <c r="T81" i="11"/>
  <c r="D81" i="11" s="1" a="1"/>
  <c r="D81" i="11" s="1"/>
  <c r="U81" i="11"/>
  <c r="T82" i="11"/>
  <c r="D82" i="11" s="1" a="1"/>
  <c r="D82" i="11" s="1"/>
  <c r="U82" i="11"/>
  <c r="T83" i="11"/>
  <c r="D83" i="11" s="1" a="1"/>
  <c r="D83" i="11" s="1"/>
  <c r="U83" i="11"/>
  <c r="T84" i="11"/>
  <c r="D84" i="11" s="1" a="1"/>
  <c r="D84" i="11" s="1"/>
  <c r="U84" i="11"/>
  <c r="T85" i="11"/>
  <c r="D85" i="11" s="1" a="1"/>
  <c r="D85" i="11" s="1"/>
  <c r="U85" i="11"/>
  <c r="T86" i="11"/>
  <c r="D86" i="11" s="1" a="1"/>
  <c r="D86" i="11" s="1"/>
  <c r="U86" i="11"/>
  <c r="T87" i="11"/>
  <c r="D87" i="11" s="1" a="1"/>
  <c r="D87" i="11" s="1"/>
  <c r="U87" i="11"/>
  <c r="T88" i="11"/>
  <c r="D88" i="11" s="1" a="1"/>
  <c r="D88" i="11" s="1"/>
  <c r="U88" i="11"/>
  <c r="T89" i="11"/>
  <c r="D89" i="11" s="1" a="1"/>
  <c r="D89" i="11" s="1"/>
  <c r="U89" i="11"/>
  <c r="T90" i="11"/>
  <c r="D90" i="11" s="1" a="1"/>
  <c r="D90" i="11" s="1"/>
  <c r="U90" i="11"/>
  <c r="T91" i="11"/>
  <c r="D91" i="11" s="1" a="1"/>
  <c r="D91" i="11" s="1"/>
  <c r="U91" i="11"/>
  <c r="T92" i="11"/>
  <c r="D92" i="11" s="1" a="1"/>
  <c r="D92" i="11" s="1"/>
  <c r="U92" i="11"/>
  <c r="T93" i="11"/>
  <c r="D93" i="11" s="1" a="1"/>
  <c r="D93" i="11" s="1"/>
  <c r="U93" i="11"/>
  <c r="D93" i="10" a="1"/>
  <c r="D93" i="10" s="1"/>
  <c r="D92" i="10" a="1"/>
  <c r="D92" i="10" s="1"/>
  <c r="D91" i="10" a="1"/>
  <c r="D91" i="10" s="1"/>
  <c r="D90" i="10" a="1"/>
  <c r="D90" i="10" s="1"/>
  <c r="D89" i="10"/>
  <c r="D88" i="10" a="1"/>
  <c r="D88" i="10" s="1"/>
  <c r="D87" i="10" a="1"/>
  <c r="D87" i="10" s="1"/>
  <c r="D86" i="10" a="1"/>
  <c r="D86" i="10" s="1"/>
  <c r="D85" i="10" a="1"/>
  <c r="D85" i="10" s="1"/>
  <c r="D84" i="10"/>
  <c r="D83" i="10" a="1"/>
  <c r="D83" i="10" s="1"/>
  <c r="D82" i="10" a="1"/>
  <c r="D82" i="10"/>
  <c r="D81" i="10" a="1"/>
  <c r="D81" i="10" s="1"/>
  <c r="D80" i="10" a="1"/>
  <c r="D80" i="10" s="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J64" i="10" a="1"/>
  <c r="J64" i="10" s="1"/>
  <c r="I64" i="10" a="1"/>
  <c r="I64" i="10" s="1"/>
  <c r="H64" i="10" a="1"/>
  <c r="H64" i="10"/>
  <c r="J63" i="10" a="1"/>
  <c r="J63" i="10"/>
  <c r="I63" i="10" a="1"/>
  <c r="I63" i="10"/>
  <c r="H63" i="10" a="1"/>
  <c r="H63" i="10" s="1"/>
  <c r="J62" i="10" a="1"/>
  <c r="J62" i="10"/>
  <c r="I62" i="10" a="1"/>
  <c r="I62" i="10"/>
  <c r="H62" i="10" a="1"/>
  <c r="H62" i="10"/>
  <c r="J61" i="10" a="1"/>
  <c r="J61" i="10" s="1"/>
  <c r="I61" i="10" a="1"/>
  <c r="I61" i="10"/>
  <c r="H61" i="10" a="1"/>
  <c r="H61" i="10"/>
  <c r="J60" i="10"/>
  <c r="I60" i="10"/>
  <c r="H60" i="10"/>
  <c r="J59" i="10" a="1"/>
  <c r="J59" i="10" s="1"/>
  <c r="I59" i="10" a="1"/>
  <c r="I59" i="10"/>
  <c r="H59" i="10" a="1"/>
  <c r="H59" i="10" s="1"/>
  <c r="J58" i="10" a="1"/>
  <c r="J58" i="10"/>
  <c r="I58" i="10" a="1"/>
  <c r="I58" i="10" s="1"/>
  <c r="H58" i="10" a="1"/>
  <c r="H58" i="10"/>
  <c r="J57" i="10" a="1"/>
  <c r="J57" i="10"/>
  <c r="I57" i="10" a="1"/>
  <c r="I57" i="10"/>
  <c r="H57" i="10" a="1"/>
  <c r="H57" i="10" s="1"/>
  <c r="J56" i="10" a="1"/>
  <c r="J56" i="10"/>
  <c r="I56" i="10" a="1"/>
  <c r="I56" i="10" s="1"/>
  <c r="H56" i="10" a="1"/>
  <c r="H56" i="10" s="1"/>
  <c r="J55" i="10"/>
  <c r="I55" i="10"/>
  <c r="H55" i="10"/>
  <c r="J54" i="10" a="1"/>
  <c r="J54" i="10" s="1"/>
  <c r="I54" i="10" a="1"/>
  <c r="I54" i="10" s="1"/>
  <c r="H54" i="10" a="1"/>
  <c r="H54" i="10" s="1"/>
  <c r="J53" i="10" a="1"/>
  <c r="J53" i="10" s="1"/>
  <c r="I53" i="10" a="1"/>
  <c r="I53" i="10" s="1"/>
  <c r="H53" i="10" a="1"/>
  <c r="H53" i="10" s="1"/>
  <c r="J52" i="10" a="1"/>
  <c r="J52" i="10"/>
  <c r="I52" i="10" a="1"/>
  <c r="I52" i="10"/>
  <c r="H52" i="10" a="1"/>
  <c r="H52" i="10" s="1"/>
  <c r="J51" i="10" a="1"/>
  <c r="J51" i="10" s="1"/>
  <c r="I51" i="10" a="1"/>
  <c r="I51" i="10" s="1"/>
  <c r="H51" i="10" a="1"/>
  <c r="H51" i="10" s="1"/>
  <c r="D44" i="14"/>
  <c r="K44" i="14" s="1"/>
  <c r="D43" i="14"/>
  <c r="D42" i="14"/>
  <c r="M20" i="14"/>
  <c r="M21" i="14" s="1"/>
  <c r="E45" i="14" s="1"/>
  <c r="O7" i="14"/>
  <c r="N7" i="14"/>
  <c r="M7" i="14"/>
  <c r="E65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D44" i="13"/>
  <c r="I44" i="13" s="1"/>
  <c r="D43" i="13"/>
  <c r="D42" i="13"/>
  <c r="M20" i="13"/>
  <c r="M21" i="13" s="1"/>
  <c r="E45" i="13" s="1"/>
  <c r="O7" i="13"/>
  <c r="N7" i="13"/>
  <c r="M7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D44" i="12"/>
  <c r="G44" i="12" s="1"/>
  <c r="D43" i="12"/>
  <c r="D42" i="12"/>
  <c r="M20" i="12"/>
  <c r="M21" i="12" s="1"/>
  <c r="E45" i="12" s="1"/>
  <c r="O7" i="12"/>
  <c r="N7" i="12"/>
  <c r="M7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D44" i="11"/>
  <c r="K44" i="11" s="1"/>
  <c r="D43" i="11"/>
  <c r="D42" i="11"/>
  <c r="M20" i="11"/>
  <c r="M21" i="11" s="1"/>
  <c r="E45" i="11" s="1"/>
  <c r="O7" i="11"/>
  <c r="N7" i="11"/>
  <c r="M7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D44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M20" i="10"/>
  <c r="M21" i="10" s="1"/>
  <c r="E45" i="10" s="1"/>
  <c r="O7" i="10"/>
  <c r="N7" i="10"/>
  <c r="M7" i="10"/>
  <c r="E3" i="14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49" i="14"/>
  <c r="N49" i="14"/>
  <c r="O49" i="14"/>
  <c r="P49" i="14"/>
  <c r="Q49" i="14"/>
  <c r="R49" i="14"/>
  <c r="G68" i="14"/>
  <c r="H68" i="14"/>
  <c r="I68" i="14"/>
  <c r="J68" i="14"/>
  <c r="K68" i="14"/>
  <c r="L68" i="14"/>
  <c r="G41" i="14"/>
  <c r="H41" i="14"/>
  <c r="I41" i="14"/>
  <c r="J41" i="14"/>
  <c r="K41" i="14"/>
  <c r="L41" i="14"/>
  <c r="M49" i="13"/>
  <c r="N49" i="13"/>
  <c r="O49" i="13"/>
  <c r="P49" i="13"/>
  <c r="Q49" i="13"/>
  <c r="R49" i="13"/>
  <c r="G68" i="13"/>
  <c r="H68" i="13"/>
  <c r="I68" i="13"/>
  <c r="J68" i="13"/>
  <c r="K68" i="13"/>
  <c r="L68" i="13"/>
  <c r="G41" i="13"/>
  <c r="H41" i="13"/>
  <c r="I41" i="13"/>
  <c r="J41" i="13"/>
  <c r="K41" i="13"/>
  <c r="L41" i="13"/>
  <c r="M49" i="12"/>
  <c r="N49" i="12"/>
  <c r="O49" i="12"/>
  <c r="P49" i="12"/>
  <c r="Q49" i="12"/>
  <c r="R49" i="12"/>
  <c r="G68" i="12"/>
  <c r="H68" i="12"/>
  <c r="I68" i="12"/>
  <c r="J68" i="12"/>
  <c r="K68" i="12"/>
  <c r="L68" i="12"/>
  <c r="G41" i="12"/>
  <c r="H41" i="12"/>
  <c r="I41" i="12"/>
  <c r="J41" i="12"/>
  <c r="K41" i="12"/>
  <c r="L41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49" i="11"/>
  <c r="N49" i="11"/>
  <c r="O49" i="11"/>
  <c r="P49" i="11"/>
  <c r="Q49" i="11"/>
  <c r="R49" i="11"/>
  <c r="M49" i="10"/>
  <c r="N49" i="10"/>
  <c r="O49" i="10"/>
  <c r="P49" i="10"/>
  <c r="Q49" i="10"/>
  <c r="R49" i="10"/>
  <c r="G68" i="11"/>
  <c r="H68" i="11"/>
  <c r="I68" i="11"/>
  <c r="J68" i="11"/>
  <c r="K68" i="11"/>
  <c r="L68" i="11"/>
  <c r="G41" i="11"/>
  <c r="H41" i="11"/>
  <c r="I41" i="11"/>
  <c r="J41" i="11"/>
  <c r="K41" i="11"/>
  <c r="L41" i="11"/>
  <c r="G68" i="10"/>
  <c r="H68" i="10"/>
  <c r="I68" i="10"/>
  <c r="J68" i="10"/>
  <c r="K68" i="10"/>
  <c r="L68" i="10"/>
  <c r="G41" i="10"/>
  <c r="H41" i="10"/>
  <c r="I41" i="10"/>
  <c r="J41" i="10"/>
  <c r="K41" i="10"/>
  <c r="L41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K55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60" i="12" l="1"/>
  <c r="K54" i="13"/>
  <c r="K54" i="10"/>
  <c r="G44" i="11"/>
  <c r="K58" i="13"/>
  <c r="H65" i="11"/>
  <c r="E42" i="11" s="1"/>
  <c r="K57" i="11"/>
  <c r="K59" i="13"/>
  <c r="K64" i="12"/>
  <c r="K55" i="14"/>
  <c r="K64" i="13"/>
  <c r="K55" i="11"/>
  <c r="K64" i="11"/>
  <c r="K55" i="12"/>
  <c r="F65" i="12"/>
  <c r="G44" i="14"/>
  <c r="F65" i="14"/>
  <c r="K61" i="10"/>
  <c r="I44" i="11"/>
  <c r="J44" i="11" s="1"/>
  <c r="K44" i="13"/>
  <c r="L44" i="13" s="1"/>
  <c r="K53" i="14"/>
  <c r="F65" i="13"/>
  <c r="F65" i="11"/>
  <c r="H44" i="14"/>
  <c r="K59" i="11"/>
  <c r="K53" i="11"/>
  <c r="K59" i="12"/>
  <c r="K56" i="11"/>
  <c r="K62" i="12"/>
  <c r="I65" i="13"/>
  <c r="E43" i="13" s="1"/>
  <c r="K62" i="13"/>
  <c r="K52" i="14"/>
  <c r="K62" i="11"/>
  <c r="K60" i="10"/>
  <c r="K64" i="14"/>
  <c r="K61" i="12"/>
  <c r="K61" i="13"/>
  <c r="K56" i="14"/>
  <c r="K59" i="10"/>
  <c r="I44" i="14"/>
  <c r="J44" i="14" s="1"/>
  <c r="K58" i="10"/>
  <c r="K62" i="10"/>
  <c r="K53" i="10"/>
  <c r="K57" i="10"/>
  <c r="I65" i="10"/>
  <c r="E43" i="10" s="1"/>
  <c r="J65" i="10"/>
  <c r="E44" i="10" s="1"/>
  <c r="I44" i="10" s="1"/>
  <c r="J44" i="10" s="1"/>
  <c r="H65" i="10"/>
  <c r="E42" i="10" s="1"/>
  <c r="K52" i="10"/>
  <c r="K56" i="10"/>
  <c r="K63" i="10"/>
  <c r="K64" i="10"/>
  <c r="K51" i="10"/>
  <c r="F65" i="10"/>
  <c r="K60" i="14"/>
  <c r="K59" i="14"/>
  <c r="K63" i="14"/>
  <c r="I65" i="14"/>
  <c r="E43" i="14" s="1"/>
  <c r="K62" i="14"/>
  <c r="K61" i="14"/>
  <c r="H65" i="14"/>
  <c r="E42" i="14" s="1"/>
  <c r="K57" i="14"/>
  <c r="J65" i="14"/>
  <c r="E44" i="14" s="1"/>
  <c r="F44" i="14" s="1"/>
  <c r="K55" i="13"/>
  <c r="H65" i="13"/>
  <c r="E42" i="13" s="1"/>
  <c r="K56" i="13"/>
  <c r="K53" i="13"/>
  <c r="K60" i="13"/>
  <c r="K52" i="13"/>
  <c r="K56" i="12"/>
  <c r="H65" i="12"/>
  <c r="E42" i="12" s="1"/>
  <c r="K63" i="12"/>
  <c r="K53" i="12"/>
  <c r="K60" i="11"/>
  <c r="I65" i="11"/>
  <c r="E43" i="11" s="1"/>
  <c r="K61" i="11"/>
  <c r="K52" i="11"/>
  <c r="K58" i="11"/>
  <c r="K63" i="11"/>
  <c r="H44" i="11"/>
  <c r="L44" i="14"/>
  <c r="L44" i="11"/>
  <c r="H44" i="12"/>
  <c r="J44" i="13"/>
  <c r="K57" i="12"/>
  <c r="K57" i="13"/>
  <c r="K58" i="12"/>
  <c r="K54" i="14"/>
  <c r="I65" i="12"/>
  <c r="E43" i="12" s="1"/>
  <c r="J65" i="12"/>
  <c r="E44" i="12" s="1"/>
  <c r="F44" i="12" s="1"/>
  <c r="K52" i="12"/>
  <c r="K58" i="14"/>
  <c r="K54" i="11"/>
  <c r="K54" i="12"/>
  <c r="J65" i="11"/>
  <c r="E44" i="11" s="1"/>
  <c r="F44" i="11" s="1"/>
  <c r="J65" i="13"/>
  <c r="E44" i="13" s="1"/>
  <c r="F44" i="13" s="1"/>
  <c r="K51" i="12"/>
  <c r="G44" i="13"/>
  <c r="H44" i="13" s="1"/>
  <c r="K44" i="12"/>
  <c r="L44" i="12" s="1"/>
  <c r="I44" i="12"/>
  <c r="J44" i="12" s="1"/>
  <c r="K51" i="13"/>
  <c r="K51" i="11"/>
  <c r="K51" i="14"/>
  <c r="D94" i="9"/>
  <c r="D84" i="8"/>
  <c r="D94" i="8" s="1"/>
  <c r="E46" i="11" l="1"/>
  <c r="G44" i="10"/>
  <c r="H44" i="10" s="1"/>
  <c r="E46" i="14"/>
  <c r="K44" i="10"/>
  <c r="L44" i="10" s="1"/>
  <c r="F44" i="10"/>
  <c r="K65" i="10"/>
  <c r="E46" i="10"/>
  <c r="K65" i="14"/>
  <c r="K65" i="13"/>
  <c r="K65" i="12"/>
  <c r="K65" i="11"/>
  <c r="E46" i="12"/>
  <c r="E46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6" i="14" s="1"/>
  <c r="F46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G52" i="14" s="1"/>
  <c r="D51" i="14"/>
  <c r="F40" i="14"/>
  <c r="D73" i="13"/>
  <c r="D72" i="13"/>
  <c r="D71" i="13"/>
  <c r="D70" i="13"/>
  <c r="D69" i="13"/>
  <c r="D45" i="13"/>
  <c r="D46" i="13" s="1"/>
  <c r="F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G59" i="13" s="1"/>
  <c r="D58" i="13"/>
  <c r="G58" i="13" s="1"/>
  <c r="D57" i="13"/>
  <c r="D56" i="13"/>
  <c r="D55" i="13"/>
  <c r="D54" i="13"/>
  <c r="D53" i="13"/>
  <c r="D52" i="13"/>
  <c r="D51" i="13"/>
  <c r="F40" i="13"/>
  <c r="D73" i="12"/>
  <c r="D72" i="12"/>
  <c r="D71" i="12"/>
  <c r="D70" i="12"/>
  <c r="D69" i="12"/>
  <c r="D45" i="12"/>
  <c r="D46" i="12" s="1"/>
  <c r="F46" i="12" s="1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G62" i="12" s="1"/>
  <c r="D61" i="12"/>
  <c r="G61" i="12" s="1"/>
  <c r="D60" i="12"/>
  <c r="D59" i="12"/>
  <c r="D58" i="12"/>
  <c r="D57" i="12"/>
  <c r="D56" i="12"/>
  <c r="D55" i="12"/>
  <c r="D54" i="12"/>
  <c r="G54" i="12" s="1"/>
  <c r="D53" i="12"/>
  <c r="G53" i="12" s="1"/>
  <c r="D52" i="12"/>
  <c r="D51" i="12"/>
  <c r="F40" i="12"/>
  <c r="D73" i="11"/>
  <c r="D72" i="11"/>
  <c r="D71" i="11"/>
  <c r="D70" i="11"/>
  <c r="D69" i="11"/>
  <c r="D45" i="11"/>
  <c r="D46" i="11" s="1"/>
  <c r="F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G57" i="11" s="1"/>
  <c r="D56" i="11"/>
  <c r="D55" i="11"/>
  <c r="D54" i="11"/>
  <c r="D53" i="11"/>
  <c r="D52" i="11"/>
  <c r="D51" i="11"/>
  <c r="F40" i="11"/>
  <c r="D73" i="10"/>
  <c r="D72" i="10"/>
  <c r="D71" i="10"/>
  <c r="D70" i="10"/>
  <c r="D69" i="10"/>
  <c r="D45" i="10"/>
  <c r="D43" i="10"/>
  <c r="D42" i="10"/>
  <c r="D46" i="10" s="1"/>
  <c r="F46" i="10" s="1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F40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E73" i="14"/>
  <c r="F73" i="14" s="1"/>
  <c r="E72" i="14"/>
  <c r="F72" i="14" s="1"/>
  <c r="E70" i="14"/>
  <c r="E69" i="14"/>
  <c r="E73" i="13"/>
  <c r="E72" i="13"/>
  <c r="E70" i="13"/>
  <c r="E69" i="13"/>
  <c r="E73" i="12"/>
  <c r="E72" i="12"/>
  <c r="E70" i="12"/>
  <c r="E69" i="12"/>
  <c r="E73" i="11"/>
  <c r="E72" i="11"/>
  <c r="E70" i="11"/>
  <c r="E69" i="11"/>
  <c r="E73" i="10"/>
  <c r="E72" i="10"/>
  <c r="E70" i="10"/>
  <c r="E69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63" i="8"/>
  <c r="G53" i="10"/>
  <c r="G61" i="10"/>
  <c r="L61" i="10" s="1"/>
  <c r="G56" i="11"/>
  <c r="L56" i="11" s="1"/>
  <c r="G64" i="11"/>
  <c r="F52" i="7"/>
  <c r="F55" i="8"/>
  <c r="G54" i="10"/>
  <c r="G62" i="10"/>
  <c r="G53" i="13"/>
  <c r="G61" i="13"/>
  <c r="Q61" i="13" s="1"/>
  <c r="R61" i="13" s="1"/>
  <c r="G59" i="10"/>
  <c r="L59" i="10" s="1"/>
  <c r="G55" i="10"/>
  <c r="L55" i="10" s="1"/>
  <c r="F55" i="9"/>
  <c r="G56" i="10"/>
  <c r="G64" i="10"/>
  <c r="G59" i="11"/>
  <c r="G56" i="12"/>
  <c r="G64" i="12"/>
  <c r="L64" i="12" s="1"/>
  <c r="F58" i="7"/>
  <c r="F53" i="8"/>
  <c r="F56" i="9"/>
  <c r="F64" i="9"/>
  <c r="G57" i="10"/>
  <c r="E65" i="10"/>
  <c r="G52" i="11"/>
  <c r="G60" i="11"/>
  <c r="G57" i="12"/>
  <c r="Q57" i="12" s="1"/>
  <c r="R57" i="12" s="1"/>
  <c r="G54" i="13"/>
  <c r="Q54" i="13" s="1"/>
  <c r="R54" i="13" s="1"/>
  <c r="G62" i="13"/>
  <c r="G58" i="10"/>
  <c r="Q58" i="10" s="1"/>
  <c r="R58" i="10" s="1"/>
  <c r="G63" i="10"/>
  <c r="G52" i="10"/>
  <c r="G60" i="10"/>
  <c r="G51" i="10"/>
  <c r="D65" i="10"/>
  <c r="E65" i="11"/>
  <c r="D65" i="13"/>
  <c r="G51" i="13"/>
  <c r="L51" i="13" s="1"/>
  <c r="G58" i="11"/>
  <c r="G55" i="12"/>
  <c r="M55" i="12" s="1"/>
  <c r="N55" i="12" s="1"/>
  <c r="G63" i="12"/>
  <c r="M63" i="12" s="1"/>
  <c r="N63" i="12" s="1"/>
  <c r="G52" i="13"/>
  <c r="Q52" i="13" s="1"/>
  <c r="R52" i="13" s="1"/>
  <c r="G60" i="13"/>
  <c r="O60" i="13" s="1"/>
  <c r="P60" i="13" s="1"/>
  <c r="E65" i="12"/>
  <c r="D65" i="14"/>
  <c r="G51" i="14"/>
  <c r="G65" i="14" s="1"/>
  <c r="G51" i="11"/>
  <c r="D65" i="11"/>
  <c r="G53" i="11"/>
  <c r="G61" i="11"/>
  <c r="Q61" i="11" s="1"/>
  <c r="R61" i="11" s="1"/>
  <c r="G58" i="12"/>
  <c r="O58" i="12" s="1"/>
  <c r="P58" i="12" s="1"/>
  <c r="G55" i="13"/>
  <c r="M55" i="13" s="1"/>
  <c r="N55" i="13" s="1"/>
  <c r="G63" i="13"/>
  <c r="G54" i="11"/>
  <c r="M54" i="11" s="1"/>
  <c r="N54" i="11" s="1"/>
  <c r="G62" i="11"/>
  <c r="L62" i="11" s="1"/>
  <c r="D65" i="12"/>
  <c r="G51" i="12"/>
  <c r="G59" i="12"/>
  <c r="L59" i="12" s="1"/>
  <c r="G56" i="13"/>
  <c r="Q56" i="13" s="1"/>
  <c r="R56" i="13" s="1"/>
  <c r="G64" i="13"/>
  <c r="O64" i="13" s="1"/>
  <c r="P64" i="13" s="1"/>
  <c r="G55" i="11"/>
  <c r="O55" i="11" s="1"/>
  <c r="P55" i="11" s="1"/>
  <c r="G63" i="11"/>
  <c r="L63" i="11" s="1"/>
  <c r="G52" i="12"/>
  <c r="G60" i="12"/>
  <c r="O60" i="12" s="1"/>
  <c r="P60" i="12" s="1"/>
  <c r="G57" i="13"/>
  <c r="E65" i="13"/>
  <c r="F51" i="8"/>
  <c r="Q52" i="11"/>
  <c r="R52" i="11" s="1"/>
  <c r="L58" i="13"/>
  <c r="O63" i="10"/>
  <c r="P63" i="10" s="1"/>
  <c r="F69" i="13"/>
  <c r="M62" i="12"/>
  <c r="N62" i="12" s="1"/>
  <c r="M53" i="12"/>
  <c r="N53" i="12" s="1"/>
  <c r="L61" i="12"/>
  <c r="F73" i="12"/>
  <c r="D74" i="14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K69" i="8"/>
  <c r="L69" i="8" s="1"/>
  <c r="G69" i="8"/>
  <c r="I69" i="8"/>
  <c r="J69" i="8" s="1"/>
  <c r="G70" i="11"/>
  <c r="I70" i="11"/>
  <c r="J70" i="11" s="1"/>
  <c r="K70" i="11"/>
  <c r="L70" i="11" s="1"/>
  <c r="F69" i="14"/>
  <c r="G70" i="8"/>
  <c r="H70" i="8" s="1"/>
  <c r="I70" i="8"/>
  <c r="J70" i="8" s="1"/>
  <c r="K70" i="8"/>
  <c r="L70" i="8" s="1"/>
  <c r="K72" i="11"/>
  <c r="L72" i="11" s="1"/>
  <c r="G72" i="11"/>
  <c r="H72" i="11" s="1"/>
  <c r="I72" i="11"/>
  <c r="J72" i="11" s="1"/>
  <c r="L64" i="11"/>
  <c r="Q64" i="11"/>
  <c r="R64" i="11" s="1"/>
  <c r="M64" i="11"/>
  <c r="N64" i="11" s="1"/>
  <c r="O64" i="11"/>
  <c r="P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L53" i="13"/>
  <c r="O56" i="11"/>
  <c r="P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2" i="1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3" i="10"/>
  <c r="N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8" i="10"/>
  <c r="N58" i="10" s="1"/>
  <c r="M61" i="10"/>
  <c r="N61" i="10" s="1"/>
  <c r="Q61" i="10"/>
  <c r="R61" i="10" s="1"/>
  <c r="O58" i="13"/>
  <c r="P58" i="13" s="1"/>
  <c r="Q58" i="13"/>
  <c r="R58" i="13" s="1"/>
  <c r="Q51" i="14"/>
  <c r="M51" i="14"/>
  <c r="L59" i="14"/>
  <c r="O59" i="14"/>
  <c r="P59" i="14" s="1"/>
  <c r="Q59" i="14"/>
  <c r="R59" i="14" s="1"/>
  <c r="M59" i="14"/>
  <c r="N59" i="14" s="1"/>
  <c r="L55" i="14"/>
  <c r="O55" i="14"/>
  <c r="P55" i="14" s="1"/>
  <c r="Q55" i="14"/>
  <c r="R55" i="14" s="1"/>
  <c r="M55" i="14"/>
  <c r="N55" i="14" s="1"/>
  <c r="L57" i="14"/>
  <c r="M57" i="14"/>
  <c r="N57" i="14" s="1"/>
  <c r="O57" i="14"/>
  <c r="P57" i="14" s="1"/>
  <c r="Q57" i="14"/>
  <c r="R57" i="14" s="1"/>
  <c r="L61" i="14"/>
  <c r="M61" i="14"/>
  <c r="N61" i="14" s="1"/>
  <c r="O61" i="14"/>
  <c r="P61" i="14" s="1"/>
  <c r="Q61" i="14"/>
  <c r="R61" i="14" s="1"/>
  <c r="L56" i="12"/>
  <c r="Q56" i="12"/>
  <c r="R56" i="12" s="1"/>
  <c r="O56" i="12"/>
  <c r="P56" i="12" s="1"/>
  <c r="M56" i="12"/>
  <c r="N56" i="12" s="1"/>
  <c r="L59" i="13"/>
  <c r="O59" i="13"/>
  <c r="P59" i="13" s="1"/>
  <c r="Q59" i="13"/>
  <c r="R59" i="13" s="1"/>
  <c r="M59" i="13"/>
  <c r="N59" i="13" s="1"/>
  <c r="L52" i="14"/>
  <c r="Q52" i="14"/>
  <c r="R52" i="14" s="1"/>
  <c r="M52" i="14"/>
  <c r="N52" i="14" s="1"/>
  <c r="O52" i="14"/>
  <c r="P52" i="14" s="1"/>
  <c r="L62" i="14"/>
  <c r="M62" i="14"/>
  <c r="N62" i="14" s="1"/>
  <c r="O62" i="14"/>
  <c r="P62" i="14" s="1"/>
  <c r="Q62" i="14"/>
  <c r="R62" i="14" s="1"/>
  <c r="I73" i="14"/>
  <c r="J73" i="14" s="1"/>
  <c r="K73" i="14"/>
  <c r="L73" i="14" s="1"/>
  <c r="G73" i="14"/>
  <c r="H73" i="14" s="1"/>
  <c r="I69" i="14"/>
  <c r="K69" i="14"/>
  <c r="G69" i="14"/>
  <c r="L53" i="14"/>
  <c r="M53" i="14"/>
  <c r="N53" i="14" s="1"/>
  <c r="O53" i="14"/>
  <c r="P53" i="14" s="1"/>
  <c r="Q53" i="14"/>
  <c r="R53" i="14" s="1"/>
  <c r="L63" i="14"/>
  <c r="O63" i="14"/>
  <c r="P63" i="14" s="1"/>
  <c r="Q63" i="14"/>
  <c r="R63" i="14" s="1"/>
  <c r="M63" i="14"/>
  <c r="N63" i="14" s="1"/>
  <c r="I69" i="12"/>
  <c r="K69" i="12"/>
  <c r="G69" i="12"/>
  <c r="G72" i="13"/>
  <c r="H72" i="13" s="1"/>
  <c r="I72" i="13"/>
  <c r="J72" i="13" s="1"/>
  <c r="K72" i="13"/>
  <c r="L72" i="13" s="1"/>
  <c r="L56" i="14"/>
  <c r="Q56" i="14"/>
  <c r="R56" i="14" s="1"/>
  <c r="M56" i="14"/>
  <c r="N56" i="14" s="1"/>
  <c r="O56" i="14"/>
  <c r="P56" i="14" s="1"/>
  <c r="L54" i="14"/>
  <c r="M54" i="14"/>
  <c r="N54" i="14" s="1"/>
  <c r="O54" i="14"/>
  <c r="P54" i="14" s="1"/>
  <c r="Q54" i="14"/>
  <c r="R54" i="14" s="1"/>
  <c r="L64" i="14"/>
  <c r="Q64" i="14"/>
  <c r="R64" i="14" s="1"/>
  <c r="M64" i="14"/>
  <c r="N64" i="14" s="1"/>
  <c r="O64" i="14"/>
  <c r="P64" i="14" s="1"/>
  <c r="K70" i="12"/>
  <c r="L70" i="12" s="1"/>
  <c r="I70" i="12"/>
  <c r="J70" i="12" s="1"/>
  <c r="G70" i="12"/>
  <c r="H70" i="12" s="1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L54" i="13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L60" i="14"/>
  <c r="Q60" i="14"/>
  <c r="R60" i="14" s="1"/>
  <c r="M60" i="14"/>
  <c r="N60" i="14" s="1"/>
  <c r="O60" i="14"/>
  <c r="P60" i="14" s="1"/>
  <c r="I69" i="13"/>
  <c r="K69" i="13"/>
  <c r="G69" i="13"/>
  <c r="L58" i="14"/>
  <c r="M58" i="14"/>
  <c r="N58" i="14" s="1"/>
  <c r="O58" i="14"/>
  <c r="P58" i="14" s="1"/>
  <c r="Q58" i="14"/>
  <c r="R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45" i="10"/>
  <c r="F70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4" i="10"/>
  <c r="F53" i="9"/>
  <c r="F60" i="9"/>
  <c r="F69" i="12"/>
  <c r="F61" i="9"/>
  <c r="D46" i="9"/>
  <c r="F54" i="9"/>
  <c r="F62" i="9"/>
  <c r="D74" i="12"/>
  <c r="D74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0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2" i="12"/>
  <c r="F70" i="8"/>
  <c r="I56" i="9"/>
  <c r="J56" i="9" s="1"/>
  <c r="F72" i="11"/>
  <c r="G43" i="10"/>
  <c r="H43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3" i="13"/>
  <c r="L43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D94" i="11"/>
  <c r="F73" i="13"/>
  <c r="I63" i="7"/>
  <c r="F70" i="12"/>
  <c r="I56" i="8"/>
  <c r="H52" i="8"/>
  <c r="G43" i="12"/>
  <c r="H43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K42" i="12"/>
  <c r="I62" i="8"/>
  <c r="I58" i="9"/>
  <c r="K43" i="11"/>
  <c r="L43" i="11" s="1"/>
  <c r="I45" i="11"/>
  <c r="J45" i="11" s="1"/>
  <c r="E71" i="11"/>
  <c r="E74" i="11" s="1"/>
  <c r="G42" i="14"/>
  <c r="E71" i="14"/>
  <c r="E74" i="14" s="1"/>
  <c r="K45" i="14"/>
  <c r="L45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I58" i="7"/>
  <c r="E71" i="8"/>
  <c r="E74" i="8" s="1"/>
  <c r="F69" i="10"/>
  <c r="I60" i="7"/>
  <c r="O60" i="7" s="1"/>
  <c r="P60" i="7" s="1"/>
  <c r="I64" i="7"/>
  <c r="I54" i="8"/>
  <c r="I51" i="8"/>
  <c r="I53" i="8"/>
  <c r="K53" i="8" s="1"/>
  <c r="L53" i="8" s="1"/>
  <c r="I59" i="8"/>
  <c r="E44" i="9"/>
  <c r="F44" i="9" s="1"/>
  <c r="H52" i="9"/>
  <c r="K42" i="10"/>
  <c r="F72" i="10"/>
  <c r="G42" i="13"/>
  <c r="F72" i="13"/>
  <c r="F73" i="11"/>
  <c r="G42" i="11"/>
  <c r="G65" i="9"/>
  <c r="E43" i="9" s="1"/>
  <c r="F43" i="9" s="1"/>
  <c r="E71" i="10"/>
  <c r="E74" i="10" s="1"/>
  <c r="F45" i="13"/>
  <c r="F69" i="11"/>
  <c r="E71" i="12"/>
  <c r="G71" i="12" s="1"/>
  <c r="H71" i="12" s="1"/>
  <c r="K45" i="12"/>
  <c r="L45" i="12" s="1"/>
  <c r="F70" i="10"/>
  <c r="F70" i="13"/>
  <c r="F70" i="9"/>
  <c r="F72" i="9"/>
  <c r="E71" i="13"/>
  <c r="G71" i="13" s="1"/>
  <c r="H71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K51" i="8" l="1"/>
  <c r="Q60" i="13"/>
  <c r="R60" i="13" s="1"/>
  <c r="L58" i="10"/>
  <c r="L61" i="11"/>
  <c r="M60" i="13"/>
  <c r="N60" i="13" s="1"/>
  <c r="L60" i="13"/>
  <c r="O61" i="10"/>
  <c r="P61" i="10" s="1"/>
  <c r="M56" i="11"/>
  <c r="N56" i="11" s="1"/>
  <c r="Q56" i="11"/>
  <c r="R56" i="11" s="1"/>
  <c r="K58" i="7"/>
  <c r="L58" i="7" s="1"/>
  <c r="L52" i="13"/>
  <c r="M59" i="12"/>
  <c r="N59" i="12" s="1"/>
  <c r="O51" i="14"/>
  <c r="P51" i="14" s="1"/>
  <c r="O58" i="10"/>
  <c r="P58" i="10" s="1"/>
  <c r="O59" i="12"/>
  <c r="P59" i="12" s="1"/>
  <c r="L51" i="14"/>
  <c r="O54" i="13"/>
  <c r="P54" i="13" s="1"/>
  <c r="G65" i="10"/>
  <c r="G65" i="12"/>
  <c r="Q59" i="12"/>
  <c r="R59" i="12" s="1"/>
  <c r="J53" i="9"/>
  <c r="M52" i="13"/>
  <c r="N52" i="13" s="1"/>
  <c r="O52" i="13"/>
  <c r="P52" i="13" s="1"/>
  <c r="Q55" i="12"/>
  <c r="R55" i="12" s="1"/>
  <c r="O61" i="11"/>
  <c r="P61" i="11" s="1"/>
  <c r="M61" i="11"/>
  <c r="N61" i="11" s="1"/>
  <c r="G65" i="11"/>
  <c r="G65" i="13"/>
  <c r="G46" i="13"/>
  <c r="H46" i="13" s="1"/>
  <c r="F74" i="14"/>
  <c r="L51" i="12"/>
  <c r="O55" i="12"/>
  <c r="P55" i="12" s="1"/>
  <c r="L55" i="12"/>
  <c r="M58" i="13"/>
  <c r="N58" i="13" s="1"/>
  <c r="O61" i="12"/>
  <c r="P61" i="12" s="1"/>
  <c r="L53" i="12"/>
  <c r="M55" i="11"/>
  <c r="N55" i="11" s="1"/>
  <c r="Q59" i="10"/>
  <c r="R59" i="10" s="1"/>
  <c r="Q63" i="10"/>
  <c r="R63" i="10" s="1"/>
  <c r="Q64" i="13"/>
  <c r="R64" i="13" s="1"/>
  <c r="L63" i="10"/>
  <c r="M63" i="10"/>
  <c r="N63" i="10" s="1"/>
  <c r="L64" i="13"/>
  <c r="Q55" i="10"/>
  <c r="R55" i="10" s="1"/>
  <c r="M55" i="10"/>
  <c r="N55" i="10" s="1"/>
  <c r="O55" i="10"/>
  <c r="P55" i="10" s="1"/>
  <c r="O62" i="12"/>
  <c r="P62" i="12" s="1"/>
  <c r="F74" i="11"/>
  <c r="Q60" i="12"/>
  <c r="R60" i="12" s="1"/>
  <c r="Q61" i="12"/>
  <c r="R61" i="12" s="1"/>
  <c r="O61" i="13"/>
  <c r="P61" i="13" s="1"/>
  <c r="L62" i="12"/>
  <c r="M60" i="12"/>
  <c r="N60" i="12" s="1"/>
  <c r="M53" i="13"/>
  <c r="N53" i="13" s="1"/>
  <c r="M51" i="13"/>
  <c r="N51" i="13" s="1"/>
  <c r="L56" i="13"/>
  <c r="Q63" i="12"/>
  <c r="R63" i="12" s="1"/>
  <c r="M61" i="12"/>
  <c r="N61" i="12" s="1"/>
  <c r="M64" i="13"/>
  <c r="N64" i="13" s="1"/>
  <c r="Q55" i="13"/>
  <c r="R55" i="13" s="1"/>
  <c r="M56" i="13"/>
  <c r="N56" i="13" s="1"/>
  <c r="O51" i="12"/>
  <c r="P51" i="12" s="1"/>
  <c r="O56" i="13"/>
  <c r="P56" i="13" s="1"/>
  <c r="M51" i="12"/>
  <c r="N51" i="12" s="1"/>
  <c r="Q62" i="12"/>
  <c r="R62" i="12" s="1"/>
  <c r="O63" i="12"/>
  <c r="P63" i="12" s="1"/>
  <c r="O55" i="13"/>
  <c r="P55" i="13" s="1"/>
  <c r="L60" i="12"/>
  <c r="O53" i="12"/>
  <c r="P53" i="12" s="1"/>
  <c r="L58" i="12"/>
  <c r="L63" i="12"/>
  <c r="L55" i="13"/>
  <c r="Q53" i="12"/>
  <c r="R53" i="12" s="1"/>
  <c r="M57" i="12"/>
  <c r="N57" i="12" s="1"/>
  <c r="O53" i="13"/>
  <c r="P53" i="13" s="1"/>
  <c r="Q51" i="12"/>
  <c r="R51" i="12" s="1"/>
  <c r="J64" i="8"/>
  <c r="L57" i="12"/>
  <c r="M64" i="12"/>
  <c r="N64" i="12" s="1"/>
  <c r="O64" i="12"/>
  <c r="P64" i="12" s="1"/>
  <c r="Q53" i="13"/>
  <c r="R53" i="13" s="1"/>
  <c r="J59" i="9"/>
  <c r="M59" i="10"/>
  <c r="N59" i="10" s="1"/>
  <c r="L55" i="11"/>
  <c r="M58" i="12"/>
  <c r="N58" i="12" s="1"/>
  <c r="Q51" i="13"/>
  <c r="R51" i="13" s="1"/>
  <c r="L54" i="11"/>
  <c r="J60" i="9"/>
  <c r="Q62" i="11"/>
  <c r="R62" i="11" s="1"/>
  <c r="M61" i="13"/>
  <c r="N61" i="13" s="1"/>
  <c r="Q58" i="12"/>
  <c r="R58" i="12" s="1"/>
  <c r="O57" i="12"/>
  <c r="P57" i="12" s="1"/>
  <c r="O59" i="10"/>
  <c r="P59" i="10" s="1"/>
  <c r="Q63" i="11"/>
  <c r="R63" i="11" s="1"/>
  <c r="Q54" i="11"/>
  <c r="R54" i="11" s="1"/>
  <c r="O62" i="11"/>
  <c r="P62" i="11" s="1"/>
  <c r="J58" i="9"/>
  <c r="L61" i="13"/>
  <c r="O63" i="11"/>
  <c r="P63" i="11" s="1"/>
  <c r="O54" i="11"/>
  <c r="P54" i="11" s="1"/>
  <c r="M62" i="11"/>
  <c r="N62" i="11" s="1"/>
  <c r="M63" i="11"/>
  <c r="N63" i="11" s="1"/>
  <c r="O53" i="10"/>
  <c r="P53" i="10" s="1"/>
  <c r="O51" i="13"/>
  <c r="P51" i="13" s="1"/>
  <c r="Q55" i="11"/>
  <c r="R55" i="11" s="1"/>
  <c r="J57" i="9"/>
  <c r="Q53" i="10"/>
  <c r="R53" i="10" s="1"/>
  <c r="Q64" i="12"/>
  <c r="R64" i="12" s="1"/>
  <c r="L53" i="10"/>
  <c r="J60" i="3"/>
  <c r="J54" i="3"/>
  <c r="G43" i="13"/>
  <c r="H43" i="13" s="1"/>
  <c r="M52" i="7"/>
  <c r="N52" i="7" s="1"/>
  <c r="J53" i="7"/>
  <c r="J54" i="8"/>
  <c r="J62" i="7"/>
  <c r="J63" i="9"/>
  <c r="K43" i="12"/>
  <c r="L43" i="12" s="1"/>
  <c r="I43" i="12"/>
  <c r="J43" i="12" s="1"/>
  <c r="I46" i="7"/>
  <c r="J46" i="7" s="1"/>
  <c r="J43" i="7"/>
  <c r="L51" i="8"/>
  <c r="H42" i="11"/>
  <c r="M62" i="8"/>
  <c r="N62" i="8" s="1"/>
  <c r="O62" i="8"/>
  <c r="P62" i="8" s="1"/>
  <c r="K62" i="8"/>
  <c r="L62" i="8" s="1"/>
  <c r="L58" i="11"/>
  <c r="M58" i="11"/>
  <c r="N58" i="11" s="1"/>
  <c r="O58" i="11"/>
  <c r="P58" i="11" s="1"/>
  <c r="Q58" i="11"/>
  <c r="R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3" i="11"/>
  <c r="M53" i="11"/>
  <c r="N53" i="11" s="1"/>
  <c r="O53" i="11"/>
  <c r="P53" i="11" s="1"/>
  <c r="Q53" i="11"/>
  <c r="R53" i="11" s="1"/>
  <c r="I42" i="12"/>
  <c r="K63" i="8"/>
  <c r="L63" i="8" s="1"/>
  <c r="K60" i="7"/>
  <c r="L60" i="7" s="1"/>
  <c r="K42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2" i="12"/>
  <c r="O55" i="8"/>
  <c r="P55" i="8" s="1"/>
  <c r="I42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59" i="11"/>
  <c r="O59" i="11"/>
  <c r="P59" i="11" s="1"/>
  <c r="Q59" i="11"/>
  <c r="R59" i="11" s="1"/>
  <c r="M59" i="11"/>
  <c r="N59" i="11" s="1"/>
  <c r="I45" i="14"/>
  <c r="J45" i="14" s="1"/>
  <c r="M55" i="8"/>
  <c r="N55" i="8" s="1"/>
  <c r="J69" i="11"/>
  <c r="J69" i="7"/>
  <c r="K71" i="11"/>
  <c r="L71" i="11" s="1"/>
  <c r="G44" i="8"/>
  <c r="H44" i="8" s="1"/>
  <c r="I43" i="11"/>
  <c r="J43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L51" i="11"/>
  <c r="O51" i="11"/>
  <c r="Q51" i="11"/>
  <c r="M51" i="11"/>
  <c r="K57" i="7"/>
  <c r="L57" i="7" s="1"/>
  <c r="M57" i="7"/>
  <c r="N57" i="7" s="1"/>
  <c r="O57" i="7"/>
  <c r="P57" i="7" s="1"/>
  <c r="G43" i="11"/>
  <c r="H43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7" i="11"/>
  <c r="N57" i="11" s="1"/>
  <c r="O57" i="11"/>
  <c r="P57" i="11" s="1"/>
  <c r="Q57" i="11"/>
  <c r="R57" i="11" s="1"/>
  <c r="K61" i="7"/>
  <c r="L61" i="7" s="1"/>
  <c r="M61" i="7"/>
  <c r="N61" i="7" s="1"/>
  <c r="O61" i="7"/>
  <c r="P61" i="7" s="1"/>
  <c r="L60" i="11"/>
  <c r="M60" i="11"/>
  <c r="N60" i="11" s="1"/>
  <c r="O60" i="11"/>
  <c r="P60" i="11" s="1"/>
  <c r="Q60" i="11"/>
  <c r="R60" i="11" s="1"/>
  <c r="I71" i="7"/>
  <c r="J71" i="7" s="1"/>
  <c r="I71" i="8"/>
  <c r="G71" i="10"/>
  <c r="H71" i="10" s="1"/>
  <c r="K71" i="10"/>
  <c r="L71" i="10" s="1"/>
  <c r="I71" i="10"/>
  <c r="J71" i="10" s="1"/>
  <c r="I42" i="10"/>
  <c r="G42" i="10"/>
  <c r="G46" i="10" s="1"/>
  <c r="H46" i="10" s="1"/>
  <c r="K43" i="10"/>
  <c r="L43" i="10" s="1"/>
  <c r="I43" i="10"/>
  <c r="J43" i="10" s="1"/>
  <c r="F74" i="10"/>
  <c r="J69" i="10"/>
  <c r="H69" i="10"/>
  <c r="L69" i="10"/>
  <c r="L64" i="10"/>
  <c r="M64" i="10"/>
  <c r="N64" i="10" s="1"/>
  <c r="Q64" i="10"/>
  <c r="R64" i="10" s="1"/>
  <c r="O64" i="10"/>
  <c r="P64" i="10" s="1"/>
  <c r="L62" i="10"/>
  <c r="M62" i="10"/>
  <c r="N62" i="10" s="1"/>
  <c r="Q62" i="10"/>
  <c r="R62" i="10" s="1"/>
  <c r="O62" i="10"/>
  <c r="P62" i="10" s="1"/>
  <c r="M52" i="10"/>
  <c r="N52" i="10" s="1"/>
  <c r="Q52" i="10"/>
  <c r="R52" i="10" s="1"/>
  <c r="O52" i="10"/>
  <c r="P52" i="10" s="1"/>
  <c r="L51" i="10"/>
  <c r="O51" i="10"/>
  <c r="P51" i="10" s="1"/>
  <c r="M51" i="10"/>
  <c r="N51" i="10" s="1"/>
  <c r="Q51" i="10"/>
  <c r="R51" i="10" s="1"/>
  <c r="L60" i="10"/>
  <c r="M60" i="10"/>
  <c r="N60" i="10" s="1"/>
  <c r="Q60" i="10"/>
  <c r="R60" i="10" s="1"/>
  <c r="O60" i="10"/>
  <c r="P60" i="10" s="1"/>
  <c r="L56" i="10"/>
  <c r="M56" i="10"/>
  <c r="N56" i="10" s="1"/>
  <c r="Q56" i="10"/>
  <c r="R56" i="10" s="1"/>
  <c r="O56" i="10"/>
  <c r="P56" i="10" s="1"/>
  <c r="L54" i="10"/>
  <c r="O54" i="10"/>
  <c r="P54" i="10" s="1"/>
  <c r="M54" i="10"/>
  <c r="N54" i="10" s="1"/>
  <c r="Q54" i="10"/>
  <c r="R54" i="10" s="1"/>
  <c r="L57" i="10"/>
  <c r="O57" i="10"/>
  <c r="M57" i="10"/>
  <c r="Q57" i="10"/>
  <c r="L42" i="10"/>
  <c r="H42" i="13"/>
  <c r="L42" i="12"/>
  <c r="H42" i="14"/>
  <c r="K42" i="13"/>
  <c r="K46" i="13" s="1"/>
  <c r="J69" i="13"/>
  <c r="O63" i="13"/>
  <c r="P63" i="13" s="1"/>
  <c r="Q63" i="13"/>
  <c r="R63" i="13" s="1"/>
  <c r="M63" i="13"/>
  <c r="N63" i="13" s="1"/>
  <c r="L69" i="13"/>
  <c r="G45" i="14"/>
  <c r="H45" i="14" s="1"/>
  <c r="H69" i="14"/>
  <c r="I42" i="13"/>
  <c r="G74" i="12"/>
  <c r="H74" i="12" s="1"/>
  <c r="H69" i="12"/>
  <c r="L69" i="14"/>
  <c r="I71" i="13"/>
  <c r="J71" i="13" s="1"/>
  <c r="L54" i="12"/>
  <c r="M54" i="12"/>
  <c r="N54" i="12" s="1"/>
  <c r="O54" i="12"/>
  <c r="P54" i="12" s="1"/>
  <c r="Q54" i="12"/>
  <c r="R54" i="12" s="1"/>
  <c r="L62" i="13"/>
  <c r="M62" i="13"/>
  <c r="N62" i="13" s="1"/>
  <c r="O62" i="13"/>
  <c r="P62" i="13" s="1"/>
  <c r="Q62" i="13"/>
  <c r="R62" i="13" s="1"/>
  <c r="L69" i="12"/>
  <c r="J69" i="14"/>
  <c r="K71" i="13"/>
  <c r="L71" i="13" s="1"/>
  <c r="R51" i="14"/>
  <c r="Q65" i="14"/>
  <c r="R65" i="14" s="1"/>
  <c r="L52" i="12"/>
  <c r="Q52" i="12"/>
  <c r="R52" i="12" s="1"/>
  <c r="O52" i="12"/>
  <c r="P52" i="12" s="1"/>
  <c r="M52" i="12"/>
  <c r="N52" i="12" s="1"/>
  <c r="I71" i="12"/>
  <c r="J71" i="12" s="1"/>
  <c r="K42" i="14"/>
  <c r="I71" i="14"/>
  <c r="J71" i="14" s="1"/>
  <c r="I43" i="13"/>
  <c r="J43" i="13" s="1"/>
  <c r="I43" i="14"/>
  <c r="J43" i="14" s="1"/>
  <c r="K43" i="14"/>
  <c r="L43" i="14" s="1"/>
  <c r="G43" i="14"/>
  <c r="H43" i="14" s="1"/>
  <c r="K71" i="14"/>
  <c r="L71" i="14" s="1"/>
  <c r="J69" i="12"/>
  <c r="M65" i="14"/>
  <c r="N65" i="14" s="1"/>
  <c r="N51" i="14"/>
  <c r="G71" i="14"/>
  <c r="H71" i="14" s="1"/>
  <c r="G45" i="12"/>
  <c r="H45" i="12" s="1"/>
  <c r="K71" i="12"/>
  <c r="L71" i="12" s="1"/>
  <c r="I42" i="14"/>
  <c r="I45" i="12"/>
  <c r="J45" i="12" s="1"/>
  <c r="L57" i="13"/>
  <c r="O57" i="13"/>
  <c r="P57" i="13" s="1"/>
  <c r="M57" i="13"/>
  <c r="N57" i="13" s="1"/>
  <c r="Q57" i="13"/>
  <c r="R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2" i="10"/>
  <c r="L63" i="13"/>
  <c r="L57" i="11"/>
  <c r="J54" i="9"/>
  <c r="F65" i="8"/>
  <c r="J58" i="8"/>
  <c r="E46" i="9"/>
  <c r="F46" i="9" s="1"/>
  <c r="J61" i="7"/>
  <c r="M58" i="3"/>
  <c r="N58" i="3" s="1"/>
  <c r="F74" i="7"/>
  <c r="F65" i="9"/>
  <c r="J62" i="9"/>
  <c r="F43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3" i="14"/>
  <c r="M59" i="3"/>
  <c r="N59" i="3" s="1"/>
  <c r="F43" i="13"/>
  <c r="J64" i="9"/>
  <c r="E70" i="3"/>
  <c r="F70" i="3" s="1"/>
  <c r="J53" i="3"/>
  <c r="J64" i="7"/>
  <c r="I55" i="7"/>
  <c r="J55" i="7" s="1"/>
  <c r="F43" i="7"/>
  <c r="J63" i="7"/>
  <c r="H65" i="7"/>
  <c r="J51" i="9"/>
  <c r="F43" i="12"/>
  <c r="G41" i="3"/>
  <c r="H41" i="3" s="1"/>
  <c r="M50" i="3"/>
  <c r="N50" i="3" s="1"/>
  <c r="G67" i="3"/>
  <c r="H67" i="3" s="1"/>
  <c r="E74" i="9"/>
  <c r="F74" i="9" s="1"/>
  <c r="L65" i="14"/>
  <c r="F71" i="13"/>
  <c r="F45" i="12"/>
  <c r="E46" i="8"/>
  <c r="F46" i="8" s="1"/>
  <c r="F43" i="8"/>
  <c r="F71" i="7"/>
  <c r="F44" i="7"/>
  <c r="J58" i="7"/>
  <c r="F42" i="13"/>
  <c r="F42" i="12"/>
  <c r="E74" i="13"/>
  <c r="F74" i="13" s="1"/>
  <c r="F42" i="11"/>
  <c r="F71" i="11"/>
  <c r="H65" i="9"/>
  <c r="J51" i="7"/>
  <c r="H69" i="9"/>
  <c r="F45" i="14"/>
  <c r="F42" i="14"/>
  <c r="F45" i="11"/>
  <c r="E46" i="7"/>
  <c r="F46" i="7" s="1"/>
  <c r="I52" i="9"/>
  <c r="M52" i="9" s="1"/>
  <c r="N52" i="9" s="1"/>
  <c r="F71" i="10"/>
  <c r="F42" i="10"/>
  <c r="J53" i="8"/>
  <c r="J60" i="7"/>
  <c r="F71" i="14"/>
  <c r="J62" i="8"/>
  <c r="J57" i="8"/>
  <c r="E74" i="12"/>
  <c r="F74" i="12" s="1"/>
  <c r="F71" i="12"/>
  <c r="J51" i="8"/>
  <c r="F71" i="8"/>
  <c r="F43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O65" i="14" l="1"/>
  <c r="P65" i="14" s="1"/>
  <c r="K46" i="14"/>
  <c r="I46" i="13"/>
  <c r="J46" i="13" s="1"/>
  <c r="I46" i="14"/>
  <c r="J46" i="14" s="1"/>
  <c r="K46" i="11"/>
  <c r="L46" i="11" s="1"/>
  <c r="K46" i="10"/>
  <c r="L46" i="10" s="1"/>
  <c r="J42" i="10"/>
  <c r="I46" i="10"/>
  <c r="J46" i="10" s="1"/>
  <c r="K46" i="12"/>
  <c r="L46" i="12" s="1"/>
  <c r="J42" i="12"/>
  <c r="I46" i="12"/>
  <c r="J46" i="12" s="1"/>
  <c r="I46" i="11"/>
  <c r="J46" i="11" s="1"/>
  <c r="G46" i="11"/>
  <c r="H46" i="11" s="1"/>
  <c r="H42" i="12"/>
  <c r="G46" i="12"/>
  <c r="H46" i="12" s="1"/>
  <c r="G46" i="14"/>
  <c r="H46" i="14" s="1"/>
  <c r="H42" i="10"/>
  <c r="I74" i="10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74" i="14"/>
  <c r="H74" i="14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5" i="11"/>
  <c r="N65" i="11" s="1"/>
  <c r="N51" i="11"/>
  <c r="L42" i="11"/>
  <c r="L51" i="7"/>
  <c r="Q65" i="11"/>
  <c r="R65" i="11" s="1"/>
  <c r="R51" i="11"/>
  <c r="N53" i="7"/>
  <c r="O52" i="8"/>
  <c r="P52" i="8" s="1"/>
  <c r="I74" i="12"/>
  <c r="J74" i="12" s="1"/>
  <c r="O65" i="12"/>
  <c r="P65" i="12" s="1"/>
  <c r="O65" i="11"/>
  <c r="P65" i="11" s="1"/>
  <c r="P51" i="11"/>
  <c r="K46" i="8"/>
  <c r="L46" i="8" s="1"/>
  <c r="L43" i="8"/>
  <c r="P54" i="7"/>
  <c r="M52" i="8"/>
  <c r="G74" i="11"/>
  <c r="H74" i="11" s="1"/>
  <c r="I46" i="8"/>
  <c r="J46" i="8" s="1"/>
  <c r="J43" i="8"/>
  <c r="K74" i="11"/>
  <c r="L74" i="11" s="1"/>
  <c r="K52" i="8"/>
  <c r="L65" i="10"/>
  <c r="I74" i="14"/>
  <c r="J74" i="14" s="1"/>
  <c r="K55" i="7"/>
  <c r="L55" i="7" s="1"/>
  <c r="J42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Q65" i="10"/>
  <c r="R65" i="10" s="1"/>
  <c r="R57" i="10"/>
  <c r="O65" i="10"/>
  <c r="P65" i="10" s="1"/>
  <c r="P57" i="10"/>
  <c r="M65" i="10"/>
  <c r="N65" i="10" s="1"/>
  <c r="N57" i="10"/>
  <c r="I46" i="9"/>
  <c r="J46" i="9" s="1"/>
  <c r="L42" i="14"/>
  <c r="L46" i="14"/>
  <c r="O65" i="13"/>
  <c r="P65" i="13" s="1"/>
  <c r="Q65" i="12"/>
  <c r="R65" i="12" s="1"/>
  <c r="J42" i="13"/>
  <c r="K74" i="13"/>
  <c r="L74" i="13" s="1"/>
  <c r="M65" i="13"/>
  <c r="N65" i="13" s="1"/>
  <c r="L42" i="13"/>
  <c r="L46" i="13"/>
  <c r="J42" i="14"/>
  <c r="L65" i="13"/>
  <c r="M65" i="12"/>
  <c r="N65" i="12" s="1"/>
  <c r="Q65" i="13"/>
  <c r="R65" i="13" s="1"/>
  <c r="I74" i="13"/>
  <c r="J74" i="13" s="1"/>
  <c r="I65" i="8"/>
  <c r="J65" i="8" s="1"/>
  <c r="L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5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  <comment ref="T5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INDUSTRI = baris 12.</t>
        </r>
      </text>
    </comment>
    <comment ref="T60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Eka/Wahyu muncul 2x di input dengan nama identik (baris 11 &amp; 12), jadi tidak bisa dicocokkan by name. KUTA - LEGIAN = baris 11.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<sst xmlns="http://schemas.openxmlformats.org/spreadsheetml/2006/main" count="2112" uniqueCount="223">
  <si>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</si>
  <si>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</si>
  <si>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</si>
  <si>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</si>
  <si>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</si>
  <si>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</si>
  <si>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</si>
  <si>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</si>
  <si>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</si>
  <si>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</si>
  <si>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</si>
  <si>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</si>
  <si>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</si>
  <si>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</si>
  <si>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</si>
  <si>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</si>
  <si>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</si>
  <si>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</si>
  <si>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</si>
  <si>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</si>
  <si>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</si>
  <si>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</si>
  <si>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</si>
  <si>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</si>
  <si>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</si>
  <si>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</si>
  <si>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</si>
  <si>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</si>
  <si>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</si>
  <si>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</si>
  <si>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</si>
  <si>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</si>
  <si>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</si>
  <si>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</si>
  <si>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</si>
  <si>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</si>
  <si>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</si>
  <si>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</si>
  <si>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</si>
  <si>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</si>
  <si>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</si>
  <si>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</si>
  <si>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</si>
  <si>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</si>
  <si>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</si>
  <si>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</si>
  <si>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</si>
  <si>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</si>
  <si>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</si>
  <si>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</si>
  <si>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</si>
  <si>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</si>
  <si>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</si>
  <si>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</si>
  <si>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</si>
  <si>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</si>
  <si>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</si>
  <si>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</si>
  <si>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</si>
  <si>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</si>
  <si>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</si>
  <si>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</si>
  <si>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</si>
  <si>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</si>
  <si>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</si>
  <si>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</si>
  <si>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</si>
  <si>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</si>
  <si>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</si>
  <si>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</si>
  <si>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</si>
  <si>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</si>
  <si>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</si>
  <si>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</si>
  <si>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</si>
  <si>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</si>
  <si>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</si>
  <si>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</si>
  <si>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</si>
  <si>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</si>
  <si>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</si>
  <si>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</si>
  <si>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</si>
  <si>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</si>
  <si>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</si>
  <si>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</si>
  <si>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</si>
  <si>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</si>
  <si>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</si>
  <si>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</si>
  <si>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</si>
  <si>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</si>
  <si>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</si>
  <si>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</si>
  <si>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</si>
  <si>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</si>
  <si>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</si>
  <si>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</si>
  <si>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</si>
  <si>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</si>
  <si>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</si>
  <si>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</si>
  <si>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</si>
  <si>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</si>
  <si>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</si>
  <si>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</si>
  <si>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</si>
  <si>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</si>
  <si>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</si>
  <si>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</si>
  <si>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</si>
  <si>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</si>
  <si>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</si>
  <si>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</si>
  <si>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</si>
  <si>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</si>
  <si>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</si>
  <si>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</si>
  <si>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</si>
  <si>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</si>
  <si>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</si>
  <si>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</si>
  <si>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</si>
  <si>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</si>
  <si>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</si>
  <si>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</si>
  <si>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</si>
  <si>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</si>
  <si>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</si>
  <si>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</si>
  <si>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</si>
  <si>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</si>
  <si>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</si>
  <si>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</si>
  <si>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</si>
  <si>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</si>
  <si>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</si>
  <si>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</si>
  <si>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</si>
  <si>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</si>
  <si>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</si>
  <si>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</si>
  <si>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</si>
  <si>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</si>
  <si>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</si>
  <si>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</si>
  <si>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</si>
  <si>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</si>
  <si>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</si>
  <si>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</si>
  <si>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</si>
  <si>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</si>
  <si>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</si>
  <si>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</si>
  <si>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</si>
  <si>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</si>
  <si>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</si>
  <si>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</si>
  <si>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</si>
  <si>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</si>
  <si>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</si>
  <si>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</si>
  <si>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</si>
  <si>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</si>
  <si>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</si>
  <si>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</si>
  <si>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</si>
  <si>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</si>
  <si>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</si>
  <si>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</si>
  <si>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</si>
  <si>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</si>
  <si>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</si>
  <si>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</si>
  <si>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</si>
  <si>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</si>
  <si>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</si>
  <si>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</si>
  <si>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</si>
  <si>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</si>
  <si>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</si>
  <si>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</si>
  <si>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</si>
  <si>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</si>
  <si>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</si>
  <si>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</si>
  <si>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</si>
  <si>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</si>
  <si>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</si>
  <si>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</si>
  <si>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</si>
  <si>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</si>
  <si>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</si>
  <si>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</si>
  <si>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</si>
  <si>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</si>
  <si>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</si>
  <si>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</si>
  <si>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</si>
  <si>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</si>
  <si>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</si>
  <si>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</si>
  <si>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</si>
  <si>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</si>
  <si>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</si>
  <si>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</si>
  <si>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</si>
  <si>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</si>
  <si>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</si>
  <si>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</si>
  <si>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</si>
  <si>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</si>
  <si>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</si>
  <si>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</si>
  <si>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</si>
  <si>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</si>
  <si>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</si>
  <si>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</si>
  <si>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</si>
  <si>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</si>
  <si>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→ baris 12 (manual)</t>
  </si>
  <si>
    <t>→ baris 11 (manual)</t>
  </si>
  <si>
    <t>DATA PENCAPAIAN — GLOBAL — 24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</si>
</sst>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5" t="s">
        <v>28</v>
      </c>
      <c r="C3" s="235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2" t="s">
        <v>145</v>
      </c>
      <c r="C44" s="243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4" t="s">
        <v>41</v>
      </c>
      <c r="C47" s="244" t="s">
        <v>42</v>
      </c>
      <c r="D47" s="245" t="s">
        <v>137</v>
      </c>
      <c r="E47" s="246"/>
      <c r="F47" s="247"/>
      <c r="G47" s="98" t="s">
        <v>138</v>
      </c>
      <c r="H47" s="98"/>
      <c r="I47" s="98"/>
      <c r="J47" s="244" t="s">
        <v>139</v>
      </c>
      <c r="K47" s="99" t="s">
        <v>147</v>
      </c>
      <c r="L47" s="99"/>
      <c r="M47" s="99"/>
      <c r="N47" s="241" t="s">
        <v>148</v>
      </c>
    </row>
    <row r="48" spans="2:14" ht="15.75" x14ac:dyDescent="0.25">
      <c r="B48" s="244"/>
      <c r="C48" s="244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4"/>
      <c r="K48" s="101" t="s">
        <v>142</v>
      </c>
      <c r="L48" s="101" t="s">
        <v>110</v>
      </c>
      <c r="M48" s="101" t="s">
        <v>145</v>
      </c>
      <c r="N48" s="24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8" t="s">
        <v>144</v>
      </c>
      <c r="C63" s="239"/>
      <c r="D63" s="239"/>
      <c r="E63" s="239"/>
      <c r="F63" s="239"/>
      <c r="G63" s="239"/>
      <c r="H63" s="240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2" t="s">
        <v>145</v>
      </c>
      <c r="C44" s="243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4" t="s">
        <v>41</v>
      </c>
      <c r="C47" s="244" t="s">
        <v>42</v>
      </c>
      <c r="D47" s="245" t="s">
        <v>137</v>
      </c>
      <c r="E47" s="246"/>
      <c r="F47" s="247"/>
      <c r="G47" s="98" t="s">
        <v>138</v>
      </c>
      <c r="H47" s="98"/>
      <c r="I47" s="98"/>
      <c r="J47" s="244" t="s">
        <v>139</v>
      </c>
      <c r="K47" s="99" t="s">
        <v>147</v>
      </c>
      <c r="L47" s="99"/>
      <c r="M47" s="99"/>
      <c r="N47" s="241" t="s">
        <v>148</v>
      </c>
    </row>
    <row r="48" spans="2:14" ht="15.75" x14ac:dyDescent="0.25">
      <c r="B48" s="244"/>
      <c r="C48" s="244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4"/>
      <c r="K48" s="101" t="s">
        <v>142</v>
      </c>
      <c r="L48" s="101" t="s">
        <v>110</v>
      </c>
      <c r="M48" s="101" t="s">
        <v>145</v>
      </c>
      <c r="N48" s="241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8" t="s">
        <v>144</v>
      </c>
      <c r="C63" s="239"/>
      <c r="D63" s="239"/>
      <c r="E63" s="239"/>
      <c r="F63" s="239"/>
      <c r="G63" s="239"/>
      <c r="H63" s="240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5" t="s">
        <v>145</v>
      </c>
      <c r="C44" s="256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7" t="s">
        <v>41</v>
      </c>
      <c r="C47" s="257" t="s">
        <v>42</v>
      </c>
      <c r="D47" s="252" t="s">
        <v>137</v>
      </c>
      <c r="E47" s="253"/>
      <c r="F47" s="254"/>
      <c r="G47" s="69" t="s">
        <v>138</v>
      </c>
      <c r="H47" s="69"/>
      <c r="I47" s="69"/>
      <c r="J47" s="257" t="s">
        <v>139</v>
      </c>
      <c r="K47" s="35" t="s">
        <v>147</v>
      </c>
      <c r="L47" s="35"/>
      <c r="M47" s="35"/>
      <c r="N47" s="251" t="s">
        <v>148</v>
      </c>
    </row>
    <row r="48" spans="2:17" ht="15.75" x14ac:dyDescent="0.25">
      <c r="B48" s="257"/>
      <c r="C48" s="257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7"/>
      <c r="K48" s="34" t="s">
        <v>142</v>
      </c>
      <c r="L48" s="34" t="s">
        <v>110</v>
      </c>
      <c r="M48" s="34" t="s">
        <v>145</v>
      </c>
      <c r="N48" s="251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8" t="s">
        <v>144</v>
      </c>
      <c r="C63" s="249"/>
      <c r="D63" s="249"/>
      <c r="E63" s="249"/>
      <c r="F63" s="249"/>
      <c r="G63" s="249"/>
      <c r="H63" s="250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58" t="s">
        <v>179</v>
      </c>
      <c r="C41" s="259"/>
      <c r="D41" s="260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5" t="s">
        <v>145</v>
      </c>
      <c r="C46" s="256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1" t="s">
        <v>146</v>
      </c>
      <c r="C48" s="262"/>
      <c r="D48" s="262"/>
      <c r="E48" s="262"/>
      <c r="F48" s="262"/>
      <c r="G48" s="262"/>
      <c r="H48" s="262"/>
      <c r="I48" s="262"/>
      <c r="J48" s="262"/>
      <c r="K48" s="268" t="s">
        <v>187</v>
      </c>
      <c r="L48" s="269"/>
      <c r="M48" s="269"/>
      <c r="N48" s="269"/>
      <c r="O48" s="269"/>
      <c r="P48" s="270"/>
      <c r="Q48"/>
      <c r="R48"/>
    </row>
    <row r="49" spans="2:18" s="139" customFormat="1" ht="33.950000000000003" customHeight="1" x14ac:dyDescent="0.25">
      <c r="B49" s="266" t="s">
        <v>41</v>
      </c>
      <c r="C49" s="266" t="s">
        <v>42</v>
      </c>
      <c r="D49" s="263" t="s">
        <v>137</v>
      </c>
      <c r="E49" s="264"/>
      <c r="F49" s="265"/>
      <c r="G49" s="140" t="s">
        <v>138</v>
      </c>
      <c r="H49" s="140"/>
      <c r="I49" s="140"/>
      <c r="J49" s="263" t="s">
        <v>139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5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6"/>
      <c r="C50" s="266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3"/>
      <c r="K50" s="272"/>
      <c r="L50" s="272"/>
      <c r="M50" s="274"/>
      <c r="N50" s="188"/>
      <c r="O50" s="183"/>
      <c r="P50" s="276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8" t="s">
        <v>144</v>
      </c>
      <c r="C67" s="249"/>
      <c r="D67" s="249"/>
      <c r="E67" s="249"/>
      <c r="F67" s="249"/>
      <c r="G67" s="249"/>
      <c r="H67" s="249"/>
      <c r="I67" s="249"/>
      <c r="J67" s="249"/>
      <c r="K67" s="249"/>
      <c r="L67" s="250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8" t="s">
        <v>172</v>
      </c>
      <c r="C77" s="249"/>
      <c r="D77" s="250"/>
      <c r="G77"/>
      <c r="H77"/>
      <c r="I77"/>
    </row>
    <row r="78" spans="1:19" ht="20.100000000000001" customHeight="1" x14ac:dyDescent="0.25">
      <c r="B78" s="267" t="s">
        <v>41</v>
      </c>
      <c r="C78" s="267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7"/>
      <c r="C79" s="257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7" t="s">
        <v>180</v>
      </c>
      <c r="C41" s="278"/>
      <c r="D41" s="279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5" t="s">
        <v>145</v>
      </c>
      <c r="C46" s="256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1" t="s">
        <v>146</v>
      </c>
      <c r="C48" s="262"/>
      <c r="D48" s="262"/>
      <c r="E48" s="262"/>
      <c r="F48" s="262"/>
      <c r="G48" s="262"/>
      <c r="H48" s="262"/>
      <c r="I48" s="262"/>
      <c r="J48" s="262"/>
      <c r="K48" s="268" t="s">
        <v>187</v>
      </c>
      <c r="L48" s="269"/>
      <c r="M48" s="269"/>
      <c r="N48" s="269"/>
      <c r="O48" s="269"/>
      <c r="P48" s="270"/>
    </row>
    <row r="49" spans="2:16" ht="33.950000000000003" customHeight="1" x14ac:dyDescent="0.25">
      <c r="B49" s="257" t="s">
        <v>41</v>
      </c>
      <c r="C49" s="257" t="s">
        <v>42</v>
      </c>
      <c r="D49" s="252" t="s">
        <v>137</v>
      </c>
      <c r="E49" s="253"/>
      <c r="F49" s="254"/>
      <c r="G49" s="112" t="s">
        <v>138</v>
      </c>
      <c r="H49" s="112"/>
      <c r="I49" s="112"/>
      <c r="J49" s="252" t="s">
        <v>139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22.5" customHeight="1" x14ac:dyDescent="0.25">
      <c r="B50" s="257"/>
      <c r="C50" s="257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2"/>
      <c r="K50" s="272"/>
      <c r="L50" s="272"/>
      <c r="M50" s="274"/>
      <c r="N50" s="274"/>
      <c r="O50" s="276"/>
      <c r="P50" s="276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8" t="s">
        <v>144</v>
      </c>
      <c r="C67" s="249"/>
      <c r="D67" s="249"/>
      <c r="E67" s="249"/>
      <c r="F67" s="249"/>
      <c r="G67" s="249"/>
      <c r="H67" s="249"/>
      <c r="I67" s="249"/>
      <c r="J67" s="249"/>
      <c r="K67" s="249"/>
      <c r="L67" s="250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8" t="s">
        <v>172</v>
      </c>
      <c r="C77" s="249"/>
      <c r="D77" s="250"/>
    </row>
    <row r="78" spans="2:16" ht="18.75" customHeight="1" x14ac:dyDescent="0.25">
      <c r="B78" s="267" t="s">
        <v>41</v>
      </c>
      <c r="C78" s="267" t="s">
        <v>42</v>
      </c>
      <c r="D78" s="231" t="s">
        <v>138</v>
      </c>
    </row>
    <row r="79" spans="2:16" ht="18" customHeight="1" x14ac:dyDescent="0.25">
      <c r="B79" s="257"/>
      <c r="C79" s="257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58" t="s">
        <v>181</v>
      </c>
      <c r="C41" s="259"/>
      <c r="D41" s="260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5" t="s">
        <v>145</v>
      </c>
      <c r="C46" s="256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1" t="s">
        <v>146</v>
      </c>
      <c r="C48" s="262"/>
      <c r="D48" s="262"/>
      <c r="E48" s="262"/>
      <c r="F48" s="262"/>
      <c r="G48" s="262"/>
      <c r="H48" s="262"/>
      <c r="I48" s="262"/>
      <c r="J48" s="262"/>
      <c r="K48" s="268" t="s">
        <v>187</v>
      </c>
      <c r="L48" s="269"/>
      <c r="M48" s="269"/>
      <c r="N48" s="269"/>
      <c r="O48" s="269"/>
      <c r="P48" s="270"/>
    </row>
    <row r="49" spans="2:16" ht="33.950000000000003" customHeight="1" x14ac:dyDescent="0.25">
      <c r="B49" s="257" t="s">
        <v>41</v>
      </c>
      <c r="C49" s="257" t="s">
        <v>42</v>
      </c>
      <c r="D49" s="252" t="s">
        <v>137</v>
      </c>
      <c r="E49" s="253"/>
      <c r="F49" s="254"/>
      <c r="G49" s="112" t="s">
        <v>138</v>
      </c>
      <c r="H49" s="112"/>
      <c r="I49" s="112"/>
      <c r="J49" s="252" t="s">
        <v>139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75" t="str">
        <f>"SELISIH"&amp;CHAR(10)&amp;TEXT($L$41,"0%")</f>
        <v>SELISIH
100%</v>
      </c>
      <c r="P49" s="275" t="str">
        <f>"PER HARI"&amp;CHAR(10)&amp;TEXT($L$41,"0%")</f>
        <v>PER HARI
100%</v>
      </c>
    </row>
    <row r="50" spans="2:16" ht="19.5" customHeight="1" x14ac:dyDescent="0.25">
      <c r="B50" s="257"/>
      <c r="C50" s="257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2"/>
      <c r="K50" s="272"/>
      <c r="L50" s="272"/>
      <c r="M50" s="274"/>
      <c r="N50" s="274"/>
      <c r="O50" s="276"/>
      <c r="P50" s="276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8" t="s">
        <v>144</v>
      </c>
      <c r="C67" s="249"/>
      <c r="D67" s="249"/>
      <c r="E67" s="249"/>
      <c r="F67" s="249"/>
      <c r="G67" s="249"/>
      <c r="H67" s="249"/>
      <c r="I67" s="249"/>
      <c r="J67" s="249"/>
      <c r="K67" s="249"/>
      <c r="L67" s="250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8" t="s">
        <v>172</v>
      </c>
      <c r="C77" s="249"/>
      <c r="D77" s="250"/>
    </row>
    <row r="78" spans="2:16" ht="15.75" x14ac:dyDescent="0.25">
      <c r="B78" s="267" t="s">
        <v>41</v>
      </c>
      <c r="C78" s="267" t="s">
        <v>42</v>
      </c>
      <c r="D78" s="231" t="s">
        <v>138</v>
      </c>
    </row>
    <row r="79" spans="2:16" ht="15.75" x14ac:dyDescent="0.25">
      <c r="B79" s="257"/>
      <c r="C79" s="257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58" t="s">
        <v>190</v>
      </c>
      <c r="C41" s="259"/>
      <c r="D41" s="260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5" t="s">
        <v>145</v>
      </c>
      <c r="C46" s="256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1" t="s">
        <v>146</v>
      </c>
      <c r="C48" s="262"/>
      <c r="D48" s="262"/>
      <c r="E48" s="262"/>
      <c r="F48" s="262"/>
      <c r="G48" s="262"/>
      <c r="H48" s="262"/>
      <c r="I48" s="262"/>
      <c r="J48" s="262"/>
      <c r="K48" s="268" t="s">
        <v>187</v>
      </c>
      <c r="L48" s="269"/>
      <c r="M48" s="269"/>
      <c r="N48" s="269"/>
      <c r="O48" s="269"/>
      <c r="P48" s="270"/>
    </row>
    <row r="49" spans="2:16" ht="15.75" x14ac:dyDescent="0.25">
      <c r="B49" s="257" t="s">
        <v>41</v>
      </c>
      <c r="C49" s="257" t="s">
        <v>42</v>
      </c>
      <c r="D49" s="252" t="s">
        <v>137</v>
      </c>
      <c r="E49" s="253"/>
      <c r="F49" s="254"/>
      <c r="G49" s="112" t="s">
        <v>138</v>
      </c>
      <c r="H49" s="112"/>
      <c r="I49" s="112"/>
      <c r="J49" s="252" t="s">
        <v>139</v>
      </c>
      <c r="K49" s="271" t="str">
        <f>"SELISIH"&amp;CHAR(10)&amp;TEXT($H$41,"0%")</f>
        <v>SELISIH
90%</v>
      </c>
      <c r="L49" s="271" t="str">
        <f>"PER HARI"&amp;CHAR(10)&amp;TEXT($H$41,"0%")</f>
        <v>PER HARI
90%</v>
      </c>
      <c r="M49" s="273" t="str">
        <f>"SELISIH"&amp;CHAR(10)&amp;TEXT($J$41,"0%")</f>
        <v>SELISIH
95%</v>
      </c>
      <c r="N49" s="273" t="str">
        <f>"PER HARI"&amp;CHAR(10)&amp;TEXT($J$41,"0%")</f>
        <v>PER HARI
95%</v>
      </c>
      <c r="O49" s="280" t="str">
        <f>"SELISIH"&amp;CHAR(10)&amp;TEXT($L$41,"0%")</f>
        <v>SELISIH
100%</v>
      </c>
      <c r="P49" s="280" t="str">
        <f>"PER HARI"&amp;CHAR(10)&amp;TEXT($L$41,"0%")</f>
        <v>PER HARI
100%</v>
      </c>
    </row>
    <row r="50" spans="2:16" ht="15.75" x14ac:dyDescent="0.25">
      <c r="B50" s="257"/>
      <c r="C50" s="257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2"/>
      <c r="K50" s="272"/>
      <c r="L50" s="272"/>
      <c r="M50" s="274"/>
      <c r="N50" s="274"/>
      <c r="O50" s="281"/>
      <c r="P50" s="281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8" t="s">
        <v>144</v>
      </c>
      <c r="C67" s="249"/>
      <c r="D67" s="249"/>
      <c r="E67" s="249"/>
      <c r="F67" s="249"/>
      <c r="G67" s="249"/>
      <c r="H67" s="249"/>
      <c r="I67" s="249"/>
      <c r="J67" s="249"/>
      <c r="K67" s="249"/>
      <c r="L67" s="250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8" t="s">
        <v>172</v>
      </c>
      <c r="C77" s="249"/>
      <c r="D77" s="250"/>
    </row>
    <row r="78" spans="2:16" ht="15.75" x14ac:dyDescent="0.25">
      <c r="B78" s="267" t="s">
        <v>41</v>
      </c>
      <c r="C78" s="267" t="s">
        <v>42</v>
      </c>
      <c r="D78" s="231" t="s">
        <v>138</v>
      </c>
    </row>
    <row r="79" spans="2:16" ht="15.75" x14ac:dyDescent="0.25">
      <c r="B79" s="257"/>
      <c r="C79" s="257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abSelected="1" topLeftCell="A69" zoomScale="87" zoomScaleNormal="91" workbookViewId="0">
      <selection activeCell="F84" sqref="F84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5703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5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293">
        <v>122025113.198008</v>
      </c>
      <c r="D10" s="293">
        <v>30987765.915591002</v>
      </c>
      <c r="E10" s="293">
        <v>187321413.78949499</v>
      </c>
      <c r="F10" s="293">
        <v>146701033.86000001</v>
      </c>
      <c r="G10" s="293">
        <v>487035326.76309401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216</v>
      </c>
      <c r="C11" s="293">
        <v>313831855.63549697</v>
      </c>
      <c r="D11" s="293">
        <v>71686173.307567</v>
      </c>
      <c r="E11" s="293">
        <v>107095552.073377</v>
      </c>
      <c r="F11" s="293">
        <v>282497104.13999999</v>
      </c>
      <c r="G11" s="293">
        <v>775110685.15644097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215</v>
      </c>
      <c r="C12" s="293">
        <v>3123423.4199979999</v>
      </c>
      <c r="D12" s="293">
        <v>17913431</v>
      </c>
      <c r="E12" s="293">
        <v>233585586.67908999</v>
      </c>
      <c r="F12" s="293" t="s">
        <v>166</v>
      </c>
      <c r="G12" s="293">
        <v>254622441.09908801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293">
        <v>152615285.64179501</v>
      </c>
      <c r="D13" s="293">
        <v>51184423.356691003</v>
      </c>
      <c r="E13" s="293">
        <v>139904678.24960801</v>
      </c>
      <c r="F13" s="293">
        <v>79567161.549999997</v>
      </c>
      <c r="G13" s="293">
        <v>423271548.79809397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293">
        <v>39176085.410832003</v>
      </c>
      <c r="D14" s="293">
        <v>23676563.479958002</v>
      </c>
      <c r="E14" s="293">
        <v>196901774.76942301</v>
      </c>
      <c r="F14" s="293">
        <v>43760135.289999999</v>
      </c>
      <c r="G14" s="293">
        <v>303514558.95021302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293">
        <v>687162604.17452097</v>
      </c>
      <c r="D15" s="293">
        <v>25975566.479871999</v>
      </c>
      <c r="E15" s="293">
        <v>136407063.156075</v>
      </c>
      <c r="F15" s="293">
        <v>336341085.36982101</v>
      </c>
      <c r="G15" s="293">
        <v>1185886319.180289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293">
        <v>371145542.77906501</v>
      </c>
      <c r="D16" s="293">
        <v>1085666.664998</v>
      </c>
      <c r="E16" s="293">
        <v>97949554.359935001</v>
      </c>
      <c r="F16" s="293">
        <v>14702973.119999999</v>
      </c>
      <c r="G16" s="293">
        <v>484883736.923998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293">
        <v>584747098.20811999</v>
      </c>
      <c r="D17" s="293">
        <v>68513920.019765005</v>
      </c>
      <c r="E17" s="293">
        <v>285862027.34951901</v>
      </c>
      <c r="F17" s="293">
        <v>1300038656.6399341</v>
      </c>
      <c r="G17" s="293">
        <v>2239161702.2173381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293">
        <v>97668278.243663996</v>
      </c>
      <c r="D18" s="293">
        <v>10898698.12992</v>
      </c>
      <c r="E18" s="293">
        <v>77051176.078759998</v>
      </c>
      <c r="F18" s="293">
        <v>34412433.137999997</v>
      </c>
      <c r="G18" s="293">
        <v>220030585.59034401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293">
        <v>12329000</v>
      </c>
      <c r="D19" s="293">
        <v>103268962.47079</v>
      </c>
      <c r="E19" s="293">
        <v>37754395.5</v>
      </c>
      <c r="F19" s="293">
        <v>79686488.140000001</v>
      </c>
      <c r="G19" s="293">
        <v>233038846.11079001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170</v>
      </c>
      <c r="C20" s="293">
        <v>180486540.96000001</v>
      </c>
      <c r="D20" s="293" t="s">
        <v>166</v>
      </c>
      <c r="E20" s="293" t="s">
        <v>166</v>
      </c>
      <c r="F20" s="293">
        <v>10162161.880000001</v>
      </c>
      <c r="G20" s="293">
        <v>190648702.84</v>
      </c>
      <c r="H20" s="111"/>
      <c r="I20" s="111"/>
      <c r="J20" s="111"/>
      <c r="M20" s="14">
        <f>SUM(C30,C35)</f>
        <v>822000</v>
      </c>
      <c r="N20" s="10" t="s">
        <v>119</v>
      </c>
    </row>
    <row r="21" spans="2:15" x14ac:dyDescent="0.25">
      <c r="B21" s="72" t="s">
        <v>171</v>
      </c>
      <c r="C21" s="293">
        <v>370588155.39999998</v>
      </c>
      <c r="D21" s="293" t="s">
        <v>166</v>
      </c>
      <c r="E21" s="293" t="s">
        <v>166</v>
      </c>
      <c r="F21" s="293">
        <v>14510450.060000001</v>
      </c>
      <c r="G21" s="293">
        <v>385098605.45999998</v>
      </c>
      <c r="H21" s="111"/>
      <c r="I21" s="111"/>
      <c r="J21" s="111"/>
      <c r="M21" s="14">
        <f>SUM(C33,C34)+M20</f>
        <v>668688076.87203598</v>
      </c>
      <c r="N21" s="10" t="s">
        <v>121</v>
      </c>
    </row>
    <row r="22" spans="2:15" x14ac:dyDescent="0.25">
      <c r="B22" s="72" t="s">
        <v>124</v>
      </c>
      <c r="C22" s="293">
        <v>226084854.50993201</v>
      </c>
      <c r="D22" s="293">
        <v>37155880.779475003</v>
      </c>
      <c r="E22" s="293">
        <v>119802793.27977499</v>
      </c>
      <c r="F22" s="293">
        <v>412031182.91984499</v>
      </c>
      <c r="G22" s="293">
        <v>795074711.48902702</v>
      </c>
      <c r="H22" s="111"/>
      <c r="I22" s="111"/>
      <c r="J22" s="111"/>
    </row>
    <row r="23" spans="2:15" x14ac:dyDescent="0.25">
      <c r="B23" s="72" t="s">
        <v>125</v>
      </c>
      <c r="C23" s="293">
        <v>262177944.914325</v>
      </c>
      <c r="D23" s="293">
        <v>72156108.32987</v>
      </c>
      <c r="E23" s="293">
        <v>192502029.91870001</v>
      </c>
      <c r="F23" s="293">
        <v>317536568.669429</v>
      </c>
      <c r="G23" s="293">
        <v>844372651.83232403</v>
      </c>
      <c r="H23" s="111"/>
      <c r="I23" s="111"/>
      <c r="J23" s="111"/>
    </row>
    <row r="24" spans="2:15" x14ac:dyDescent="0.25">
      <c r="B24" s="72" t="s">
        <v>126</v>
      </c>
      <c r="C24" s="293">
        <v>362102305.36603498</v>
      </c>
      <c r="D24" s="293">
        <v>47703495.530475996</v>
      </c>
      <c r="E24" s="293">
        <v>183925416.61994201</v>
      </c>
      <c r="F24" s="293">
        <v>555631019.66932297</v>
      </c>
      <c r="G24" s="293">
        <v>1149362237.185776</v>
      </c>
      <c r="H24" s="111"/>
      <c r="I24" s="111"/>
      <c r="J24" s="111"/>
    </row>
    <row r="25" spans="2:15" x14ac:dyDescent="0.25">
      <c r="B25" s="72" t="s">
        <v>184</v>
      </c>
      <c r="C25" s="293">
        <v>126788736.79275</v>
      </c>
      <c r="D25" s="293">
        <v>87099277.234648004</v>
      </c>
      <c r="E25" s="293">
        <v>149958830.11964101</v>
      </c>
      <c r="F25" s="293">
        <v>54852170.700000003</v>
      </c>
      <c r="G25" s="293">
        <v>418699014.84703898</v>
      </c>
      <c r="H25" s="111"/>
      <c r="I25" s="111"/>
      <c r="J25" s="111"/>
    </row>
    <row r="26" spans="2:15" x14ac:dyDescent="0.25">
      <c r="B26" s="72" t="s">
        <v>127</v>
      </c>
      <c r="C26" s="293">
        <v>285966720.96544099</v>
      </c>
      <c r="D26" s="293">
        <v>202991187.37955901</v>
      </c>
      <c r="E26" s="293">
        <v>287618874.64680499</v>
      </c>
      <c r="F26" s="293">
        <v>16706594.929</v>
      </c>
      <c r="G26" s="293">
        <v>793283377.92080498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293">
        <v>204377405.84914801</v>
      </c>
      <c r="G31" s="111"/>
      <c r="H31" s="111"/>
      <c r="I31" s="111"/>
    </row>
    <row r="32" spans="2:15" x14ac:dyDescent="0.25">
      <c r="B32" s="81" t="s">
        <v>132</v>
      </c>
      <c r="C32" s="293">
        <v>363310835.80250001</v>
      </c>
      <c r="G32" s="111"/>
      <c r="H32" s="111"/>
      <c r="I32" s="111"/>
    </row>
    <row r="33" spans="2:19" x14ac:dyDescent="0.25">
      <c r="B33" s="81" t="s">
        <v>133</v>
      </c>
      <c r="C33" s="293">
        <v>127032122.82622001</v>
      </c>
      <c r="G33" s="111"/>
      <c r="H33" s="111"/>
      <c r="I33" s="111"/>
    </row>
    <row r="34" spans="2:19" x14ac:dyDescent="0.25">
      <c r="B34" s="81" t="s">
        <v>134</v>
      </c>
      <c r="C34" s="293">
        <v>540833954.04581594</v>
      </c>
      <c r="G34" s="111"/>
      <c r="H34" s="111"/>
      <c r="I34" s="111"/>
    </row>
    <row r="35" spans="2:19" x14ac:dyDescent="0.25">
      <c r="B35" s="81" t="s">
        <v>135</v>
      </c>
      <c r="C35" s="293">
        <v>822000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186</v>
      </c>
    </row>
    <row r="40" spans="2:19" ht="18.75" x14ac:dyDescent="0.25">
      <c r="B40" s="258" t="s">
        <v>222</v>
      </c>
      <c r="C40" s="259"/>
      <c r="D40" s="260"/>
      <c r="E40" s="66" t="s">
        <v>137</v>
      </c>
      <c r="F40" s="174">
        <f ca="1">IF(MONTH(TODAY())=8,DAY(TODAY())/DAY(EOMONTH(TODAY(),0)),IF(MONTH(TODAY())&gt;8,1,0))</f>
        <v>0.77419354838709675</v>
      </c>
      <c r="G40" s="192" t="s">
        <v>188</v>
      </c>
      <c r="H40" s="198">
        <v>1</v>
      </c>
      <c r="I40" s="201" t="s">
        <v>188</v>
      </c>
      <c r="J40" s="199">
        <v>1</v>
      </c>
      <c r="K40" s="194" t="s">
        <v>189</v>
      </c>
      <c r="L40" s="200">
        <v>1</v>
      </c>
      <c r="S40" s="173">
        <v>0.7</v>
      </c>
    </row>
    <row r="41" spans="2:19" ht="31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3826874002.8409185</v>
      </c>
      <c r="F42" s="176">
        <f>IFERROR(E42/D42,0)</f>
        <v>0.77662065266732616</v>
      </c>
      <c r="G42" s="184">
        <f>D42*$H$40-E42</f>
        <v>1100723518.1590815</v>
      </c>
      <c r="H42" s="184">
        <f ca="1">IFERROR(G42/$C$3,0)</f>
        <v>220144703.6318163</v>
      </c>
      <c r="I42" s="204">
        <f>D42*$J$40-E42</f>
        <v>1100723518.1590815</v>
      </c>
      <c r="J42" s="204">
        <f ca="1">IFERROR(I42/$C$3,0)</f>
        <v>220144703.6318163</v>
      </c>
      <c r="K42" s="185">
        <f>D42*$L$40-E42</f>
        <v>1100723518.1590815</v>
      </c>
      <c r="L42" s="185">
        <f ca="1">IFERROR(K42/$C$3,0)</f>
        <v>220144703.6318163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851211453.41418207</v>
      </c>
      <c r="F43" s="176">
        <f>IFERROR(E43/D43,0)</f>
        <v>0.65758898235036412</v>
      </c>
      <c r="G43" s="184">
        <f>D43*$H$40-E43</f>
        <v>443231544.05175745</v>
      </c>
      <c r="H43" s="184">
        <f ca="1">IFERROR(G43/$C$3,0)</f>
        <v>88646308.810351491</v>
      </c>
      <c r="I43" s="204">
        <f>D43*$J$40-E43</f>
        <v>443231544.05175745</v>
      </c>
      <c r="J43" s="204">
        <f ca="1">IFERROR(I43/$C$3,0)</f>
        <v>88646308.810351491</v>
      </c>
      <c r="K43" s="185">
        <f>D43*$L$40-E43</f>
        <v>443231544.05175745</v>
      </c>
      <c r="L43" s="185">
        <f ca="1">IFERROR(K43/$C$3,0)</f>
        <v>88646308.810351491</v>
      </c>
      <c r="S43" s="173">
        <v>0.85</v>
      </c>
    </row>
    <row r="44" spans="2:19" x14ac:dyDescent="0.25">
      <c r="B44" s="109" t="s">
        <v>209</v>
      </c>
      <c r="C44" s="41" t="s">
        <v>143</v>
      </c>
      <c r="D44" s="45">
        <f>SUM(TARGETS!AA5:AA18)</f>
        <v>3216211725</v>
      </c>
      <c r="E44" s="46">
        <f>J65</f>
        <v>2335691612.2302098</v>
      </c>
      <c r="F44" s="176">
        <f>IFERROR(E44/D44,0)</f>
        <v>0.72622445657871293</v>
      </c>
      <c r="G44" s="184">
        <f>IF(D44=0,0,D44*$H$40-E44)</f>
        <v>880520112.76979017</v>
      </c>
      <c r="H44" s="184">
        <f ca="1">IFERROR(G44/$C$3,0)</f>
        <v>176104022.55395803</v>
      </c>
      <c r="I44" s="204">
        <f>IF(D44=0,0,D44*$J$40-E44)</f>
        <v>880520112.76979017</v>
      </c>
      <c r="J44" s="204">
        <f ca="1">IFERROR(I44/$C$3,0)</f>
        <v>176104022.55395803</v>
      </c>
      <c r="K44" s="185">
        <f>IF(D44=0,0,D44*$L$40-E44)</f>
        <v>880520112.76979017</v>
      </c>
      <c r="L44" s="185">
        <f ca="1">IFERROR(K44/$C$3,0)</f>
        <v>176104022.55395803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SUM(C31,C32)+M21</f>
        <v>1236376318.523684</v>
      </c>
      <c r="F45" s="176">
        <f>IFERROR(E45/D45,0)</f>
        <v>0.66259620262956831</v>
      </c>
      <c r="G45" s="184">
        <f>D45*$H$40-E45</f>
        <v>629581128.28482676</v>
      </c>
      <c r="H45" s="184">
        <f ca="1">IFERROR(G45/$C$3,0)</f>
        <v>125916225.65696535</v>
      </c>
      <c r="I45" s="204">
        <f>D45*$J$40-E45</f>
        <v>629581128.28482676</v>
      </c>
      <c r="J45" s="204">
        <f ca="1">IFERROR(I45/$C$3,0)</f>
        <v>125916225.65696535</v>
      </c>
      <c r="K45" s="185">
        <f>D45*$L$40-E45</f>
        <v>629581128.28482676</v>
      </c>
      <c r="L45" s="185">
        <f ca="1">IFERROR(K45/$C$3,0)</f>
        <v>125916225.65696535</v>
      </c>
      <c r="S45" s="173">
        <v>0.95</v>
      </c>
    </row>
    <row r="46" spans="2:19" x14ac:dyDescent="0.25">
      <c r="B46" s="255" t="s">
        <v>145</v>
      </c>
      <c r="C46" s="256"/>
      <c r="D46" s="47">
        <f>SUM(D42:D45)</f>
        <v>11304209690.274448</v>
      </c>
      <c r="E46" s="47">
        <f>SUM(E42:E45)</f>
        <v>8250153387.0089931</v>
      </c>
      <c r="F46" s="177">
        <f>IFERROR(E46/D46,0)</f>
        <v>0.72983017946906936</v>
      </c>
      <c r="G46" s="181">
        <f>SUM(G42:G45)</f>
        <v>3054056303.2654557</v>
      </c>
      <c r="H46" s="181">
        <f ca="1">IFERROR(G46/$C$3,0)</f>
        <v>610811260.65309119</v>
      </c>
      <c r="I46" s="186">
        <f>SUM(I42:I45)</f>
        <v>3054056303.2654557</v>
      </c>
      <c r="J46" s="186">
        <f ca="1">IFERROR(I46/$C$3,0)</f>
        <v>610811260.65309119</v>
      </c>
      <c r="K46" s="186">
        <f>SUM(K42:K45)</f>
        <v>3054056303.2654557</v>
      </c>
      <c r="L46" s="186">
        <f ca="1">IFERROR(K46/$C$3,0)</f>
        <v>610811260.65309119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1" t="s">
        <v>214</v>
      </c>
      <c r="C48" s="262"/>
      <c r="D48" s="262"/>
      <c r="E48" s="262"/>
      <c r="F48" s="262"/>
      <c r="G48" s="262"/>
      <c r="H48" s="262"/>
      <c r="I48" s="262"/>
      <c r="J48" s="262"/>
      <c r="K48" s="262"/>
      <c r="L48" s="285"/>
      <c r="M48" s="268" t="s">
        <v>187</v>
      </c>
      <c r="N48" s="269"/>
      <c r="O48" s="269"/>
      <c r="P48" s="269"/>
      <c r="Q48" s="269"/>
      <c r="R48" s="270"/>
    </row>
    <row r="49" spans="2:21" ht="17.100000000000001" customHeight="1" x14ac:dyDescent="0.25">
      <c r="B49" s="286" t="s">
        <v>41</v>
      </c>
      <c r="C49" s="286" t="s">
        <v>42</v>
      </c>
      <c r="D49" s="252" t="s">
        <v>137</v>
      </c>
      <c r="E49" s="253"/>
      <c r="F49" s="253"/>
      <c r="G49" s="254"/>
      <c r="H49" s="287" t="s">
        <v>138</v>
      </c>
      <c r="I49" s="288"/>
      <c r="J49" s="288"/>
      <c r="K49" s="289"/>
      <c r="L49" s="290" t="s">
        <v>139</v>
      </c>
      <c r="M49" s="271" t="str">
        <f>"SELISIH"&amp;CHAR(10)&amp;TEXT($H$40,"0%")</f>
        <v>SELISIH
100%</v>
      </c>
      <c r="N49" s="271" t="str">
        <f>"PER HARI"&amp;CHAR(10)&amp;TEXT($H$40,"0%")</f>
        <v>PER HARI
100%</v>
      </c>
      <c r="O49" s="273" t="str">
        <f>"SELISIH"&amp;CHAR(10)&amp;TEXT($J$40,"0%")</f>
        <v>SELISIH
100%</v>
      </c>
      <c r="P49" s="273" t="str">
        <f>"PER HARI"&amp;CHAR(10)&amp;TEXT($J$40,"0%")</f>
        <v>PER HARI
100%</v>
      </c>
      <c r="Q49" s="275" t="str">
        <f>"SELISIH"&amp;CHAR(10)&amp;TEXT($L$40,"0%")</f>
        <v>SELISIH
100%</v>
      </c>
      <c r="R49" s="275" t="str">
        <f>"PER HARI"&amp;CHAR(10)&amp;TEXT($L$40,"0%")</f>
        <v>PER HARI
100%</v>
      </c>
    </row>
    <row r="50" spans="2:21" ht="15.75" x14ac:dyDescent="0.25">
      <c r="B50" s="267"/>
      <c r="C50" s="267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1"/>
      <c r="M50" s="272"/>
      <c r="N50" s="272"/>
      <c r="O50" s="274"/>
      <c r="P50" s="274"/>
      <c r="Q50" s="276"/>
      <c r="R50" s="276"/>
      <c r="T50" s="172" t="s">
        <v>217</v>
      </c>
      <c r="U50" s="172" t="s">
        <v>218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 cm="1">
        <f t="array" ref="H51">SUM(SUMIF($B$10:$B$26,$T51:$U51,C$10:C$26))</f>
        <v>226084854.50993201</v>
      </c>
      <c r="I51" s="114" cm="1">
        <f t="array" ref="I51">SUM(SUMIF($B$10:$B$26,$T51:$U51,D$10:D$26))</f>
        <v>37155880.779475003</v>
      </c>
      <c r="J51" s="114" cm="1">
        <f t="array" ref="J51">SUM(SUMIF($B$10:$B$26,$T51:$U51,E$10:E$26))</f>
        <v>119802793.27977499</v>
      </c>
      <c r="K51" s="114">
        <f t="shared" ref="K51:K64" si="1">SUM(H51:J51)</f>
        <v>383043528.56918204</v>
      </c>
      <c r="L51" s="187">
        <f t="shared" ref="L51:L65" si="2">IFERROR(K51/G51,0)</f>
        <v>0.67690504538359042</v>
      </c>
      <c r="M51" s="184">
        <f t="shared" ref="M51:M64" si="3">G51*$H$40-K51</f>
        <v>182831303.03606606</v>
      </c>
      <c r="N51" s="184">
        <f t="shared" ref="N51:N65" ca="1" si="4">IFERROR(M51/$C$3,0)</f>
        <v>36566260.607213214</v>
      </c>
      <c r="O51" s="180">
        <f t="shared" ref="O51:O64" si="5">G51*$J$40-K51</f>
        <v>182831303.03606606</v>
      </c>
      <c r="P51" s="180">
        <f t="shared" ref="P51:P65" ca="1" si="6">IFERROR(O51/$C$3,0)</f>
        <v>36566260.607213214</v>
      </c>
      <c r="Q51" s="185">
        <f t="shared" ref="Q51:Q64" si="7">G51*$L$40-K51</f>
        <v>182831303.03606606</v>
      </c>
      <c r="R51" s="185">
        <f t="shared" ref="R51:R65" ca="1" si="8">IFERROR(Q51/$C$3,0)</f>
        <v>36566260.607213214</v>
      </c>
      <c r="T51" t="s">
        <v>124</v>
      </c>
      <c r="U51" t="s">
        <v>219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 cm="1">
        <f t="array" ref="H52">SUM(SUMIF($B$10:$B$26,$T52:$U52,C$10:C$26))</f>
        <v>191791371.05262703</v>
      </c>
      <c r="I52" s="114" cm="1">
        <f t="array" ref="I52">SUM(SUMIF($B$10:$B$26,$T52:$U52,D$10:D$26))</f>
        <v>74860986.836649001</v>
      </c>
      <c r="J52" s="114" cm="1">
        <f t="array" ref="J52">SUM(SUMIF($B$10:$B$26,$T52:$U52,E$10:E$26))</f>
        <v>336806453.01903105</v>
      </c>
      <c r="K52" s="114">
        <f t="shared" si="1"/>
        <v>603458810.90830708</v>
      </c>
      <c r="L52" s="187">
        <f t="shared" si="2"/>
        <v>0.72095140020793325</v>
      </c>
      <c r="M52" s="184">
        <f t="shared" si="3"/>
        <v>233572382.50398183</v>
      </c>
      <c r="N52" s="184">
        <f t="shared" ca="1" si="4"/>
        <v>46714476.500796363</v>
      </c>
      <c r="O52" s="180">
        <f t="shared" si="5"/>
        <v>233572382.50398183</v>
      </c>
      <c r="P52" s="180">
        <f t="shared" ca="1" si="6"/>
        <v>46714476.500796363</v>
      </c>
      <c r="Q52" s="185">
        <f t="shared" si="7"/>
        <v>233572382.50398183</v>
      </c>
      <c r="R52" s="185">
        <f t="shared" ca="1" si="8"/>
        <v>46714476.500796363</v>
      </c>
      <c r="T52" t="s">
        <v>70</v>
      </c>
      <c r="U52" t="s">
        <v>114</v>
      </c>
    </row>
    <row r="53" spans="2:21" x14ac:dyDescent="0.25">
      <c r="B53" s="136" t="s">
        <v>173</v>
      </c>
      <c r="C53" s="137" t="s">
        <v>174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 cm="1">
        <f t="array" ref="H53">SUM(SUMIF($B$10:$B$26,$T53:$U53,C$10:C$26))</f>
        <v>180486540.96000001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1"/>
        <v>180486540.96000001</v>
      </c>
      <c r="L53" s="187">
        <f t="shared" si="2"/>
        <v>0.68638299958465976</v>
      </c>
      <c r="M53" s="184">
        <f t="shared" si="3"/>
        <v>82466564.039999992</v>
      </c>
      <c r="N53" s="184">
        <f t="shared" ca="1" si="4"/>
        <v>16493312.807999998</v>
      </c>
      <c r="O53" s="180">
        <f t="shared" si="5"/>
        <v>82466564.039999992</v>
      </c>
      <c r="P53" s="180">
        <f t="shared" ca="1" si="6"/>
        <v>16493312.807999998</v>
      </c>
      <c r="Q53" s="185">
        <f t="shared" si="7"/>
        <v>82466564.039999992</v>
      </c>
      <c r="R53" s="185">
        <f t="shared" ca="1" si="8"/>
        <v>16493312.807999998</v>
      </c>
      <c r="T53" t="s">
        <v>170</v>
      </c>
      <c r="U53" t="s">
        <v>219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 cm="1">
        <f t="array" ref="H54">SUM(SUMIF($B$10:$B$26,$T54:$U54,C$10:C$26))</f>
        <v>687162604.17452097</v>
      </c>
      <c r="I54" s="114" cm="1">
        <f t="array" ref="I54">SUM(SUMIF($B$10:$B$26,$T54:$U54,D$10:D$26))</f>
        <v>25975566.479871999</v>
      </c>
      <c r="J54" s="114" cm="1">
        <f t="array" ref="J54">SUM(SUMIF($B$10:$B$26,$T54:$U54,E$10:E$26))</f>
        <v>136407063.156075</v>
      </c>
      <c r="K54" s="114">
        <f t="shared" si="1"/>
        <v>849545233.81046796</v>
      </c>
      <c r="L54" s="187">
        <f t="shared" si="2"/>
        <v>1.0917091076123655</v>
      </c>
      <c r="M54" s="184">
        <f t="shared" si="3"/>
        <v>-71366112.754607916</v>
      </c>
      <c r="N54" s="184">
        <f t="shared" ca="1" si="4"/>
        <v>-14273222.550921584</v>
      </c>
      <c r="O54" s="180">
        <f t="shared" si="5"/>
        <v>-71366112.754607916</v>
      </c>
      <c r="P54" s="180">
        <f t="shared" ca="1" si="6"/>
        <v>-14273222.550921584</v>
      </c>
      <c r="Q54" s="185">
        <f t="shared" si="7"/>
        <v>-71366112.754607916</v>
      </c>
      <c r="R54" s="185">
        <f t="shared" ca="1" si="8"/>
        <v>-14273222.550921584</v>
      </c>
      <c r="T54" t="s">
        <v>115</v>
      </c>
      <c r="U54" t="s">
        <v>219</v>
      </c>
    </row>
    <row r="55" spans="2:21" x14ac:dyDescent="0.25">
      <c r="B55" s="50" t="s">
        <v>73</v>
      </c>
      <c r="C55" s="55" t="s">
        <v>191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>C12</f>
        <v>3123423.4199979999</v>
      </c>
      <c r="I55" s="114">
        <f>D12</f>
        <v>17913431</v>
      </c>
      <c r="J55" s="114">
        <f>E12</f>
        <v>233585586.67908999</v>
      </c>
      <c r="K55" s="114">
        <f t="shared" si="1"/>
        <v>254622441.09908798</v>
      </c>
      <c r="L55" s="187">
        <f t="shared" si="2"/>
        <v>0.46218747883664141</v>
      </c>
      <c r="M55" s="184">
        <f t="shared" si="3"/>
        <v>296284826.53176761</v>
      </c>
      <c r="N55" s="184">
        <f t="shared" ca="1" si="4"/>
        <v>59256965.306353524</v>
      </c>
      <c r="O55" s="180">
        <f t="shared" si="5"/>
        <v>296284826.53176761</v>
      </c>
      <c r="P55" s="180">
        <f t="shared" ca="1" si="6"/>
        <v>59256965.306353524</v>
      </c>
      <c r="Q55" s="185">
        <f t="shared" si="7"/>
        <v>296284826.53176761</v>
      </c>
      <c r="R55" s="185">
        <f t="shared" ca="1" si="8"/>
        <v>59256965.306353524</v>
      </c>
      <c r="T55" t="s">
        <v>220</v>
      </c>
      <c r="U55" t="s">
        <v>219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 cm="1">
        <f t="array" ref="H56">SUM(SUMIF($B$10:$B$26,$T56:$U56,C$10:C$26))</f>
        <v>126788736.79275</v>
      </c>
      <c r="I56" s="114" cm="1">
        <f t="array" ref="I56">SUM(SUMIF($B$10:$B$26,$T56:$U56,D$10:D$26))</f>
        <v>87099277.234648004</v>
      </c>
      <c r="J56" s="114" cm="1">
        <f t="array" ref="J56">SUM(SUMIF($B$10:$B$26,$T56:$U56,E$10:E$26))</f>
        <v>149958830.11964101</v>
      </c>
      <c r="K56" s="114">
        <f t="shared" si="1"/>
        <v>363846844.147039</v>
      </c>
      <c r="L56" s="187">
        <f t="shared" si="2"/>
        <v>0.58080441649547321</v>
      </c>
      <c r="M56" s="184">
        <f t="shared" si="3"/>
        <v>262606457.19398969</v>
      </c>
      <c r="N56" s="184">
        <f t="shared" ca="1" si="4"/>
        <v>52521291.438797936</v>
      </c>
      <c r="O56" s="180">
        <f t="shared" si="5"/>
        <v>262606457.19398969</v>
      </c>
      <c r="P56" s="180">
        <f t="shared" ca="1" si="6"/>
        <v>52521291.438797936</v>
      </c>
      <c r="Q56" s="185">
        <f t="shared" si="7"/>
        <v>262606457.19398969</v>
      </c>
      <c r="R56" s="185">
        <f t="shared" ca="1" si="8"/>
        <v>52521291.438797936</v>
      </c>
      <c r="T56" t="s">
        <v>184</v>
      </c>
      <c r="U56" t="s">
        <v>219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 cm="1">
        <f t="array" ref="H57">SUM(SUMIF($B$10:$B$26,$T57:$U57,C$10:C$26))</f>
        <v>584747098.20811999</v>
      </c>
      <c r="I57" s="114" cm="1">
        <f t="array" ref="I57">SUM(SUMIF($B$10:$B$26,$T57:$U57,D$10:D$26))</f>
        <v>68513920.019765005</v>
      </c>
      <c r="J57" s="114" cm="1">
        <f t="array" ref="J57">SUM(SUMIF($B$10:$B$26,$T57:$U57,E$10:E$26))</f>
        <v>285862027.34951901</v>
      </c>
      <c r="K57" s="114">
        <f t="shared" si="1"/>
        <v>939123045.57740402</v>
      </c>
      <c r="L57" s="187">
        <f t="shared" si="2"/>
        <v>0.80910659278426822</v>
      </c>
      <c r="M57" s="184">
        <f t="shared" si="3"/>
        <v>221568331.74252105</v>
      </c>
      <c r="N57" s="184">
        <f t="shared" ca="1" si="4"/>
        <v>44313666.348504208</v>
      </c>
      <c r="O57" s="180">
        <f t="shared" si="5"/>
        <v>221568331.74252105</v>
      </c>
      <c r="P57" s="180">
        <f t="shared" ca="1" si="6"/>
        <v>44313666.348504208</v>
      </c>
      <c r="Q57" s="185">
        <f t="shared" si="7"/>
        <v>221568331.74252105</v>
      </c>
      <c r="R57" s="185">
        <f t="shared" ca="1" si="8"/>
        <v>44313666.348504208</v>
      </c>
      <c r="T57" t="s">
        <v>120</v>
      </c>
      <c r="U57" t="s">
        <v>219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 cm="1">
        <f t="array" ref="H58">SUM(SUMIF($B$10:$B$26,$T58:$U58,C$10:C$26))</f>
        <v>262177944.914325</v>
      </c>
      <c r="I58" s="114" cm="1">
        <f t="array" ref="I58">SUM(SUMIF($B$10:$B$26,$T58:$U58,D$10:D$26))</f>
        <v>72156108.32987</v>
      </c>
      <c r="J58" s="114" cm="1">
        <f t="array" ref="J58">SUM(SUMIF($B$10:$B$26,$T58:$U58,E$10:E$26))</f>
        <v>192502029.91870001</v>
      </c>
      <c r="K58" s="114">
        <f t="shared" si="1"/>
        <v>526836083.16289496</v>
      </c>
      <c r="L58" s="187">
        <f t="shared" si="2"/>
        <v>0.79094044478336634</v>
      </c>
      <c r="M58" s="184">
        <f t="shared" si="3"/>
        <v>139252099.12394214</v>
      </c>
      <c r="N58" s="184">
        <f t="shared" ca="1" si="4"/>
        <v>27850419.824788429</v>
      </c>
      <c r="O58" s="180">
        <f t="shared" si="5"/>
        <v>139252099.12394214</v>
      </c>
      <c r="P58" s="180">
        <f t="shared" ca="1" si="6"/>
        <v>27850419.824788429</v>
      </c>
      <c r="Q58" s="185">
        <f t="shared" si="7"/>
        <v>139252099.12394214</v>
      </c>
      <c r="R58" s="185">
        <f t="shared" ca="1" si="8"/>
        <v>27850419.824788429</v>
      </c>
      <c r="T58" t="s">
        <v>125</v>
      </c>
      <c r="U58" t="s">
        <v>219</v>
      </c>
    </row>
    <row r="59" spans="2:21" x14ac:dyDescent="0.25">
      <c r="B59" s="136" t="s">
        <v>173</v>
      </c>
      <c r="C59" s="137" t="s">
        <v>175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 cm="1">
        <f t="array" ref="H59">SUM(SUMIF($B$10:$B$26,$T59:$U59,C$10:C$26))</f>
        <v>370588155.39999998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1"/>
        <v>370588155.39999998</v>
      </c>
      <c r="L59" s="187">
        <f t="shared" si="2"/>
        <v>0.83494625969024849</v>
      </c>
      <c r="M59" s="184">
        <f t="shared" si="3"/>
        <v>73258560.600000024</v>
      </c>
      <c r="N59" s="184">
        <f t="shared" ca="1" si="4"/>
        <v>14651712.120000005</v>
      </c>
      <c r="O59" s="180">
        <f t="shared" si="5"/>
        <v>73258560.600000024</v>
      </c>
      <c r="P59" s="180">
        <f t="shared" ca="1" si="6"/>
        <v>14651712.120000005</v>
      </c>
      <c r="Q59" s="185">
        <f t="shared" si="7"/>
        <v>73258560.600000024</v>
      </c>
      <c r="R59" s="185">
        <f t="shared" ca="1" si="8"/>
        <v>14651712.120000005</v>
      </c>
      <c r="T59" t="s">
        <v>171</v>
      </c>
      <c r="U59" t="s">
        <v>219</v>
      </c>
    </row>
    <row r="60" spans="2:21" x14ac:dyDescent="0.25">
      <c r="B60" s="53" t="s">
        <v>80</v>
      </c>
      <c r="C60" s="56" t="s">
        <v>191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>C11</f>
        <v>313831855.63549697</v>
      </c>
      <c r="I60" s="114">
        <f>D11</f>
        <v>71686173.307567</v>
      </c>
      <c r="J60" s="114">
        <f>E11</f>
        <v>107095552.073377</v>
      </c>
      <c r="K60" s="114">
        <f t="shared" si="1"/>
        <v>492613581.01644099</v>
      </c>
      <c r="L60" s="187">
        <f t="shared" si="2"/>
        <v>0.7810665004728593</v>
      </c>
      <c r="M60" s="184">
        <f t="shared" si="3"/>
        <v>138079939.59699166</v>
      </c>
      <c r="N60" s="184">
        <f t="shared" ca="1" si="4"/>
        <v>27615987.91939833</v>
      </c>
      <c r="O60" s="180">
        <f t="shared" si="5"/>
        <v>138079939.59699166</v>
      </c>
      <c r="P60" s="180">
        <f t="shared" ca="1" si="6"/>
        <v>27615987.91939833</v>
      </c>
      <c r="Q60" s="185">
        <f t="shared" si="7"/>
        <v>138079939.59699166</v>
      </c>
      <c r="R60" s="185">
        <f t="shared" ca="1" si="8"/>
        <v>27615987.91939833</v>
      </c>
      <c r="T60" t="s">
        <v>221</v>
      </c>
      <c r="U60" t="s">
        <v>219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 cm="1">
        <f t="array" ref="H61">SUM(SUMIF($B$10:$B$26,$T61:$U61,C$10:C$26))</f>
        <v>362102305.36603498</v>
      </c>
      <c r="I61" s="114" cm="1">
        <f t="array" ref="I61">SUM(SUMIF($B$10:$B$26,$T61:$U61,D$10:D$26))</f>
        <v>47703495.530475996</v>
      </c>
      <c r="J61" s="114" cm="1">
        <f t="array" ref="J61">SUM(SUMIF($B$10:$B$26,$T61:$U61,E$10:E$26))</f>
        <v>183925416.61994201</v>
      </c>
      <c r="K61" s="114">
        <f t="shared" si="1"/>
        <v>593731217.51645303</v>
      </c>
      <c r="L61" s="187">
        <f t="shared" si="2"/>
        <v>0.77298675859163457</v>
      </c>
      <c r="M61" s="184">
        <f t="shared" si="3"/>
        <v>174368896.64102447</v>
      </c>
      <c r="N61" s="184">
        <f t="shared" ca="1" si="4"/>
        <v>34873779.328204893</v>
      </c>
      <c r="O61" s="180">
        <f t="shared" si="5"/>
        <v>174368896.64102447</v>
      </c>
      <c r="P61" s="180">
        <f t="shared" ca="1" si="6"/>
        <v>34873779.328204893</v>
      </c>
      <c r="Q61" s="185">
        <f t="shared" si="7"/>
        <v>174368896.64102447</v>
      </c>
      <c r="R61" s="185">
        <f t="shared" ca="1" si="8"/>
        <v>34873779.328204893</v>
      </c>
      <c r="T61" t="s">
        <v>126</v>
      </c>
      <c r="U61" t="s">
        <v>219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 cm="1">
        <f t="array" ref="H62">SUM(SUMIF($B$10:$B$26,$T62:$U62,C$10:C$26))</f>
        <v>122025113.198008</v>
      </c>
      <c r="I62" s="114" cm="1">
        <f t="array" ref="I62">SUM(SUMIF($B$10:$B$26,$T62:$U62,D$10:D$26))</f>
        <v>30987765.915591002</v>
      </c>
      <c r="J62" s="114" cm="1">
        <f t="array" ref="J62">SUM(SUMIF($B$10:$B$26,$T62:$U62,E$10:E$26))</f>
        <v>187321413.78949499</v>
      </c>
      <c r="K62" s="114">
        <f t="shared" si="1"/>
        <v>340334292.90309399</v>
      </c>
      <c r="L62" s="187">
        <f t="shared" si="2"/>
        <v>0.64392546448631327</v>
      </c>
      <c r="M62" s="184">
        <f t="shared" si="3"/>
        <v>188196277.2842384</v>
      </c>
      <c r="N62" s="184">
        <f t="shared" ca="1" si="4"/>
        <v>37639255.456847683</v>
      </c>
      <c r="O62" s="180">
        <f t="shared" si="5"/>
        <v>188196277.2842384</v>
      </c>
      <c r="P62" s="180">
        <f t="shared" ca="1" si="6"/>
        <v>37639255.456847683</v>
      </c>
      <c r="Q62" s="185">
        <f t="shared" si="7"/>
        <v>188196277.2842384</v>
      </c>
      <c r="R62" s="185">
        <f t="shared" ca="1" si="8"/>
        <v>37639255.456847683</v>
      </c>
      <c r="T62" t="s">
        <v>112</v>
      </c>
      <c r="U62" t="s">
        <v>219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 cm="1">
        <f t="array" ref="H63">SUM(SUMIF($B$10:$B$26,$T63:$U63,C$10:C$26))</f>
        <v>285966720.96544099</v>
      </c>
      <c r="I63" s="114" cm="1">
        <f t="array" ref="I63">SUM(SUMIF($B$10:$B$26,$T63:$U63,D$10:D$26))</f>
        <v>202991187.37955901</v>
      </c>
      <c r="J63" s="114" cm="1">
        <f t="array" ref="J63">SUM(SUMIF($B$10:$B$26,$T63:$U63,E$10:E$26))</f>
        <v>287618874.64680499</v>
      </c>
      <c r="K63" s="114">
        <f t="shared" si="1"/>
        <v>776576782.99180508</v>
      </c>
      <c r="L63" s="187">
        <f t="shared" si="2"/>
        <v>0.75360588891826796</v>
      </c>
      <c r="M63" s="184">
        <f t="shared" si="3"/>
        <v>253904526.15309787</v>
      </c>
      <c r="N63" s="184">
        <f t="shared" ca="1" si="4"/>
        <v>50780905.230619572</v>
      </c>
      <c r="O63" s="180">
        <f t="shared" si="5"/>
        <v>253904526.15309787</v>
      </c>
      <c r="P63" s="180">
        <f t="shared" ca="1" si="6"/>
        <v>50780905.230619572</v>
      </c>
      <c r="Q63" s="185">
        <f t="shared" si="7"/>
        <v>253904526.15309787</v>
      </c>
      <c r="R63" s="185">
        <f t="shared" ca="1" si="8"/>
        <v>50780905.230619572</v>
      </c>
      <c r="T63" t="s">
        <v>127</v>
      </c>
      <c r="U63" t="s">
        <v>219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 cm="1">
        <f t="array" ref="H64">SUM(SUMIF($B$10:$B$26,$T64:$U64,C$10:C$26))</f>
        <v>109997278.243664</v>
      </c>
      <c r="I64" s="114" cm="1">
        <f t="array" ref="I64">SUM(SUMIF($B$10:$B$26,$T64:$U64,D$10:D$26))</f>
        <v>114167660.60071</v>
      </c>
      <c r="J64" s="114" cm="1">
        <f t="array" ref="J64">SUM(SUMIF($B$10:$B$26,$T64:$U64,E$10:E$26))</f>
        <v>114805571.57876</v>
      </c>
      <c r="K64" s="114">
        <f t="shared" si="1"/>
        <v>338970510.42313397</v>
      </c>
      <c r="L64" s="187">
        <f t="shared" si="2"/>
        <v>0.576067382644468</v>
      </c>
      <c r="M64" s="184">
        <f t="shared" si="3"/>
        <v>249451123.28761661</v>
      </c>
      <c r="N64" s="184">
        <f t="shared" ca="1" si="4"/>
        <v>49890224.657523319</v>
      </c>
      <c r="O64" s="180">
        <f t="shared" si="5"/>
        <v>249451123.28761661</v>
      </c>
      <c r="P64" s="180">
        <f t="shared" ca="1" si="6"/>
        <v>49890224.657523319</v>
      </c>
      <c r="Q64" s="185">
        <f t="shared" si="7"/>
        <v>249451123.28761661</v>
      </c>
      <c r="R64" s="185">
        <f t="shared" ca="1" si="8"/>
        <v>49890224.657523319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9">SUM(D51:D64)</f>
        <v>4927597521</v>
      </c>
      <c r="E65" s="134">
        <f t="shared" si="9"/>
        <v>1294442997.4659395</v>
      </c>
      <c r="F65" s="134">
        <f t="shared" si="9"/>
        <v>3216211725</v>
      </c>
      <c r="G65" s="134">
        <f t="shared" si="9"/>
        <v>9438252243.4659405</v>
      </c>
      <c r="H65" s="135">
        <f t="shared" si="9"/>
        <v>3826874002.8409185</v>
      </c>
      <c r="I65" s="135">
        <f t="shared" si="9"/>
        <v>851211453.41418207</v>
      </c>
      <c r="J65" s="135">
        <f t="shared" si="9"/>
        <v>2335691612.2302098</v>
      </c>
      <c r="K65" s="135">
        <f t="shared" si="9"/>
        <v>7013777068.4853096</v>
      </c>
      <c r="L65" s="189">
        <f t="shared" si="2"/>
        <v>0.74312244338891409</v>
      </c>
      <c r="M65" s="181">
        <f>SUM(M51:M64)</f>
        <v>2424475174.9806299</v>
      </c>
      <c r="N65" s="181">
        <f t="shared" ca="1" si="4"/>
        <v>484895034.996126</v>
      </c>
      <c r="O65" s="181">
        <f>SUM(O51:O64)</f>
        <v>2424475174.9806299</v>
      </c>
      <c r="P65" s="181">
        <f t="shared" ca="1" si="6"/>
        <v>484895034.996126</v>
      </c>
      <c r="Q65" s="186">
        <f>SUM(Q51:Q64)</f>
        <v>2424475174.9806299</v>
      </c>
      <c r="R65" s="186">
        <f t="shared" ca="1" si="8"/>
        <v>484895034.996126</v>
      </c>
    </row>
    <row r="66" spans="2:21" x14ac:dyDescent="0.25">
      <c r="G66" s="111"/>
      <c r="H66" s="111"/>
      <c r="I66" s="111"/>
    </row>
    <row r="67" spans="2:21" ht="18.95" customHeight="1" x14ac:dyDescent="0.25">
      <c r="B67" s="282" t="s">
        <v>144</v>
      </c>
      <c r="C67" s="283"/>
      <c r="D67" s="283"/>
      <c r="E67" s="283"/>
      <c r="F67" s="284"/>
      <c r="G67" s="268" t="s">
        <v>187</v>
      </c>
      <c r="H67" s="269"/>
      <c r="I67" s="269"/>
      <c r="J67" s="269"/>
      <c r="K67" s="269"/>
      <c r="L67" s="270"/>
    </row>
    <row r="68" spans="2:21" ht="31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IFERROR(C31,0)</f>
        <v>204377405.84914801</v>
      </c>
      <c r="F69" s="187">
        <f t="shared" ref="F69:F74" si="10">IFERROR(E69/D69,0)</f>
        <v>0.6855967616974098</v>
      </c>
      <c r="G69" s="184">
        <f>D69*$H$40-E69</f>
        <v>93724069.051561326</v>
      </c>
      <c r="H69" s="184">
        <f t="shared" ref="H69:H74" ca="1" si="11">IFERROR(G69/$C$3,0)</f>
        <v>18744813.810312264</v>
      </c>
      <c r="I69" s="204">
        <f>D69*$J$40-E69</f>
        <v>93724069.051561326</v>
      </c>
      <c r="J69" s="204">
        <f t="shared" ref="J69:J74" ca="1" si="12">IFERROR(I69/$C$3,0)</f>
        <v>18744813.810312264</v>
      </c>
      <c r="K69" s="185">
        <f>D69*$L$40-E69</f>
        <v>93724069.051561326</v>
      </c>
      <c r="L69" s="185">
        <f t="shared" ref="L69:L74" ca="1" si="13">IFERROR(K69/$C$3,0)</f>
        <v>18744813.810312264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IFERROR(C32,0)</f>
        <v>363310835.80250001</v>
      </c>
      <c r="F70" s="187">
        <f t="shared" si="10"/>
        <v>0.82308308485308157</v>
      </c>
      <c r="G70" s="184">
        <f>D70*$H$40-E70</f>
        <v>78091548.098209321</v>
      </c>
      <c r="H70" s="184">
        <f t="shared" ca="1" si="11"/>
        <v>15618309.619641865</v>
      </c>
      <c r="I70" s="204">
        <f>D70*$J$40-E70</f>
        <v>78091548.098209321</v>
      </c>
      <c r="J70" s="204">
        <f t="shared" ca="1" si="12"/>
        <v>15618309.619641865</v>
      </c>
      <c r="K70" s="185">
        <f>D70*$L$40-E70</f>
        <v>78091548.098209321</v>
      </c>
      <c r="L70" s="185">
        <f t="shared" ca="1" si="13"/>
        <v>15618309.619641865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M21+M7</f>
        <v>668688076.87203598</v>
      </c>
      <c r="F71" s="187">
        <f t="shared" si="10"/>
        <v>0.59362239509136872</v>
      </c>
      <c r="G71" s="184">
        <f>D71*$H$40-E71</f>
        <v>457765511.13505626</v>
      </c>
      <c r="H71" s="184">
        <f t="shared" ca="1" si="11"/>
        <v>91553102.227011248</v>
      </c>
      <c r="I71" s="204">
        <f>D71*$J$40-E71</f>
        <v>457765511.13505626</v>
      </c>
      <c r="J71" s="204">
        <f t="shared" ca="1" si="12"/>
        <v>91553102.227011248</v>
      </c>
      <c r="K71" s="185">
        <f>D71*$L$40-E71</f>
        <v>457765511.13505626</v>
      </c>
      <c r="L71" s="185">
        <f t="shared" ca="1" si="13"/>
        <v>91553102.227011248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0"/>
        <v>0</v>
      </c>
      <c r="G72" s="184">
        <f>D72*$H$40-E72</f>
        <v>0</v>
      </c>
      <c r="H72" s="184">
        <f t="shared" ca="1" si="11"/>
        <v>0</v>
      </c>
      <c r="I72" s="204">
        <f>D72*$J$40-E72</f>
        <v>0</v>
      </c>
      <c r="J72" s="204">
        <f t="shared" ca="1" si="12"/>
        <v>0</v>
      </c>
      <c r="K72" s="185">
        <f>D72*$L$40-E72</f>
        <v>0</v>
      </c>
      <c r="L72" s="185">
        <f t="shared" ca="1" si="13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0"/>
        <v>0</v>
      </c>
      <c r="G73" s="184">
        <f>D73*$H$40-E73</f>
        <v>0</v>
      </c>
      <c r="H73" s="184">
        <f t="shared" ca="1" si="11"/>
        <v>0</v>
      </c>
      <c r="I73" s="204">
        <f>D73*$J$40-E73</f>
        <v>0</v>
      </c>
      <c r="J73" s="204">
        <f t="shared" ca="1" si="12"/>
        <v>0</v>
      </c>
      <c r="K73" s="185">
        <f>D73*$L$40-E73</f>
        <v>0</v>
      </c>
      <c r="L73" s="185">
        <f t="shared" ca="1" si="13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1236376318.523684</v>
      </c>
      <c r="F74" s="177">
        <f t="shared" si="10"/>
        <v>0.66259620262956831</v>
      </c>
      <c r="G74" s="181">
        <f>SUM(G69:G73)</f>
        <v>629581128.28482687</v>
      </c>
      <c r="H74" s="181">
        <f t="shared" ca="1" si="11"/>
        <v>125916225.65696537</v>
      </c>
      <c r="I74" s="186">
        <f>SUM(I69:I73)</f>
        <v>629581128.28482687</v>
      </c>
      <c r="J74" s="186">
        <f t="shared" ca="1" si="12"/>
        <v>125916225.65696537</v>
      </c>
      <c r="K74" s="186">
        <f>SUM(K69:K73)</f>
        <v>629581128.28482687</v>
      </c>
      <c r="L74" s="186">
        <f t="shared" ca="1" si="13"/>
        <v>125916225.65696537</v>
      </c>
    </row>
    <row r="77" spans="2:21" ht="20.100000000000001" customHeight="1" x14ac:dyDescent="0.25">
      <c r="B77" s="248" t="s">
        <v>172</v>
      </c>
      <c r="C77" s="249"/>
      <c r="D77" s="250"/>
    </row>
    <row r="78" spans="2:21" ht="15.75" x14ac:dyDescent="0.25">
      <c r="B78" s="267" t="s">
        <v>41</v>
      </c>
      <c r="C78" s="267" t="s">
        <v>42</v>
      </c>
      <c r="D78" s="231" t="s">
        <v>138</v>
      </c>
    </row>
    <row r="79" spans="2:21" ht="15.75" x14ac:dyDescent="0.25">
      <c r="B79" s="257"/>
      <c r="C79" s="257"/>
      <c r="D79" s="70" t="s">
        <v>169</v>
      </c>
      <c r="T79" s="172" t="s">
        <v>217</v>
      </c>
      <c r="U79" s="172" t="s">
        <v>218</v>
      </c>
    </row>
    <row r="80" spans="2:21" x14ac:dyDescent="0.25">
      <c r="B80" s="50" t="s">
        <v>67</v>
      </c>
      <c r="C80" s="55" t="s">
        <v>68</v>
      </c>
      <c r="D80" s="131" cm="1">
        <f t="array" ref="D80">SUM(SUMIF($B$10:$B$26,$T80:$U80,$F$10:$F$26))</f>
        <v>412031182.91984499</v>
      </c>
      <c r="T80" t="str">
        <f t="shared" ref="T80:U93" si="14">T51</f>
        <v>Picrom Stalyon</v>
      </c>
      <c r="U80" t="str">
        <f t="shared" si="14"/>
        <v>n/a</v>
      </c>
    </row>
    <row r="81" spans="2:21" x14ac:dyDescent="0.25">
      <c r="B81" s="53" t="s">
        <v>69</v>
      </c>
      <c r="C81" s="56" t="s">
        <v>70</v>
      </c>
      <c r="D81" s="132" cm="1">
        <f t="array" ref="D81">SUM(SUMIF($B$10:$B$26,$T81:$U81,$F$10:$F$26))</f>
        <v>123327296.84</v>
      </c>
      <c r="T81" t="str">
        <f t="shared" si="14"/>
        <v>I MADE LUIH</v>
      </c>
      <c r="U81" t="str">
        <f t="shared" si="14"/>
        <v>I Made Luih (Sanur)</v>
      </c>
    </row>
    <row r="82" spans="2:21" x14ac:dyDescent="0.25">
      <c r="B82" s="53" t="s">
        <v>173</v>
      </c>
      <c r="C82" s="56" t="s">
        <v>174</v>
      </c>
      <c r="D82" s="132" cm="1">
        <f t="array" ref="D82">SUM(SUMIF($B$10:$B$26,$T82:$U82,$F$10:$F$26))</f>
        <v>10162161.880000001</v>
      </c>
      <c r="T82" t="str">
        <f t="shared" si="14"/>
        <v>NN Made Luih</v>
      </c>
      <c r="U82" t="str">
        <f t="shared" si="14"/>
        <v>n/a</v>
      </c>
    </row>
    <row r="83" spans="2:21" x14ac:dyDescent="0.25">
      <c r="B83" s="50" t="s">
        <v>71</v>
      </c>
      <c r="C83" s="55" t="s">
        <v>72</v>
      </c>
      <c r="D83" s="131" cm="1">
        <f t="array" ref="D83">SUM(SUMIF($B$10:$B$26,$T83:$U83,$F$10:$F$26))</f>
        <v>336341085.36982101</v>
      </c>
      <c r="T83" t="str">
        <f t="shared" si="14"/>
        <v>Juni</v>
      </c>
      <c r="U83" t="str">
        <f t="shared" si="14"/>
        <v>n/a</v>
      </c>
    </row>
    <row r="84" spans="2:21" x14ac:dyDescent="0.25">
      <c r="B84" s="53" t="s">
        <v>73</v>
      </c>
      <c r="C84" s="56" t="s">
        <v>191</v>
      </c>
      <c r="D84" s="132" t="str">
        <f>F12</f>
        <v/>
      </c>
      <c r="T84" t="str">
        <f t="shared" si="14"/>
        <v>→ baris 12 (manual)</v>
      </c>
      <c r="U84" t="str">
        <f t="shared" si="14"/>
        <v>n/a</v>
      </c>
    </row>
    <row r="85" spans="2:21" x14ac:dyDescent="0.25">
      <c r="B85" s="50" t="s">
        <v>75</v>
      </c>
      <c r="C85" s="55" t="s">
        <v>99</v>
      </c>
      <c r="D85" s="131" cm="1">
        <f t="array" ref="D85">SUM(SUMIF($B$10:$B$26,$T85:$U85,$F$10:$F$26))</f>
        <v>54852170.700000003</v>
      </c>
      <c r="T85" t="str">
        <f t="shared" si="14"/>
        <v>Vacant Hotel Kuta Seminyak</v>
      </c>
      <c r="U85" t="str">
        <f t="shared" si="14"/>
        <v>n/a</v>
      </c>
    </row>
    <row r="86" spans="2:21" x14ac:dyDescent="0.25">
      <c r="B86" s="53" t="s">
        <v>76</v>
      </c>
      <c r="C86" s="56" t="s">
        <v>77</v>
      </c>
      <c r="D86" s="132" cm="1">
        <f t="array" ref="D86">SUM(SUMIF($B$10:$B$26,$T86:$U86,$F$10:$F$26))</f>
        <v>1300038656.6399341</v>
      </c>
      <c r="T86" t="str">
        <f t="shared" si="14"/>
        <v>Monica</v>
      </c>
      <c r="U86" t="str">
        <f t="shared" si="14"/>
        <v>n/a</v>
      </c>
    </row>
    <row r="87" spans="2:21" x14ac:dyDescent="0.25">
      <c r="B87" s="50" t="s">
        <v>78</v>
      </c>
      <c r="C87" s="55" t="s">
        <v>79</v>
      </c>
      <c r="D87" s="131" cm="1">
        <f t="array" ref="D87">SUM(SUMIF($B$10:$B$26,$T87:$U87,$F$10:$F$26))</f>
        <v>317536568.669429</v>
      </c>
      <c r="T87" t="str">
        <f t="shared" si="14"/>
        <v>Sujana</v>
      </c>
      <c r="U87" t="str">
        <f t="shared" si="14"/>
        <v>n/a</v>
      </c>
    </row>
    <row r="88" spans="2:21" x14ac:dyDescent="0.25">
      <c r="B88" s="53" t="s">
        <v>173</v>
      </c>
      <c r="C88" s="56" t="s">
        <v>175</v>
      </c>
      <c r="D88" s="132" cm="1">
        <f t="array" ref="D88">SUM(SUMIF($B$10:$B$26,$T88:$U88,$F$10:$F$26))</f>
        <v>14510450.060000001</v>
      </c>
      <c r="T88" t="str">
        <f t="shared" si="14"/>
        <v>NN Sujana</v>
      </c>
      <c r="U88" t="str">
        <f t="shared" si="14"/>
        <v>n/a</v>
      </c>
    </row>
    <row r="89" spans="2:21" x14ac:dyDescent="0.25">
      <c r="B89" s="53" t="s">
        <v>80</v>
      </c>
      <c r="C89" s="56" t="s">
        <v>191</v>
      </c>
      <c r="D89" s="132">
        <f>F11</f>
        <v>282497104.13999999</v>
      </c>
      <c r="T89" t="str">
        <f t="shared" si="14"/>
        <v>→ baris 11 (manual)</v>
      </c>
      <c r="U89" t="str">
        <f t="shared" si="14"/>
        <v>n/a</v>
      </c>
    </row>
    <row r="90" spans="2:21" x14ac:dyDescent="0.25">
      <c r="B90" s="50" t="s">
        <v>82</v>
      </c>
      <c r="C90" s="55" t="s">
        <v>83</v>
      </c>
      <c r="D90" s="131" cm="1">
        <f t="array" ref="D90">SUM(SUMIF($B$10:$B$26,$T90:$U90,$F$10:$F$26))</f>
        <v>555631019.66932297</v>
      </c>
      <c r="T90" t="str">
        <f t="shared" si="14"/>
        <v>Taufik</v>
      </c>
      <c r="U90" t="str">
        <f t="shared" si="14"/>
        <v>n/a</v>
      </c>
    </row>
    <row r="91" spans="2:21" x14ac:dyDescent="0.25">
      <c r="B91" s="53" t="s">
        <v>84</v>
      </c>
      <c r="C91" s="56" t="s">
        <v>85</v>
      </c>
      <c r="D91" s="132" cm="1">
        <f t="array" ref="D91">SUM(SUMIF($B$10:$B$26,$T91:$U91,$F$10:$F$26))</f>
        <v>146701033.86000001</v>
      </c>
      <c r="T91" t="str">
        <f t="shared" si="14"/>
        <v>Dewi Kristiani</v>
      </c>
      <c r="U91" t="str">
        <f t="shared" si="14"/>
        <v>n/a</v>
      </c>
    </row>
    <row r="92" spans="2:21" x14ac:dyDescent="0.25">
      <c r="B92" s="50" t="s">
        <v>86</v>
      </c>
      <c r="C92" s="55" t="s">
        <v>87</v>
      </c>
      <c r="D92" s="131" cm="1">
        <f t="array" ref="D92">SUM(SUMIF($B$10:$B$26,$T92:$U92,$F$10:$F$26))</f>
        <v>16706594.929</v>
      </c>
      <c r="T92" t="str">
        <f t="shared" si="14"/>
        <v>Wira</v>
      </c>
      <c r="U92" t="str">
        <f t="shared" si="14"/>
        <v>n/a</v>
      </c>
    </row>
    <row r="93" spans="2:21" x14ac:dyDescent="0.25">
      <c r="B93" s="53" t="s">
        <v>88</v>
      </c>
      <c r="C93" s="56" t="s">
        <v>89</v>
      </c>
      <c r="D93" s="132" cm="1">
        <f t="array" ref="D93">SUM(SUMIF($B$10:$B$26,$T93:$U93,$F$10:$F$26))</f>
        <v>114098921.278</v>
      </c>
      <c r="T93" t="str">
        <f t="shared" si="14"/>
        <v>Ni Ketut Sriasih (GT)</v>
      </c>
      <c r="U93" t="str">
        <f t="shared" si="14"/>
        <v>Ni Ketut Sriasih (MT)</v>
      </c>
    </row>
    <row r="94" spans="2:21" x14ac:dyDescent="0.25">
      <c r="B94" s="57" t="s">
        <v>151</v>
      </c>
      <c r="C94" s="58"/>
      <c r="D94" s="120">
        <f>SUM(D80:D93)</f>
        <v>3684434246.9553514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58" t="s">
        <v>162</v>
      </c>
      <c r="C40" s="259"/>
      <c r="D40" s="260"/>
      <c r="E40" s="66" t="s">
        <v>137</v>
      </c>
      <c r="F40" s="174">
        <f ca="1">IF(MONTH(TODAY())=9,DAY(TODAY())/DAY(EOMONTH(TODAY(),0)),IF(MONTH(TODAY())&gt;9,1,0))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SUM(TARGETS!AD5:AD18)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5" t="s">
        <v>145</v>
      </c>
      <c r="C46" s="256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1" t="s">
        <v>146</v>
      </c>
      <c r="C48" s="262"/>
      <c r="D48" s="262"/>
      <c r="E48" s="262"/>
      <c r="F48" s="262"/>
      <c r="G48" s="262"/>
      <c r="H48" s="262"/>
      <c r="I48" s="262"/>
      <c r="J48" s="262"/>
      <c r="K48" s="262"/>
      <c r="L48" s="285"/>
      <c r="M48" s="268" t="s">
        <v>187</v>
      </c>
      <c r="N48" s="269"/>
      <c r="O48" s="269"/>
      <c r="P48" s="269"/>
      <c r="Q48" s="269"/>
      <c r="R48" s="270"/>
    </row>
    <row r="49" spans="2:21" ht="17.100000000000001" customHeight="1" x14ac:dyDescent="0.25">
      <c r="B49" s="286" t="s">
        <v>41</v>
      </c>
      <c r="C49" s="286" t="s">
        <v>42</v>
      </c>
      <c r="D49" s="252" t="s">
        <v>137</v>
      </c>
      <c r="E49" s="253"/>
      <c r="F49" s="253"/>
      <c r="G49" s="254"/>
      <c r="H49" s="287" t="s">
        <v>138</v>
      </c>
      <c r="I49" s="288"/>
      <c r="J49" s="288"/>
      <c r="K49" s="289"/>
      <c r="L49" s="290" t="s">
        <v>139</v>
      </c>
      <c r="M49" s="271" t="str">
        <f>"SELISIH"&amp;CHAR(10)&amp;TEXT($H$40,"0%")</f>
        <v>SELISIH
90%</v>
      </c>
      <c r="N49" s="271" t="str">
        <f>"PER HARI"&amp;CHAR(10)&amp;TEXT($H$40,"0%")</f>
        <v>PER HARI
90%</v>
      </c>
      <c r="O49" s="273" t="str">
        <f>"SELISIH"&amp;CHAR(10)&amp;TEXT($J$40,"0%")</f>
        <v>SELISIH
95%</v>
      </c>
      <c r="P49" s="273" t="str">
        <f>"PER HARI"&amp;CHAR(10)&amp;TEXT($J$40,"0%")</f>
        <v>PER HARI
95%</v>
      </c>
      <c r="Q49" s="275" t="str">
        <f>"SELISIH"&amp;CHAR(10)&amp;TEXT($L$40,"0%")</f>
        <v>SELISIH
100%</v>
      </c>
      <c r="R49" s="275" t="str">
        <f>"PER HARI"&amp;CHAR(10)&amp;TEXT($L$40,"0%")</f>
        <v>PER HARI
100%</v>
      </c>
    </row>
    <row r="50" spans="2:21" ht="17.100000000000001" customHeight="1" x14ac:dyDescent="0.25">
      <c r="B50" s="267"/>
      <c r="C50" s="267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1"/>
      <c r="M50" s="272"/>
      <c r="N50" s="272"/>
      <c r="O50" s="274"/>
      <c r="P50" s="274"/>
      <c r="Q50" s="276"/>
      <c r="R50" s="276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0</v>
      </c>
      <c r="E51" s="118">
        <f>TARGETS!AC5</f>
        <v>0</v>
      </c>
      <c r="F51" s="118">
        <f>TARGETS!AD5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0</v>
      </c>
      <c r="E52" s="119">
        <f>TARGETS!AC6</f>
        <v>0</v>
      </c>
      <c r="F52" s="119">
        <f>TARGETS!AD6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TARGETS!AB7</f>
        <v>0</v>
      </c>
      <c r="E53" s="138">
        <f>TARGETS!AC7</f>
        <v>0</v>
      </c>
      <c r="F53" s="138">
        <f>TARGETS!AD7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0</v>
      </c>
      <c r="E54" s="119">
        <f>TARGETS!AC8</f>
        <v>0</v>
      </c>
      <c r="F54" s="119">
        <f>TARGETS!AD8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TARGETS!AB9</f>
        <v>0</v>
      </c>
      <c r="E55" s="118">
        <f>TARGETS!AC9</f>
        <v>0</v>
      </c>
      <c r="F55" s="118">
        <f>TARGETS!AD9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0</v>
      </c>
      <c r="E56" s="119">
        <f>TARGETS!AC10</f>
        <v>0</v>
      </c>
      <c r="F56" s="119">
        <f>TARGETS!AD10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0</v>
      </c>
      <c r="E57" s="118">
        <f>TARGETS!AC11</f>
        <v>0</v>
      </c>
      <c r="F57" s="118">
        <f>TARGETS!AD11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0</v>
      </c>
      <c r="E58" s="119">
        <f>TARGETS!AC12</f>
        <v>0</v>
      </c>
      <c r="F58" s="119">
        <f>TARGETS!AD12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TARGETS!AB13</f>
        <v>0</v>
      </c>
      <c r="E59" s="138">
        <f>TARGETS!AC13</f>
        <v>0</v>
      </c>
      <c r="F59" s="138">
        <f>TARGETS!AD13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TARGETS!AB14</f>
        <v>0</v>
      </c>
      <c r="E60" s="119">
        <f>TARGETS!AC14</f>
        <v>0</v>
      </c>
      <c r="F60" s="119">
        <f>TARGETS!AD14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0</v>
      </c>
      <c r="E61" s="118">
        <f>TARGETS!AC15</f>
        <v>0</v>
      </c>
      <c r="F61" s="118">
        <f>TARGETS!AD15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0</v>
      </c>
      <c r="E62" s="119">
        <f>TARGETS!AC16</f>
        <v>0</v>
      </c>
      <c r="F62" s="119">
        <f>TARGETS!AD16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0</v>
      </c>
      <c r="E63" s="118">
        <f>TARGETS!AC17</f>
        <v>0</v>
      </c>
      <c r="F63" s="118">
        <f>TARGETS!AD17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0</v>
      </c>
      <c r="E64" s="119">
        <f>TARGETS!AC18</f>
        <v>0</v>
      </c>
      <c r="F64" s="119">
        <f>TARGETS!AD18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2" t="s">
        <v>144</v>
      </c>
      <c r="C67" s="283"/>
      <c r="D67" s="283"/>
      <c r="E67" s="283"/>
      <c r="F67" s="292"/>
      <c r="G67" s="268" t="s">
        <v>187</v>
      </c>
      <c r="H67" s="269"/>
      <c r="I67" s="269"/>
      <c r="J67" s="269"/>
      <c r="K67" s="269"/>
      <c r="L67" s="270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TARGETS!L23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TARGETS!L24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8" t="s">
        <v>172</v>
      </c>
      <c r="C77" s="249"/>
      <c r="D77" s="250"/>
    </row>
    <row r="78" spans="2:21" ht="17.100000000000001" customHeight="1" x14ac:dyDescent="0.25">
      <c r="B78" s="267" t="s">
        <v>41</v>
      </c>
      <c r="C78" s="267" t="s">
        <v>42</v>
      </c>
      <c r="D78" s="231" t="s">
        <v>138</v>
      </c>
    </row>
    <row r="79" spans="2:21" ht="17.100000000000001" customHeight="1" x14ac:dyDescent="0.25">
      <c r="B79" s="257"/>
      <c r="C79" s="257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58" t="s">
        <v>164</v>
      </c>
      <c r="C40" s="259"/>
      <c r="D40" s="260"/>
      <c r="E40" s="66" t="s">
        <v>137</v>
      </c>
      <c r="F40" s="174">
        <f ca="1">IF(MONTH(TODAY())=10,DAY(TODAY())/DAY(EOMONTH(TODAY(),0)),IF(MONTH(TODAY())&gt;10,1,0))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5" t="s">
        <v>145</v>
      </c>
      <c r="C46" s="256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1" t="s">
        <v>146</v>
      </c>
      <c r="C48" s="262"/>
      <c r="D48" s="262"/>
      <c r="E48" s="262"/>
      <c r="F48" s="262"/>
      <c r="G48" s="262"/>
      <c r="H48" s="262"/>
      <c r="I48" s="262"/>
      <c r="J48" s="262"/>
      <c r="K48" s="262"/>
      <c r="L48" s="285"/>
      <c r="M48" s="268" t="s">
        <v>187</v>
      </c>
      <c r="N48" s="269"/>
      <c r="O48" s="269"/>
      <c r="P48" s="269"/>
      <c r="Q48" s="269"/>
      <c r="R48" s="270"/>
    </row>
    <row r="49" spans="2:21" ht="17.100000000000001" customHeight="1" x14ac:dyDescent="0.25">
      <c r="B49" s="286" t="s">
        <v>41</v>
      </c>
      <c r="C49" s="286" t="s">
        <v>42</v>
      </c>
      <c r="D49" s="252" t="s">
        <v>137</v>
      </c>
      <c r="E49" s="253"/>
      <c r="F49" s="253"/>
      <c r="G49" s="254"/>
      <c r="H49" s="287" t="s">
        <v>138</v>
      </c>
      <c r="I49" s="288"/>
      <c r="J49" s="288"/>
      <c r="K49" s="289"/>
      <c r="L49" s="290" t="s">
        <v>139</v>
      </c>
      <c r="M49" s="271" t="str">
        <f>"SELISIH"&amp;CHAR(10)&amp;TEXT($H$40,"0%")</f>
        <v>SELISIH
90%</v>
      </c>
      <c r="N49" s="271" t="str">
        <f>"PER HARI"&amp;CHAR(10)&amp;TEXT($H$40,"0%")</f>
        <v>PER HARI
90%</v>
      </c>
      <c r="O49" s="273" t="str">
        <f>"SELISIH"&amp;CHAR(10)&amp;TEXT($J$40,"0%")</f>
        <v>SELISIH
95%</v>
      </c>
      <c r="P49" s="273" t="str">
        <f>"PER HARI"&amp;CHAR(10)&amp;TEXT($J$40,"0%")</f>
        <v>PER HARI
95%</v>
      </c>
      <c r="Q49" s="275" t="str">
        <f>"SELISIH"&amp;CHAR(10)&amp;TEXT($L$40,"0%")</f>
        <v>SELISIH
100%</v>
      </c>
      <c r="R49" s="275" t="str">
        <f>"PER HARI"&amp;CHAR(10)&amp;TEXT($L$40,"0%")</f>
        <v>PER HARI
100%</v>
      </c>
    </row>
    <row r="50" spans="2:21" ht="17.100000000000001" customHeight="1" x14ac:dyDescent="0.25">
      <c r="B50" s="267"/>
      <c r="C50" s="267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1"/>
      <c r="M50" s="272"/>
      <c r="N50" s="272"/>
      <c r="O50" s="274"/>
      <c r="P50" s="274"/>
      <c r="Q50" s="276"/>
      <c r="R50" s="276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2" t="s">
        <v>144</v>
      </c>
      <c r="C67" s="283"/>
      <c r="D67" s="283"/>
      <c r="E67" s="283"/>
      <c r="F67" s="292"/>
      <c r="G67" s="268" t="s">
        <v>187</v>
      </c>
      <c r="H67" s="269"/>
      <c r="I67" s="269"/>
      <c r="J67" s="269"/>
      <c r="K67" s="269"/>
      <c r="L67" s="270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8" t="s">
        <v>172</v>
      </c>
      <c r="C77" s="249"/>
      <c r="D77" s="250"/>
    </row>
    <row r="78" spans="2:21" ht="17.100000000000001" customHeight="1" x14ac:dyDescent="0.25">
      <c r="B78" s="267" t="s">
        <v>41</v>
      </c>
      <c r="C78" s="267" t="s">
        <v>42</v>
      </c>
      <c r="D78" s="231" t="s">
        <v>138</v>
      </c>
    </row>
    <row r="79" spans="2:21" ht="17.100000000000001" customHeight="1" x14ac:dyDescent="0.25">
      <c r="B79" s="257"/>
      <c r="C79" s="257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58" t="s">
        <v>176</v>
      </c>
      <c r="C40" s="259"/>
      <c r="D40" s="260"/>
      <c r="E40" s="66" t="s">
        <v>137</v>
      </c>
      <c r="F40" s="174">
        <f ca="1">IF(MONTH(TODAY())=11,DAY(TODAY())/DAY(EOMONTH(TODAY(),0)),IF(MONTH(TODAY())&gt;11,1,0))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5" t="s">
        <v>145</v>
      </c>
      <c r="C46" s="256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1" t="s">
        <v>146</v>
      </c>
      <c r="C48" s="262"/>
      <c r="D48" s="262"/>
      <c r="E48" s="262"/>
      <c r="F48" s="262"/>
      <c r="G48" s="262"/>
      <c r="H48" s="262"/>
      <c r="I48" s="262"/>
      <c r="J48" s="262"/>
      <c r="K48" s="262"/>
      <c r="L48" s="285"/>
      <c r="M48" s="268" t="s">
        <v>187</v>
      </c>
      <c r="N48" s="269"/>
      <c r="O48" s="269"/>
      <c r="P48" s="269"/>
      <c r="Q48" s="269"/>
      <c r="R48" s="270"/>
    </row>
    <row r="49" spans="2:21" ht="17.100000000000001" customHeight="1" x14ac:dyDescent="0.25">
      <c r="B49" s="286" t="s">
        <v>41</v>
      </c>
      <c r="C49" s="286" t="s">
        <v>42</v>
      </c>
      <c r="D49" s="252" t="s">
        <v>137</v>
      </c>
      <c r="E49" s="253"/>
      <c r="F49" s="253"/>
      <c r="G49" s="254"/>
      <c r="H49" s="287" t="s">
        <v>138</v>
      </c>
      <c r="I49" s="288"/>
      <c r="J49" s="288"/>
      <c r="K49" s="289"/>
      <c r="L49" s="290" t="s">
        <v>139</v>
      </c>
      <c r="M49" s="271" t="str">
        <f>"SELISIH"&amp;CHAR(10)&amp;TEXT($H$40,"0%")</f>
        <v>SELISIH
90%</v>
      </c>
      <c r="N49" s="271" t="str">
        <f>"PER HARI"&amp;CHAR(10)&amp;TEXT($H$40,"0%")</f>
        <v>PER HARI
90%</v>
      </c>
      <c r="O49" s="273" t="str">
        <f>"SELISIH"&amp;CHAR(10)&amp;TEXT($J$40,"0%")</f>
        <v>SELISIH
95%</v>
      </c>
      <c r="P49" s="273" t="str">
        <f>"PER HARI"&amp;CHAR(10)&amp;TEXT($J$40,"0%")</f>
        <v>PER HARI
95%</v>
      </c>
      <c r="Q49" s="275" t="str">
        <f>"SELISIH"&amp;CHAR(10)&amp;TEXT($L$40,"0%")</f>
        <v>SELISIH
100%</v>
      </c>
      <c r="R49" s="275" t="str">
        <f>"PER HARI"&amp;CHAR(10)&amp;TEXT($L$40,"0%")</f>
        <v>PER HARI
100%</v>
      </c>
    </row>
    <row r="50" spans="2:21" ht="17.100000000000001" customHeight="1" x14ac:dyDescent="0.25">
      <c r="B50" s="267"/>
      <c r="C50" s="267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1"/>
      <c r="M50" s="272"/>
      <c r="N50" s="272"/>
      <c r="O50" s="274"/>
      <c r="P50" s="274"/>
      <c r="Q50" s="276"/>
      <c r="R50" s="276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2" t="s">
        <v>144</v>
      </c>
      <c r="C67" s="283"/>
      <c r="D67" s="283"/>
      <c r="E67" s="283"/>
      <c r="F67" s="292"/>
      <c r="G67" s="268" t="s">
        <v>187</v>
      </c>
      <c r="H67" s="269"/>
      <c r="I67" s="269"/>
      <c r="J67" s="269"/>
      <c r="K67" s="269"/>
      <c r="L67" s="270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8" t="s">
        <v>172</v>
      </c>
      <c r="C77" s="249"/>
      <c r="D77" s="250"/>
    </row>
    <row r="78" spans="2:21" ht="17.100000000000001" customHeight="1" x14ac:dyDescent="0.25">
      <c r="B78" s="267" t="s">
        <v>41</v>
      </c>
      <c r="C78" s="267" t="s">
        <v>42</v>
      </c>
      <c r="D78" s="231" t="s">
        <v>138</v>
      </c>
    </row>
    <row r="79" spans="2:21" ht="17.100000000000001" customHeight="1" x14ac:dyDescent="0.25">
      <c r="B79" s="257"/>
      <c r="C79" s="257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186</v>
      </c>
    </row>
    <row r="40" spans="2:19" ht="20.100000000000001" customHeight="1" x14ac:dyDescent="0.25">
      <c r="B40" s="258" t="s">
        <v>178</v>
      </c>
      <c r="C40" s="259"/>
      <c r="D40" s="260"/>
      <c r="E40" s="66" t="s">
        <v>137</v>
      </c>
      <c r="F40" s="174">
        <f ca="1">IF(MONTH(TODAY())=12,DAY(TODAY())/DAY(EOMONTH(TODAY(),0)),IF(MONTH(TODAY())&gt;12,1,0))</f>
        <v>0</v>
      </c>
      <c r="G40" s="192" t="s">
        <v>188</v>
      </c>
      <c r="H40" s="198">
        <v>0.9</v>
      </c>
      <c r="I40" s="201" t="s">
        <v>188</v>
      </c>
      <c r="J40" s="199">
        <v>0.95</v>
      </c>
      <c r="K40" s="194" t="s">
        <v>189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209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SUM(C31,C32)+M21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5" t="s">
        <v>145</v>
      </c>
      <c r="C46" s="256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1" t="s">
        <v>146</v>
      </c>
      <c r="C48" s="262"/>
      <c r="D48" s="262"/>
      <c r="E48" s="262"/>
      <c r="F48" s="262"/>
      <c r="G48" s="262"/>
      <c r="H48" s="262"/>
      <c r="I48" s="262"/>
      <c r="J48" s="262"/>
      <c r="K48" s="262"/>
      <c r="L48" s="285"/>
      <c r="M48" s="268" t="s">
        <v>187</v>
      </c>
      <c r="N48" s="269"/>
      <c r="O48" s="269"/>
      <c r="P48" s="269"/>
      <c r="Q48" s="269"/>
      <c r="R48" s="270"/>
    </row>
    <row r="49" spans="2:21" ht="17.100000000000001" customHeight="1" x14ac:dyDescent="0.25">
      <c r="B49" s="286" t="s">
        <v>41</v>
      </c>
      <c r="C49" s="286" t="s">
        <v>42</v>
      </c>
      <c r="D49" s="252" t="s">
        <v>137</v>
      </c>
      <c r="E49" s="253"/>
      <c r="F49" s="253"/>
      <c r="G49" s="254"/>
      <c r="H49" s="287" t="s">
        <v>138</v>
      </c>
      <c r="I49" s="288"/>
      <c r="J49" s="288"/>
      <c r="K49" s="289"/>
      <c r="L49" s="290" t="s">
        <v>139</v>
      </c>
      <c r="M49" s="271" t="str">
        <f>"SELISIH"&amp;CHAR(10)&amp;TEXT($H$40,"0%")</f>
        <v>SELISIH
90%</v>
      </c>
      <c r="N49" s="271" t="str">
        <f>"PER HARI"&amp;CHAR(10)&amp;TEXT($H$40,"0%")</f>
        <v>PER HARI
90%</v>
      </c>
      <c r="O49" s="273" t="str">
        <f>"SELISIH"&amp;CHAR(10)&amp;TEXT($J$40,"0%")</f>
        <v>SELISIH
95%</v>
      </c>
      <c r="P49" s="273" t="str">
        <f>"PER HARI"&amp;CHAR(10)&amp;TEXT($J$40,"0%")</f>
        <v>PER HARI
95%</v>
      </c>
      <c r="Q49" s="275" t="str">
        <f>"SELISIH"&amp;CHAR(10)&amp;TEXT($L$40,"0%")</f>
        <v>SELISIH
100%</v>
      </c>
      <c r="R49" s="275" t="str">
        <f>"PER HARI"&amp;CHAR(10)&amp;TEXT($L$40,"0%")</f>
        <v>PER HARI
100%</v>
      </c>
    </row>
    <row r="50" spans="2:21" ht="17.100000000000001" customHeight="1" x14ac:dyDescent="0.25">
      <c r="B50" s="267"/>
      <c r="C50" s="267"/>
      <c r="D50" s="70" t="s">
        <v>149</v>
      </c>
      <c r="E50" s="70" t="s">
        <v>150</v>
      </c>
      <c r="F50" s="70" t="s">
        <v>211</v>
      </c>
      <c r="G50" s="70" t="s">
        <v>130</v>
      </c>
      <c r="H50" s="113" t="s">
        <v>149</v>
      </c>
      <c r="I50" s="113" t="s">
        <v>150</v>
      </c>
      <c r="J50" s="113" t="s">
        <v>211</v>
      </c>
      <c r="K50" s="113" t="s">
        <v>130</v>
      </c>
      <c r="L50" s="291"/>
      <c r="M50" s="272"/>
      <c r="N50" s="272"/>
      <c r="O50" s="274"/>
      <c r="P50" s="274"/>
      <c r="Q50" s="276"/>
      <c r="R50" s="276"/>
      <c r="T50" s="178" t="s">
        <v>217</v>
      </c>
      <c r="U50" s="178" t="s">
        <v>218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 cm="1">
        <f t="array" ref="H51">SUM(SUMIF($B$10:$B$26,$T51:$U51,C$10:C$26))</f>
        <v>0</v>
      </c>
      <c r="I51" s="114" cm="1">
        <f t="array" ref="I51">SUM(SUMIF($B$10:$B$26,$T51:$U51,D$10:D$26))</f>
        <v>0</v>
      </c>
      <c r="J51" s="114" cm="1">
        <f t="array" ref="J51">SUM(SUMIF($B$10:$B$26,$T51:$U51,E$10:E$26))</f>
        <v>0</v>
      </c>
      <c r="K51" s="114">
        <f t="shared" ref="K51:K64" si="2">SUM(H51:J51)</f>
        <v>0</v>
      </c>
      <c r="L51" s="187">
        <f t="shared" ref="L51:L65" si="3">IFERROR(K51/G51,0)</f>
        <v>0</v>
      </c>
      <c r="M51" s="184">
        <f t="shared" ref="M51:M64" si="4">G51*$H$40-K51</f>
        <v>0</v>
      </c>
      <c r="N51" s="184">
        <f t="shared" ref="N51:N65" ca="1" si="5">IFERROR(M51/$C$3,0)</f>
        <v>0</v>
      </c>
      <c r="O51" s="180">
        <f t="shared" ref="O51:O64" si="6">G51*$J$40-K51</f>
        <v>0</v>
      </c>
      <c r="P51" s="180">
        <f t="shared" ref="P51:P65" ca="1" si="7">IFERROR(O51/$C$3,0)</f>
        <v>0</v>
      </c>
      <c r="Q51" s="185">
        <f t="shared" ref="Q51:Q64" si="8">G51*$L$40-K51</f>
        <v>0</v>
      </c>
      <c r="R51" s="185">
        <f t="shared" ref="R51:R65" ca="1" si="9">IFERROR(Q51/$C$3,0)</f>
        <v>0</v>
      </c>
      <c r="T51" t="s">
        <v>124</v>
      </c>
      <c r="U51" t="s">
        <v>219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 cm="1">
        <f t="array" ref="H52">SUM(SUMIF($B$10:$B$26,$T52:$U52,C$10:C$26))</f>
        <v>0</v>
      </c>
      <c r="I52" s="114" cm="1">
        <f t="array" ref="I52">SUM(SUMIF($B$10:$B$26,$T52:$U52,D$10:D$26))</f>
        <v>0</v>
      </c>
      <c r="J52" s="114" cm="1">
        <f t="array" ref="J52">SUM(SUMIF($B$10:$B$26,$T52:$U52,E$10:E$26))</f>
        <v>0</v>
      </c>
      <c r="K52" s="114">
        <f t="shared" si="2"/>
        <v>0</v>
      </c>
      <c r="L52" s="187">
        <f t="shared" si="3"/>
        <v>0</v>
      </c>
      <c r="M52" s="184">
        <f t="shared" si="4"/>
        <v>0</v>
      </c>
      <c r="N52" s="184">
        <f t="shared" ca="1" si="5"/>
        <v>0</v>
      </c>
      <c r="O52" s="180">
        <f t="shared" si="6"/>
        <v>0</v>
      </c>
      <c r="P52" s="180">
        <f t="shared" ca="1" si="7"/>
        <v>0</v>
      </c>
      <c r="Q52" s="185">
        <f t="shared" si="8"/>
        <v>0</v>
      </c>
      <c r="R52" s="185">
        <f t="shared" ca="1" si="9"/>
        <v>0</v>
      </c>
      <c r="T52" t="s">
        <v>70</v>
      </c>
      <c r="U52" t="s">
        <v>114</v>
      </c>
    </row>
    <row r="53" spans="2:21" ht="15.95" customHeight="1" x14ac:dyDescent="0.25">
      <c r="B53" s="136" t="s">
        <v>173</v>
      </c>
      <c r="C53" s="137" t="s">
        <v>174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 cm="1">
        <f t="array" ref="H53">SUM(SUMIF($B$10:$B$26,$T53:$U53,C$10:C$26))</f>
        <v>0</v>
      </c>
      <c r="I53" s="114" cm="1">
        <f t="array" ref="I53">SUM(SUMIF($B$10:$B$26,$T53:$U53,D$10:D$26))</f>
        <v>0</v>
      </c>
      <c r="J53" s="114" cm="1">
        <f t="array" ref="J53">SUM(SUMIF($B$10:$B$26,$T53:$U53,E$10:E$26))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  <c r="T53" t="s">
        <v>170</v>
      </c>
      <c r="U53" t="s">
        <v>219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 cm="1">
        <f t="array" ref="H54">SUM(SUMIF($B$10:$B$26,$T54:$U54,C$10:C$26))</f>
        <v>0</v>
      </c>
      <c r="I54" s="114" cm="1">
        <f t="array" ref="I54">SUM(SUMIF($B$10:$B$26,$T54:$U54,D$10:D$26))</f>
        <v>0</v>
      </c>
      <c r="J54" s="114" cm="1">
        <f t="array" ref="J54">SUM(SUMIF($B$10:$B$26,$T54:$U54,E$10:E$26))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  <c r="T54" t="s">
        <v>115</v>
      </c>
      <c r="U54" t="s">
        <v>219</v>
      </c>
    </row>
    <row r="55" spans="2:21" ht="15.95" customHeight="1" x14ac:dyDescent="0.25">
      <c r="B55" s="50" t="s">
        <v>73</v>
      </c>
      <c r="C55" s="55" t="s">
        <v>182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 cm="1">
        <f t="array" ref="H55">SUM(SUMIF($B$10:$B$26,$T55:$U55,C$10:C$26))</f>
        <v>0</v>
      </c>
      <c r="I55" s="114" cm="1">
        <f t="array" ref="I55">SUM(SUMIF($B$10:$B$26,$T55:$U55,D$10:D$26))</f>
        <v>0</v>
      </c>
      <c r="J55" s="114" cm="1">
        <f t="array" ref="J55">SUM(SUMIF($B$10:$B$26,$T55:$U55,E$10:E$26))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  <c r="T55" t="s">
        <v>183</v>
      </c>
      <c r="U55" t="s">
        <v>219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 cm="1">
        <f t="array" ref="H56">SUM(SUMIF($B$10:$B$26,$T56:$U56,C$10:C$26))</f>
        <v>0</v>
      </c>
      <c r="I56" s="114" cm="1">
        <f t="array" ref="I56">SUM(SUMIF($B$10:$B$26,$T56:$U56,D$10:D$26))</f>
        <v>0</v>
      </c>
      <c r="J56" s="114" cm="1">
        <f t="array" ref="J56">SUM(SUMIF($B$10:$B$26,$T56:$U56,E$10:E$26))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  <c r="T56" t="s">
        <v>184</v>
      </c>
      <c r="U56" t="s">
        <v>219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 cm="1">
        <f t="array" ref="H57">SUM(SUMIF($B$10:$B$26,$T57:$U57,C$10:C$26))</f>
        <v>0</v>
      </c>
      <c r="I57" s="114" cm="1">
        <f t="array" ref="I57">SUM(SUMIF($B$10:$B$26,$T57:$U57,D$10:D$26))</f>
        <v>0</v>
      </c>
      <c r="J57" s="114" cm="1">
        <f t="array" ref="J57">SUM(SUMIF($B$10:$B$26,$T57:$U57,E$10:E$26))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  <c r="T57" t="s">
        <v>120</v>
      </c>
      <c r="U57" t="s">
        <v>219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 cm="1">
        <f t="array" ref="H58">SUM(SUMIF($B$10:$B$26,$T58:$U58,C$10:C$26))</f>
        <v>0</v>
      </c>
      <c r="I58" s="114" cm="1">
        <f t="array" ref="I58">SUM(SUMIF($B$10:$B$26,$T58:$U58,D$10:D$26))</f>
        <v>0</v>
      </c>
      <c r="J58" s="114" cm="1">
        <f t="array" ref="J58">SUM(SUMIF($B$10:$B$26,$T58:$U58,E$10:E$26))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  <c r="T58" t="s">
        <v>125</v>
      </c>
      <c r="U58" t="s">
        <v>219</v>
      </c>
    </row>
    <row r="59" spans="2:21" ht="15.95" customHeight="1" x14ac:dyDescent="0.25">
      <c r="B59" s="136" t="s">
        <v>173</v>
      </c>
      <c r="C59" s="137" t="s">
        <v>175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 cm="1">
        <f t="array" ref="H59">SUM(SUMIF($B$10:$B$26,$T59:$U59,C$10:C$26))</f>
        <v>0</v>
      </c>
      <c r="I59" s="114" cm="1">
        <f t="array" ref="I59">SUM(SUMIF($B$10:$B$26,$T59:$U59,D$10:D$26))</f>
        <v>0</v>
      </c>
      <c r="J59" s="114" cm="1">
        <f t="array" ref="J59">SUM(SUMIF($B$10:$B$26,$T59:$U59,E$10:E$26))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  <c r="T59" t="s">
        <v>171</v>
      </c>
      <c r="U59" t="s">
        <v>219</v>
      </c>
    </row>
    <row r="60" spans="2:21" ht="15.95" customHeight="1" x14ac:dyDescent="0.25">
      <c r="B60" s="53" t="s">
        <v>80</v>
      </c>
      <c r="C60" s="56" t="s">
        <v>81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 cm="1">
        <f t="array" ref="H60">SUM(SUMIF($B$10:$B$26,$T60:$U60,C$10:C$26))</f>
        <v>0</v>
      </c>
      <c r="I60" s="114" cm="1">
        <f t="array" ref="I60">SUM(SUMIF($B$10:$B$26,$T60:$U60,D$10:D$26))</f>
        <v>0</v>
      </c>
      <c r="J60" s="114" cm="1">
        <f t="array" ref="J60">SUM(SUMIF($B$10:$B$26,$T60:$U60,E$10:E$26))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  <c r="T60" t="s">
        <v>113</v>
      </c>
      <c r="U60" t="s">
        <v>219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 cm="1">
        <f t="array" ref="H61">SUM(SUMIF($B$10:$B$26,$T61:$U61,C$10:C$26))</f>
        <v>0</v>
      </c>
      <c r="I61" s="114" cm="1">
        <f t="array" ref="I61">SUM(SUMIF($B$10:$B$26,$T61:$U61,D$10:D$26))</f>
        <v>0</v>
      </c>
      <c r="J61" s="114" cm="1">
        <f t="array" ref="J61">SUM(SUMIF($B$10:$B$26,$T61:$U61,E$10:E$26))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  <c r="T61" t="s">
        <v>126</v>
      </c>
      <c r="U61" t="s">
        <v>219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 cm="1">
        <f t="array" ref="H62">SUM(SUMIF($B$10:$B$26,$T62:$U62,C$10:C$26))</f>
        <v>0</v>
      </c>
      <c r="I62" s="114" cm="1">
        <f t="array" ref="I62">SUM(SUMIF($B$10:$B$26,$T62:$U62,D$10:D$26))</f>
        <v>0</v>
      </c>
      <c r="J62" s="114" cm="1">
        <f t="array" ref="J62">SUM(SUMIF($B$10:$B$26,$T62:$U62,E$10:E$26))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  <c r="T62" t="s">
        <v>112</v>
      </c>
      <c r="U62" t="s">
        <v>219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 cm="1">
        <f t="array" ref="H63">SUM(SUMIF($B$10:$B$26,$T63:$U63,C$10:C$26))</f>
        <v>0</v>
      </c>
      <c r="I63" s="114" cm="1">
        <f t="array" ref="I63">SUM(SUMIF($B$10:$B$26,$T63:$U63,D$10:D$26))</f>
        <v>0</v>
      </c>
      <c r="J63" s="114" cm="1">
        <f t="array" ref="J63">SUM(SUMIF($B$10:$B$26,$T63:$U63,E$10:E$26))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  <c r="T63" t="s">
        <v>127</v>
      </c>
      <c r="U63" t="s">
        <v>219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 cm="1">
        <f t="array" ref="H64">SUM(SUMIF($B$10:$B$26,$T64:$U64,C$10:C$26))</f>
        <v>0</v>
      </c>
      <c r="I64" s="114" cm="1">
        <f t="array" ref="I64">SUM(SUMIF($B$10:$B$26,$T64:$U64,D$10:D$26))</f>
        <v>0</v>
      </c>
      <c r="J64" s="114" cm="1">
        <f t="array" ref="J64">SUM(SUMIF($B$10:$B$26,$T64:$U64,E$10:E$26))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0">SUM(D51:D64)</f>
        <v>0</v>
      </c>
      <c r="E65" s="134">
        <f t="shared" si="10"/>
        <v>0</v>
      </c>
      <c r="F65" s="134">
        <f t="shared" si="10"/>
        <v>0</v>
      </c>
      <c r="G65" s="134">
        <f t="shared" si="10"/>
        <v>0</v>
      </c>
      <c r="H65" s="135">
        <f t="shared" si="10"/>
        <v>0</v>
      </c>
      <c r="I65" s="135">
        <f t="shared" si="10"/>
        <v>0</v>
      </c>
      <c r="J65" s="135">
        <f t="shared" si="10"/>
        <v>0</v>
      </c>
      <c r="K65" s="135">
        <f t="shared" si="10"/>
        <v>0</v>
      </c>
      <c r="L65" s="189">
        <f t="shared" si="3"/>
        <v>0</v>
      </c>
      <c r="M65" s="181">
        <f>SUM(M51:M64)</f>
        <v>0</v>
      </c>
      <c r="N65" s="181">
        <f t="shared" ca="1" si="5"/>
        <v>0</v>
      </c>
      <c r="O65" s="181">
        <f>SUM(O51:O64)</f>
        <v>0</v>
      </c>
      <c r="P65" s="181">
        <f t="shared" ca="1" si="7"/>
        <v>0</v>
      </c>
      <c r="Q65" s="186">
        <f>SUM(Q51:Q64)</f>
        <v>0</v>
      </c>
      <c r="R65" s="186">
        <f t="shared" ca="1" si="9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2" t="s">
        <v>144</v>
      </c>
      <c r="C67" s="283"/>
      <c r="D67" s="283"/>
      <c r="E67" s="283"/>
      <c r="F67" s="292"/>
      <c r="G67" s="268" t="s">
        <v>187</v>
      </c>
      <c r="H67" s="269"/>
      <c r="I67" s="269"/>
      <c r="J67" s="269"/>
      <c r="K67" s="269"/>
      <c r="L67" s="270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IFERROR(C31,0)</f>
        <v>0</v>
      </c>
      <c r="F69" s="187">
        <f t="shared" ref="F69:F74" si="11">IFERROR(E69/D69,0)</f>
        <v>0</v>
      </c>
      <c r="G69" s="184">
        <f>D69*$H$40-E69</f>
        <v>0</v>
      </c>
      <c r="H69" s="184">
        <f t="shared" ref="H69:H74" ca="1" si="12">IFERROR(G69/$C$3,0)</f>
        <v>0</v>
      </c>
      <c r="I69" s="204">
        <f>D69*$J$40-E69</f>
        <v>0</v>
      </c>
      <c r="J69" s="204">
        <f t="shared" ref="J69:J74" ca="1" si="13">IFERROR(I69/$C$3,0)</f>
        <v>0</v>
      </c>
      <c r="K69" s="185">
        <f>D69*$L$40-E69</f>
        <v>0</v>
      </c>
      <c r="L69" s="185">
        <f t="shared" ref="L69:L74" ca="1" si="14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IFERROR(C32,0)</f>
        <v>0</v>
      </c>
      <c r="F70" s="187">
        <f t="shared" si="11"/>
        <v>0</v>
      </c>
      <c r="G70" s="184">
        <f>D70*$H$40-E70</f>
        <v>0</v>
      </c>
      <c r="H70" s="184">
        <f t="shared" ca="1" si="12"/>
        <v>0</v>
      </c>
      <c r="I70" s="204">
        <f>D70*$J$40-E70</f>
        <v>0</v>
      </c>
      <c r="J70" s="204">
        <f t="shared" ca="1" si="13"/>
        <v>0</v>
      </c>
      <c r="K70" s="185">
        <f>D70*$L$40-E70</f>
        <v>0</v>
      </c>
      <c r="L70" s="185">
        <f t="shared" ca="1" si="14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M21+M7</f>
        <v>0</v>
      </c>
      <c r="F71" s="187">
        <f t="shared" si="11"/>
        <v>0</v>
      </c>
      <c r="G71" s="184">
        <f>D71*$H$40-E71</f>
        <v>0</v>
      </c>
      <c r="H71" s="184">
        <f t="shared" ca="1" si="12"/>
        <v>0</v>
      </c>
      <c r="I71" s="204">
        <f>D71*$J$40-E71</f>
        <v>0</v>
      </c>
      <c r="J71" s="204">
        <f t="shared" ca="1" si="13"/>
        <v>0</v>
      </c>
      <c r="K71" s="185">
        <f>D71*$L$40-E71</f>
        <v>0</v>
      </c>
      <c r="L71" s="185">
        <f t="shared" ca="1" si="14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1"/>
        <v>0</v>
      </c>
      <c r="G72" s="184">
        <f>D72*$H$40-E72</f>
        <v>0</v>
      </c>
      <c r="H72" s="184">
        <f t="shared" ca="1" si="12"/>
        <v>0</v>
      </c>
      <c r="I72" s="204">
        <f>D72*$J$40-E72</f>
        <v>0</v>
      </c>
      <c r="J72" s="204">
        <f t="shared" ca="1" si="13"/>
        <v>0</v>
      </c>
      <c r="K72" s="185">
        <f>D72*$L$40-E72</f>
        <v>0</v>
      </c>
      <c r="L72" s="185">
        <f t="shared" ca="1" si="14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1"/>
        <v>0</v>
      </c>
      <c r="G73" s="184">
        <f>D73*$H$40-E73</f>
        <v>0</v>
      </c>
      <c r="H73" s="184">
        <f t="shared" ca="1" si="12"/>
        <v>0</v>
      </c>
      <c r="I73" s="204">
        <f>D73*$J$40-E73</f>
        <v>0</v>
      </c>
      <c r="J73" s="204">
        <f t="shared" ca="1" si="13"/>
        <v>0</v>
      </c>
      <c r="K73" s="185">
        <f>D73*$L$40-E73</f>
        <v>0</v>
      </c>
      <c r="L73" s="185">
        <f t="shared" ca="1" si="14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1"/>
        <v>0</v>
      </c>
      <c r="G74" s="181">
        <f>SUM(G69:G73)</f>
        <v>0</v>
      </c>
      <c r="H74" s="181">
        <f t="shared" ca="1" si="12"/>
        <v>0</v>
      </c>
      <c r="I74" s="186">
        <f>SUM(I69:I73)</f>
        <v>0</v>
      </c>
      <c r="J74" s="186">
        <f t="shared" ca="1" si="13"/>
        <v>0</v>
      </c>
      <c r="K74" s="186">
        <f>SUM(K69:K73)</f>
        <v>0</v>
      </c>
      <c r="L74" s="186">
        <f t="shared" ca="1" si="14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8" t="s">
        <v>172</v>
      </c>
      <c r="C77" s="249"/>
      <c r="D77" s="250"/>
    </row>
    <row r="78" spans="2:21" ht="17.100000000000001" customHeight="1" x14ac:dyDescent="0.25">
      <c r="B78" s="267" t="s">
        <v>41</v>
      </c>
      <c r="C78" s="267" t="s">
        <v>42</v>
      </c>
      <c r="D78" s="231" t="s">
        <v>138</v>
      </c>
    </row>
    <row r="79" spans="2:21" ht="17.100000000000001" customHeight="1" x14ac:dyDescent="0.25">
      <c r="B79" s="257"/>
      <c r="C79" s="257"/>
      <c r="D79" s="70" t="s">
        <v>169</v>
      </c>
      <c r="T79" s="178" t="s">
        <v>217</v>
      </c>
      <c r="U79" s="178" t="s">
        <v>218</v>
      </c>
    </row>
    <row r="80" spans="2:21" ht="15.95" customHeight="1" x14ac:dyDescent="0.25">
      <c r="B80" s="50" t="s">
        <v>67</v>
      </c>
      <c r="C80" s="55" t="s">
        <v>68</v>
      </c>
      <c r="D80" s="131" cm="1">
        <f t="array" ref="D80">SUM(SUMIF($B$10:$B$26,$T80:$U80,$F$10:$F$26))</f>
        <v>0</v>
      </c>
      <c r="T80" t="str">
        <f t="shared" ref="T80:U93" si="15">T51</f>
        <v>Picrom Stalyon</v>
      </c>
      <c r="U80" t="str">
        <f t="shared" si="15"/>
        <v>n/a</v>
      </c>
    </row>
    <row r="81" spans="2:21" ht="15.95" customHeight="1" x14ac:dyDescent="0.25">
      <c r="B81" s="53" t="s">
        <v>69</v>
      </c>
      <c r="C81" s="56" t="s">
        <v>70</v>
      </c>
      <c r="D81" s="132" cm="1">
        <f t="array" ref="D81">SUM(SUMIF($B$10:$B$26,$T81:$U81,$F$10:$F$26))</f>
        <v>0</v>
      </c>
      <c r="T81" t="str">
        <f t="shared" si="15"/>
        <v>I MADE LUIH</v>
      </c>
      <c r="U81" t="str">
        <f t="shared" si="15"/>
        <v>I Made Luih (Sanur)</v>
      </c>
    </row>
    <row r="82" spans="2:21" ht="15.95" customHeight="1" x14ac:dyDescent="0.25">
      <c r="B82" s="53" t="s">
        <v>173</v>
      </c>
      <c r="C82" s="56" t="s">
        <v>174</v>
      </c>
      <c r="D82" s="132" cm="1">
        <f t="array" ref="D82">SUM(SUMIF($B$10:$B$26,$T82:$U82,$F$10:$F$26))</f>
        <v>0</v>
      </c>
      <c r="T82" t="str">
        <f t="shared" si="15"/>
        <v>NN Made Luih</v>
      </c>
      <c r="U82" t="str">
        <f t="shared" si="15"/>
        <v>n/a</v>
      </c>
    </row>
    <row r="83" spans="2:21" ht="15.95" customHeight="1" x14ac:dyDescent="0.25">
      <c r="B83" s="50" t="s">
        <v>71</v>
      </c>
      <c r="C83" s="55" t="s">
        <v>72</v>
      </c>
      <c r="D83" s="131" cm="1">
        <f t="array" ref="D83">SUM(SUMIF($B$10:$B$26,$T83:$U83,$F$10:$F$26))</f>
        <v>0</v>
      </c>
      <c r="T83" t="str">
        <f t="shared" si="15"/>
        <v>Juni</v>
      </c>
      <c r="U83" t="str">
        <f t="shared" si="15"/>
        <v>n/a</v>
      </c>
    </row>
    <row r="84" spans="2:21" ht="15.95" customHeight="1" x14ac:dyDescent="0.25">
      <c r="B84" s="53" t="s">
        <v>73</v>
      </c>
      <c r="C84" s="56" t="s">
        <v>74</v>
      </c>
      <c r="D84" s="132" cm="1">
        <f t="array" ref="D84">SUM(SUMIF($B$10:$B$26,$T84:$U84,$F$10:$F$26))</f>
        <v>0</v>
      </c>
      <c r="T84" t="str">
        <f t="shared" si="15"/>
        <v>FIB</v>
      </c>
      <c r="U84" t="str">
        <f t="shared" si="15"/>
        <v>n/a</v>
      </c>
    </row>
    <row r="85" spans="2:21" ht="15.95" customHeight="1" x14ac:dyDescent="0.25">
      <c r="B85" s="50" t="s">
        <v>75</v>
      </c>
      <c r="C85" s="55" t="s">
        <v>74</v>
      </c>
      <c r="D85" s="131" cm="1">
        <f t="array" ref="D85">SUM(SUMIF($B$10:$B$26,$T85:$U85,$F$10:$F$26))</f>
        <v>0</v>
      </c>
      <c r="T85" t="str">
        <f t="shared" si="15"/>
        <v>Vacant Hotel Kuta Seminyak</v>
      </c>
      <c r="U85" t="str">
        <f t="shared" si="15"/>
        <v>n/a</v>
      </c>
    </row>
    <row r="86" spans="2:21" ht="15.95" customHeight="1" x14ac:dyDescent="0.25">
      <c r="B86" s="53" t="s">
        <v>76</v>
      </c>
      <c r="C86" s="56" t="s">
        <v>77</v>
      </c>
      <c r="D86" s="132" cm="1">
        <f t="array" ref="D86">SUM(SUMIF($B$10:$B$26,$T86:$U86,$F$10:$F$26))</f>
        <v>0</v>
      </c>
      <c r="T86" t="str">
        <f t="shared" si="15"/>
        <v>Monica</v>
      </c>
      <c r="U86" t="str">
        <f t="shared" si="15"/>
        <v>n/a</v>
      </c>
    </row>
    <row r="87" spans="2:21" ht="15.95" customHeight="1" x14ac:dyDescent="0.25">
      <c r="B87" s="50" t="s">
        <v>78</v>
      </c>
      <c r="C87" s="55" t="s">
        <v>79</v>
      </c>
      <c r="D87" s="131" cm="1">
        <f t="array" ref="D87">SUM(SUMIF($B$10:$B$26,$T87:$U87,$F$10:$F$26))</f>
        <v>0</v>
      </c>
      <c r="T87" t="str">
        <f t="shared" si="15"/>
        <v>Sujana</v>
      </c>
      <c r="U87" t="str">
        <f t="shared" si="15"/>
        <v>n/a</v>
      </c>
    </row>
    <row r="88" spans="2:21" ht="15.95" customHeight="1" x14ac:dyDescent="0.25">
      <c r="B88" s="53" t="s">
        <v>173</v>
      </c>
      <c r="C88" s="56" t="s">
        <v>175</v>
      </c>
      <c r="D88" s="132" cm="1">
        <f t="array" ref="D88">SUM(SUMIF($B$10:$B$26,$T88:$U88,$F$10:$F$26))</f>
        <v>0</v>
      </c>
      <c r="T88" t="str">
        <f t="shared" si="15"/>
        <v>NN Sujana</v>
      </c>
      <c r="U88" t="str">
        <f t="shared" si="15"/>
        <v>n/a</v>
      </c>
    </row>
    <row r="89" spans="2:21" ht="15.95" customHeight="1" x14ac:dyDescent="0.25">
      <c r="B89" s="53" t="s">
        <v>80</v>
      </c>
      <c r="C89" s="56" t="s">
        <v>81</v>
      </c>
      <c r="D89" s="132" cm="1">
        <f t="array" ref="D89">SUM(SUMIF($B$10:$B$26,$T89:$U89,$F$10:$F$26))</f>
        <v>0</v>
      </c>
      <c r="T89" t="str">
        <f t="shared" si="15"/>
        <v>Eka</v>
      </c>
      <c r="U89" t="str">
        <f t="shared" si="15"/>
        <v>n/a</v>
      </c>
    </row>
    <row r="90" spans="2:21" ht="15.95" customHeight="1" x14ac:dyDescent="0.25">
      <c r="B90" s="50" t="s">
        <v>82</v>
      </c>
      <c r="C90" s="55" t="s">
        <v>83</v>
      </c>
      <c r="D90" s="131" cm="1">
        <f t="array" ref="D90">SUM(SUMIF($B$10:$B$26,$T90:$U90,$F$10:$F$26))</f>
        <v>0</v>
      </c>
      <c r="T90" t="str">
        <f t="shared" si="15"/>
        <v>Taufik</v>
      </c>
      <c r="U90" t="str">
        <f t="shared" si="15"/>
        <v>n/a</v>
      </c>
    </row>
    <row r="91" spans="2:21" ht="15.95" customHeight="1" x14ac:dyDescent="0.25">
      <c r="B91" s="53" t="s">
        <v>84</v>
      </c>
      <c r="C91" s="56" t="s">
        <v>85</v>
      </c>
      <c r="D91" s="132" cm="1">
        <f t="array" ref="D91">SUM(SUMIF($B$10:$B$26,$T91:$U91,$F$10:$F$26))</f>
        <v>0</v>
      </c>
      <c r="T91" t="str">
        <f t="shared" si="15"/>
        <v>Dewi Kristiani</v>
      </c>
      <c r="U91" t="str">
        <f t="shared" si="15"/>
        <v>n/a</v>
      </c>
    </row>
    <row r="92" spans="2:21" ht="15.95" customHeight="1" x14ac:dyDescent="0.25">
      <c r="B92" s="50" t="s">
        <v>86</v>
      </c>
      <c r="C92" s="55" t="s">
        <v>87</v>
      </c>
      <c r="D92" s="131" cm="1">
        <f t="array" ref="D92">SUM(SUMIF($B$10:$B$26,$T92:$U92,$F$10:$F$26))</f>
        <v>0</v>
      </c>
      <c r="T92" t="str">
        <f t="shared" si="15"/>
        <v>Wira</v>
      </c>
      <c r="U92" t="str">
        <f t="shared" si="15"/>
        <v>n/a</v>
      </c>
    </row>
    <row r="93" spans="2:21" ht="15.95" customHeight="1" x14ac:dyDescent="0.25">
      <c r="B93" s="53" t="s">
        <v>88</v>
      </c>
      <c r="C93" s="56" t="s">
        <v>89</v>
      </c>
      <c r="D93" s="132" cm="1">
        <f t="array" ref="D93">SUM(SUMIF($B$10:$B$26,$T93:$U93,$F$10:$F$26))</f>
        <v>0</v>
      </c>
      <c r="T93" t="str">
        <f t="shared" si="15"/>
        <v>Ni Ketut Sriasih (GT)</v>
      </c>
      <c r="U93" t="str">
        <f t="shared" si="15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2026-08-24T00:56:50Z</dcterms:modified>
  <dc:language>en-US</dc:language>
</cp:coreProperties>
</file>