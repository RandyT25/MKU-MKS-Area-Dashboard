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L53" i="9" s="1"/>
  <c r="E52" i="9"/>
  <c r="E51" i="9"/>
  <c r="E65" i="9" s="1"/>
  <c r="D64" i="9"/>
  <c r="D63" i="9"/>
  <c r="F63" i="9" s="1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E90" i="9"/>
  <c r="G90" i="9" s="1"/>
  <c r="E89" i="9"/>
  <c r="F64" i="9"/>
  <c r="F58" i="9"/>
  <c r="F56" i="9"/>
  <c r="F55" i="9"/>
  <c r="M21" i="9"/>
  <c r="E45" i="9" s="1"/>
  <c r="F45" i="9" s="1"/>
  <c r="H64" i="9"/>
  <c r="L64" i="9" s="1"/>
  <c r="G64" i="9"/>
  <c r="K64" i="9" s="1"/>
  <c r="H63" i="9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G57" i="9"/>
  <c r="H56" i="9"/>
  <c r="L56" i="9" s="1"/>
  <c r="G56" i="9"/>
  <c r="H55" i="9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9" l="1"/>
  <c r="D46" i="9"/>
  <c r="L55" i="9"/>
  <c r="L57" i="9"/>
  <c r="L63" i="9"/>
  <c r="G92" i="9"/>
  <c r="F54" i="9"/>
  <c r="F62" i="9"/>
  <c r="D94" i="12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F44" i="9" s="1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F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2" i="9" l="1"/>
  <c r="N62" i="9" s="1"/>
  <c r="M61" i="9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<sst xmlns="http://schemas.openxmlformats.org/spreadsheetml/2006/main" count="1879" uniqueCount="189">
  <si>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</si>
  <si>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</si>
  <si>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</si>
  <si>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</si>
  <si>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</si>
  <si>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</si>
  <si>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</si>
  <si>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</si>
  <si>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</si>
  <si>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</si>
  <si>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</si>
  <si>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</si>
  <si>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</si>
  <si>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</si>
  <si>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</si>
  <si>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</si>
  <si>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</si>
  <si>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</si>
  <si>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</si>
  <si>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</si>
  <si>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</si>
  <si>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</si>
  <si>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</si>
  <si>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</si>
  <si>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</si>
  <si>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</si>
  <si>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</si>
  <si>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</si>
  <si>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</si>
  <si>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</si>
  <si>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</si>
  <si>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</si>
  <si>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</si>
  <si>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</si>
  <si>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</si>
  <si>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</si>
  <si>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</si>
  <si>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</si>
  <si>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</si>
  <si>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</si>
  <si>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</si>
  <si>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</si>
  <si>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</si>
  <si>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</si>
  <si>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</si>
  <si>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</si>
  <si>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</si>
  <si>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</si>
  <si>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</si>
  <si>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</si>
  <si>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</si>
  <si>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</si>
  <si>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</si>
  <si>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</si>
  <si>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</si>
  <si>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</si>
  <si>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</si>
  <si>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</si>
  <si>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</si>
  <si>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</si>
  <si>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</si>
  <si>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</si>
  <si>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</si>
  <si>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</si>
  <si>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</si>
  <si>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</si>
  <si>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</si>
  <si>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</si>
  <si>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</si>
  <si>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</si>
  <si>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</si>
  <si>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</si>
  <si>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</si>
  <si>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</si>
  <si>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</si>
  <si>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</si>
  <si>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</si>
  <si>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</si>
  <si>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</si>
  <si>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</si>
  <si>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</si>
  <si>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</si>
  <si>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</si>
  <si>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</si>
  <si>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</si>
  <si>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</si>
  <si>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</si>
  <si>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</si>
  <si>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</si>
  <si>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</si>
  <si>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</si>
  <si>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</si>
  <si>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</si>
  <si>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</si>
  <si>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</si>
  <si>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</si>
  <si>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</si>
  <si>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</si>
  <si>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</si>
  <si>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</si>
  <si>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</si>
  <si>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</si>
  <si>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</si>
  <si>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</si>
  <si>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</si>
  <si>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</si>
  <si>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</si>
  <si>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</si>
  <si>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</si>
  <si>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</si>
  <si>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</si>
  <si>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</si>
  <si>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</si>
  <si>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</si>
  <si>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</si>
  <si>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</si>
  <si>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</si>
  <si>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</si>
  <si>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</si>
  <si>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</si>
  <si>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</si>
  <si>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</si>
  <si>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</si>
  <si>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</si>
  <si>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</si>
  <si>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</si>
  <si>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</si>
  <si>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</si>
  <si>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</si>
  <si>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</si>
  <si>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</si>
  <si>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</si>
  <si>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</si>
  <si>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</si>
  <si>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</si>
  <si>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</si>
  <si>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</si>
  <si>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</si>
  <si>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</si>
  <si>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</si>
  <si>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</si>
  <si>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</si>
  <si>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</si>
  <si>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</si>
  <si>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</si>
  <si>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</si>
  <si>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</si>
  <si>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</si>
  <si>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</si>
  <si>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</si>
  <si>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</si>
  <si>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</si>
  <si>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</si>
  <si>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</si>
  <si>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</si>
  <si>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</si>
  <si>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</si>
  <si>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</si>
  <si>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</si>
  <si>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</si>
  <si>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</si>
  <si>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</si>
  <si>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</si>
  <si>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</si>
  <si>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</si>
  <si>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</si>
  <si>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</si>
  <si>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</si>
  <si>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</si>
  <si>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</si>
  <si>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</si>
  <si>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</si>
  <si>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</si>
  <si>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</si>
  <si>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</si>
  <si>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</si>
  <si>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</si>
  <si>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</si>
  <si>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</si>
  <si>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</si>
  <si>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</si>
  <si>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</si>
  <si>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</si>
  <si>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</si>
  <si>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</si>
  <si>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</si>
  <si>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</si>
  <si>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</si>
  <si>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25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</si>
</sst>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6" zoomScale="110" zoomScaleNormal="110" workbookViewId="0">
      <selection activeCell="K22" sqref="K22:K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6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105465680.03526783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92597888.286115125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18295419.123285454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216358987.44466841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25324020.554427218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22658272.497878332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7317570.3666666644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-6724784.5810045199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21799062.935254354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13447917.409157276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-4186189.2781232595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18469071.372548342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17268690.028337497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12601991.276213398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29539359.567646373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19729054.693695474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5767613.8271659017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15051917.651520064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198063568.32138312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-2227162.9860454104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-3088247.122980406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23610829.23231129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18295419.123285472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6" zoomScaleNormal="100" workbookViewId="0">
      <selection activeCell="B75" sqref="B75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5.42578125" bestFit="1" customWidth="1"/>
    <col min="6" max="6" width="15.140625" bestFit="1" customWidth="1"/>
    <col min="7" max="7" width="16.85546875" customWidth="1"/>
    <col min="8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6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353783163.43955398</v>
      </c>
      <c r="N8" s="11">
        <f>D22</f>
        <v>46888531.273953997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507730867.19201803</v>
      </c>
      <c r="N9" s="11">
        <f>D13+D14</f>
        <v>139835608.25133801</v>
      </c>
    </row>
    <row r="10" spans="2:14" x14ac:dyDescent="0.25">
      <c r="B10" s="74" t="s">
        <v>113</v>
      </c>
      <c r="C10" s="206">
        <v>303231259.81563097</v>
      </c>
      <c r="D10" s="206">
        <v>43479974.574698001</v>
      </c>
      <c r="E10" s="206">
        <v>139470063.38999999</v>
      </c>
      <c r="F10" s="206">
        <v>486181297.78032899</v>
      </c>
      <c r="H10" s="116"/>
      <c r="I10" s="116"/>
      <c r="J10" s="116"/>
      <c r="M10" s="11">
        <f>C15</f>
        <v>810171711.94464397</v>
      </c>
      <c r="N10" s="11">
        <f>D15</f>
        <v>24544158.472293999</v>
      </c>
    </row>
    <row r="11" spans="2:14" x14ac:dyDescent="0.25">
      <c r="B11" s="74" t="s">
        <v>114</v>
      </c>
      <c r="C11" s="206">
        <v>247045903.859099</v>
      </c>
      <c r="D11" s="206">
        <v>86172503.857169002</v>
      </c>
      <c r="E11" s="206">
        <v>63766750.159999996</v>
      </c>
      <c r="F11" s="206">
        <v>396985157.87626803</v>
      </c>
      <c r="H11" s="116"/>
      <c r="I11" s="116"/>
      <c r="J11" s="116"/>
      <c r="M11" s="11">
        <f>C12</f>
        <v>288554055.47883898</v>
      </c>
      <c r="N11" s="11">
        <f>D12</f>
        <v>33358543.199999999</v>
      </c>
    </row>
    <row r="12" spans="2:14" x14ac:dyDescent="0.25">
      <c r="B12" s="74" t="s">
        <v>185</v>
      </c>
      <c r="C12" s="206">
        <v>288554055.47883898</v>
      </c>
      <c r="D12" s="206">
        <v>33358543.199999999</v>
      </c>
      <c r="E12" s="206" t="s">
        <v>168</v>
      </c>
      <c r="F12" s="206">
        <v>321912598.67883903</v>
      </c>
      <c r="H12" s="116"/>
      <c r="I12" s="116"/>
      <c r="J12" s="116"/>
      <c r="M12" s="11">
        <f>C25+C26</f>
        <v>335047651.28131104</v>
      </c>
      <c r="N12" s="11">
        <f>D25+D26</f>
        <v>98474585.446358994</v>
      </c>
    </row>
    <row r="13" spans="2:14" x14ac:dyDescent="0.25">
      <c r="B13" s="74" t="s">
        <v>70</v>
      </c>
      <c r="C13" s="206">
        <v>277819580.34512001</v>
      </c>
      <c r="D13" s="206">
        <v>106870694.13147201</v>
      </c>
      <c r="E13" s="206">
        <v>47038638.640000001</v>
      </c>
      <c r="F13" s="206">
        <v>431728913.11659199</v>
      </c>
      <c r="H13" s="116"/>
      <c r="I13" s="116"/>
      <c r="J13" s="116"/>
      <c r="M13" s="11">
        <f>C17</f>
        <v>1203586703.4128709</v>
      </c>
      <c r="N13" s="11">
        <f>D17</f>
        <v>76826554.659632996</v>
      </c>
    </row>
    <row r="14" spans="2:14" x14ac:dyDescent="0.25">
      <c r="B14" s="74" t="s">
        <v>115</v>
      </c>
      <c r="C14" s="206">
        <v>229911286.84689799</v>
      </c>
      <c r="D14" s="206">
        <v>32964914.119865999</v>
      </c>
      <c r="E14" s="206">
        <v>37151103.140000001</v>
      </c>
      <c r="F14" s="206">
        <v>300027304.10676402</v>
      </c>
      <c r="H14" s="116"/>
      <c r="I14" s="116"/>
      <c r="J14" s="116"/>
      <c r="M14" s="11">
        <f>C23</f>
        <v>394985722.730932</v>
      </c>
      <c r="N14" s="11">
        <f>D23</f>
        <v>56637953.379945002</v>
      </c>
    </row>
    <row r="15" spans="2:14" x14ac:dyDescent="0.25">
      <c r="B15" s="84" t="s">
        <v>116</v>
      </c>
      <c r="C15" s="206">
        <v>810171711.94464397</v>
      </c>
      <c r="D15" s="206">
        <v>24544158.472293999</v>
      </c>
      <c r="E15" s="206">
        <v>328166007.48000002</v>
      </c>
      <c r="F15" s="206">
        <v>1162881877.8969381</v>
      </c>
      <c r="H15" s="116"/>
      <c r="I15" s="116"/>
      <c r="J15" s="116"/>
      <c r="M15" s="11">
        <f>C11</f>
        <v>247045903.859099</v>
      </c>
      <c r="N15" s="11">
        <f>D11</f>
        <v>86172503.857169002</v>
      </c>
    </row>
    <row r="16" spans="2:14" x14ac:dyDescent="0.25">
      <c r="B16" s="74" t="s">
        <v>119</v>
      </c>
      <c r="C16" s="206">
        <v>1054926293.602097</v>
      </c>
      <c r="D16" s="206">
        <v>4392576.8539979998</v>
      </c>
      <c r="E16" s="206">
        <v>6540540.4800000004</v>
      </c>
      <c r="F16" s="206">
        <v>1065859410.936095</v>
      </c>
      <c r="H16" s="116"/>
      <c r="I16" s="116"/>
      <c r="J16" s="116"/>
      <c r="M16" s="11">
        <f>C24</f>
        <v>525791124.578664</v>
      </c>
      <c r="N16" s="11">
        <f>D24</f>
        <v>50931436.009915002</v>
      </c>
    </row>
    <row r="17" spans="2:14" x14ac:dyDescent="0.25">
      <c r="B17" s="74" t="s">
        <v>121</v>
      </c>
      <c r="C17" s="206">
        <v>1203586703.4128709</v>
      </c>
      <c r="D17" s="206">
        <v>76826554.659632996</v>
      </c>
      <c r="E17" s="206">
        <v>1064383136.6099679</v>
      </c>
      <c r="F17" s="206">
        <v>2344796394.6824722</v>
      </c>
      <c r="H17" s="116"/>
      <c r="I17" s="116"/>
      <c r="J17" s="116"/>
      <c r="M17" s="11">
        <f>C10</f>
        <v>303231259.81563097</v>
      </c>
      <c r="N17" s="11">
        <f>D10</f>
        <v>43479974.574698001</v>
      </c>
    </row>
    <row r="18" spans="2:14" x14ac:dyDescent="0.25">
      <c r="B18" s="74" t="s">
        <v>123</v>
      </c>
      <c r="C18" s="206">
        <v>201078778.918374</v>
      </c>
      <c r="D18" s="206">
        <v>20527770.979789</v>
      </c>
      <c r="E18" s="206">
        <v>7372973.1399999997</v>
      </c>
      <c r="F18" s="206">
        <v>228979523.03816301</v>
      </c>
      <c r="H18" s="116"/>
      <c r="I18" s="116"/>
      <c r="J18" s="116"/>
      <c r="M18" s="11">
        <f>C27</f>
        <v>752385046.53276098</v>
      </c>
      <c r="N18" s="11">
        <f>D27</f>
        <v>233195319.11573201</v>
      </c>
    </row>
    <row r="19" spans="2:14" x14ac:dyDescent="0.25">
      <c r="B19" s="74" t="s">
        <v>124</v>
      </c>
      <c r="C19" s="206">
        <v>59478661.799989</v>
      </c>
      <c r="D19" s="206">
        <v>116870481.871911</v>
      </c>
      <c r="E19" s="206">
        <v>58475676.880000003</v>
      </c>
      <c r="F19" s="206">
        <v>234824820.5519</v>
      </c>
      <c r="H19" s="116"/>
      <c r="I19" s="116"/>
      <c r="J19" s="116"/>
      <c r="M19" s="11">
        <f>C18+C19</f>
        <v>260557440.71836299</v>
      </c>
      <c r="N19" s="11">
        <f>D18+D19</f>
        <v>137398252.85170001</v>
      </c>
    </row>
    <row r="20" spans="2:14" x14ac:dyDescent="0.25">
      <c r="B20" s="74" t="s">
        <v>172</v>
      </c>
      <c r="C20" s="206">
        <v>143502429.69999999</v>
      </c>
      <c r="D20" s="206" t="s">
        <v>168</v>
      </c>
      <c r="E20" s="206">
        <v>9909909.6400000006</v>
      </c>
      <c r="F20" s="206">
        <v>153412339.34</v>
      </c>
      <c r="H20" s="116"/>
      <c r="I20" s="116"/>
      <c r="J20" s="116"/>
      <c r="M20" s="14">
        <f>IFERROR(C31,0)+IFERROR(C36,0)</f>
        <v>22053000</v>
      </c>
      <c r="N20" s="10" t="s">
        <v>120</v>
      </c>
    </row>
    <row r="21" spans="2:14" x14ac:dyDescent="0.25">
      <c r="B21" s="74" t="s">
        <v>173</v>
      </c>
      <c r="C21" s="206">
        <v>219409219.53999999</v>
      </c>
      <c r="D21" s="206" t="s">
        <v>168</v>
      </c>
      <c r="E21" s="206">
        <v>11765765.439999999</v>
      </c>
      <c r="F21" s="206">
        <v>231174984.97999999</v>
      </c>
      <c r="H21" s="116"/>
      <c r="I21" s="116"/>
      <c r="J21" s="116"/>
      <c r="M21" s="14">
        <f>IFERROR(C34,0)+IFERROR(C35,0)+M20</f>
        <v>530322807.28222901</v>
      </c>
      <c r="N21" s="10" t="s">
        <v>122</v>
      </c>
    </row>
    <row r="22" spans="2:14" x14ac:dyDescent="0.25">
      <c r="B22" s="74" t="s">
        <v>125</v>
      </c>
      <c r="C22" s="206">
        <v>353783163.43955398</v>
      </c>
      <c r="D22" s="206">
        <v>46888531.273953997</v>
      </c>
      <c r="E22" s="206">
        <v>382737900.36988997</v>
      </c>
      <c r="F22" s="206">
        <v>783409595.08339798</v>
      </c>
      <c r="H22" s="116"/>
      <c r="I22" s="116"/>
      <c r="J22" s="116"/>
    </row>
    <row r="23" spans="2:14" x14ac:dyDescent="0.25">
      <c r="B23" s="74" t="s">
        <v>126</v>
      </c>
      <c r="C23" s="206">
        <v>394985722.730932</v>
      </c>
      <c r="D23" s="206">
        <v>56637953.379945002</v>
      </c>
      <c r="E23" s="206">
        <v>230248566.249437</v>
      </c>
      <c r="F23" s="206">
        <v>681872242.36031401</v>
      </c>
      <c r="H23" s="116"/>
      <c r="I23" s="116"/>
      <c r="J23" s="116"/>
    </row>
    <row r="24" spans="2:14" x14ac:dyDescent="0.25">
      <c r="B24" s="74" t="s">
        <v>127</v>
      </c>
      <c r="C24" s="206">
        <v>525791124.578664</v>
      </c>
      <c r="D24" s="206">
        <v>50931436.009915002</v>
      </c>
      <c r="E24" s="206">
        <v>613387032.99924695</v>
      </c>
      <c r="F24" s="206">
        <v>1190109593.587826</v>
      </c>
      <c r="H24" s="116"/>
      <c r="I24" s="116"/>
      <c r="J24" s="116"/>
    </row>
    <row r="25" spans="2:14" x14ac:dyDescent="0.25">
      <c r="B25" s="74" t="s">
        <v>186</v>
      </c>
      <c r="C25" s="206">
        <v>226749880.41717201</v>
      </c>
      <c r="D25" s="206">
        <v>4733604.9499949999</v>
      </c>
      <c r="E25" s="206">
        <v>56240990.340000004</v>
      </c>
      <c r="F25" s="206">
        <v>287724475.70716703</v>
      </c>
      <c r="H25" s="116"/>
      <c r="I25" s="116"/>
      <c r="J25" s="116"/>
    </row>
    <row r="26" spans="2:14" x14ac:dyDescent="0.25">
      <c r="B26" s="74" t="s">
        <v>187</v>
      </c>
      <c r="C26" s="206">
        <v>108297770.86413901</v>
      </c>
      <c r="D26" s="206">
        <v>93740980.496363997</v>
      </c>
      <c r="E26" s="206" t="s">
        <v>168</v>
      </c>
      <c r="F26" s="206">
        <v>202038751.36050299</v>
      </c>
      <c r="H26" s="116"/>
      <c r="I26" s="116"/>
      <c r="J26" s="116"/>
    </row>
    <row r="27" spans="2:14" x14ac:dyDescent="0.25">
      <c r="B27" s="74" t="s">
        <v>128</v>
      </c>
      <c r="C27" s="206">
        <v>752385046.53276098</v>
      </c>
      <c r="D27" s="206">
        <v>233195319.11573201</v>
      </c>
      <c r="E27" s="206">
        <v>14280324.624</v>
      </c>
      <c r="F27" s="206">
        <v>999860690.272493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185559859.823621</v>
      </c>
      <c r="G32" s="116"/>
      <c r="H32" s="116"/>
      <c r="I32" s="116"/>
    </row>
    <row r="33" spans="2:14" x14ac:dyDescent="0.25">
      <c r="B33" s="84" t="s">
        <v>133</v>
      </c>
      <c r="C33" s="206">
        <v>585070818.90037203</v>
      </c>
      <c r="G33" s="116"/>
      <c r="H33" s="116"/>
      <c r="I33" s="116"/>
    </row>
    <row r="34" spans="2:14" x14ac:dyDescent="0.25">
      <c r="B34" s="84" t="s">
        <v>134</v>
      </c>
      <c r="C34" s="205">
        <v>102841423.104351</v>
      </c>
      <c r="G34" s="116"/>
      <c r="H34" s="116"/>
      <c r="I34" s="116"/>
    </row>
    <row r="35" spans="2:14" x14ac:dyDescent="0.25">
      <c r="B35" s="84" t="s">
        <v>135</v>
      </c>
      <c r="C35" s="206">
        <v>405428384.17787802</v>
      </c>
      <c r="G35" s="116"/>
      <c r="H35" s="116"/>
      <c r="I35" s="116"/>
    </row>
    <row r="36" spans="2:14" x14ac:dyDescent="0.25">
      <c r="B36" s="84" t="s">
        <v>136</v>
      </c>
      <c r="C36" s="206">
        <v>22053000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0.80645161290322576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6345782300.2246866</v>
      </c>
      <c r="F43" s="44">
        <f>IFERROR(E43/D43,0)</f>
        <v>0.79842815923942945</v>
      </c>
      <c r="G43" s="118">
        <f>D43-E43</f>
        <v>1602061506.123003</v>
      </c>
      <c r="H43" s="118">
        <f ca="1">IFERROR(G43/C3,0)</f>
        <v>267010251.02050051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1027743421.092737</v>
      </c>
      <c r="F44" s="44">
        <f>IFERROR(E44/D44,0)</f>
        <v>0.69315404600817843</v>
      </c>
      <c r="G44" s="118">
        <f>D44-E44</f>
        <v>454962229.99800301</v>
      </c>
      <c r="H44" s="118">
        <f ca="1">IFERROR(G44/C3,0)</f>
        <v>75827038.333000496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1300953486.006222</v>
      </c>
      <c r="F45" s="44">
        <f>IFERROR(E45/D45,0)</f>
        <v>0.70281395221025778</v>
      </c>
      <c r="G45" s="118">
        <f>D45-E45</f>
        <v>550110343.7810123</v>
      </c>
      <c r="H45" s="118">
        <f ca="1">IFERROR(G45/C3,0)</f>
        <v>91685057.296835378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8674479207.3236465</v>
      </c>
      <c r="F46" s="43">
        <f>IFERROR(E46/D46,0)</f>
        <v>0.7689041439796459</v>
      </c>
      <c r="G46" s="119">
        <f>G43+G44+G45</f>
        <v>2607134079.9020185</v>
      </c>
      <c r="H46" s="119">
        <f ca="1">IFERROR(G46/C3,0)</f>
        <v>434522346.65033644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353783163.43955398</v>
      </c>
      <c r="H51" s="122">
        <f>N8</f>
        <v>46888531.273953997</v>
      </c>
      <c r="I51" s="122">
        <f t="shared" ref="I51:I64" si="1">G51+H51</f>
        <v>400671694.71350795</v>
      </c>
      <c r="J51" s="61">
        <f t="shared" ref="J51:J64" si="2">IFERROR(I51/F51,0)</f>
        <v>0.70594749674063872</v>
      </c>
      <c r="K51" s="51">
        <f t="shared" ref="K51:M64" si="3">D51-G51</f>
        <v>137454013.68590945</v>
      </c>
      <c r="L51" s="51">
        <f t="shared" si="3"/>
        <v>29440146.800027452</v>
      </c>
      <c r="M51" s="51">
        <f t="shared" si="3"/>
        <v>166894160.48593694</v>
      </c>
      <c r="N51" s="51">
        <f ca="1">IFERROR(M51/C3,0)</f>
        <v>27815693.414322823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507730867.19201803</v>
      </c>
      <c r="H52" s="122">
        <f>N9</f>
        <v>139835608.25133801</v>
      </c>
      <c r="I52" s="122">
        <f t="shared" si="1"/>
        <v>647566475.44335604</v>
      </c>
      <c r="J52" s="61">
        <f t="shared" si="2"/>
        <v>0.77208694669605882</v>
      </c>
      <c r="K52" s="54">
        <f t="shared" si="3"/>
        <v>149726292.65973163</v>
      </c>
      <c r="L52" s="54">
        <f t="shared" si="3"/>
        <v>41429448.629684299</v>
      </c>
      <c r="M52" s="54">
        <f t="shared" si="3"/>
        <v>191155741.28941596</v>
      </c>
      <c r="N52" s="54">
        <f ca="1">IFERROR(M52/C3,0)</f>
        <v>31859290.214902658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143502429.69999999</v>
      </c>
      <c r="H53" s="122">
        <f>IF(D20="",0,D20)</f>
        <v>0</v>
      </c>
      <c r="I53" s="122">
        <f>G53+H53</f>
        <v>143502429.69999999</v>
      </c>
      <c r="J53" s="61">
        <f>IFERROR(I53/F53,0)</f>
        <v>0.57641782233111283</v>
      </c>
      <c r="K53" s="54">
        <f>D53-G53</f>
        <v>105453144.08787572</v>
      </c>
      <c r="L53" s="54">
        <f>E53-H53</f>
        <v>0</v>
      </c>
      <c r="M53" s="54">
        <f>F53-I53</f>
        <v>105453144.08787572</v>
      </c>
      <c r="N53" s="54">
        <f ca="1">IFERROR(M53/C3,0)</f>
        <v>17575524.014645953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810171711.94464397</v>
      </c>
      <c r="H54" s="122">
        <f t="shared" ref="H54:H58" si="4">N10</f>
        <v>24544158.472293999</v>
      </c>
      <c r="I54" s="122">
        <f t="shared" si="1"/>
        <v>834715870.41693795</v>
      </c>
      <c r="J54" s="61">
        <f t="shared" si="2"/>
        <v>1.0703267418729585</v>
      </c>
      <c r="K54" s="54">
        <f>D54-G54</f>
        <v>-81784434.370741248</v>
      </c>
      <c r="L54" s="54">
        <f t="shared" si="3"/>
        <v>26938708.052299354</v>
      </c>
      <c r="M54" s="54">
        <f t="shared" si="3"/>
        <v>-54845726.318441868</v>
      </c>
      <c r="N54" s="54">
        <f ca="1">IFERROR(M54/C3,0)</f>
        <v>-9140954.3864069786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288554055.47883898</v>
      </c>
      <c r="H55" s="122">
        <f t="shared" si="4"/>
        <v>33358543.199999999</v>
      </c>
      <c r="I55" s="122">
        <f t="shared" si="1"/>
        <v>321912598.67883897</v>
      </c>
      <c r="J55" s="61">
        <f t="shared" si="2"/>
        <v>0.58254360204903621</v>
      </c>
      <c r="K55" s="54">
        <f t="shared" si="3"/>
        <v>193758122.99852639</v>
      </c>
      <c r="L55" s="54">
        <f t="shared" si="3"/>
        <v>36927568.899588957</v>
      </c>
      <c r="M55" s="54">
        <f t="shared" si="3"/>
        <v>230685691.8981154</v>
      </c>
      <c r="N55" s="54">
        <f ca="1">IFERROR(M55/C3,0)</f>
        <v>38447615.316352569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335047651.28131104</v>
      </c>
      <c r="H56" s="122">
        <f t="shared" si="4"/>
        <v>98474585.446358994</v>
      </c>
      <c r="I56" s="122">
        <f t="shared" si="1"/>
        <v>433522236.72767001</v>
      </c>
      <c r="J56" s="61">
        <f t="shared" si="2"/>
        <v>0.69016342310662193</v>
      </c>
      <c r="K56" s="54">
        <f t="shared" si="3"/>
        <v>170144351.72177553</v>
      </c>
      <c r="L56" s="54">
        <f t="shared" si="3"/>
        <v>24477735.363403112</v>
      </c>
      <c r="M56" s="54">
        <f t="shared" si="3"/>
        <v>194622087.08517867</v>
      </c>
      <c r="N56" s="54">
        <f ca="1">IFERROR(M56/C3,0)</f>
        <v>32437014.514196444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1203586703.4128709</v>
      </c>
      <c r="H57" s="122">
        <f t="shared" si="4"/>
        <v>76826554.659632996</v>
      </c>
      <c r="I57" s="122">
        <f t="shared" si="1"/>
        <v>1280413258.0725038</v>
      </c>
      <c r="J57" s="61">
        <f t="shared" si="2"/>
        <v>1.1015421922683082</v>
      </c>
      <c r="K57" s="54">
        <f t="shared" si="3"/>
        <v>-142341300.36415219</v>
      </c>
      <c r="L57" s="54">
        <f t="shared" si="3"/>
        <v>24310443.1290254</v>
      </c>
      <c r="M57" s="54">
        <f t="shared" si="3"/>
        <v>-118030857.23512673</v>
      </c>
      <c r="N57" s="54">
        <f ca="1">IFERROR(M57/C3,0)</f>
        <v>-19671809.539187789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394985722.730932</v>
      </c>
      <c r="H58" s="122">
        <f t="shared" si="4"/>
        <v>56637953.379945002</v>
      </c>
      <c r="I58" s="122">
        <f>G58+H58</f>
        <v>451623676.11087698</v>
      </c>
      <c r="J58" s="61">
        <f>IFERROR(I58/F58,0)</f>
        <v>0.67630688766314162</v>
      </c>
      <c r="K58" s="54">
        <f t="shared" si="3"/>
        <v>168128448.00315678</v>
      </c>
      <c r="L58" s="54">
        <f t="shared" si="3"/>
        <v>48027081.375625484</v>
      </c>
      <c r="M58" s="54">
        <f t="shared" si="3"/>
        <v>216155529.37878233</v>
      </c>
      <c r="N58" s="54">
        <f ca="1">IFERROR(M58/C3,0)</f>
        <v>36025921.563130386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219409219.53999999</v>
      </c>
      <c r="H59" s="122">
        <f>IF(D21="",0,D21)</f>
        <v>0</v>
      </c>
      <c r="I59" s="122">
        <f>G59+H59</f>
        <v>219409219.53999999</v>
      </c>
      <c r="J59" s="61">
        <f>IFERROR(I59/F59,0)</f>
        <v>0.51043302524034617</v>
      </c>
      <c r="K59" s="54">
        <f>D59-G59</f>
        <v>210439964.76128498</v>
      </c>
      <c r="L59" s="54">
        <f>E59-H59</f>
        <v>0</v>
      </c>
      <c r="M59" s="54">
        <f>F59-I59</f>
        <v>210439964.76128498</v>
      </c>
      <c r="N59" s="54">
        <f ca="1">IFERROR(M59/C3,0)</f>
        <v>35073327.46021416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247045903.859099</v>
      </c>
      <c r="H60" s="122">
        <f t="shared" ref="H60:H64" si="5">N15</f>
        <v>86172503.857169002</v>
      </c>
      <c r="I60" s="122">
        <f t="shared" si="1"/>
        <v>333218407.716268</v>
      </c>
      <c r="J60" s="61">
        <f t="shared" si="2"/>
        <v>0.52692370668531097</v>
      </c>
      <c r="K60" s="54">
        <f t="shared" si="3"/>
        <v>267675207.56774905</v>
      </c>
      <c r="L60" s="54">
        <f t="shared" si="3"/>
        <v>31490928.224997073</v>
      </c>
      <c r="M60" s="54">
        <f t="shared" si="3"/>
        <v>299166135.79274613</v>
      </c>
      <c r="N60" s="54">
        <f ca="1">IFERROR(M60/C3,0)</f>
        <v>49861022.632124357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525791124.578664</v>
      </c>
      <c r="H61" s="122">
        <f t="shared" si="5"/>
        <v>50931436.009915002</v>
      </c>
      <c r="I61" s="122">
        <f t="shared" si="1"/>
        <v>576722560.58857906</v>
      </c>
      <c r="J61" s="61">
        <f t="shared" si="2"/>
        <v>0.7491935577963299</v>
      </c>
      <c r="K61" s="54">
        <f t="shared" si="3"/>
        <v>173054051.66093701</v>
      </c>
      <c r="L61" s="54">
        <f t="shared" si="3"/>
        <v>20014524.616295822</v>
      </c>
      <c r="M61" s="54">
        <f t="shared" si="3"/>
        <v>193068576.27723277</v>
      </c>
      <c r="N61" s="54">
        <f ca="1">IFERROR(M61/C3,0)</f>
        <v>32178096.046205461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303231259.81563097</v>
      </c>
      <c r="H62" s="122">
        <f t="shared" si="5"/>
        <v>43479974.574698001</v>
      </c>
      <c r="I62" s="122">
        <f t="shared" si="1"/>
        <v>346711234.390329</v>
      </c>
      <c r="J62" s="61">
        <f t="shared" si="2"/>
        <v>0.65389874544979487</v>
      </c>
      <c r="K62" s="54">
        <f t="shared" si="3"/>
        <v>178639104.40173513</v>
      </c>
      <c r="L62" s="54">
        <f t="shared" si="3"/>
        <v>4871254.0813677907</v>
      </c>
      <c r="M62" s="54">
        <f t="shared" si="3"/>
        <v>183510358.48310292</v>
      </c>
      <c r="N62" s="54">
        <f ca="1">IFERROR(M62/C3,0)</f>
        <v>30585059.747183818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752385046.53276098</v>
      </c>
      <c r="H63" s="122">
        <f t="shared" si="5"/>
        <v>233195319.11573201</v>
      </c>
      <c r="I63" s="122">
        <f t="shared" si="1"/>
        <v>985580365.64849305</v>
      </c>
      <c r="J63" s="61">
        <f t="shared" si="2"/>
        <v>0.95486028303017012</v>
      </c>
      <c r="K63" s="54">
        <f t="shared" si="3"/>
        <v>-46330117.539960504</v>
      </c>
      <c r="L63" s="54">
        <f t="shared" si="3"/>
        <v>92922084.497904301</v>
      </c>
      <c r="M63" s="54">
        <f t="shared" si="3"/>
        <v>46591966.957943678</v>
      </c>
      <c r="N63" s="54">
        <f ca="1">IFERROR(M63/C3,0)</f>
        <v>7765327.826323946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260557440.71836299</v>
      </c>
      <c r="H64" s="122">
        <f t="shared" si="5"/>
        <v>137398252.85170001</v>
      </c>
      <c r="I64" s="122">
        <f t="shared" si="1"/>
        <v>397955693.57006299</v>
      </c>
      <c r="J64" s="61">
        <f t="shared" si="2"/>
        <v>0.67437240842076185</v>
      </c>
      <c r="K64" s="54">
        <f t="shared" si="3"/>
        <v>118044656.8491742</v>
      </c>
      <c r="L64" s="54">
        <f t="shared" si="3"/>
        <v>74112306.327783972</v>
      </c>
      <c r="M64" s="54">
        <f t="shared" si="3"/>
        <v>192156963.1769582</v>
      </c>
      <c r="N64" s="54">
        <f ca="1">IFERROR(M64/C3,0)</f>
        <v>32026160.529493034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6345782300.2246866</v>
      </c>
      <c r="H65" s="152">
        <f>SUM(H51:H64)</f>
        <v>1027743421.092737</v>
      </c>
      <c r="I65" s="152">
        <f>SUM(I51:I64)</f>
        <v>7373525721.3174229</v>
      </c>
      <c r="J65" s="153">
        <f>IFERROR(I65/F65,0)</f>
        <v>0.78187657618416828</v>
      </c>
      <c r="K65" s="154">
        <f>SUM(K51:K64)</f>
        <v>1602061506.1230018</v>
      </c>
      <c r="L65" s="154">
        <f>SUM(L51:L64)</f>
        <v>454962229.99800301</v>
      </c>
      <c r="M65" s="154">
        <f>SUM(M51:M64)</f>
        <v>2057023736.1210051</v>
      </c>
      <c r="N65" s="154">
        <f ca="1">IFERROR(M65/C3,0)</f>
        <v>342837289.35350084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382737900.36988997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84189741.780000001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9909909.6400000006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328166007.48000002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56240990.340000004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1064383136.6099679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230248566.249437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11765765.439999999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63766750.159999996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613387032.99924695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139470063.38999999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14280324.624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65848650.020000003</v>
      </c>
    </row>
    <row r="84" spans="2:9" ht="20.100000000000001" customHeight="1" x14ac:dyDescent="0.25">
      <c r="B84" s="57" t="s">
        <v>152</v>
      </c>
      <c r="C84" s="58"/>
      <c r="D84" s="129">
        <f>SUM(D70:D83)</f>
        <v>3064394839.1025419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185559859.823621</v>
      </c>
      <c r="F89" s="61">
        <f t="shared" ref="F89:F94" si="7">IFERROR(E89/D89,0)</f>
        <v>0.63301425751056795</v>
      </c>
      <c r="G89" s="125">
        <f>D89-E89</f>
        <v>107577076.06999615</v>
      </c>
      <c r="H89" s="125">
        <f ca="1">IFERROR(G89/C3,0)</f>
        <v>17929512.67833269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585070818.90037203</v>
      </c>
      <c r="F90" s="61">
        <f t="shared" si="7"/>
        <v>1.340559316167883</v>
      </c>
      <c r="G90" s="126">
        <f>D90-E90</f>
        <v>-148632974.00675488</v>
      </c>
      <c r="H90" s="126">
        <f ca="1">IFERROR(G90/C3,0)</f>
        <v>-24772162.334459145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530322807.28222901</v>
      </c>
      <c r="F91" s="61">
        <f t="shared" si="7"/>
        <v>0.47287381696245973</v>
      </c>
      <c r="G91" s="125">
        <f>D91-E91</f>
        <v>591166241.71777105</v>
      </c>
      <c r="H91" s="125">
        <f ca="1">IFERROR(G91/C3,0)</f>
        <v>98527706.952961847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1300953486.006222</v>
      </c>
      <c r="F94" s="43">
        <f t="shared" si="7"/>
        <v>0.70281395221025778</v>
      </c>
      <c r="G94" s="119">
        <f>SUM(G89:G93)</f>
        <v>550110343.7810123</v>
      </c>
      <c r="H94" s="119">
        <f ca="1">IFERROR(G94/C3,0)</f>
        <v>91685057.296835378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D99" sqref="D99"/>
    </sheetView>
  </sheetViews>
  <sheetFormatPr defaultColWidth="8.7109375" defaultRowHeight="15" x14ac:dyDescent="0.25"/>
  <cols>
    <col min="1" max="1" width="2" customWidth="1"/>
    <col min="2" max="2" width="37.5703125" customWidth="1"/>
    <col min="3" max="3" width="16.28515625" customWidth="1"/>
    <col min="4" max="4" width="18.42578125" customWidth="1"/>
    <col min="5" max="5" width="15" customWidth="1"/>
    <col min="6" max="6" width="16.5703125" customWidth="1"/>
    <col min="7" max="7" width="13.42578125" customWidth="1"/>
    <col min="8" max="8" width="12.7109375" customWidth="1"/>
    <col min="9" max="9" width="14.5703125" customWidth="1"/>
    <col min="10" max="10" width="12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4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1.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hidden="1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hidden="1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2026-07-24T08:17:10Z</cp:lastPrinted>
  <dcterms:created xsi:type="dcterms:W3CDTF">2026-03-24T08:59:20Z</dcterms:created>
  <dcterms:modified xsi:type="dcterms:W3CDTF">2026-07-25T00:52:02Z</dcterms:modified>
  <dc:language>en-US</dc:language>
</cp:coreProperties>
</file>