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80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14" l="1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K49" i="14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K49" i="11"/>
  <c r="L49" i="11"/>
  <c r="M49" i="11"/>
  <c r="N49" i="11"/>
  <c r="O49" i="11"/>
  <c r="P49" i="11"/>
  <c r="K49" i="10"/>
  <c r="L49" i="10"/>
  <c r="M49" i="10"/>
  <c r="N49" i="10"/>
  <c r="O49" i="10"/>
  <c r="P49" i="10"/>
  <c r="G68" i="11"/>
  <c r="H68" i="11"/>
  <c r="I68" i="11"/>
  <c r="J68" i="11"/>
  <c r="K68" i="11"/>
  <c r="L68" i="11"/>
  <c r="G42" i="11"/>
  <c r="H42" i="11"/>
  <c r="I42" i="11"/>
  <c r="J42" i="11"/>
  <c r="K42" i="11"/>
  <c r="L42" i="11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H62" i="14" s="1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G58" i="14" s="1"/>
  <c r="N13" i="14"/>
  <c r="H57" i="14" s="1"/>
  <c r="M13" i="14"/>
  <c r="G57" i="14" s="1"/>
  <c r="N12" i="14"/>
  <c r="H56" i="14" s="1"/>
  <c r="M12" i="14"/>
  <c r="G56" i="14" s="1"/>
  <c r="N11" i="14"/>
  <c r="H55" i="14" s="1"/>
  <c r="M11" i="14"/>
  <c r="G55" i="14" s="1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59" i="14"/>
  <c r="G59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N17" i="13"/>
  <c r="H62" i="13" s="1"/>
  <c r="M17" i="13"/>
  <c r="G62" i="13" s="1"/>
  <c r="N16" i="13"/>
  <c r="H61" i="13" s="1"/>
  <c r="M16" i="13"/>
  <c r="G61" i="13" s="1"/>
  <c r="N15" i="13"/>
  <c r="H60" i="13" s="1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G55" i="13" s="1"/>
  <c r="N10" i="13"/>
  <c r="H54" i="13" s="1"/>
  <c r="M10" i="13"/>
  <c r="G54" i="13" s="1"/>
  <c r="N9" i="13"/>
  <c r="H52" i="13" s="1"/>
  <c r="M9" i="13"/>
  <c r="G52" i="13" s="1"/>
  <c r="N8" i="13"/>
  <c r="H51" i="13" s="1"/>
  <c r="M8" i="13"/>
  <c r="G51" i="13" s="1"/>
  <c r="N7" i="13"/>
  <c r="M7" i="13"/>
  <c r="H63" i="13"/>
  <c r="H59" i="13"/>
  <c r="G59" i="13"/>
  <c r="H53" i="13"/>
  <c r="G53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G64" i="12" s="1"/>
  <c r="N18" i="12"/>
  <c r="H63" i="12" s="1"/>
  <c r="M18" i="12"/>
  <c r="G63" i="12" s="1"/>
  <c r="N17" i="12"/>
  <c r="H62" i="12" s="1"/>
  <c r="M17" i="12"/>
  <c r="G62" i="12" s="1"/>
  <c r="N16" i="12"/>
  <c r="H61" i="12" s="1"/>
  <c r="M16" i="12"/>
  <c r="G61" i="12" s="1"/>
  <c r="N15" i="12"/>
  <c r="H60" i="12" s="1"/>
  <c r="M15" i="12"/>
  <c r="G60" i="12" s="1"/>
  <c r="N14" i="12"/>
  <c r="H58" i="12" s="1"/>
  <c r="M14" i="12"/>
  <c r="G58" i="12" s="1"/>
  <c r="N13" i="12"/>
  <c r="M13" i="12"/>
  <c r="G57" i="12" s="1"/>
  <c r="N12" i="12"/>
  <c r="H56" i="12" s="1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H52" i="12" s="1"/>
  <c r="M9" i="12"/>
  <c r="G52" i="12" s="1"/>
  <c r="N8" i="12"/>
  <c r="H51" i="12" s="1"/>
  <c r="M8" i="12"/>
  <c r="G51" i="12" s="1"/>
  <c r="N7" i="12"/>
  <c r="M7" i="12"/>
  <c r="H59" i="12"/>
  <c r="G59" i="12"/>
  <c r="H57" i="12"/>
  <c r="H53" i="12"/>
  <c r="G53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G63" i="11" s="1"/>
  <c r="N17" i="11"/>
  <c r="H62" i="11" s="1"/>
  <c r="M17" i="11"/>
  <c r="G62" i="11" s="1"/>
  <c r="N16" i="11"/>
  <c r="H61" i="11" s="1"/>
  <c r="M16" i="11"/>
  <c r="G61" i="11" s="1"/>
  <c r="N15" i="11"/>
  <c r="M15" i="11"/>
  <c r="G60" i="11" s="1"/>
  <c r="N14" i="11"/>
  <c r="H58" i="11" s="1"/>
  <c r="M14" i="11"/>
  <c r="G58" i="11" s="1"/>
  <c r="N13" i="11"/>
  <c r="H57" i="11" s="1"/>
  <c r="M13" i="11"/>
  <c r="G57" i="11" s="1"/>
  <c r="N12" i="11"/>
  <c r="H56" i="11" s="1"/>
  <c r="M12" i="11"/>
  <c r="G56" i="11" s="1"/>
  <c r="N11" i="11"/>
  <c r="H55" i="11" s="1"/>
  <c r="M11" i="11"/>
  <c r="G55" i="11" s="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N7" i="11"/>
  <c r="M7" i="11"/>
  <c r="H60" i="11"/>
  <c r="H59" i="11"/>
  <c r="G59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H63" i="10" s="1"/>
  <c r="M18" i="10"/>
  <c r="G63" i="10" s="1"/>
  <c r="N17" i="10"/>
  <c r="H62" i="10" s="1"/>
  <c r="M17" i="10"/>
  <c r="G62" i="10" s="1"/>
  <c r="N16" i="10"/>
  <c r="H61" i="10" s="1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H51" i="10" s="1"/>
  <c r="M8" i="10"/>
  <c r="G51" i="10" s="1"/>
  <c r="N7" i="10"/>
  <c r="M7" i="10"/>
  <c r="H59" i="10"/>
  <c r="G59" i="10"/>
  <c r="H53" i="10"/>
  <c r="G53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60" i="12" l="1"/>
  <c r="I62" i="12"/>
  <c r="I59" i="11"/>
  <c r="I56" i="14"/>
  <c r="I51" i="11"/>
  <c r="I61" i="11"/>
  <c r="I63" i="13"/>
  <c r="I58" i="12"/>
  <c r="I58" i="10"/>
  <c r="I52" i="10"/>
  <c r="I57" i="10"/>
  <c r="I60" i="10"/>
  <c r="I62" i="10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3" i="14"/>
  <c r="D64" i="14"/>
  <c r="D63" i="14"/>
  <c r="D62" i="14"/>
  <c r="F62" i="14" s="1"/>
  <c r="D61" i="14"/>
  <c r="F61" i="14" s="1"/>
  <c r="D60" i="14"/>
  <c r="F60" i="14" s="1"/>
  <c r="D59" i="14"/>
  <c r="F59" i="14" s="1"/>
  <c r="D58" i="14"/>
  <c r="F58" i="14" s="1"/>
  <c r="D57" i="14"/>
  <c r="D56" i="14"/>
  <c r="F56" i="14" s="1"/>
  <c r="D55" i="14"/>
  <c r="D54" i="14"/>
  <c r="D53" i="14"/>
  <c r="D52" i="14"/>
  <c r="F52" i="14" s="1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F60" i="13" s="1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F57" i="12" s="1"/>
  <c r="E56" i="12"/>
  <c r="E55" i="12"/>
  <c r="F55" i="12" s="1"/>
  <c r="E54" i="12"/>
  <c r="E53" i="12"/>
  <c r="E52" i="12"/>
  <c r="E51" i="12"/>
  <c r="D64" i="12"/>
  <c r="D63" i="12"/>
  <c r="D62" i="12"/>
  <c r="D61" i="12"/>
  <c r="F61" i="12" s="1"/>
  <c r="D60" i="12"/>
  <c r="F60" i="12" s="1"/>
  <c r="D59" i="12"/>
  <c r="D58" i="12"/>
  <c r="D57" i="12"/>
  <c r="D56" i="12"/>
  <c r="D55" i="12"/>
  <c r="D54" i="12"/>
  <c r="D53" i="12"/>
  <c r="F53" i="12" s="1"/>
  <c r="D52" i="12"/>
  <c r="D51" i="12"/>
  <c r="F41" i="12"/>
  <c r="D73" i="11"/>
  <c r="D72" i="11"/>
  <c r="D71" i="11"/>
  <c r="D70" i="11"/>
  <c r="D69" i="11"/>
  <c r="D45" i="11"/>
  <c r="D44" i="11"/>
  <c r="D43" i="11"/>
  <c r="E64" i="11"/>
  <c r="E63" i="11"/>
  <c r="E62" i="11"/>
  <c r="F62" i="11" s="1"/>
  <c r="E61" i="11"/>
  <c r="F61" i="11" s="1"/>
  <c r="E60" i="11"/>
  <c r="E59" i="11"/>
  <c r="E58" i="11"/>
  <c r="E57" i="11"/>
  <c r="E56" i="11"/>
  <c r="E55" i="11"/>
  <c r="E54" i="11"/>
  <c r="F54" i="11" s="1"/>
  <c r="E53" i="11"/>
  <c r="E52" i="11"/>
  <c r="F52" i="11" s="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F59" i="10" s="1"/>
  <c r="E58" i="10"/>
  <c r="F58" i="10" s="1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D52" i="10"/>
  <c r="D51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E65" i="14"/>
  <c r="F64" i="14"/>
  <c r="F63" i="14"/>
  <c r="F57" i="14"/>
  <c r="F55" i="14"/>
  <c r="F54" i="14"/>
  <c r="F53" i="14"/>
  <c r="E73" i="13"/>
  <c r="E72" i="13"/>
  <c r="E70" i="13"/>
  <c r="E69" i="13"/>
  <c r="F69" i="13" s="1"/>
  <c r="F59" i="13"/>
  <c r="F54" i="13"/>
  <c r="F52" i="13"/>
  <c r="E45" i="13"/>
  <c r="E73" i="12"/>
  <c r="F73" i="12" s="1"/>
  <c r="E72" i="12"/>
  <c r="E70" i="12"/>
  <c r="E69" i="12"/>
  <c r="F59" i="12"/>
  <c r="F56" i="12"/>
  <c r="D46" i="12"/>
  <c r="E73" i="11"/>
  <c r="E72" i="11"/>
  <c r="E70" i="11"/>
  <c r="E69" i="11"/>
  <c r="F64" i="11"/>
  <c r="F56" i="11"/>
  <c r="E73" i="10"/>
  <c r="E72" i="10"/>
  <c r="E70" i="10"/>
  <c r="E69" i="10"/>
  <c r="F61" i="10"/>
  <c r="E45" i="10"/>
  <c r="E73" i="9"/>
  <c r="E72" i="9"/>
  <c r="E70" i="9"/>
  <c r="E69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3" i="12" l="1"/>
  <c r="F56" i="13"/>
  <c r="F64" i="13"/>
  <c r="F55" i="11"/>
  <c r="M55" i="11" s="1"/>
  <c r="N55" i="11" s="1"/>
  <c r="F63" i="11"/>
  <c r="D74" i="14"/>
  <c r="F64" i="12"/>
  <c r="J64" i="12" s="1"/>
  <c r="F51" i="13"/>
  <c r="J51" i="13" s="1"/>
  <c r="F51" i="12"/>
  <c r="J51" i="12" s="1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D65" i="12"/>
  <c r="E65" i="12"/>
  <c r="K69" i="8"/>
  <c r="L69" i="8" s="1"/>
  <c r="G69" i="8"/>
  <c r="I69" i="8"/>
  <c r="J69" i="8" s="1"/>
  <c r="G70" i="11"/>
  <c r="I70" i="11"/>
  <c r="J70" i="11" s="1"/>
  <c r="K70" i="11"/>
  <c r="L70" i="11" s="1"/>
  <c r="F69" i="14"/>
  <c r="J62" i="11"/>
  <c r="K62" i="11"/>
  <c r="L62" i="11" s="1"/>
  <c r="M62" i="11"/>
  <c r="N62" i="11" s="1"/>
  <c r="O62" i="11"/>
  <c r="P62" i="11" s="1"/>
  <c r="G70" i="8"/>
  <c r="H70" i="8" s="1"/>
  <c r="I70" i="8"/>
  <c r="J70" i="8" s="1"/>
  <c r="K70" i="8"/>
  <c r="L70" i="8" s="1"/>
  <c r="J54" i="11"/>
  <c r="K54" i="11"/>
  <c r="L54" i="11" s="1"/>
  <c r="M54" i="11"/>
  <c r="N54" i="11" s="1"/>
  <c r="O54" i="11"/>
  <c r="P54" i="11" s="1"/>
  <c r="K72" i="11"/>
  <c r="L72" i="11" s="1"/>
  <c r="G72" i="11"/>
  <c r="H72" i="11" s="1"/>
  <c r="I72" i="11"/>
  <c r="J72" i="11" s="1"/>
  <c r="J64" i="11"/>
  <c r="O64" i="11"/>
  <c r="P64" i="11" s="1"/>
  <c r="K64" i="11"/>
  <c r="L64" i="11" s="1"/>
  <c r="M64" i="11"/>
  <c r="N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J61" i="11"/>
  <c r="K61" i="11"/>
  <c r="L61" i="11" s="1"/>
  <c r="M61" i="11"/>
  <c r="N61" i="11" s="1"/>
  <c r="O61" i="11"/>
  <c r="P61" i="11" s="1"/>
  <c r="F58" i="12"/>
  <c r="F53" i="13"/>
  <c r="J53" i="13" s="1"/>
  <c r="F61" i="13"/>
  <c r="O61" i="13" s="1"/>
  <c r="P61" i="13" s="1"/>
  <c r="J56" i="11"/>
  <c r="O56" i="11"/>
  <c r="P56" i="11" s="1"/>
  <c r="K56" i="11"/>
  <c r="L56" i="11" s="1"/>
  <c r="M56" i="11"/>
  <c r="N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J52" i="11"/>
  <c r="K52" i="11"/>
  <c r="L52" i="11" s="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J55" i="11"/>
  <c r="K55" i="11"/>
  <c r="L55" i="11" s="1"/>
  <c r="O55" i="11"/>
  <c r="P55" i="11" s="1"/>
  <c r="J63" i="11"/>
  <c r="K63" i="11"/>
  <c r="L63" i="11" s="1"/>
  <c r="M63" i="11"/>
  <c r="N63" i="11" s="1"/>
  <c r="O63" i="11"/>
  <c r="P63" i="11" s="1"/>
  <c r="F58" i="9"/>
  <c r="F53" i="10"/>
  <c r="K53" i="10" s="1"/>
  <c r="L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K53" i="13"/>
  <c r="L53" i="13" s="1"/>
  <c r="O53" i="13"/>
  <c r="P53" i="13" s="1"/>
  <c r="M53" i="13"/>
  <c r="N53" i="13" s="1"/>
  <c r="J61" i="13"/>
  <c r="K61" i="13"/>
  <c r="L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F70" i="11"/>
  <c r="F58" i="11"/>
  <c r="F56" i="10"/>
  <c r="F64" i="10"/>
  <c r="F51" i="11"/>
  <c r="F59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I43" i="7" s="1"/>
  <c r="F73" i="9"/>
  <c r="F69" i="8"/>
  <c r="F54" i="7"/>
  <c r="L52" i="3"/>
  <c r="F52" i="10"/>
  <c r="K58" i="3"/>
  <c r="F54" i="3"/>
  <c r="F57" i="7"/>
  <c r="I54" i="9"/>
  <c r="I63" i="9"/>
  <c r="F68" i="3"/>
  <c r="F60" i="3"/>
  <c r="G66" i="3"/>
  <c r="H66" i="3" s="1"/>
  <c r="I62" i="9"/>
  <c r="F65" i="14"/>
  <c r="E65" i="7"/>
  <c r="D74" i="7"/>
  <c r="I55" i="8"/>
  <c r="K55" i="8" s="1"/>
  <c r="L55" i="8" s="1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E44" i="13"/>
  <c r="K44" i="13" s="1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G65" i="12"/>
  <c r="E43" i="12" s="1"/>
  <c r="K43" i="12" s="1"/>
  <c r="I62" i="8"/>
  <c r="I58" i="9"/>
  <c r="J58" i="9" s="1"/>
  <c r="E44" i="11"/>
  <c r="K44" i="11" s="1"/>
  <c r="L44" i="11" s="1"/>
  <c r="E45" i="11"/>
  <c r="I45" i="11" s="1"/>
  <c r="J45" i="11" s="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69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H65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J57" i="9" l="1"/>
  <c r="O53" i="10"/>
  <c r="P53" i="10" s="1"/>
  <c r="O64" i="12"/>
  <c r="P64" i="12" s="1"/>
  <c r="J53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J58" i="11"/>
  <c r="K58" i="11"/>
  <c r="L58" i="11" s="1"/>
  <c r="M58" i="11"/>
  <c r="N58" i="11" s="1"/>
  <c r="O58" i="11"/>
  <c r="P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J53" i="11"/>
  <c r="K53" i="11"/>
  <c r="L53" i="11" s="1"/>
  <c r="M53" i="11"/>
  <c r="N53" i="11" s="1"/>
  <c r="O53" i="11"/>
  <c r="P53" i="11" s="1"/>
  <c r="I43" i="12"/>
  <c r="K63" i="8"/>
  <c r="L63" i="8" s="1"/>
  <c r="K60" i="7"/>
  <c r="L60" i="7" s="1"/>
  <c r="K43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H43" i="12" s="1"/>
  <c r="O55" i="8"/>
  <c r="P55" i="8" s="1"/>
  <c r="I43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J59" i="11"/>
  <c r="M59" i="11"/>
  <c r="N59" i="11" s="1"/>
  <c r="O59" i="11"/>
  <c r="P59" i="11" s="1"/>
  <c r="K59" i="11"/>
  <c r="L59" i="11" s="1"/>
  <c r="I45" i="14"/>
  <c r="J45" i="14" s="1"/>
  <c r="M55" i="8"/>
  <c r="N55" i="8" s="1"/>
  <c r="J69" i="11"/>
  <c r="J69" i="7"/>
  <c r="K71" i="11"/>
  <c r="L71" i="11" s="1"/>
  <c r="G44" i="8"/>
  <c r="H44" i="8" s="1"/>
  <c r="I44" i="11"/>
  <c r="J44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J51" i="11"/>
  <c r="M51" i="11"/>
  <c r="O51" i="11"/>
  <c r="K51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K57" i="11"/>
  <c r="L57" i="11" s="1"/>
  <c r="M57" i="11"/>
  <c r="N57" i="11" s="1"/>
  <c r="O57" i="11"/>
  <c r="P57" i="11" s="1"/>
  <c r="K61" i="7"/>
  <c r="L61" i="7" s="1"/>
  <c r="M61" i="7"/>
  <c r="N61" i="7" s="1"/>
  <c r="O61" i="7"/>
  <c r="P61" i="7" s="1"/>
  <c r="J60" i="11"/>
  <c r="K60" i="11"/>
  <c r="L60" i="11" s="1"/>
  <c r="M60" i="11"/>
  <c r="N60" i="11" s="1"/>
  <c r="O60" i="11"/>
  <c r="P60" i="11" s="1"/>
  <c r="I71" i="7"/>
  <c r="J71" i="7" s="1"/>
  <c r="I71" i="8"/>
  <c r="G71" i="10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J69" i="10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L43" i="10"/>
  <c r="H43" i="13"/>
  <c r="G46" i="13"/>
  <c r="H46" i="13" s="1"/>
  <c r="L43" i="12"/>
  <c r="K46" i="12"/>
  <c r="L46" i="12" s="1"/>
  <c r="H43" i="14"/>
  <c r="K43" i="13"/>
  <c r="J69" i="13"/>
  <c r="M63" i="13"/>
  <c r="N63" i="13" s="1"/>
  <c r="O63" i="13"/>
  <c r="P63" i="13" s="1"/>
  <c r="K63" i="13"/>
  <c r="L63" i="13" s="1"/>
  <c r="L69" i="13"/>
  <c r="G45" i="14"/>
  <c r="H45" i="14" s="1"/>
  <c r="H69" i="14"/>
  <c r="I43" i="13"/>
  <c r="G74" i="12"/>
  <c r="H74" i="12" s="1"/>
  <c r="H69" i="12"/>
  <c r="L69" i="14"/>
  <c r="I71" i="13"/>
  <c r="J71" i="13" s="1"/>
  <c r="J54" i="12"/>
  <c r="K54" i="12"/>
  <c r="L54" i="12" s="1"/>
  <c r="M54" i="12"/>
  <c r="N54" i="12" s="1"/>
  <c r="O54" i="12"/>
  <c r="P54" i="12" s="1"/>
  <c r="J43" i="12"/>
  <c r="J62" i="13"/>
  <c r="K62" i="13"/>
  <c r="L62" i="13" s="1"/>
  <c r="M62" i="13"/>
  <c r="N62" i="13" s="1"/>
  <c r="O62" i="13"/>
  <c r="P62" i="13" s="1"/>
  <c r="L69" i="12"/>
  <c r="J69" i="14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I74" i="10" l="1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46" i="12"/>
  <c r="H46" i="12" s="1"/>
  <c r="G74" i="14"/>
  <c r="H74" i="14" s="1"/>
  <c r="K46" i="10"/>
  <c r="L46" i="10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K65" i="11"/>
  <c r="L65" i="11" s="1"/>
  <c r="L51" i="11"/>
  <c r="K46" i="11"/>
  <c r="L46" i="11" s="1"/>
  <c r="L43" i="11"/>
  <c r="L51" i="7"/>
  <c r="O65" i="11"/>
  <c r="P65" i="11" s="1"/>
  <c r="P51" i="11"/>
  <c r="N53" i="7"/>
  <c r="O52" i="8"/>
  <c r="P52" i="8" s="1"/>
  <c r="G46" i="11"/>
  <c r="H46" i="11" s="1"/>
  <c r="I74" i="12"/>
  <c r="J74" i="12" s="1"/>
  <c r="M65" i="12"/>
  <c r="N65" i="12" s="1"/>
  <c r="M65" i="11"/>
  <c r="N65" i="11" s="1"/>
  <c r="N51" i="11"/>
  <c r="K46" i="8"/>
  <c r="L46" i="8" s="1"/>
  <c r="L43" i="8"/>
  <c r="P54" i="7"/>
  <c r="M52" i="8"/>
  <c r="G74" i="11"/>
  <c r="H74" i="11" s="1"/>
  <c r="G46" i="14"/>
  <c r="H46" i="14" s="1"/>
  <c r="I46" i="8"/>
  <c r="J46" i="8" s="1"/>
  <c r="J43" i="8"/>
  <c r="K74" i="11"/>
  <c r="L74" i="11" s="1"/>
  <c r="K52" i="8"/>
  <c r="J65" i="10"/>
  <c r="I74" i="14"/>
  <c r="J74" i="14" s="1"/>
  <c r="I46" i="12"/>
  <c r="J46" i="12" s="1"/>
  <c r="K55" i="7"/>
  <c r="L55" i="7" s="1"/>
  <c r="I46" i="11"/>
  <c r="J46" i="11" s="1"/>
  <c r="J43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H68" i="4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I74" i="6" l="1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<sst xmlns="http://schemas.openxmlformats.org/spreadsheetml/2006/main" count="1903" uniqueCount="200">
  <si>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</si>
  <si>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</si>
  <si>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</si>
  <si>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</si>
  <si>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</si>
  <si>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</si>
  <si>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</si>
  <si>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</si>
  <si>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</si>
  <si>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</si>
  <si>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</si>
  <si>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</si>
  <si>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</si>
  <si>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</si>
  <si>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</si>
  <si>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</si>
  <si>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</si>
  <si>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</si>
  <si>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</si>
  <si>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</si>
  <si>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</si>
  <si>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</si>
  <si>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</si>
  <si>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</si>
  <si>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</si>
  <si>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</si>
  <si>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</si>
  <si>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</si>
  <si>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</si>
  <si>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</si>
  <si>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</si>
  <si>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</si>
  <si>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</si>
  <si>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</si>
  <si>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</si>
  <si>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</si>
  <si>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</si>
  <si>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</si>
  <si>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</si>
  <si>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</si>
  <si>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</si>
  <si>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</si>
  <si>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</si>
  <si>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</si>
  <si>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</si>
  <si>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</si>
  <si>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</si>
  <si>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</si>
  <si>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</si>
  <si>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</si>
  <si>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</si>
  <si>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</si>
  <si>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</si>
  <si>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</si>
  <si>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</si>
  <si>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</si>
  <si>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</si>
  <si>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</si>
  <si>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</si>
  <si>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</si>
  <si>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</si>
  <si>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</si>
  <si>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</si>
  <si>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</si>
  <si>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</si>
  <si>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</si>
  <si>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</si>
  <si>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</si>
  <si>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</si>
  <si>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</si>
  <si>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</si>
  <si>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</si>
  <si>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</si>
  <si>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</si>
  <si>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</si>
  <si>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</si>
  <si>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</si>
  <si>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</si>
  <si>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</si>
  <si>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</si>
  <si>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</si>
  <si>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</si>
  <si>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</si>
  <si>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</si>
  <si>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</si>
  <si>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</si>
  <si>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</si>
  <si>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</si>
  <si>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</si>
  <si>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</si>
  <si>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</si>
  <si>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</si>
  <si>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</si>
  <si>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</si>
  <si>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</si>
  <si>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</si>
  <si>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</si>
  <si>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</si>
  <si>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</si>
  <si>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</si>
  <si>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</si>
  <si>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</si>
  <si>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</si>
  <si>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</si>
  <si>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</si>
  <si>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</si>
  <si>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</si>
  <si>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</si>
  <si>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</si>
  <si>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</si>
  <si>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</si>
  <si>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</si>
  <si>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</si>
  <si>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</si>
  <si>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</si>
  <si>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</si>
  <si>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</si>
  <si>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</si>
  <si>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</si>
  <si>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</si>
  <si>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</si>
  <si>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</si>
  <si>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</si>
  <si>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</si>
  <si>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</si>
  <si>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</si>
  <si>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</si>
  <si>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</si>
  <si>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</si>
  <si>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</si>
  <si>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</si>
  <si>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</si>
  <si>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</si>
  <si>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</si>
  <si>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</si>
  <si>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</si>
  <si>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</si>
  <si>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</si>
  <si>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</si>
  <si>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</si>
  <si>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</si>
  <si>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</si>
  <si>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</si>
  <si>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</si>
  <si>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</si>
  <si>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</si>
  <si>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</si>
  <si>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</si>
  <si>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</si>
  <si>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</si>
  <si>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</si>
  <si>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</si>
  <si>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</si>
  <si>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</si>
  <si>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</si>
  <si>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</si>
  <si>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</si>
  <si>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</si>
  <si>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</si>
  <si>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</si>
  <si>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</si>
  <si>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</si>
  <si>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</si>
  <si>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</si>
  <si>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</si>
  <si>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</si>
  <si>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</si>
  <si>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</si>
  <si>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</si>
  <si>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</si>
  <si>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</si>
  <si>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</si>
  <si>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</si>
  <si>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</si>
  <si>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</si>
  <si>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</si>
  <si>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</si>
  <si>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</si>
  <si>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</si>
  <si>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</si>
  <si>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</si>
  <si>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</si>
  <si>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</si>
  <si>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</si>
  <si>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</si>
  <si>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</si>
  <si>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</si>
  <si>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</si>
  <si>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</si>
  <si>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</si>
  <si>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</si>
  <si>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</si>
  <si>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</si>
  <si>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</si>
  <si>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</si>
  <si>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</si>
  <si>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</si>
  <si>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</si>
  <si>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</si>
  <si>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DATA PENCAPAIAN — GLOBAL — 11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</si>
</sst>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85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42" t="s">
        <v>28</v>
      </c>
      <c r="C3" s="242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233" t="s">
        <v>194</v>
      </c>
      <c r="H1" s="86"/>
      <c r="I1" s="86"/>
      <c r="J1" s="86"/>
      <c r="K1" s="86"/>
      <c r="L1" s="86"/>
      <c r="M1" s="86"/>
      <c r="N1" s="86"/>
    </row>
    <row r="2" spans="2:17" x14ac:dyDescent="0.25">
      <c r="G2" s="234" t="s">
        <v>195</v>
      </c>
      <c r="J2" s="235">
        <f ca="1">E3</f>
        <v>31</v>
      </c>
    </row>
    <row r="3" spans="2:17" ht="15.75" x14ac:dyDescent="0.25">
      <c r="B3" s="77" t="s">
        <v>103</v>
      </c>
      <c r="C3" s="78">
        <f ca="1">IF($J$5&lt;&gt;"",$J$5,MAX(0,NETWORKDAYS.INTL(MAX(TODAY(),DATE(YEAR(TODAY()),1,1)),EOMONTH(DATE(YEAR(TODAY()),1,1),0),11)-MAX(0,$J$3-$J$4)))</f>
        <v>0</v>
      </c>
      <c r="D3" s="79" t="s">
        <v>104</v>
      </c>
      <c r="E3" s="80">
        <f ca="1">DAY(EOMONTH(DATE(YEAR(TODAY()),1,1),0))</f>
        <v>31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6" t="s">
        <v>146</v>
      </c>
      <c r="C44" s="247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8" t="s">
        <v>41</v>
      </c>
      <c r="C47" s="248" t="s">
        <v>42</v>
      </c>
      <c r="D47" s="249" t="s">
        <v>138</v>
      </c>
      <c r="E47" s="250"/>
      <c r="F47" s="251"/>
      <c r="G47" s="101" t="s">
        <v>139</v>
      </c>
      <c r="H47" s="101"/>
      <c r="I47" s="101"/>
      <c r="J47" s="248" t="s">
        <v>140</v>
      </c>
      <c r="K47" s="102" t="s">
        <v>148</v>
      </c>
      <c r="L47" s="102"/>
      <c r="M47" s="102"/>
      <c r="N47" s="245" t="s">
        <v>149</v>
      </c>
    </row>
    <row r="48" spans="2:14" ht="15.75" x14ac:dyDescent="0.25">
      <c r="B48" s="248"/>
      <c r="C48" s="248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8"/>
      <c r="K48" s="104" t="s">
        <v>143</v>
      </c>
      <c r="L48" s="104" t="s">
        <v>111</v>
      </c>
      <c r="M48" s="104" t="s">
        <v>146</v>
      </c>
      <c r="N48" s="245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233" t="s">
        <v>194</v>
      </c>
      <c r="H1" s="86"/>
      <c r="I1" s="86"/>
      <c r="J1" s="86"/>
      <c r="K1" s="86"/>
      <c r="L1" s="86"/>
      <c r="M1" s="86"/>
      <c r="N1" s="86"/>
    </row>
    <row r="2" spans="2:17" x14ac:dyDescent="0.25">
      <c r="G2" s="234" t="s">
        <v>195</v>
      </c>
      <c r="J2" s="235">
        <f ca="1">E3</f>
        <v>28</v>
      </c>
    </row>
    <row r="3" spans="2:17" ht="15.75" x14ac:dyDescent="0.25">
      <c r="B3" s="77" t="s">
        <v>103</v>
      </c>
      <c r="C3" s="78">
        <f ca="1">IF($J$5&lt;&gt;"",$J$5,MAX(0,NETWORKDAYS.INTL(MAX(TODAY(),DATE(YEAR(TODAY()),2,1)),EOMONTH(DATE(YEAR(TODAY()),2,1),0),11)-MAX(0,$J$3-$J$4)))</f>
        <v>0</v>
      </c>
      <c r="D3" s="79" t="s">
        <v>104</v>
      </c>
      <c r="E3" s="80">
        <f ca="1">DAY(EOMONTH(DATE(YEAR(TODAY()),2,1),0))</f>
        <v>28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6" t="s">
        <v>146</v>
      </c>
      <c r="C44" s="247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8" t="s">
        <v>41</v>
      </c>
      <c r="C47" s="248" t="s">
        <v>42</v>
      </c>
      <c r="D47" s="249" t="s">
        <v>138</v>
      </c>
      <c r="E47" s="250"/>
      <c r="F47" s="251"/>
      <c r="G47" s="101" t="s">
        <v>139</v>
      </c>
      <c r="H47" s="101"/>
      <c r="I47" s="101"/>
      <c r="J47" s="248" t="s">
        <v>140</v>
      </c>
      <c r="K47" s="102" t="s">
        <v>148</v>
      </c>
      <c r="L47" s="102"/>
      <c r="M47" s="102"/>
      <c r="N47" s="245" t="s">
        <v>149</v>
      </c>
    </row>
    <row r="48" spans="2:14" ht="15.75" x14ac:dyDescent="0.25">
      <c r="B48" s="248"/>
      <c r="C48" s="248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8"/>
      <c r="K48" s="104" t="s">
        <v>143</v>
      </c>
      <c r="L48" s="104" t="s">
        <v>111</v>
      </c>
      <c r="M48" s="104" t="s">
        <v>146</v>
      </c>
      <c r="N48" s="245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37" t="s">
        <v>194</v>
      </c>
      <c r="H1" s="21"/>
      <c r="I1" s="21"/>
      <c r="J1" s="21"/>
      <c r="K1" s="21"/>
      <c r="L1" s="21"/>
      <c r="M1" s="21"/>
      <c r="N1" s="21"/>
    </row>
    <row r="2" spans="2:17" x14ac:dyDescent="0.25">
      <c r="G2" s="234" t="s">
        <v>195</v>
      </c>
      <c r="J2" s="235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146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138</v>
      </c>
      <c r="E47" s="254"/>
      <c r="F47" s="255"/>
      <c r="G47" s="70" t="s">
        <v>139</v>
      </c>
      <c r="H47" s="70"/>
      <c r="I47" s="70"/>
      <c r="J47" s="258" t="s">
        <v>140</v>
      </c>
      <c r="K47" s="35" t="s">
        <v>148</v>
      </c>
      <c r="L47" s="35"/>
      <c r="M47" s="35"/>
      <c r="N47" s="252" t="s">
        <v>149</v>
      </c>
    </row>
    <row r="48" spans="2:17" ht="15.75" x14ac:dyDescent="0.25">
      <c r="B48" s="258"/>
      <c r="C48" s="258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8"/>
      <c r="K48" s="34" t="s">
        <v>143</v>
      </c>
      <c r="L48" s="34" t="s">
        <v>111</v>
      </c>
      <c r="M48" s="34" t="s">
        <v>146</v>
      </c>
      <c r="N48" s="252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IF($J$5&lt;&gt;"",$J$5,MAX(0,NETWORKDAYS.INTL(MAX(TODAY(),DATE(YEAR(TODAY()),4,1)),EOMONTH(DATE(YEAR(TODAY()),4,1),0),11)-MAX(0,$J$3-$J$4)))</f>
        <v>0</v>
      </c>
      <c r="D3" s="79" t="s">
        <v>104</v>
      </c>
      <c r="E3" s="80">
        <f ca="1">DAY(EOMONTH(DATE(YEAR(TODAY()),4,1),0))</f>
        <v>30</v>
      </c>
      <c r="G3" s="239" t="s">
        <v>196</v>
      </c>
      <c r="J3" s="236">
        <v>0</v>
      </c>
    </row>
    <row r="4" spans="2:14" x14ac:dyDescent="0.25">
      <c r="G4" s="239" t="s">
        <v>197</v>
      </c>
      <c r="J4" s="236">
        <v>0</v>
      </c>
    </row>
    <row r="5" spans="2:14" x14ac:dyDescent="0.25">
      <c r="G5" s="239" t="s">
        <v>198</v>
      </c>
      <c r="J5" s="236"/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59" t="s">
        <v>180</v>
      </c>
      <c r="C41" s="260"/>
      <c r="D41" s="261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56" t="s">
        <v>146</v>
      </c>
      <c r="C46" s="257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  <c r="Q48"/>
      <c r="R48"/>
    </row>
    <row r="49" spans="2:18" s="148" customFormat="1" ht="33.950000000000003" customHeight="1" x14ac:dyDescent="0.25">
      <c r="B49" s="267" t="s">
        <v>41</v>
      </c>
      <c r="C49" s="267" t="s">
        <v>42</v>
      </c>
      <c r="D49" s="264" t="s">
        <v>138</v>
      </c>
      <c r="E49" s="265"/>
      <c r="F49" s="266"/>
      <c r="G49" s="149" t="s">
        <v>139</v>
      </c>
      <c r="H49" s="149"/>
      <c r="I49" s="149"/>
      <c r="J49" s="264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75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7"/>
      <c r="C50" s="267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64"/>
      <c r="K50" s="272"/>
      <c r="L50" s="272"/>
      <c r="M50" s="274"/>
      <c r="N50" s="202"/>
      <c r="O50" s="196"/>
      <c r="P50" s="276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62" t="s">
        <v>145</v>
      </c>
      <c r="C67" s="263"/>
      <c r="D67" s="263"/>
      <c r="E67" s="263"/>
      <c r="F67" s="263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8" t="s">
        <v>41</v>
      </c>
      <c r="C78" s="258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8"/>
      <c r="C79" s="258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IF($J$5&lt;&gt;"",$J$5,MAX(0,NETWORKDAYS.INTL(MAX(TODAY(),DATE(YEAR(TODAY()),5,1)),EOMONTH(DATE(YEAR(TODAY()),5,1),0),11)-MAX(0,$J$3-$J$4)))</f>
        <v>0</v>
      </c>
      <c r="D3" s="79" t="s">
        <v>104</v>
      </c>
      <c r="E3" s="80">
        <f ca="1">DAY(EOMONTH(DATE(YEAR(TODAY()),5,1),0))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7" t="s">
        <v>181</v>
      </c>
      <c r="C41" s="278"/>
      <c r="D41" s="279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0</v>
      </c>
      <c r="I43" s="218">
        <f>D43*$J$41-E43</f>
        <v>290830113.6116066</v>
      </c>
      <c r="J43" s="218">
        <f ca="1">IFERROR(I43/$C$3,0)</f>
        <v>0</v>
      </c>
      <c r="K43" s="198">
        <f>D43*$L$41-E43</f>
        <v>632794080.21160698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0</v>
      </c>
      <c r="I44" s="218">
        <f>D44*$J$41-E44</f>
        <v>481824088.50567269</v>
      </c>
      <c r="J44" s="218">
        <f ca="1">IFERROR(I44/$C$3,0)</f>
        <v>0</v>
      </c>
      <c r="K44" s="198">
        <f>D44*$L$41-E44</f>
        <v>555587329.71669078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0</v>
      </c>
      <c r="I45" s="218">
        <f>D45*$J$41-E45</f>
        <v>20623578.569499731</v>
      </c>
      <c r="J45" s="218">
        <f ca="1">IFERROR(I45/$C$3,0)</f>
        <v>0</v>
      </c>
      <c r="K45" s="198">
        <f>D45*$L$41-E45</f>
        <v>109772514.73971272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56" t="s">
        <v>146</v>
      </c>
      <c r="C46" s="257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0</v>
      </c>
      <c r="I46" s="199">
        <f>I43+I44+I45</f>
        <v>793277780.68677902</v>
      </c>
      <c r="J46" s="199">
        <f ca="1">IFERROR(I46/$C$3,0)</f>
        <v>0</v>
      </c>
      <c r="K46" s="199">
        <f>K43+K44+K45</f>
        <v>1298153924.6680105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22.5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76"/>
      <c r="P50" s="276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0</v>
      </c>
      <c r="M51" s="193">
        <f t="shared" ref="M51:M64" si="5">F51*$J$41-I51</f>
        <v>127696429.36553055</v>
      </c>
      <c r="N51" s="193">
        <f t="shared" ref="N51:N65" ca="1" si="6">IFERROR(M51/$C$3,0)</f>
        <v>0</v>
      </c>
      <c r="O51" s="198">
        <f t="shared" ref="O51:O64" si="7">F51*$L$41-I51</f>
        <v>151944123.3265633</v>
      </c>
      <c r="P51" s="198">
        <f t="shared" ref="P51:P65" ca="1" si="8">IFERROR(O51/$C$3,0)</f>
        <v>0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0</v>
      </c>
      <c r="M52" s="193">
        <f t="shared" si="5"/>
        <v>98613177.237269998</v>
      </c>
      <c r="N52" s="193">
        <f t="shared" ca="1" si="6"/>
        <v>0</v>
      </c>
      <c r="O52" s="198">
        <f t="shared" si="7"/>
        <v>135949634.98727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0</v>
      </c>
      <c r="M53" s="193">
        <f t="shared" si="5"/>
        <v>31831758.799999982</v>
      </c>
      <c r="N53" s="193">
        <f t="shared" ca="1" si="6"/>
        <v>0</v>
      </c>
      <c r="O53" s="198">
        <f t="shared" si="7"/>
        <v>43905422.199999988</v>
      </c>
      <c r="P53" s="198">
        <f t="shared" ca="1" si="8"/>
        <v>0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0</v>
      </c>
      <c r="M54" s="193">
        <f t="shared" si="5"/>
        <v>-73228422.42689395</v>
      </c>
      <c r="N54" s="193">
        <f t="shared" ca="1" si="6"/>
        <v>0</v>
      </c>
      <c r="O54" s="198">
        <f t="shared" si="7"/>
        <v>-40348707.486027122</v>
      </c>
      <c r="P54" s="198">
        <f t="shared" ca="1" si="8"/>
        <v>0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0</v>
      </c>
      <c r="M55" s="193">
        <f t="shared" si="5"/>
        <v>106397747.65194988</v>
      </c>
      <c r="N55" s="193">
        <f t="shared" ca="1" si="6"/>
        <v>0</v>
      </c>
      <c r="O55" s="198">
        <f t="shared" si="7"/>
        <v>130794377.61152613</v>
      </c>
      <c r="P55" s="198">
        <f t="shared" ca="1" si="8"/>
        <v>0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0</v>
      </c>
      <c r="M56" s="193">
        <f t="shared" si="5"/>
        <v>52929593.148810923</v>
      </c>
      <c r="N56" s="193">
        <f t="shared" ca="1" si="6"/>
        <v>0</v>
      </c>
      <c r="O56" s="198">
        <f t="shared" si="7"/>
        <v>80687504.454943657</v>
      </c>
      <c r="P56" s="198">
        <f t="shared" ca="1" si="8"/>
        <v>0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0</v>
      </c>
      <c r="M57" s="193">
        <f t="shared" si="5"/>
        <v>-77801481.735697389</v>
      </c>
      <c r="N57" s="193">
        <f t="shared" ca="1" si="6"/>
        <v>0</v>
      </c>
      <c r="O57" s="198">
        <f t="shared" si="7"/>
        <v>-25117135.668739557</v>
      </c>
      <c r="P57" s="198">
        <f t="shared" ca="1" si="8"/>
        <v>0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0</v>
      </c>
      <c r="M58" s="193">
        <f t="shared" si="5"/>
        <v>82361005.085290074</v>
      </c>
      <c r="N58" s="193">
        <f t="shared" ca="1" si="6"/>
        <v>0</v>
      </c>
      <c r="O58" s="198">
        <f t="shared" si="7"/>
        <v>110814428.23529005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0</v>
      </c>
      <c r="M59" s="193">
        <f t="shared" si="5"/>
        <v>83405456.970024943</v>
      </c>
      <c r="N59" s="193">
        <f t="shared" ca="1" si="6"/>
        <v>0</v>
      </c>
      <c r="O59" s="198">
        <f t="shared" si="7"/>
        <v>103612140.17002499</v>
      </c>
      <c r="P59" s="198">
        <f t="shared" ca="1" si="8"/>
        <v>0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0</v>
      </c>
      <c r="M60" s="193">
        <f t="shared" si="5"/>
        <v>48487862.696380615</v>
      </c>
      <c r="N60" s="193">
        <f t="shared" ca="1" si="6"/>
        <v>0</v>
      </c>
      <c r="O60" s="198">
        <f t="shared" si="7"/>
        <v>75611947.657280385</v>
      </c>
      <c r="P60" s="198">
        <f t="shared" ca="1" si="8"/>
        <v>0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0</v>
      </c>
      <c r="M61" s="193">
        <f t="shared" si="5"/>
        <v>142717597.57534701</v>
      </c>
      <c r="N61" s="193">
        <f t="shared" ca="1" si="6"/>
        <v>0</v>
      </c>
      <c r="O61" s="198">
        <f t="shared" si="7"/>
        <v>177236157.40587825</v>
      </c>
      <c r="P61" s="198">
        <f t="shared" ca="1" si="8"/>
        <v>0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0</v>
      </c>
      <c r="M62" s="193">
        <f t="shared" si="5"/>
        <v>95858969.272182167</v>
      </c>
      <c r="N62" s="193">
        <f t="shared" ca="1" si="6"/>
        <v>0</v>
      </c>
      <c r="O62" s="198">
        <f t="shared" si="7"/>
        <v>118374328.16217285</v>
      </c>
      <c r="P62" s="198">
        <f t="shared" ca="1" si="8"/>
        <v>0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0</v>
      </c>
      <c r="M63" s="193">
        <f t="shared" si="5"/>
        <v>-11052211.386640549</v>
      </c>
      <c r="N63" s="193">
        <f t="shared" ca="1" si="6"/>
        <v>0</v>
      </c>
      <c r="O63" s="198">
        <f t="shared" si="7"/>
        <v>34605682.96299541</v>
      </c>
      <c r="P63" s="198">
        <f t="shared" ca="1" si="8"/>
        <v>0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0</v>
      </c>
      <c r="M64" s="193">
        <f t="shared" si="5"/>
        <v>64436719.86372602</v>
      </c>
      <c r="N64" s="193">
        <f t="shared" ca="1" si="6"/>
        <v>0</v>
      </c>
      <c r="O64" s="198">
        <f t="shared" si="7"/>
        <v>90311505.909120381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0</v>
      </c>
      <c r="M65" s="194">
        <f>SUM(M51:M64)</f>
        <v>772654202.11728036</v>
      </c>
      <c r="N65" s="194">
        <f t="shared" ca="1" si="6"/>
        <v>0</v>
      </c>
      <c r="O65" s="199">
        <f>SUM(O51:O64)</f>
        <v>1188381409.9282987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0</v>
      </c>
      <c r="I69" s="218">
        <f>D69*$J$41-E69</f>
        <v>-27266208.811482966</v>
      </c>
      <c r="J69" s="218">
        <f t="shared" ref="J69:J74" ca="1" si="14">IFERROR(I69/$C$3,0)</f>
        <v>0</v>
      </c>
      <c r="K69" s="198">
        <f>D69*$L$41-E69</f>
        <v>-13362977.916272461</v>
      </c>
      <c r="L69" s="198">
        <f t="shared" ref="L69:L74" ca="1" si="15">IFERROR(K69/$C$3,0)</f>
        <v>0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0</v>
      </c>
      <c r="I70" s="218">
        <f>D70*$J$41-E70</f>
        <v>-39410410.397208512</v>
      </c>
      <c r="J70" s="218">
        <f t="shared" ca="1" si="14"/>
        <v>0</v>
      </c>
      <c r="K70" s="198">
        <f>D70*$L$41-E70</f>
        <v>-18529482.737882435</v>
      </c>
      <c r="L70" s="198">
        <f t="shared" ca="1" si="15"/>
        <v>0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0</v>
      </c>
      <c r="I71" s="218">
        <f>D71*$J$41-E71</f>
        <v>87300197.778191447</v>
      </c>
      <c r="J71" s="218">
        <f t="shared" ca="1" si="14"/>
        <v>0</v>
      </c>
      <c r="K71" s="198">
        <f>D71*$L$41-E71</f>
        <v>141664975.39386773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0</v>
      </c>
      <c r="I74" s="199">
        <f>SUM(I69:I73)</f>
        <v>20623578.569499969</v>
      </c>
      <c r="J74" s="199">
        <f t="shared" ca="1" si="14"/>
        <v>0</v>
      </c>
      <c r="K74" s="199">
        <f>SUM(K69:K73)</f>
        <v>109772514.73971283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8" t="s">
        <v>41</v>
      </c>
      <c r="C78" s="258" t="s">
        <v>42</v>
      </c>
      <c r="D78" s="126" t="s">
        <v>139</v>
      </c>
    </row>
    <row r="79" spans="2:16" ht="18" customHeight="1" x14ac:dyDescent="0.25">
      <c r="B79" s="258"/>
      <c r="C79" s="258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IF($J$5&lt;&gt;"",$J$5,MAX(0,NETWORKDAYS.INTL(MAX(TODAY(),DATE(YEAR(TODAY()),6,1)),EOMONTH(DATE(YEAR(TODAY()),6,1),0),11)-MAX(0,$J$3-$J$4)))</f>
        <v>0</v>
      </c>
      <c r="D3" s="79" t="s">
        <v>104</v>
      </c>
      <c r="E3" s="80">
        <f ca="1">DAY(EOMONTH(DATE(YEAR(TODAY()),6,1),0))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9" t="s">
        <v>182</v>
      </c>
      <c r="C41" s="260"/>
      <c r="D41" s="261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56" t="s">
        <v>146</v>
      </c>
      <c r="C46" s="257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19.5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76"/>
      <c r="P50" s="276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C10" sqref="C10:F27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IF($J$5&lt;&gt;"",$J$5,MAX(0,NETWORKDAYS.INTL(MAX(TODAY(),DATE(YEAR(TODAY()),7,1)),EOMONTH(DATE(YEAR(TODAY()),7,1),0),11)-MAX(0,$J$3-$J$4)))</f>
        <v>0</v>
      </c>
      <c r="D3" s="79" t="s">
        <v>104</v>
      </c>
      <c r="E3" s="80">
        <f ca="1">DAY(EOMONTH(DATE(YEAR(TODAY()),7,1),0))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15">
        <v>341819821.47863901</v>
      </c>
      <c r="D12" s="15">
        <v>43800016.100000001</v>
      </c>
      <c r="E12" s="15" t="s">
        <v>167</v>
      </c>
      <c r="F12" s="15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15">
        <v>195476199.69999999</v>
      </c>
      <c r="D20" s="15" t="s">
        <v>167</v>
      </c>
      <c r="E20" s="15">
        <v>11387387.08</v>
      </c>
      <c r="F20" s="15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15">
        <v>288524887.39999998</v>
      </c>
      <c r="D21" s="15" t="s">
        <v>167</v>
      </c>
      <c r="E21" s="15">
        <v>15855585.16</v>
      </c>
      <c r="F21" s="15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6"/>
      <c r="I22" s="116"/>
      <c r="J22" s="116"/>
    </row>
    <row r="23" spans="2:14" x14ac:dyDescent="0.25">
      <c r="B23" s="74" t="s">
        <v>126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6"/>
      <c r="I23" s="116"/>
      <c r="J23" s="116"/>
    </row>
    <row r="24" spans="2:14" x14ac:dyDescent="0.25">
      <c r="B24" s="74" t="s">
        <v>127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6"/>
      <c r="I24" s="116"/>
      <c r="J24" s="116"/>
    </row>
    <row r="25" spans="2:14" x14ac:dyDescent="0.25">
      <c r="B25" s="74" t="s">
        <v>185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6"/>
      <c r="I25" s="116"/>
      <c r="J25" s="116"/>
    </row>
    <row r="26" spans="2:14" x14ac:dyDescent="0.25">
      <c r="B26" s="74" t="s">
        <v>186</v>
      </c>
      <c r="C26" s="15">
        <v>138084633.55645701</v>
      </c>
      <c r="D26" s="15">
        <v>103844000.433377</v>
      </c>
      <c r="E26" s="15" t="s">
        <v>167</v>
      </c>
      <c r="F26" s="15">
        <v>241928633.98983401</v>
      </c>
      <c r="H26" s="116"/>
      <c r="I26" s="116"/>
      <c r="J26" s="116"/>
    </row>
    <row r="27" spans="2:14" x14ac:dyDescent="0.25">
      <c r="B27" s="74" t="s">
        <v>128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15">
        <v>603527981.52019799</v>
      </c>
      <c r="G33" s="116"/>
      <c r="H33" s="116"/>
      <c r="I33" s="116"/>
    </row>
    <row r="34" spans="2:19" x14ac:dyDescent="0.25">
      <c r="B34" s="84" t="s">
        <v>134</v>
      </c>
      <c r="C34" s="15">
        <v>132378030.09105299</v>
      </c>
      <c r="G34" s="116"/>
      <c r="H34" s="116"/>
      <c r="I34" s="116"/>
    </row>
    <row r="35" spans="2:19" x14ac:dyDescent="0.25">
      <c r="B35" s="84" t="s">
        <v>135</v>
      </c>
      <c r="C35" s="15">
        <v>506220615.42076802</v>
      </c>
      <c r="G35" s="116"/>
      <c r="H35" s="116"/>
      <c r="I35" s="116"/>
    </row>
    <row r="36" spans="2:19" x14ac:dyDescent="0.25">
      <c r="B36" s="84" t="s">
        <v>136</v>
      </c>
      <c r="C36" s="15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59" t="s">
        <v>191</v>
      </c>
      <c r="C41" s="260"/>
      <c r="D41" s="261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15.75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84"/>
      <c r="P50" s="284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2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abSelected="1" topLeftCell="A71" zoomScale="99" zoomScaleNormal="100" workbookViewId="0">
      <selection activeCell="D84" sqref="D8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IF($J$5&lt;&gt;"",$J$5,MAX(0,NETWORKDAYS.INTL(MAX(TODAY(),DATE(YEAR(TODAY()),8,1)),EOMONTH(DATE(YEAR(TODAY()),8,1),0),11)-MAX(0,$J$3-$J$4)))</f>
        <v>16</v>
      </c>
      <c r="D3" s="79" t="s">
        <v>104</v>
      </c>
      <c r="E3" s="80">
        <f ca="1">DAY(EOMONTH(DATE(YEAR(TODAY()),8,1),0))</f>
        <v>31</v>
      </c>
      <c r="G3" s="239" t="s">
        <v>196</v>
      </c>
      <c r="H3" s="116"/>
      <c r="I3" s="116"/>
      <c r="J3" s="236">
        <v>2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157646848.15705401</v>
      </c>
      <c r="N8" s="11">
        <f>D22</f>
        <v>14551625.279991001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224161028.65873301</v>
      </c>
      <c r="N9" s="11">
        <f>D13+D14</f>
        <v>44349880.468675002</v>
      </c>
    </row>
    <row r="10" spans="2:14" x14ac:dyDescent="0.25">
      <c r="B10" s="74" t="s">
        <v>113</v>
      </c>
      <c r="C10" s="240">
        <v>145663909.76783001</v>
      </c>
      <c r="D10" s="240">
        <v>15236417.759192999</v>
      </c>
      <c r="E10" s="240">
        <v>73039751.049999997</v>
      </c>
      <c r="F10" s="240">
        <v>233940078.577023</v>
      </c>
      <c r="H10" s="116"/>
      <c r="I10" s="116"/>
      <c r="J10" s="116"/>
      <c r="M10" s="11">
        <f>C15</f>
        <v>454235557.134619</v>
      </c>
      <c r="N10" s="11">
        <f>D15</f>
        <v>15558172.49993</v>
      </c>
    </row>
    <row r="11" spans="2:14" x14ac:dyDescent="0.25">
      <c r="B11" s="74" t="s">
        <v>192</v>
      </c>
      <c r="C11" s="240">
        <v>163197280.42957699</v>
      </c>
      <c r="D11" s="240">
        <v>37358987.501790002</v>
      </c>
      <c r="E11" s="240">
        <v>32789189.82</v>
      </c>
      <c r="F11" s="240">
        <v>233345457.751367</v>
      </c>
      <c r="H11" s="116"/>
      <c r="I11" s="116"/>
      <c r="J11" s="116"/>
      <c r="M11" s="11">
        <f>C12</f>
        <v>115254054.59954999</v>
      </c>
      <c r="N11" s="11">
        <f>D12</f>
        <v>2448696</v>
      </c>
    </row>
    <row r="12" spans="2:14" x14ac:dyDescent="0.25">
      <c r="B12" s="74" t="s">
        <v>192</v>
      </c>
      <c r="C12" s="240">
        <v>115254054.59954999</v>
      </c>
      <c r="D12" s="240">
        <v>2448696</v>
      </c>
      <c r="E12" s="240">
        <v>0</v>
      </c>
      <c r="F12" s="240">
        <v>117702750.59954999</v>
      </c>
      <c r="H12" s="116"/>
      <c r="I12" s="116"/>
      <c r="J12" s="116"/>
      <c r="M12" s="11">
        <f>C25+C26</f>
        <v>122674120.158867</v>
      </c>
      <c r="N12" s="11">
        <f>D25+D26</f>
        <v>49140754.746349998</v>
      </c>
    </row>
    <row r="13" spans="2:14" x14ac:dyDescent="0.25">
      <c r="B13" s="74" t="s">
        <v>70</v>
      </c>
      <c r="C13" s="240">
        <v>112088429.101469</v>
      </c>
      <c r="D13" s="240">
        <v>33046375.768693</v>
      </c>
      <c r="E13" s="240">
        <v>40113535.899999999</v>
      </c>
      <c r="F13" s="240">
        <v>185248340.77016199</v>
      </c>
      <c r="H13" s="116"/>
      <c r="I13" s="116"/>
      <c r="J13" s="116"/>
      <c r="M13" s="11">
        <f>C17</f>
        <v>396788783.07359201</v>
      </c>
      <c r="N13" s="11">
        <f>D17</f>
        <v>22608427.769977</v>
      </c>
    </row>
    <row r="14" spans="2:14" x14ac:dyDescent="0.25">
      <c r="B14" s="74" t="s">
        <v>115</v>
      </c>
      <c r="C14" s="240">
        <v>112072599.557264</v>
      </c>
      <c r="D14" s="240">
        <v>11303504.699982001</v>
      </c>
      <c r="E14" s="240">
        <v>24331306.219999999</v>
      </c>
      <c r="F14" s="240">
        <v>147707410.47724599</v>
      </c>
      <c r="H14" s="116"/>
      <c r="I14" s="116"/>
      <c r="J14" s="116"/>
      <c r="M14" s="11">
        <f>C23</f>
        <v>233965647.56898099</v>
      </c>
      <c r="N14" s="11">
        <f>D23</f>
        <v>39927113.61992</v>
      </c>
    </row>
    <row r="15" spans="2:14" x14ac:dyDescent="0.25">
      <c r="B15" s="84" t="s">
        <v>116</v>
      </c>
      <c r="C15" s="240">
        <v>454235557.134619</v>
      </c>
      <c r="D15" s="240">
        <v>15558172.49993</v>
      </c>
      <c r="E15" s="240">
        <v>171647749.2299</v>
      </c>
      <c r="F15" s="240">
        <v>641441478.86444902</v>
      </c>
      <c r="H15" s="116"/>
      <c r="I15" s="116"/>
      <c r="J15" s="116"/>
      <c r="M15" s="11">
        <f>C11</f>
        <v>163197280.42957699</v>
      </c>
      <c r="N15" s="11">
        <f>D11</f>
        <v>37358987.501790002</v>
      </c>
    </row>
    <row r="16" spans="2:14" x14ac:dyDescent="0.25">
      <c r="B16" s="74" t="s">
        <v>119</v>
      </c>
      <c r="C16" s="240">
        <v>172413643.79784101</v>
      </c>
      <c r="D16" s="240">
        <v>1135216.2149980001</v>
      </c>
      <c r="E16" s="240">
        <v>4151351.37</v>
      </c>
      <c r="F16" s="240">
        <v>177700211.38283899</v>
      </c>
      <c r="H16" s="116"/>
      <c r="I16" s="116"/>
      <c r="J16" s="116"/>
      <c r="M16" s="11">
        <f>C24</f>
        <v>256451157.05946299</v>
      </c>
      <c r="N16" s="11">
        <f>D24</f>
        <v>27809549.549996998</v>
      </c>
    </row>
    <row r="17" spans="2:14" x14ac:dyDescent="0.25">
      <c r="B17" s="74" t="s">
        <v>121</v>
      </c>
      <c r="C17" s="240">
        <v>396788783.07359201</v>
      </c>
      <c r="D17" s="240">
        <v>22608427.769977</v>
      </c>
      <c r="E17" s="240">
        <v>463235492.889965</v>
      </c>
      <c r="F17" s="240">
        <v>882632703.73353398</v>
      </c>
      <c r="H17" s="116"/>
      <c r="I17" s="116"/>
      <c r="J17" s="116"/>
      <c r="M17" s="11">
        <f>C10</f>
        <v>145663909.76783001</v>
      </c>
      <c r="N17" s="11">
        <f>D10</f>
        <v>15236417.759192999</v>
      </c>
    </row>
    <row r="18" spans="2:14" x14ac:dyDescent="0.25">
      <c r="B18" s="74" t="s">
        <v>123</v>
      </c>
      <c r="C18" s="240">
        <v>85542757.023215994</v>
      </c>
      <c r="D18" s="240">
        <v>1092000</v>
      </c>
      <c r="E18" s="240">
        <v>25951351.899999999</v>
      </c>
      <c r="F18" s="240">
        <v>112586108.923216</v>
      </c>
      <c r="H18" s="116"/>
      <c r="I18" s="116"/>
      <c r="J18" s="116"/>
      <c r="M18" s="11">
        <f>C27</f>
        <v>234270962.18378401</v>
      </c>
      <c r="N18" s="11">
        <f>D27</f>
        <v>124929548.524428</v>
      </c>
    </row>
    <row r="19" spans="2:14" x14ac:dyDescent="0.25">
      <c r="B19" s="74" t="s">
        <v>124</v>
      </c>
      <c r="C19" s="240">
        <v>18948800.5</v>
      </c>
      <c r="D19" s="240">
        <v>48228720.491529003</v>
      </c>
      <c r="E19" s="240">
        <v>35891892.619999997</v>
      </c>
      <c r="F19" s="240">
        <v>103069413.61152899</v>
      </c>
      <c r="H19" s="116"/>
      <c r="I19" s="116"/>
      <c r="J19" s="116"/>
      <c r="M19" s="11">
        <f>C18+C19</f>
        <v>104491557.52321599</v>
      </c>
      <c r="N19" s="11">
        <f>D18+D19</f>
        <v>49320720.491529003</v>
      </c>
    </row>
    <row r="20" spans="2:14" x14ac:dyDescent="0.25">
      <c r="B20" s="74" t="s">
        <v>171</v>
      </c>
      <c r="C20" s="240">
        <v>52275587</v>
      </c>
      <c r="D20" s="240">
        <v>0</v>
      </c>
      <c r="E20" s="240">
        <v>2882882.8</v>
      </c>
      <c r="F20" s="240">
        <v>55158469.799999997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40">
        <v>105651277.54000001</v>
      </c>
      <c r="D21" s="240">
        <v>0</v>
      </c>
      <c r="E21" s="240">
        <v>5225225.08</v>
      </c>
      <c r="F21" s="240">
        <v>110876502.62</v>
      </c>
      <c r="H21" s="116"/>
      <c r="I21" s="116"/>
      <c r="J21" s="116"/>
      <c r="M21" s="14">
        <f>IFERROR(C34,0)+IFERROR(C35,0)+M20</f>
        <v>298330046.79634798</v>
      </c>
      <c r="N21" s="10" t="s">
        <v>122</v>
      </c>
    </row>
    <row r="22" spans="2:14" x14ac:dyDescent="0.25">
      <c r="B22" s="74" t="s">
        <v>125</v>
      </c>
      <c r="C22" s="240">
        <v>157646848.15705401</v>
      </c>
      <c r="D22" s="240">
        <v>14551625.279991001</v>
      </c>
      <c r="E22" s="240">
        <v>256530415.049925</v>
      </c>
      <c r="F22" s="240">
        <v>428728888.48697001</v>
      </c>
      <c r="H22" s="116"/>
      <c r="I22" s="116"/>
      <c r="J22" s="116"/>
    </row>
    <row r="23" spans="2:14" x14ac:dyDescent="0.25">
      <c r="B23" s="74" t="s">
        <v>126</v>
      </c>
      <c r="C23" s="240">
        <v>233965647.56898099</v>
      </c>
      <c r="D23" s="240">
        <v>39927113.61992</v>
      </c>
      <c r="E23" s="240">
        <v>143582127.889734</v>
      </c>
      <c r="F23" s="240">
        <v>417474889.07863498</v>
      </c>
      <c r="H23" s="116"/>
      <c r="I23" s="116"/>
      <c r="J23" s="116"/>
    </row>
    <row r="24" spans="2:14" x14ac:dyDescent="0.25">
      <c r="B24" s="74" t="s">
        <v>127</v>
      </c>
      <c r="C24" s="240">
        <v>256451157.05946299</v>
      </c>
      <c r="D24" s="240">
        <v>27809549.549996998</v>
      </c>
      <c r="E24" s="240">
        <v>228603569.01975399</v>
      </c>
      <c r="F24" s="240">
        <v>512864275.62921399</v>
      </c>
      <c r="H24" s="116"/>
      <c r="I24" s="116"/>
      <c r="J24" s="116"/>
    </row>
    <row r="25" spans="2:14" x14ac:dyDescent="0.25">
      <c r="B25" s="74" t="s">
        <v>185</v>
      </c>
      <c r="C25" s="240">
        <v>80553870.652758002</v>
      </c>
      <c r="D25" s="240">
        <v>2488973</v>
      </c>
      <c r="E25" s="240">
        <v>30556675.350000001</v>
      </c>
      <c r="F25" s="240">
        <v>113599519.002758</v>
      </c>
      <c r="H25" s="116"/>
      <c r="I25" s="116"/>
      <c r="J25" s="116"/>
    </row>
    <row r="26" spans="2:14" x14ac:dyDescent="0.25">
      <c r="B26" s="74" t="s">
        <v>186</v>
      </c>
      <c r="C26" s="240">
        <v>42120249.506108999</v>
      </c>
      <c r="D26" s="240">
        <v>46651781.746349998</v>
      </c>
      <c r="E26" s="240">
        <v>0</v>
      </c>
      <c r="F26" s="240">
        <v>88772031.252459005</v>
      </c>
      <c r="H26" s="116"/>
      <c r="I26" s="116"/>
      <c r="J26" s="116"/>
    </row>
    <row r="27" spans="2:14" x14ac:dyDescent="0.25">
      <c r="B27" s="74" t="s">
        <v>128</v>
      </c>
      <c r="C27" s="240">
        <v>234270962.18378401</v>
      </c>
      <c r="D27" s="240">
        <v>124929548.524428</v>
      </c>
      <c r="E27" s="240">
        <v>4962486.5920000002</v>
      </c>
      <c r="F27" s="240">
        <v>364162997.30021203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40">
        <v>73963149.279587001</v>
      </c>
      <c r="G32" s="116"/>
      <c r="H32" s="116"/>
      <c r="I32" s="116"/>
    </row>
    <row r="33" spans="2:19" x14ac:dyDescent="0.25">
      <c r="B33" s="84" t="s">
        <v>133</v>
      </c>
      <c r="C33" s="240">
        <v>142240053.22545499</v>
      </c>
      <c r="G33" s="116"/>
      <c r="H33" s="116"/>
      <c r="I33" s="116"/>
    </row>
    <row r="34" spans="2:19" x14ac:dyDescent="0.25">
      <c r="B34" s="84" t="s">
        <v>134</v>
      </c>
      <c r="C34" s="240">
        <v>56476362.333126001</v>
      </c>
      <c r="G34" s="116"/>
      <c r="H34" s="116"/>
      <c r="I34" s="116"/>
    </row>
    <row r="35" spans="2:19" x14ac:dyDescent="0.25">
      <c r="B35" s="84" t="s">
        <v>135</v>
      </c>
      <c r="C35" s="240">
        <v>241853684.463222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9" t="s">
        <v>199</v>
      </c>
      <c r="C41" s="260"/>
      <c r="D41" s="261"/>
      <c r="E41" s="67" t="s">
        <v>138</v>
      </c>
      <c r="F41" s="185">
        <f ca="1">IF(MONTH(TODAY())=8,DAY(TODAY())/DAY(EOMONTH(TODAY(),0)),IF(MONTH(TODAY())&gt;8,1,0))</f>
        <v>0.35483870967741937</v>
      </c>
      <c r="G41" s="206" t="s">
        <v>189</v>
      </c>
      <c r="H41" s="212">
        <v>1</v>
      </c>
      <c r="I41" s="215" t="s">
        <v>189</v>
      </c>
      <c r="J41" s="213">
        <v>1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100%</v>
      </c>
      <c r="H42" s="195" t="str">
        <f>"PER HARI"&amp;CHAR(10)&amp;TEXT($H$41,"0%")</f>
        <v>PER HARI
100%</v>
      </c>
      <c r="I42" s="216" t="str">
        <f>"SELISIH"&amp;CHAR(10)&amp;TEXT($J$41,"0%")</f>
        <v>SELISIH
100%</v>
      </c>
      <c r="J42" s="217" t="str">
        <f>"PER HARI"&amp;CHAR(10)&amp;TEXT($J$41,"0%")</f>
        <v>PER HARI
100%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2766727770.8552656</v>
      </c>
      <c r="F43" s="187">
        <f>IFERROR(E43/D43,0)</f>
        <v>0.33973386260561844</v>
      </c>
      <c r="G43" s="197">
        <f>D43*$H$41-E43</f>
        <v>5377081473.3443146</v>
      </c>
      <c r="H43" s="197">
        <f ca="1">IFERROR(G43/$C$3,0)</f>
        <v>336067592.08401966</v>
      </c>
      <c r="I43" s="218">
        <f>D43*$J$41-E43</f>
        <v>5377081473.3443146</v>
      </c>
      <c r="J43" s="218">
        <f ca="1">IFERROR(I43/$C$3,0)</f>
        <v>336067592.08401966</v>
      </c>
      <c r="K43" s="198">
        <f>D43*$L$41-E43</f>
        <v>5377081473.3443146</v>
      </c>
      <c r="L43" s="198">
        <f ca="1">IFERROR(K43/$C$3,0)</f>
        <v>336067592.08401966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443239894.21177995</v>
      </c>
      <c r="F44" s="187">
        <f>IFERROR(E44/D44,0)</f>
        <v>0.3424174684242462</v>
      </c>
      <c r="G44" s="197">
        <f>D44*$H$41-E44</f>
        <v>851203103.25415957</v>
      </c>
      <c r="H44" s="197">
        <f ca="1">IFERROR(G44/$C$3,0)</f>
        <v>53200193.953384973</v>
      </c>
      <c r="I44" s="218">
        <f>D44*$J$41-E44</f>
        <v>851203103.25415957</v>
      </c>
      <c r="J44" s="218">
        <f ca="1">IFERROR(I44/$C$3,0)</f>
        <v>53200193.953384973</v>
      </c>
      <c r="K44" s="198">
        <f>D44*$L$41-E44</f>
        <v>851203103.25415957</v>
      </c>
      <c r="L44" s="198">
        <f ca="1">IFERROR(K44/$C$3,0)</f>
        <v>53200193.953384973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514533249.30138993</v>
      </c>
      <c r="F45" s="187">
        <f>IFERROR(E45/D45,0)</f>
        <v>0.27574757944316219</v>
      </c>
      <c r="G45" s="197">
        <f>D45*$H$41-E45</f>
        <v>1351424197.5071208</v>
      </c>
      <c r="H45" s="197">
        <f ca="1">IFERROR(G45/$C$3,0)</f>
        <v>84464012.344195053</v>
      </c>
      <c r="I45" s="218">
        <f>D45*$J$41-E45</f>
        <v>1351424197.5071208</v>
      </c>
      <c r="J45" s="218">
        <f ca="1">IFERROR(I45/$C$3,0)</f>
        <v>84464012.344195053</v>
      </c>
      <c r="K45" s="198">
        <f>D45*$L$41-E45</f>
        <v>1351424197.5071208</v>
      </c>
      <c r="L45" s="198">
        <f ca="1">IFERROR(K45/$C$3,0)</f>
        <v>84464012.344195053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11304209688.47403</v>
      </c>
      <c r="E46" s="47">
        <f>E43+E44+E45</f>
        <v>3724500914.3684359</v>
      </c>
      <c r="F46" s="188">
        <f>IFERROR(E46/D46,0)</f>
        <v>0.32947910707689743</v>
      </c>
      <c r="G46" s="194">
        <f>G43+G44+G45</f>
        <v>7579708774.1055956</v>
      </c>
      <c r="H46" s="194">
        <f ca="1">IFERROR(G46/$C$3,0)</f>
        <v>473731798.38159972</v>
      </c>
      <c r="I46" s="199">
        <f>I43+I44+I45</f>
        <v>7579708774.1055956</v>
      </c>
      <c r="J46" s="199">
        <f ca="1">IFERROR(I46/$C$3,0)</f>
        <v>473731798.38159972</v>
      </c>
      <c r="K46" s="199">
        <f>K43+K44+K45</f>
        <v>7579708774.1055956</v>
      </c>
      <c r="L46" s="199">
        <f ca="1">IFERROR(K46/$C$3,0)</f>
        <v>473731798.38159972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15.75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100%</v>
      </c>
      <c r="L49" s="271" t="str">
        <f>"PER HARI"&amp;CHAR(10)&amp;TEXT($H$41,"0%")</f>
        <v>PER HARI
100%</v>
      </c>
      <c r="M49" s="273" t="str">
        <f>"SELISIH"&amp;CHAR(10)&amp;TEXT($J$41,"0%")</f>
        <v>SELISIH
100%</v>
      </c>
      <c r="N49" s="273" t="str">
        <f>"PER HARI"&amp;CHAR(10)&amp;TEXT($J$41,"0%")</f>
        <v>PER HARI
100%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15.75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76"/>
      <c r="P50" s="276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157646848.15705401</v>
      </c>
      <c r="H51" s="119">
        <f>N8</f>
        <v>14551625.279991001</v>
      </c>
      <c r="I51" s="119">
        <f t="shared" ref="I51:I64" si="1">G51+H51</f>
        <v>172198473.43704501</v>
      </c>
      <c r="J51" s="200">
        <f t="shared" ref="J51:J64" si="2">IFERROR(I51/F51,0)</f>
        <v>0.3043048810399574</v>
      </c>
      <c r="K51" s="197">
        <f t="shared" ref="K51:K64" si="3">F51*$H$41-I51</f>
        <v>393676358.56880152</v>
      </c>
      <c r="L51" s="197">
        <f t="shared" ref="L51:L65" ca="1" si="4">IFERROR(K51/$C$3,0)</f>
        <v>24604772.410550095</v>
      </c>
      <c r="M51" s="193">
        <f t="shared" ref="M51:M64" si="5">F51*$J$41-I51</f>
        <v>393676358.56880152</v>
      </c>
      <c r="N51" s="193">
        <f t="shared" ref="N51:N65" ca="1" si="6">IFERROR(M51/$C$3,0)</f>
        <v>24604772.410550095</v>
      </c>
      <c r="O51" s="198">
        <f t="shared" ref="O51:O64" si="7">F51*$L$41-I51</f>
        <v>393676358.56880152</v>
      </c>
      <c r="P51" s="198">
        <f t="shared" ref="P51:P65" ca="1" si="8">IFERROR(O51/$C$3,0)</f>
        <v>24604772.410550095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224161028.65873301</v>
      </c>
      <c r="H52" s="119">
        <f>N9</f>
        <v>44349880.468675002</v>
      </c>
      <c r="I52" s="119">
        <f t="shared" si="1"/>
        <v>268510909.12740803</v>
      </c>
      <c r="J52" s="200">
        <f t="shared" si="2"/>
        <v>0.32078960879830287</v>
      </c>
      <c r="K52" s="197">
        <f t="shared" si="3"/>
        <v>568520284.41176558</v>
      </c>
      <c r="L52" s="197">
        <f t="shared" ca="1" si="4"/>
        <v>35532517.775735348</v>
      </c>
      <c r="M52" s="193">
        <f t="shared" si="5"/>
        <v>568520284.41176558</v>
      </c>
      <c r="N52" s="193">
        <f t="shared" ca="1" si="6"/>
        <v>35532517.775735348</v>
      </c>
      <c r="O52" s="198">
        <f t="shared" si="7"/>
        <v>568520284.41176558</v>
      </c>
      <c r="P52" s="198">
        <f t="shared" ca="1" si="8"/>
        <v>35532517.775735348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52275587</v>
      </c>
      <c r="H53" s="119">
        <f>IF(D20="",0,D20)</f>
        <v>0</v>
      </c>
      <c r="I53" s="119">
        <f>G53+H53</f>
        <v>52275587</v>
      </c>
      <c r="J53" s="200">
        <f>IFERROR(I53/F53,0)</f>
        <v>0.19880193841967883</v>
      </c>
      <c r="K53" s="197">
        <f t="shared" si="3"/>
        <v>210677518.06301075</v>
      </c>
      <c r="L53" s="197">
        <f t="shared" ca="1" si="4"/>
        <v>13167344.878938172</v>
      </c>
      <c r="M53" s="193">
        <f t="shared" si="5"/>
        <v>210677518.06301075</v>
      </c>
      <c r="N53" s="193">
        <f t="shared" ca="1" si="6"/>
        <v>13167344.878938172</v>
      </c>
      <c r="O53" s="198">
        <f t="shared" si="7"/>
        <v>210677518.06301075</v>
      </c>
      <c r="P53" s="198">
        <f t="shared" ca="1" si="8"/>
        <v>13167344.878938172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454235557.134619</v>
      </c>
      <c r="H54" s="119">
        <f t="shared" ref="H54:H58" si="9">N10</f>
        <v>15558172.49993</v>
      </c>
      <c r="I54" s="119">
        <f t="shared" si="1"/>
        <v>469793729.63454902</v>
      </c>
      <c r="J54" s="200">
        <f t="shared" si="2"/>
        <v>0.60370898809036944</v>
      </c>
      <c r="K54" s="197">
        <f t="shared" si="3"/>
        <v>308385391.27034867</v>
      </c>
      <c r="L54" s="197">
        <f t="shared" ca="1" si="4"/>
        <v>19274086.954396792</v>
      </c>
      <c r="M54" s="193">
        <f t="shared" si="5"/>
        <v>308385391.27034867</v>
      </c>
      <c r="N54" s="193">
        <f t="shared" ca="1" si="6"/>
        <v>19274086.954396792</v>
      </c>
      <c r="O54" s="198">
        <f t="shared" si="7"/>
        <v>308385391.27034867</v>
      </c>
      <c r="P54" s="198">
        <f t="shared" ca="1" si="8"/>
        <v>19274086.954396792</v>
      </c>
    </row>
    <row r="55" spans="2:16" x14ac:dyDescent="0.25">
      <c r="B55" s="50" t="s">
        <v>73</v>
      </c>
      <c r="C55" s="55" t="s">
        <v>193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115254054.59954999</v>
      </c>
      <c r="H55" s="119">
        <f t="shared" si="9"/>
        <v>2448696</v>
      </c>
      <c r="I55" s="119">
        <f t="shared" si="1"/>
        <v>117702750.59954999</v>
      </c>
      <c r="J55" s="200">
        <f t="shared" si="2"/>
        <v>0.21365256472037972</v>
      </c>
      <c r="K55" s="197">
        <f t="shared" si="3"/>
        <v>433204516.78380597</v>
      </c>
      <c r="L55" s="197">
        <f t="shared" ca="1" si="4"/>
        <v>27075282.298987873</v>
      </c>
      <c r="M55" s="193">
        <f t="shared" si="5"/>
        <v>433204516.78380597</v>
      </c>
      <c r="N55" s="193">
        <f t="shared" ca="1" si="6"/>
        <v>27075282.298987873</v>
      </c>
      <c r="O55" s="198">
        <f t="shared" si="7"/>
        <v>433204516.78380597</v>
      </c>
      <c r="P55" s="198">
        <f t="shared" ca="1" si="8"/>
        <v>27075282.298987873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122674120.158867</v>
      </c>
      <c r="H56" s="119">
        <f t="shared" si="9"/>
        <v>49140754.746349998</v>
      </c>
      <c r="I56" s="119">
        <f t="shared" si="1"/>
        <v>171814874.90521699</v>
      </c>
      <c r="J56" s="200">
        <f t="shared" si="2"/>
        <v>0.27426605420607991</v>
      </c>
      <c r="K56" s="197">
        <f t="shared" si="3"/>
        <v>454638425.71403331</v>
      </c>
      <c r="L56" s="197">
        <f t="shared" ca="1" si="4"/>
        <v>28414901.607127082</v>
      </c>
      <c r="M56" s="193">
        <f t="shared" si="5"/>
        <v>454638425.71403331</v>
      </c>
      <c r="N56" s="193">
        <f t="shared" ca="1" si="6"/>
        <v>28414901.607127082</v>
      </c>
      <c r="O56" s="198">
        <f t="shared" si="7"/>
        <v>454638425.71403331</v>
      </c>
      <c r="P56" s="198">
        <f t="shared" ca="1" si="8"/>
        <v>28414901.607127082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396788783.07359201</v>
      </c>
      <c r="H57" s="119">
        <f t="shared" si="9"/>
        <v>22608427.769977</v>
      </c>
      <c r="I57" s="119">
        <f t="shared" si="1"/>
        <v>419397210.84356898</v>
      </c>
      <c r="J57" s="200">
        <f t="shared" si="2"/>
        <v>0.36133395915712901</v>
      </c>
      <c r="K57" s="197">
        <f t="shared" si="3"/>
        <v>741294166.80020976</v>
      </c>
      <c r="L57" s="197">
        <f t="shared" ca="1" si="4"/>
        <v>46330885.42501311</v>
      </c>
      <c r="M57" s="193">
        <f t="shared" si="5"/>
        <v>741294166.80020976</v>
      </c>
      <c r="N57" s="193">
        <f t="shared" ca="1" si="6"/>
        <v>46330885.42501311</v>
      </c>
      <c r="O57" s="198">
        <f t="shared" si="7"/>
        <v>741294166.80020976</v>
      </c>
      <c r="P57" s="198">
        <f t="shared" ca="1" si="8"/>
        <v>46330885.42501311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233965647.56898099</v>
      </c>
      <c r="H58" s="119">
        <f t="shared" si="9"/>
        <v>39927113.61992</v>
      </c>
      <c r="I58" s="119">
        <f>G58+H58</f>
        <v>273892761.18890101</v>
      </c>
      <c r="J58" s="200">
        <f>IFERROR(I58/F58,0)</f>
        <v>0.41119594742661558</v>
      </c>
      <c r="K58" s="197">
        <f t="shared" si="3"/>
        <v>392195421.10715991</v>
      </c>
      <c r="L58" s="197">
        <f t="shared" ca="1" si="4"/>
        <v>24512213.819197495</v>
      </c>
      <c r="M58" s="193">
        <f t="shared" si="5"/>
        <v>392195421.10715991</v>
      </c>
      <c r="N58" s="193">
        <f t="shared" ca="1" si="6"/>
        <v>24512213.819197495</v>
      </c>
      <c r="O58" s="198">
        <f t="shared" si="7"/>
        <v>392195421.10715991</v>
      </c>
      <c r="P58" s="198">
        <f t="shared" ca="1" si="8"/>
        <v>24512213.819197495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105651277.54000001</v>
      </c>
      <c r="H59" s="119">
        <f>IF(D21="",0,D21)</f>
        <v>0</v>
      </c>
      <c r="I59" s="119">
        <f>G59+H59</f>
        <v>105651277.54000001</v>
      </c>
      <c r="J59" s="200">
        <f>IFERROR(I59/F59,0)</f>
        <v>0.23803550602552409</v>
      </c>
      <c r="K59" s="197">
        <f t="shared" si="3"/>
        <v>338195438.03641999</v>
      </c>
      <c r="L59" s="197">
        <f t="shared" ca="1" si="4"/>
        <v>21137214.877276249</v>
      </c>
      <c r="M59" s="193">
        <f t="shared" si="5"/>
        <v>338195438.03641999</v>
      </c>
      <c r="N59" s="193">
        <f t="shared" ca="1" si="6"/>
        <v>21137214.877276249</v>
      </c>
      <c r="O59" s="198">
        <f t="shared" si="7"/>
        <v>338195438.03641999</v>
      </c>
      <c r="P59" s="198">
        <f t="shared" ca="1" si="8"/>
        <v>21137214.877276249</v>
      </c>
    </row>
    <row r="60" spans="2:16" x14ac:dyDescent="0.25">
      <c r="B60" s="53" t="s">
        <v>80</v>
      </c>
      <c r="C60" s="56" t="s">
        <v>193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163197280.42957699</v>
      </c>
      <c r="H60" s="119">
        <f t="shared" ref="H60:H64" si="10">N15</f>
        <v>37358987.501790002</v>
      </c>
      <c r="I60" s="119">
        <f t="shared" si="1"/>
        <v>200556267.93136698</v>
      </c>
      <c r="J60" s="200">
        <f t="shared" si="2"/>
        <v>0.31799322725095841</v>
      </c>
      <c r="K60" s="197">
        <f t="shared" si="3"/>
        <v>430137252.38404888</v>
      </c>
      <c r="L60" s="197">
        <f t="shared" ca="1" si="4"/>
        <v>26883578.274003055</v>
      </c>
      <c r="M60" s="193">
        <f t="shared" si="5"/>
        <v>430137252.38404888</v>
      </c>
      <c r="N60" s="193">
        <f t="shared" ca="1" si="6"/>
        <v>26883578.274003055</v>
      </c>
      <c r="O60" s="198">
        <f t="shared" si="7"/>
        <v>430137252.38404888</v>
      </c>
      <c r="P60" s="198">
        <f t="shared" ca="1" si="8"/>
        <v>26883578.274003055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256451157.05946299</v>
      </c>
      <c r="H61" s="119">
        <f t="shared" si="10"/>
        <v>27809549.549996998</v>
      </c>
      <c r="I61" s="119">
        <f t="shared" si="1"/>
        <v>284260706.60946</v>
      </c>
      <c r="J61" s="200">
        <f t="shared" si="2"/>
        <v>0.3700828857457612</v>
      </c>
      <c r="K61" s="197">
        <f t="shared" si="3"/>
        <v>483839407.06275356</v>
      </c>
      <c r="L61" s="197">
        <f t="shared" ca="1" si="4"/>
        <v>30239962.941422097</v>
      </c>
      <c r="M61" s="193">
        <f t="shared" si="5"/>
        <v>483839407.06275356</v>
      </c>
      <c r="N61" s="193">
        <f t="shared" ca="1" si="6"/>
        <v>30239962.941422097</v>
      </c>
      <c r="O61" s="198">
        <f t="shared" si="7"/>
        <v>483839407.06275356</v>
      </c>
      <c r="P61" s="198">
        <f t="shared" ca="1" si="8"/>
        <v>30239962.941422097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145663909.76783001</v>
      </c>
      <c r="H62" s="119">
        <f t="shared" si="10"/>
        <v>15236417.759192999</v>
      </c>
      <c r="I62" s="119">
        <f t="shared" si="1"/>
        <v>160900327.52702302</v>
      </c>
      <c r="J62" s="200">
        <f t="shared" si="2"/>
        <v>0.30442955764032942</v>
      </c>
      <c r="K62" s="197">
        <f t="shared" si="3"/>
        <v>367630242.15281051</v>
      </c>
      <c r="L62" s="197">
        <f t="shared" ca="1" si="4"/>
        <v>22976890.134550657</v>
      </c>
      <c r="M62" s="193">
        <f t="shared" si="5"/>
        <v>367630242.15281051</v>
      </c>
      <c r="N62" s="193">
        <f t="shared" ca="1" si="6"/>
        <v>22976890.134550657</v>
      </c>
      <c r="O62" s="198">
        <f t="shared" si="7"/>
        <v>367630242.15281051</v>
      </c>
      <c r="P62" s="198">
        <f t="shared" ca="1" si="8"/>
        <v>22976890.134550657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234270962.18378401</v>
      </c>
      <c r="H63" s="119">
        <f t="shared" si="10"/>
        <v>124929548.524428</v>
      </c>
      <c r="I63" s="119">
        <f t="shared" si="1"/>
        <v>359200510.70821202</v>
      </c>
      <c r="J63" s="200">
        <f t="shared" si="2"/>
        <v>0.34857547383647564</v>
      </c>
      <c r="K63" s="197">
        <f t="shared" si="3"/>
        <v>671280798.70462644</v>
      </c>
      <c r="L63" s="197">
        <f t="shared" ca="1" si="4"/>
        <v>41955049.919039153</v>
      </c>
      <c r="M63" s="193">
        <f t="shared" si="5"/>
        <v>671280798.70462644</v>
      </c>
      <c r="N63" s="193">
        <f t="shared" ca="1" si="6"/>
        <v>41955049.919039153</v>
      </c>
      <c r="O63" s="198">
        <f t="shared" si="7"/>
        <v>671280798.70462644</v>
      </c>
      <c r="P63" s="198">
        <f t="shared" ca="1" si="8"/>
        <v>41955049.919039153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104491557.52321599</v>
      </c>
      <c r="H64" s="119">
        <f t="shared" si="10"/>
        <v>49320720.491529003</v>
      </c>
      <c r="I64" s="119">
        <f t="shared" si="1"/>
        <v>153812278.014745</v>
      </c>
      <c r="J64" s="200">
        <f t="shared" si="2"/>
        <v>0.26139806771869883</v>
      </c>
      <c r="K64" s="197">
        <f t="shared" si="3"/>
        <v>434609355.53867781</v>
      </c>
      <c r="L64" s="197">
        <f t="shared" ca="1" si="4"/>
        <v>27163084.721167363</v>
      </c>
      <c r="M64" s="193">
        <f t="shared" si="5"/>
        <v>434609355.53867781</v>
      </c>
      <c r="N64" s="193">
        <f t="shared" ca="1" si="6"/>
        <v>27163084.721167363</v>
      </c>
      <c r="O64" s="198">
        <f t="shared" si="7"/>
        <v>434609355.53867781</v>
      </c>
      <c r="P64" s="198">
        <f t="shared" ca="1" si="8"/>
        <v>27163084.721167363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2766727770.8552656</v>
      </c>
      <c r="H65" s="144">
        <f>SUM(H51:H64)</f>
        <v>443239894.21177995</v>
      </c>
      <c r="I65" s="144">
        <f>SUM(I51:I64)</f>
        <v>3209967665.0670452</v>
      </c>
      <c r="J65" s="203">
        <f>IFERROR(I65/F65,0)</f>
        <v>0.34010191536273238</v>
      </c>
      <c r="K65" s="194">
        <f>SUM(K51:K64)</f>
        <v>6228284576.5984726</v>
      </c>
      <c r="L65" s="194">
        <f t="shared" ca="1" si="4"/>
        <v>389267786.03740454</v>
      </c>
      <c r="M65" s="194">
        <f>SUM(M51:M64)</f>
        <v>6228284576.5984726</v>
      </c>
      <c r="N65" s="194">
        <f t="shared" ca="1" si="6"/>
        <v>389267786.03740454</v>
      </c>
      <c r="O65" s="199">
        <f>SUM(O51:O64)</f>
        <v>6228284576.5984726</v>
      </c>
      <c r="P65" s="199">
        <f t="shared" ca="1" si="8"/>
        <v>389267786.03740454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100%</v>
      </c>
      <c r="H68" s="195" t="str">
        <f>"PER HARI"&amp;CHAR(10)&amp;TEXT($H$41,"0%")</f>
        <v>PER HARI
100%</v>
      </c>
      <c r="I68" s="216" t="str">
        <f>"SELISIH"&amp;CHAR(10)&amp;TEXT($J$41,"0%")</f>
        <v>SELISIH
100%</v>
      </c>
      <c r="J68" s="217" t="str">
        <f>"PER HARI"&amp;CHAR(10)&amp;TEXT($J$41,"0%")</f>
        <v>PER HARI
100%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73963149.279587001</v>
      </c>
      <c r="F69" s="200">
        <f t="shared" ref="F69:F74" si="12">IFERROR(E69/D69,0)</f>
        <v>0.2481139997855509</v>
      </c>
      <c r="G69" s="197">
        <f>D69*$H$41-E69</f>
        <v>224138325.62112233</v>
      </c>
      <c r="H69" s="197">
        <f t="shared" ref="H69:H74" ca="1" si="13">IFERROR(G69/$C$3,0)</f>
        <v>14008645.351320146</v>
      </c>
      <c r="I69" s="218">
        <f>D69*$J$41-E69</f>
        <v>224138325.62112233</v>
      </c>
      <c r="J69" s="218">
        <f t="shared" ref="J69:J74" ca="1" si="14">IFERROR(I69/$C$3,0)</f>
        <v>14008645.351320146</v>
      </c>
      <c r="K69" s="198">
        <f>D69*$L$41-E69</f>
        <v>224138325.62112233</v>
      </c>
      <c r="L69" s="198">
        <f t="shared" ref="L69:L74" ca="1" si="15">IFERROR(K69/$C$3,0)</f>
        <v>14008645.351320146</v>
      </c>
    </row>
    <row r="70" spans="2:16" x14ac:dyDescent="0.25">
      <c r="B70" s="53" t="s">
        <v>94</v>
      </c>
      <c r="C70" s="56" t="s">
        <v>99</v>
      </c>
      <c r="D70" s="122">
        <f>TARGETS!K23</f>
        <v>441402383.90070933</v>
      </c>
      <c r="E70" s="119">
        <f>IFERROR(C33,0)</f>
        <v>142240053.22545499</v>
      </c>
      <c r="F70" s="200">
        <f t="shared" si="12"/>
        <v>0.32224577486072431</v>
      </c>
      <c r="G70" s="197">
        <f>D70*$H$41-E70</f>
        <v>299162330.67525434</v>
      </c>
      <c r="H70" s="197">
        <f t="shared" ca="1" si="13"/>
        <v>18697645.667203397</v>
      </c>
      <c r="I70" s="218">
        <f>D70*$J$41-E70</f>
        <v>299162330.67525434</v>
      </c>
      <c r="J70" s="218">
        <f t="shared" ca="1" si="14"/>
        <v>18697645.667203397</v>
      </c>
      <c r="K70" s="198">
        <f>D70*$L$41-E70</f>
        <v>299162330.67525434</v>
      </c>
      <c r="L70" s="198">
        <f t="shared" ca="1" si="15"/>
        <v>18697645.667203397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298330046.79634798</v>
      </c>
      <c r="F71" s="200">
        <f t="shared" si="12"/>
        <v>0.26484006973083535</v>
      </c>
      <c r="G71" s="197">
        <f>D71*$H$41-E71</f>
        <v>828123541.21074426</v>
      </c>
      <c r="H71" s="197">
        <f t="shared" ca="1" si="13"/>
        <v>51757721.325671516</v>
      </c>
      <c r="I71" s="218">
        <f>D71*$J$41-E71</f>
        <v>828123541.21074426</v>
      </c>
      <c r="J71" s="218">
        <f t="shared" ca="1" si="14"/>
        <v>51757721.325671516</v>
      </c>
      <c r="K71" s="198">
        <f>D71*$L$41-E71</f>
        <v>828123541.21074426</v>
      </c>
      <c r="L71" s="198">
        <f t="shared" ca="1" si="15"/>
        <v>51757721.325671516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514533249.30138993</v>
      </c>
      <c r="F74" s="188">
        <f t="shared" si="12"/>
        <v>0.27574757944316219</v>
      </c>
      <c r="G74" s="194">
        <f>SUM(G69:G73)</f>
        <v>1351424197.5071211</v>
      </c>
      <c r="H74" s="194">
        <f t="shared" ca="1" si="13"/>
        <v>84464012.344195068</v>
      </c>
      <c r="I74" s="199">
        <f>SUM(I69:I73)</f>
        <v>1351424197.5071211</v>
      </c>
      <c r="J74" s="199">
        <f t="shared" ca="1" si="14"/>
        <v>84464012.344195068</v>
      </c>
      <c r="K74" s="199">
        <f>SUM(K69:K73)</f>
        <v>1351424197.5071211</v>
      </c>
      <c r="L74" s="199">
        <f t="shared" ca="1" si="15"/>
        <v>84464012.344195068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256530415.049925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64444842.119999997</v>
      </c>
    </row>
    <row r="82" spans="2:4" x14ac:dyDescent="0.25">
      <c r="B82" s="53" t="s">
        <v>174</v>
      </c>
      <c r="C82" s="56" t="s">
        <v>175</v>
      </c>
      <c r="D82" s="141">
        <f>IF(E20="",0,E20)</f>
        <v>2882882.8</v>
      </c>
    </row>
    <row r="83" spans="2:4" x14ac:dyDescent="0.25">
      <c r="B83" s="50" t="s">
        <v>71</v>
      </c>
      <c r="C83" s="55" t="s">
        <v>72</v>
      </c>
      <c r="D83" s="140">
        <f>IF(E15="",0,E15)</f>
        <v>171647749.2299</v>
      </c>
    </row>
    <row r="84" spans="2:4" x14ac:dyDescent="0.25">
      <c r="B84" s="53" t="s">
        <v>73</v>
      </c>
      <c r="C84" s="56" t="s">
        <v>193</v>
      </c>
      <c r="D84" s="141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30556675.350000001</v>
      </c>
    </row>
    <row r="86" spans="2:4" x14ac:dyDescent="0.25">
      <c r="B86" s="53" t="s">
        <v>76</v>
      </c>
      <c r="C86" s="56" t="s">
        <v>77</v>
      </c>
      <c r="D86" s="141">
        <f>IF(E17="",0,E17)</f>
        <v>463235492.889965</v>
      </c>
    </row>
    <row r="87" spans="2:4" x14ac:dyDescent="0.25">
      <c r="B87" s="50" t="s">
        <v>78</v>
      </c>
      <c r="C87" s="55" t="s">
        <v>79</v>
      </c>
      <c r="D87" s="140">
        <f>IF(E23="",0,E23)</f>
        <v>143582127.889734</v>
      </c>
    </row>
    <row r="88" spans="2:4" x14ac:dyDescent="0.25">
      <c r="B88" s="53" t="s">
        <v>174</v>
      </c>
      <c r="C88" s="56" t="s">
        <v>176</v>
      </c>
      <c r="D88" s="141">
        <f>IF(E21="",0,E21)</f>
        <v>5225225.08</v>
      </c>
    </row>
    <row r="89" spans="2:4" x14ac:dyDescent="0.25">
      <c r="B89" s="53" t="s">
        <v>80</v>
      </c>
      <c r="C89" s="56" t="s">
        <v>193</v>
      </c>
      <c r="D89" s="141">
        <f>IF(E11="",0,E11)</f>
        <v>32789189.82</v>
      </c>
    </row>
    <row r="90" spans="2:4" x14ac:dyDescent="0.25">
      <c r="B90" s="50" t="s">
        <v>82</v>
      </c>
      <c r="C90" s="55" t="s">
        <v>83</v>
      </c>
      <c r="D90" s="140">
        <f>IF(E24="",0,E24)</f>
        <v>228603569.01975399</v>
      </c>
    </row>
    <row r="91" spans="2:4" x14ac:dyDescent="0.25">
      <c r="B91" s="53" t="s">
        <v>84</v>
      </c>
      <c r="C91" s="56" t="s">
        <v>85</v>
      </c>
      <c r="D91" s="141">
        <f>IF(E10="",0,E10)</f>
        <v>73039751.049999997</v>
      </c>
    </row>
    <row r="92" spans="2:4" x14ac:dyDescent="0.25">
      <c r="B92" s="50" t="s">
        <v>86</v>
      </c>
      <c r="C92" s="55" t="s">
        <v>87</v>
      </c>
      <c r="D92" s="140">
        <f>IF(E27="",0,E27)</f>
        <v>4962486.5920000002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61843244.519999996</v>
      </c>
    </row>
    <row r="94" spans="2:4" x14ac:dyDescent="0.25">
      <c r="B94" s="57" t="s">
        <v>152</v>
      </c>
      <c r="C94" s="58"/>
      <c r="D94" s="125">
        <f>SUM(D80:D93)</f>
        <v>1539343651.4112778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IF($J$5&lt;&gt;"",$J$5,MAX(0,NETWORKDAYS.INTL(MAX(TODAY(),DATE(YEAR(TODAY()),9,1)),EOMONTH(DATE(YEAR(TODAY()),9,1),0),11)-MAX(0,$J$3-$J$4)))</f>
        <v>26</v>
      </c>
      <c r="D3" s="79" t="s">
        <v>104</v>
      </c>
      <c r="E3" s="80">
        <f ca="1">DAY(EOMONTH(DATE(YEAR(TODAY()),9,1),0))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9" t="s">
        <v>163</v>
      </c>
      <c r="C41" s="260"/>
      <c r="D41" s="261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15.75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15.75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76"/>
      <c r="P50" s="276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IF($J$5&lt;&gt;"",$J$5,MAX(0,NETWORKDAYS.INTL(MAX(TODAY(),DATE(YEAR(TODAY()),10,1)),EOMONTH(DATE(YEAR(TODAY()),10,1),0),11)-MAX(0,$J$3-$J$4)))</f>
        <v>27</v>
      </c>
      <c r="D3" s="79" t="s">
        <v>104</v>
      </c>
      <c r="E3" s="80">
        <f ca="1">DAY(EOMONTH(DATE(YEAR(TODAY()),10,1),0))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9" t="s">
        <v>165</v>
      </c>
      <c r="C41" s="260"/>
      <c r="D41" s="261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51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76"/>
      <c r="P50" s="276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IF($J$5&lt;&gt;"",$J$5,MAX(0,NETWORKDAYS.INTL(MAX(TODAY(),DATE(YEAR(TODAY()),11,1)),EOMONTH(DATE(YEAR(TODAY()),11,1),0),11)-MAX(0,$J$3-$J$4)))</f>
        <v>25</v>
      </c>
      <c r="D3" s="79" t="s">
        <v>104</v>
      </c>
      <c r="E3" s="80">
        <f ca="1">DAY(EOMONTH(DATE(YEAR(TODAY()),11,1),0))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9" t="s">
        <v>177</v>
      </c>
      <c r="C41" s="260"/>
      <c r="D41" s="261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51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76"/>
      <c r="P50" s="276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IF($J$5&lt;&gt;"",$J$5,MAX(0,NETWORKDAYS.INTL(MAX(TODAY(),DATE(YEAR(TODAY()),12,1)),EOMONTH(DATE(YEAR(TODAY()),12,1),0),11)-MAX(0,$J$3-$J$4)))</f>
        <v>27</v>
      </c>
      <c r="D3" s="79" t="s">
        <v>104</v>
      </c>
      <c r="E3" s="80">
        <f ca="1">DAY(EOMONTH(DATE(YEAR(TODAY()),12,1),0))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9" t="s">
        <v>179</v>
      </c>
      <c r="C41" s="260"/>
      <c r="D41" s="261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2" t="s">
        <v>147</v>
      </c>
      <c r="C48" s="263"/>
      <c r="D48" s="263"/>
      <c r="E48" s="263"/>
      <c r="F48" s="263"/>
      <c r="G48" s="263"/>
      <c r="H48" s="263"/>
      <c r="I48" s="263"/>
      <c r="J48" s="263"/>
      <c r="K48" s="268" t="s">
        <v>188</v>
      </c>
      <c r="L48" s="269"/>
      <c r="M48" s="269"/>
      <c r="N48" s="269"/>
      <c r="O48" s="269"/>
      <c r="P48" s="270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51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72"/>
      <c r="L50" s="272"/>
      <c r="M50" s="274"/>
      <c r="N50" s="274"/>
      <c r="O50" s="276"/>
      <c r="P50" s="276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80" t="s">
        <v>145</v>
      </c>
      <c r="C67" s="281"/>
      <c r="D67" s="281"/>
      <c r="E67" s="281"/>
      <c r="F67" s="28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2026-08-11T00:54:30Z</dcterms:modified>
  <dc:language>en-US</dc:language>
</cp:coreProperties>
</file>