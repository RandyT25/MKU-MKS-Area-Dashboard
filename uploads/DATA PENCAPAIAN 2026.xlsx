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1" i="8" l="1"/>
  <c r="D72" i="8"/>
  <c r="D73" i="8"/>
  <c r="D74" i="8"/>
  <c r="D76" i="8"/>
  <c r="D77" i="8"/>
  <c r="D78" i="8"/>
  <c r="D79" i="8"/>
  <c r="D80" i="8"/>
  <c r="D81" i="8"/>
  <c r="D82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F61" i="8" s="1"/>
  <c r="E60" i="8"/>
  <c r="E59" i="8"/>
  <c r="E58" i="8"/>
  <c r="F58" i="8" s="1"/>
  <c r="E57" i="8"/>
  <c r="E56" i="8"/>
  <c r="E55" i="8"/>
  <c r="E54" i="8"/>
  <c r="E53" i="8"/>
  <c r="E52" i="8"/>
  <c r="E51" i="8"/>
  <c r="D64" i="8"/>
  <c r="D63" i="8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E89" i="8"/>
  <c r="G89" i="8" s="1"/>
  <c r="D70" i="8"/>
  <c r="F64" i="8"/>
  <c r="F63" i="8"/>
  <c r="H59" i="8"/>
  <c r="G59" i="8"/>
  <c r="K59" i="8" s="1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K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90" i="8" l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<sst xmlns="http://schemas.openxmlformats.org/spreadsheetml/2006/main" count="1878" uniqueCount="185">
  <si>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</si>
  <si>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</si>
  <si>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</si>
  <si>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</si>
  <si>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</si>
  <si>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</si>
  <si>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</si>
  <si>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</si>
  <si>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</si>
  <si>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</si>
  <si>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</si>
  <si>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</si>
  <si>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</si>
  <si>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</si>
  <si>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</si>
  <si>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</si>
  <si>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</si>
  <si>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</si>
  <si>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</si>
  <si>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</si>
  <si>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</si>
  <si>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</si>
  <si>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</si>
  <si>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</si>
  <si>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</si>
  <si>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</si>
  <si>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</si>
  <si>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</si>
  <si>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</si>
  <si>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</si>
  <si>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</si>
  <si>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</si>
  <si>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</si>
  <si>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</si>
  <si>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</si>
  <si>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</si>
  <si>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</si>
  <si>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</si>
  <si>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</si>
  <si>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</si>
  <si>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</si>
  <si>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</si>
  <si>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</si>
  <si>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</si>
  <si>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</si>
  <si>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</si>
  <si>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</si>
  <si>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</si>
  <si>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</si>
  <si>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</si>
  <si>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</si>
  <si>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</si>
  <si>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</si>
  <si>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</si>
  <si>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</si>
  <si>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</si>
  <si>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</si>
  <si>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</si>
  <si>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</si>
  <si>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</si>
  <si>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</si>
  <si>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</si>
  <si>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</si>
  <si>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</si>
  <si>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</si>
  <si>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</si>
  <si>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</si>
  <si>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</si>
  <si>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</si>
  <si>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</si>
  <si>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</si>
  <si>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</si>
  <si>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</si>
  <si>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</si>
  <si>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</si>
  <si>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</si>
  <si>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</si>
  <si>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</si>
  <si>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</si>
  <si>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</si>
  <si>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</si>
  <si>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</si>
  <si>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</si>
  <si>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</si>
  <si>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</si>
  <si>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</si>
  <si>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</si>
  <si>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</si>
  <si>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</si>
  <si>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</si>
  <si>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</si>
  <si>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</si>
  <si>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</si>
  <si>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</si>
  <si>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</si>
  <si>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</si>
  <si>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</si>
  <si>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</si>
  <si>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</si>
  <si>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</si>
  <si>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</si>
  <si>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</si>
  <si>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</si>
  <si>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</si>
  <si>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</si>
  <si>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</si>
  <si>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</si>
  <si>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</si>
  <si>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</si>
  <si>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</si>
  <si>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</si>
  <si>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</si>
  <si>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</si>
  <si>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</si>
  <si>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</si>
  <si>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</si>
  <si>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</si>
  <si>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</si>
  <si>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</si>
  <si>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</si>
  <si>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</si>
  <si>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</si>
  <si>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</si>
  <si>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</si>
  <si>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</si>
  <si>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</si>
  <si>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</si>
  <si>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</si>
  <si>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</si>
  <si>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</si>
  <si>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</si>
  <si>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</si>
  <si>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</si>
  <si>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</si>
  <si>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</si>
  <si>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</si>
  <si>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</si>
  <si>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</si>
  <si>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</si>
  <si>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</si>
  <si>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</si>
  <si>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</si>
  <si>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</si>
  <si>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</si>
  <si>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</si>
  <si>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</si>
  <si>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</si>
  <si>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</si>
  <si>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</si>
  <si>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</si>
  <si>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</si>
  <si>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</si>
  <si>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</si>
  <si>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</si>
  <si>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</si>
  <si>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</si>
  <si>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</si>
  <si>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</si>
  <si>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</si>
  <si>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</si>
  <si>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</si>
  <si>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</si>
  <si>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</si>
  <si>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</si>
  <si>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</si>
  <si>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</si>
  <si>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</si>
  <si>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</si>
  <si>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</si>
  <si>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</si>
  <si>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</si>
  <si>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</si>
  <si>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</si>
  <si>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</si>
  <si>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</si>
  <si>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</si>
  <si>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</si>
  <si>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</si>
  <si>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</si>
  <si>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</si>
  <si>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</si>
  <si>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</si>
  <si>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</si>
  <si>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</si>
  <si>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05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</si>
</sst>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33" zoomScaleNormal="100" workbookViewId="0">
      <selection activeCell="B41" sqref="B41:D41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22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183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28763367.282345772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25253969.532576855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4989659.7608960327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59006996.575818658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6906551.060298332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6179528.863057727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1995701.0090909086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-1834032.1584557781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5945198.982342097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3667613.8388610752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-1141687.9849427072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5037019.4652404571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4709642.7350011356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3436906.7116945628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8056188.9729944654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5380651.2800987661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1572985.589227064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4105068.4504145626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54017336.814922668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-607408.08710329374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-842249.21535829257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6439317.0633576242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4989659.7608960383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22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81414157.224280998</v>
      </c>
      <c r="N8" s="11">
        <f>D24</f>
        <v>22378576.639989998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128198477.063154</v>
      </c>
      <c r="N9" s="11">
        <f>D12+D13</f>
        <v>26460601.666076999</v>
      </c>
    </row>
    <row r="10" spans="2:14" x14ac:dyDescent="0.25">
      <c r="B10" s="74" t="s">
        <v>113</v>
      </c>
      <c r="C10" s="205">
        <v>58290237.251025997</v>
      </c>
      <c r="D10" s="205">
        <v>10524671.691799</v>
      </c>
      <c r="E10" s="205">
        <v>27427197.370000001</v>
      </c>
      <c r="F10" s="205">
        <v>96242106.312824994</v>
      </c>
      <c r="H10" s="116"/>
      <c r="I10" s="116"/>
      <c r="J10" s="116"/>
      <c r="M10" s="11">
        <f>C14</f>
        <v>188735680.79965001</v>
      </c>
      <c r="N10" s="11">
        <f>D14</f>
        <v>5076049.4275939995</v>
      </c>
    </row>
    <row r="11" spans="2:14" x14ac:dyDescent="0.25">
      <c r="B11" s="74" t="s">
        <v>114</v>
      </c>
      <c r="C11" s="205">
        <v>93761492.889708996</v>
      </c>
      <c r="D11" s="205">
        <v>18421257.544438001</v>
      </c>
      <c r="E11" s="205" t="s">
        <v>168</v>
      </c>
      <c r="F11" s="205">
        <v>112182750.434147</v>
      </c>
      <c r="H11" s="116"/>
      <c r="I11" s="116"/>
      <c r="J11" s="116"/>
      <c r="M11" s="11">
        <f>C17</f>
        <v>39283783.140000001</v>
      </c>
      <c r="N11" s="11">
        <f>D17</f>
        <v>3925392</v>
      </c>
    </row>
    <row r="12" spans="2:14" x14ac:dyDescent="0.25">
      <c r="B12" s="74" t="s">
        <v>70</v>
      </c>
      <c r="C12" s="205">
        <v>64165359.283730999</v>
      </c>
      <c r="D12" s="205">
        <v>23569628.696082</v>
      </c>
      <c r="E12" s="205">
        <v>1859459.44</v>
      </c>
      <c r="F12" s="205">
        <v>89594447.419813007</v>
      </c>
      <c r="H12" s="116"/>
      <c r="I12" s="116"/>
      <c r="J12" s="116"/>
      <c r="M12" s="11">
        <f>C16</f>
        <v>141386234.56545201</v>
      </c>
      <c r="N12" s="11">
        <f>D16</f>
        <v>33458193.469863001</v>
      </c>
    </row>
    <row r="13" spans="2:14" x14ac:dyDescent="0.25">
      <c r="B13" s="74" t="s">
        <v>115</v>
      </c>
      <c r="C13" s="205">
        <v>64033117.779422998</v>
      </c>
      <c r="D13" s="205">
        <v>2890972.9699949999</v>
      </c>
      <c r="E13" s="205">
        <v>4570360.28</v>
      </c>
      <c r="F13" s="205">
        <v>71494451.029418007</v>
      </c>
      <c r="H13" s="116"/>
      <c r="I13" s="116"/>
      <c r="J13" s="116"/>
      <c r="M13" s="11">
        <f>C19</f>
        <v>173025435.4937</v>
      </c>
      <c r="N13" s="11">
        <f>D19</f>
        <v>27394821.109944001</v>
      </c>
    </row>
    <row r="14" spans="2:14" x14ac:dyDescent="0.25">
      <c r="B14" s="74" t="s">
        <v>116</v>
      </c>
      <c r="C14" s="205">
        <v>188735680.79965001</v>
      </c>
      <c r="D14" s="205">
        <v>5076049.4275939995</v>
      </c>
      <c r="E14" s="205">
        <v>43971171.439999998</v>
      </c>
      <c r="F14" s="205">
        <v>237782901.66724399</v>
      </c>
      <c r="H14" s="116"/>
      <c r="I14" s="116"/>
      <c r="J14" s="116"/>
      <c r="M14" s="11">
        <f>C25</f>
        <v>94384464.072352007</v>
      </c>
      <c r="N14" s="11">
        <f>D25</f>
        <v>14537892.899995999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93761492.889708996</v>
      </c>
      <c r="N15" s="11">
        <f>D11</f>
        <v>18421257.544438001</v>
      </c>
    </row>
    <row r="16" spans="2:14" x14ac:dyDescent="0.25">
      <c r="B16" s="74" t="s">
        <v>74</v>
      </c>
      <c r="C16" s="205">
        <v>141386234.56545201</v>
      </c>
      <c r="D16" s="205">
        <v>33458193.469863001</v>
      </c>
      <c r="E16" s="205">
        <v>7963693.5999999996</v>
      </c>
      <c r="F16" s="205">
        <v>182808121.635315</v>
      </c>
      <c r="H16" s="116"/>
      <c r="I16" s="116"/>
      <c r="J16" s="116"/>
      <c r="M16" s="11">
        <f>C26</f>
        <v>117382243.771851</v>
      </c>
      <c r="N16" s="11">
        <f>D26</f>
        <v>10307464.799968001</v>
      </c>
    </row>
    <row r="17" spans="2:14" x14ac:dyDescent="0.25">
      <c r="B17" s="74" t="s">
        <v>118</v>
      </c>
      <c r="C17" s="205">
        <v>39283783.140000001</v>
      </c>
      <c r="D17" s="205">
        <v>3925392</v>
      </c>
      <c r="E17" s="205" t="s">
        <v>168</v>
      </c>
      <c r="F17" s="205">
        <v>43209175.140000001</v>
      </c>
      <c r="H17" s="116"/>
      <c r="I17" s="116"/>
      <c r="J17" s="116"/>
      <c r="M17" s="11">
        <f>C10</f>
        <v>58290237.251025997</v>
      </c>
      <c r="N17" s="11">
        <f>D10</f>
        <v>10524671.691799</v>
      </c>
    </row>
    <row r="18" spans="2:14" x14ac:dyDescent="0.25">
      <c r="B18" s="74" t="s">
        <v>119</v>
      </c>
      <c r="C18" s="205">
        <v>127815836.09394801</v>
      </c>
      <c r="D18" s="205">
        <v>297297.3</v>
      </c>
      <c r="E18" s="205">
        <v>6237837.7599999998</v>
      </c>
      <c r="F18" s="205">
        <v>134350971.15394801</v>
      </c>
      <c r="H18" s="116"/>
      <c r="I18" s="116"/>
      <c r="J18" s="116"/>
      <c r="M18" s="11">
        <f>C27</f>
        <v>210565565.854633</v>
      </c>
      <c r="N18" s="11">
        <f>D27</f>
        <v>7459839.1200000001</v>
      </c>
    </row>
    <row r="19" spans="2:14" x14ac:dyDescent="0.25">
      <c r="B19" s="74" t="s">
        <v>121</v>
      </c>
      <c r="C19" s="205">
        <v>173025435.4937</v>
      </c>
      <c r="D19" s="205">
        <v>27394821.109944001</v>
      </c>
      <c r="E19" s="205">
        <v>366397128.41997999</v>
      </c>
      <c r="F19" s="205">
        <v>566817385.02362394</v>
      </c>
      <c r="H19" s="116"/>
      <c r="I19" s="116"/>
      <c r="J19" s="116"/>
      <c r="M19" s="11">
        <f>C20+C21</f>
        <v>35415225.659889996</v>
      </c>
      <c r="N19" s="11">
        <f>D20+D21</f>
        <v>10206534.879948001</v>
      </c>
    </row>
    <row r="20" spans="2:14" x14ac:dyDescent="0.25">
      <c r="B20" s="74" t="s">
        <v>123</v>
      </c>
      <c r="C20" s="205">
        <v>21758537.65989</v>
      </c>
      <c r="D20" s="205">
        <v>4154827.08</v>
      </c>
      <c r="E20" s="205">
        <v>1945946</v>
      </c>
      <c r="F20" s="205">
        <v>27859310.739890002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13656688</v>
      </c>
      <c r="D21" s="205">
        <v>6051707.7999480003</v>
      </c>
      <c r="E21" s="205">
        <v>10735135.300000001</v>
      </c>
      <c r="F21" s="205">
        <v>30443531.099948</v>
      </c>
      <c r="H21" s="116"/>
      <c r="I21" s="116"/>
      <c r="J21" s="116"/>
      <c r="M21" s="14">
        <f>IFERROR(C34,0)+IFERROR(C35,0)+M20</f>
        <v>90820756.643530995</v>
      </c>
      <c r="N21" s="10" t="s">
        <v>122</v>
      </c>
    </row>
    <row r="22" spans="2:14" x14ac:dyDescent="0.25">
      <c r="B22" s="74" t="s">
        <v>172</v>
      </c>
      <c r="C22" s="205">
        <v>35091520</v>
      </c>
      <c r="D22" s="205" t="s">
        <v>168</v>
      </c>
      <c r="E22" s="205" t="s">
        <v>168</v>
      </c>
      <c r="F22" s="205">
        <v>35091520</v>
      </c>
      <c r="H22" s="116"/>
      <c r="I22" s="116"/>
      <c r="J22" s="116"/>
    </row>
    <row r="23" spans="2:14" x14ac:dyDescent="0.25">
      <c r="B23" s="74" t="s">
        <v>173</v>
      </c>
      <c r="C23" s="205">
        <v>72519364.939999998</v>
      </c>
      <c r="D23" s="205" t="s">
        <v>168</v>
      </c>
      <c r="E23" s="205">
        <v>1957927.88</v>
      </c>
      <c r="F23" s="205">
        <v>74477292.819999993</v>
      </c>
      <c r="H23" s="116"/>
      <c r="I23" s="116"/>
      <c r="J23" s="116"/>
    </row>
    <row r="24" spans="2:14" x14ac:dyDescent="0.25">
      <c r="B24" s="74" t="s">
        <v>125</v>
      </c>
      <c r="C24" s="205">
        <v>81414157.224280998</v>
      </c>
      <c r="D24" s="205">
        <v>22378576.639989998</v>
      </c>
      <c r="E24" s="205">
        <v>94584054.779899999</v>
      </c>
      <c r="F24" s="205">
        <v>198376788.644171</v>
      </c>
      <c r="H24" s="116"/>
      <c r="I24" s="116"/>
      <c r="J24" s="116"/>
    </row>
    <row r="25" spans="2:14" x14ac:dyDescent="0.25">
      <c r="B25" s="74" t="s">
        <v>126</v>
      </c>
      <c r="C25" s="205">
        <v>94384464.072352007</v>
      </c>
      <c r="D25" s="205">
        <v>14537892.899995999</v>
      </c>
      <c r="E25" s="205">
        <v>63175226.039860003</v>
      </c>
      <c r="F25" s="205">
        <v>172097583.01220801</v>
      </c>
      <c r="H25" s="116"/>
      <c r="I25" s="116"/>
      <c r="J25" s="116"/>
    </row>
    <row r="26" spans="2:14" x14ac:dyDescent="0.25">
      <c r="B26" s="74" t="s">
        <v>127</v>
      </c>
      <c r="C26" s="205">
        <v>117382243.771851</v>
      </c>
      <c r="D26" s="205">
        <v>10307464.799968001</v>
      </c>
      <c r="E26" s="205">
        <v>146977208.35986501</v>
      </c>
      <c r="F26" s="205">
        <v>274666916.93168402</v>
      </c>
      <c r="H26" s="116"/>
      <c r="I26" s="116"/>
      <c r="J26" s="116"/>
    </row>
    <row r="27" spans="2:14" x14ac:dyDescent="0.25">
      <c r="B27" s="74" t="s">
        <v>128</v>
      </c>
      <c r="C27" s="205">
        <v>210565565.854633</v>
      </c>
      <c r="D27" s="205">
        <v>7459839.1200000001</v>
      </c>
      <c r="E27" s="205" t="s">
        <v>168</v>
      </c>
      <c r="F27" s="205">
        <v>218025404.97463301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34371437.009887002</v>
      </c>
      <c r="G32" s="116"/>
      <c r="H32" s="116"/>
      <c r="I32" s="116"/>
    </row>
    <row r="33" spans="2:14" x14ac:dyDescent="0.25">
      <c r="B33" s="84" t="s">
        <v>133</v>
      </c>
      <c r="C33" s="206">
        <v>47089037.045641005</v>
      </c>
      <c r="G33" s="116"/>
      <c r="H33" s="116"/>
      <c r="I33" s="116"/>
    </row>
    <row r="34" spans="2:14" x14ac:dyDescent="0.25">
      <c r="B34" s="84" t="s">
        <v>134</v>
      </c>
      <c r="C34" s="205">
        <v>26435846.722212002</v>
      </c>
      <c r="G34" s="116"/>
      <c r="H34" s="116"/>
      <c r="I34" s="116"/>
    </row>
    <row r="35" spans="2:14" x14ac:dyDescent="0.25">
      <c r="B35" s="84" t="s">
        <v>135</v>
      </c>
      <c r="C35" s="205">
        <v>64384909.921319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0.16666666666666666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1469453882.725698</v>
      </c>
      <c r="F43" s="44">
        <f>IFERROR(E43/D43,0)</f>
        <v>0.20242420983142545</v>
      </c>
      <c r="G43" s="118">
        <f>D43-E43</f>
        <v>5789825449.2743015</v>
      </c>
      <c r="H43" s="118">
        <f ca="1">IFERROR(G43/C3,0)</f>
        <v>263173884.05792281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190151295.24961701</v>
      </c>
      <c r="F44" s="44">
        <f>IFERROR(E44/D44,0)</f>
        <v>0.10508934553758549</v>
      </c>
      <c r="G44" s="118">
        <f>D44-E44</f>
        <v>1619273763.7503829</v>
      </c>
      <c r="H44" s="118">
        <f ca="1">IFERROR(G44/C3,0)</f>
        <v>73603352.897744671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172281230.69905901</v>
      </c>
      <c r="F45" s="44">
        <f>IFERROR(E45/D45,0)</f>
        <v>9.4098987124962022E-2</v>
      </c>
      <c r="G45" s="118">
        <f>D45-E45</f>
        <v>1658569833.300941</v>
      </c>
      <c r="H45" s="118">
        <f ca="1">IFERROR(G45/C3,0)</f>
        <v>75389537.877315506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1831886408.6743741</v>
      </c>
      <c r="F46" s="43">
        <f>IFERROR(E46/D46,0)</f>
        <v>0.16806982782348476</v>
      </c>
      <c r="G46" s="119">
        <f>G43+G44+G45</f>
        <v>9067669046.3256264</v>
      </c>
      <c r="H46" s="119">
        <f ca="1">IFERROR(G46/C3,0)</f>
        <v>412166774.83298302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81414157.224280998</v>
      </c>
      <c r="H51" s="122">
        <f>N8</f>
        <v>22378576.639989998</v>
      </c>
      <c r="I51" s="122">
        <f t="shared" ref="I51:I64" si="1">G51+H51</f>
        <v>103792733.864271</v>
      </c>
      <c r="J51" s="61">
        <f t="shared" ref="J51:J64" si="2">IFERROR(I51/F51,0)</f>
        <v>0.18751603830862235</v>
      </c>
      <c r="K51" s="51">
        <f t="shared" ref="K51:M64" si="3">D51-G51</f>
        <v>370269320.77571899</v>
      </c>
      <c r="L51" s="51">
        <f t="shared" si="3"/>
        <v>79451846.360009998</v>
      </c>
      <c r="M51" s="51">
        <f t="shared" si="3"/>
        <v>449721167.13572901</v>
      </c>
      <c r="N51" s="51">
        <f ca="1">IFERROR(M51/C3,0)</f>
        <v>20441871.233442228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128198477.063154</v>
      </c>
      <c r="H52" s="122">
        <f>N9</f>
        <v>26460601.666076999</v>
      </c>
      <c r="I52" s="122">
        <f t="shared" si="1"/>
        <v>154659078.729231</v>
      </c>
      <c r="J52" s="61">
        <f t="shared" si="2"/>
        <v>0.18969843227690855</v>
      </c>
      <c r="K52" s="54">
        <f t="shared" si="3"/>
        <v>461983893.93684602</v>
      </c>
      <c r="L52" s="54">
        <f t="shared" si="3"/>
        <v>198646204.33392301</v>
      </c>
      <c r="M52" s="54">
        <f t="shared" si="3"/>
        <v>660630098.270769</v>
      </c>
      <c r="N52" s="54">
        <f ca="1">IFERROR(M52/C3,0)</f>
        <v>30028640.830489501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35091520</v>
      </c>
      <c r="H53" s="122">
        <f>IF(D22="",0,D22)</f>
        <v>0</v>
      </c>
      <c r="I53" s="122">
        <f>G53+H53</f>
        <v>35091520</v>
      </c>
      <c r="J53" s="61">
        <f>IFERROR(I53/F53,0)</f>
        <v>0.14532258701199174</v>
      </c>
      <c r="K53" s="54">
        <f>D53-G53</f>
        <v>206381748</v>
      </c>
      <c r="L53" s="54">
        <f>E53-H53</f>
        <v>0</v>
      </c>
      <c r="M53" s="54">
        <f>F53-I53</f>
        <v>206381748</v>
      </c>
      <c r="N53" s="54">
        <f ca="1">IFERROR(M53/C3,0)</f>
        <v>9380988.5454545449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188735680.79965001</v>
      </c>
      <c r="H54" s="122">
        <f t="shared" ref="H54:H58" si="4">N10</f>
        <v>5076049.4275939995</v>
      </c>
      <c r="I54" s="122">
        <f t="shared" si="1"/>
        <v>193811730.22724402</v>
      </c>
      <c r="J54" s="61">
        <f t="shared" si="2"/>
        <v>0.26690157297039013</v>
      </c>
      <c r="K54" s="54">
        <f>D54-G54</f>
        <v>456976791.20034999</v>
      </c>
      <c r="L54" s="54">
        <f t="shared" si="3"/>
        <v>75365798.572405994</v>
      </c>
      <c r="M54" s="54">
        <f t="shared" si="3"/>
        <v>532342589.77275598</v>
      </c>
      <c r="N54" s="54">
        <f ca="1">IFERROR(M54/C3,0)</f>
        <v>24197390.444216181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39283783.140000001</v>
      </c>
      <c r="H55" s="122">
        <f t="shared" si="4"/>
        <v>3925392</v>
      </c>
      <c r="I55" s="122">
        <f t="shared" si="1"/>
        <v>43209175.140000001</v>
      </c>
      <c r="J55" s="61">
        <f t="shared" si="2"/>
        <v>7.3305687519056709E-2</v>
      </c>
      <c r="K55" s="54">
        <f t="shared" si="3"/>
        <v>469635048.86000001</v>
      </c>
      <c r="L55" s="54">
        <f t="shared" si="3"/>
        <v>76594012</v>
      </c>
      <c r="M55" s="54">
        <f t="shared" si="3"/>
        <v>546229060.86000001</v>
      </c>
      <c r="N55" s="54">
        <f ca="1">IFERROR(M55/C3,0)</f>
        <v>24828593.675454546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141386234.56545201</v>
      </c>
      <c r="H56" s="122">
        <f t="shared" si="4"/>
        <v>33458193.469863001</v>
      </c>
      <c r="I56" s="122">
        <f t="shared" si="1"/>
        <v>174844428.03531501</v>
      </c>
      <c r="J56" s="61">
        <f t="shared" si="2"/>
        <v>0.33481464258423338</v>
      </c>
      <c r="K56" s="54">
        <f t="shared" si="3"/>
        <v>298677049.43454802</v>
      </c>
      <c r="L56" s="54">
        <f t="shared" si="3"/>
        <v>48691131.530137002</v>
      </c>
      <c r="M56" s="54">
        <f t="shared" si="3"/>
        <v>347368180.96468496</v>
      </c>
      <c r="N56" s="54">
        <f ca="1">IFERROR(M56/C3,0)</f>
        <v>15789462.771122044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173025435.4937</v>
      </c>
      <c r="H57" s="122">
        <f t="shared" si="4"/>
        <v>27394821.109944001</v>
      </c>
      <c r="I57" s="122">
        <f t="shared" si="1"/>
        <v>200420256.60364401</v>
      </c>
      <c r="J57" s="61">
        <f t="shared" si="2"/>
        <v>0.17858837384566972</v>
      </c>
      <c r="K57" s="54">
        <f t="shared" si="3"/>
        <v>823732909.50629997</v>
      </c>
      <c r="L57" s="54">
        <f t="shared" si="3"/>
        <v>98093776.890055999</v>
      </c>
      <c r="M57" s="54">
        <f t="shared" si="3"/>
        <v>921826686.39635599</v>
      </c>
      <c r="N57" s="54">
        <f ca="1">IFERROR(M57/C3,0)</f>
        <v>41901213.018016182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94384464.072352007</v>
      </c>
      <c r="H58" s="122">
        <f t="shared" si="4"/>
        <v>14537892.899995999</v>
      </c>
      <c r="I58" s="122">
        <f>G58+H58</f>
        <v>108922356.972348</v>
      </c>
      <c r="J58" s="61">
        <f>IFERROR(I58/F58,0)</f>
        <v>0.17082417039814024</v>
      </c>
      <c r="K58" s="54">
        <f t="shared" si="3"/>
        <v>445902594.92764801</v>
      </c>
      <c r="L58" s="54">
        <f t="shared" si="3"/>
        <v>82803533.100004002</v>
      </c>
      <c r="M58" s="54">
        <f t="shared" si="3"/>
        <v>528706128.02765203</v>
      </c>
      <c r="N58" s="54">
        <f ca="1">IFERROR(M58/C3,0)</f>
        <v>24032096.728529636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72519364.939999998</v>
      </c>
      <c r="H59" s="122">
        <f>IF(D23="",0,D23)</f>
        <v>0</v>
      </c>
      <c r="I59" s="122">
        <f>G59+H59</f>
        <v>72519364.939999998</v>
      </c>
      <c r="J59" s="61">
        <f>IFERROR(I59/F59,0)</f>
        <v>0.17944400924739592</v>
      </c>
      <c r="K59" s="54">
        <f>D59-G59</f>
        <v>331614299.06</v>
      </c>
      <c r="L59" s="54">
        <f>E59-H59</f>
        <v>0</v>
      </c>
      <c r="M59" s="54">
        <f>F59-I59</f>
        <v>331614299.06</v>
      </c>
      <c r="N59" s="54">
        <f ca="1">IFERROR(M59/C3,0)</f>
        <v>15073377.23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93761492.889708996</v>
      </c>
      <c r="H60" s="122">
        <f t="shared" ref="H60:H64" si="5">N15</f>
        <v>18421257.544438001</v>
      </c>
      <c r="I60" s="122">
        <f t="shared" si="1"/>
        <v>112182750.434147</v>
      </c>
      <c r="J60" s="61">
        <f t="shared" si="2"/>
        <v>0.18359261991235948</v>
      </c>
      <c r="K60" s="54">
        <f t="shared" si="3"/>
        <v>345255816.110291</v>
      </c>
      <c r="L60" s="54">
        <f t="shared" si="3"/>
        <v>153603154.455562</v>
      </c>
      <c r="M60" s="54">
        <f t="shared" si="3"/>
        <v>498858970.565853</v>
      </c>
      <c r="N60" s="54">
        <f ca="1">IFERROR(M60/C3,0)</f>
        <v>22675407.752993319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117382243.771851</v>
      </c>
      <c r="H61" s="122">
        <f t="shared" si="5"/>
        <v>10307464.799968001</v>
      </c>
      <c r="I61" s="122">
        <f t="shared" si="1"/>
        <v>127689708.57181901</v>
      </c>
      <c r="J61" s="61">
        <f t="shared" si="2"/>
        <v>0.16824938221452765</v>
      </c>
      <c r="K61" s="54">
        <f t="shared" si="3"/>
        <v>549247352.22814894</v>
      </c>
      <c r="L61" s="54">
        <f t="shared" si="3"/>
        <v>81994157.200031996</v>
      </c>
      <c r="M61" s="54">
        <f t="shared" si="3"/>
        <v>631241509.42818093</v>
      </c>
      <c r="N61" s="54">
        <f ca="1">IFERROR(M61/C3,0)</f>
        <v>28692795.883099135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58290237.251025997</v>
      </c>
      <c r="H62" s="122">
        <f t="shared" si="5"/>
        <v>10524671.691799</v>
      </c>
      <c r="I62" s="122">
        <f t="shared" si="1"/>
        <v>68814908.94282499</v>
      </c>
      <c r="J62" s="61">
        <f t="shared" si="2"/>
        <v>0.13262528268398979</v>
      </c>
      <c r="K62" s="54">
        <f t="shared" si="3"/>
        <v>363252785.74897403</v>
      </c>
      <c r="L62" s="54">
        <f t="shared" si="3"/>
        <v>86799504.308201</v>
      </c>
      <c r="M62" s="54">
        <f t="shared" si="3"/>
        <v>450052290.05717504</v>
      </c>
      <c r="N62" s="54">
        <f ca="1">IFERROR(M62/C3,0)</f>
        <v>20456922.275326136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210565565.854633</v>
      </c>
      <c r="H63" s="122">
        <f t="shared" si="5"/>
        <v>7459839.1200000001</v>
      </c>
      <c r="I63" s="122">
        <f t="shared" si="1"/>
        <v>218025404.97463301</v>
      </c>
      <c r="J63" s="61">
        <f t="shared" si="2"/>
        <v>0.22208559424041088</v>
      </c>
      <c r="K63" s="54">
        <f t="shared" si="3"/>
        <v>407785376.14536703</v>
      </c>
      <c r="L63" s="54">
        <f t="shared" si="3"/>
        <v>355907126.88</v>
      </c>
      <c r="M63" s="54">
        <f t="shared" si="3"/>
        <v>763692503.02536702</v>
      </c>
      <c r="N63" s="54">
        <f ca="1">IFERROR(M63/C3,0)</f>
        <v>34713295.592062138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35415225.659889996</v>
      </c>
      <c r="H64" s="122">
        <f t="shared" si="5"/>
        <v>10206534.879948001</v>
      </c>
      <c r="I64" s="122">
        <f t="shared" si="1"/>
        <v>45621760.539838001</v>
      </c>
      <c r="J64" s="61">
        <f t="shared" si="2"/>
        <v>7.7845428805367808E-2</v>
      </c>
      <c r="K64" s="54">
        <f t="shared" si="3"/>
        <v>259110463.34011</v>
      </c>
      <c r="L64" s="54">
        <f t="shared" si="3"/>
        <v>281323518.12005198</v>
      </c>
      <c r="M64" s="54">
        <f t="shared" si="3"/>
        <v>540433981.46016204</v>
      </c>
      <c r="N64" s="54">
        <f ca="1">IFERROR(M64/C3,0)</f>
        <v>24565180.975461911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1469453882.725698</v>
      </c>
      <c r="H65" s="152">
        <f>SUM(H51:H64)</f>
        <v>190151295.24961701</v>
      </c>
      <c r="I65" s="152">
        <f>SUM(I51:I64)</f>
        <v>1659605177.9753151</v>
      </c>
      <c r="J65" s="153">
        <f>IFERROR(I65/F65,0)</f>
        <v>0.18300355887907727</v>
      </c>
      <c r="K65" s="154">
        <f>SUM(K51:K64)</f>
        <v>5789825449.2743006</v>
      </c>
      <c r="L65" s="154">
        <f>SUM(L51:L64)</f>
        <v>1619273763.7503829</v>
      </c>
      <c r="M65" s="154">
        <f>SUM(M51:M64)</f>
        <v>7409099213.0246849</v>
      </c>
      <c r="N65" s="154">
        <f ca="1">IFERROR(M65/C3,0)</f>
        <v>336777236.9556675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94584054.779899999</v>
      </c>
    </row>
    <row r="71" spans="2:14" ht="20.100000000000001" customHeight="1" x14ac:dyDescent="0.25">
      <c r="B71" s="53" t="s">
        <v>69</v>
      </c>
      <c r="C71" s="56" t="s">
        <v>70</v>
      </c>
      <c r="D71" s="149">
        <f>IF(E12="",0,E12)+IF(E13="",0,E13)</f>
        <v>6429819.7200000007</v>
      </c>
    </row>
    <row r="72" spans="2:14" ht="20.100000000000001" customHeight="1" x14ac:dyDescent="0.25">
      <c r="B72" s="53" t="s">
        <v>175</v>
      </c>
      <c r="C72" s="56" t="s">
        <v>176</v>
      </c>
      <c r="D72" s="149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43971171.439999998</v>
      </c>
    </row>
    <row r="74" spans="2:14" ht="20.100000000000001" customHeight="1" x14ac:dyDescent="0.25">
      <c r="B74" s="53" t="s">
        <v>73</v>
      </c>
      <c r="C74" s="56" t="s">
        <v>74</v>
      </c>
      <c r="D74" s="149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v>7693693.5999999996</v>
      </c>
    </row>
    <row r="76" spans="2:14" ht="20.100000000000001" customHeight="1" x14ac:dyDescent="0.25">
      <c r="B76" s="53" t="s">
        <v>76</v>
      </c>
      <c r="C76" s="56" t="s">
        <v>77</v>
      </c>
      <c r="D76" s="149">
        <f>IF(E19="",0,E19)</f>
        <v>366397128.41997999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63175226.039860003</v>
      </c>
    </row>
    <row r="78" spans="2:14" ht="20.100000000000001" customHeight="1" x14ac:dyDescent="0.25">
      <c r="B78" s="53" t="s">
        <v>175</v>
      </c>
      <c r="C78" s="56" t="s">
        <v>177</v>
      </c>
      <c r="D78" s="149">
        <f>IF(E23="",0,E23)</f>
        <v>1957927.88</v>
      </c>
    </row>
    <row r="79" spans="2:14" ht="20.100000000000001" customHeight="1" x14ac:dyDescent="0.25">
      <c r="B79" s="53" t="s">
        <v>80</v>
      </c>
      <c r="C79" s="56" t="s">
        <v>81</v>
      </c>
      <c r="D79" s="149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146977208.35986501</v>
      </c>
    </row>
    <row r="81" spans="2:9" ht="20.100000000000001" customHeight="1" x14ac:dyDescent="0.25">
      <c r="B81" s="53" t="s">
        <v>84</v>
      </c>
      <c r="C81" s="56" t="s">
        <v>85</v>
      </c>
      <c r="D81" s="149">
        <f>IF(E10="",0,E10)</f>
        <v>27427197.370000001</v>
      </c>
    </row>
    <row r="82" spans="2:9" ht="20.100000000000001" customHeight="1" x14ac:dyDescent="0.25">
      <c r="B82" s="50" t="s">
        <v>86</v>
      </c>
      <c r="C82" s="55" t="s">
        <v>87</v>
      </c>
      <c r="D82" s="149">
        <f t="shared" ref="D82" si="7">IF(E11="",0,E11)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9">
        <v>12681081.300000001</v>
      </c>
    </row>
    <row r="84" spans="2:9" ht="20.100000000000001" customHeight="1" x14ac:dyDescent="0.25">
      <c r="B84" s="57" t="s">
        <v>152</v>
      </c>
      <c r="C84" s="58"/>
      <c r="D84" s="129">
        <f>SUM(D70:D83)</f>
        <v>771294508.90960491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34371437.009887002</v>
      </c>
      <c r="F89" s="61">
        <f t="shared" ref="F89:F94" si="8">IFERROR(E89/D89,0)</f>
        <v>0.12037743999286479</v>
      </c>
      <c r="G89" s="125">
        <f>D89-E89</f>
        <v>251159115.99011299</v>
      </c>
      <c r="H89" s="125">
        <f ca="1">IFERROR(G89/C3,0)</f>
        <v>11416323.454096045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47089037.045641005</v>
      </c>
      <c r="F90" s="61">
        <f t="shared" si="8"/>
        <v>0.10980779447950348</v>
      </c>
      <c r="G90" s="126">
        <f>D90-E90</f>
        <v>381742424.95435899</v>
      </c>
      <c r="H90" s="126">
        <f ca="1">IFERROR(G90/C3,0)</f>
        <v>17351928.407016318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90820756.643530995</v>
      </c>
      <c r="F91" s="61">
        <f t="shared" si="8"/>
        <v>8.1344959652650387E-2</v>
      </c>
      <c r="G91" s="125">
        <f>D91-E91</f>
        <v>1025668292.356469</v>
      </c>
      <c r="H91" s="125">
        <f ca="1">IFERROR(G91/C3,0)</f>
        <v>46621286.016203135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172281230.69905901</v>
      </c>
      <c r="F94" s="43">
        <f t="shared" si="8"/>
        <v>9.4098987124962022E-2</v>
      </c>
      <c r="G94" s="119">
        <f>SUM(G89:G93)</f>
        <v>1658569833.300941</v>
      </c>
      <c r="H94" s="119">
        <f ca="1">IFERROR(G94/C3,0)</f>
        <v>75389537.877315506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2026-06-05T00:51:26Z</dcterms:modified>
  <dc:language>en-US</dc:language>
</cp:coreProperties>
</file>