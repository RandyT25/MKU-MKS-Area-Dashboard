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<sst xmlns="http://schemas.openxmlformats.org/spreadsheetml/2006/main" count="2130" uniqueCount="231">
  <si>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</si>
  <si>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</si>
  <si>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</si>
  <si>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</si>
  <si>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</si>
  <si>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</si>
  <si>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</si>
  <si>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</si>
  <si>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</si>
  <si>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</si>
  <si>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</si>
  <si>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</si>
  <si>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</si>
  <si>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</si>
  <si>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</si>
  <si>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</si>
  <si>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</si>
  <si>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</si>
  <si>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</si>
  <si>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</si>
  <si>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</si>
  <si>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</si>
  <si>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</si>
  <si>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</si>
  <si>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</si>
  <si>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</si>
  <si>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</si>
  <si>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</si>
  <si>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</si>
  <si>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</si>
  <si>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</si>
  <si>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</si>
  <si>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</si>
  <si>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</si>
  <si>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</si>
  <si>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</si>
  <si>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</si>
  <si>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</si>
  <si>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</si>
  <si>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</si>
  <si>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</si>
  <si>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</si>
  <si>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</si>
  <si>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</si>
  <si>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</si>
  <si>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</si>
  <si>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</si>
  <si>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</si>
  <si>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</si>
  <si>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</si>
  <si>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</si>
  <si>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</si>
  <si>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</si>
  <si>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</si>
  <si>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</si>
  <si>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</si>
  <si>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</si>
  <si>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</si>
  <si>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</si>
  <si>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</si>
  <si>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</si>
  <si>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</si>
  <si>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</si>
  <si>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</si>
  <si>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</si>
  <si>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</si>
  <si>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</si>
  <si>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</si>
  <si>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</si>
  <si>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</si>
  <si>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</si>
  <si>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</si>
  <si>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</si>
  <si>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</si>
  <si>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</si>
  <si>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</si>
  <si>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</si>
  <si>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</si>
  <si>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</si>
  <si>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</si>
  <si>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</si>
  <si>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</si>
  <si>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</si>
  <si>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</si>
  <si>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</si>
  <si>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</si>
  <si>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</si>
  <si>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</si>
  <si>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</si>
  <si>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</si>
  <si>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</si>
  <si>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</si>
  <si>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</si>
  <si>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</si>
  <si>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</si>
  <si>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</si>
  <si>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</si>
  <si>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</si>
  <si>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</si>
  <si>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</si>
  <si>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</si>
  <si>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</si>
  <si>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</si>
  <si>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</si>
  <si>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</si>
  <si>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</si>
  <si>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</si>
  <si>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</si>
  <si>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</si>
  <si>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</si>
  <si>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</si>
  <si>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</si>
  <si>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</si>
  <si>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</si>
  <si>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</si>
  <si>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</si>
  <si>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</si>
  <si>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</si>
  <si>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</si>
  <si>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</si>
  <si>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</si>
  <si>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</si>
  <si>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</si>
  <si>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</si>
  <si>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</si>
  <si>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</si>
  <si>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</si>
  <si>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</si>
  <si>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</si>
  <si>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</si>
  <si>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</si>
  <si>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</si>
  <si>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</si>
  <si>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</si>
  <si>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</si>
  <si>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</si>
  <si>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</si>
  <si>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</si>
  <si>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</si>
  <si>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</si>
  <si>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</si>
  <si>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</si>
  <si>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</si>
  <si>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</si>
  <si>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</si>
  <si>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</si>
  <si>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</si>
  <si>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</si>
  <si>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</si>
  <si>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</si>
  <si>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</si>
  <si>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</si>
  <si>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</si>
  <si>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</si>
  <si>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</si>
  <si>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</si>
  <si>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</si>
  <si>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</si>
  <si>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</si>
  <si>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</si>
  <si>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</si>
  <si>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</si>
  <si>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</si>
  <si>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</si>
  <si>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</si>
  <si>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</si>
  <si>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</si>
  <si>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</si>
  <si>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</si>
  <si>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</si>
  <si>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</si>
  <si>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</si>
  <si>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</si>
  <si>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</si>
  <si>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</si>
  <si>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</si>
  <si>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</si>
  <si>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</si>
  <si>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</si>
  <si>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</si>
  <si>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</si>
  <si>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</si>
  <si>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</si>
  <si>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</si>
  <si>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</si>
  <si>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</si>
  <si>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</si>
  <si>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</si>
  <si>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</si>
  <si>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</si>
  <si>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</si>
  <si>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</si>
  <si>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</si>
  <si>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</si>
  <si>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</si>
  <si>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</si>
  <si>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</si>
  <si>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</si>
  <si>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</si>
  <si>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</si>
  <si>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</si>
  <si>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</si>
  <si>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</si>
  <si>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</si>
  <si>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</si>
  <si>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</si>
  <si>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</si>
  <si>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</si>
  <si>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</si>
  <si>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</si>
  <si>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</si>
  <si>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</si>
  <si>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</si>
  <si>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</si>
  <si>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</si>
  <si>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</si>
  <si>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</si>
  <si>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</si>
  <si>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</si>
  <si>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</si>
  <si>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</si>
  <si>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</si>
  <si>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</si>
  <si>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</si>
  <si>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</si>
  <si>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</si>
  <si>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</si>
  <si>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</si>
  <si>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</si>
  <si>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</si>
  <si>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23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</si>
</sst>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0" t="s">
        <v>0</v>
      </c>
      <c r="C1" s="240"/>
    </row>
    <row r="3" spans="2:3" x14ac:dyDescent="0.25">
      <c r="B3" s="241" t="s">
        <v>1</v>
      </c>
      <c r="C3" s="241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2" t="s">
        <v>14</v>
      </c>
      <c r="C11" s="242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1" t="s">
        <v>28</v>
      </c>
      <c r="C3" s="241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3" t="s">
        <v>102</v>
      </c>
      <c r="C29" s="243"/>
      <c r="D29" s="243"/>
      <c r="E29" s="243"/>
      <c r="F29" s="243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1" t="s">
        <v>145</v>
      </c>
      <c r="C44" s="26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3" t="s">
        <v>41</v>
      </c>
      <c r="C47" s="263" t="s">
        <v>42</v>
      </c>
      <c r="D47" s="258" t="s">
        <v>137</v>
      </c>
      <c r="E47" s="259"/>
      <c r="F47" s="260"/>
      <c r="G47" s="69" t="s">
        <v>138</v>
      </c>
      <c r="H47" s="69"/>
      <c r="I47" s="69"/>
      <c r="J47" s="263" t="s">
        <v>139</v>
      </c>
      <c r="K47" s="35" t="s">
        <v>147</v>
      </c>
      <c r="L47" s="35"/>
      <c r="M47" s="35"/>
      <c r="N47" s="257" t="s">
        <v>148</v>
      </c>
    </row>
    <row r="48" spans="2:17" ht="15.75" x14ac:dyDescent="0.25">
      <c r="B48" s="263"/>
      <c r="C48" s="263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3"/>
      <c r="K48" s="34" t="s">
        <v>142</v>
      </c>
      <c r="L48" s="34" t="s">
        <v>110</v>
      </c>
      <c r="M48" s="34" t="s">
        <v>145</v>
      </c>
      <c r="N48" s="257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4" t="s">
        <v>144</v>
      </c>
      <c r="C63" s="255"/>
      <c r="D63" s="255"/>
      <c r="E63" s="255"/>
      <c r="F63" s="255"/>
      <c r="G63" s="255"/>
      <c r="H63" s="256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4" t="s">
        <v>177</v>
      </c>
      <c r="C41" s="275"/>
      <c r="D41" s="276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1" t="s">
        <v>145</v>
      </c>
      <c r="C46" s="262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  <c r="Q48"/>
      <c r="R48"/>
    </row>
    <row r="49" spans="2:18" s="139" customFormat="1" ht="33.950000000000003" customHeight="1" x14ac:dyDescent="0.25">
      <c r="B49" s="282" t="s">
        <v>41</v>
      </c>
      <c r="C49" s="282" t="s">
        <v>42</v>
      </c>
      <c r="D49" s="279" t="s">
        <v>137</v>
      </c>
      <c r="E49" s="280"/>
      <c r="F49" s="281"/>
      <c r="G49" s="140" t="s">
        <v>138</v>
      </c>
      <c r="H49" s="140"/>
      <c r="I49" s="140"/>
      <c r="J49" s="279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2"/>
      <c r="C50" s="282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9"/>
      <c r="K50" s="269"/>
      <c r="L50" s="269"/>
      <c r="M50" s="271"/>
      <c r="N50" s="188"/>
      <c r="O50" s="183"/>
      <c r="P50" s="27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4" t="s">
        <v>170</v>
      </c>
      <c r="C77" s="255"/>
      <c r="D77" s="256"/>
      <c r="G77"/>
      <c r="H77"/>
      <c r="I77"/>
    </row>
    <row r="78" spans="1:19" ht="20.100000000000001" customHeight="1" x14ac:dyDescent="0.25">
      <c r="B78" s="264" t="s">
        <v>41</v>
      </c>
      <c r="C78" s="26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3"/>
      <c r="C79" s="263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3" t="s">
        <v>178</v>
      </c>
      <c r="C41" s="284"/>
      <c r="D41" s="285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22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8.75" customHeight="1" x14ac:dyDescent="0.25">
      <c r="B78" s="264" t="s">
        <v>41</v>
      </c>
      <c r="C78" s="264" t="s">
        <v>42</v>
      </c>
      <c r="D78" s="231" t="s">
        <v>138</v>
      </c>
    </row>
    <row r="79" spans="2:16" ht="18" customHeight="1" x14ac:dyDescent="0.25">
      <c r="B79" s="263"/>
      <c r="C79" s="263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4" t="s">
        <v>179</v>
      </c>
      <c r="C41" s="275"/>
      <c r="D41" s="276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72" t="str">
        <f>"SELISIH"&amp;CHAR(10)&amp;TEXT($L$41,"0%")</f>
        <v>SELISIH
100%</v>
      </c>
      <c r="P49" s="272" t="str">
        <f>"PER HARI"&amp;CHAR(10)&amp;TEXT($L$41,"0%")</f>
        <v>PER HARI
100%</v>
      </c>
    </row>
    <row r="50" spans="2:16" ht="19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73"/>
      <c r="P50" s="27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4" t="s">
        <v>188</v>
      </c>
      <c r="C41" s="275"/>
      <c r="D41" s="276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1" t="s">
        <v>145</v>
      </c>
      <c r="C46" s="262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65" t="s">
        <v>185</v>
      </c>
      <c r="L48" s="266"/>
      <c r="M48" s="266"/>
      <c r="N48" s="266"/>
      <c r="O48" s="266"/>
      <c r="P48" s="267"/>
    </row>
    <row r="49" spans="2:16" ht="15.75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68" t="str">
        <f>"SELISIH"&amp;CHAR(10)&amp;TEXT($H$41,"0%")</f>
        <v>SELISIH
90%</v>
      </c>
      <c r="L49" s="268" t="str">
        <f>"PER HARI"&amp;CHAR(10)&amp;TEXT($H$41,"0%")</f>
        <v>PER HARI
90%</v>
      </c>
      <c r="M49" s="270" t="str">
        <f>"SELISIH"&amp;CHAR(10)&amp;TEXT($J$41,"0%")</f>
        <v>SELISIH
95%</v>
      </c>
      <c r="N49" s="270" t="str">
        <f>"PER HARI"&amp;CHAR(10)&amp;TEXT($J$41,"0%")</f>
        <v>PER HARI
95%</v>
      </c>
      <c r="O49" s="286" t="str">
        <f>"SELISIH"&amp;CHAR(10)&amp;TEXT($L$41,"0%")</f>
        <v>SELISIH
100%</v>
      </c>
      <c r="P49" s="286" t="str">
        <f>"PER HARI"&amp;CHAR(10)&amp;TEXT($L$41,"0%")</f>
        <v>PER HARI
100%</v>
      </c>
    </row>
    <row r="50" spans="2:16" ht="15.75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69"/>
      <c r="L50" s="269"/>
      <c r="M50" s="271"/>
      <c r="N50" s="271"/>
      <c r="O50" s="287"/>
      <c r="P50" s="287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64" t="s">
        <v>41</v>
      </c>
      <c r="C78" s="264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4" t="s">
        <v>218</v>
      </c>
      <c r="C40" s="275"/>
      <c r="D40" s="276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1" t="s">
        <v>145</v>
      </c>
      <c r="C46" s="262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5.75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7"/>
      <c r="G67" s="265" t="s">
        <v>185</v>
      </c>
      <c r="H67" s="266"/>
      <c r="I67" s="266"/>
      <c r="J67" s="266"/>
      <c r="K67" s="266"/>
      <c r="L67" s="26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4" t="s">
        <v>170</v>
      </c>
      <c r="C77" s="255"/>
      <c r="D77" s="256"/>
    </row>
    <row r="78" spans="2:21" ht="15.75" x14ac:dyDescent="0.25">
      <c r="B78" s="264" t="s">
        <v>41</v>
      </c>
      <c r="C78" s="264" t="s">
        <v>42</v>
      </c>
      <c r="D78" s="231" t="s">
        <v>138</v>
      </c>
    </row>
    <row r="79" spans="2:21" ht="15.75" x14ac:dyDescent="0.25">
      <c r="B79" s="263"/>
      <c r="C79" s="263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226</v>
      </c>
      <c r="C40" s="275"/>
      <c r="D40" s="276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212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95%</v>
      </c>
      <c r="N49" s="268" t="str">
        <f>"PER HARI"&amp;CHAR(10)&amp;TEXT($H$40,"0%")</f>
        <v>PER HARI
95%</v>
      </c>
      <c r="O49" s="270" t="str">
        <f>"SELISIH"&amp;CHAR(10)&amp;TEXT($J$40,"0%")</f>
        <v>SELISIH
100%</v>
      </c>
      <c r="P49" s="270" t="str">
        <f>"PER HARI"&amp;CHAR(10)&amp;TEXT($J$40,"0%")</f>
        <v>PER HARI
100%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A7" zoomScale="80" zoomScaleNormal="80" workbookViewId="0">
      <selection activeCell="F29" sqref="F2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8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146617311.020199</v>
      </c>
      <c r="D10" s="239">
        <v>35533276.132996</v>
      </c>
      <c r="E10" s="239">
        <v>154847690.786017</v>
      </c>
      <c r="F10" s="239">
        <v>129120721.229927</v>
      </c>
      <c r="G10" s="239">
        <v>468450499.16913903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2920270.2599940002</v>
      </c>
      <c r="D11" s="239">
        <v>27239064</v>
      </c>
      <c r="E11" s="239">
        <v>277612618.48000002</v>
      </c>
      <c r="F11" s="239">
        <v>0</v>
      </c>
      <c r="G11" s="239">
        <v>307771952.73999399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151363941.86037299</v>
      </c>
      <c r="D12" s="239">
        <v>50718752.025890999</v>
      </c>
      <c r="E12" s="239">
        <v>137762018.63965899</v>
      </c>
      <c r="F12" s="239">
        <v>93758557.530000001</v>
      </c>
      <c r="G12" s="239">
        <v>445133770.05592299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20601942.028014001</v>
      </c>
      <c r="D13" s="239">
        <v>42267407.219784997</v>
      </c>
      <c r="E13" s="239">
        <v>202219228.44932601</v>
      </c>
      <c r="F13" s="239">
        <v>68299101.590000004</v>
      </c>
      <c r="G13" s="239">
        <v>334827679.28712499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362425029.39980602</v>
      </c>
      <c r="D14" s="239">
        <v>29666874.803908002</v>
      </c>
      <c r="E14" s="239">
        <v>127585159.40355501</v>
      </c>
      <c r="F14" s="239">
        <v>259860907.259765</v>
      </c>
      <c r="G14" s="239">
        <v>781621970.86703396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1038914386.455404</v>
      </c>
      <c r="D15" s="239">
        <v>6986180.3199990001</v>
      </c>
      <c r="E15" s="239">
        <v>27599227.899907999</v>
      </c>
      <c r="F15" s="239">
        <v>11349189.405999999</v>
      </c>
      <c r="G15" s="239">
        <v>1084848984.081311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442010981.19826299</v>
      </c>
      <c r="D16" s="239">
        <v>59268861.779744998</v>
      </c>
      <c r="E16" s="239">
        <v>287240002.02946401</v>
      </c>
      <c r="F16" s="239">
        <v>963303600.31974995</v>
      </c>
      <c r="G16" s="239">
        <v>1910323445.3272221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128760020.558613</v>
      </c>
      <c r="D17" s="239">
        <v>22741585.966366</v>
      </c>
      <c r="E17" s="239">
        <v>82371583.058917999</v>
      </c>
      <c r="F17" s="239">
        <v>32257298.094999999</v>
      </c>
      <c r="G17" s="239">
        <v>266130487.67889699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15702334.599994</v>
      </c>
      <c r="D18" s="239">
        <v>80177590.089671001</v>
      </c>
      <c r="E18" s="239">
        <v>44459525</v>
      </c>
      <c r="F18" s="239">
        <v>117135137.64</v>
      </c>
      <c r="G18" s="239">
        <v>257474587.32966501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19430536.16</v>
      </c>
      <c r="D19" s="239">
        <v>0</v>
      </c>
      <c r="E19" s="239">
        <v>0</v>
      </c>
      <c r="F19" s="239">
        <v>11063062.76</v>
      </c>
      <c r="G19" s="239">
        <v>33693598.920000002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141277908.08000001</v>
      </c>
      <c r="D20" s="239">
        <v>0</v>
      </c>
      <c r="E20" s="239">
        <v>0</v>
      </c>
      <c r="F20" s="239">
        <v>9801801.5399999991</v>
      </c>
      <c r="G20" s="239">
        <v>151079709.62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224988234.68807799</v>
      </c>
      <c r="D21" s="239">
        <v>35324617.248452999</v>
      </c>
      <c r="E21" s="239">
        <v>120872258.789757</v>
      </c>
      <c r="F21" s="239">
        <v>352983428.40985</v>
      </c>
      <c r="G21" s="239">
        <v>794135039.13613796</v>
      </c>
      <c r="H21" s="111"/>
      <c r="I21" s="111"/>
      <c r="J21" s="111"/>
      <c r="M21" s="14">
        <f>SUM(C34,C35)+M20</f>
        <v>576883685.21312296</v>
      </c>
      <c r="N21" s="10" t="s">
        <v>223</v>
      </c>
    </row>
    <row r="22" spans="2:15" ht="15" customHeight="1" x14ac:dyDescent="0.25">
      <c r="B22" s="72" t="s">
        <v>224</v>
      </c>
      <c r="C22" s="239">
        <v>167285279.80786899</v>
      </c>
      <c r="D22" s="239">
        <v>50571048.349590003</v>
      </c>
      <c r="E22" s="239">
        <v>97705694.689919993</v>
      </c>
      <c r="F22" s="239">
        <v>90747207.699977994</v>
      </c>
      <c r="G22" s="239">
        <v>422289230.54735702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244569956.856884</v>
      </c>
      <c r="D23" s="239">
        <v>50871075.889926001</v>
      </c>
      <c r="E23" s="239">
        <v>140377111.709232</v>
      </c>
      <c r="F23" s="239">
        <v>248061267.46952599</v>
      </c>
      <c r="G23" s="239">
        <v>688283911.92556798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366693554.349226</v>
      </c>
      <c r="D24" s="239">
        <v>53438896.384860002</v>
      </c>
      <c r="E24" s="239">
        <v>176397866.26993099</v>
      </c>
      <c r="F24" s="239">
        <v>548506316.76935101</v>
      </c>
      <c r="G24" s="239">
        <v>1170795633.7733679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247262073.661796</v>
      </c>
      <c r="D25" s="239">
        <v>74593473.544082999</v>
      </c>
      <c r="E25" s="239">
        <v>86899366.509556994</v>
      </c>
      <c r="F25" s="239">
        <v>55116918.270000003</v>
      </c>
      <c r="G25" s="239">
        <v>465231831.98543602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405942361.936782</v>
      </c>
      <c r="D26" s="239">
        <v>157965203.756598</v>
      </c>
      <c r="E26" s="239">
        <v>202176569.57731301</v>
      </c>
      <c r="F26" s="239">
        <v>16690378.705800001</v>
      </c>
      <c r="G26" s="239">
        <v>782774513.976493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1297297.3500000001</v>
      </c>
      <c r="G27" s="239">
        <v>1797297.35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171">
        <v>185336714.259139</v>
      </c>
      <c r="G32" s="111"/>
      <c r="H32" s="111"/>
      <c r="I32" s="111"/>
    </row>
    <row r="33" spans="2:19" ht="15" customHeight="1" x14ac:dyDescent="0.25">
      <c r="B33" s="81" t="s">
        <v>132</v>
      </c>
      <c r="C33" s="239">
        <v>361269834.38387102</v>
      </c>
      <c r="G33" s="111"/>
      <c r="H33" s="111"/>
      <c r="I33" s="111"/>
    </row>
    <row r="34" spans="2:19" ht="15" customHeight="1" x14ac:dyDescent="0.25">
      <c r="B34" s="81" t="s">
        <v>133</v>
      </c>
      <c r="C34" s="239">
        <v>114131015.274763</v>
      </c>
      <c r="G34" s="111"/>
      <c r="H34" s="111"/>
      <c r="I34" s="111"/>
    </row>
    <row r="35" spans="2:19" ht="15" customHeight="1" x14ac:dyDescent="0.25">
      <c r="B35" s="81" t="s">
        <v>134</v>
      </c>
      <c r="C35" s="239">
        <v>462752669.93835998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4" t="s">
        <v>230</v>
      </c>
      <c r="C41" s="275"/>
      <c r="D41" s="276"/>
      <c r="E41" s="66" t="s">
        <v>137</v>
      </c>
      <c r="F41" s="174">
        <f ca="1">IF(MONTH(TODAY())=10,DAY(TODAY())/DAY(EOMONTH(TODAY(),0)),IF(MONTH(TODAY())&gt;10,1,0))</f>
        <v>0.74193548387096775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3087851736.4658904</v>
      </c>
      <c r="F43" s="176">
        <f>IFERROR(E43/D43,0)</f>
        <v>0.69163216033173347</v>
      </c>
      <c r="G43" s="184">
        <f>D43*$H$41-E43</f>
        <v>1376734952.1936383</v>
      </c>
      <c r="H43" s="184">
        <f ca="1">IFERROR(G43/$C$3,0)</f>
        <v>172091869.02420479</v>
      </c>
      <c r="I43" s="204">
        <f>D43*$J$41-E43</f>
        <v>1376734952.1936383</v>
      </c>
      <c r="J43" s="204">
        <f ca="1">IFERROR(I43/$C$3,0)</f>
        <v>172091869.02420479</v>
      </c>
      <c r="K43" s="185">
        <f>D43*$L$41-E43</f>
        <v>1376734952.1936383</v>
      </c>
      <c r="L43" s="185">
        <f ca="1">IFERROR(K43/$C$3,0)</f>
        <v>172091869.02420479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770377727.19187188</v>
      </c>
      <c r="F44" s="176">
        <f>IFERROR(E44/D44,0)</f>
        <v>0.60190083131473016</v>
      </c>
      <c r="G44" s="184">
        <f>D44*$H$41-E44</f>
        <v>509530335.9173584</v>
      </c>
      <c r="H44" s="184">
        <f ca="1">IFERROR(G44/$C$3,0)</f>
        <v>63691291.9896698</v>
      </c>
      <c r="I44" s="204">
        <f>D44*$J$41-E44</f>
        <v>509530335.9173584</v>
      </c>
      <c r="J44" s="204">
        <f ca="1">IFERROR(I44/$C$3,0)</f>
        <v>63691291.9896698</v>
      </c>
      <c r="K44" s="185">
        <f>D44*$L$41-E44</f>
        <v>509530335.9173584</v>
      </c>
      <c r="L44" s="185">
        <f ca="1">IFERROR(K44/$C$3,0)</f>
        <v>63691291.9896698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2138526693.3926489</v>
      </c>
      <c r="F45" s="176">
        <f>IFERROR(E45/D45,0)</f>
        <v>0.73387824370986576</v>
      </c>
      <c r="G45" s="184">
        <f>IF(D45=0,0,D45*$H$41-E45)</f>
        <v>775480789.07756639</v>
      </c>
      <c r="H45" s="184">
        <f ca="1">IFERROR(G45/$C$3,0)</f>
        <v>96935098.634695798</v>
      </c>
      <c r="I45" s="204">
        <f>IF(D45=0,0,D45*$J$41-E45)</f>
        <v>775480789.07756639</v>
      </c>
      <c r="J45" s="204">
        <f ca="1">IFERROR(I45/$C$3,0)</f>
        <v>96935098.634695798</v>
      </c>
      <c r="K45" s="185">
        <f>IF(D45=0,0,D45*$L$41-E45)</f>
        <v>775480789.07756639</v>
      </c>
      <c r="L45" s="185">
        <f ca="1">IFERROR(K45/$C$3,0)</f>
        <v>96935098.634695798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1123490233.856133</v>
      </c>
      <c r="F46" s="176">
        <f>IFERROR(E46/D46,0)</f>
        <v>0.63124974287194557</v>
      </c>
      <c r="G46" s="184">
        <f>D46*$H$41-E46</f>
        <v>656297000.1864202</v>
      </c>
      <c r="H46" s="184">
        <f ca="1">IFERROR(G46/$C$3,0)</f>
        <v>82037125.023302525</v>
      </c>
      <c r="I46" s="204">
        <f>D46*$J$41-E46</f>
        <v>656297000.1864202</v>
      </c>
      <c r="J46" s="204">
        <f ca="1">IFERROR(I46/$C$3,0)</f>
        <v>82037125.023302525</v>
      </c>
      <c r="K46" s="185">
        <f>D46*$L$41-E46</f>
        <v>656297000.1864202</v>
      </c>
      <c r="L46" s="185">
        <f ca="1">IFERROR(K46/$C$3,0)</f>
        <v>82037125.023302525</v>
      </c>
      <c r="S46" s="173">
        <v>0.95</v>
      </c>
    </row>
    <row r="47" spans="2:19" ht="15" customHeight="1" x14ac:dyDescent="0.25">
      <c r="B47" s="261" t="s">
        <v>145</v>
      </c>
      <c r="C47" s="262"/>
      <c r="D47" s="47">
        <f>SUM(D43:D46)</f>
        <v>10438289468.281527</v>
      </c>
      <c r="E47" s="47">
        <f>SUM(E43:E46)</f>
        <v>7120246390.9065437</v>
      </c>
      <c r="F47" s="177">
        <f>IFERROR(E47/D47,0)</f>
        <v>0.6821277003806604</v>
      </c>
      <c r="G47" s="181">
        <f>SUM(G43:G46)</f>
        <v>3318043077.3749838</v>
      </c>
      <c r="H47" s="181">
        <f ca="1">IFERROR(G47/$C$3,0)</f>
        <v>414755384.67187297</v>
      </c>
      <c r="I47" s="186">
        <f>SUM(I43:I46)</f>
        <v>3318043077.3749838</v>
      </c>
      <c r="J47" s="186">
        <f ca="1">IFERROR(I47/$C$3,0)</f>
        <v>414755384.67187297</v>
      </c>
      <c r="K47" s="186">
        <f>SUM(K43:K46)</f>
        <v>3318043077.3749838</v>
      </c>
      <c r="L47" s="186">
        <f ca="1">IFERROR(K47/$C$3,0)</f>
        <v>414755384.67187297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7" t="s">
        <v>212</v>
      </c>
      <c r="C49" s="278"/>
      <c r="D49" s="278"/>
      <c r="E49" s="278"/>
      <c r="F49" s="278"/>
      <c r="G49" s="278"/>
      <c r="H49" s="278"/>
      <c r="I49" s="278"/>
      <c r="J49" s="278"/>
      <c r="K49" s="278"/>
      <c r="L49" s="288"/>
      <c r="M49" s="265" t="s">
        <v>185</v>
      </c>
      <c r="N49" s="266"/>
      <c r="O49" s="266"/>
      <c r="P49" s="266"/>
      <c r="Q49" s="266"/>
      <c r="R49" s="267"/>
    </row>
    <row r="50" spans="2:21" ht="17.100000000000001" customHeight="1" x14ac:dyDescent="0.25">
      <c r="B50" s="289" t="s">
        <v>41</v>
      </c>
      <c r="C50" s="289" t="s">
        <v>42</v>
      </c>
      <c r="D50" s="258" t="s">
        <v>137</v>
      </c>
      <c r="E50" s="259"/>
      <c r="F50" s="259"/>
      <c r="G50" s="260"/>
      <c r="H50" s="290" t="s">
        <v>138</v>
      </c>
      <c r="I50" s="291"/>
      <c r="J50" s="291"/>
      <c r="K50" s="292"/>
      <c r="L50" s="293" t="s">
        <v>139</v>
      </c>
      <c r="M50" s="268" t="str">
        <f>"SELISIH"&amp;CHAR(10)&amp;TEXT($H$41,"0%")</f>
        <v>SELISIH
100%</v>
      </c>
      <c r="N50" s="268" t="str">
        <f>"PER HARI"&amp;CHAR(10)&amp;TEXT($H$41,"0%")</f>
        <v>PER HARI
100%</v>
      </c>
      <c r="O50" s="270" t="str">
        <f>"SELISIH"&amp;CHAR(10)&amp;TEXT($J$41,"0%")</f>
        <v>SELISIH
100%</v>
      </c>
      <c r="P50" s="270" t="str">
        <f>"PER HARI"&amp;CHAR(10)&amp;TEXT($J$41,"0%")</f>
        <v>PER HARI
100%</v>
      </c>
      <c r="Q50" s="272" t="str">
        <f>"SELISIH"&amp;CHAR(10)&amp;TEXT($L$41,"0%")</f>
        <v>SELISIH
100%</v>
      </c>
      <c r="R50" s="272" t="str">
        <f>"PER HARI"&amp;CHAR(10)&amp;TEXT($L$41,"0%")</f>
        <v>PER HARI
100%</v>
      </c>
    </row>
    <row r="51" spans="2:21" ht="17.100000000000001" customHeight="1" x14ac:dyDescent="0.25">
      <c r="B51" s="264"/>
      <c r="C51" s="264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4"/>
      <c r="M51" s="269"/>
      <c r="N51" s="269"/>
      <c r="O51" s="271"/>
      <c r="P51" s="271"/>
      <c r="Q51" s="273"/>
      <c r="R51" s="273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224988234.68807799</v>
      </c>
      <c r="I52" s="114">
        <f t="shared" ref="I52:I65" si="1">SUMIF($B$10:$B$26,$T52,D$10:D$26)+SUMIF($B$10:$B$26,$U52,D$10:D$26)</f>
        <v>35324617.248452999</v>
      </c>
      <c r="J52" s="114">
        <f t="shared" ref="J52:J65" si="2">SUMIF($B$10:$B$26,$T52,E$10:E$26)+SUMIF($B$10:$B$26,$U52,E$10:E$26)</f>
        <v>120872258.789757</v>
      </c>
      <c r="K52" s="114">
        <f t="shared" ref="K52:K65" si="3">SUM(H52:J52)</f>
        <v>381185110.72628796</v>
      </c>
      <c r="L52" s="187">
        <f t="shared" ref="L52:L66" si="4">IFERROR(K52/G52,0)</f>
        <v>0.76815521057095904</v>
      </c>
      <c r="M52" s="184">
        <f t="shared" ref="M52:M65" si="5">G52*$H$41-K52</f>
        <v>115049381.31466091</v>
      </c>
      <c r="N52" s="184">
        <f t="shared" ref="N52:N66" ca="1" si="6">IFERROR(M52/$C$3,0)</f>
        <v>14381172.664332613</v>
      </c>
      <c r="O52" s="180">
        <f t="shared" ref="O52:O65" si="7">G52*$J$41-K52</f>
        <v>115049381.31466091</v>
      </c>
      <c r="P52" s="180">
        <f t="shared" ref="P52:P66" ca="1" si="8">IFERROR(O52/$C$3,0)</f>
        <v>14381172.664332613</v>
      </c>
      <c r="Q52" s="185">
        <f t="shared" ref="Q52:Q65" si="9">G52*$L$41-K52</f>
        <v>115049381.31466091</v>
      </c>
      <c r="R52" s="185">
        <f t="shared" ref="R52:R66" ca="1" si="10">IFERROR(Q52/$C$3,0)</f>
        <v>14381172.664332613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171965883.88838699</v>
      </c>
      <c r="I53" s="114">
        <f t="shared" si="1"/>
        <v>92986159.245675996</v>
      </c>
      <c r="J53" s="114">
        <f t="shared" si="2"/>
        <v>339981247.08898497</v>
      </c>
      <c r="K53" s="114">
        <f t="shared" si="3"/>
        <v>604933290.22304797</v>
      </c>
      <c r="L53" s="187">
        <f t="shared" si="4"/>
        <v>0.7882988015891127</v>
      </c>
      <c r="M53" s="184">
        <f t="shared" si="5"/>
        <v>162457563.351228</v>
      </c>
      <c r="N53" s="184">
        <f t="shared" ca="1" si="6"/>
        <v>20307195.4189035</v>
      </c>
      <c r="O53" s="180">
        <f t="shared" si="7"/>
        <v>162457563.351228</v>
      </c>
      <c r="P53" s="180">
        <f t="shared" ca="1" si="8"/>
        <v>20307195.4189035</v>
      </c>
      <c r="Q53" s="185">
        <f t="shared" si="9"/>
        <v>162457563.351228</v>
      </c>
      <c r="R53" s="185">
        <f t="shared" ca="1" si="10"/>
        <v>20307195.4189035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19430536.16</v>
      </c>
      <c r="I54" s="114">
        <f t="shared" si="1"/>
        <v>0</v>
      </c>
      <c r="J54" s="114">
        <f t="shared" si="2"/>
        <v>0</v>
      </c>
      <c r="K54" s="114">
        <f t="shared" si="3"/>
        <v>19430536.16</v>
      </c>
      <c r="L54" s="187">
        <f t="shared" si="4"/>
        <v>7.3893541418131994E-2</v>
      </c>
      <c r="M54" s="184">
        <f t="shared" si="5"/>
        <v>243522568.90301076</v>
      </c>
      <c r="N54" s="184">
        <f t="shared" ca="1" si="6"/>
        <v>30440321.112876344</v>
      </c>
      <c r="O54" s="180">
        <f t="shared" si="7"/>
        <v>243522568.90301076</v>
      </c>
      <c r="P54" s="180">
        <f t="shared" ca="1" si="8"/>
        <v>30440321.112876344</v>
      </c>
      <c r="Q54" s="185">
        <f t="shared" si="9"/>
        <v>243522568.90301076</v>
      </c>
      <c r="R54" s="185">
        <f t="shared" ca="1" si="10"/>
        <v>30440321.112876344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362425029.39980602</v>
      </c>
      <c r="I55" s="114">
        <f t="shared" si="1"/>
        <v>29666874.803908002</v>
      </c>
      <c r="J55" s="114">
        <f t="shared" si="2"/>
        <v>127585159.40355501</v>
      </c>
      <c r="K55" s="114">
        <f t="shared" si="3"/>
        <v>519677063.60726905</v>
      </c>
      <c r="L55" s="187">
        <f t="shared" si="4"/>
        <v>0.73344900460893192</v>
      </c>
      <c r="M55" s="184">
        <f t="shared" si="5"/>
        <v>188861717.33273089</v>
      </c>
      <c r="N55" s="184">
        <f t="shared" ca="1" si="6"/>
        <v>23607714.666591361</v>
      </c>
      <c r="O55" s="180">
        <f t="shared" si="7"/>
        <v>188861717.33273089</v>
      </c>
      <c r="P55" s="180">
        <f t="shared" ca="1" si="8"/>
        <v>23607714.666591361</v>
      </c>
      <c r="Q55" s="185">
        <f t="shared" si="9"/>
        <v>188861717.33273089</v>
      </c>
      <c r="R55" s="185">
        <f t="shared" ca="1" si="10"/>
        <v>23607714.666591361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2920270.2599940002</v>
      </c>
      <c r="I56" s="114">
        <f t="shared" si="1"/>
        <v>27239064</v>
      </c>
      <c r="J56" s="114">
        <f t="shared" si="2"/>
        <v>277612618.48000002</v>
      </c>
      <c r="K56" s="114">
        <f t="shared" si="3"/>
        <v>307771952.73999405</v>
      </c>
      <c r="L56" s="187">
        <f t="shared" si="4"/>
        <v>0.572917684415993</v>
      </c>
      <c r="M56" s="184">
        <f t="shared" si="5"/>
        <v>229429046.83069158</v>
      </c>
      <c r="N56" s="184">
        <f t="shared" ca="1" si="6"/>
        <v>28678630.853836447</v>
      </c>
      <c r="O56" s="180">
        <f t="shared" si="7"/>
        <v>229429046.83069158</v>
      </c>
      <c r="P56" s="180">
        <f t="shared" ca="1" si="8"/>
        <v>28678630.853836447</v>
      </c>
      <c r="Q56" s="185">
        <f t="shared" si="9"/>
        <v>229429046.83069158</v>
      </c>
      <c r="R56" s="185">
        <f t="shared" ca="1" si="10"/>
        <v>28678630.853836447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167285279.80786899</v>
      </c>
      <c r="I57" s="114">
        <f t="shared" si="1"/>
        <v>50571048.349590003</v>
      </c>
      <c r="J57" s="114">
        <f t="shared" si="2"/>
        <v>97705694.689919993</v>
      </c>
      <c r="K57" s="114">
        <f t="shared" si="3"/>
        <v>315562022.84737897</v>
      </c>
      <c r="L57" s="187">
        <f t="shared" si="4"/>
        <v>0.56672894696369558</v>
      </c>
      <c r="M57" s="184">
        <f t="shared" si="5"/>
        <v>241250937.8069737</v>
      </c>
      <c r="N57" s="184">
        <f t="shared" ca="1" si="6"/>
        <v>30156367.225871712</v>
      </c>
      <c r="O57" s="180">
        <f t="shared" si="7"/>
        <v>241250937.8069737</v>
      </c>
      <c r="P57" s="180">
        <f t="shared" ca="1" si="8"/>
        <v>30156367.225871712</v>
      </c>
      <c r="Q57" s="185">
        <f t="shared" si="9"/>
        <v>241250937.8069737</v>
      </c>
      <c r="R57" s="185">
        <f t="shared" ca="1" si="10"/>
        <v>30156367.225871712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442010981.19826299</v>
      </c>
      <c r="I58" s="114">
        <f t="shared" si="1"/>
        <v>59268861.779744998</v>
      </c>
      <c r="J58" s="114">
        <f t="shared" si="2"/>
        <v>287240002.02946401</v>
      </c>
      <c r="K58" s="114">
        <f t="shared" si="3"/>
        <v>788519845.00747204</v>
      </c>
      <c r="L58" s="187">
        <f t="shared" si="4"/>
        <v>0.72271581967877641</v>
      </c>
      <c r="M58" s="184">
        <f t="shared" si="5"/>
        <v>302531192.67140889</v>
      </c>
      <c r="N58" s="184">
        <f t="shared" ca="1" si="6"/>
        <v>37816399.083926111</v>
      </c>
      <c r="O58" s="180">
        <f t="shared" si="7"/>
        <v>302531192.67140889</v>
      </c>
      <c r="P58" s="180">
        <f t="shared" ca="1" si="8"/>
        <v>37816399.083926111</v>
      </c>
      <c r="Q58" s="185">
        <f t="shared" si="9"/>
        <v>302531192.67140889</v>
      </c>
      <c r="R58" s="185">
        <f t="shared" ca="1" si="10"/>
        <v>37816399.083926111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244569956.856884</v>
      </c>
      <c r="I59" s="114">
        <f t="shared" si="1"/>
        <v>50871075.889926001</v>
      </c>
      <c r="J59" s="114">
        <f t="shared" si="2"/>
        <v>140377111.709232</v>
      </c>
      <c r="K59" s="114">
        <f t="shared" si="3"/>
        <v>435818144.45604205</v>
      </c>
      <c r="L59" s="187">
        <f t="shared" si="4"/>
        <v>0.73068944763499455</v>
      </c>
      <c r="M59" s="184">
        <f t="shared" si="5"/>
        <v>160629697.87512124</v>
      </c>
      <c r="N59" s="184">
        <f t="shared" ca="1" si="6"/>
        <v>20078712.234390154</v>
      </c>
      <c r="O59" s="180">
        <f t="shared" si="7"/>
        <v>160629697.87512124</v>
      </c>
      <c r="P59" s="180">
        <f t="shared" ca="1" si="8"/>
        <v>20078712.234390154</v>
      </c>
      <c r="Q59" s="185">
        <f t="shared" si="9"/>
        <v>160629697.87512124</v>
      </c>
      <c r="R59" s="185">
        <f t="shared" ca="1" si="10"/>
        <v>20078712.234390154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141277908.08000001</v>
      </c>
      <c r="I60" s="114">
        <f t="shared" si="1"/>
        <v>0</v>
      </c>
      <c r="J60" s="114">
        <f t="shared" si="2"/>
        <v>0</v>
      </c>
      <c r="K60" s="114">
        <f t="shared" si="3"/>
        <v>141277908.08000001</v>
      </c>
      <c r="L60" s="187">
        <f t="shared" si="4"/>
        <v>0.31830337619266502</v>
      </c>
      <c r="M60" s="184">
        <f t="shared" si="5"/>
        <v>302568807.49642003</v>
      </c>
      <c r="N60" s="184">
        <f t="shared" ca="1" si="6"/>
        <v>37821100.937052503</v>
      </c>
      <c r="O60" s="180">
        <f t="shared" si="7"/>
        <v>302568807.49642003</v>
      </c>
      <c r="P60" s="180">
        <f t="shared" ca="1" si="8"/>
        <v>37821100.937052503</v>
      </c>
      <c r="Q60" s="185">
        <f t="shared" si="9"/>
        <v>302568807.49642003</v>
      </c>
      <c r="R60" s="185">
        <f t="shared" ca="1" si="10"/>
        <v>37821100.937052503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247262073.661796</v>
      </c>
      <c r="I61" s="114">
        <f t="shared" si="1"/>
        <v>74593473.544082999</v>
      </c>
      <c r="J61" s="114">
        <f t="shared" si="2"/>
        <v>86899366.509556994</v>
      </c>
      <c r="K61" s="114">
        <f t="shared" si="3"/>
        <v>408754913.71543598</v>
      </c>
      <c r="L61" s="187">
        <f t="shared" si="4"/>
        <v>0.72854932122489058</v>
      </c>
      <c r="M61" s="184">
        <f t="shared" si="5"/>
        <v>152298266.63508201</v>
      </c>
      <c r="N61" s="184">
        <f t="shared" ca="1" si="6"/>
        <v>19037283.329385251</v>
      </c>
      <c r="O61" s="180">
        <f t="shared" si="7"/>
        <v>152298266.63508201</v>
      </c>
      <c r="P61" s="180">
        <f t="shared" ca="1" si="8"/>
        <v>19037283.329385251</v>
      </c>
      <c r="Q61" s="185">
        <f t="shared" si="9"/>
        <v>152298266.63508201</v>
      </c>
      <c r="R61" s="185">
        <f t="shared" ca="1" si="10"/>
        <v>19037283.329385251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366693554.349226</v>
      </c>
      <c r="I62" s="114">
        <f t="shared" si="1"/>
        <v>53438896.384860002</v>
      </c>
      <c r="J62" s="114">
        <f t="shared" si="2"/>
        <v>176397866.26993099</v>
      </c>
      <c r="K62" s="114">
        <f t="shared" si="3"/>
        <v>596530317.004017</v>
      </c>
      <c r="L62" s="187">
        <f t="shared" si="4"/>
        <v>0.85406538709842494</v>
      </c>
      <c r="M62" s="184">
        <f t="shared" si="5"/>
        <v>101929456.70329881</v>
      </c>
      <c r="N62" s="184">
        <f t="shared" ca="1" si="6"/>
        <v>12741182.087912351</v>
      </c>
      <c r="O62" s="180">
        <f t="shared" si="7"/>
        <v>101929456.70329881</v>
      </c>
      <c r="P62" s="180">
        <f t="shared" ca="1" si="8"/>
        <v>12741182.087912351</v>
      </c>
      <c r="Q62" s="185">
        <f t="shared" si="9"/>
        <v>101929456.70329881</v>
      </c>
      <c r="R62" s="185">
        <f t="shared" ca="1" si="10"/>
        <v>12741182.087912351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146617311.020199</v>
      </c>
      <c r="I63" s="114">
        <f t="shared" si="1"/>
        <v>35533276.132996</v>
      </c>
      <c r="J63" s="114">
        <f t="shared" si="2"/>
        <v>154847690.786017</v>
      </c>
      <c r="K63" s="114">
        <f t="shared" si="3"/>
        <v>336998277.93921196</v>
      </c>
      <c r="L63" s="187">
        <f t="shared" si="4"/>
        <v>0.73437666813816538</v>
      </c>
      <c r="M63" s="184">
        <f t="shared" si="5"/>
        <v>121891951.77572393</v>
      </c>
      <c r="N63" s="184">
        <f t="shared" ca="1" si="6"/>
        <v>15236493.971965492</v>
      </c>
      <c r="O63" s="180">
        <f t="shared" si="7"/>
        <v>121891951.77572393</v>
      </c>
      <c r="P63" s="180">
        <f t="shared" ca="1" si="8"/>
        <v>15236493.971965492</v>
      </c>
      <c r="Q63" s="185">
        <f t="shared" si="9"/>
        <v>121891951.77572393</v>
      </c>
      <c r="R63" s="185">
        <f t="shared" ca="1" si="10"/>
        <v>15236493.971965492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405942361.936782</v>
      </c>
      <c r="I64" s="114">
        <f t="shared" si="1"/>
        <v>157965203.756598</v>
      </c>
      <c r="J64" s="114">
        <f t="shared" si="2"/>
        <v>202176569.57731301</v>
      </c>
      <c r="K64" s="114">
        <f t="shared" si="3"/>
        <v>766084135.27069306</v>
      </c>
      <c r="L64" s="187">
        <f t="shared" si="4"/>
        <v>0.79730585979368995</v>
      </c>
      <c r="M64" s="184">
        <f t="shared" si="5"/>
        <v>194756834.17724776</v>
      </c>
      <c r="N64" s="184">
        <f t="shared" ca="1" si="6"/>
        <v>24344604.27215597</v>
      </c>
      <c r="O64" s="180">
        <f t="shared" si="7"/>
        <v>194756834.17724776</v>
      </c>
      <c r="P64" s="180">
        <f t="shared" ca="1" si="8"/>
        <v>24344604.27215597</v>
      </c>
      <c r="Q64" s="185">
        <f t="shared" si="9"/>
        <v>194756834.17724776</v>
      </c>
      <c r="R64" s="185">
        <f t="shared" ca="1" si="10"/>
        <v>24344604.27215597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144462355.15860701</v>
      </c>
      <c r="I65" s="114">
        <f t="shared" si="1"/>
        <v>102919176.05603701</v>
      </c>
      <c r="J65" s="114">
        <f t="shared" si="2"/>
        <v>126831108.058918</v>
      </c>
      <c r="K65" s="114">
        <f t="shared" si="3"/>
        <v>374212639.27356201</v>
      </c>
      <c r="L65" s="187">
        <f t="shared" si="4"/>
        <v>0.72133024821510094</v>
      </c>
      <c r="M65" s="184">
        <f t="shared" si="5"/>
        <v>144568654.31496316</v>
      </c>
      <c r="N65" s="184">
        <f t="shared" ca="1" si="6"/>
        <v>18071081.789370395</v>
      </c>
      <c r="O65" s="180">
        <f t="shared" si="7"/>
        <v>144568654.31496316</v>
      </c>
      <c r="P65" s="180">
        <f t="shared" ca="1" si="8"/>
        <v>18071081.789370395</v>
      </c>
      <c r="Q65" s="185">
        <f t="shared" si="9"/>
        <v>144568654.31496316</v>
      </c>
      <c r="R65" s="185">
        <f t="shared" ca="1" si="10"/>
        <v>18071081.789370395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3087851736.4658904</v>
      </c>
      <c r="I66" s="135">
        <f t="shared" si="12"/>
        <v>770377727.19187188</v>
      </c>
      <c r="J66" s="135">
        <f t="shared" si="12"/>
        <v>2138526693.3926489</v>
      </c>
      <c r="K66" s="135">
        <f t="shared" si="12"/>
        <v>5996756157.0504122</v>
      </c>
      <c r="L66" s="189">
        <f t="shared" si="4"/>
        <v>0.69258585316718901</v>
      </c>
      <c r="M66" s="181">
        <f>SUM(M52:M65)</f>
        <v>2661746077.1885614</v>
      </c>
      <c r="N66" s="181">
        <f t="shared" ca="1" si="6"/>
        <v>332718259.64857018</v>
      </c>
      <c r="O66" s="181">
        <f>SUM(O52:O65)</f>
        <v>2661746077.1885614</v>
      </c>
      <c r="P66" s="181">
        <f t="shared" ca="1" si="8"/>
        <v>332718259.64857018</v>
      </c>
      <c r="Q66" s="186">
        <f>SUM(Q52:Q65)</f>
        <v>2661746077.1885614</v>
      </c>
      <c r="R66" s="186">
        <f t="shared" ca="1" si="10"/>
        <v>332718259.64857018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5" t="s">
        <v>144</v>
      </c>
      <c r="C68" s="296"/>
      <c r="D68" s="296"/>
      <c r="E68" s="296"/>
      <c r="F68" s="298"/>
      <c r="G68" s="265" t="s">
        <v>185</v>
      </c>
      <c r="H68" s="266"/>
      <c r="I68" s="266"/>
      <c r="J68" s="266"/>
      <c r="K68" s="266"/>
      <c r="L68" s="267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185336714.259139</v>
      </c>
      <c r="F70" s="187">
        <f t="shared" ref="F70:F75" si="13">IFERROR(E70/D70,0)</f>
        <v>0.68801708242509041</v>
      </c>
      <c r="G70" s="184">
        <f>D70*$H$41-E70</f>
        <v>84041356.42171216</v>
      </c>
      <c r="H70" s="184">
        <f t="shared" ref="H70:H75" ca="1" si="14">IFERROR(G70/$C$3,0)</f>
        <v>10505169.55271402</v>
      </c>
      <c r="I70" s="204">
        <f>D70*$J$41-E70</f>
        <v>84041356.42171216</v>
      </c>
      <c r="J70" s="204">
        <f t="shared" ref="J70:J75" ca="1" si="15">IFERROR(I70/$C$3,0)</f>
        <v>10505169.55271402</v>
      </c>
      <c r="K70" s="185">
        <f>D70*$L$41-E70</f>
        <v>84041356.42171216</v>
      </c>
      <c r="L70" s="185">
        <f t="shared" ref="L70:L75" ca="1" si="16">IFERROR(K70/$C$3,0)</f>
        <v>10505169.55271402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361269834.38387102</v>
      </c>
      <c r="F71" s="187">
        <f t="shared" si="13"/>
        <v>0.8754258204846348</v>
      </c>
      <c r="G71" s="184">
        <f>D71*$H$41-E71</f>
        <v>51409145.296980083</v>
      </c>
      <c r="H71" s="184">
        <f t="shared" ca="1" si="14"/>
        <v>6426143.1621225104</v>
      </c>
      <c r="I71" s="204">
        <f>D71*$J$41-E71</f>
        <v>51409145.296980083</v>
      </c>
      <c r="J71" s="204">
        <f t="shared" ca="1" si="15"/>
        <v>6426143.1621225104</v>
      </c>
      <c r="K71" s="185">
        <f>D71*$L$41-E71</f>
        <v>51409145.296980083</v>
      </c>
      <c r="L71" s="185">
        <f t="shared" ca="1" si="16"/>
        <v>6426143.1621225104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576883685.21312296</v>
      </c>
      <c r="F72" s="187">
        <f t="shared" si="13"/>
        <v>0.52552411675403421</v>
      </c>
      <c r="G72" s="184">
        <f>D72*$H$41-E72</f>
        <v>520846498.46772802</v>
      </c>
      <c r="H72" s="184">
        <f t="shared" ca="1" si="14"/>
        <v>65105812.308466002</v>
      </c>
      <c r="I72" s="204">
        <f>D72*$J$41-E72</f>
        <v>520846498.46772802</v>
      </c>
      <c r="J72" s="204">
        <f t="shared" ca="1" si="15"/>
        <v>65105812.308466002</v>
      </c>
      <c r="K72" s="185">
        <f>D72*$L$41-E72</f>
        <v>520846498.46772802</v>
      </c>
      <c r="L72" s="185">
        <f t="shared" ca="1" si="16"/>
        <v>65105812.308466002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1123490233.856133</v>
      </c>
      <c r="F75" s="177">
        <f t="shared" si="13"/>
        <v>0.63124974287194557</v>
      </c>
      <c r="G75" s="181">
        <f>SUM(G70:G74)</f>
        <v>656297000.1864202</v>
      </c>
      <c r="H75" s="181">
        <f t="shared" ca="1" si="14"/>
        <v>82037125.023302525</v>
      </c>
      <c r="I75" s="186">
        <f>SUM(I70:I74)</f>
        <v>656297000.1864202</v>
      </c>
      <c r="J75" s="186">
        <f t="shared" ca="1" si="15"/>
        <v>82037125.023302525</v>
      </c>
      <c r="K75" s="186">
        <f>SUM(K70:K74)</f>
        <v>656297000.1864202</v>
      </c>
      <c r="L75" s="186">
        <f t="shared" ca="1" si="16"/>
        <v>82037125.023302525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4" t="s">
        <v>170</v>
      </c>
      <c r="C78" s="255"/>
      <c r="D78" s="256"/>
    </row>
    <row r="79" spans="2:21" ht="17.100000000000001" customHeight="1" x14ac:dyDescent="0.25">
      <c r="B79" s="264" t="s">
        <v>41</v>
      </c>
      <c r="C79" s="264" t="s">
        <v>42</v>
      </c>
      <c r="D79" s="231" t="s">
        <v>138</v>
      </c>
    </row>
    <row r="80" spans="2:21" ht="17.100000000000001" customHeight="1" x14ac:dyDescent="0.25">
      <c r="B80" s="263"/>
      <c r="C80" s="263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352983428.40985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162057659.12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11063062.76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259860907.259765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90747207.699977994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963303600.31974995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248061267.46952599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9801801.5399999991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55116918.270000003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548506316.76935101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129120721.229927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16690378.705800001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149392435.73500001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1297297.3500000001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2998003002.6389475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174</v>
      </c>
      <c r="C40" s="275"/>
      <c r="D40" s="276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4" t="s">
        <v>176</v>
      </c>
      <c r="C40" s="275"/>
      <c r="D40" s="276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7" t="s">
        <v>146</v>
      </c>
      <c r="C48" s="278"/>
      <c r="D48" s="278"/>
      <c r="E48" s="278"/>
      <c r="F48" s="278"/>
      <c r="G48" s="278"/>
      <c r="H48" s="278"/>
      <c r="I48" s="278"/>
      <c r="J48" s="278"/>
      <c r="K48" s="278"/>
      <c r="L48" s="288"/>
      <c r="M48" s="265" t="s">
        <v>185</v>
      </c>
      <c r="N48" s="266"/>
      <c r="O48" s="266"/>
      <c r="P48" s="266"/>
      <c r="Q48" s="266"/>
      <c r="R48" s="267"/>
    </row>
    <row r="49" spans="2:21" ht="17.100000000000001" customHeight="1" x14ac:dyDescent="0.25">
      <c r="B49" s="289" t="s">
        <v>41</v>
      </c>
      <c r="C49" s="289" t="s">
        <v>42</v>
      </c>
      <c r="D49" s="258" t="s">
        <v>137</v>
      </c>
      <c r="E49" s="259"/>
      <c r="F49" s="259"/>
      <c r="G49" s="260"/>
      <c r="H49" s="290" t="s">
        <v>138</v>
      </c>
      <c r="I49" s="291"/>
      <c r="J49" s="291"/>
      <c r="K49" s="292"/>
      <c r="L49" s="293" t="s">
        <v>139</v>
      </c>
      <c r="M49" s="268" t="str">
        <f>"SELISIH"&amp;CHAR(10)&amp;TEXT($H$40,"0%")</f>
        <v>SELISIH
90%</v>
      </c>
      <c r="N49" s="268" t="str">
        <f>"PER HARI"&amp;CHAR(10)&amp;TEXT($H$40,"0%")</f>
        <v>PER HARI
90%</v>
      </c>
      <c r="O49" s="270" t="str">
        <f>"SELISIH"&amp;CHAR(10)&amp;TEXT($J$40,"0%")</f>
        <v>SELISIH
95%</v>
      </c>
      <c r="P49" s="270" t="str">
        <f>"PER HARI"&amp;CHAR(10)&amp;TEXT($J$40,"0%")</f>
        <v>PER HARI
95%</v>
      </c>
      <c r="Q49" s="272" t="str">
        <f>"SELISIH"&amp;CHAR(10)&amp;TEXT($L$40,"0%")</f>
        <v>SELISIH
100%</v>
      </c>
      <c r="R49" s="272" t="str">
        <f>"PER HARI"&amp;CHAR(10)&amp;TEXT($L$40,"0%")</f>
        <v>PER HARI
100%</v>
      </c>
    </row>
    <row r="50" spans="2:21" ht="17.100000000000001" customHeight="1" x14ac:dyDescent="0.25">
      <c r="B50" s="264"/>
      <c r="C50" s="26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69"/>
      <c r="N50" s="269"/>
      <c r="O50" s="271"/>
      <c r="P50" s="271"/>
      <c r="Q50" s="273"/>
      <c r="R50" s="27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5" t="s">
        <v>144</v>
      </c>
      <c r="C67" s="296"/>
      <c r="D67" s="296"/>
      <c r="E67" s="296"/>
      <c r="F67" s="298"/>
      <c r="G67" s="265" t="s">
        <v>185</v>
      </c>
      <c r="H67" s="266"/>
      <c r="I67" s="266"/>
      <c r="J67" s="266"/>
      <c r="K67" s="266"/>
      <c r="L67" s="26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64" t="s">
        <v>41</v>
      </c>
      <c r="C78" s="264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2026-10-23T00:43:03Z</dcterms:modified>
  <dc:language>en-US</dc:language>
</cp:coreProperties>
</file>