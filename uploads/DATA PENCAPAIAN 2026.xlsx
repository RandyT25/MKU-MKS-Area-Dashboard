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<sst xmlns="http://schemas.openxmlformats.org/spreadsheetml/2006/main" count="2112" uniqueCount="228">
  <si>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</si>
  <si>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</si>
  <si>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</si>
  <si>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</si>
  <si>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</si>
  <si>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</si>
  <si>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</si>
  <si>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</si>
  <si>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</si>
  <si>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</si>
  <si>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</si>
  <si>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</si>
  <si>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</si>
  <si>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</si>
  <si>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</si>
  <si>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</si>
  <si>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</si>
  <si>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</si>
  <si>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</si>
  <si>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</si>
  <si>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</si>
  <si>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</si>
  <si>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</si>
  <si>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</si>
  <si>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</si>
  <si>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</si>
  <si>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</si>
  <si>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</si>
  <si>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</si>
  <si>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</si>
  <si>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</si>
  <si>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</si>
  <si>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</si>
  <si>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</si>
  <si>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</si>
  <si>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</si>
  <si>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</si>
  <si>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</si>
  <si>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</si>
  <si>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</si>
  <si>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</si>
  <si>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</si>
  <si>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</si>
  <si>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</si>
  <si>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</si>
  <si>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</si>
  <si>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</si>
  <si>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</si>
  <si>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</si>
  <si>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</si>
  <si>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</si>
  <si>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</si>
  <si>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</si>
  <si>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</si>
  <si>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</si>
  <si>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</si>
  <si>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</si>
  <si>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</si>
  <si>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</si>
  <si>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</si>
  <si>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</si>
  <si>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</si>
  <si>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</si>
  <si>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</si>
  <si>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</si>
  <si>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</si>
  <si>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</si>
  <si>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</si>
  <si>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</si>
  <si>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</si>
  <si>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</si>
  <si>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</si>
  <si>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</si>
  <si>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</si>
  <si>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</si>
  <si>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</si>
  <si>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</si>
  <si>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</si>
  <si>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</si>
  <si>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</si>
  <si>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</si>
  <si>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</si>
  <si>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</si>
  <si>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</si>
  <si>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</si>
  <si>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</si>
  <si>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</si>
  <si>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</si>
  <si>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</si>
  <si>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</si>
  <si>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</si>
  <si>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</si>
  <si>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</si>
  <si>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</si>
  <si>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</si>
  <si>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</si>
  <si>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</si>
  <si>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</si>
  <si>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</si>
  <si>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</si>
  <si>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</si>
  <si>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</si>
  <si>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</si>
  <si>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</si>
  <si>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</si>
  <si>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</si>
  <si>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</si>
  <si>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</si>
  <si>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</si>
  <si>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</si>
  <si>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</si>
  <si>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</si>
  <si>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</si>
  <si>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</si>
  <si>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</si>
  <si>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</si>
  <si>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</si>
  <si>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</si>
  <si>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</si>
  <si>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</si>
  <si>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</si>
  <si>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</si>
  <si>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</si>
  <si>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</si>
  <si>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</si>
  <si>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</si>
  <si>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</si>
  <si>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</si>
  <si>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</si>
  <si>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</si>
  <si>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</si>
  <si>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</si>
  <si>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</si>
  <si>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</si>
  <si>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</si>
  <si>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</si>
  <si>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</si>
  <si>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</si>
  <si>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</si>
  <si>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</si>
  <si>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</si>
  <si>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</si>
  <si>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</si>
  <si>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</si>
  <si>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</si>
  <si>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</si>
  <si>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</si>
  <si>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</si>
  <si>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</si>
  <si>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</si>
  <si>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</si>
  <si>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</si>
  <si>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</si>
  <si>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</si>
  <si>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</si>
  <si>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</si>
  <si>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</si>
  <si>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</si>
  <si>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</si>
  <si>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</si>
  <si>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</si>
  <si>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</si>
  <si>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</si>
  <si>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</si>
  <si>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</si>
  <si>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</si>
  <si>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</si>
  <si>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</si>
  <si>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</si>
  <si>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</si>
  <si>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</si>
  <si>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</si>
  <si>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</si>
  <si>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</si>
  <si>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</si>
  <si>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</si>
  <si>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</si>
  <si>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</si>
  <si>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</si>
  <si>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</si>
  <si>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</si>
  <si>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</si>
  <si>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</si>
  <si>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</si>
  <si>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</si>
  <si>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</si>
  <si>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</si>
  <si>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</si>
  <si>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</si>
  <si>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</si>
  <si>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</si>
  <si>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</si>
  <si>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</si>
  <si>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</si>
  <si>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</si>
  <si>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</si>
  <si>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</si>
  <si>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</si>
  <si>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</si>
  <si>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</si>
  <si>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</si>
  <si>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</si>
  <si>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</si>
  <si>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</si>
  <si>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</si>
  <si>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</si>
  <si>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</si>
  <si>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</si>
  <si>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</si>
  <si>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</si>
  <si>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</si>
  <si>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</si>
  <si>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</si>
  <si>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</si>
  <si>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</si>
  <si>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</si>
  <si>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</si>
  <si>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</si>
  <si>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</si>
  <si>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</si>
  <si>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</si>
  <si>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</si>
  <si>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</si>
  <si>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</si>
  <si>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</si>
  <si>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</si>
  <si>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</si>
  <si>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14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</si>
</sst>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B67" zoomScale="73" zoomScaleNormal="73" workbookViewId="0">
      <selection activeCell="F86" sqref="F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15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94300637.951456994</v>
      </c>
      <c r="D10" s="234">
        <v>20944050.82</v>
      </c>
      <c r="E10" s="234">
        <v>99411702.953909993</v>
      </c>
      <c r="F10" s="234">
        <v>76315833.649960995</v>
      </c>
      <c r="G10" s="234">
        <v>290972225.375328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3750000</v>
      </c>
      <c r="D11" s="234">
        <v>8173668</v>
      </c>
      <c r="E11" s="234">
        <v>148761261.99939999</v>
      </c>
      <c r="F11" s="234">
        <v>0</v>
      </c>
      <c r="G11" s="234">
        <v>160684929.99939999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90457134.376817003</v>
      </c>
      <c r="D12" s="234">
        <v>47804580.981486998</v>
      </c>
      <c r="E12" s="234">
        <v>75155055.669801995</v>
      </c>
      <c r="F12" s="234">
        <v>34989283.75</v>
      </c>
      <c r="G12" s="234">
        <v>248406054.778106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17858099.384810001</v>
      </c>
      <c r="D13" s="234">
        <v>11385728.009987</v>
      </c>
      <c r="E13" s="234">
        <v>105548694.69976901</v>
      </c>
      <c r="F13" s="234">
        <v>23539329.489999998</v>
      </c>
      <c r="G13" s="234">
        <v>158331851.584566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217006066.54874799</v>
      </c>
      <c r="D14" s="234">
        <v>21781667.005913999</v>
      </c>
      <c r="E14" s="234">
        <v>80743855.929943994</v>
      </c>
      <c r="F14" s="234">
        <v>178712210.57987499</v>
      </c>
      <c r="G14" s="234">
        <v>498243800.06448102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512902821.09112298</v>
      </c>
      <c r="D15" s="234">
        <v>3499064.7569960002</v>
      </c>
      <c r="E15" s="234">
        <v>30690917.85997</v>
      </c>
      <c r="F15" s="234">
        <v>11200000.32</v>
      </c>
      <c r="G15" s="234">
        <v>558292804.02808905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225357040.79817799</v>
      </c>
      <c r="D16" s="234">
        <v>22434819.63998</v>
      </c>
      <c r="E16" s="234">
        <v>156468829.24970099</v>
      </c>
      <c r="F16" s="234">
        <v>526669634.76998198</v>
      </c>
      <c r="G16" s="234">
        <v>930930324.45784104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60141278.285573997</v>
      </c>
      <c r="D17" s="234">
        <v>9978337.7908999994</v>
      </c>
      <c r="E17" s="234">
        <v>52967051.869258001</v>
      </c>
      <c r="F17" s="234">
        <v>23000000.5</v>
      </c>
      <c r="G17" s="234">
        <v>146086668.445732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8495810</v>
      </c>
      <c r="D18" s="234">
        <v>88602544.295750007</v>
      </c>
      <c r="E18" s="234">
        <v>35293741.5</v>
      </c>
      <c r="F18" s="234">
        <v>59881082.359999999</v>
      </c>
      <c r="G18" s="234">
        <v>192273178.15575001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37937447.460000001</v>
      </c>
      <c r="D19" s="234">
        <v>0</v>
      </c>
      <c r="E19" s="234">
        <v>0</v>
      </c>
      <c r="F19" s="234">
        <v>4684684.5599999996</v>
      </c>
      <c r="G19" s="234">
        <v>42622132.020000003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101915659.56</v>
      </c>
      <c r="D20" s="234">
        <v>0</v>
      </c>
      <c r="E20" s="234">
        <v>0</v>
      </c>
      <c r="F20" s="234">
        <v>5723693.54</v>
      </c>
      <c r="G20" s="234">
        <v>107639353.09999999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138779411.85907</v>
      </c>
      <c r="D21" s="234">
        <v>27897366.944974001</v>
      </c>
      <c r="E21" s="234">
        <v>78549937.029896006</v>
      </c>
      <c r="F21" s="234">
        <v>205798588.24992001</v>
      </c>
      <c r="G21" s="234">
        <v>451025304.08385998</v>
      </c>
      <c r="H21" s="111"/>
      <c r="I21" s="111"/>
      <c r="J21" s="111"/>
      <c r="M21" s="14">
        <f>SUM(C33,C34)+M20</f>
        <v>331139383.81018001</v>
      </c>
      <c r="N21" s="10" t="s">
        <v>224</v>
      </c>
    </row>
    <row r="22" spans="2:15" ht="15" customHeight="1" x14ac:dyDescent="0.25">
      <c r="B22" s="72" t="s">
        <v>125</v>
      </c>
      <c r="C22" s="234">
        <v>122963699.481111</v>
      </c>
      <c r="D22" s="234">
        <v>36359093.799973004</v>
      </c>
      <c r="E22" s="234">
        <v>99646577.797502995</v>
      </c>
      <c r="F22" s="234">
        <v>160386697.35973001</v>
      </c>
      <c r="G22" s="234">
        <v>419356068.438317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246152018.821336</v>
      </c>
      <c r="D23" s="234">
        <v>31651916.244963001</v>
      </c>
      <c r="E23" s="234">
        <v>107975721.769917</v>
      </c>
      <c r="F23" s="234">
        <v>299201801.53968298</v>
      </c>
      <c r="G23" s="234">
        <v>684981458.37589896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112131143.770466</v>
      </c>
      <c r="D24" s="234">
        <v>26436621.659975</v>
      </c>
      <c r="E24" s="234">
        <v>91731288.128275007</v>
      </c>
      <c r="F24" s="234">
        <v>28644143.870000001</v>
      </c>
      <c r="G24" s="234">
        <v>258943197.428716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138186464.73536199</v>
      </c>
      <c r="D25" s="234">
        <v>49441138.601727001</v>
      </c>
      <c r="E25" s="234">
        <v>54299554.287846997</v>
      </c>
      <c r="F25" s="234">
        <v>20000000.43</v>
      </c>
      <c r="G25" s="234">
        <v>261927158.05493599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252837877.07610399</v>
      </c>
      <c r="D26" s="234">
        <v>150942202.70816001</v>
      </c>
      <c r="E26" s="234">
        <v>166101717.34703001</v>
      </c>
      <c r="F26" s="234">
        <v>7660216.3833999997</v>
      </c>
      <c r="G26" s="234">
        <v>577542013.51469398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106473741.715563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84600229.289704993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67261415.257090002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263877968.55309001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227</v>
      </c>
      <c r="C40" s="270"/>
      <c r="D40" s="271"/>
      <c r="E40" s="66" t="s">
        <v>137</v>
      </c>
      <c r="F40" s="174">
        <f ca="1">IF(MONTH(TODAY())=9,DAY(TODAY())/DAY(EOMONTH(TODAY(),0)),IF(MONTH(TODAY())&gt;9,1,0))</f>
        <v>0.46666666666666667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1868269790.1090329</v>
      </c>
      <c r="F42" s="176">
        <f>IFERROR(E42/D42,0)</f>
        <v>0.41408652275497265</v>
      </c>
      <c r="G42" s="184">
        <f>D42*$H$40-E42</f>
        <v>2643516243.5903635</v>
      </c>
      <c r="H42" s="184">
        <f ca="1">IFERROR(G42/$C$3,0)</f>
        <v>176234416.23935756</v>
      </c>
      <c r="I42" s="204">
        <f>D42*$J$40-E42</f>
        <v>2643516243.5903635</v>
      </c>
      <c r="J42" s="204">
        <f ca="1">IFERROR(I42/$C$3,0)</f>
        <v>176234416.23935756</v>
      </c>
      <c r="K42" s="185">
        <f>D42*$L$40-E42</f>
        <v>2643516243.5903635</v>
      </c>
      <c r="L42" s="185">
        <f ca="1">IFERROR(K42/$C$3,0)</f>
        <v>176234416.23935756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553833736.50379002</v>
      </c>
      <c r="F43" s="176">
        <f>IFERROR(E43/D43,0)</f>
        <v>0.39521010856198002</v>
      </c>
      <c r="G43" s="184">
        <f>D43*$H$40-E43</f>
        <v>847531574.01162493</v>
      </c>
      <c r="H43" s="184">
        <f ca="1">IFERROR(G43/$C$3,0)</f>
        <v>56502104.934108332</v>
      </c>
      <c r="I43" s="204">
        <f>D43*$J$40-E43</f>
        <v>847531574.01162493</v>
      </c>
      <c r="J43" s="204">
        <f ca="1">IFERROR(I43/$C$3,0)</f>
        <v>56502104.934108332</v>
      </c>
      <c r="K43" s="185">
        <f>D43*$L$40-E43</f>
        <v>847531574.01162493</v>
      </c>
      <c r="L43" s="185">
        <f ca="1">IFERROR(K43/$C$3,0)</f>
        <v>56502104.934108332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1352654990.2322519</v>
      </c>
      <c r="F44" s="176">
        <f>IFERROR(E44/D44,0)</f>
        <v>0.45933457938317929</v>
      </c>
      <c r="G44" s="184">
        <f>IF(D44=0,0,D44*$H$40-E44)</f>
        <v>1592159206.0964334</v>
      </c>
      <c r="H44" s="184">
        <f ca="1">IFERROR(G44/$C$3,0)</f>
        <v>106143947.07309556</v>
      </c>
      <c r="I44" s="204">
        <f>IF(D44=0,0,D44*$J$40-E44)</f>
        <v>1592159206.0964334</v>
      </c>
      <c r="J44" s="204">
        <f ca="1">IFERROR(I44/$C$3,0)</f>
        <v>106143947.07309556</v>
      </c>
      <c r="K44" s="185">
        <f>IF(D44=0,0,D44*$L$40-E44)</f>
        <v>1592159206.0964334</v>
      </c>
      <c r="L44" s="185">
        <f ca="1">IFERROR(K44/$C$3,0)</f>
        <v>106143947.07309556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522213354.81544799</v>
      </c>
      <c r="F45" s="176">
        <f>IFERROR(E45/D45,0)</f>
        <v>0.30004923809689554</v>
      </c>
      <c r="G45" s="184">
        <f>D45*$H$40-E45</f>
        <v>1218212177.0994456</v>
      </c>
      <c r="H45" s="184">
        <f ca="1">IFERROR(G45/$C$3,0)</f>
        <v>81214145.139963046</v>
      </c>
      <c r="I45" s="204">
        <f>D45*$J$40-E45</f>
        <v>1218212177.0994456</v>
      </c>
      <c r="J45" s="204">
        <f ca="1">IFERROR(I45/$C$3,0)</f>
        <v>81214145.139963046</v>
      </c>
      <c r="K45" s="185">
        <f>D45*$L$40-E45</f>
        <v>1218212177.0994456</v>
      </c>
      <c r="L45" s="185">
        <f ca="1">IFERROR(K45/$C$3,0)</f>
        <v>81214145.139963046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4296971871.6605225</v>
      </c>
      <c r="F46" s="177">
        <f>IFERROR(E46/D46,0)</f>
        <v>0.4054362442641779</v>
      </c>
      <c r="G46" s="181">
        <f>SUM(G42:G45)</f>
        <v>6301419200.7978668</v>
      </c>
      <c r="H46" s="181">
        <f ca="1">IFERROR(G46/$C$3,0)</f>
        <v>420094613.38652444</v>
      </c>
      <c r="I46" s="186">
        <f>SUM(I42:I45)</f>
        <v>6301419200.7978668</v>
      </c>
      <c r="J46" s="186">
        <f ca="1">IFERROR(I46/$C$3,0)</f>
        <v>420094613.38652444</v>
      </c>
      <c r="K46" s="186">
        <f>SUM(K42:K45)</f>
        <v>6301419200.7978668</v>
      </c>
      <c r="L46" s="186">
        <f ca="1">IFERROR(K46/$C$3,0)</f>
        <v>420094613.38652444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138779411.85907</v>
      </c>
      <c r="I51" s="114">
        <f t="shared" ref="I51:I64" si="1">SUMIF($B$10:$B$26,$T51,D$10:D$26)+SUMIF($B$10:$B$26,$U51,D$10:D$26)</f>
        <v>27897366.944974001</v>
      </c>
      <c r="J51" s="114">
        <f t="shared" ref="J51:J64" si="2">SUMIF($B$10:$B$26,$T51,E$10:E$26)+SUMIF($B$10:$B$26,$U51,E$10:E$26)</f>
        <v>78549937.029896006</v>
      </c>
      <c r="K51" s="114">
        <f t="shared" ref="K51:K64" si="3">SUM(H51:J51)</f>
        <v>245226715.83394003</v>
      </c>
      <c r="L51" s="187">
        <f t="shared" ref="L51:L65" si="4">IFERROR(K51/G51,0)</f>
        <v>0.47675388968553384</v>
      </c>
      <c r="M51" s="184">
        <f t="shared" ref="M51:M64" si="5">G51*$H$40-K51</f>
        <v>269140804.05287457</v>
      </c>
      <c r="N51" s="184">
        <f t="shared" ref="N51:N65" ca="1" si="6">IFERROR(M51/$C$3,0)</f>
        <v>17942720.270191636</v>
      </c>
      <c r="O51" s="180">
        <f t="shared" ref="O51:O64" si="7">G51*$J$40-K51</f>
        <v>269140804.05287457</v>
      </c>
      <c r="P51" s="180">
        <f t="shared" ref="P51:P65" ca="1" si="8">IFERROR(O51/$C$3,0)</f>
        <v>17942720.270191636</v>
      </c>
      <c r="Q51" s="185">
        <f t="shared" ref="Q51:Q64" si="9">G51*$L$40-K51</f>
        <v>269140804.05287457</v>
      </c>
      <c r="R51" s="185">
        <f t="shared" ref="R51:R65" ca="1" si="10">IFERROR(Q51/$C$3,0)</f>
        <v>17942720.270191636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108315233.761627</v>
      </c>
      <c r="I52" s="114">
        <f t="shared" si="1"/>
        <v>59190308.991474003</v>
      </c>
      <c r="J52" s="114">
        <f t="shared" si="2"/>
        <v>180703750.369571</v>
      </c>
      <c r="K52" s="114">
        <f t="shared" si="3"/>
        <v>348209293.12267196</v>
      </c>
      <c r="L52" s="187">
        <f t="shared" si="4"/>
        <v>0.44328288592976639</v>
      </c>
      <c r="M52" s="184">
        <f t="shared" si="5"/>
        <v>437314588.29746962</v>
      </c>
      <c r="N52" s="184">
        <f t="shared" ca="1" si="6"/>
        <v>29154305.886497974</v>
      </c>
      <c r="O52" s="180">
        <f t="shared" si="7"/>
        <v>437314588.29746962</v>
      </c>
      <c r="P52" s="180">
        <f t="shared" ca="1" si="8"/>
        <v>29154305.886497974</v>
      </c>
      <c r="Q52" s="185">
        <f t="shared" si="9"/>
        <v>437314588.29746962</v>
      </c>
      <c r="R52" s="185">
        <f t="shared" ca="1" si="10"/>
        <v>29154305.886497974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37937447.460000001</v>
      </c>
      <c r="I53" s="114">
        <f t="shared" si="1"/>
        <v>0</v>
      </c>
      <c r="J53" s="114">
        <f t="shared" si="2"/>
        <v>0</v>
      </c>
      <c r="K53" s="114">
        <f t="shared" si="3"/>
        <v>37937447.460000001</v>
      </c>
      <c r="L53" s="187">
        <f t="shared" si="4"/>
        <v>0.14427457493194137</v>
      </c>
      <c r="M53" s="184">
        <f t="shared" si="5"/>
        <v>225015657.60301074</v>
      </c>
      <c r="N53" s="184">
        <f t="shared" ca="1" si="6"/>
        <v>15001043.840200717</v>
      </c>
      <c r="O53" s="180">
        <f t="shared" si="7"/>
        <v>225015657.60301074</v>
      </c>
      <c r="P53" s="180">
        <f t="shared" ca="1" si="8"/>
        <v>15001043.840200717</v>
      </c>
      <c r="Q53" s="185">
        <f t="shared" si="9"/>
        <v>225015657.60301074</v>
      </c>
      <c r="R53" s="185">
        <f t="shared" ca="1" si="10"/>
        <v>15001043.840200717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217006066.54874799</v>
      </c>
      <c r="I54" s="114">
        <f t="shared" si="1"/>
        <v>21781667.005913999</v>
      </c>
      <c r="J54" s="114">
        <f t="shared" si="2"/>
        <v>80743855.929943994</v>
      </c>
      <c r="K54" s="114">
        <f t="shared" si="3"/>
        <v>319531589.48460597</v>
      </c>
      <c r="L54" s="187">
        <f t="shared" si="4"/>
        <v>0.43971925926022132</v>
      </c>
      <c r="M54" s="184">
        <f t="shared" si="5"/>
        <v>407140219.30125958</v>
      </c>
      <c r="N54" s="184">
        <f t="shared" ca="1" si="6"/>
        <v>27142681.286750637</v>
      </c>
      <c r="O54" s="180">
        <f t="shared" si="7"/>
        <v>407140219.30125958</v>
      </c>
      <c r="P54" s="180">
        <f t="shared" ca="1" si="8"/>
        <v>27142681.286750637</v>
      </c>
      <c r="Q54" s="185">
        <f t="shared" si="9"/>
        <v>407140219.30125958</v>
      </c>
      <c r="R54" s="185">
        <f t="shared" ca="1" si="10"/>
        <v>27142681.286750637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3750000</v>
      </c>
      <c r="I55" s="114">
        <f t="shared" si="1"/>
        <v>8173668</v>
      </c>
      <c r="J55" s="114">
        <f t="shared" si="2"/>
        <v>148761261.99939999</v>
      </c>
      <c r="K55" s="114">
        <f t="shared" si="3"/>
        <v>160684929.99939999</v>
      </c>
      <c r="L55" s="187">
        <f t="shared" si="4"/>
        <v>0.29911509868338743</v>
      </c>
      <c r="M55" s="184">
        <f t="shared" si="5"/>
        <v>376516069.57128561</v>
      </c>
      <c r="N55" s="184">
        <f t="shared" ca="1" si="6"/>
        <v>25101071.304752372</v>
      </c>
      <c r="O55" s="180">
        <f t="shared" si="7"/>
        <v>376516069.57128561</v>
      </c>
      <c r="P55" s="180">
        <f t="shared" ca="1" si="8"/>
        <v>25101071.304752372</v>
      </c>
      <c r="Q55" s="185">
        <f t="shared" si="9"/>
        <v>376516069.57128561</v>
      </c>
      <c r="R55" s="185">
        <f t="shared" ca="1" si="10"/>
        <v>25101071.304752372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112131143.770466</v>
      </c>
      <c r="I56" s="114">
        <f t="shared" si="1"/>
        <v>26436621.659975</v>
      </c>
      <c r="J56" s="114">
        <f t="shared" si="2"/>
        <v>91731288.128275007</v>
      </c>
      <c r="K56" s="114">
        <f t="shared" si="3"/>
        <v>230299053.558716</v>
      </c>
      <c r="L56" s="187">
        <f t="shared" si="4"/>
        <v>0.40055771875105189</v>
      </c>
      <c r="M56" s="184">
        <f t="shared" si="5"/>
        <v>344646934.94150239</v>
      </c>
      <c r="N56" s="184">
        <f t="shared" ca="1" si="6"/>
        <v>22976462.329433493</v>
      </c>
      <c r="O56" s="180">
        <f t="shared" si="7"/>
        <v>344646934.94150239</v>
      </c>
      <c r="P56" s="180">
        <f t="shared" ca="1" si="8"/>
        <v>22976462.329433493</v>
      </c>
      <c r="Q56" s="185">
        <f t="shared" si="9"/>
        <v>344646934.94150239</v>
      </c>
      <c r="R56" s="185">
        <f t="shared" ca="1" si="10"/>
        <v>22976462.329433493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225357040.79817799</v>
      </c>
      <c r="I57" s="114">
        <f t="shared" si="1"/>
        <v>22434819.63998</v>
      </c>
      <c r="J57" s="114">
        <f t="shared" si="2"/>
        <v>156468829.24970099</v>
      </c>
      <c r="K57" s="114">
        <f t="shared" si="3"/>
        <v>404260689.68785894</v>
      </c>
      <c r="L57" s="187">
        <f t="shared" si="4"/>
        <v>0.36446673032271359</v>
      </c>
      <c r="M57" s="184">
        <f t="shared" si="5"/>
        <v>704923375.83688772</v>
      </c>
      <c r="N57" s="184">
        <f t="shared" ca="1" si="6"/>
        <v>46994891.722459182</v>
      </c>
      <c r="O57" s="180">
        <f t="shared" si="7"/>
        <v>704923375.83688772</v>
      </c>
      <c r="P57" s="180">
        <f t="shared" ca="1" si="8"/>
        <v>46994891.722459182</v>
      </c>
      <c r="Q57" s="185">
        <f t="shared" si="9"/>
        <v>704923375.83688772</v>
      </c>
      <c r="R57" s="185">
        <f t="shared" ca="1" si="10"/>
        <v>46994891.722459182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122963699.481111</v>
      </c>
      <c r="I58" s="114">
        <f t="shared" si="1"/>
        <v>36359093.799973004</v>
      </c>
      <c r="J58" s="114">
        <f t="shared" si="2"/>
        <v>99646577.797502995</v>
      </c>
      <c r="K58" s="114">
        <f t="shared" si="3"/>
        <v>258969371.078587</v>
      </c>
      <c r="L58" s="187">
        <f t="shared" si="4"/>
        <v>0.42137558073356779</v>
      </c>
      <c r="M58" s="184">
        <f t="shared" si="5"/>
        <v>355611499.0984419</v>
      </c>
      <c r="N58" s="184">
        <f t="shared" ca="1" si="6"/>
        <v>23707433.273229461</v>
      </c>
      <c r="O58" s="180">
        <f t="shared" si="7"/>
        <v>355611499.0984419</v>
      </c>
      <c r="P58" s="180">
        <f t="shared" ca="1" si="8"/>
        <v>23707433.273229461</v>
      </c>
      <c r="Q58" s="185">
        <f t="shared" si="9"/>
        <v>355611499.0984419</v>
      </c>
      <c r="R58" s="185">
        <f t="shared" ca="1" si="10"/>
        <v>23707433.273229461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101915659.56</v>
      </c>
      <c r="I59" s="114">
        <f t="shared" si="1"/>
        <v>0</v>
      </c>
      <c r="J59" s="114">
        <f t="shared" si="2"/>
        <v>0</v>
      </c>
      <c r="K59" s="114">
        <f t="shared" si="3"/>
        <v>101915659.56</v>
      </c>
      <c r="L59" s="187">
        <f t="shared" si="4"/>
        <v>0.22961904635847757</v>
      </c>
      <c r="M59" s="184">
        <f t="shared" si="5"/>
        <v>341931056.01642001</v>
      </c>
      <c r="N59" s="184">
        <f t="shared" ca="1" si="6"/>
        <v>22795403.734428</v>
      </c>
      <c r="O59" s="180">
        <f t="shared" si="7"/>
        <v>341931056.01642001</v>
      </c>
      <c r="P59" s="180">
        <f t="shared" ca="1" si="8"/>
        <v>22795403.734428</v>
      </c>
      <c r="Q59" s="185">
        <f t="shared" si="9"/>
        <v>341931056.01642001</v>
      </c>
      <c r="R59" s="185">
        <f t="shared" ca="1" si="10"/>
        <v>22795403.734428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138186464.73536199</v>
      </c>
      <c r="I60" s="114">
        <f t="shared" si="1"/>
        <v>49441138.601727001</v>
      </c>
      <c r="J60" s="114">
        <f t="shared" si="2"/>
        <v>54299554.287846997</v>
      </c>
      <c r="K60" s="114">
        <f t="shared" si="3"/>
        <v>241927157.62493598</v>
      </c>
      <c r="L60" s="187">
        <f t="shared" si="4"/>
        <v>0.41770186202863818</v>
      </c>
      <c r="M60" s="184">
        <f t="shared" si="5"/>
        <v>337259050.57144773</v>
      </c>
      <c r="N60" s="184">
        <f t="shared" ca="1" si="6"/>
        <v>22483936.704763182</v>
      </c>
      <c r="O60" s="180">
        <f t="shared" si="7"/>
        <v>337259050.57144773</v>
      </c>
      <c r="P60" s="180">
        <f t="shared" ca="1" si="8"/>
        <v>22483936.704763182</v>
      </c>
      <c r="Q60" s="185">
        <f t="shared" si="9"/>
        <v>337259050.57144773</v>
      </c>
      <c r="R60" s="185">
        <f t="shared" ca="1" si="10"/>
        <v>22483936.704763182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246152018.821336</v>
      </c>
      <c r="I61" s="114">
        <f t="shared" si="1"/>
        <v>31651916.244963001</v>
      </c>
      <c r="J61" s="114">
        <f t="shared" si="2"/>
        <v>107975721.769917</v>
      </c>
      <c r="K61" s="114">
        <f t="shared" si="3"/>
        <v>385779656.83621603</v>
      </c>
      <c r="L61" s="187">
        <f t="shared" si="4"/>
        <v>0.53835268230445044</v>
      </c>
      <c r="M61" s="184">
        <f t="shared" si="5"/>
        <v>330813144.7169655</v>
      </c>
      <c r="N61" s="184">
        <f t="shared" ca="1" si="6"/>
        <v>22054209.6477977</v>
      </c>
      <c r="O61" s="180">
        <f t="shared" si="7"/>
        <v>330813144.7169655</v>
      </c>
      <c r="P61" s="180">
        <f t="shared" ca="1" si="8"/>
        <v>22054209.6477977</v>
      </c>
      <c r="Q61" s="185">
        <f t="shared" si="9"/>
        <v>330813144.7169655</v>
      </c>
      <c r="R61" s="185">
        <f t="shared" ca="1" si="10"/>
        <v>22054209.6477977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94300637.951456994</v>
      </c>
      <c r="I62" s="114">
        <f t="shared" si="1"/>
        <v>20944050.82</v>
      </c>
      <c r="J62" s="114">
        <f t="shared" si="2"/>
        <v>99411702.953909993</v>
      </c>
      <c r="K62" s="114">
        <f t="shared" si="3"/>
        <v>214656391.72536698</v>
      </c>
      <c r="L62" s="187">
        <f t="shared" si="4"/>
        <v>0.44999145916487482</v>
      </c>
      <c r="M62" s="184">
        <f t="shared" si="5"/>
        <v>262366865.83543453</v>
      </c>
      <c r="N62" s="184">
        <f t="shared" ca="1" si="6"/>
        <v>17491124.38902897</v>
      </c>
      <c r="O62" s="180">
        <f t="shared" si="7"/>
        <v>262366865.83543453</v>
      </c>
      <c r="P62" s="180">
        <f t="shared" ca="1" si="8"/>
        <v>17491124.38902897</v>
      </c>
      <c r="Q62" s="185">
        <f t="shared" si="9"/>
        <v>262366865.83543453</v>
      </c>
      <c r="R62" s="185">
        <f t="shared" ca="1" si="10"/>
        <v>17491124.38902897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252837877.07610399</v>
      </c>
      <c r="I63" s="114">
        <f t="shared" si="1"/>
        <v>150942202.70816001</v>
      </c>
      <c r="J63" s="114">
        <f t="shared" si="2"/>
        <v>166101717.34703001</v>
      </c>
      <c r="K63" s="114">
        <f t="shared" si="3"/>
        <v>569881797.13129401</v>
      </c>
      <c r="L63" s="187">
        <f t="shared" si="4"/>
        <v>0.58212148505131633</v>
      </c>
      <c r="M63" s="184">
        <f t="shared" si="5"/>
        <v>409092200.16251254</v>
      </c>
      <c r="N63" s="184">
        <f t="shared" ca="1" si="6"/>
        <v>27272813.344167504</v>
      </c>
      <c r="O63" s="180">
        <f t="shared" si="7"/>
        <v>409092200.16251254</v>
      </c>
      <c r="P63" s="180">
        <f t="shared" ca="1" si="8"/>
        <v>27272813.344167504</v>
      </c>
      <c r="Q63" s="185">
        <f t="shared" si="9"/>
        <v>409092200.16251254</v>
      </c>
      <c r="R63" s="185">
        <f t="shared" ca="1" si="10"/>
        <v>27272813.344167504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68637088.285573989</v>
      </c>
      <c r="I64" s="114">
        <f t="shared" si="1"/>
        <v>98580882.086650014</v>
      </c>
      <c r="J64" s="114">
        <f t="shared" si="2"/>
        <v>88260793.369258001</v>
      </c>
      <c r="K64" s="114">
        <f t="shared" si="3"/>
        <v>255478763.74148202</v>
      </c>
      <c r="L64" s="187">
        <f t="shared" si="4"/>
        <v>0.47582780630428895</v>
      </c>
      <c r="M64" s="184">
        <f t="shared" si="5"/>
        <v>281435557.69290876</v>
      </c>
      <c r="N64" s="184">
        <f t="shared" ca="1" si="6"/>
        <v>18762370.512860585</v>
      </c>
      <c r="O64" s="180">
        <f t="shared" si="7"/>
        <v>281435557.69290876</v>
      </c>
      <c r="P64" s="180">
        <f t="shared" ca="1" si="8"/>
        <v>18762370.512860585</v>
      </c>
      <c r="Q64" s="185">
        <f t="shared" si="9"/>
        <v>281435557.69290876</v>
      </c>
      <c r="R64" s="185">
        <f t="shared" ca="1" si="10"/>
        <v>18762370.512860585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1868269790.1090329</v>
      </c>
      <c r="I65" s="135">
        <f t="shared" si="12"/>
        <v>553833736.50379002</v>
      </c>
      <c r="J65" s="135">
        <f t="shared" si="12"/>
        <v>1352654990.2322519</v>
      </c>
      <c r="K65" s="135">
        <f t="shared" si="12"/>
        <v>3774758516.8450747</v>
      </c>
      <c r="L65" s="189">
        <f t="shared" si="4"/>
        <v>0.42614283150772658</v>
      </c>
      <c r="M65" s="181">
        <f>SUM(M51:M64)</f>
        <v>5083207023.6984215</v>
      </c>
      <c r="N65" s="181">
        <f t="shared" ca="1" si="6"/>
        <v>338880468.24656141</v>
      </c>
      <c r="O65" s="181">
        <f>SUM(O51:O64)</f>
        <v>5083207023.6984215</v>
      </c>
      <c r="P65" s="181">
        <f t="shared" ca="1" si="8"/>
        <v>338880468.24656141</v>
      </c>
      <c r="Q65" s="186">
        <f>SUM(Q51:Q64)</f>
        <v>5083207023.6984215</v>
      </c>
      <c r="R65" s="186">
        <f t="shared" ca="1" si="10"/>
        <v>338880468.24656141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106473741.715563</v>
      </c>
      <c r="F69" s="187">
        <f t="shared" ref="F69:F74" si="13">IFERROR(E69/D69,0)</f>
        <v>0.41549511855210608</v>
      </c>
      <c r="G69" s="184">
        <f>D69*$H$40-E69</f>
        <v>149783761.58940163</v>
      </c>
      <c r="H69" s="184">
        <f t="shared" ref="H69:H74" ca="1" si="14">IFERROR(G69/$C$3,0)</f>
        <v>9985584.1059601083</v>
      </c>
      <c r="I69" s="204">
        <f>D69*$J$40-E69</f>
        <v>149783761.58940163</v>
      </c>
      <c r="J69" s="204">
        <f t="shared" ref="J69:J74" ca="1" si="15">IFERROR(I69/$C$3,0)</f>
        <v>9985584.1059601083</v>
      </c>
      <c r="K69" s="185">
        <f>D69*$L$40-E69</f>
        <v>149783761.58940163</v>
      </c>
      <c r="L69" s="185">
        <f t="shared" ref="L69:L74" ca="1" si="16">IFERROR(K69/$C$3,0)</f>
        <v>9985584.1059601083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84600229.289704993</v>
      </c>
      <c r="F70" s="187">
        <f t="shared" si="13"/>
        <v>0.21173432140163156</v>
      </c>
      <c r="G70" s="184">
        <f>D70*$H$40-E70</f>
        <v>314958183.01525962</v>
      </c>
      <c r="H70" s="184">
        <f t="shared" ca="1" si="14"/>
        <v>20997212.201017309</v>
      </c>
      <c r="I70" s="204">
        <f>D70*$J$40-E70</f>
        <v>314958183.01525962</v>
      </c>
      <c r="J70" s="204">
        <f t="shared" ca="1" si="15"/>
        <v>20997212.201017309</v>
      </c>
      <c r="K70" s="185">
        <f>D70*$L$40-E70</f>
        <v>314958183.01525962</v>
      </c>
      <c r="L70" s="185">
        <f t="shared" ca="1" si="16"/>
        <v>20997212.201017309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331139383.81018001</v>
      </c>
      <c r="F71" s="187">
        <f t="shared" si="13"/>
        <v>0.30530743857711851</v>
      </c>
      <c r="G71" s="184">
        <f>D71*$H$40-E71</f>
        <v>753470232.49478459</v>
      </c>
      <c r="H71" s="184">
        <f t="shared" ca="1" si="14"/>
        <v>50231348.83298564</v>
      </c>
      <c r="I71" s="204">
        <f>D71*$J$40-E71</f>
        <v>753470232.49478459</v>
      </c>
      <c r="J71" s="204">
        <f t="shared" ca="1" si="15"/>
        <v>50231348.83298564</v>
      </c>
      <c r="K71" s="185">
        <f>D71*$L$40-E71</f>
        <v>753470232.49478459</v>
      </c>
      <c r="L71" s="185">
        <f t="shared" ca="1" si="16"/>
        <v>50231348.83298564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522213354.81544799</v>
      </c>
      <c r="F74" s="177">
        <f t="shared" si="13"/>
        <v>0.30004923809689554</v>
      </c>
      <c r="G74" s="181">
        <f>SUM(G69:G73)</f>
        <v>1218212177.0994458</v>
      </c>
      <c r="H74" s="181">
        <f t="shared" ca="1" si="14"/>
        <v>81214145.139963061</v>
      </c>
      <c r="I74" s="186">
        <f>SUM(I69:I73)</f>
        <v>1218212177.0994458</v>
      </c>
      <c r="J74" s="186">
        <f t="shared" ca="1" si="15"/>
        <v>81214145.139963061</v>
      </c>
      <c r="K74" s="186">
        <f>SUM(K69:K73)</f>
        <v>1218212177.0994458</v>
      </c>
      <c r="L74" s="186">
        <f t="shared" ca="1" si="16"/>
        <v>81214145.139963061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205798588.24992001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58528613.239999995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4684684.5599999996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178712210.57987499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28644143.870000001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526669634.76998198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160386697.35973001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5723693.54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20000000.43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299201801.53968298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76315833.649960995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7660216.3833999997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82881082.859999999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1655207201.0325511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2026-09-14T00:53:37Z</dcterms:modified>
  <dc:language>en-US</dc:language>
</cp:coreProperties>
</file>