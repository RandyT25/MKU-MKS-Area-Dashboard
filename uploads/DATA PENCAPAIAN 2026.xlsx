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activeTab="6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F57" i="8" s="1"/>
  <c r="E56" i="8"/>
  <c r="E65" i="8" s="1"/>
  <c r="E55" i="8"/>
  <c r="E54" i="8"/>
  <c r="E53" i="8"/>
  <c r="E52" i="8"/>
  <c r="E51" i="8"/>
  <c r="D64" i="8"/>
  <c r="D63" i="8"/>
  <c r="D62" i="8"/>
  <c r="F62" i="8" s="1"/>
  <c r="D61" i="8"/>
  <c r="D60" i="8"/>
  <c r="D59" i="8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F4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G90" i="8" s="1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3" i="8"/>
  <c r="F61" i="8"/>
  <c r="F60" i="8"/>
  <c r="H59" i="8"/>
  <c r="G59" i="8"/>
  <c r="K59" i="8" s="1"/>
  <c r="F59" i="8"/>
  <c r="F58" i="8"/>
  <c r="K57" i="8"/>
  <c r="H53" i="8"/>
  <c r="L53" i="8" s="1"/>
  <c r="G53" i="8"/>
  <c r="F53" i="8"/>
  <c r="F52" i="8"/>
  <c r="F51" i="8"/>
  <c r="M20" i="8"/>
  <c r="M21" i="8" s="1"/>
  <c r="E45" i="8" s="1"/>
  <c r="F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L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46" i="8" l="1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45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<sst xmlns="http://schemas.openxmlformats.org/spreadsheetml/2006/main" count="1872" uniqueCount="185">
  <si>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</si>
  <si>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</si>
  <si>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</si>
  <si>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</si>
  <si>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</si>
  <si>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</si>
  <si>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</si>
  <si>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</si>
  <si>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</si>
  <si>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</si>
  <si>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</si>
  <si>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</si>
  <si>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</si>
  <si>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</si>
  <si>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</si>
  <si>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</si>
  <si>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</si>
  <si>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</si>
  <si>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</si>
  <si>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</si>
  <si>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</si>
  <si>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</si>
  <si>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</si>
  <si>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</si>
  <si>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</si>
  <si>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</si>
  <si>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</si>
  <si>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</si>
  <si>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</si>
  <si>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</si>
  <si>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</si>
  <si>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</si>
  <si>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</si>
  <si>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</si>
  <si>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</si>
  <si>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</si>
  <si>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</si>
  <si>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</si>
  <si>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</si>
  <si>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</si>
  <si>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</si>
  <si>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</si>
  <si>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</si>
  <si>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</si>
  <si>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</si>
  <si>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</si>
  <si>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</si>
  <si>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</si>
  <si>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</si>
  <si>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</si>
  <si>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</si>
  <si>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</si>
  <si>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</si>
  <si>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</si>
  <si>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</si>
  <si>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</si>
  <si>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</si>
  <si>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</si>
  <si>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</si>
  <si>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</si>
  <si>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</si>
  <si>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</si>
  <si>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</si>
  <si>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</si>
  <si>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</si>
  <si>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</si>
  <si>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</si>
  <si>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</si>
  <si>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</si>
  <si>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</si>
  <si>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</si>
  <si>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</si>
  <si>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</si>
  <si>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</si>
  <si>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</si>
  <si>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</si>
  <si>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</si>
  <si>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</si>
  <si>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</si>
  <si>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</si>
  <si>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</si>
  <si>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</si>
  <si>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</si>
  <si>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</si>
  <si>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</si>
  <si>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</si>
  <si>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</si>
  <si>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</si>
  <si>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</si>
  <si>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</si>
  <si>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</si>
  <si>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</si>
  <si>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</si>
  <si>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</si>
  <si>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</si>
  <si>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</si>
  <si>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</si>
  <si>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</si>
  <si>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</si>
  <si>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</si>
  <si>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</si>
  <si>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</si>
  <si>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</si>
  <si>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</si>
  <si>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</si>
  <si>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</si>
  <si>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</si>
  <si>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</si>
  <si>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</si>
  <si>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</si>
  <si>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</si>
  <si>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</si>
  <si>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</si>
  <si>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</si>
  <si>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</si>
  <si>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</si>
  <si>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</si>
  <si>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</si>
  <si>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</si>
  <si>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</si>
  <si>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</si>
  <si>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</si>
  <si>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</si>
  <si>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</si>
  <si>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</si>
  <si>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</si>
  <si>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</si>
  <si>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</si>
  <si>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</si>
  <si>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</si>
  <si>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</si>
  <si>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</si>
  <si>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</si>
  <si>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</si>
  <si>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</si>
  <si>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</si>
  <si>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</si>
  <si>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</si>
  <si>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</si>
  <si>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</si>
  <si>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</si>
  <si>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</si>
  <si>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</si>
  <si>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</si>
  <si>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</si>
  <si>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</si>
  <si>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</si>
  <si>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</si>
  <si>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</si>
  <si>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</si>
  <si>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</si>
  <si>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</si>
  <si>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</si>
  <si>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</si>
  <si>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</si>
  <si>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</si>
  <si>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</si>
  <si>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</si>
  <si>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</si>
  <si>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</si>
  <si>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</si>
  <si>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</si>
  <si>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</si>
  <si>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</si>
  <si>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</si>
  <si>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</si>
  <si>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</si>
  <si>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</si>
  <si>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</si>
  <si>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</si>
  <si>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</si>
  <si>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</si>
  <si>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</si>
  <si>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</si>
  <si>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</si>
  <si>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</si>
  <si>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</si>
  <si>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</si>
  <si>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</si>
  <si>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</si>
  <si>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</si>
  <si>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</si>
  <si>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</si>
  <si>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</si>
  <si>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28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</si>
</sst>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E4" zoomScale="165" zoomScaleNormal="100" workbookViewId="0">
      <selection activeCell="L19" sqref="L19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3" width="11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176</v>
      </c>
      <c r="C7" s="146" t="s">
        <v>177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176</v>
      </c>
      <c r="C13" s="146" t="s">
        <v>178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170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169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169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65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169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169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169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169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173</v>
      </c>
      <c r="C22" s="15">
        <v>38884328.600000001</v>
      </c>
      <c r="D22" s="15" t="s">
        <v>169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174</v>
      </c>
      <c r="C23" s="15">
        <v>120550492.72</v>
      </c>
      <c r="D23" s="15" t="s">
        <v>169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169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183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176</v>
      </c>
      <c r="C53" s="188" t="s">
        <v>177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176</v>
      </c>
      <c r="C59" s="188" t="s">
        <v>178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175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172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176</v>
      </c>
      <c r="C72" s="186" t="s">
        <v>177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176</v>
      </c>
      <c r="C78" s="186" t="s">
        <v>178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79" zoomScaleNormal="100" workbookViewId="0">
      <selection activeCell="B87" sqref="B87:F9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3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261505850.983055</v>
      </c>
      <c r="N8" s="11">
        <f>D24</f>
        <v>39834299.483455002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460708655.93333304</v>
      </c>
      <c r="N9" s="11">
        <f>D12+D13</f>
        <v>89648571.110073</v>
      </c>
    </row>
    <row r="10" spans="2:14" x14ac:dyDescent="0.25">
      <c r="B10" s="74" t="s">
        <v>113</v>
      </c>
      <c r="C10" s="205">
        <v>267709411.18987799</v>
      </c>
      <c r="D10" s="205">
        <v>30690071.790826</v>
      </c>
      <c r="E10" s="205">
        <v>144475455.58999899</v>
      </c>
      <c r="F10" s="205">
        <v>442874938.57070303</v>
      </c>
      <c r="H10" s="116"/>
      <c r="I10" s="116"/>
      <c r="J10" s="116"/>
      <c r="M10" s="11">
        <f>C14</f>
        <v>551699592.62628102</v>
      </c>
      <c r="N10" s="11">
        <f>D14</f>
        <v>24607560.081103001</v>
      </c>
    </row>
    <row r="11" spans="2:14" x14ac:dyDescent="0.25">
      <c r="B11" s="74" t="s">
        <v>114</v>
      </c>
      <c r="C11" s="205">
        <v>333945247.25051302</v>
      </c>
      <c r="D11" s="205">
        <v>87481053.135527998</v>
      </c>
      <c r="E11" s="205">
        <v>38843243.600000001</v>
      </c>
      <c r="F11" s="205">
        <v>460269543.98604101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253037024.127839</v>
      </c>
      <c r="D12" s="205">
        <v>60194868.990249999</v>
      </c>
      <c r="E12" s="205">
        <v>37261125.280000001</v>
      </c>
      <c r="F12" s="205">
        <v>350493018.39808899</v>
      </c>
      <c r="H12" s="116"/>
      <c r="I12" s="116"/>
      <c r="J12" s="116"/>
      <c r="M12" s="11">
        <f>C16</f>
        <v>383595443.10745603</v>
      </c>
      <c r="N12" s="11">
        <f>D16</f>
        <v>58946522.809318997</v>
      </c>
    </row>
    <row r="13" spans="2:14" x14ac:dyDescent="0.25">
      <c r="B13" s="74" t="s">
        <v>115</v>
      </c>
      <c r="C13" s="205">
        <v>207671631.80549401</v>
      </c>
      <c r="D13" s="205">
        <v>29453702.119823001</v>
      </c>
      <c r="E13" s="205">
        <v>39320607.640000001</v>
      </c>
      <c r="F13" s="205">
        <v>276445941.56531698</v>
      </c>
      <c r="H13" s="116"/>
      <c r="I13" s="116"/>
      <c r="J13" s="116"/>
      <c r="M13" s="11">
        <f>C19</f>
        <v>821190758.40247202</v>
      </c>
      <c r="N13" s="11">
        <f>D19</f>
        <v>63431836.769892</v>
      </c>
    </row>
    <row r="14" spans="2:14" x14ac:dyDescent="0.25">
      <c r="B14" s="74" t="s">
        <v>116</v>
      </c>
      <c r="C14" s="205">
        <v>551699592.62628102</v>
      </c>
      <c r="D14" s="205">
        <v>24607560.081103001</v>
      </c>
      <c r="E14" s="205">
        <v>194345764.74000001</v>
      </c>
      <c r="F14" s="205">
        <v>770652917.447384</v>
      </c>
      <c r="H14" s="116"/>
      <c r="I14" s="116"/>
      <c r="J14" s="116"/>
      <c r="M14" s="11">
        <f>C25</f>
        <v>351566039.30800402</v>
      </c>
      <c r="N14" s="11">
        <f>D25</f>
        <v>59619663.229754999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333945247.25051302</v>
      </c>
      <c r="N15" s="11">
        <f>D11</f>
        <v>87481053.135527998</v>
      </c>
    </row>
    <row r="16" spans="2:14" x14ac:dyDescent="0.25">
      <c r="B16" s="74" t="s">
        <v>74</v>
      </c>
      <c r="C16" s="205">
        <v>383595443.10745603</v>
      </c>
      <c r="D16" s="205">
        <v>58946522.809318997</v>
      </c>
      <c r="E16" s="205">
        <v>11608108</v>
      </c>
      <c r="F16" s="205">
        <v>454150073.91677499</v>
      </c>
      <c r="H16" s="116"/>
      <c r="I16" s="116"/>
      <c r="J16" s="116"/>
      <c r="M16" s="11">
        <f>C26</f>
        <v>411824973.570301</v>
      </c>
      <c r="N16" s="11">
        <f>D26</f>
        <v>54983063.089941002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169</v>
      </c>
      <c r="F17" s="205">
        <v>357138221.57999802</v>
      </c>
      <c r="H17" s="116"/>
      <c r="I17" s="116"/>
      <c r="J17" s="116"/>
      <c r="M17" s="11">
        <f>C10</f>
        <v>267709411.18987799</v>
      </c>
      <c r="N17" s="11">
        <f>D10</f>
        <v>30690071.790826</v>
      </c>
    </row>
    <row r="18" spans="2:14" x14ac:dyDescent="0.25">
      <c r="B18" s="74" t="s">
        <v>119</v>
      </c>
      <c r="C18" s="205">
        <v>904424153.65476894</v>
      </c>
      <c r="D18" s="205">
        <v>9022114.3119760007</v>
      </c>
      <c r="E18" s="205">
        <v>10606756.74</v>
      </c>
      <c r="F18" s="205">
        <v>924053024.70674503</v>
      </c>
      <c r="H18" s="116"/>
      <c r="I18" s="116"/>
      <c r="J18" s="116"/>
      <c r="M18" s="11">
        <f>C27</f>
        <v>635176158.95366597</v>
      </c>
      <c r="N18" s="11">
        <f>D27</f>
        <v>176805862.07262501</v>
      </c>
    </row>
    <row r="19" spans="2:14" x14ac:dyDescent="0.25">
      <c r="B19" s="74" t="s">
        <v>121</v>
      </c>
      <c r="C19" s="205">
        <v>821190758.40247202</v>
      </c>
      <c r="D19" s="205">
        <v>63431836.769892</v>
      </c>
      <c r="E19" s="205">
        <v>626249765.80992699</v>
      </c>
      <c r="F19" s="205">
        <v>1510872360.982291</v>
      </c>
      <c r="H19" s="116"/>
      <c r="I19" s="116"/>
      <c r="J19" s="116"/>
      <c r="M19" s="11">
        <f>C20+C21</f>
        <v>218820355.124603</v>
      </c>
      <c r="N19" s="11">
        <f>D20+D21</f>
        <v>124629971.040492</v>
      </c>
    </row>
    <row r="20" spans="2:14" x14ac:dyDescent="0.25">
      <c r="B20" s="74" t="s">
        <v>123</v>
      </c>
      <c r="C20" s="205">
        <v>168132261.124603</v>
      </c>
      <c r="D20" s="205">
        <v>28556299.959775999</v>
      </c>
      <c r="E20" s="205">
        <v>3816216.3</v>
      </c>
      <c r="F20" s="205">
        <v>200504777.384379</v>
      </c>
      <c r="H20" s="116"/>
      <c r="I20" s="116"/>
      <c r="J20" s="116"/>
      <c r="M20" s="14">
        <f>IFERROR(C31,0)+IFERROR(C15,0)+IFERROR(C36,0)</f>
        <v>301003631.99519998</v>
      </c>
      <c r="N20" s="10" t="s">
        <v>120</v>
      </c>
    </row>
    <row r="21" spans="2:14" x14ac:dyDescent="0.25">
      <c r="B21" s="74" t="s">
        <v>124</v>
      </c>
      <c r="C21" s="205">
        <v>50688094</v>
      </c>
      <c r="D21" s="205">
        <v>96073671.080715999</v>
      </c>
      <c r="E21" s="205">
        <v>48789190.119999997</v>
      </c>
      <c r="F21" s="205">
        <v>195550955.20071599</v>
      </c>
      <c r="H21" s="116"/>
      <c r="I21" s="116"/>
      <c r="J21" s="116"/>
      <c r="M21" s="14">
        <f>IFERROR(C34,0)+IFERROR(C35,0)+M20</f>
        <v>860938548.95787692</v>
      </c>
      <c r="N21" s="10" t="s">
        <v>122</v>
      </c>
    </row>
    <row r="22" spans="2:14" x14ac:dyDescent="0.25">
      <c r="B22" s="74" t="s">
        <v>173</v>
      </c>
      <c r="C22" s="205">
        <v>196977845.80000001</v>
      </c>
      <c r="D22" s="205" t="s">
        <v>169</v>
      </c>
      <c r="E22" s="205">
        <v>10814414.119999999</v>
      </c>
      <c r="F22" s="205">
        <v>207792259.91999999</v>
      </c>
      <c r="H22" s="116"/>
      <c r="I22" s="116"/>
      <c r="J22" s="116"/>
    </row>
    <row r="23" spans="2:14" x14ac:dyDescent="0.25">
      <c r="B23" s="74" t="s">
        <v>174</v>
      </c>
      <c r="C23" s="205">
        <v>241460975.249975</v>
      </c>
      <c r="D23" s="205" t="s">
        <v>169</v>
      </c>
      <c r="E23" s="205">
        <v>12516396.060000001</v>
      </c>
      <c r="F23" s="205">
        <v>253977371.309975</v>
      </c>
      <c r="H23" s="116"/>
      <c r="I23" s="116"/>
      <c r="J23" s="116"/>
    </row>
    <row r="24" spans="2:14" x14ac:dyDescent="0.25">
      <c r="B24" s="74" t="s">
        <v>125</v>
      </c>
      <c r="C24" s="205">
        <v>261505850.983055</v>
      </c>
      <c r="D24" s="205">
        <v>39834299.483455002</v>
      </c>
      <c r="E24" s="205">
        <v>109538611.08</v>
      </c>
      <c r="F24" s="205">
        <v>410878761.54650998</v>
      </c>
      <c r="H24" s="116"/>
      <c r="I24" s="116"/>
      <c r="J24" s="116"/>
    </row>
    <row r="25" spans="2:14" x14ac:dyDescent="0.25">
      <c r="B25" s="74" t="s">
        <v>126</v>
      </c>
      <c r="C25" s="205">
        <v>351566039.30800402</v>
      </c>
      <c r="D25" s="205">
        <v>59619663.229754999</v>
      </c>
      <c r="E25" s="205">
        <v>220811891.94979501</v>
      </c>
      <c r="F25" s="205">
        <v>631997594.48755395</v>
      </c>
      <c r="H25" s="116"/>
      <c r="I25" s="116"/>
      <c r="J25" s="116"/>
    </row>
    <row r="26" spans="2:14" x14ac:dyDescent="0.25">
      <c r="B26" s="74" t="s">
        <v>127</v>
      </c>
      <c r="C26" s="205">
        <v>411824973.570301</v>
      </c>
      <c r="D26" s="205">
        <v>54983063.089941002</v>
      </c>
      <c r="E26" s="205">
        <v>412972069.489811</v>
      </c>
      <c r="F26" s="205">
        <v>879780106.15005302</v>
      </c>
      <c r="H26" s="116"/>
      <c r="I26" s="116"/>
      <c r="J26" s="116"/>
    </row>
    <row r="27" spans="2:14" x14ac:dyDescent="0.25">
      <c r="B27" s="74" t="s">
        <v>128</v>
      </c>
      <c r="C27" s="205">
        <v>635176158.95366597</v>
      </c>
      <c r="D27" s="205">
        <v>176805862.07262501</v>
      </c>
      <c r="E27" s="205">
        <v>18458378.596000001</v>
      </c>
      <c r="F27" s="205">
        <v>830440399.62229097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246996964.26461601</v>
      </c>
      <c r="G32" s="116"/>
      <c r="H32" s="116"/>
      <c r="I32" s="116"/>
    </row>
    <row r="33" spans="2:14" x14ac:dyDescent="0.25">
      <c r="B33" s="84" t="s">
        <v>133</v>
      </c>
      <c r="C33" s="205">
        <v>332754930.021882</v>
      </c>
      <c r="G33" s="116"/>
      <c r="H33" s="116"/>
      <c r="I33" s="116"/>
    </row>
    <row r="34" spans="2:14" x14ac:dyDescent="0.25">
      <c r="B34" s="84" t="s">
        <v>134</v>
      </c>
      <c r="C34" s="205">
        <v>276229671.38579899</v>
      </c>
      <c r="G34" s="116"/>
      <c r="H34" s="116"/>
      <c r="I34" s="116"/>
    </row>
    <row r="35" spans="2:14" x14ac:dyDescent="0.25">
      <c r="B35" s="84" t="s">
        <v>135</v>
      </c>
      <c r="C35" s="205">
        <v>283705245.57687801</v>
      </c>
      <c r="G35" s="116"/>
      <c r="H35" s="116"/>
      <c r="I35" s="116"/>
    </row>
    <row r="36" spans="2:14" x14ac:dyDescent="0.25">
      <c r="B36" s="84" t="s">
        <v>136</v>
      </c>
      <c r="C36" s="205">
        <v>301003631.99519998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5" t="s">
        <v>184</v>
      </c>
      <c r="C41" s="246"/>
      <c r="D41" s="247"/>
      <c r="E41" s="67" t="s">
        <v>138</v>
      </c>
      <c r="F41" s="73">
        <f ca="1">IF(MONTH(TODAY())=5,DAY(TODAY())/DAY(EOMONTH(TODAY(),0)),IF(MONTH(TODAY())&gt;5,1,0))</f>
        <v>0.90322580645161288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5450532004.7795343</v>
      </c>
      <c r="F43" s="44">
        <f>IFERROR(E43/D43,0)</f>
        <v>0.7969453710242953</v>
      </c>
      <c r="G43" s="118">
        <f>D43-E43</f>
        <v>1388747327.2204657</v>
      </c>
      <c r="H43" s="118">
        <f ca="1">IFERROR(G43/C3,0)</f>
        <v>462915775.74015522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853465998.91300893</v>
      </c>
      <c r="F44" s="44">
        <f>IFERROR(E44/D44,0)</f>
        <v>0.57851714817645916</v>
      </c>
      <c r="G44" s="118">
        <f>D44-E44</f>
        <v>621798825.30735278</v>
      </c>
      <c r="H44" s="118">
        <f ca="1">IFERROR(G44/C3,0)</f>
        <v>207266275.10245094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1440690443.244375</v>
      </c>
      <c r="F45" s="44">
        <f>IFERROR(E45/D45,0)</f>
        <v>0.8080244729413556</v>
      </c>
      <c r="G45" s="118">
        <f>D45-E45</f>
        <v>342288280.15988088</v>
      </c>
      <c r="H45" s="118">
        <f ca="1">IFERROR(G45/C3,0)</f>
        <v>114096093.38662696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7744688446.9369183</v>
      </c>
      <c r="F46" s="43">
        <f>IFERROR(E46/D46,0)</f>
        <v>0.76698894761254865</v>
      </c>
      <c r="G46" s="119">
        <f>G43+G44+G45</f>
        <v>2352834432.6876993</v>
      </c>
      <c r="H46" s="119">
        <f ca="1">IFERROR(G46/C3,0)</f>
        <v>784278144.22923315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261505850.983055</v>
      </c>
      <c r="H51" s="122">
        <f>N8</f>
        <v>39834299.483455002</v>
      </c>
      <c r="I51" s="122">
        <f t="shared" ref="I51:I64" si="1">G51+H51</f>
        <v>301340150.46651</v>
      </c>
      <c r="J51" s="61">
        <f t="shared" ref="J51:J64" si="2">IFERROR(I51/F51,0)</f>
        <v>0.621378987525121</v>
      </c>
      <c r="K51" s="51">
        <f t="shared" ref="K51:M64" si="3">D51-G51</f>
        <v>155177627.016945</v>
      </c>
      <c r="L51" s="51">
        <f t="shared" si="3"/>
        <v>28436101.737199306</v>
      </c>
      <c r="M51" s="51">
        <f t="shared" si="3"/>
        <v>183613728.75414431</v>
      </c>
      <c r="N51" s="51">
        <f ca="1">IFERROR(M51/C3,0)</f>
        <v>61204576.251381435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460708655.93333304</v>
      </c>
      <c r="H52" s="122">
        <f>N9</f>
        <v>89648571.110073</v>
      </c>
      <c r="I52" s="122">
        <f t="shared" si="1"/>
        <v>550357227.04340601</v>
      </c>
      <c r="J52" s="61">
        <f t="shared" si="2"/>
        <v>0.7370238906011457</v>
      </c>
      <c r="K52" s="54">
        <f t="shared" si="3"/>
        <v>94473715.066666961</v>
      </c>
      <c r="L52" s="54">
        <f t="shared" si="3"/>
        <v>101898212.889927</v>
      </c>
      <c r="M52" s="54">
        <f t="shared" si="3"/>
        <v>196371927.95659399</v>
      </c>
      <c r="N52" s="54">
        <f ca="1">IFERROR(M52/C3,0)</f>
        <v>65457309.318864666</v>
      </c>
    </row>
    <row r="53" spans="2:14" ht="20.100000000000001" customHeight="1" x14ac:dyDescent="0.25">
      <c r="B53" s="155" t="s">
        <v>176</v>
      </c>
      <c r="C53" s="156" t="s">
        <v>177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196977845.80000001</v>
      </c>
      <c r="H53" s="122">
        <f>IF(D22="",0,D22)</f>
        <v>0</v>
      </c>
      <c r="I53" s="122">
        <f>G53+H53</f>
        <v>196977845.80000001</v>
      </c>
      <c r="J53" s="61">
        <f>IFERROR(I53/F53,0)</f>
        <v>0.81573354860961256</v>
      </c>
      <c r="K53" s="54">
        <f>D53-G53</f>
        <v>44495422.199999988</v>
      </c>
      <c r="L53" s="54">
        <f>E53-H53</f>
        <v>0</v>
      </c>
      <c r="M53" s="54">
        <f>F53-I53</f>
        <v>44495422.199999988</v>
      </c>
      <c r="N53" s="54">
        <f ca="1">IFERROR(M53/C3,0)</f>
        <v>14831807.399999997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551699592.62628102</v>
      </c>
      <c r="H54" s="122">
        <f t="shared" ref="H54:H58" si="4">N10</f>
        <v>24607560.081103001</v>
      </c>
      <c r="I54" s="122">
        <f t="shared" si="1"/>
        <v>576307152.70738399</v>
      </c>
      <c r="J54" s="61">
        <f t="shared" si="2"/>
        <v>0.87638708812387278</v>
      </c>
      <c r="K54" s="54">
        <f>D54-G54</f>
        <v>59012879.373718977</v>
      </c>
      <c r="L54" s="54">
        <f t="shared" si="3"/>
        <v>22274266.73623189</v>
      </c>
      <c r="M54" s="54">
        <f t="shared" si="3"/>
        <v>81287146.1099509</v>
      </c>
      <c r="N54" s="54">
        <f ca="1">IFERROR(M54/C3,0)</f>
        <v>27095715.369983632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43598125.870508708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383595443.10745603</v>
      </c>
      <c r="H56" s="122">
        <f t="shared" si="4"/>
        <v>58946522.809318997</v>
      </c>
      <c r="I56" s="122">
        <f t="shared" si="1"/>
        <v>442541965.91677505</v>
      </c>
      <c r="J56" s="61">
        <f t="shared" si="2"/>
        <v>0.79714565162365492</v>
      </c>
      <c r="K56" s="54">
        <f t="shared" si="3"/>
        <v>90323388.892543972</v>
      </c>
      <c r="L56" s="54">
        <f t="shared" si="3"/>
        <v>22292871.313334607</v>
      </c>
      <c r="M56" s="54">
        <f t="shared" si="3"/>
        <v>112616260.20587856</v>
      </c>
      <c r="N56" s="54">
        <f ca="1">IFERROR(M56/C3,0)</f>
        <v>37538753.401959516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821190758.40247202</v>
      </c>
      <c r="H57" s="122">
        <f t="shared" si="4"/>
        <v>63431836.769892</v>
      </c>
      <c r="I57" s="122">
        <f t="shared" si="1"/>
        <v>884622595.172364</v>
      </c>
      <c r="J57" s="61">
        <f t="shared" si="2"/>
        <v>0.83954975359101502</v>
      </c>
      <c r="K57" s="54">
        <f t="shared" si="3"/>
        <v>140567586.59752798</v>
      </c>
      <c r="L57" s="54">
        <f t="shared" si="3"/>
        <v>28496739.56926439</v>
      </c>
      <c r="M57" s="54">
        <f t="shared" si="3"/>
        <v>169064326.16679239</v>
      </c>
      <c r="N57" s="54">
        <f ca="1">IFERROR(M57/C3,0)</f>
        <v>56354775.388930798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351566039.30800402</v>
      </c>
      <c r="H58" s="122">
        <f t="shared" si="4"/>
        <v>59619663.229754999</v>
      </c>
      <c r="I58" s="122">
        <f>G58+H58</f>
        <v>411185702.53775901</v>
      </c>
      <c r="J58" s="61">
        <f>IFERROR(I58/F58,0)</f>
        <v>0.72255928639953293</v>
      </c>
      <c r="K58" s="54">
        <f t="shared" si="3"/>
        <v>153721019.69199598</v>
      </c>
      <c r="L58" s="54">
        <f t="shared" si="3"/>
        <v>4161740.7702450007</v>
      </c>
      <c r="M58" s="54">
        <f t="shared" si="3"/>
        <v>157882760.46224099</v>
      </c>
      <c r="N58" s="54">
        <f ca="1">IFERROR(M58/C3,0)</f>
        <v>52627586.820746996</v>
      </c>
    </row>
    <row r="59" spans="2:14" ht="20.100000000000001" customHeight="1" x14ac:dyDescent="0.25">
      <c r="B59" s="155" t="s">
        <v>176</v>
      </c>
      <c r="C59" s="156" t="s">
        <v>178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241460975.249975</v>
      </c>
      <c r="H59" s="122">
        <f>IF(D23="",0,D23)</f>
        <v>0</v>
      </c>
      <c r="I59" s="122">
        <f>G59+H59</f>
        <v>241460975.249975</v>
      </c>
      <c r="J59" s="61">
        <f>IFERROR(I59/F59,0)</f>
        <v>0.59747800482657887</v>
      </c>
      <c r="K59" s="54">
        <f>D59-G59</f>
        <v>162672688.750025</v>
      </c>
      <c r="L59" s="54">
        <f>E59-H59</f>
        <v>0</v>
      </c>
      <c r="M59" s="54">
        <f>F59-I59</f>
        <v>162672688.750025</v>
      </c>
      <c r="N59" s="54">
        <f ca="1">IFERROR(M59/C3,0)</f>
        <v>54224229.583341666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333945247.25051302</v>
      </c>
      <c r="H60" s="122">
        <f t="shared" ref="H60:H64" si="5">N15</f>
        <v>87481053.135527998</v>
      </c>
      <c r="I60" s="122">
        <f t="shared" si="1"/>
        <v>421426300.38604105</v>
      </c>
      <c r="J60" s="61">
        <f t="shared" si="2"/>
        <v>0.77684887986735851</v>
      </c>
      <c r="K60" s="54">
        <f t="shared" si="3"/>
        <v>70072061.749486983</v>
      </c>
      <c r="L60" s="54">
        <f t="shared" si="3"/>
        <v>50983337.082467407</v>
      </c>
      <c r="M60" s="54">
        <f t="shared" si="3"/>
        <v>121055398.83195436</v>
      </c>
      <c r="N60" s="54">
        <f ca="1">IFERROR(M60/C3,0)</f>
        <v>40351799.610651456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411824973.570301</v>
      </c>
      <c r="H61" s="122">
        <f t="shared" si="5"/>
        <v>54983063.089941002</v>
      </c>
      <c r="I61" s="122">
        <f t="shared" si="1"/>
        <v>466808036.66024202</v>
      </c>
      <c r="J61" s="61">
        <f t="shared" si="2"/>
        <v>0.67616963012367015</v>
      </c>
      <c r="K61" s="54">
        <f t="shared" si="3"/>
        <v>219804622.429699</v>
      </c>
      <c r="L61" s="54">
        <f t="shared" si="3"/>
        <v>3758537.5206842646</v>
      </c>
      <c r="M61" s="54">
        <f t="shared" si="3"/>
        <v>223563159.95038325</v>
      </c>
      <c r="N61" s="54">
        <f ca="1">IFERROR(M61/C3,0)</f>
        <v>74521053.31679441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267709411.18987799</v>
      </c>
      <c r="H62" s="122">
        <f t="shared" si="5"/>
        <v>30690071.790826</v>
      </c>
      <c r="I62" s="122">
        <f t="shared" si="1"/>
        <v>298399482.98070401</v>
      </c>
      <c r="J62" s="61">
        <f t="shared" si="2"/>
        <v>0.66265762060172828</v>
      </c>
      <c r="K62" s="54">
        <f t="shared" si="3"/>
        <v>118833611.81012201</v>
      </c>
      <c r="L62" s="54">
        <f t="shared" si="3"/>
        <v>33074083.008987807</v>
      </c>
      <c r="M62" s="54">
        <f t="shared" si="3"/>
        <v>151907694.8191098</v>
      </c>
      <c r="N62" s="54">
        <f ca="1">IFERROR(M62/C3,0)</f>
        <v>50635898.273036599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635176158.95366597</v>
      </c>
      <c r="H63" s="122">
        <f t="shared" si="5"/>
        <v>176805862.07262501</v>
      </c>
      <c r="I63" s="122">
        <f t="shared" si="1"/>
        <v>811982021.02629101</v>
      </c>
      <c r="J63" s="61">
        <f t="shared" si="2"/>
        <v>0.88920222076860489</v>
      </c>
      <c r="K63" s="54">
        <f t="shared" si="3"/>
        <v>-51825216.953665972</v>
      </c>
      <c r="L63" s="54">
        <f t="shared" si="3"/>
        <v>153001082.92009237</v>
      </c>
      <c r="M63" s="54">
        <f t="shared" si="3"/>
        <v>101175865.96642637</v>
      </c>
      <c r="N63" s="54">
        <f ca="1">IFERROR(M63/C3,0)</f>
        <v>33725288.65547546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218820355.124603</v>
      </c>
      <c r="H64" s="122">
        <f t="shared" si="5"/>
        <v>124629971.040492</v>
      </c>
      <c r="I64" s="122">
        <f t="shared" si="1"/>
        <v>343450326.16509497</v>
      </c>
      <c r="J64" s="61">
        <f t="shared" si="2"/>
        <v>0.6636776156574804</v>
      </c>
      <c r="K64" s="54">
        <f t="shared" si="3"/>
        <v>40705333.875396997</v>
      </c>
      <c r="L64" s="54">
        <f t="shared" si="3"/>
        <v>133340060.86739439</v>
      </c>
      <c r="M64" s="54">
        <f t="shared" si="3"/>
        <v>174045394.74279141</v>
      </c>
      <c r="N64" s="54">
        <f ca="1">IFERROR(M64/C3,0)</f>
        <v>58015131.580930471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5450532004.7795343</v>
      </c>
      <c r="H65" s="152">
        <f>SUM(H51:H64)</f>
        <v>853465998.91300893</v>
      </c>
      <c r="I65" s="152">
        <f>SUM(I51:I64)</f>
        <v>6303998003.6925449</v>
      </c>
      <c r="J65" s="153">
        <f>IFERROR(I65/F65,0)</f>
        <v>0.7581892506970852</v>
      </c>
      <c r="K65" s="154">
        <f>SUM(K51:K64)</f>
        <v>1388747327.2204649</v>
      </c>
      <c r="L65" s="154">
        <f>SUM(L51:L64)</f>
        <v>621798825.30735254</v>
      </c>
      <c r="M65" s="154">
        <f>SUM(M51:M64)</f>
        <v>2010546152.5278175</v>
      </c>
      <c r="N65" s="154">
        <f ca="1">IFERROR(M65/C3,0)</f>
        <v>670182050.84260583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172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109538611.08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76581732.920000002</v>
      </c>
    </row>
    <row r="72" spans="2:14" ht="20.100000000000001" customHeight="1" x14ac:dyDescent="0.25">
      <c r="B72" s="201" t="s">
        <v>176</v>
      </c>
      <c r="C72" s="202" t="s">
        <v>177</v>
      </c>
      <c r="D72" s="192">
        <f>IF(E22="",0,E22)</f>
        <v>10814414.119999999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194345764.74000001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11608108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626249765.80992699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220811891.94979501</v>
      </c>
    </row>
    <row r="78" spans="2:14" ht="20.100000000000001" customHeight="1" x14ac:dyDescent="0.25">
      <c r="B78" s="201" t="s">
        <v>176</v>
      </c>
      <c r="C78" s="202" t="s">
        <v>178</v>
      </c>
      <c r="D78" s="192">
        <f>IF(E23="",0,E23)</f>
        <v>12516396.060000001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38843243.600000001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412972069.489811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144475455.58999899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18458378.596000001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52605406.419999994</v>
      </c>
    </row>
    <row r="84" spans="2:9" ht="20.100000000000001" customHeight="1" x14ac:dyDescent="0.25">
      <c r="B84" s="57" t="s">
        <v>152</v>
      </c>
      <c r="C84" s="58"/>
      <c r="D84" s="129">
        <f>SUM(D70:D83)</f>
        <v>1929821238.3755317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246996964.26461601</v>
      </c>
      <c r="F89" s="61">
        <f t="shared" ref="F89:F94" si="7">IFERROR(E89/D89,0)</f>
        <v>0.88827182014830797</v>
      </c>
      <c r="G89" s="125">
        <f>D89-E89</f>
        <v>31067653.639593542</v>
      </c>
      <c r="H89" s="125">
        <f ca="1">IFERROR(G89/C3,0)</f>
        <v>10355884.54653118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332754930.021882</v>
      </c>
      <c r="F90" s="61">
        <f t="shared" si="7"/>
        <v>0.79679153975054162</v>
      </c>
      <c r="G90" s="126">
        <f>D90-E90</f>
        <v>84863623.164639592</v>
      </c>
      <c r="H90" s="126">
        <f ca="1">IFERROR(G90/C3,0)</f>
        <v>28287874.388213199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860938548.95787692</v>
      </c>
      <c r="F91" s="61">
        <f t="shared" si="7"/>
        <v>0.79181649104145591</v>
      </c>
      <c r="G91" s="125">
        <f>D91-E91</f>
        <v>226357003.3556478</v>
      </c>
      <c r="H91" s="125">
        <f ca="1">IFERROR(G91/C3,0)</f>
        <v>75452334.451882601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1440690443.244375</v>
      </c>
      <c r="F94" s="43">
        <f t="shared" si="7"/>
        <v>0.8080244729413556</v>
      </c>
      <c r="G94" s="119">
        <f>SUM(G89:G93)</f>
        <v>342288280.15988094</v>
      </c>
      <c r="H94" s="119">
        <f ca="1">IFERROR(G94/C3,0)</f>
        <v>114096093.38662697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50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160</v>
      </c>
      <c r="C41" s="225"/>
      <c r="D41" s="226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163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165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167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180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182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2026-05-28T00:43:23Z</dcterms:modified>
  <dc:language>en-US</dc:language>
</cp:coreProperties>
</file>