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9195" windowHeight="7290" tabRatio="500" firstSheet="1" activeTab="7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3" i="8" l="1"/>
  <c r="D84" i="8"/>
  <c r="D70" i="8"/>
  <c r="D79" i="8" l="1"/>
  <c r="D74" i="8"/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3" i="14"/>
  <c r="D64" i="14"/>
  <c r="D63" i="14"/>
  <c r="D62" i="14"/>
  <c r="D61" i="14"/>
  <c r="D60" i="14"/>
  <c r="D59" i="14"/>
  <c r="D58" i="14"/>
  <c r="F58" i="14" s="1"/>
  <c r="D57" i="14"/>
  <c r="D56" i="14"/>
  <c r="D55" i="14"/>
  <c r="D54" i="14"/>
  <c r="D53" i="14"/>
  <c r="D52" i="14"/>
  <c r="D51" i="14"/>
  <c r="F41" i="14"/>
  <c r="D93" i="13"/>
  <c r="D92" i="13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65" i="13" s="1"/>
  <c r="E56" i="13"/>
  <c r="E55" i="13"/>
  <c r="E54" i="13"/>
  <c r="E53" i="13"/>
  <c r="E52" i="13"/>
  <c r="E51" i="13"/>
  <c r="D64" i="13"/>
  <c r="D63" i="13"/>
  <c r="F63" i="13" s="1"/>
  <c r="D62" i="13"/>
  <c r="D61" i="13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45" i="12"/>
  <c r="D44" i="12"/>
  <c r="D43" i="12"/>
  <c r="E64" i="12"/>
  <c r="E63" i="12"/>
  <c r="E62" i="12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D62" i="11"/>
  <c r="D61" i="11"/>
  <c r="D60" i="11"/>
  <c r="D59" i="11"/>
  <c r="D58" i="11"/>
  <c r="D57" i="11"/>
  <c r="F57" i="11" s="1"/>
  <c r="D56" i="11"/>
  <c r="D55" i="11"/>
  <c r="F55" i="11" s="1"/>
  <c r="D54" i="11"/>
  <c r="D53" i="11"/>
  <c r="D52" i="11"/>
  <c r="D51" i="11"/>
  <c r="F41" i="11"/>
  <c r="D93" i="10"/>
  <c r="D92" i="10"/>
  <c r="D91" i="10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F57" i="10" s="1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F62" i="10" s="1"/>
  <c r="D61" i="10"/>
  <c r="D60" i="10"/>
  <c r="D59" i="10"/>
  <c r="D58" i="10"/>
  <c r="D57" i="10"/>
  <c r="D56" i="10"/>
  <c r="D55" i="10"/>
  <c r="D54" i="10"/>
  <c r="D53" i="10"/>
  <c r="D52" i="10"/>
  <c r="D65" i="10" s="1"/>
  <c r="D51" i="10"/>
  <c r="F41" i="10"/>
  <c r="D93" i="9"/>
  <c r="D92" i="9"/>
  <c r="D91" i="9"/>
  <c r="D90" i="9"/>
  <c r="D94" i="9" s="1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F60" i="9" s="1"/>
  <c r="D59" i="9"/>
  <c r="D58" i="9"/>
  <c r="D57" i="9"/>
  <c r="F57" i="9" s="1"/>
  <c r="D56" i="9"/>
  <c r="D55" i="9"/>
  <c r="D54" i="9"/>
  <c r="D53" i="9"/>
  <c r="D52" i="9"/>
  <c r="D51" i="9"/>
  <c r="F51" i="9" s="1"/>
  <c r="F41" i="9"/>
  <c r="D93" i="8"/>
  <c r="D92" i="8"/>
  <c r="D91" i="8"/>
  <c r="D90" i="8"/>
  <c r="D94" i="8" s="1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D63" i="8"/>
  <c r="F63" i="8" s="1"/>
  <c r="D62" i="8"/>
  <c r="F62" i="8" s="1"/>
  <c r="D61" i="8"/>
  <c r="D60" i="8"/>
  <c r="F60" i="8" s="1"/>
  <c r="D59" i="8"/>
  <c r="F59" i="8" s="1"/>
  <c r="D58" i="8"/>
  <c r="D57" i="8"/>
  <c r="D56" i="8"/>
  <c r="F56" i="8" s="1"/>
  <c r="D55" i="8"/>
  <c r="F55" i="8" s="1"/>
  <c r="D54" i="8"/>
  <c r="F54" i="8" s="1"/>
  <c r="D53" i="8"/>
  <c r="D52" i="8"/>
  <c r="D51" i="8"/>
  <c r="F41" i="8"/>
  <c r="D93" i="7"/>
  <c r="D92" i="7"/>
  <c r="D91" i="7"/>
  <c r="D90" i="7"/>
  <c r="D89" i="7"/>
  <c r="D45" i="7"/>
  <c r="D44" i="7"/>
  <c r="D43" i="7"/>
  <c r="E64" i="7"/>
  <c r="E63" i="7"/>
  <c r="F63" i="7" s="1"/>
  <c r="E62" i="7"/>
  <c r="E61" i="7"/>
  <c r="E60" i="7"/>
  <c r="E59" i="7"/>
  <c r="E58" i="7"/>
  <c r="E57" i="7"/>
  <c r="E56" i="7"/>
  <c r="E55" i="7"/>
  <c r="F55" i="7" s="1"/>
  <c r="E54" i="7"/>
  <c r="E53" i="7"/>
  <c r="E52" i="7"/>
  <c r="E51" i="7"/>
  <c r="D64" i="7"/>
  <c r="D63" i="7"/>
  <c r="D62" i="7"/>
  <c r="D61" i="7"/>
  <c r="F61" i="7" s="1"/>
  <c r="D60" i="7"/>
  <c r="F60" i="7" s="1"/>
  <c r="D59" i="7"/>
  <c r="D58" i="7"/>
  <c r="D57" i="7"/>
  <c r="D56" i="7"/>
  <c r="D55" i="7"/>
  <c r="D54" i="7"/>
  <c r="D53" i="7"/>
  <c r="F53" i="7" s="1"/>
  <c r="D52" i="7"/>
  <c r="F52" i="7" s="1"/>
  <c r="D51" i="7"/>
  <c r="D94" i="14"/>
  <c r="E93" i="14"/>
  <c r="F93" i="14" s="1"/>
  <c r="E92" i="14"/>
  <c r="F92" i="14" s="1"/>
  <c r="G90" i="14"/>
  <c r="F90" i="14"/>
  <c r="E90" i="14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D65" i="14"/>
  <c r="F64" i="14"/>
  <c r="F63" i="14"/>
  <c r="F62" i="14"/>
  <c r="F61" i="14"/>
  <c r="F60" i="14"/>
  <c r="H59" i="14"/>
  <c r="L59" i="14" s="1"/>
  <c r="G59" i="14"/>
  <c r="K59" i="14" s="1"/>
  <c r="F59" i="14"/>
  <c r="F57" i="14"/>
  <c r="F56" i="14"/>
  <c r="F55" i="14"/>
  <c r="F54" i="14"/>
  <c r="H53" i="14"/>
  <c r="L53" i="14" s="1"/>
  <c r="G53" i="14"/>
  <c r="K53" i="14" s="1"/>
  <c r="F53" i="14"/>
  <c r="F52" i="14"/>
  <c r="F51" i="14"/>
  <c r="D46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D94" i="13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1" i="13"/>
  <c r="F60" i="13"/>
  <c r="H59" i="13"/>
  <c r="L59" i="13" s="1"/>
  <c r="G59" i="13"/>
  <c r="F59" i="13"/>
  <c r="F58" i="13"/>
  <c r="F57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L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L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D94" i="12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2" i="12"/>
  <c r="F61" i="12"/>
  <c r="F60" i="12"/>
  <c r="H59" i="12"/>
  <c r="L59" i="12" s="1"/>
  <c r="G59" i="12"/>
  <c r="F59" i="12"/>
  <c r="F58" i="12"/>
  <c r="F57" i="12"/>
  <c r="F56" i="12"/>
  <c r="F55" i="12"/>
  <c r="F54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L60" i="12" s="1"/>
  <c r="M15" i="12"/>
  <c r="G60" i="12" s="1"/>
  <c r="N14" i="12"/>
  <c r="H58" i="12" s="1"/>
  <c r="M14" i="12"/>
  <c r="G58" i="12" s="1"/>
  <c r="K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E65" i="11"/>
  <c r="D65" i="11"/>
  <c r="F64" i="11"/>
  <c r="F63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K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L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D94" i="10"/>
  <c r="E93" i="10"/>
  <c r="G93" i="10" s="1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F60" i="10"/>
  <c r="H59" i="10"/>
  <c r="L59" i="10" s="1"/>
  <c r="G59" i="10"/>
  <c r="F59" i="10"/>
  <c r="F58" i="10"/>
  <c r="F55" i="10"/>
  <c r="F54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L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L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E65" i="9"/>
  <c r="D65" i="9"/>
  <c r="F64" i="9"/>
  <c r="F63" i="9"/>
  <c r="H59" i="9"/>
  <c r="G59" i="9"/>
  <c r="K59" i="9" s="1"/>
  <c r="F59" i="9"/>
  <c r="F58" i="9"/>
  <c r="F56" i="9"/>
  <c r="F55" i="9"/>
  <c r="F54" i="9"/>
  <c r="H53" i="9"/>
  <c r="L53" i="9" s="1"/>
  <c r="G53" i="9"/>
  <c r="F53" i="9"/>
  <c r="F52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L51" i="9" s="1"/>
  <c r="M8" i="9"/>
  <c r="G51" i="9" s="1"/>
  <c r="N7" i="9"/>
  <c r="M7" i="9"/>
  <c r="E93" i="8"/>
  <c r="E92" i="8"/>
  <c r="E90" i="8"/>
  <c r="E89" i="8"/>
  <c r="G89" i="8" s="1"/>
  <c r="F64" i="8"/>
  <c r="H59" i="8"/>
  <c r="G59" i="8"/>
  <c r="H53" i="8"/>
  <c r="L53" i="8" s="1"/>
  <c r="G53" i="8"/>
  <c r="F53" i="8"/>
  <c r="F52" i="8"/>
  <c r="F51" i="8"/>
  <c r="M20" i="8"/>
  <c r="M21" i="8" s="1"/>
  <c r="E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K62" i="8" s="1"/>
  <c r="N16" i="8"/>
  <c r="H61" i="8" s="1"/>
  <c r="M16" i="8"/>
  <c r="G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G92" i="7"/>
  <c r="E92" i="7"/>
  <c r="F92" i="7" s="1"/>
  <c r="E90" i="7"/>
  <c r="F90" i="7" s="1"/>
  <c r="E89" i="7"/>
  <c r="H59" i="7"/>
  <c r="G59" i="7"/>
  <c r="F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G57" i="3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F61" i="8" l="1"/>
  <c r="K57" i="8"/>
  <c r="K61" i="8"/>
  <c r="K59" i="8"/>
  <c r="G92" i="8"/>
  <c r="F58" i="8"/>
  <c r="F93" i="8"/>
  <c r="G90" i="8"/>
  <c r="F45" i="8"/>
  <c r="L61" i="8"/>
  <c r="F57" i="8"/>
  <c r="E65" i="8"/>
  <c r="D46" i="8"/>
  <c r="D65" i="8"/>
  <c r="K63" i="8"/>
  <c r="L59" i="9"/>
  <c r="K62" i="10"/>
  <c r="G90" i="11"/>
  <c r="K55" i="13"/>
  <c r="G89" i="13"/>
  <c r="F62" i="7"/>
  <c r="L59" i="8"/>
  <c r="L61" i="9"/>
  <c r="L57" i="10"/>
  <c r="F52" i="12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K60" i="10"/>
  <c r="F65" i="14"/>
  <c r="E65" i="7"/>
  <c r="I51" i="13"/>
  <c r="I61" i="13"/>
  <c r="D94" i="7"/>
  <c r="I55" i="8"/>
  <c r="M55" i="8" s="1"/>
  <c r="F92" i="12"/>
  <c r="F65" i="13"/>
  <c r="K63" i="9"/>
  <c r="F90" i="8"/>
  <c r="I56" i="9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H51" i="10"/>
  <c r="L51" i="10" s="1"/>
  <c r="L65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65" i="10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N62" i="9"/>
  <c r="H92" i="9"/>
  <c r="H90" i="11"/>
  <c r="N55" i="8"/>
  <c r="H89" i="8"/>
  <c r="H93" i="8"/>
  <c r="H90" i="8"/>
  <c r="H45" i="10"/>
  <c r="H90" i="10"/>
  <c r="H89" i="12"/>
  <c r="H92" i="12"/>
  <c r="H90" i="14"/>
  <c r="L57" i="8"/>
  <c r="I57" i="8"/>
  <c r="L56" i="7"/>
  <c r="I56" i="7"/>
  <c r="J56" i="7" s="1"/>
  <c r="G45" i="7"/>
  <c r="H45" i="7" s="1"/>
  <c r="F45" i="7"/>
  <c r="F44" i="8"/>
  <c r="K60" i="8"/>
  <c r="I60" i="8"/>
  <c r="J60" i="8" s="1"/>
  <c r="K57" i="9"/>
  <c r="I57" i="9"/>
  <c r="J57" i="9" s="1"/>
  <c r="K52" i="7"/>
  <c r="I57" i="7"/>
  <c r="J57" i="7" s="1"/>
  <c r="I59" i="7"/>
  <c r="J59" i="7" s="1"/>
  <c r="K59" i="7"/>
  <c r="I61" i="9"/>
  <c r="J61" i="9" s="1"/>
  <c r="K61" i="9"/>
  <c r="I52" i="12"/>
  <c r="J52" i="12" s="1"/>
  <c r="K52" i="12"/>
  <c r="G65" i="12"/>
  <c r="E43" i="12" s="1"/>
  <c r="L51" i="8"/>
  <c r="I62" i="8"/>
  <c r="I58" i="9"/>
  <c r="J58" i="9" s="1"/>
  <c r="K61" i="10"/>
  <c r="I61" i="10"/>
  <c r="M57" i="10"/>
  <c r="N57" i="10" s="1"/>
  <c r="E44" i="11"/>
  <c r="H51" i="11"/>
  <c r="E45" i="11"/>
  <c r="E91" i="11"/>
  <c r="E94" i="11" s="1"/>
  <c r="F94" i="11" s="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45" i="14"/>
  <c r="I64" i="8"/>
  <c r="J64" i="8" s="1"/>
  <c r="I51" i="7"/>
  <c r="K52" i="8"/>
  <c r="I61" i="8"/>
  <c r="J61" i="8" s="1"/>
  <c r="K60" i="9"/>
  <c r="I60" i="9"/>
  <c r="J60" i="9" s="1"/>
  <c r="M61" i="9"/>
  <c r="N61" i="9" s="1"/>
  <c r="F44" i="10"/>
  <c r="G89" i="9"/>
  <c r="K57" i="12"/>
  <c r="I57" i="12"/>
  <c r="F93" i="7"/>
  <c r="F65" i="8"/>
  <c r="I58" i="8"/>
  <c r="J58" i="8" s="1"/>
  <c r="M56" i="9"/>
  <c r="N56" i="9" s="1"/>
  <c r="J56" i="9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F65" i="9"/>
  <c r="K59" i="10"/>
  <c r="I59" i="10"/>
  <c r="J59" i="10" s="1"/>
  <c r="K62" i="12"/>
  <c r="I62" i="12"/>
  <c r="E91" i="7"/>
  <c r="E94" i="7" s="1"/>
  <c r="F94" i="7" s="1"/>
  <c r="G65" i="8"/>
  <c r="E43" i="8" s="1"/>
  <c r="K51" i="8"/>
  <c r="I63" i="8"/>
  <c r="J63" i="8" s="1"/>
  <c r="I53" i="9"/>
  <c r="J53" i="9" s="1"/>
  <c r="K53" i="9"/>
  <c r="M59" i="9"/>
  <c r="N59" i="9" s="1"/>
  <c r="J62" i="9"/>
  <c r="M55" i="10"/>
  <c r="N55" i="10" s="1"/>
  <c r="M63" i="11"/>
  <c r="N63" i="11" s="1"/>
  <c r="J63" i="11"/>
  <c r="D84" i="9"/>
  <c r="K51" i="7"/>
  <c r="K58" i="7"/>
  <c r="I58" i="7"/>
  <c r="E91" i="8"/>
  <c r="E94" i="8" s="1"/>
  <c r="F94" i="8" s="1"/>
  <c r="K52" i="9"/>
  <c r="K62" i="9"/>
  <c r="G91" i="9"/>
  <c r="H91" i="9" s="1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J59" i="8" s="1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I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M63" i="13"/>
  <c r="N63" i="13" s="1"/>
  <c r="K52" i="14"/>
  <c r="I52" i="14"/>
  <c r="J52" i="14" s="1"/>
  <c r="I57" i="14"/>
  <c r="K57" i="14"/>
  <c r="K62" i="14"/>
  <c r="I62" i="14"/>
  <c r="J62" i="14" s="1"/>
  <c r="I62" i="11"/>
  <c r="G65" i="9"/>
  <c r="E43" i="9" s="1"/>
  <c r="E91" i="10"/>
  <c r="E94" i="10" s="1"/>
  <c r="F94" i="10" s="1"/>
  <c r="M59" i="11"/>
  <c r="N59" i="11" s="1"/>
  <c r="I58" i="13"/>
  <c r="J58" i="13" s="1"/>
  <c r="K58" i="13"/>
  <c r="K63" i="13"/>
  <c r="I63" i="13"/>
  <c r="J63" i="13" s="1"/>
  <c r="F45" i="13"/>
  <c r="G45" i="13"/>
  <c r="H45" i="13" s="1"/>
  <c r="K59" i="13"/>
  <c r="I59" i="13"/>
  <c r="M57" i="11"/>
  <c r="N57" i="11" s="1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F65" i="12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E94" i="14"/>
  <c r="F94" i="14" s="1"/>
  <c r="F90" i="9"/>
  <c r="F92" i="9"/>
  <c r="K56" i="13"/>
  <c r="I56" i="13"/>
  <c r="E91" i="13"/>
  <c r="I55" i="13"/>
  <c r="K61" i="13"/>
  <c r="M62" i="14"/>
  <c r="N62" i="14" s="1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M53" i="6" s="1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M56" i="8" l="1"/>
  <c r="N56" i="8" s="1"/>
  <c r="I52" i="8"/>
  <c r="J52" i="8" s="1"/>
  <c r="J52" i="7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E46" i="9"/>
  <c r="F46" i="9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I65" i="12"/>
  <c r="J65" i="12" s="1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F70" i="3"/>
  <c r="K61" i="3"/>
  <c r="G70" i="3"/>
  <c r="H70" i="3" s="1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G46" i="7" l="1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L61" i="4" s="1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61" i="4" l="1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<sst xmlns="http://schemas.openxmlformats.org/spreadsheetml/2006/main" count="1875" uniqueCount="185">
  <si>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</si>
  <si>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</si>
  <si>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</si>
  <si>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</si>
  <si>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</si>
  <si>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</si>
  <si>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</si>
  <si>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</si>
  <si>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</si>
  <si>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</si>
  <si>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</si>
  <si>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</si>
  <si>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</si>
  <si>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</si>
  <si>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</si>
  <si>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</si>
  <si>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</si>
  <si>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</si>
  <si>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</si>
  <si>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</si>
  <si>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</si>
  <si>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</si>
  <si>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</si>
  <si>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</si>
  <si>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</si>
  <si>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</si>
  <si>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</si>
  <si>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</si>
  <si>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</si>
  <si>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</si>
  <si>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</si>
  <si>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</si>
  <si>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</si>
  <si>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</si>
  <si>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</si>
  <si>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</si>
  <si>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</si>
  <si>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</si>
  <si>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</si>
  <si>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</si>
  <si>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</si>
  <si>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</si>
  <si>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</si>
  <si>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</si>
  <si>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</si>
  <si>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</si>
  <si>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</si>
  <si>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</si>
  <si>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</si>
  <si>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</si>
  <si>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</si>
  <si>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</si>
  <si>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</si>
  <si>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</si>
  <si>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</si>
  <si>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</si>
  <si>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</si>
  <si>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</si>
  <si>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</si>
  <si>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</si>
  <si>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</si>
  <si>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</si>
  <si>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</si>
  <si>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</si>
  <si>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</si>
  <si>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</si>
  <si>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</si>
  <si>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</si>
  <si>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</si>
  <si>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</si>
  <si>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</si>
  <si>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</si>
  <si>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</si>
  <si>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</si>
  <si>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</si>
  <si>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</si>
  <si>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</si>
  <si>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</si>
  <si>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</si>
  <si>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</si>
  <si>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</si>
  <si>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</si>
  <si>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</si>
  <si>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</si>
  <si>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</si>
  <si>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</si>
  <si>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</si>
  <si>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</si>
  <si>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</si>
  <si>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</si>
  <si>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</si>
  <si>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</si>
  <si>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</si>
  <si>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</si>
  <si>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</si>
  <si>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</si>
  <si>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</si>
  <si>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</si>
  <si>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</si>
  <si>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</si>
  <si>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</si>
  <si>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</si>
  <si>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</si>
  <si>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</si>
  <si>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</si>
  <si>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</si>
  <si>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</si>
  <si>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</si>
  <si>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</si>
  <si>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</si>
  <si>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</si>
  <si>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</si>
  <si>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</si>
  <si>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</si>
  <si>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</si>
  <si>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</si>
  <si>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</si>
  <si>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</si>
  <si>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</si>
  <si>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</si>
  <si>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</si>
  <si>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</si>
  <si>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</si>
  <si>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</si>
  <si>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</si>
  <si>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</si>
  <si>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</si>
  <si>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</si>
  <si>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</si>
  <si>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</si>
  <si>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</si>
  <si>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</si>
  <si>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</si>
  <si>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</si>
  <si>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</si>
  <si>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</si>
  <si>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</si>
  <si>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</si>
  <si>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</si>
  <si>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</si>
  <si>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</si>
  <si>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</si>
  <si>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</si>
  <si>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</si>
  <si>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</si>
  <si>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</si>
  <si>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</si>
  <si>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</si>
  <si>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</si>
  <si>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</si>
  <si>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</si>
  <si>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</si>
  <si>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</si>
  <si>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</si>
  <si>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</si>
  <si>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</si>
  <si>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</si>
  <si>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</si>
  <si>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</si>
  <si>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</si>
  <si>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</si>
  <si>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</si>
  <si>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</si>
  <si>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</si>
  <si>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</si>
  <si>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</si>
  <si>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</si>
  <si>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</si>
  <si>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</si>
  <si>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</si>
  <si>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</si>
  <si>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</si>
  <si>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</si>
  <si>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</si>
  <si>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</si>
  <si>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</si>
  <si>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</si>
  <si>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</si>
  <si>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JULI 2026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</si>
  <si>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</si>
  <si>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</si>
  <si>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</si>
  <si>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</si>
  <si>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</si>
  <si>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19 JUNI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</si>
</sst>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9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4" xfId="0" applyNumberFormat="1" applyFont="1" applyBorder="1" applyAlignment="1">
      <alignment vertical="center"/>
    </xf>
    <xf numFmtId="164" fontId="0" fillId="0" borderId="0" xfId="0" applyNumberFormat="1"/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7" t="s">
        <v>0</v>
      </c>
      <c r="C1" s="207"/>
    </row>
    <row r="3" spans="2:3" x14ac:dyDescent="0.25">
      <c r="B3" s="208" t="s">
        <v>1</v>
      </c>
      <c r="C3" s="208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9" t="s">
        <v>14</v>
      </c>
      <c r="C11" s="209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C10" zoomScale="110" zoomScaleNormal="110" workbookViewId="0">
      <selection activeCell="I25" sqref="I2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6" width="12.7109375" bestFit="1" customWidth="1"/>
    <col min="7" max="7" width="12.85546875" bestFit="1" customWidth="1"/>
    <col min="8" max="8" width="12.7109375" bestFit="1" customWidth="1"/>
    <col min="9" max="9" width="12.85546875" bestFit="1" customWidth="1"/>
    <col min="10" max="11" width="11.28515625" bestFit="1" customWidth="1"/>
    <col min="12" max="13" width="11.140625" bestFit="1" customWidth="1"/>
    <col min="14" max="15" width="11.28515625" bestFit="1" customWidth="1"/>
    <col min="16" max="16" width="9.7109375" bestFit="1" customWidth="1"/>
    <col min="17" max="17" width="8.2851562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8" t="s">
        <v>28</v>
      </c>
      <c r="C3" s="208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175</v>
      </c>
      <c r="C7" s="146" t="s">
        <v>176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>
        <v>241473268</v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175</v>
      </c>
      <c r="C13" s="146" t="s">
        <v>177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>
        <v>404133664</v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10" t="s">
        <v>102</v>
      </c>
      <c r="C29" s="210"/>
      <c r="D29" s="210"/>
      <c r="E29" s="210"/>
      <c r="F29" s="210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168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2" t="s">
        <v>146</v>
      </c>
      <c r="C44" s="223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4" t="s">
        <v>41</v>
      </c>
      <c r="C47" s="224" t="s">
        <v>42</v>
      </c>
      <c r="D47" s="219" t="s">
        <v>138</v>
      </c>
      <c r="E47" s="220"/>
      <c r="F47" s="221"/>
      <c r="G47" s="70" t="s">
        <v>139</v>
      </c>
      <c r="H47" s="70"/>
      <c r="I47" s="70"/>
      <c r="J47" s="224" t="s">
        <v>140</v>
      </c>
      <c r="K47" s="35" t="s">
        <v>148</v>
      </c>
      <c r="L47" s="35"/>
      <c r="M47" s="35"/>
      <c r="N47" s="218" t="s">
        <v>149</v>
      </c>
    </row>
    <row r="48" spans="2:17" ht="15.75" x14ac:dyDescent="0.25">
      <c r="B48" s="224"/>
      <c r="C48" s="224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4"/>
      <c r="K48" s="34" t="s">
        <v>143</v>
      </c>
      <c r="L48" s="34" t="s">
        <v>111</v>
      </c>
      <c r="M48" s="34" t="s">
        <v>146</v>
      </c>
      <c r="N48" s="218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29" zoomScaleNormal="100" workbookViewId="0">
      <selection activeCell="B41" sqref="B41:F46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168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5" t="s">
        <v>182</v>
      </c>
      <c r="C41" s="226"/>
      <c r="D41" s="227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2" t="s">
        <v>146</v>
      </c>
      <c r="C46" s="223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36"/>
      <c r="L48" s="237"/>
      <c r="M48" s="237"/>
      <c r="N48" s="238"/>
    </row>
    <row r="49" spans="2:14" s="158" customFormat="1" ht="20.100000000000001" customHeight="1" x14ac:dyDescent="0.25">
      <c r="B49" s="235" t="s">
        <v>41</v>
      </c>
      <c r="C49" s="235" t="s">
        <v>42</v>
      </c>
      <c r="D49" s="232" t="s">
        <v>138</v>
      </c>
      <c r="E49" s="233"/>
      <c r="F49" s="234"/>
      <c r="G49" s="159" t="s">
        <v>139</v>
      </c>
      <c r="H49" s="159"/>
      <c r="I49" s="159"/>
      <c r="J49" s="235" t="s">
        <v>140</v>
      </c>
      <c r="K49" s="160" t="s">
        <v>148</v>
      </c>
      <c r="L49" s="160"/>
      <c r="M49" s="160"/>
      <c r="N49" s="228" t="s">
        <v>149</v>
      </c>
    </row>
    <row r="50" spans="2:14" s="158" customFormat="1" ht="20.100000000000001" customHeight="1" x14ac:dyDescent="0.25">
      <c r="B50" s="235"/>
      <c r="C50" s="235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5"/>
      <c r="K50" s="163" t="s">
        <v>143</v>
      </c>
      <c r="L50" s="163" t="s">
        <v>111</v>
      </c>
      <c r="M50" s="163" t="s">
        <v>146</v>
      </c>
      <c r="N50" s="228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175</v>
      </c>
      <c r="C53" s="188" t="s">
        <v>176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175</v>
      </c>
      <c r="C59" s="188" t="s">
        <v>177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174</v>
      </c>
      <c r="C67" s="136"/>
      <c r="D67" s="137"/>
      <c r="G67"/>
      <c r="H67"/>
      <c r="I67"/>
    </row>
    <row r="68" spans="2:14" ht="20.100000000000001" customHeight="1" x14ac:dyDescent="0.25">
      <c r="B68" s="224" t="s">
        <v>41</v>
      </c>
      <c r="C68" s="224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4"/>
      <c r="C69" s="224"/>
      <c r="D69" s="71" t="s">
        <v>171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175</v>
      </c>
      <c r="C72" s="186" t="s">
        <v>176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175</v>
      </c>
      <c r="C78" s="186" t="s">
        <v>177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9" t="s">
        <v>145</v>
      </c>
      <c r="C87" s="230"/>
      <c r="D87" s="230"/>
      <c r="E87" s="230"/>
      <c r="F87" s="231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9" zoomScaleNormal="100" workbookViewId="0">
      <selection activeCell="D70" sqref="D70:D83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10</v>
      </c>
      <c r="D3" s="79" t="s">
        <v>104</v>
      </c>
      <c r="E3" s="80">
        <f ca="1">DAY(EOMONTH(TODAY(),0))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205">
        <v>297882183.23181498</v>
      </c>
      <c r="D10" s="205">
        <v>34050666.405826002</v>
      </c>
      <c r="E10" s="205">
        <v>162788612.639999</v>
      </c>
      <c r="F10" s="20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205">
        <v>374466810.62618703</v>
      </c>
      <c r="D11" s="205">
        <v>92402940.934527993</v>
      </c>
      <c r="E11" s="205">
        <v>40868468.799999997</v>
      </c>
      <c r="F11" s="20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205">
        <v>278227678.91783297</v>
      </c>
      <c r="D12" s="205">
        <v>62708999.627249002</v>
      </c>
      <c r="E12" s="205">
        <v>52162025.759999998</v>
      </c>
      <c r="F12" s="20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205">
        <v>236645733.92783001</v>
      </c>
      <c r="D13" s="205">
        <v>33197107.539818</v>
      </c>
      <c r="E13" s="205">
        <v>41510945.439999998</v>
      </c>
      <c r="F13" s="20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205">
        <v>670664362.43227303</v>
      </c>
      <c r="D14" s="205">
        <v>27278643.871089</v>
      </c>
      <c r="E14" s="205">
        <v>260324322.93000001</v>
      </c>
      <c r="F14" s="20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205">
        <v>413013469.09840298</v>
      </c>
      <c r="D16" s="205">
        <v>61457252.569306999</v>
      </c>
      <c r="E16" s="205">
        <v>14439639.5</v>
      </c>
      <c r="F16" s="20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205">
        <v>314350697.279998</v>
      </c>
      <c r="D17" s="205">
        <v>42787524.299999997</v>
      </c>
      <c r="E17" s="205" t="s">
        <v>168</v>
      </c>
      <c r="F17" s="20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205">
        <v>976940398.98976696</v>
      </c>
      <c r="D18" s="205">
        <v>11562280.951971</v>
      </c>
      <c r="E18" s="205">
        <v>11405405.380000001</v>
      </c>
      <c r="F18" s="20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205">
        <v>1005613301.6380841</v>
      </c>
      <c r="D19" s="205">
        <v>73190755.369811997</v>
      </c>
      <c r="E19" s="205">
        <v>709237967.049927</v>
      </c>
      <c r="F19" s="20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205">
        <v>234281528.32828599</v>
      </c>
      <c r="D20" s="205">
        <v>28741885.549775999</v>
      </c>
      <c r="E20" s="205">
        <v>3816216.3</v>
      </c>
      <c r="F20" s="20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205">
        <v>64055094</v>
      </c>
      <c r="D21" s="205">
        <v>100105707.120704</v>
      </c>
      <c r="E21" s="205">
        <v>79070271.780000001</v>
      </c>
      <c r="F21" s="20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172</v>
      </c>
      <c r="C22" s="205">
        <v>197567845.80000001</v>
      </c>
      <c r="D22" s="205" t="s">
        <v>168</v>
      </c>
      <c r="E22" s="205">
        <v>12832432.08</v>
      </c>
      <c r="F22" s="205">
        <v>210400277.88</v>
      </c>
      <c r="H22" s="116"/>
      <c r="I22" s="116"/>
      <c r="J22" s="116"/>
    </row>
    <row r="23" spans="2:14" x14ac:dyDescent="0.25">
      <c r="B23" s="74" t="s">
        <v>173</v>
      </c>
      <c r="C23" s="205">
        <v>300521523.82997501</v>
      </c>
      <c r="D23" s="205" t="s">
        <v>168</v>
      </c>
      <c r="E23" s="205">
        <v>13813693.32</v>
      </c>
      <c r="F23" s="205">
        <v>314335217.149975</v>
      </c>
      <c r="H23" s="116"/>
      <c r="I23" s="116"/>
      <c r="J23" s="116"/>
    </row>
    <row r="24" spans="2:14" x14ac:dyDescent="0.25">
      <c r="B24" s="74" t="s">
        <v>125</v>
      </c>
      <c r="C24" s="205">
        <v>288424016.78064901</v>
      </c>
      <c r="D24" s="205">
        <v>44585739.113441996</v>
      </c>
      <c r="E24" s="205">
        <v>126214286.45999999</v>
      </c>
      <c r="F24" s="205">
        <v>459224042.35409099</v>
      </c>
      <c r="H24" s="116"/>
      <c r="I24" s="116"/>
      <c r="J24" s="116"/>
    </row>
    <row r="25" spans="2:14" x14ac:dyDescent="0.25">
      <c r="B25" s="74" t="s">
        <v>126</v>
      </c>
      <c r="C25" s="205">
        <v>389875776.90495598</v>
      </c>
      <c r="D25" s="205">
        <v>68378257.859753996</v>
      </c>
      <c r="E25" s="205">
        <v>247976756.949745</v>
      </c>
      <c r="F25" s="205">
        <v>706230791.71445501</v>
      </c>
      <c r="H25" s="116"/>
      <c r="I25" s="116"/>
      <c r="J25" s="116"/>
    </row>
    <row r="26" spans="2:14" x14ac:dyDescent="0.25">
      <c r="B26" s="74" t="s">
        <v>127</v>
      </c>
      <c r="C26" s="205">
        <v>454249976.114806</v>
      </c>
      <c r="D26" s="205">
        <v>58885063.089941002</v>
      </c>
      <c r="E26" s="205">
        <v>469103962.04973102</v>
      </c>
      <c r="F26" s="205">
        <v>982239001.25447798</v>
      </c>
      <c r="H26" s="116"/>
      <c r="I26" s="116"/>
      <c r="J26" s="116"/>
    </row>
    <row r="27" spans="2:14" x14ac:dyDescent="0.25">
      <c r="B27" s="74" t="s">
        <v>128</v>
      </c>
      <c r="C27" s="205">
        <v>686645252.87729704</v>
      </c>
      <c r="D27" s="205">
        <v>191906951.15242499</v>
      </c>
      <c r="E27" s="205">
        <v>19182702.936000001</v>
      </c>
      <c r="F27" s="20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291427595.82048202</v>
      </c>
      <c r="G32" s="116"/>
      <c r="H32" s="116"/>
      <c r="I32" s="116"/>
    </row>
    <row r="33" spans="2:14" x14ac:dyDescent="0.25">
      <c r="B33" s="84" t="s">
        <v>133</v>
      </c>
      <c r="C33" s="205">
        <v>436148035.92440403</v>
      </c>
      <c r="G33" s="116"/>
      <c r="H33" s="116"/>
      <c r="I33" s="116"/>
    </row>
    <row r="34" spans="2:14" x14ac:dyDescent="0.25">
      <c r="B34" s="84" t="s">
        <v>134</v>
      </c>
      <c r="C34" s="205">
        <v>135628039.89320499</v>
      </c>
      <c r="G34" s="116"/>
      <c r="H34" s="116"/>
      <c r="I34" s="116"/>
    </row>
    <row r="35" spans="2:14" x14ac:dyDescent="0.25">
      <c r="B35" s="84" t="s">
        <v>135</v>
      </c>
      <c r="C35" s="205">
        <v>513829145.026452</v>
      </c>
      <c r="G35" s="116"/>
      <c r="H35" s="116"/>
      <c r="I35" s="116"/>
    </row>
    <row r="36" spans="2:14" x14ac:dyDescent="0.25">
      <c r="B36" s="84" t="s">
        <v>136</v>
      </c>
      <c r="C36" s="205">
        <v>296173392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39" t="s">
        <v>183</v>
      </c>
      <c r="C41" s="240"/>
      <c r="D41" s="241"/>
      <c r="E41" s="67" t="s">
        <v>138</v>
      </c>
      <c r="F41" s="73">
        <v>0.97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63279408.021160699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55558732.971669078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10977251.473971272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129815392.46680105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20.10000000000000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22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15194412.332656329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13594963.498726999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4390542.2199999988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-4034870.7486027121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13079437.761152614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8068750.4454943659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-2511713.5668739555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11081442.823529005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10361214.017002499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7561194.7657280387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17723615.740587823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11837432.816217285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3460568.2962995409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9031150.5909120385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118838140.99282987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8.75" customHeight="1" x14ac:dyDescent="0.25">
      <c r="B68" s="224" t="s">
        <v>41</v>
      </c>
      <c r="C68" s="224" t="s">
        <v>42</v>
      </c>
      <c r="D68" s="134" t="s">
        <v>139</v>
      </c>
    </row>
    <row r="69" spans="2:14" ht="18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126214286.45999999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.100000000000001" customHeight="1" x14ac:dyDescent="0.25">
      <c r="B72" s="201" t="s">
        <v>175</v>
      </c>
      <c r="C72" s="202" t="s">
        <v>176</v>
      </c>
      <c r="D72" s="192">
        <f>IF(E22="",0,E22)</f>
        <v>12832432.08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260324322.93000001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14439639.5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709237967.049927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247976756.949745</v>
      </c>
    </row>
    <row r="78" spans="2:14" ht="20.100000000000001" customHeight="1" x14ac:dyDescent="0.25">
      <c r="B78" s="201" t="s">
        <v>175</v>
      </c>
      <c r="C78" s="202" t="s">
        <v>177</v>
      </c>
      <c r="D78" s="192">
        <f>IF(E23="",0,E23)</f>
        <v>13813693.32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40868468.799999997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469103962.04973102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162788612.639999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19182702.936000001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.100000000000001" customHeight="1" x14ac:dyDescent="0.25">
      <c r="B84" s="57" t="s">
        <v>152</v>
      </c>
      <c r="C84" s="58"/>
      <c r="D84" s="129">
        <f>SUM(D70:D83)</f>
        <v>2253342303.9954014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-1336297.7916272462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-1852948.2737882435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14166497.539386773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10977251.473971283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68" zoomScaleNormal="100" workbookViewId="0">
      <selection activeCell="B67" sqref="B67:D84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7" width="14.7109375" customWidth="1"/>
    <col min="8" max="8" width="15.42578125" customWidth="1"/>
    <col min="9" max="9" width="14.85546875" customWidth="1"/>
    <col min="10" max="10" width="9.28515625" customWidth="1"/>
    <col min="11" max="11" width="8.140625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10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227909329.520614</v>
      </c>
      <c r="N8" s="11">
        <f>D24</f>
        <v>39074871.528972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346415608.93839598</v>
      </c>
      <c r="N9" s="11">
        <f>D12+D13</f>
        <v>100278354.28778201</v>
      </c>
    </row>
    <row r="10" spans="2:14" x14ac:dyDescent="0.25">
      <c r="B10" s="74" t="s">
        <v>113</v>
      </c>
      <c r="C10" s="205">
        <v>213306764.673924</v>
      </c>
      <c r="D10" s="205">
        <v>26160548.252498999</v>
      </c>
      <c r="E10" s="205">
        <v>107116249.56999999</v>
      </c>
      <c r="F10" s="205">
        <v>346583562.49642301</v>
      </c>
      <c r="H10" s="116"/>
      <c r="I10" s="116"/>
      <c r="J10" s="116"/>
      <c r="M10" s="11">
        <f>C14</f>
        <v>662518718.73037696</v>
      </c>
      <c r="N10" s="11">
        <f>D14</f>
        <v>21435775.325116001</v>
      </c>
    </row>
    <row r="11" spans="2:14" x14ac:dyDescent="0.25">
      <c r="B11" s="74" t="s">
        <v>114</v>
      </c>
      <c r="C11" s="205">
        <v>244616959.31193799</v>
      </c>
      <c r="D11" s="205">
        <v>57732578.010231003</v>
      </c>
      <c r="E11" s="205">
        <v>2660360.36</v>
      </c>
      <c r="F11" s="205">
        <v>305009897.68216902</v>
      </c>
      <c r="H11" s="116"/>
      <c r="I11" s="116"/>
      <c r="J11" s="116"/>
      <c r="M11" s="11">
        <f>C17</f>
        <v>197164413.23962</v>
      </c>
      <c r="N11" s="11">
        <f>D17</f>
        <v>46234425.210000001</v>
      </c>
    </row>
    <row r="12" spans="2:14" x14ac:dyDescent="0.25">
      <c r="B12" s="74" t="s">
        <v>70</v>
      </c>
      <c r="C12" s="205">
        <v>179213806.56648299</v>
      </c>
      <c r="D12" s="205">
        <v>57937440.467967004</v>
      </c>
      <c r="E12" s="205">
        <v>29921364.199999999</v>
      </c>
      <c r="F12" s="205">
        <v>267072611.23445001</v>
      </c>
      <c r="H12" s="116"/>
      <c r="I12" s="116"/>
      <c r="J12" s="116"/>
      <c r="M12" s="11">
        <f>C16</f>
        <v>309996006.31993097</v>
      </c>
      <c r="N12" s="11">
        <f>D16</f>
        <v>66721502.592804</v>
      </c>
    </row>
    <row r="13" spans="2:14" x14ac:dyDescent="0.25">
      <c r="B13" s="74" t="s">
        <v>115</v>
      </c>
      <c r="C13" s="205">
        <v>167201802.37191299</v>
      </c>
      <c r="D13" s="205">
        <v>42340913.819815002</v>
      </c>
      <c r="E13" s="205">
        <v>23441598.800000001</v>
      </c>
      <c r="F13" s="205">
        <v>232984314.99172801</v>
      </c>
      <c r="H13" s="116"/>
      <c r="I13" s="116"/>
      <c r="J13" s="116"/>
      <c r="M13" s="11">
        <f>C19</f>
        <v>617478269.668329</v>
      </c>
      <c r="N13" s="11">
        <f>D19</f>
        <v>53069774.369935997</v>
      </c>
    </row>
    <row r="14" spans="2:14" x14ac:dyDescent="0.25">
      <c r="B14" s="74" t="s">
        <v>116</v>
      </c>
      <c r="C14" s="205">
        <v>662518718.73037696</v>
      </c>
      <c r="D14" s="205">
        <v>21435775.325116001</v>
      </c>
      <c r="E14" s="205">
        <v>167353423.75</v>
      </c>
      <c r="F14" s="205">
        <v>851307917.805493</v>
      </c>
      <c r="H14" s="116"/>
      <c r="I14" s="116"/>
      <c r="J14" s="116"/>
      <c r="M14" s="11">
        <f>C25</f>
        <v>311030411.29380202</v>
      </c>
      <c r="N14" s="11">
        <f>D25</f>
        <v>40365214.659966998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244616959.31193799</v>
      </c>
      <c r="N15" s="11">
        <f>D11</f>
        <v>57732578.010231003</v>
      </c>
    </row>
    <row r="16" spans="2:14" x14ac:dyDescent="0.25">
      <c r="B16" s="74" t="s">
        <v>74</v>
      </c>
      <c r="C16" s="205">
        <v>309996006.31993097</v>
      </c>
      <c r="D16" s="205">
        <v>66721502.592804</v>
      </c>
      <c r="E16" s="205">
        <v>26026603.300000001</v>
      </c>
      <c r="F16" s="205">
        <v>402744112.212735</v>
      </c>
      <c r="H16" s="116"/>
      <c r="I16" s="116"/>
      <c r="J16" s="116"/>
      <c r="M16" s="11">
        <f>C26</f>
        <v>348878867.74540699</v>
      </c>
      <c r="N16" s="11">
        <f>D26</f>
        <v>32116601.095465999</v>
      </c>
    </row>
    <row r="17" spans="2:14" x14ac:dyDescent="0.25">
      <c r="B17" s="74" t="s">
        <v>118</v>
      </c>
      <c r="C17" s="205">
        <v>197164413.23962</v>
      </c>
      <c r="D17" s="205">
        <v>46234425.210000001</v>
      </c>
      <c r="E17" s="205" t="s">
        <v>168</v>
      </c>
      <c r="F17" s="205">
        <v>243398838.44962001</v>
      </c>
      <c r="H17" s="116"/>
      <c r="I17" s="116"/>
      <c r="J17" s="116"/>
      <c r="M17" s="11">
        <f>C10</f>
        <v>213306764.673924</v>
      </c>
      <c r="N17" s="11">
        <f>D10</f>
        <v>26160548.252498999</v>
      </c>
    </row>
    <row r="18" spans="2:14" x14ac:dyDescent="0.25">
      <c r="B18" s="74" t="s">
        <v>119</v>
      </c>
      <c r="C18" s="205">
        <v>300614764.95803303</v>
      </c>
      <c r="D18" s="205">
        <v>2025072.1099950001</v>
      </c>
      <c r="E18" s="205">
        <v>6986486.4000000004</v>
      </c>
      <c r="F18" s="205">
        <v>309626323.46802801</v>
      </c>
      <c r="H18" s="116"/>
      <c r="I18" s="116"/>
      <c r="J18" s="116"/>
      <c r="M18" s="11">
        <f>C27</f>
        <v>460344503.14619899</v>
      </c>
      <c r="N18" s="11">
        <f>D27</f>
        <v>68959622.491264999</v>
      </c>
    </row>
    <row r="19" spans="2:14" x14ac:dyDescent="0.25">
      <c r="B19" s="74" t="s">
        <v>121</v>
      </c>
      <c r="C19" s="205">
        <v>617478269.668329</v>
      </c>
      <c r="D19" s="205">
        <v>53069774.369935997</v>
      </c>
      <c r="E19" s="205">
        <v>1036310110.97997</v>
      </c>
      <c r="F19" s="205">
        <v>1706858155.018235</v>
      </c>
      <c r="H19" s="116"/>
      <c r="I19" s="116"/>
      <c r="J19" s="116"/>
      <c r="M19" s="11">
        <f>C20+C21</f>
        <v>113174610.647754</v>
      </c>
      <c r="N19" s="11">
        <f>D20+D21</f>
        <v>107342298.50697801</v>
      </c>
    </row>
    <row r="20" spans="2:14" x14ac:dyDescent="0.25">
      <c r="B20" s="74" t="s">
        <v>123</v>
      </c>
      <c r="C20" s="205">
        <v>79741690.647753999</v>
      </c>
      <c r="D20" s="205">
        <v>20773286.339760002</v>
      </c>
      <c r="E20" s="205">
        <v>8237838</v>
      </c>
      <c r="F20" s="205">
        <v>108752814.987514</v>
      </c>
      <c r="H20" s="116"/>
      <c r="I20" s="116"/>
      <c r="J20" s="116"/>
      <c r="M20" s="14">
        <f>IFERROR(C31,0)+IFERROR(C15,0)+IFERROR(C36,0)</f>
        <v>411000</v>
      </c>
      <c r="N20" s="10" t="s">
        <v>120</v>
      </c>
    </row>
    <row r="21" spans="2:14" x14ac:dyDescent="0.25">
      <c r="B21" s="74" t="s">
        <v>124</v>
      </c>
      <c r="C21" s="205">
        <v>33432920</v>
      </c>
      <c r="D21" s="205">
        <v>86569012.167218</v>
      </c>
      <c r="E21" s="205">
        <v>42151352.140000001</v>
      </c>
      <c r="F21" s="205">
        <v>162153284.30721799</v>
      </c>
      <c r="H21" s="116"/>
      <c r="I21" s="116"/>
      <c r="J21" s="116"/>
      <c r="M21" s="14">
        <f>IFERROR(C34,0)+IFERROR(C35,0)+M20</f>
        <v>561014901.67797804</v>
      </c>
      <c r="N21" s="10" t="s">
        <v>122</v>
      </c>
    </row>
    <row r="22" spans="2:14" x14ac:dyDescent="0.25">
      <c r="B22" s="74" t="s">
        <v>172</v>
      </c>
      <c r="C22" s="205">
        <v>147569605.5</v>
      </c>
      <c r="D22" s="205" t="s">
        <v>168</v>
      </c>
      <c r="E22" s="205">
        <v>4684684.5599999996</v>
      </c>
      <c r="F22" s="205">
        <v>152254290.06</v>
      </c>
      <c r="H22" s="116"/>
      <c r="I22" s="116"/>
      <c r="J22" s="116"/>
    </row>
    <row r="23" spans="2:14" x14ac:dyDescent="0.25">
      <c r="B23" s="74" t="s">
        <v>173</v>
      </c>
      <c r="C23" s="205">
        <v>287443477.27999997</v>
      </c>
      <c r="D23" s="205" t="s">
        <v>168</v>
      </c>
      <c r="E23" s="205">
        <v>10156125.859999999</v>
      </c>
      <c r="F23" s="205">
        <v>297599603.13999999</v>
      </c>
      <c r="H23" s="116"/>
      <c r="I23" s="116"/>
      <c r="J23" s="116"/>
    </row>
    <row r="24" spans="2:14" x14ac:dyDescent="0.25">
      <c r="B24" s="74" t="s">
        <v>125</v>
      </c>
      <c r="C24" s="205">
        <v>227909329.520614</v>
      </c>
      <c r="D24" s="205">
        <v>39074871.528972</v>
      </c>
      <c r="E24" s="205">
        <v>283236802.15987003</v>
      </c>
      <c r="F24" s="205">
        <v>550221003.20945597</v>
      </c>
      <c r="H24" s="116"/>
      <c r="I24" s="116"/>
      <c r="J24" s="116"/>
    </row>
    <row r="25" spans="2:14" x14ac:dyDescent="0.25">
      <c r="B25" s="74" t="s">
        <v>126</v>
      </c>
      <c r="C25" s="205">
        <v>311030411.29380202</v>
      </c>
      <c r="D25" s="205">
        <v>40365214.659966998</v>
      </c>
      <c r="E25" s="205">
        <v>188358696.12956899</v>
      </c>
      <c r="F25" s="205">
        <v>539754322.08333802</v>
      </c>
      <c r="H25" s="116"/>
      <c r="I25" s="116"/>
      <c r="J25" s="116"/>
    </row>
    <row r="26" spans="2:14" x14ac:dyDescent="0.25">
      <c r="B26" s="74" t="s">
        <v>127</v>
      </c>
      <c r="C26" s="205">
        <v>348878867.74540699</v>
      </c>
      <c r="D26" s="205">
        <v>32116601.095465999</v>
      </c>
      <c r="E26" s="205">
        <v>395037573.40962303</v>
      </c>
      <c r="F26" s="205">
        <v>776033042.25049603</v>
      </c>
      <c r="H26" s="116"/>
      <c r="I26" s="116"/>
      <c r="J26" s="116"/>
    </row>
    <row r="27" spans="2:14" x14ac:dyDescent="0.25">
      <c r="B27" s="74" t="s">
        <v>128</v>
      </c>
      <c r="C27" s="205">
        <v>460344503.14619899</v>
      </c>
      <c r="D27" s="205">
        <v>68959622.491264999</v>
      </c>
      <c r="E27" s="205">
        <v>7244865.0549999997</v>
      </c>
      <c r="F27" s="205">
        <v>536548990.69246399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123410301.225152</v>
      </c>
      <c r="G32" s="116"/>
      <c r="H32" s="116"/>
      <c r="I32" s="116"/>
    </row>
    <row r="33" spans="2:14" x14ac:dyDescent="0.25">
      <c r="B33" s="84" t="s">
        <v>133</v>
      </c>
      <c r="C33" s="206">
        <v>170230619.19855502</v>
      </c>
      <c r="G33" s="116"/>
      <c r="H33" s="116"/>
      <c r="I33" s="116"/>
    </row>
    <row r="34" spans="2:14" x14ac:dyDescent="0.25">
      <c r="B34" s="84" t="s">
        <v>134</v>
      </c>
      <c r="C34" s="205">
        <v>106323873.867108</v>
      </c>
      <c r="G34" s="116"/>
      <c r="H34" s="116"/>
      <c r="I34" s="116"/>
    </row>
    <row r="35" spans="2:14" x14ac:dyDescent="0.25">
      <c r="B35" s="84" t="s">
        <v>135</v>
      </c>
      <c r="C35" s="205">
        <v>454280027.81086999</v>
      </c>
      <c r="G35" s="116"/>
      <c r="H35" s="116"/>
      <c r="I35" s="116"/>
    </row>
    <row r="36" spans="2:14" x14ac:dyDescent="0.25">
      <c r="B36" s="84" t="s">
        <v>136</v>
      </c>
      <c r="C36" s="205">
        <v>411000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25" t="s">
        <v>184</v>
      </c>
      <c r="C41" s="226"/>
      <c r="D41" s="227"/>
      <c r="E41" s="67" t="s">
        <v>138</v>
      </c>
      <c r="F41" s="73">
        <f ca="1">IF(MONTH(TODAY())=6,DAY(TODAY())/DAY(EOMONTH(TODAY(),0)),IF(MONTH(TODAY())&gt;6,1,0))</f>
        <v>0.6333333333333333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4487847546.0162907</v>
      </c>
      <c r="F43" s="44">
        <f>IFERROR(E43/D43,0)</f>
        <v>0.61822218718505306</v>
      </c>
      <c r="G43" s="118">
        <f>D43-E43</f>
        <v>2771431785.9837093</v>
      </c>
      <c r="H43" s="118">
        <f ca="1">IFERROR(G43/C3,0)</f>
        <v>277143178.59837091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659491566.33101606</v>
      </c>
      <c r="F44" s="44">
        <f>IFERROR(E44/D44,0)</f>
        <v>0.36447575601472648</v>
      </c>
      <c r="G44" s="118">
        <f>D44-E44</f>
        <v>1149933492.6689839</v>
      </c>
      <c r="H44" s="118">
        <f ca="1">IFERROR(G44/C3,0)</f>
        <v>114993349.26689839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854655822.10168505</v>
      </c>
      <c r="F45" s="44">
        <f>IFERROR(E45/D45,0)</f>
        <v>0.46680794462573777</v>
      </c>
      <c r="G45" s="118">
        <f>D45-E45</f>
        <v>976195241.89831495</v>
      </c>
      <c r="H45" s="118">
        <f ca="1">IFERROR(G45/C3,0)</f>
        <v>97619524.189831495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10899555455</v>
      </c>
      <c r="E46" s="47">
        <f>E43+E44+E45</f>
        <v>6001994934.4489918</v>
      </c>
      <c r="F46" s="43">
        <f>IFERROR(E46/D46,0)</f>
        <v>0.55066419536364397</v>
      </c>
      <c r="G46" s="119">
        <f>G43+G44+G45</f>
        <v>4897560520.5510082</v>
      </c>
      <c r="H46" s="119">
        <f ca="1">IFERROR(G46/C3,0)</f>
        <v>489756052.0551008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21.75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19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ht="20.100000000000001" customHeight="1" x14ac:dyDescent="0.25">
      <c r="B51" s="50" t="s">
        <v>67</v>
      </c>
      <c r="C51" s="55" t="s">
        <v>68</v>
      </c>
      <c r="D51" s="127">
        <f>TARGETS!N5</f>
        <v>451683478</v>
      </c>
      <c r="E51" s="127">
        <f>TARGETS!O5</f>
        <v>101830423</v>
      </c>
      <c r="F51" s="127">
        <f t="shared" ref="F51:F64" si="0">D51+E51</f>
        <v>553513901</v>
      </c>
      <c r="G51" s="122">
        <f>M8</f>
        <v>227909329.520614</v>
      </c>
      <c r="H51" s="122">
        <f>N8</f>
        <v>39074871.528972</v>
      </c>
      <c r="I51" s="122">
        <f t="shared" ref="I51:I64" si="1">G51+H51</f>
        <v>266984201.049586</v>
      </c>
      <c r="J51" s="61">
        <f t="shared" ref="J51:J64" si="2">IFERROR(I51/F51,0)</f>
        <v>0.48234416618488141</v>
      </c>
      <c r="K51" s="51">
        <f t="shared" ref="K51:M64" si="3">D51-G51</f>
        <v>223774148.479386</v>
      </c>
      <c r="L51" s="51">
        <f t="shared" si="3"/>
        <v>62755551.471028</v>
      </c>
      <c r="M51" s="51">
        <f t="shared" si="3"/>
        <v>286529699.950414</v>
      </c>
      <c r="N51" s="51">
        <f ca="1">IFERROR(M51/C3,0)</f>
        <v>28652969.9950414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TARGETS!N6</f>
        <v>590182371</v>
      </c>
      <c r="E52" s="128">
        <f>TARGETS!O6</f>
        <v>225106806</v>
      </c>
      <c r="F52" s="128">
        <f t="shared" si="0"/>
        <v>815289177</v>
      </c>
      <c r="G52" s="122">
        <f>M9</f>
        <v>346415608.93839598</v>
      </c>
      <c r="H52" s="122">
        <f>N9</f>
        <v>100278354.28778201</v>
      </c>
      <c r="I52" s="122">
        <f t="shared" si="1"/>
        <v>446693963.22617799</v>
      </c>
      <c r="J52" s="61">
        <f t="shared" si="2"/>
        <v>0.54789634871625181</v>
      </c>
      <c r="K52" s="54">
        <f t="shared" si="3"/>
        <v>243766762.06160402</v>
      </c>
      <c r="L52" s="54">
        <f t="shared" si="3"/>
        <v>124828451.71221799</v>
      </c>
      <c r="M52" s="54">
        <f t="shared" si="3"/>
        <v>368595213.77382201</v>
      </c>
      <c r="N52" s="54">
        <f ca="1">IFERROR(M52/C3,0)</f>
        <v>36859521.377382204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TARGETS!N7</f>
        <v>241473268</v>
      </c>
      <c r="E53" s="157">
        <f>TARGETS!O7</f>
        <v>0</v>
      </c>
      <c r="F53" s="157">
        <f>D53+E53</f>
        <v>241473268</v>
      </c>
      <c r="G53" s="122">
        <f>C22</f>
        <v>147569605.5</v>
      </c>
      <c r="H53" s="122">
        <f>IF(D22="",0,D22)</f>
        <v>0</v>
      </c>
      <c r="I53" s="122">
        <f>G53+H53</f>
        <v>147569605.5</v>
      </c>
      <c r="J53" s="61">
        <f>IFERROR(I53/F53,0)</f>
        <v>0.61112191308894692</v>
      </c>
      <c r="K53" s="54">
        <f>D53-G53</f>
        <v>93903662.5</v>
      </c>
      <c r="L53" s="54">
        <f>E53-H53</f>
        <v>0</v>
      </c>
      <c r="M53" s="54">
        <f>F53-I53</f>
        <v>93903662.5</v>
      </c>
      <c r="N53" s="54">
        <f ca="1">IFERROR(M53/C3,0)</f>
        <v>9390366.25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TARGETS!N8</f>
        <v>645712472</v>
      </c>
      <c r="E54" s="128">
        <f>TARGETS!O8</f>
        <v>80441848</v>
      </c>
      <c r="F54" s="128">
        <f t="shared" si="0"/>
        <v>726154320</v>
      </c>
      <c r="G54" s="122">
        <f>M10</f>
        <v>662518718.73037696</v>
      </c>
      <c r="H54" s="122">
        <f t="shared" ref="H54:H58" si="4">N10</f>
        <v>21435775.325116001</v>
      </c>
      <c r="I54" s="122">
        <f t="shared" si="1"/>
        <v>683954494.055493</v>
      </c>
      <c r="J54" s="61">
        <f t="shared" si="2"/>
        <v>0.94188587083733522</v>
      </c>
      <c r="K54" s="54">
        <f>D54-G54</f>
        <v>-16806246.730376959</v>
      </c>
      <c r="L54" s="54">
        <f t="shared" si="3"/>
        <v>59006072.674883999</v>
      </c>
      <c r="M54" s="54">
        <f t="shared" si="3"/>
        <v>42199825.944507003</v>
      </c>
      <c r="N54" s="54">
        <f ca="1">IFERROR(M54/C3,0)</f>
        <v>4219982.5944507001</v>
      </c>
    </row>
    <row r="55" spans="2:14" ht="20.100000000000001" customHeight="1" x14ac:dyDescent="0.25">
      <c r="B55" s="50" t="s">
        <v>73</v>
      </c>
      <c r="C55" s="55" t="s">
        <v>74</v>
      </c>
      <c r="D55" s="127">
        <f>TARGETS!N9</f>
        <v>508918832</v>
      </c>
      <c r="E55" s="127">
        <f>TARGETS!O9</f>
        <v>80519404</v>
      </c>
      <c r="F55" s="127">
        <f t="shared" si="0"/>
        <v>589438236</v>
      </c>
      <c r="G55" s="122">
        <f>M11</f>
        <v>197164413.23962</v>
      </c>
      <c r="H55" s="122">
        <f t="shared" si="4"/>
        <v>46234425.210000001</v>
      </c>
      <c r="I55" s="122">
        <f t="shared" si="1"/>
        <v>243398838.44962001</v>
      </c>
      <c r="J55" s="61">
        <f t="shared" si="2"/>
        <v>0.4129335757065139</v>
      </c>
      <c r="K55" s="54">
        <f t="shared" si="3"/>
        <v>311754418.76038003</v>
      </c>
      <c r="L55" s="54">
        <f t="shared" si="3"/>
        <v>34284978.789999999</v>
      </c>
      <c r="M55" s="54">
        <f t="shared" si="3"/>
        <v>346039397.55037999</v>
      </c>
      <c r="N55" s="54">
        <f ca="1">IFERROR(M55/C3,0)</f>
        <v>34603939.755038001</v>
      </c>
    </row>
    <row r="56" spans="2:14" ht="20.100000000000001" customHeight="1" x14ac:dyDescent="0.25">
      <c r="B56" s="53" t="s">
        <v>75</v>
      </c>
      <c r="C56" s="56" t="s">
        <v>74</v>
      </c>
      <c r="D56" s="128">
        <f>TARGETS!N10</f>
        <v>440063284</v>
      </c>
      <c r="E56" s="128">
        <f>TARGETS!O10</f>
        <v>82149325</v>
      </c>
      <c r="F56" s="128">
        <f t="shared" si="0"/>
        <v>522212609</v>
      </c>
      <c r="G56" s="122">
        <f>M12</f>
        <v>309996006.31993097</v>
      </c>
      <c r="H56" s="122">
        <f t="shared" si="4"/>
        <v>66721502.592804</v>
      </c>
      <c r="I56" s="122">
        <f t="shared" si="1"/>
        <v>376717508.91273499</v>
      </c>
      <c r="J56" s="61">
        <f t="shared" si="2"/>
        <v>0.72138723274821381</v>
      </c>
      <c r="K56" s="54">
        <f t="shared" si="3"/>
        <v>130067277.68006903</v>
      </c>
      <c r="L56" s="54">
        <f t="shared" si="3"/>
        <v>15427822.407196</v>
      </c>
      <c r="M56" s="54">
        <f t="shared" si="3"/>
        <v>145495100.08726501</v>
      </c>
      <c r="N56" s="54">
        <f ca="1">IFERROR(M56/C3,0)</f>
        <v>14549510.008726502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TARGETS!N11</f>
        <v>996758345</v>
      </c>
      <c r="E57" s="127">
        <f>TARGETS!O11</f>
        <v>125488598</v>
      </c>
      <c r="F57" s="127">
        <f t="shared" si="0"/>
        <v>1122246943</v>
      </c>
      <c r="G57" s="122">
        <f>M13</f>
        <v>617478269.668329</v>
      </c>
      <c r="H57" s="122">
        <f t="shared" si="4"/>
        <v>53069774.369935997</v>
      </c>
      <c r="I57" s="122">
        <f t="shared" si="1"/>
        <v>670548044.03826499</v>
      </c>
      <c r="J57" s="61">
        <f t="shared" si="2"/>
        <v>0.59750489695766096</v>
      </c>
      <c r="K57" s="54">
        <f t="shared" si="3"/>
        <v>379280075.331671</v>
      </c>
      <c r="L57" s="54">
        <f t="shared" si="3"/>
        <v>72418823.630064011</v>
      </c>
      <c r="M57" s="54">
        <f t="shared" si="3"/>
        <v>451698898.96173501</v>
      </c>
      <c r="N57" s="54">
        <f ca="1">IFERROR(M57/C3,0)</f>
        <v>45169889.8961735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TARGETS!N12</f>
        <v>540287059</v>
      </c>
      <c r="E58" s="128">
        <f>TARGETS!O12</f>
        <v>97341426</v>
      </c>
      <c r="F58" s="128">
        <f t="shared" si="0"/>
        <v>637628485</v>
      </c>
      <c r="G58" s="122">
        <f>M14</f>
        <v>311030411.29380202</v>
      </c>
      <c r="H58" s="122">
        <f t="shared" si="4"/>
        <v>40365214.659966998</v>
      </c>
      <c r="I58" s="122">
        <f>G58+H58</f>
        <v>351395625.95376903</v>
      </c>
      <c r="J58" s="61">
        <f>IFERROR(I58/F58,0)</f>
        <v>0.55109775397466598</v>
      </c>
      <c r="K58" s="54">
        <f t="shared" si="3"/>
        <v>229256647.70619798</v>
      </c>
      <c r="L58" s="54">
        <f t="shared" si="3"/>
        <v>56976211.340033002</v>
      </c>
      <c r="M58" s="54">
        <f t="shared" si="3"/>
        <v>286232859.04623097</v>
      </c>
      <c r="N58" s="54">
        <f ca="1">IFERROR(M58/C3,0)</f>
        <v>28623285.904623099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TARGETS!N13</f>
        <v>404133664</v>
      </c>
      <c r="E59" s="157">
        <f>TARGETS!O13</f>
        <v>0</v>
      </c>
      <c r="F59" s="157">
        <f>D59+E59</f>
        <v>404133664</v>
      </c>
      <c r="G59" s="122">
        <f>C23</f>
        <v>287443477.27999997</v>
      </c>
      <c r="H59" s="122">
        <f>IF(D23="",0,D23)</f>
        <v>0</v>
      </c>
      <c r="I59" s="122">
        <f>G59+H59</f>
        <v>287443477.27999997</v>
      </c>
      <c r="J59" s="61">
        <f>IFERROR(I59/F59,0)</f>
        <v>0.7112584347341081</v>
      </c>
      <c r="K59" s="54">
        <f>D59-G59</f>
        <v>116690186.72000003</v>
      </c>
      <c r="L59" s="54">
        <f>E59-H59</f>
        <v>0</v>
      </c>
      <c r="M59" s="54">
        <f>F59-I59</f>
        <v>116690186.72000003</v>
      </c>
      <c r="N59" s="54">
        <f ca="1">IFERROR(M59/C3,0)</f>
        <v>11669018.672000002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TARGETS!N14</f>
        <v>439017309</v>
      </c>
      <c r="E60" s="128">
        <f>TARGETS!O14</f>
        <v>172024412</v>
      </c>
      <c r="F60" s="128">
        <f t="shared" si="0"/>
        <v>611041721</v>
      </c>
      <c r="G60" s="122">
        <f>M15</f>
        <v>244616959.31193799</v>
      </c>
      <c r="H60" s="122">
        <f t="shared" ref="H60:H64" si="5">N15</f>
        <v>57732578.010231003</v>
      </c>
      <c r="I60" s="122">
        <f t="shared" si="1"/>
        <v>302349537.32216901</v>
      </c>
      <c r="J60" s="61">
        <f t="shared" si="2"/>
        <v>0.49480997275825789</v>
      </c>
      <c r="K60" s="54">
        <f t="shared" si="3"/>
        <v>194400349.68806201</v>
      </c>
      <c r="L60" s="54">
        <f t="shared" si="3"/>
        <v>114291833.989769</v>
      </c>
      <c r="M60" s="54">
        <f t="shared" si="3"/>
        <v>308692183.67783099</v>
      </c>
      <c r="N60" s="54">
        <f ca="1">IFERROR(M60/C3,0)</f>
        <v>30869218.367783099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TARGETS!N15</f>
        <v>666629596</v>
      </c>
      <c r="E61" s="127">
        <f>TARGETS!O15</f>
        <v>92301622</v>
      </c>
      <c r="F61" s="127">
        <f t="shared" si="0"/>
        <v>758931218</v>
      </c>
      <c r="G61" s="122">
        <f>M16</f>
        <v>348878867.74540699</v>
      </c>
      <c r="H61" s="122">
        <f t="shared" si="5"/>
        <v>32116601.095465999</v>
      </c>
      <c r="I61" s="122">
        <f t="shared" si="1"/>
        <v>380995468.840873</v>
      </c>
      <c r="J61" s="61">
        <f t="shared" si="2"/>
        <v>0.50201580829011705</v>
      </c>
      <c r="K61" s="54">
        <f t="shared" si="3"/>
        <v>317750728.25459301</v>
      </c>
      <c r="L61" s="54">
        <f t="shared" si="3"/>
        <v>60185020.904533997</v>
      </c>
      <c r="M61" s="54">
        <f t="shared" si="3"/>
        <v>377935749.159127</v>
      </c>
      <c r="N61" s="54">
        <f ca="1">IFERROR(M61/C3,0)</f>
        <v>37793574.915912703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TARGETS!N16</f>
        <v>421543023</v>
      </c>
      <c r="E62" s="128">
        <f>TARGETS!O16</f>
        <v>97324176</v>
      </c>
      <c r="F62" s="128">
        <f t="shared" si="0"/>
        <v>518867199</v>
      </c>
      <c r="G62" s="122">
        <f>M17</f>
        <v>213306764.673924</v>
      </c>
      <c r="H62" s="122">
        <f t="shared" si="5"/>
        <v>26160548.252498999</v>
      </c>
      <c r="I62" s="122">
        <f t="shared" si="1"/>
        <v>239467312.92642301</v>
      </c>
      <c r="J62" s="61">
        <f t="shared" si="2"/>
        <v>0.46151946661485344</v>
      </c>
      <c r="K62" s="54">
        <f t="shared" si="3"/>
        <v>208236258.326076</v>
      </c>
      <c r="L62" s="54">
        <f t="shared" si="3"/>
        <v>71163627.747501001</v>
      </c>
      <c r="M62" s="54">
        <f t="shared" si="3"/>
        <v>279399886.07357699</v>
      </c>
      <c r="N62" s="54">
        <f ca="1">IFERROR(M62/C3,0)</f>
        <v>27939988.607357699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TARGETS!N17</f>
        <v>618350942</v>
      </c>
      <c r="E63" s="127">
        <f>TARGETS!O17</f>
        <v>363366966</v>
      </c>
      <c r="F63" s="127">
        <f t="shared" si="0"/>
        <v>981717908</v>
      </c>
      <c r="G63" s="122">
        <f>M18</f>
        <v>460344503.14619899</v>
      </c>
      <c r="H63" s="122">
        <f t="shared" si="5"/>
        <v>68959622.491264999</v>
      </c>
      <c r="I63" s="122">
        <f t="shared" si="1"/>
        <v>529304125.63746399</v>
      </c>
      <c r="J63" s="61">
        <f t="shared" si="2"/>
        <v>0.53916111881445272</v>
      </c>
      <c r="K63" s="54">
        <f t="shared" si="3"/>
        <v>158006438.85380101</v>
      </c>
      <c r="L63" s="54">
        <f t="shared" si="3"/>
        <v>294407343.508735</v>
      </c>
      <c r="M63" s="54">
        <f t="shared" si="3"/>
        <v>452413782.36253601</v>
      </c>
      <c r="N63" s="54">
        <f ca="1">IFERROR(M63/C3,0)</f>
        <v>45241378.236253604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TARGETS!N18</f>
        <v>294525689</v>
      </c>
      <c r="E64" s="128">
        <f>TARGETS!O18</f>
        <v>291530053</v>
      </c>
      <c r="F64" s="128">
        <f t="shared" si="0"/>
        <v>586055742</v>
      </c>
      <c r="G64" s="122">
        <f>M19</f>
        <v>113174610.647754</v>
      </c>
      <c r="H64" s="122">
        <f t="shared" si="5"/>
        <v>107342298.50697801</v>
      </c>
      <c r="I64" s="122">
        <f t="shared" si="1"/>
        <v>220516909.15473199</v>
      </c>
      <c r="J64" s="61">
        <f t="shared" si="2"/>
        <v>0.37627292653457528</v>
      </c>
      <c r="K64" s="54">
        <f t="shared" si="3"/>
        <v>181351078.35224599</v>
      </c>
      <c r="L64" s="54">
        <f t="shared" si="3"/>
        <v>184187754.49302199</v>
      </c>
      <c r="M64" s="54">
        <f t="shared" si="3"/>
        <v>365538832.84526801</v>
      </c>
      <c r="N64" s="54">
        <f ca="1">IFERROR(M64/C3,0)</f>
        <v>36553883.284526803</v>
      </c>
    </row>
    <row r="65" spans="2:14" ht="20.100000000000001" customHeight="1" x14ac:dyDescent="0.25">
      <c r="B65" s="57" t="s">
        <v>152</v>
      </c>
      <c r="C65" s="58"/>
      <c r="D65" s="151">
        <f>SUM(D51:D64)</f>
        <v>7259279332</v>
      </c>
      <c r="E65" s="151">
        <f t="shared" ref="E65" si="6">SUM(E51:E52,E54:E58,E60:E64)</f>
        <v>1809425059</v>
      </c>
      <c r="F65" s="151">
        <f>SUM(F51:F64)</f>
        <v>9068704391</v>
      </c>
      <c r="G65" s="152">
        <f>SUM(G51:G64)</f>
        <v>4487847546.0162907</v>
      </c>
      <c r="H65" s="152">
        <f>SUM(H51:H64)</f>
        <v>659491566.33101606</v>
      </c>
      <c r="I65" s="152">
        <f>SUM(I51:I64)</f>
        <v>5147339112.3473072</v>
      </c>
      <c r="J65" s="153">
        <f>IFERROR(I65/F65,0)</f>
        <v>0.56759365951498542</v>
      </c>
      <c r="K65" s="154">
        <f>SUM(K51:K64)</f>
        <v>2771431785.9837089</v>
      </c>
      <c r="L65" s="154">
        <f>SUM(L51:L64)</f>
        <v>1149933492.6689839</v>
      </c>
      <c r="M65" s="154">
        <f>SUM(M51:M64)</f>
        <v>3921365278.6526928</v>
      </c>
      <c r="N65" s="154">
        <f ca="1">IFERROR(M65/C3,0)</f>
        <v>392136527.8652693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91">
        <f>IF(E24="",0,E24)</f>
        <v>283236802.15987003</v>
      </c>
    </row>
    <row r="71" spans="2:14" ht="20.100000000000001" customHeight="1" x14ac:dyDescent="0.25">
      <c r="B71" s="53" t="s">
        <v>69</v>
      </c>
      <c r="C71" s="56" t="s">
        <v>70</v>
      </c>
      <c r="D71" s="192">
        <v>53362963</v>
      </c>
    </row>
    <row r="72" spans="2:14" ht="20.100000000000001" customHeight="1" x14ac:dyDescent="0.25">
      <c r="B72" s="53" t="s">
        <v>175</v>
      </c>
      <c r="C72" s="56" t="s">
        <v>176</v>
      </c>
      <c r="D72" s="192">
        <v>4684684.5599999996</v>
      </c>
    </row>
    <row r="73" spans="2:14" ht="20.100000000000001" customHeight="1" x14ac:dyDescent="0.25">
      <c r="B73" s="50" t="s">
        <v>71</v>
      </c>
      <c r="C73" s="55" t="s">
        <v>72</v>
      </c>
      <c r="D73" s="191">
        <v>167353423.75</v>
      </c>
    </row>
    <row r="74" spans="2:14" ht="20.100000000000001" customHeight="1" x14ac:dyDescent="0.25">
      <c r="B74" s="53" t="s">
        <v>73</v>
      </c>
      <c r="C74" s="56" t="s">
        <v>74</v>
      </c>
      <c r="D74" s="192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92">
        <v>26026603.300000001</v>
      </c>
    </row>
    <row r="76" spans="2:14" ht="20.100000000000001" customHeight="1" x14ac:dyDescent="0.25">
      <c r="B76" s="53" t="s">
        <v>76</v>
      </c>
      <c r="C76" s="56" t="s">
        <v>77</v>
      </c>
      <c r="D76" s="192">
        <v>1036310110.97997</v>
      </c>
    </row>
    <row r="77" spans="2:14" ht="20.100000000000001" customHeight="1" x14ac:dyDescent="0.25">
      <c r="B77" s="50" t="s">
        <v>78</v>
      </c>
      <c r="C77" s="55" t="s">
        <v>79</v>
      </c>
      <c r="D77" s="191">
        <v>188358696.12956899</v>
      </c>
    </row>
    <row r="78" spans="2:14" ht="20.100000000000001" customHeight="1" x14ac:dyDescent="0.25">
      <c r="B78" s="53" t="s">
        <v>175</v>
      </c>
      <c r="C78" s="56" t="s">
        <v>177</v>
      </c>
      <c r="D78" s="192">
        <v>10156125.859999999</v>
      </c>
    </row>
    <row r="79" spans="2:14" ht="20.100000000000001" customHeight="1" x14ac:dyDescent="0.25">
      <c r="B79" s="53" t="s">
        <v>80</v>
      </c>
      <c r="C79" s="56" t="s">
        <v>81</v>
      </c>
      <c r="D79" s="192">
        <f>IF(E11="",0,E11)</f>
        <v>2660360.36</v>
      </c>
    </row>
    <row r="80" spans="2:14" ht="20.100000000000001" customHeight="1" x14ac:dyDescent="0.25">
      <c r="B80" s="50" t="s">
        <v>82</v>
      </c>
      <c r="C80" s="55" t="s">
        <v>83</v>
      </c>
      <c r="D80" s="191">
        <v>395037573.40962303</v>
      </c>
    </row>
    <row r="81" spans="2:9" ht="20.100000000000001" customHeight="1" x14ac:dyDescent="0.25">
      <c r="B81" s="53" t="s">
        <v>84</v>
      </c>
      <c r="C81" s="56" t="s">
        <v>85</v>
      </c>
      <c r="D81" s="192">
        <v>107116249.56999999</v>
      </c>
    </row>
    <row r="82" spans="2:9" ht="20.100000000000001" customHeight="1" x14ac:dyDescent="0.25">
      <c r="B82" s="50" t="s">
        <v>86</v>
      </c>
      <c r="C82" s="55" t="s">
        <v>87</v>
      </c>
      <c r="D82" s="192">
        <v>7244865.0549999997</v>
      </c>
    </row>
    <row r="83" spans="2:9" ht="20.100000000000001" customHeight="1" x14ac:dyDescent="0.25">
      <c r="B83" s="53" t="s">
        <v>88</v>
      </c>
      <c r="C83" s="56" t="s">
        <v>89</v>
      </c>
      <c r="D83" s="192">
        <f>IF(E20="",0,E20)+IF(E21="",0,E21)</f>
        <v>50389190.140000001</v>
      </c>
    </row>
    <row r="84" spans="2:9" ht="20.100000000000001" customHeight="1" x14ac:dyDescent="0.25">
      <c r="B84" s="57" t="s">
        <v>152</v>
      </c>
      <c r="C84" s="58"/>
      <c r="D84" s="129">
        <f>SUM(D70:D83)</f>
        <v>2331937648.2740316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34.5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TARGETS!I22</f>
        <v>285530553</v>
      </c>
      <c r="E89" s="122">
        <f>IFERROR(C32,0)</f>
        <v>123410301.225152</v>
      </c>
      <c r="F89" s="61">
        <f t="shared" ref="F89:F94" si="7">IFERROR(E89/D89,0)</f>
        <v>0.43221399576511171</v>
      </c>
      <c r="G89" s="125">
        <f>D89-E89</f>
        <v>162120251.77484798</v>
      </c>
      <c r="H89" s="125">
        <f ca="1">IFERROR(G89/C3,0)</f>
        <v>16212025.177484799</v>
      </c>
      <c r="I89" s="116"/>
    </row>
    <row r="90" spans="2:9" ht="20.100000000000001" customHeight="1" x14ac:dyDescent="0.25">
      <c r="B90" s="53" t="s">
        <v>94</v>
      </c>
      <c r="C90" s="56" t="s">
        <v>95</v>
      </c>
      <c r="D90" s="126">
        <f>TARGETS!I23</f>
        <v>428831462</v>
      </c>
      <c r="E90" s="122">
        <f>IFERROR(C33,0)</f>
        <v>170230619.19855502</v>
      </c>
      <c r="F90" s="61">
        <f t="shared" si="7"/>
        <v>0.39696392238719419</v>
      </c>
      <c r="G90" s="126">
        <f>D90-E90</f>
        <v>258600842.80144498</v>
      </c>
      <c r="H90" s="126">
        <f ca="1">IFERROR(G90/C3,0)</f>
        <v>25860084.280144498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TARGETS!I24</f>
        <v>1116489049</v>
      </c>
      <c r="E91" s="122">
        <f>M21+M7</f>
        <v>561014901.67797804</v>
      </c>
      <c r="F91" s="61">
        <f t="shared" si="7"/>
        <v>0.50248132946799551</v>
      </c>
      <c r="G91" s="125">
        <f>D91-E91</f>
        <v>555474147.32202196</v>
      </c>
      <c r="H91" s="125">
        <f ca="1">IFERROR(G91/C3,0)</f>
        <v>55547414.732202195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1830851064</v>
      </c>
      <c r="E94" s="123">
        <f>SUM(E89:E93)</f>
        <v>854655822.10168505</v>
      </c>
      <c r="F94" s="43">
        <f t="shared" si="7"/>
        <v>0.46680794462573777</v>
      </c>
      <c r="G94" s="119">
        <f>SUM(G89:G93)</f>
        <v>976195241.89831495</v>
      </c>
      <c r="H94" s="119">
        <f ca="1">IFERROR(G94/C3,0)</f>
        <v>97619524.189831495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7" zoomScaleNormal="100" workbookViewId="0">
      <selection activeCell="D70" sqref="D70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27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178</v>
      </c>
      <c r="C41" s="226"/>
      <c r="D41" s="227"/>
      <c r="E41" s="67" t="s">
        <v>138</v>
      </c>
      <c r="F41" s="73">
        <f ca="1">IF(MONTH(TODAY())=7,DAY(TODAY())/DAY(EOMONTH(TODAY(),0)),IF(MONTH(TODAY())&gt;7,1,0))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SUM(TARGETS!P5:P7,TARGETS!P8:P13,TARGETS!P14:P18)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SUM(TARGETS!Q5:Q6,TARGETS!Q8:Q12,TARGETS!Q14:Q18)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SUM(TARGETS!J22:J26)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TARGETS!P5</f>
        <v>0</v>
      </c>
      <c r="E51" s="127">
        <f>TARGETS!Q5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TARGETS!P6</f>
        <v>0</v>
      </c>
      <c r="E52" s="128">
        <f>TARGETS!Q6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TARGETS!P7</f>
        <v>0</v>
      </c>
      <c r="E53" s="157">
        <f>TARGETS!Q7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TARGETS!P8</f>
        <v>0</v>
      </c>
      <c r="E54" s="128">
        <f>TARGETS!Q8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TARGETS!P9</f>
        <v>0</v>
      </c>
      <c r="E55" s="127">
        <f>TARGETS!Q9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TARGETS!P10</f>
        <v>0</v>
      </c>
      <c r="E56" s="128">
        <f>TARGETS!Q10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TARGETS!P11</f>
        <v>0</v>
      </c>
      <c r="E57" s="127">
        <f>TARGETS!Q11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TARGETS!P12</f>
        <v>0</v>
      </c>
      <c r="E58" s="128">
        <f>TARGETS!Q12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TARGETS!P13</f>
        <v>0</v>
      </c>
      <c r="E59" s="157">
        <f>TARGETS!Q13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TARGETS!P14</f>
        <v>0</v>
      </c>
      <c r="E60" s="128">
        <f>TARGETS!Q14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TARGETS!P15</f>
        <v>0</v>
      </c>
      <c r="E61" s="127">
        <f>TARGETS!Q15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TARGETS!P16</f>
        <v>0</v>
      </c>
      <c r="E62" s="128">
        <f>TARGETS!Q16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TARGETS!P17</f>
        <v>0</v>
      </c>
      <c r="E63" s="127">
        <f>TARGETS!Q17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TARGETS!P18</f>
        <v>0</v>
      </c>
      <c r="E64" s="128">
        <f>TARGETS!Q18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TARGETS!J22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TARGETS!J23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TARGETS!J24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162</v>
      </c>
      <c r="C41" s="226"/>
      <c r="D41" s="227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164</v>
      </c>
      <c r="C41" s="226"/>
      <c r="D41" s="227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166</v>
      </c>
      <c r="C41" s="226"/>
      <c r="D41" s="227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179</v>
      </c>
      <c r="C41" s="226"/>
      <c r="D41" s="227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180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181</v>
      </c>
      <c r="C41" s="226"/>
      <c r="D41" s="227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2026-06-19T01:04:15Z</dcterms:modified>
  <dc:language>en-US</dc:language>
</cp:coreProperties>
</file>