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<sst xmlns="http://schemas.openxmlformats.org/spreadsheetml/2006/main" count="2117" uniqueCount="229">
  <si>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</si>
  <si>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</si>
  <si>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</si>
  <si>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</si>
  <si>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</si>
  <si>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</si>
  <si>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</si>
  <si>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</si>
  <si>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</si>
  <si>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</si>
  <si>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</si>
  <si>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</si>
  <si>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</si>
  <si>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</si>
  <si>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</si>
  <si>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</si>
  <si>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</si>
  <si>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</si>
  <si>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</si>
  <si>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</si>
  <si>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</si>
  <si>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</si>
  <si>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</si>
  <si>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</si>
  <si>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</si>
  <si>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</si>
  <si>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</si>
  <si>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</si>
  <si>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</si>
  <si>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</si>
  <si>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</si>
  <si>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</si>
  <si>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</si>
  <si>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</si>
  <si>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</si>
  <si>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</si>
  <si>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</si>
  <si>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</si>
  <si>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</si>
  <si>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</si>
  <si>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</si>
  <si>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</si>
  <si>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</si>
  <si>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</si>
  <si>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</si>
  <si>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</si>
  <si>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</si>
  <si>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</si>
  <si>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</si>
  <si>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</si>
  <si>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</si>
  <si>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</si>
  <si>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</si>
  <si>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</si>
  <si>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</si>
  <si>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</si>
  <si>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</si>
  <si>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</si>
  <si>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</si>
  <si>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</si>
  <si>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</si>
  <si>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</si>
  <si>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</si>
  <si>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</si>
  <si>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</si>
  <si>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</si>
  <si>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</si>
  <si>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</si>
  <si>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</si>
  <si>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</si>
  <si>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</si>
  <si>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</si>
  <si>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</si>
  <si>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</si>
  <si>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</si>
  <si>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</si>
  <si>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</si>
  <si>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</si>
  <si>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</si>
  <si>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</si>
  <si>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</si>
  <si>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</si>
  <si>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</si>
  <si>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</si>
  <si>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</si>
  <si>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</si>
  <si>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</si>
  <si>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</si>
  <si>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</si>
  <si>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</si>
  <si>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</si>
  <si>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</si>
  <si>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</si>
  <si>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</si>
  <si>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</si>
  <si>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</si>
  <si>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</si>
  <si>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</si>
  <si>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</si>
  <si>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</si>
  <si>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</si>
  <si>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</si>
  <si>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</si>
  <si>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</si>
  <si>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</si>
  <si>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</si>
  <si>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</si>
  <si>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</si>
  <si>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</si>
  <si>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</si>
  <si>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</si>
  <si>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</si>
  <si>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</si>
  <si>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</si>
  <si>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</si>
  <si>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</si>
  <si>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</si>
  <si>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</si>
  <si>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</si>
  <si>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</si>
  <si>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</si>
  <si>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</si>
  <si>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</si>
  <si>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</si>
  <si>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</si>
  <si>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</si>
  <si>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</si>
  <si>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</si>
  <si>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</si>
  <si>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</si>
  <si>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</si>
  <si>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</si>
  <si>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</si>
  <si>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</si>
  <si>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</si>
  <si>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</si>
  <si>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</si>
  <si>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</si>
  <si>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</si>
  <si>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</si>
  <si>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</si>
  <si>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</si>
  <si>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</si>
  <si>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</si>
  <si>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</si>
  <si>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</si>
  <si>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</si>
  <si>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</si>
  <si>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</si>
  <si>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</si>
  <si>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</si>
  <si>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</si>
  <si>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</si>
  <si>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</si>
  <si>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</si>
  <si>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</si>
  <si>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</si>
  <si>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</si>
  <si>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</si>
  <si>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</si>
  <si>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</si>
  <si>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</si>
  <si>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</si>
  <si>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</si>
  <si>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</si>
  <si>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</si>
  <si>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</si>
  <si>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</si>
  <si>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</si>
  <si>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</si>
  <si>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</si>
  <si>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</si>
  <si>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</si>
  <si>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</si>
  <si>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</si>
  <si>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</si>
  <si>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</si>
  <si>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</si>
  <si>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</si>
  <si>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</si>
  <si>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</si>
  <si>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</si>
  <si>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</si>
  <si>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</si>
  <si>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</si>
  <si>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</si>
  <si>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</si>
  <si>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</si>
  <si>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</si>
  <si>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</si>
  <si>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</si>
  <si>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</si>
  <si>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</si>
  <si>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</si>
  <si>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</si>
  <si>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</si>
  <si>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</si>
  <si>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</si>
  <si>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</si>
  <si>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</si>
  <si>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</si>
  <si>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</si>
  <si>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</si>
  <si>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</si>
  <si>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</si>
  <si>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</si>
  <si>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</si>
  <si>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</si>
  <si>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</si>
  <si>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</si>
  <si>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</si>
  <si>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</si>
  <si>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</si>
  <si>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</si>
  <si>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</si>
  <si>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</si>
  <si>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</si>
  <si>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</si>
  <si>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</si>
  <si>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</si>
  <si>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</si>
  <si>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</si>
  <si>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</si>
  <si>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</si>
  <si>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</si>
  <si>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</si>
  <si>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</si>
  <si>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WIDI</t>
  </si>
  <si>
    <t>DATA PENCAPAIAN — GLOBAL —  16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</si>
</sst>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13" zoomScale="73" zoomScaleNormal="73" workbookViewId="0">
      <selection activeCell="G28" sqref="G2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13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97687948.761456996</v>
      </c>
      <c r="D10" s="234">
        <v>25690735.559999999</v>
      </c>
      <c r="E10" s="234">
        <v>126561892.173888</v>
      </c>
      <c r="F10" s="234">
        <v>89910108.649957001</v>
      </c>
      <c r="G10" s="234">
        <v>339850685.145302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172635135.9993</v>
      </c>
      <c r="F11" s="234" t="s">
        <v>165</v>
      </c>
      <c r="G11" s="234">
        <v>193311875.01929799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101270591.616817</v>
      </c>
      <c r="D12" s="234">
        <v>52222436.801475003</v>
      </c>
      <c r="E12" s="234">
        <v>93153164.649685994</v>
      </c>
      <c r="F12" s="234">
        <v>37670094.600000001</v>
      </c>
      <c r="G12" s="234">
        <v>284316287.66797799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20451403.544785999</v>
      </c>
      <c r="D13" s="234">
        <v>15163511.849981001</v>
      </c>
      <c r="E13" s="234">
        <v>126255902.09974401</v>
      </c>
      <c r="F13" s="234">
        <v>51539330.359999999</v>
      </c>
      <c r="G13" s="234">
        <v>213410147.85451099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266514368.66966501</v>
      </c>
      <c r="D14" s="234">
        <v>23592531.925912</v>
      </c>
      <c r="E14" s="234">
        <v>92544959.589921996</v>
      </c>
      <c r="F14" s="234">
        <v>221318157.41984001</v>
      </c>
      <c r="G14" s="234">
        <v>603970017.60533905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908915548.22112203</v>
      </c>
      <c r="D15" s="234">
        <v>8227443.0769239999</v>
      </c>
      <c r="E15" s="234">
        <v>30703980.92997</v>
      </c>
      <c r="F15" s="234">
        <v>12048648.960000001</v>
      </c>
      <c r="G15" s="234">
        <v>959895621.18801606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265775234.204144</v>
      </c>
      <c r="D16" s="234">
        <v>25660116.839954998</v>
      </c>
      <c r="E16" s="234">
        <v>196011307.52963001</v>
      </c>
      <c r="F16" s="234">
        <v>607080263.83997297</v>
      </c>
      <c r="G16" s="234">
        <v>1094526922.413702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69762134.505548999</v>
      </c>
      <c r="D17" s="234">
        <v>10163923.380899999</v>
      </c>
      <c r="E17" s="234">
        <v>57507816.839057997</v>
      </c>
      <c r="F17" s="234">
        <v>23000000.5</v>
      </c>
      <c r="G17" s="234">
        <v>160433875.22550699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8992270</v>
      </c>
      <c r="D18" s="234">
        <v>101908649.17565399</v>
      </c>
      <c r="E18" s="234">
        <v>45427362</v>
      </c>
      <c r="F18" s="234">
        <v>78205407.060000002</v>
      </c>
      <c r="G18" s="234">
        <v>234533688.235654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61062267.460000001</v>
      </c>
      <c r="D19" s="234" t="s">
        <v>165</v>
      </c>
      <c r="E19" s="234" t="s">
        <v>165</v>
      </c>
      <c r="F19" s="234">
        <v>4684684.5599999996</v>
      </c>
      <c r="G19" s="234">
        <v>65746952.020000003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103678947.86</v>
      </c>
      <c r="D20" s="234" t="s">
        <v>165</v>
      </c>
      <c r="E20" s="234" t="s">
        <v>165</v>
      </c>
      <c r="F20" s="234">
        <v>7921891.6799999997</v>
      </c>
      <c r="G20" s="234">
        <v>111600839.54000001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152742305.07272601</v>
      </c>
      <c r="D21" s="234">
        <v>32800972.803474002</v>
      </c>
      <c r="E21" s="234">
        <v>97627392.209875003</v>
      </c>
      <c r="F21" s="234">
        <v>244186872.36991</v>
      </c>
      <c r="G21" s="234">
        <v>527357542.45598501</v>
      </c>
      <c r="H21" s="111"/>
      <c r="I21" s="111"/>
      <c r="J21" s="111"/>
      <c r="M21" s="14">
        <f>SUM(C33,C34)+M20</f>
        <v>376485717.10283202</v>
      </c>
      <c r="N21" s="10" t="s">
        <v>224</v>
      </c>
    </row>
    <row r="22" spans="2:15" ht="15" customHeight="1" x14ac:dyDescent="0.25">
      <c r="B22" s="72" t="s">
        <v>125</v>
      </c>
      <c r="C22" s="234">
        <v>143453221.699076</v>
      </c>
      <c r="D22" s="234">
        <v>41749093.869970001</v>
      </c>
      <c r="E22" s="234">
        <v>109082163.58750001</v>
      </c>
      <c r="F22" s="234">
        <v>189300211.47966999</v>
      </c>
      <c r="G22" s="234">
        <v>483584690.63621598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276762050.17882401</v>
      </c>
      <c r="D23" s="234">
        <v>35346659.494962998</v>
      </c>
      <c r="E23" s="234">
        <v>123659802.999915</v>
      </c>
      <c r="F23" s="234">
        <v>346886126.43963599</v>
      </c>
      <c r="G23" s="234">
        <v>782654639.11333799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115644192.418262</v>
      </c>
      <c r="D24" s="234">
        <v>29527747.859962001</v>
      </c>
      <c r="E24" s="234">
        <v>96494351.178264007</v>
      </c>
      <c r="F24" s="234">
        <v>28644143.870000001</v>
      </c>
      <c r="G24" s="234">
        <v>270310435.32648802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177146201.091674</v>
      </c>
      <c r="D25" s="234">
        <v>59546904.781634003</v>
      </c>
      <c r="E25" s="234">
        <v>63015076.846628003</v>
      </c>
      <c r="F25" s="234">
        <v>20000000.43</v>
      </c>
      <c r="G25" s="234">
        <v>319708183.14993602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279359725.396097</v>
      </c>
      <c r="D26" s="234">
        <v>163050689.06803399</v>
      </c>
      <c r="E26" s="234">
        <v>197107299.82678801</v>
      </c>
      <c r="F26" s="234">
        <v>9343459.6473999992</v>
      </c>
      <c r="G26" s="234">
        <v>648861173.93831897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114868579.59551699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95938067.129668996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89213406.129920006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287272310.97291201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228</v>
      </c>
      <c r="C40" s="270"/>
      <c r="D40" s="271"/>
      <c r="E40" s="66" t="s">
        <v>137</v>
      </c>
      <c r="F40" s="174">
        <f ca="1">IF(MONTH(TODAY())=9,DAY(TODAY())/DAY(EOMONTH(TODAY(),0)),IF(MONTH(TODAY())&gt;9,1,0))</f>
        <v>0.53333333333333333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2144476285.8990748</v>
      </c>
      <c r="F42" s="176">
        <f>IFERROR(E42/D42,0)</f>
        <v>0.47530540452972941</v>
      </c>
      <c r="G42" s="184">
        <f>D42*$H$40-E42</f>
        <v>2367309747.8003216</v>
      </c>
      <c r="H42" s="184">
        <f ca="1">IFERROR(G42/$C$3,0)</f>
        <v>182100749.83079398</v>
      </c>
      <c r="I42" s="204">
        <f>D42*$J$40-E42</f>
        <v>2367309747.8003216</v>
      </c>
      <c r="J42" s="204">
        <f ca="1">IFERROR(I42/$C$3,0)</f>
        <v>182100749.83079398</v>
      </c>
      <c r="K42" s="185">
        <f>D42*$L$40-E42</f>
        <v>2367309747.8003216</v>
      </c>
      <c r="L42" s="185">
        <f ca="1">IFERROR(K42/$C$3,0)</f>
        <v>182100749.83079398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632927289.01191401</v>
      </c>
      <c r="F43" s="176">
        <f>IFERROR(E43/D43,0)</f>
        <v>0.45165046134838788</v>
      </c>
      <c r="G43" s="184">
        <f>D43*$H$40-E43</f>
        <v>768438021.50350094</v>
      </c>
      <c r="H43" s="184">
        <f ca="1">IFERROR(G43/$C$3,0)</f>
        <v>59110617.038730845</v>
      </c>
      <c r="I43" s="204">
        <f>D43*$J$40-E43</f>
        <v>768438021.50350094</v>
      </c>
      <c r="J43" s="204">
        <f ca="1">IFERROR(I43/$C$3,0)</f>
        <v>59110617.038730845</v>
      </c>
      <c r="K43" s="185">
        <f>D43*$L$40-E43</f>
        <v>768438021.50350094</v>
      </c>
      <c r="L43" s="185">
        <f ca="1">IFERROR(K43/$C$3,0)</f>
        <v>59110617.038730845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1597083627.5301979</v>
      </c>
      <c r="F44" s="176">
        <f>IFERROR(E44/D44,0)</f>
        <v>0.5423376556392896</v>
      </c>
      <c r="G44" s="184">
        <f>IF(D44=0,0,D44*$H$40-E44)</f>
        <v>1347730568.7984874</v>
      </c>
      <c r="H44" s="184">
        <f ca="1">IFERROR(G44/$C$3,0)</f>
        <v>103671582.21526827</v>
      </c>
      <c r="I44" s="204">
        <f>IF(D44=0,0,D44*$J$40-E44)</f>
        <v>1347730568.7984874</v>
      </c>
      <c r="J44" s="204">
        <f ca="1">IFERROR(I44/$C$3,0)</f>
        <v>103671582.21526827</v>
      </c>
      <c r="K44" s="185">
        <f>IF(D44=0,0,D44*$L$40-E44)</f>
        <v>1347730568.7984874</v>
      </c>
      <c r="L44" s="185">
        <f ca="1">IFERROR(K44/$C$3,0)</f>
        <v>103671582.21526827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587292363.82801795</v>
      </c>
      <c r="F45" s="176">
        <f>IFERROR(E45/D45,0)</f>
        <v>0.33744182273736972</v>
      </c>
      <c r="G45" s="184">
        <f>D45*$H$40-E45</f>
        <v>1153133168.0868757</v>
      </c>
      <c r="H45" s="184">
        <f ca="1">IFERROR(G45/$C$3,0)</f>
        <v>88702551.39129813</v>
      </c>
      <c r="I45" s="204">
        <f>D45*$J$40-E45</f>
        <v>1153133168.0868757</v>
      </c>
      <c r="J45" s="204">
        <f ca="1">IFERROR(I45/$C$3,0)</f>
        <v>88702551.39129813</v>
      </c>
      <c r="K45" s="185">
        <f>D45*$L$40-E45</f>
        <v>1153133168.0868757</v>
      </c>
      <c r="L45" s="185">
        <f ca="1">IFERROR(K45/$C$3,0)</f>
        <v>88702551.39129813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4961779566.2692051</v>
      </c>
      <c r="F46" s="177">
        <f>IFERROR(E46/D46,0)</f>
        <v>0.46816347239376555</v>
      </c>
      <c r="G46" s="181">
        <f>SUM(G42:G45)</f>
        <v>5636611506.1891861</v>
      </c>
      <c r="H46" s="181">
        <f ca="1">IFERROR(G46/$C$3,0)</f>
        <v>433585500.47609127</v>
      </c>
      <c r="I46" s="186">
        <f>SUM(I42:I45)</f>
        <v>5636611506.1891861</v>
      </c>
      <c r="J46" s="186">
        <f ca="1">IFERROR(I46/$C$3,0)</f>
        <v>433585500.47609127</v>
      </c>
      <c r="K46" s="186">
        <f>SUM(K42:K45)</f>
        <v>5636611506.1891861</v>
      </c>
      <c r="L46" s="186">
        <f ca="1">IFERROR(K46/$C$3,0)</f>
        <v>433585500.47609127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152742305.07272601</v>
      </c>
      <c r="I51" s="114">
        <f t="shared" ref="I51:I64" si="1">SUMIF($B$10:$B$26,$T51,D$10:D$26)+SUMIF($B$10:$B$26,$U51,D$10:D$26)</f>
        <v>32800972.803474002</v>
      </c>
      <c r="J51" s="114">
        <f t="shared" ref="J51:J64" si="2">SUMIF($B$10:$B$26,$T51,E$10:E$26)+SUMIF($B$10:$B$26,$U51,E$10:E$26)</f>
        <v>97627392.209875003</v>
      </c>
      <c r="K51" s="114">
        <f t="shared" ref="K51:K64" si="3">SUM(H51:J51)</f>
        <v>283170670.08607501</v>
      </c>
      <c r="L51" s="187">
        <f t="shared" ref="L51:L65" si="4">IFERROR(K51/G51,0)</f>
        <v>0.55052206668956483</v>
      </c>
      <c r="M51" s="184">
        <f t="shared" ref="M51:M64" si="5">G51*$H$40-K51</f>
        <v>231196849.80073959</v>
      </c>
      <c r="N51" s="184">
        <f t="shared" ref="N51:N65" ca="1" si="6">IFERROR(M51/$C$3,0)</f>
        <v>17784373.061595354</v>
      </c>
      <c r="O51" s="180">
        <f t="shared" ref="O51:O64" si="7">G51*$J$40-K51</f>
        <v>231196849.80073959</v>
      </c>
      <c r="P51" s="180">
        <f t="shared" ref="P51:P65" ca="1" si="8">IFERROR(O51/$C$3,0)</f>
        <v>17784373.061595354</v>
      </c>
      <c r="Q51" s="185">
        <f t="shared" ref="Q51:Q64" si="9">G51*$L$40-K51</f>
        <v>231196849.80073959</v>
      </c>
      <c r="R51" s="185">
        <f t="shared" ref="R51:R65" ca="1" si="10">IFERROR(Q51/$C$3,0)</f>
        <v>17784373.061595354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121721995.161603</v>
      </c>
      <c r="I52" s="114">
        <f t="shared" si="1"/>
        <v>67385948.651455998</v>
      </c>
      <c r="J52" s="114">
        <f t="shared" si="2"/>
        <v>219409066.74943</v>
      </c>
      <c r="K52" s="114">
        <f t="shared" si="3"/>
        <v>408517010.56248903</v>
      </c>
      <c r="L52" s="187">
        <f t="shared" si="4"/>
        <v>0.52005676749627883</v>
      </c>
      <c r="M52" s="184">
        <f t="shared" si="5"/>
        <v>377006870.85765254</v>
      </c>
      <c r="N52" s="184">
        <f t="shared" ca="1" si="6"/>
        <v>29000528.527511735</v>
      </c>
      <c r="O52" s="180">
        <f t="shared" si="7"/>
        <v>377006870.85765254</v>
      </c>
      <c r="P52" s="180">
        <f t="shared" ca="1" si="8"/>
        <v>29000528.527511735</v>
      </c>
      <c r="Q52" s="185">
        <f t="shared" si="9"/>
        <v>377006870.85765254</v>
      </c>
      <c r="R52" s="185">
        <f t="shared" ca="1" si="10"/>
        <v>29000528.527511735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61062267.460000001</v>
      </c>
      <c r="I53" s="114">
        <f t="shared" si="1"/>
        <v>0</v>
      </c>
      <c r="J53" s="114">
        <f t="shared" si="2"/>
        <v>0</v>
      </c>
      <c r="K53" s="114">
        <f t="shared" si="3"/>
        <v>61062267.460000001</v>
      </c>
      <c r="L53" s="187">
        <f t="shared" si="4"/>
        <v>0.23221732804930298</v>
      </c>
      <c r="M53" s="184">
        <f t="shared" si="5"/>
        <v>201890837.60301074</v>
      </c>
      <c r="N53" s="184">
        <f t="shared" ca="1" si="6"/>
        <v>15530064.431000827</v>
      </c>
      <c r="O53" s="180">
        <f t="shared" si="7"/>
        <v>201890837.60301074</v>
      </c>
      <c r="P53" s="180">
        <f t="shared" ca="1" si="8"/>
        <v>15530064.431000827</v>
      </c>
      <c r="Q53" s="185">
        <f t="shared" si="9"/>
        <v>201890837.60301074</v>
      </c>
      <c r="R53" s="185">
        <f t="shared" ca="1" si="10"/>
        <v>15530064.431000827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266514368.66966501</v>
      </c>
      <c r="I54" s="114">
        <f t="shared" si="1"/>
        <v>23592531.925912</v>
      </c>
      <c r="J54" s="114">
        <f t="shared" si="2"/>
        <v>92544959.589921996</v>
      </c>
      <c r="K54" s="114">
        <f t="shared" si="3"/>
        <v>382651860.18549901</v>
      </c>
      <c r="L54" s="187">
        <f t="shared" si="4"/>
        <v>0.52658140244196294</v>
      </c>
      <c r="M54" s="184">
        <f t="shared" si="5"/>
        <v>344019948.60036653</v>
      </c>
      <c r="N54" s="184">
        <f t="shared" ca="1" si="6"/>
        <v>26463072.969258964</v>
      </c>
      <c r="O54" s="180">
        <f t="shared" si="7"/>
        <v>344019948.60036653</v>
      </c>
      <c r="P54" s="180">
        <f t="shared" ca="1" si="8"/>
        <v>26463072.969258964</v>
      </c>
      <c r="Q54" s="185">
        <f t="shared" si="9"/>
        <v>344019948.60036653</v>
      </c>
      <c r="R54" s="185">
        <f t="shared" ca="1" si="10"/>
        <v>26463072.969258964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172635135.9993</v>
      </c>
      <c r="K55" s="114">
        <f t="shared" si="3"/>
        <v>193311875.01929802</v>
      </c>
      <c r="L55" s="187">
        <f t="shared" si="4"/>
        <v>0.3598501774452893</v>
      </c>
      <c r="M55" s="184">
        <f t="shared" si="5"/>
        <v>343889124.55138761</v>
      </c>
      <c r="N55" s="184">
        <f t="shared" ca="1" si="6"/>
        <v>26453009.58087597</v>
      </c>
      <c r="O55" s="180">
        <f t="shared" si="7"/>
        <v>343889124.55138761</v>
      </c>
      <c r="P55" s="180">
        <f t="shared" ca="1" si="8"/>
        <v>26453009.58087597</v>
      </c>
      <c r="Q55" s="185">
        <f t="shared" si="9"/>
        <v>343889124.55138761</v>
      </c>
      <c r="R55" s="185">
        <f t="shared" ca="1" si="10"/>
        <v>26453009.58087597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115644192.418262</v>
      </c>
      <c r="I56" s="114">
        <f t="shared" si="1"/>
        <v>29527747.859962001</v>
      </c>
      <c r="J56" s="114">
        <f t="shared" si="2"/>
        <v>96494351.178264007</v>
      </c>
      <c r="K56" s="114">
        <f t="shared" si="3"/>
        <v>241666291.45648801</v>
      </c>
      <c r="L56" s="187">
        <f t="shared" si="4"/>
        <v>0.42032868528553308</v>
      </c>
      <c r="M56" s="184">
        <f t="shared" si="5"/>
        <v>333279697.04373038</v>
      </c>
      <c r="N56" s="184">
        <f t="shared" ca="1" si="6"/>
        <v>25636899.772594646</v>
      </c>
      <c r="O56" s="180">
        <f t="shared" si="7"/>
        <v>333279697.04373038</v>
      </c>
      <c r="P56" s="180">
        <f t="shared" ca="1" si="8"/>
        <v>25636899.772594646</v>
      </c>
      <c r="Q56" s="185">
        <f t="shared" si="9"/>
        <v>333279697.04373038</v>
      </c>
      <c r="R56" s="185">
        <f t="shared" ca="1" si="10"/>
        <v>25636899.772594646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265775234.204144</v>
      </c>
      <c r="I57" s="114">
        <f t="shared" si="1"/>
        <v>25660116.839954998</v>
      </c>
      <c r="J57" s="114">
        <f t="shared" si="2"/>
        <v>196011307.52963001</v>
      </c>
      <c r="K57" s="114">
        <f t="shared" si="3"/>
        <v>487446658.57372898</v>
      </c>
      <c r="L57" s="187">
        <f t="shared" si="4"/>
        <v>0.43946417346260885</v>
      </c>
      <c r="M57" s="184">
        <f t="shared" si="5"/>
        <v>621737406.95101762</v>
      </c>
      <c r="N57" s="184">
        <f t="shared" ca="1" si="6"/>
        <v>47825954.380847506</v>
      </c>
      <c r="O57" s="180">
        <f t="shared" si="7"/>
        <v>621737406.95101762</v>
      </c>
      <c r="P57" s="180">
        <f t="shared" ca="1" si="8"/>
        <v>47825954.380847506</v>
      </c>
      <c r="Q57" s="185">
        <f t="shared" si="9"/>
        <v>621737406.95101762</v>
      </c>
      <c r="R57" s="185">
        <f t="shared" ca="1" si="10"/>
        <v>47825954.380847506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143453221.699076</v>
      </c>
      <c r="I58" s="114">
        <f t="shared" si="1"/>
        <v>41749093.869970001</v>
      </c>
      <c r="J58" s="114">
        <f t="shared" si="2"/>
        <v>109082163.58750001</v>
      </c>
      <c r="K58" s="114">
        <f t="shared" si="3"/>
        <v>294284479.156546</v>
      </c>
      <c r="L58" s="187">
        <f t="shared" si="4"/>
        <v>0.47883768180382491</v>
      </c>
      <c r="M58" s="184">
        <f t="shared" si="5"/>
        <v>320296391.0204829</v>
      </c>
      <c r="N58" s="184">
        <f t="shared" ca="1" si="6"/>
        <v>24638183.924652532</v>
      </c>
      <c r="O58" s="180">
        <f t="shared" si="7"/>
        <v>320296391.0204829</v>
      </c>
      <c r="P58" s="180">
        <f t="shared" ca="1" si="8"/>
        <v>24638183.924652532</v>
      </c>
      <c r="Q58" s="185">
        <f t="shared" si="9"/>
        <v>320296391.0204829</v>
      </c>
      <c r="R58" s="185">
        <f t="shared" ca="1" si="10"/>
        <v>24638183.924652532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103678947.86</v>
      </c>
      <c r="I59" s="114">
        <f t="shared" si="1"/>
        <v>0</v>
      </c>
      <c r="J59" s="114">
        <f t="shared" si="2"/>
        <v>0</v>
      </c>
      <c r="K59" s="114">
        <f t="shared" si="3"/>
        <v>103678947.86</v>
      </c>
      <c r="L59" s="187">
        <f t="shared" si="4"/>
        <v>0.23359178793370819</v>
      </c>
      <c r="M59" s="184">
        <f t="shared" si="5"/>
        <v>340167767.71641999</v>
      </c>
      <c r="N59" s="184">
        <f t="shared" ca="1" si="6"/>
        <v>26166751.362801537</v>
      </c>
      <c r="O59" s="180">
        <f t="shared" si="7"/>
        <v>340167767.71641999</v>
      </c>
      <c r="P59" s="180">
        <f t="shared" ca="1" si="8"/>
        <v>26166751.362801537</v>
      </c>
      <c r="Q59" s="185">
        <f t="shared" si="9"/>
        <v>340167767.71641999</v>
      </c>
      <c r="R59" s="185">
        <f t="shared" ca="1" si="10"/>
        <v>26166751.362801537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177146201.091674</v>
      </c>
      <c r="I60" s="114">
        <f t="shared" si="1"/>
        <v>59546904.781634003</v>
      </c>
      <c r="J60" s="114">
        <f t="shared" si="2"/>
        <v>63015076.846628003</v>
      </c>
      <c r="K60" s="114">
        <f t="shared" si="3"/>
        <v>299708182.71993601</v>
      </c>
      <c r="L60" s="187">
        <f t="shared" si="4"/>
        <v>0.5174642946924497</v>
      </c>
      <c r="M60" s="184">
        <f t="shared" si="5"/>
        <v>279478025.4764477</v>
      </c>
      <c r="N60" s="184">
        <f t="shared" ca="1" si="6"/>
        <v>21498309.652034439</v>
      </c>
      <c r="O60" s="180">
        <f t="shared" si="7"/>
        <v>279478025.4764477</v>
      </c>
      <c r="P60" s="180">
        <f t="shared" ca="1" si="8"/>
        <v>21498309.652034439</v>
      </c>
      <c r="Q60" s="185">
        <f t="shared" si="9"/>
        <v>279478025.4764477</v>
      </c>
      <c r="R60" s="185">
        <f t="shared" ca="1" si="10"/>
        <v>21498309.652034439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276762050.17882401</v>
      </c>
      <c r="I61" s="114">
        <f t="shared" si="1"/>
        <v>35346659.494962998</v>
      </c>
      <c r="J61" s="114">
        <f t="shared" si="2"/>
        <v>123659802.999915</v>
      </c>
      <c r="K61" s="114">
        <f t="shared" si="3"/>
        <v>435768512.673702</v>
      </c>
      <c r="L61" s="187">
        <f t="shared" si="4"/>
        <v>0.60811176407186063</v>
      </c>
      <c r="M61" s="184">
        <f t="shared" si="5"/>
        <v>280824288.87947953</v>
      </c>
      <c r="N61" s="184">
        <f t="shared" ca="1" si="6"/>
        <v>21601868.375344578</v>
      </c>
      <c r="O61" s="180">
        <f t="shared" si="7"/>
        <v>280824288.87947953</v>
      </c>
      <c r="P61" s="180">
        <f t="shared" ca="1" si="8"/>
        <v>21601868.375344578</v>
      </c>
      <c r="Q61" s="185">
        <f t="shared" si="9"/>
        <v>280824288.87947953</v>
      </c>
      <c r="R61" s="185">
        <f t="shared" ca="1" si="10"/>
        <v>21601868.375344578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97687948.761456996</v>
      </c>
      <c r="I62" s="114">
        <f t="shared" si="1"/>
        <v>25690735.559999999</v>
      </c>
      <c r="J62" s="114">
        <f t="shared" si="2"/>
        <v>126561892.173888</v>
      </c>
      <c r="K62" s="114">
        <f t="shared" si="3"/>
        <v>249940576.495345</v>
      </c>
      <c r="L62" s="187">
        <f t="shared" si="4"/>
        <v>0.52395888991531514</v>
      </c>
      <c r="M62" s="184">
        <f t="shared" si="5"/>
        <v>227082681.06545651</v>
      </c>
      <c r="N62" s="184">
        <f t="shared" ca="1" si="6"/>
        <v>17467898.543496653</v>
      </c>
      <c r="O62" s="180">
        <f t="shared" si="7"/>
        <v>227082681.06545651</v>
      </c>
      <c r="P62" s="180">
        <f t="shared" ca="1" si="8"/>
        <v>17467898.543496653</v>
      </c>
      <c r="Q62" s="185">
        <f t="shared" si="9"/>
        <v>227082681.06545651</v>
      </c>
      <c r="R62" s="185">
        <f t="shared" ca="1" si="10"/>
        <v>17467898.543496653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279359725.396097</v>
      </c>
      <c r="I63" s="114">
        <f t="shared" si="1"/>
        <v>163050689.06803399</v>
      </c>
      <c r="J63" s="114">
        <f t="shared" si="2"/>
        <v>197107299.82678801</v>
      </c>
      <c r="K63" s="114">
        <f t="shared" si="3"/>
        <v>639517714.29091907</v>
      </c>
      <c r="L63" s="187">
        <f t="shared" si="4"/>
        <v>0.65325301392963253</v>
      </c>
      <c r="M63" s="184">
        <f t="shared" si="5"/>
        <v>339456283.00288749</v>
      </c>
      <c r="N63" s="184">
        <f t="shared" ca="1" si="6"/>
        <v>26112021.769452885</v>
      </c>
      <c r="O63" s="180">
        <f t="shared" si="7"/>
        <v>339456283.00288749</v>
      </c>
      <c r="P63" s="180">
        <f t="shared" ca="1" si="8"/>
        <v>26112021.769452885</v>
      </c>
      <c r="Q63" s="185">
        <f t="shared" si="9"/>
        <v>339456283.00288749</v>
      </c>
      <c r="R63" s="185">
        <f t="shared" ca="1" si="10"/>
        <v>26112021.769452885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78754404.505548999</v>
      </c>
      <c r="I64" s="114">
        <f t="shared" si="1"/>
        <v>112072572.55655399</v>
      </c>
      <c r="J64" s="114">
        <f t="shared" si="2"/>
        <v>102935178.839058</v>
      </c>
      <c r="K64" s="114">
        <f t="shared" si="3"/>
        <v>293762155.90116096</v>
      </c>
      <c r="L64" s="187">
        <f t="shared" si="4"/>
        <v>0.54713041573628007</v>
      </c>
      <c r="M64" s="184">
        <f t="shared" si="5"/>
        <v>243152165.53322983</v>
      </c>
      <c r="N64" s="184">
        <f t="shared" ca="1" si="6"/>
        <v>18704012.73332537</v>
      </c>
      <c r="O64" s="180">
        <f t="shared" si="7"/>
        <v>243152165.53322983</v>
      </c>
      <c r="P64" s="180">
        <f t="shared" ca="1" si="8"/>
        <v>18704012.73332537</v>
      </c>
      <c r="Q64" s="185">
        <f t="shared" si="9"/>
        <v>243152165.53322983</v>
      </c>
      <c r="R64" s="185">
        <f t="shared" ca="1" si="10"/>
        <v>18704012.73332537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2144476285.8990748</v>
      </c>
      <c r="I65" s="135">
        <f t="shared" si="12"/>
        <v>632927289.01191401</v>
      </c>
      <c r="J65" s="135">
        <f t="shared" si="12"/>
        <v>1597083627.5301979</v>
      </c>
      <c r="K65" s="135">
        <f t="shared" si="12"/>
        <v>4374487202.4411879</v>
      </c>
      <c r="L65" s="189">
        <f t="shared" si="4"/>
        <v>0.49384784603404358</v>
      </c>
      <c r="M65" s="181">
        <f>SUM(M51:M64)</f>
        <v>4483478338.1023083</v>
      </c>
      <c r="N65" s="181">
        <f t="shared" ca="1" si="6"/>
        <v>344882949.08479297</v>
      </c>
      <c r="O65" s="181">
        <f>SUM(O51:O64)</f>
        <v>4483478338.1023083</v>
      </c>
      <c r="P65" s="181">
        <f t="shared" ca="1" si="8"/>
        <v>344882949.08479297</v>
      </c>
      <c r="Q65" s="186">
        <f>SUM(Q51:Q64)</f>
        <v>4483478338.1023083</v>
      </c>
      <c r="R65" s="186">
        <f t="shared" ca="1" si="10"/>
        <v>344882949.08479297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114868579.59551699</v>
      </c>
      <c r="F69" s="187">
        <f t="shared" ref="F69:F74" si="13">IFERROR(E69/D69,0)</f>
        <v>0.44825450226452579</v>
      </c>
      <c r="G69" s="184">
        <f>D69*$H$40-E69</f>
        <v>141388923.70944762</v>
      </c>
      <c r="H69" s="184">
        <f t="shared" ref="H69:H74" ca="1" si="14">IFERROR(G69/$C$3,0)</f>
        <v>10876071.054572893</v>
      </c>
      <c r="I69" s="204">
        <f>D69*$J$40-E69</f>
        <v>141388923.70944762</v>
      </c>
      <c r="J69" s="204">
        <f t="shared" ref="J69:J74" ca="1" si="15">IFERROR(I69/$C$3,0)</f>
        <v>10876071.054572893</v>
      </c>
      <c r="K69" s="185">
        <f>D69*$L$40-E69</f>
        <v>141388923.70944762</v>
      </c>
      <c r="L69" s="185">
        <f t="shared" ref="L69:L74" ca="1" si="16">IFERROR(K69/$C$3,0)</f>
        <v>10876071.054572893</v>
      </c>
    </row>
    <row r="70" spans="2:21" ht="15.95" customHeight="1" x14ac:dyDescent="0.25">
      <c r="B70" s="53" t="s">
        <v>94</v>
      </c>
      <c r="C70" s="56" t="s">
        <v>227</v>
      </c>
      <c r="D70" s="117">
        <f>TARGETS!L23</f>
        <v>399558412.3049646</v>
      </c>
      <c r="E70" s="114">
        <f>IFERROR($C$32,0)</f>
        <v>95938067.129668996</v>
      </c>
      <c r="F70" s="187">
        <f t="shared" si="13"/>
        <v>0.24011024214513063</v>
      </c>
      <c r="G70" s="184">
        <f>D70*$H$40-E70</f>
        <v>303620345.17529559</v>
      </c>
      <c r="H70" s="184">
        <f t="shared" ca="1" si="14"/>
        <v>23355411.167330429</v>
      </c>
      <c r="I70" s="204">
        <f>D70*$J$40-E70</f>
        <v>303620345.17529559</v>
      </c>
      <c r="J70" s="204">
        <f t="shared" ca="1" si="15"/>
        <v>23355411.167330429</v>
      </c>
      <c r="K70" s="185">
        <f>D70*$L$40-E70</f>
        <v>303620345.17529559</v>
      </c>
      <c r="L70" s="185">
        <f t="shared" ca="1" si="16"/>
        <v>23355411.167330429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376485717.10283202</v>
      </c>
      <c r="F71" s="187">
        <f t="shared" si="13"/>
        <v>0.34711633701482308</v>
      </c>
      <c r="G71" s="184">
        <f>D71*$H$40-E71</f>
        <v>708123899.20213246</v>
      </c>
      <c r="H71" s="184">
        <f t="shared" ca="1" si="14"/>
        <v>54471069.169394806</v>
      </c>
      <c r="I71" s="204">
        <f>D71*$J$40-E71</f>
        <v>708123899.20213246</v>
      </c>
      <c r="J71" s="204">
        <f t="shared" ca="1" si="15"/>
        <v>54471069.169394806</v>
      </c>
      <c r="K71" s="185">
        <f>D71*$L$40-E71</f>
        <v>708123899.20213246</v>
      </c>
      <c r="L71" s="185">
        <f t="shared" ca="1" si="16"/>
        <v>54471069.169394806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587292363.82801795</v>
      </c>
      <c r="F74" s="177">
        <f t="shared" si="13"/>
        <v>0.33744182273736972</v>
      </c>
      <c r="G74" s="181">
        <f>SUM(G69:G73)</f>
        <v>1153133168.0868757</v>
      </c>
      <c r="H74" s="181">
        <f t="shared" ca="1" si="14"/>
        <v>88702551.39129813</v>
      </c>
      <c r="I74" s="186">
        <f>SUM(I69:I73)</f>
        <v>1153133168.0868757</v>
      </c>
      <c r="J74" s="186">
        <f t="shared" ca="1" si="15"/>
        <v>88702551.39129813</v>
      </c>
      <c r="K74" s="186">
        <f>SUM(K69:K73)</f>
        <v>1153133168.0868757</v>
      </c>
      <c r="L74" s="186">
        <f t="shared" ca="1" si="16"/>
        <v>88702551.39129813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244186872.36991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89209424.960000008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221318157.41984001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28644143.870000001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607080263.83997297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189300211.47966999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7921891.6799999997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20000000.43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346886126.43963599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89910108.649957001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9343459.6473999992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101205407.56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1959690752.9063859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2026-09-16T00:48:51Z</dcterms:modified>
  <dc:language>en-US</dc:language>
</cp:coreProperties>
</file>