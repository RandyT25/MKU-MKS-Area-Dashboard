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activeTab="6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F57" i="8" s="1"/>
  <c r="E56" i="8"/>
  <c r="E65" i="8" s="1"/>
  <c r="E55" i="8"/>
  <c r="E54" i="8"/>
  <c r="E53" i="8"/>
  <c r="E52" i="8"/>
  <c r="E51" i="8"/>
  <c r="D64" i="8"/>
  <c r="D63" i="8"/>
  <c r="D62" i="8"/>
  <c r="F62" i="8" s="1"/>
  <c r="D61" i="8"/>
  <c r="D60" i="8"/>
  <c r="D59" i="8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F4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G90" i="8" s="1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F64" i="8"/>
  <c r="F63" i="8"/>
  <c r="F61" i="8"/>
  <c r="F60" i="8"/>
  <c r="H59" i="8"/>
  <c r="G59" i="8"/>
  <c r="K59" i="8" s="1"/>
  <c r="F59" i="8"/>
  <c r="F58" i="8"/>
  <c r="K57" i="8"/>
  <c r="H53" i="8"/>
  <c r="L53" i="8" s="1"/>
  <c r="G53" i="8"/>
  <c r="F53" i="8"/>
  <c r="F52" i="8"/>
  <c r="F51" i="8"/>
  <c r="M20" i="8"/>
  <c r="M21" i="8" s="1"/>
  <c r="E45" i="8" s="1"/>
  <c r="F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L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46" i="8" l="1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45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<sst xmlns="http://schemas.openxmlformats.org/spreadsheetml/2006/main" count="1872" uniqueCount="185">
  <si>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</si>
  <si>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</si>
  <si>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</si>
  <si>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</si>
  <si>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</si>
  <si>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</si>
  <si>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</si>
  <si>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</si>
  <si>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</si>
  <si>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</si>
  <si>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</si>
  <si>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</si>
  <si>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</si>
  <si>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</si>
  <si>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</si>
  <si>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</si>
  <si>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</si>
  <si>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</si>
  <si>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</si>
  <si>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</si>
  <si>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</si>
  <si>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</si>
  <si>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</si>
  <si>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</si>
  <si>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</si>
  <si>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</si>
  <si>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</si>
  <si>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</si>
  <si>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</si>
  <si>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</si>
  <si>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</si>
  <si>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</si>
  <si>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</si>
  <si>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</si>
  <si>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</si>
  <si>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</si>
  <si>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</si>
  <si>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</si>
  <si>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</si>
  <si>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</si>
  <si>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</si>
  <si>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</si>
  <si>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</si>
  <si>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</si>
  <si>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</si>
  <si>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</si>
  <si>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</si>
  <si>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</si>
  <si>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</si>
  <si>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</si>
  <si>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</si>
  <si>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</si>
  <si>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</si>
  <si>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</si>
  <si>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</si>
  <si>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</si>
  <si>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</si>
  <si>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</si>
  <si>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</si>
  <si>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</si>
  <si>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</si>
  <si>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</si>
  <si>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</si>
  <si>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</si>
  <si>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</si>
  <si>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</si>
  <si>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</si>
  <si>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</si>
  <si>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</si>
  <si>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</si>
  <si>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</si>
  <si>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</si>
  <si>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</si>
  <si>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</si>
  <si>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</si>
  <si>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</si>
  <si>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</si>
  <si>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</si>
  <si>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</si>
  <si>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</si>
  <si>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</si>
  <si>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</si>
  <si>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</si>
  <si>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</si>
  <si>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</si>
  <si>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</si>
  <si>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</si>
  <si>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</si>
  <si>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</si>
  <si>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</si>
  <si>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</si>
  <si>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</si>
  <si>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</si>
  <si>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</si>
  <si>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</si>
  <si>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</si>
  <si>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</si>
  <si>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</si>
  <si>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</si>
  <si>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</si>
  <si>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</si>
  <si>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</si>
  <si>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</si>
  <si>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</si>
  <si>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</si>
  <si>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</si>
  <si>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</si>
  <si>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</si>
  <si>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</si>
  <si>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</si>
  <si>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</si>
  <si>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</si>
  <si>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</si>
  <si>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</si>
  <si>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</si>
  <si>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</si>
  <si>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</si>
  <si>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</si>
  <si>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</si>
  <si>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</si>
  <si>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</si>
  <si>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</si>
  <si>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</si>
  <si>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</si>
  <si>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</si>
  <si>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</si>
  <si>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</si>
  <si>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</si>
  <si>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</si>
  <si>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</si>
  <si>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</si>
  <si>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</si>
  <si>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</si>
  <si>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</si>
  <si>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</si>
  <si>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</si>
  <si>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</si>
  <si>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</si>
  <si>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</si>
  <si>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</si>
  <si>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</si>
  <si>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</si>
  <si>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</si>
  <si>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</si>
  <si>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</si>
  <si>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</si>
  <si>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</si>
  <si>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</si>
  <si>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</si>
  <si>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</si>
  <si>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</si>
  <si>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</si>
  <si>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</si>
  <si>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</si>
  <si>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</si>
  <si>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</si>
  <si>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</si>
  <si>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</si>
  <si>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</si>
  <si>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</si>
  <si>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</si>
  <si>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</si>
  <si>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</si>
  <si>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</si>
  <si>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</si>
  <si>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</si>
  <si>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</si>
  <si>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</si>
  <si>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</si>
  <si>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</si>
  <si>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</si>
  <si>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</si>
  <si>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</si>
  <si>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</si>
  <si>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</si>
  <si>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</si>
  <si>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</si>
  <si>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</si>
  <si>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</si>
  <si>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</si>
  <si>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</si>
  <si>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</si>
  <si>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</si>
  <si>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</si>
  <si>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23 MEI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</si>
</sst>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E4" zoomScale="165" zoomScaleNormal="100" workbookViewId="0">
      <selection activeCell="L19" sqref="L19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3" width="11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176</v>
      </c>
      <c r="C7" s="146" t="s">
        <v>177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176</v>
      </c>
      <c r="C13" s="146" t="s">
        <v>178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170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169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169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65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169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169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169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169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173</v>
      </c>
      <c r="C22" s="15">
        <v>38884328.600000001</v>
      </c>
      <c r="D22" s="15" t="s">
        <v>169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174</v>
      </c>
      <c r="C23" s="15">
        <v>120550492.72</v>
      </c>
      <c r="D23" s="15" t="s">
        <v>169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169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183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176</v>
      </c>
      <c r="C53" s="188" t="s">
        <v>177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176</v>
      </c>
      <c r="C59" s="188" t="s">
        <v>178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175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172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176</v>
      </c>
      <c r="C72" s="186" t="s">
        <v>177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176</v>
      </c>
      <c r="C78" s="186" t="s">
        <v>178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zoomScaleNormal="100" workbookViewId="0">
      <selection activeCell="E89" sqref="E89:E91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7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210592780.769941</v>
      </c>
      <c r="N8" s="11">
        <f>D24</f>
        <v>35498876.043462999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393634110.92949599</v>
      </c>
      <c r="N9" s="11">
        <f>D12+D13</f>
        <v>67706440.835084006</v>
      </c>
    </row>
    <row r="10" spans="2:14" x14ac:dyDescent="0.25">
      <c r="B10" s="74" t="s">
        <v>113</v>
      </c>
      <c r="C10" s="205">
        <v>222771518.32418001</v>
      </c>
      <c r="D10" s="205">
        <v>26001356.599342</v>
      </c>
      <c r="E10" s="205">
        <v>127412843.419999</v>
      </c>
      <c r="F10" s="205">
        <v>376185718.343521</v>
      </c>
      <c r="H10" s="116"/>
      <c r="I10" s="116"/>
      <c r="J10" s="116"/>
      <c r="M10" s="11">
        <f>C14</f>
        <v>499203572.48032397</v>
      </c>
      <c r="N10" s="11">
        <f>D14</f>
        <v>22605776.241119001</v>
      </c>
    </row>
    <row r="11" spans="2:14" x14ac:dyDescent="0.25">
      <c r="B11" s="74" t="s">
        <v>114</v>
      </c>
      <c r="C11" s="205">
        <v>272099721.26956201</v>
      </c>
      <c r="D11" s="205">
        <v>74129190.024606004</v>
      </c>
      <c r="E11" s="205">
        <v>38843243.600000001</v>
      </c>
      <c r="F11" s="205">
        <v>385072154.89416802</v>
      </c>
      <c r="H11" s="116"/>
      <c r="I11" s="116"/>
      <c r="J11" s="116"/>
      <c r="M11" s="11">
        <f>C17</f>
        <v>255314662.19999799</v>
      </c>
      <c r="N11" s="11">
        <f>D17</f>
        <v>33550551.18</v>
      </c>
    </row>
    <row r="12" spans="2:14" x14ac:dyDescent="0.25">
      <c r="B12" s="74" t="s">
        <v>70</v>
      </c>
      <c r="C12" s="205">
        <v>216227344.32392699</v>
      </c>
      <c r="D12" s="205">
        <v>39495081.025250003</v>
      </c>
      <c r="E12" s="205">
        <v>37216125.280000001</v>
      </c>
      <c r="F12" s="205">
        <v>292938550.62917697</v>
      </c>
      <c r="H12" s="116"/>
      <c r="I12" s="116"/>
      <c r="J12" s="116"/>
      <c r="M12" s="11">
        <f>C16</f>
        <v>331329120.05181003</v>
      </c>
      <c r="N12" s="11">
        <f>D16</f>
        <v>54962901.179328002</v>
      </c>
    </row>
    <row r="13" spans="2:14" x14ac:dyDescent="0.25">
      <c r="B13" s="74" t="s">
        <v>115</v>
      </c>
      <c r="C13" s="205">
        <v>177406766.60556901</v>
      </c>
      <c r="D13" s="205">
        <v>28211359.809834</v>
      </c>
      <c r="E13" s="205">
        <v>30636936.579999998</v>
      </c>
      <c r="F13" s="205">
        <v>236255062.99540299</v>
      </c>
      <c r="H13" s="116"/>
      <c r="I13" s="116"/>
      <c r="J13" s="116"/>
      <c r="M13" s="11">
        <f>C19</f>
        <v>662262465.71592605</v>
      </c>
      <c r="N13" s="11">
        <f>D19</f>
        <v>58078936.769892</v>
      </c>
    </row>
    <row r="14" spans="2:14" x14ac:dyDescent="0.25">
      <c r="B14" s="74" t="s">
        <v>116</v>
      </c>
      <c r="C14" s="205">
        <v>499203572.48032397</v>
      </c>
      <c r="D14" s="205">
        <v>22605776.241119001</v>
      </c>
      <c r="E14" s="205">
        <v>143479278.12</v>
      </c>
      <c r="F14" s="205">
        <v>665288626.84144294</v>
      </c>
      <c r="H14" s="116"/>
      <c r="I14" s="116"/>
      <c r="J14" s="116"/>
      <c r="M14" s="11">
        <f>C25</f>
        <v>316848251.04794902</v>
      </c>
      <c r="N14" s="11">
        <f>D25</f>
        <v>49956938.829843998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272099721.26956201</v>
      </c>
      <c r="N15" s="11">
        <f>D11</f>
        <v>74129190.024606004</v>
      </c>
    </row>
    <row r="16" spans="2:14" x14ac:dyDescent="0.25">
      <c r="B16" s="74" t="s">
        <v>74</v>
      </c>
      <c r="C16" s="205">
        <v>331329120.05181003</v>
      </c>
      <c r="D16" s="205">
        <v>54962901.179328002</v>
      </c>
      <c r="E16" s="205">
        <v>10797297.199999999</v>
      </c>
      <c r="F16" s="205">
        <v>397089318.43113798</v>
      </c>
      <c r="H16" s="116"/>
      <c r="I16" s="116"/>
      <c r="J16" s="116"/>
      <c r="M16" s="11">
        <f>C26</f>
        <v>341675971.12479597</v>
      </c>
      <c r="N16" s="11">
        <f>D26</f>
        <v>39328537.829948001</v>
      </c>
    </row>
    <row r="17" spans="2:14" x14ac:dyDescent="0.25">
      <c r="B17" s="74" t="s">
        <v>118</v>
      </c>
      <c r="C17" s="205">
        <v>255314662.19999799</v>
      </c>
      <c r="D17" s="205">
        <v>33550551.18</v>
      </c>
      <c r="E17" s="205" t="s">
        <v>169</v>
      </c>
      <c r="F17" s="205">
        <v>288865213.37999803</v>
      </c>
      <c r="H17" s="116"/>
      <c r="I17" s="116"/>
      <c r="J17" s="116"/>
      <c r="M17" s="11">
        <f>C10</f>
        <v>222771518.32418001</v>
      </c>
      <c r="N17" s="11">
        <f>D10</f>
        <v>26001356.599342</v>
      </c>
    </row>
    <row r="18" spans="2:14" x14ac:dyDescent="0.25">
      <c r="B18" s="74" t="s">
        <v>119</v>
      </c>
      <c r="C18" s="205">
        <v>867577535.90481806</v>
      </c>
      <c r="D18" s="205">
        <v>7746528.7219770001</v>
      </c>
      <c r="E18" s="205">
        <v>8274324.2400000002</v>
      </c>
      <c r="F18" s="205">
        <v>883598388.86679494</v>
      </c>
      <c r="H18" s="116"/>
      <c r="I18" s="116"/>
      <c r="J18" s="116"/>
      <c r="M18" s="11">
        <f>C27</f>
        <v>556862062.78800702</v>
      </c>
      <c r="N18" s="11">
        <f>D27</f>
        <v>164355132.21170899</v>
      </c>
    </row>
    <row r="19" spans="2:14" x14ac:dyDescent="0.25">
      <c r="B19" s="74" t="s">
        <v>121</v>
      </c>
      <c r="C19" s="205">
        <v>662262465.71592605</v>
      </c>
      <c r="D19" s="205">
        <v>58078936.769892</v>
      </c>
      <c r="E19" s="205">
        <v>560156524.46994305</v>
      </c>
      <c r="F19" s="205">
        <v>1280497926.955761</v>
      </c>
      <c r="H19" s="116"/>
      <c r="I19" s="116"/>
      <c r="J19" s="116"/>
      <c r="M19" s="11">
        <f>C20+C21</f>
        <v>181773274.10117799</v>
      </c>
      <c r="N19" s="11">
        <f>D20+D21</f>
        <v>103294334.440724</v>
      </c>
    </row>
    <row r="20" spans="2:14" x14ac:dyDescent="0.25">
      <c r="B20" s="74" t="s">
        <v>123</v>
      </c>
      <c r="C20" s="205">
        <v>142498950.10117799</v>
      </c>
      <c r="D20" s="205">
        <v>28052299.959775999</v>
      </c>
      <c r="E20" s="205">
        <v>2972973.04</v>
      </c>
      <c r="F20" s="205">
        <v>173524223.100954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5">
        <v>39274324</v>
      </c>
      <c r="D21" s="205">
        <v>75242034.480948001</v>
      </c>
      <c r="E21" s="205">
        <v>41848649.479999997</v>
      </c>
      <c r="F21" s="205">
        <v>156365007.96094799</v>
      </c>
      <c r="H21" s="116"/>
      <c r="I21" s="116"/>
      <c r="J21" s="116"/>
      <c r="M21" s="14">
        <f>IFERROR(C34,0)+IFERROR(C35,0)+M20</f>
        <v>496893466.725613</v>
      </c>
      <c r="N21" s="10" t="s">
        <v>122</v>
      </c>
    </row>
    <row r="22" spans="2:14" x14ac:dyDescent="0.25">
      <c r="B22" s="74" t="s">
        <v>173</v>
      </c>
      <c r="C22" s="205">
        <v>120464485.8</v>
      </c>
      <c r="D22" s="205" t="s">
        <v>169</v>
      </c>
      <c r="E22" s="205">
        <v>10414414.119999999</v>
      </c>
      <c r="F22" s="205">
        <v>130878899.92</v>
      </c>
      <c r="H22" s="116"/>
      <c r="I22" s="116"/>
      <c r="J22" s="116"/>
    </row>
    <row r="23" spans="2:14" x14ac:dyDescent="0.25">
      <c r="B23" s="74" t="s">
        <v>174</v>
      </c>
      <c r="C23" s="205">
        <v>188067175.44997501</v>
      </c>
      <c r="D23" s="205" t="s">
        <v>169</v>
      </c>
      <c r="E23" s="205">
        <v>10180179.9</v>
      </c>
      <c r="F23" s="205">
        <v>198247355.34997499</v>
      </c>
      <c r="H23" s="116"/>
      <c r="I23" s="116"/>
      <c r="J23" s="116"/>
    </row>
    <row r="24" spans="2:14" x14ac:dyDescent="0.25">
      <c r="B24" s="74" t="s">
        <v>125</v>
      </c>
      <c r="C24" s="205">
        <v>210592780.769941</v>
      </c>
      <c r="D24" s="205">
        <v>35498876.043462999</v>
      </c>
      <c r="E24" s="205">
        <v>93180953.700000003</v>
      </c>
      <c r="F24" s="205">
        <v>339272610.51340401</v>
      </c>
      <c r="H24" s="116"/>
      <c r="I24" s="116"/>
      <c r="J24" s="116"/>
    </row>
    <row r="25" spans="2:14" x14ac:dyDescent="0.25">
      <c r="B25" s="74" t="s">
        <v>126</v>
      </c>
      <c r="C25" s="205">
        <v>316848251.04794902</v>
      </c>
      <c r="D25" s="205">
        <v>49956938.829843998</v>
      </c>
      <c r="E25" s="205">
        <v>154821801.23991001</v>
      </c>
      <c r="F25" s="205">
        <v>521626991.11770302</v>
      </c>
      <c r="H25" s="116"/>
      <c r="I25" s="116"/>
      <c r="J25" s="116"/>
    </row>
    <row r="26" spans="2:14" x14ac:dyDescent="0.25">
      <c r="B26" s="74" t="s">
        <v>127</v>
      </c>
      <c r="C26" s="205">
        <v>341675971.12479597</v>
      </c>
      <c r="D26" s="205">
        <v>39328537.829948001</v>
      </c>
      <c r="E26" s="205">
        <v>296580177.76995099</v>
      </c>
      <c r="F26" s="205">
        <v>677584686.72469497</v>
      </c>
      <c r="H26" s="116"/>
      <c r="I26" s="116"/>
      <c r="J26" s="116"/>
    </row>
    <row r="27" spans="2:14" x14ac:dyDescent="0.25">
      <c r="B27" s="74" t="s">
        <v>128</v>
      </c>
      <c r="C27" s="205">
        <v>556862062.78800702</v>
      </c>
      <c r="D27" s="205">
        <v>164355132.21170899</v>
      </c>
      <c r="E27" s="205">
        <v>18025946.155999999</v>
      </c>
      <c r="F27" s="205">
        <v>739243141.15571594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213399540.74474099</v>
      </c>
      <c r="G32" s="116"/>
      <c r="H32" s="116"/>
      <c r="I32" s="116"/>
    </row>
    <row r="33" spans="2:14" x14ac:dyDescent="0.25">
      <c r="B33" s="84" t="s">
        <v>133</v>
      </c>
      <c r="C33" s="205">
        <v>313888308.08042198</v>
      </c>
      <c r="G33" s="116"/>
      <c r="H33" s="116"/>
      <c r="I33" s="116"/>
    </row>
    <row r="34" spans="2:14" x14ac:dyDescent="0.25">
      <c r="B34" s="84" t="s">
        <v>134</v>
      </c>
      <c r="C34" s="205">
        <v>228983933.90864599</v>
      </c>
      <c r="G34" s="116"/>
      <c r="H34" s="116"/>
      <c r="I34" s="116"/>
    </row>
    <row r="35" spans="2:14" x14ac:dyDescent="0.25">
      <c r="B35" s="84" t="s">
        <v>135</v>
      </c>
      <c r="C35" s="205">
        <v>267909532.81696701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8" t="s">
        <v>184</v>
      </c>
      <c r="C41" s="239"/>
      <c r="D41" s="240"/>
      <c r="E41" s="67" t="s">
        <v>138</v>
      </c>
      <c r="F41" s="73">
        <f ca="1">IF(MONTH(TODAY())=5,DAY(TODAY())/DAY(EOMONTH(TODAY(),0)),IF(MONTH(TODAY())&gt;5,1,0))</f>
        <v>0.74193548387096775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4552899172.0531425</v>
      </c>
      <c r="F43" s="44">
        <f>IFERROR(E43/D43,0)</f>
        <v>0.66569867248304726</v>
      </c>
      <c r="G43" s="118">
        <f>D43-E43</f>
        <v>2286380159.9468575</v>
      </c>
      <c r="H43" s="118">
        <f ca="1">IFERROR(G43/C3,0)</f>
        <v>326625737.13526535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729468972.18505895</v>
      </c>
      <c r="F44" s="44">
        <f>IFERROR(E44/D44,0)</f>
        <v>0.49446645795988792</v>
      </c>
      <c r="G44" s="118">
        <f>D44-E44</f>
        <v>745795852.03530276</v>
      </c>
      <c r="H44" s="118">
        <f ca="1">IFERROR(G44/C3,0)</f>
        <v>106542264.57647182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1024181315.550776</v>
      </c>
      <c r="F45" s="44">
        <f>IFERROR(E45/D45,0)</f>
        <v>0.57442150156189087</v>
      </c>
      <c r="G45" s="118">
        <f>D45-E45</f>
        <v>758797407.85347986</v>
      </c>
      <c r="H45" s="118">
        <f ca="1">IFERROR(G45/C3,0)</f>
        <v>108399629.69335426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6306549459.7889767</v>
      </c>
      <c r="F46" s="43">
        <f>IFERROR(E46/D46,0)</f>
        <v>0.62456401782606574</v>
      </c>
      <c r="G46" s="119">
        <f>G43+G44+G45</f>
        <v>3790973419.83564</v>
      </c>
      <c r="H46" s="119">
        <f ca="1">IFERROR(G46/C3,0)</f>
        <v>541567631.4050914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210592780.769941</v>
      </c>
      <c r="H51" s="122">
        <f>N8</f>
        <v>35498876.043462999</v>
      </c>
      <c r="I51" s="122">
        <f t="shared" ref="I51:I64" si="1">G51+H51</f>
        <v>246091656.81340399</v>
      </c>
      <c r="J51" s="61">
        <f t="shared" ref="J51:J64" si="2">IFERROR(I51/F51,0)</f>
        <v>0.50745373396927118</v>
      </c>
      <c r="K51" s="51">
        <f t="shared" ref="K51:M64" si="3">D51-G51</f>
        <v>206090697.230059</v>
      </c>
      <c r="L51" s="51">
        <f t="shared" si="3"/>
        <v>32771525.17719131</v>
      </c>
      <c r="M51" s="51">
        <f t="shared" si="3"/>
        <v>238862222.40725031</v>
      </c>
      <c r="N51" s="51">
        <f ca="1">IFERROR(M51/C3,0)</f>
        <v>34123174.629607186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393634110.92949599</v>
      </c>
      <c r="H52" s="122">
        <f>N9</f>
        <v>67706440.835084006</v>
      </c>
      <c r="I52" s="122">
        <f t="shared" si="1"/>
        <v>461340551.76458001</v>
      </c>
      <c r="J52" s="61">
        <f t="shared" si="2"/>
        <v>0.61781510561828812</v>
      </c>
      <c r="K52" s="54">
        <f t="shared" si="3"/>
        <v>161548260.07050401</v>
      </c>
      <c r="L52" s="54">
        <f t="shared" si="3"/>
        <v>123840343.16491599</v>
      </c>
      <c r="M52" s="54">
        <f t="shared" si="3"/>
        <v>285388603.23541999</v>
      </c>
      <c r="N52" s="54">
        <f ca="1">IFERROR(M52/C3,0)</f>
        <v>40769800.462202854</v>
      </c>
    </row>
    <row r="53" spans="2:14" ht="20.100000000000001" customHeight="1" x14ac:dyDescent="0.25">
      <c r="B53" s="155" t="s">
        <v>176</v>
      </c>
      <c r="C53" s="156" t="s">
        <v>177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120464485.8</v>
      </c>
      <c r="H53" s="122">
        <f>IF(D22="",0,D22)</f>
        <v>0</v>
      </c>
      <c r="I53" s="122">
        <f>G53+H53</f>
        <v>120464485.8</v>
      </c>
      <c r="J53" s="61">
        <f>IFERROR(I53/F53,0)</f>
        <v>0.49887296758662331</v>
      </c>
      <c r="K53" s="54">
        <f>D53-G53</f>
        <v>121008782.2</v>
      </c>
      <c r="L53" s="54">
        <f>E53-H53</f>
        <v>0</v>
      </c>
      <c r="M53" s="54">
        <f>F53-I53</f>
        <v>121008782.2</v>
      </c>
      <c r="N53" s="54">
        <f ca="1">IFERROR(M53/C3,0)</f>
        <v>17286968.885714285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499203572.48032397</v>
      </c>
      <c r="H54" s="122">
        <f t="shared" ref="H54:H58" si="4">N10</f>
        <v>22605776.241119001</v>
      </c>
      <c r="I54" s="122">
        <f t="shared" si="1"/>
        <v>521809348.721443</v>
      </c>
      <c r="J54" s="61">
        <f t="shared" si="2"/>
        <v>0.79351258011193626</v>
      </c>
      <c r="K54" s="54">
        <f>D54-G54</f>
        <v>111508899.51967603</v>
      </c>
      <c r="L54" s="54">
        <f t="shared" si="3"/>
        <v>24276050.576215889</v>
      </c>
      <c r="M54" s="54">
        <f t="shared" si="3"/>
        <v>135784950.09589189</v>
      </c>
      <c r="N54" s="54">
        <f ca="1">IFERROR(M54/C3,0)</f>
        <v>19397850.013698842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255314662.19999799</v>
      </c>
      <c r="H55" s="122">
        <f t="shared" si="4"/>
        <v>33550551.18</v>
      </c>
      <c r="I55" s="122">
        <f t="shared" si="1"/>
        <v>288865213.37999797</v>
      </c>
      <c r="J55" s="61">
        <f t="shared" si="2"/>
        <v>0.59201868015916703</v>
      </c>
      <c r="K55" s="54">
        <f t="shared" si="3"/>
        <v>149748621.80000201</v>
      </c>
      <c r="L55" s="54">
        <f t="shared" si="3"/>
        <v>49318764.011524148</v>
      </c>
      <c r="M55" s="54">
        <f t="shared" si="3"/>
        <v>199067385.81152618</v>
      </c>
      <c r="N55" s="54">
        <f ca="1">IFERROR(M55/C3,0)</f>
        <v>28438197.97307517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331329120.05181003</v>
      </c>
      <c r="H56" s="122">
        <f t="shared" si="4"/>
        <v>54962901.179328002</v>
      </c>
      <c r="I56" s="122">
        <f t="shared" si="1"/>
        <v>386292021.23113805</v>
      </c>
      <c r="J56" s="61">
        <f t="shared" si="2"/>
        <v>0.69582328614507971</v>
      </c>
      <c r="K56" s="54">
        <f t="shared" si="3"/>
        <v>142589711.94818997</v>
      </c>
      <c r="L56" s="54">
        <f t="shared" si="3"/>
        <v>26276492.943325602</v>
      </c>
      <c r="M56" s="54">
        <f t="shared" si="3"/>
        <v>168866204.89151555</v>
      </c>
      <c r="N56" s="54">
        <f ca="1">IFERROR(M56/C3,0)</f>
        <v>24123743.555930793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662262465.71592605</v>
      </c>
      <c r="H57" s="122">
        <f t="shared" si="4"/>
        <v>58078936.769892</v>
      </c>
      <c r="I57" s="122">
        <f t="shared" si="1"/>
        <v>720341402.48581803</v>
      </c>
      <c r="J57" s="61">
        <f t="shared" si="2"/>
        <v>0.68363893287231714</v>
      </c>
      <c r="K57" s="54">
        <f t="shared" si="3"/>
        <v>299495879.28407395</v>
      </c>
      <c r="L57" s="54">
        <f t="shared" si="3"/>
        <v>33849639.56926439</v>
      </c>
      <c r="M57" s="54">
        <f t="shared" si="3"/>
        <v>333345518.85333836</v>
      </c>
      <c r="N57" s="54">
        <f ca="1">IFERROR(M57/C3,0)</f>
        <v>47620788.407619767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316848251.04794902</v>
      </c>
      <c r="H58" s="122">
        <f t="shared" si="4"/>
        <v>49956938.829843998</v>
      </c>
      <c r="I58" s="122">
        <f>G58+H58</f>
        <v>366805189.87779301</v>
      </c>
      <c r="J58" s="61">
        <f>IFERROR(I58/F58,0)</f>
        <v>0.64457128399644426</v>
      </c>
      <c r="K58" s="54">
        <f t="shared" si="3"/>
        <v>188438807.95205098</v>
      </c>
      <c r="L58" s="54">
        <f t="shared" si="3"/>
        <v>13824465.170156002</v>
      </c>
      <c r="M58" s="54">
        <f t="shared" si="3"/>
        <v>202263273.12220699</v>
      </c>
      <c r="N58" s="54">
        <f ca="1">IFERROR(M58/C3,0)</f>
        <v>28894753.303172428</v>
      </c>
    </row>
    <row r="59" spans="2:14" ht="20.100000000000001" customHeight="1" x14ac:dyDescent="0.25">
      <c r="B59" s="155" t="s">
        <v>176</v>
      </c>
      <c r="C59" s="156" t="s">
        <v>178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188067175.44997501</v>
      </c>
      <c r="H59" s="122">
        <f>IF(D23="",0,D23)</f>
        <v>0</v>
      </c>
      <c r="I59" s="122">
        <f>G59+H59</f>
        <v>188067175.44997501</v>
      </c>
      <c r="J59" s="61">
        <f>IFERROR(I59/F59,0)</f>
        <v>0.46535884585446219</v>
      </c>
      <c r="K59" s="54">
        <f>D59-G59</f>
        <v>216066488.55002499</v>
      </c>
      <c r="L59" s="54">
        <f>E59-H59</f>
        <v>0</v>
      </c>
      <c r="M59" s="54">
        <f>F59-I59</f>
        <v>216066488.55002499</v>
      </c>
      <c r="N59" s="54">
        <f ca="1">IFERROR(M59/C3,0)</f>
        <v>30866641.221432142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272099721.26956201</v>
      </c>
      <c r="H60" s="122">
        <f t="shared" ref="H60:H64" si="5">N15</f>
        <v>74129190.024606004</v>
      </c>
      <c r="I60" s="122">
        <f t="shared" si="1"/>
        <v>346228911.294168</v>
      </c>
      <c r="J60" s="61">
        <f t="shared" si="2"/>
        <v>0.6382315049397389</v>
      </c>
      <c r="K60" s="54">
        <f t="shared" si="3"/>
        <v>131917587.73043799</v>
      </c>
      <c r="L60" s="54">
        <f t="shared" si="3"/>
        <v>64335200.193389401</v>
      </c>
      <c r="M60" s="54">
        <f t="shared" si="3"/>
        <v>196252787.92382741</v>
      </c>
      <c r="N60" s="54">
        <f ca="1">IFERROR(M60/C3,0)</f>
        <v>28036112.560546774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341675971.12479597</v>
      </c>
      <c r="H61" s="122">
        <f t="shared" si="5"/>
        <v>39328537.829948001</v>
      </c>
      <c r="I61" s="122">
        <f t="shared" si="1"/>
        <v>381004508.95474398</v>
      </c>
      <c r="J61" s="61">
        <f t="shared" si="2"/>
        <v>0.55188355311647441</v>
      </c>
      <c r="K61" s="54">
        <f t="shared" si="3"/>
        <v>289953624.87520403</v>
      </c>
      <c r="L61" s="54">
        <f t="shared" si="3"/>
        <v>19413062.780677266</v>
      </c>
      <c r="M61" s="54">
        <f t="shared" si="3"/>
        <v>309366687.65588129</v>
      </c>
      <c r="N61" s="54">
        <f ca="1">IFERROR(M61/C3,0)</f>
        <v>44195241.093697324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222771518.32418001</v>
      </c>
      <c r="H62" s="122">
        <f t="shared" si="5"/>
        <v>26001356.599342</v>
      </c>
      <c r="I62" s="122">
        <f t="shared" si="1"/>
        <v>248772874.923522</v>
      </c>
      <c r="J62" s="61">
        <f t="shared" si="2"/>
        <v>0.55245149797304616</v>
      </c>
      <c r="K62" s="54">
        <f t="shared" si="3"/>
        <v>163771504.67581999</v>
      </c>
      <c r="L62" s="54">
        <f t="shared" si="3"/>
        <v>37762798.200471804</v>
      </c>
      <c r="M62" s="54">
        <f t="shared" si="3"/>
        <v>201534302.87629181</v>
      </c>
      <c r="N62" s="54">
        <f ca="1">IFERROR(M62/C3,0)</f>
        <v>28790614.696613114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556862062.78800702</v>
      </c>
      <c r="H63" s="122">
        <f t="shared" si="5"/>
        <v>164355132.21170899</v>
      </c>
      <c r="I63" s="122">
        <f t="shared" si="1"/>
        <v>721217194.99971604</v>
      </c>
      <c r="J63" s="61">
        <f t="shared" si="2"/>
        <v>0.78980558047292859</v>
      </c>
      <c r="K63" s="54">
        <f t="shared" si="3"/>
        <v>26488879.211992979</v>
      </c>
      <c r="L63" s="54">
        <f t="shared" si="3"/>
        <v>165451812.78100839</v>
      </c>
      <c r="M63" s="54">
        <f t="shared" si="3"/>
        <v>191940691.99300134</v>
      </c>
      <c r="N63" s="54">
        <f ca="1">IFERROR(M63/C3,0)</f>
        <v>27420098.85614305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181773274.10117799</v>
      </c>
      <c r="H64" s="122">
        <f t="shared" si="5"/>
        <v>103294334.440724</v>
      </c>
      <c r="I64" s="122">
        <f t="shared" si="1"/>
        <v>285067608.54190201</v>
      </c>
      <c r="J64" s="61">
        <f t="shared" si="2"/>
        <v>0.55085983714374265</v>
      </c>
      <c r="K64" s="54">
        <f t="shared" si="3"/>
        <v>77752414.89882201</v>
      </c>
      <c r="L64" s="54">
        <f t="shared" si="3"/>
        <v>154675697.46716237</v>
      </c>
      <c r="M64" s="54">
        <f t="shared" si="3"/>
        <v>232428112.36598438</v>
      </c>
      <c r="N64" s="54">
        <f ca="1">IFERROR(M64/C3,0)</f>
        <v>33204016.052283484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4552899172.0531425</v>
      </c>
      <c r="H65" s="152">
        <f>SUM(H51:H64)</f>
        <v>729468972.18505895</v>
      </c>
      <c r="I65" s="152">
        <f>SUM(I51:I64)</f>
        <v>5282368144.2382002</v>
      </c>
      <c r="J65" s="153">
        <f>IFERROR(I65/F65,0)</f>
        <v>0.6353166265027651</v>
      </c>
      <c r="K65" s="154">
        <f>SUM(K51:K64)</f>
        <v>2286380159.9468575</v>
      </c>
      <c r="L65" s="154">
        <f>SUM(L51:L64)</f>
        <v>745795852.03530264</v>
      </c>
      <c r="M65" s="154">
        <f>SUM(M51:M64)</f>
        <v>3032176011.9821606</v>
      </c>
      <c r="N65" s="154">
        <f ca="1">IFERROR(M65/C3,0)</f>
        <v>433168001.71173722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172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93180953.700000003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67853061.859999999</v>
      </c>
    </row>
    <row r="72" spans="2:14" ht="20.100000000000001" customHeight="1" x14ac:dyDescent="0.25">
      <c r="B72" s="201" t="s">
        <v>176</v>
      </c>
      <c r="C72" s="202" t="s">
        <v>177</v>
      </c>
      <c r="D72" s="192">
        <f>IF(E22="",0,E22)</f>
        <v>10414414.119999999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143479278.12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10797297.199999999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560156524.46994305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154821801.23991001</v>
      </c>
    </row>
    <row r="78" spans="2:14" ht="20.100000000000001" customHeight="1" x14ac:dyDescent="0.25">
      <c r="B78" s="201" t="s">
        <v>176</v>
      </c>
      <c r="C78" s="202" t="s">
        <v>178</v>
      </c>
      <c r="D78" s="192">
        <f>IF(E23="",0,E23)</f>
        <v>10180179.9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38843243.600000001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296580177.76995099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127412843.419999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18025946.155999999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44821622.519999996</v>
      </c>
    </row>
    <row r="84" spans="2:9" ht="20.100000000000001" customHeight="1" x14ac:dyDescent="0.25">
      <c r="B84" s="57" t="s">
        <v>152</v>
      </c>
      <c r="C84" s="58"/>
      <c r="D84" s="129">
        <f>SUM(D70:D83)</f>
        <v>1576567344.075803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213399540.74474099</v>
      </c>
      <c r="F89" s="61">
        <f t="shared" ref="F89:F94" si="7">IFERROR(E89/D89,0)</f>
        <v>0.76744586331460185</v>
      </c>
      <c r="G89" s="125">
        <f>D89-E89</f>
        <v>64665077.159468561</v>
      </c>
      <c r="H89" s="125">
        <f ca="1">IFERROR(G89/C3,0)</f>
        <v>9237868.1656383667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313888308.08042198</v>
      </c>
      <c r="F90" s="61">
        <f t="shared" si="7"/>
        <v>0.75161485447757292</v>
      </c>
      <c r="G90" s="126">
        <f>D90-E90</f>
        <v>103730245.10609961</v>
      </c>
      <c r="H90" s="126">
        <f ca="1">IFERROR(G90/C3,0)</f>
        <v>14818606.443728516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496893466.725613</v>
      </c>
      <c r="F91" s="61">
        <f t="shared" si="7"/>
        <v>0.45699944754518079</v>
      </c>
      <c r="G91" s="125">
        <f>D91-E91</f>
        <v>590402085.58791173</v>
      </c>
      <c r="H91" s="125">
        <f ca="1">IFERROR(G91/C3,0)</f>
        <v>84343155.083987385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1024181315.550776</v>
      </c>
      <c r="F94" s="43">
        <f t="shared" si="7"/>
        <v>0.57442150156189087</v>
      </c>
      <c r="G94" s="119">
        <f>SUM(G89:G93)</f>
        <v>758797407.85347986</v>
      </c>
      <c r="H94" s="119">
        <f ca="1">IFERROR(G94/C3,0)</f>
        <v>108399629.69335426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50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26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160</v>
      </c>
      <c r="C41" s="225"/>
      <c r="D41" s="226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163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165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167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180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182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2026-05-23T01:07:18Z</dcterms:modified>
  <dc:language>en-US</dc:language>
</cp:coreProperties>
</file>