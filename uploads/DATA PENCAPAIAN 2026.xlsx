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D43" i="12"/>
  <c r="D42" i="12"/>
  <c r="L41" i="12"/>
  <c r="K41" i="12"/>
  <c r="J41" i="12"/>
  <c r="I41" i="12"/>
  <c r="H41" i="12"/>
  <c r="G41" i="12"/>
  <c r="F4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Q55" i="12" s="1"/>
  <c r="R55" i="12" s="1"/>
  <c r="K61" i="11"/>
  <c r="K63" i="12"/>
  <c r="Q63" i="12" s="1"/>
  <c r="R63" i="12" s="1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Q52" i="12" s="1"/>
  <c r="R52" i="12" s="1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K73" i="6"/>
  <c r="L73" i="6" s="1"/>
  <c r="J55" i="7"/>
  <c r="K72" i="8"/>
  <c r="L72" i="8" s="1"/>
  <c r="F72" i="9"/>
  <c r="G55" i="10"/>
  <c r="K60" i="10"/>
  <c r="D65" i="11"/>
  <c r="G55" i="11"/>
  <c r="D46" i="12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M64" i="14" s="1"/>
  <c r="N64" i="14" s="1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G42" i="12"/>
  <c r="H42" i="12" s="1"/>
  <c r="K58" i="12"/>
  <c r="L58" i="12" s="1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Q54" i="12"/>
  <c r="R54" i="12" s="1"/>
  <c r="Q57" i="12"/>
  <c r="R57" i="12" s="1"/>
  <c r="O57" i="12"/>
  <c r="P57" i="12" s="1"/>
  <c r="M57" i="12"/>
  <c r="N57" i="12" s="1"/>
  <c r="M59" i="12"/>
  <c r="N59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L57" i="13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1" i="12"/>
  <c r="D65" i="12"/>
  <c r="K51" i="12"/>
  <c r="Q56" i="12"/>
  <c r="R56" i="12" s="1"/>
  <c r="O56" i="12"/>
  <c r="P56" i="12" s="1"/>
  <c r="M56" i="12"/>
  <c r="N56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O52" i="12" l="1"/>
  <c r="P52" i="12" s="1"/>
  <c r="M62" i="12"/>
  <c r="N62" i="12" s="1"/>
  <c r="M61" i="12"/>
  <c r="N61" i="12" s="1"/>
  <c r="M53" i="12"/>
  <c r="N53" i="12" s="1"/>
  <c r="I44" i="12"/>
  <c r="J44" i="12" s="1"/>
  <c r="G44" i="12"/>
  <c r="H44" i="12" s="1"/>
  <c r="Q58" i="12"/>
  <c r="R58" i="12" s="1"/>
  <c r="K44" i="12"/>
  <c r="L44" i="12" s="1"/>
  <c r="Q61" i="12"/>
  <c r="R61" i="12" s="1"/>
  <c r="M55" i="12"/>
  <c r="N55" i="12" s="1"/>
  <c r="Q62" i="12"/>
  <c r="R62" i="12" s="1"/>
  <c r="D94" i="12"/>
  <c r="L57" i="11"/>
  <c r="L54" i="11"/>
  <c r="Q63" i="14"/>
  <c r="R63" i="14" s="1"/>
  <c r="M56" i="5"/>
  <c r="N56" i="5" s="1"/>
  <c r="G42" i="14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G74" i="7" l="1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<sst xmlns="http://schemas.openxmlformats.org/spreadsheetml/2006/main" count="2124" uniqueCount="228">
  <si>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</si>
  <si>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</si>
  <si>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</si>
  <si>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</si>
  <si>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</si>
  <si>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</si>
  <si>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</si>
  <si>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</si>
  <si>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</si>
  <si>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</si>
  <si>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</si>
  <si>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</si>
  <si>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</si>
  <si>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</si>
  <si>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</si>
  <si>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</si>
  <si>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</si>
  <si>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</si>
  <si>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</si>
  <si>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</si>
  <si>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</si>
  <si>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</si>
  <si>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</si>
  <si>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</si>
  <si>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</si>
  <si>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</si>
  <si>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</si>
  <si>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</si>
  <si>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</si>
  <si>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</si>
  <si>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</si>
  <si>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</si>
  <si>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</si>
  <si>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</si>
  <si>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</si>
  <si>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</si>
  <si>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</si>
  <si>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</si>
  <si>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</si>
  <si>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</si>
  <si>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</si>
  <si>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</si>
  <si>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</si>
  <si>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</si>
  <si>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</si>
  <si>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</si>
  <si>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</si>
  <si>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</si>
  <si>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</si>
  <si>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</si>
  <si>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</si>
  <si>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</si>
  <si>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</si>
  <si>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</si>
  <si>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</si>
  <si>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</si>
  <si>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</si>
  <si>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</si>
  <si>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</si>
  <si>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</si>
  <si>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</si>
  <si>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</si>
  <si>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</si>
  <si>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</si>
  <si>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</si>
  <si>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</si>
  <si>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</si>
  <si>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</si>
  <si>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</si>
  <si>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</si>
  <si>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</si>
  <si>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</si>
  <si>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</si>
  <si>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</si>
  <si>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</si>
  <si>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</si>
  <si>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</si>
  <si>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</si>
  <si>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</si>
  <si>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</si>
  <si>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</si>
  <si>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</si>
  <si>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</si>
  <si>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</si>
  <si>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</si>
  <si>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</si>
  <si>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</si>
  <si>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</si>
  <si>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</si>
  <si>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</si>
  <si>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</si>
  <si>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</si>
  <si>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</si>
  <si>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</si>
  <si>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</si>
  <si>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</si>
  <si>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</si>
  <si>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</si>
  <si>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</si>
  <si>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</si>
  <si>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</si>
  <si>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</si>
  <si>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</si>
  <si>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</si>
  <si>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</si>
  <si>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</si>
  <si>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</si>
  <si>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</si>
  <si>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</si>
  <si>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</si>
  <si>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</si>
  <si>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</si>
  <si>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</si>
  <si>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</si>
  <si>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</si>
  <si>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</si>
  <si>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</si>
  <si>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</si>
  <si>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</si>
  <si>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</si>
  <si>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</si>
  <si>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</si>
  <si>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</si>
  <si>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</si>
  <si>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</si>
  <si>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</si>
  <si>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</si>
  <si>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</si>
  <si>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</si>
  <si>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</si>
  <si>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</si>
  <si>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</si>
  <si>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</si>
  <si>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</si>
  <si>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</si>
  <si>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</si>
  <si>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</si>
  <si>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</si>
  <si>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</si>
  <si>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</si>
  <si>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</si>
  <si>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</si>
  <si>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</si>
  <si>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</si>
  <si>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</si>
  <si>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</si>
  <si>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</si>
  <si>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</si>
  <si>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</si>
  <si>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</si>
  <si>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</si>
  <si>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</si>
  <si>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</si>
  <si>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</si>
  <si>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</si>
  <si>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</si>
  <si>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</si>
  <si>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</si>
  <si>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</si>
  <si>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</si>
  <si>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</si>
  <si>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</si>
  <si>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</si>
  <si>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</si>
  <si>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</si>
  <si>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</si>
  <si>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</si>
  <si>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</si>
  <si>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</si>
  <si>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</si>
  <si>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</si>
  <si>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</si>
  <si>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</si>
  <si>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</si>
  <si>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</si>
  <si>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</si>
  <si>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</si>
  <si>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</si>
  <si>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</si>
  <si>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</si>
  <si>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</si>
  <si>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</si>
  <si>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</si>
  <si>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</si>
  <si>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</si>
  <si>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</si>
  <si>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</si>
  <si>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</si>
  <si>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</si>
  <si>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</si>
  <si>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</si>
  <si>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</si>
  <si>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</si>
  <si>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</si>
  <si>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</si>
  <si>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</si>
  <si>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</si>
  <si>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</si>
  <si>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</si>
  <si>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</si>
  <si>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</si>
  <si>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</si>
  <si>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</si>
  <si>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</si>
  <si>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</si>
  <si>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</si>
  <si>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</si>
  <si>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</si>
  <si>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</si>
  <si>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</si>
  <si>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</si>
  <si>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</si>
  <si>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</si>
  <si>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</si>
  <si>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</si>
  <si>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</si>
  <si>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</si>
  <si>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</si>
  <si>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</si>
  <si>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</si>
  <si>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</si>
  <si>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</si>
  <si>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</si>
  <si>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</si>
  <si>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</si>
  <si>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</si>
  <si>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</si>
  <si>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DATA PENCAPAIAN — GLOBAL —  5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</si>
</sst>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6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7" t="s">
        <v>0</v>
      </c>
      <c r="C1" s="237"/>
    </row>
    <row r="3" spans="2:3" x14ac:dyDescent="0.25">
      <c r="B3" s="238" t="s">
        <v>1</v>
      </c>
      <c r="C3" s="23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9" t="s">
        <v>14</v>
      </c>
      <c r="C11" s="23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8" t="s">
        <v>28</v>
      </c>
      <c r="C3" s="238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0" t="s">
        <v>102</v>
      </c>
      <c r="C29" s="240"/>
      <c r="D29" s="240"/>
      <c r="E29" s="240"/>
      <c r="F29" s="240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8" t="s">
        <v>145</v>
      </c>
      <c r="C44" s="259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0" t="s">
        <v>41</v>
      </c>
      <c r="C47" s="260" t="s">
        <v>42</v>
      </c>
      <c r="D47" s="255" t="s">
        <v>137</v>
      </c>
      <c r="E47" s="256"/>
      <c r="F47" s="257"/>
      <c r="G47" s="69" t="s">
        <v>138</v>
      </c>
      <c r="H47" s="69"/>
      <c r="I47" s="69"/>
      <c r="J47" s="260" t="s">
        <v>139</v>
      </c>
      <c r="K47" s="35" t="s">
        <v>147</v>
      </c>
      <c r="L47" s="35"/>
      <c r="M47" s="35"/>
      <c r="N47" s="254" t="s">
        <v>148</v>
      </c>
    </row>
    <row r="48" spans="2:17" ht="15.75" x14ac:dyDescent="0.25">
      <c r="B48" s="260"/>
      <c r="C48" s="260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0"/>
      <c r="K48" s="34" t="s">
        <v>142</v>
      </c>
      <c r="L48" s="34" t="s">
        <v>110</v>
      </c>
      <c r="M48" s="34" t="s">
        <v>145</v>
      </c>
      <c r="N48" s="254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1" t="s">
        <v>144</v>
      </c>
      <c r="C63" s="252"/>
      <c r="D63" s="252"/>
      <c r="E63" s="252"/>
      <c r="F63" s="252"/>
      <c r="G63" s="252"/>
      <c r="H63" s="253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61" t="s">
        <v>177</v>
      </c>
      <c r="C41" s="262"/>
      <c r="D41" s="263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8" t="s">
        <v>145</v>
      </c>
      <c r="C46" s="259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  <c r="Q48"/>
      <c r="R48"/>
    </row>
    <row r="49" spans="2:18" s="139" customFormat="1" ht="33.950000000000003" customHeight="1" x14ac:dyDescent="0.25">
      <c r="B49" s="269" t="s">
        <v>41</v>
      </c>
      <c r="C49" s="269" t="s">
        <v>42</v>
      </c>
      <c r="D49" s="266" t="s">
        <v>137</v>
      </c>
      <c r="E49" s="267"/>
      <c r="F49" s="268"/>
      <c r="G49" s="140" t="s">
        <v>138</v>
      </c>
      <c r="H49" s="140"/>
      <c r="I49" s="140"/>
      <c r="J49" s="266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8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9"/>
      <c r="C50" s="269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6"/>
      <c r="K50" s="275"/>
      <c r="L50" s="275"/>
      <c r="M50" s="277"/>
      <c r="N50" s="188"/>
      <c r="O50" s="183"/>
      <c r="P50" s="279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1" t="s">
        <v>170</v>
      </c>
      <c r="C77" s="252"/>
      <c r="D77" s="253"/>
      <c r="G77"/>
      <c r="H77"/>
      <c r="I77"/>
    </row>
    <row r="78" spans="1:19" ht="20.100000000000001" customHeight="1" x14ac:dyDescent="0.25">
      <c r="B78" s="270" t="s">
        <v>41</v>
      </c>
      <c r="C78" s="270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0"/>
      <c r="C79" s="260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0" t="s">
        <v>178</v>
      </c>
      <c r="C41" s="281"/>
      <c r="D41" s="282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276" t="str">
        <f>"PER HARI"&amp;CHAR(10)&amp;TEXT($J$41,"0%")</f>
        <v>PER HARI
95%</v>
      </c>
      <c r="O49" s="278" t="str">
        <f>"SELISIH"&amp;CHAR(10)&amp;TEXT($L$41,"0%")</f>
        <v>SELISIH
100%</v>
      </c>
      <c r="P49" s="278" t="str">
        <f>"PER HARI"&amp;CHAR(10)&amp;TEXT($L$41,"0%")</f>
        <v>PER HARI
100%</v>
      </c>
    </row>
    <row r="50" spans="2:16" ht="22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75"/>
      <c r="L50" s="275"/>
      <c r="M50" s="277"/>
      <c r="N50" s="277"/>
      <c r="O50" s="279"/>
      <c r="P50" s="279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8.75" customHeight="1" x14ac:dyDescent="0.25">
      <c r="B78" s="270" t="s">
        <v>41</v>
      </c>
      <c r="C78" s="270" t="s">
        <v>42</v>
      </c>
      <c r="D78" s="231" t="s">
        <v>138</v>
      </c>
    </row>
    <row r="79" spans="2:16" ht="18" customHeight="1" x14ac:dyDescent="0.25">
      <c r="B79" s="260"/>
      <c r="C79" s="260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61" t="s">
        <v>179</v>
      </c>
      <c r="C41" s="262"/>
      <c r="D41" s="263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276" t="str">
        <f>"PER HARI"&amp;CHAR(10)&amp;TEXT($J$41,"0%")</f>
        <v>PER HARI
95%</v>
      </c>
      <c r="O49" s="278" t="str">
        <f>"SELISIH"&amp;CHAR(10)&amp;TEXT($L$41,"0%")</f>
        <v>SELISIH
100%</v>
      </c>
      <c r="P49" s="278" t="str">
        <f>"PER HARI"&amp;CHAR(10)&amp;TEXT($L$41,"0%")</f>
        <v>PER HARI
100%</v>
      </c>
    </row>
    <row r="50" spans="2:16" ht="19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75"/>
      <c r="L50" s="275"/>
      <c r="M50" s="277"/>
      <c r="N50" s="277"/>
      <c r="O50" s="279"/>
      <c r="P50" s="279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5.75" x14ac:dyDescent="0.25">
      <c r="B78" s="270" t="s">
        <v>41</v>
      </c>
      <c r="C78" s="270" t="s">
        <v>42</v>
      </c>
      <c r="D78" s="231" t="s">
        <v>138</v>
      </c>
    </row>
    <row r="79" spans="2:16" ht="15.75" x14ac:dyDescent="0.25">
      <c r="B79" s="260"/>
      <c r="C79" s="260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61" t="s">
        <v>188</v>
      </c>
      <c r="C41" s="262"/>
      <c r="D41" s="263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8" t="s">
        <v>145</v>
      </c>
      <c r="C46" s="259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</row>
    <row r="49" spans="2:16" ht="15.75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276" t="str">
        <f>"PER HARI"&amp;CHAR(10)&amp;TEXT($J$41,"0%")</f>
        <v>PER HARI
95%</v>
      </c>
      <c r="O49" s="283" t="str">
        <f>"SELISIH"&amp;CHAR(10)&amp;TEXT($L$41,"0%")</f>
        <v>SELISIH
100%</v>
      </c>
      <c r="P49" s="283" t="str">
        <f>"PER HARI"&amp;CHAR(10)&amp;TEXT($L$41,"0%")</f>
        <v>PER HARI
100%</v>
      </c>
    </row>
    <row r="50" spans="2:16" ht="15.75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75"/>
      <c r="L50" s="275"/>
      <c r="M50" s="277"/>
      <c r="N50" s="277"/>
      <c r="O50" s="284"/>
      <c r="P50" s="284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5.75" x14ac:dyDescent="0.25">
      <c r="B78" s="270" t="s">
        <v>41</v>
      </c>
      <c r="C78" s="270" t="s">
        <v>42</v>
      </c>
      <c r="D78" s="231" t="s">
        <v>138</v>
      </c>
    </row>
    <row r="79" spans="2:16" ht="15.75" x14ac:dyDescent="0.25">
      <c r="B79" s="260"/>
      <c r="C79" s="260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61" t="s">
        <v>218</v>
      </c>
      <c r="C40" s="262"/>
      <c r="D40" s="263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8" t="s">
        <v>145</v>
      </c>
      <c r="C46" s="259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4" t="s">
        <v>212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5.75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87"/>
      <c r="G67" s="271" t="s">
        <v>185</v>
      </c>
      <c r="H67" s="272"/>
      <c r="I67" s="272"/>
      <c r="J67" s="272"/>
      <c r="K67" s="272"/>
      <c r="L67" s="273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1" t="s">
        <v>170</v>
      </c>
      <c r="C77" s="252"/>
      <c r="D77" s="253"/>
    </row>
    <row r="78" spans="2:21" ht="15.75" x14ac:dyDescent="0.25">
      <c r="B78" s="270" t="s">
        <v>41</v>
      </c>
      <c r="C78" s="270" t="s">
        <v>42</v>
      </c>
      <c r="D78" s="231" t="s">
        <v>138</v>
      </c>
    </row>
    <row r="79" spans="2:21" ht="15.75" x14ac:dyDescent="0.25">
      <c r="B79" s="260"/>
      <c r="C79" s="260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zoomScale="84" zoomScaleNormal="84" workbookViewId="0">
      <selection activeCell="J18" sqref="J1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226</v>
      </c>
      <c r="C40" s="262"/>
      <c r="D40" s="263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212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95%</v>
      </c>
      <c r="N49" s="274" t="str">
        <f>"PER HARI"&amp;CHAR(10)&amp;TEXT($H$40,"0%")</f>
        <v>PER HARI
95%</v>
      </c>
      <c r="O49" s="276" t="str">
        <f>"SELISIH"&amp;CHAR(10)&amp;TEXT($J$40,"0%")</f>
        <v>SELISIH
100%</v>
      </c>
      <c r="P49" s="276" t="str">
        <f>"PER HARI"&amp;CHAR(10)&amp;TEXT($J$40,"0%")</f>
        <v>PER HARI
100%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  <mergeCell ref="B48:L48"/>
    <mergeCell ref="G67:L6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64" zoomScale="73" zoomScaleNormal="73" workbookViewId="0">
      <selection activeCell="F88" sqref="F8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24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39071490.509113997</v>
      </c>
      <c r="D10" s="235">
        <v>14451825.060000001</v>
      </c>
      <c r="E10" s="235">
        <v>32976519.3961</v>
      </c>
      <c r="F10" s="235">
        <v>28479279.61998</v>
      </c>
      <c r="G10" s="235">
        <v>114979114.58519401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235">
        <v>35082064.289915003</v>
      </c>
      <c r="D11" s="235">
        <v>24504955.215257</v>
      </c>
      <c r="E11" s="235">
        <v>20670603.645950999</v>
      </c>
      <c r="F11" s="235">
        <v>2283783.87</v>
      </c>
      <c r="G11" s="235">
        <v>82541407.021123007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235" t="s">
        <v>164</v>
      </c>
      <c r="D12" s="235">
        <v>4489392</v>
      </c>
      <c r="E12" s="235">
        <v>47959459.840000004</v>
      </c>
      <c r="F12" s="235" t="s">
        <v>164</v>
      </c>
      <c r="G12" s="235">
        <v>52448851.840000004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235">
        <v>21074614.974748001</v>
      </c>
      <c r="D13" s="235">
        <v>12941373.768467</v>
      </c>
      <c r="E13" s="235">
        <v>17449684.699979</v>
      </c>
      <c r="F13" s="235">
        <v>35247747.210000001</v>
      </c>
      <c r="G13" s="235">
        <v>86713420.653193995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235">
        <v>2599612.6199980001</v>
      </c>
      <c r="D14" s="235">
        <v>6953346.9499880001</v>
      </c>
      <c r="E14" s="235">
        <v>44018784.399850003</v>
      </c>
      <c r="F14" s="235">
        <v>12900901.34</v>
      </c>
      <c r="G14" s="235">
        <v>66472645.309836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235">
        <v>62657645.134957999</v>
      </c>
      <c r="D15" s="235">
        <v>3542040.5939989998</v>
      </c>
      <c r="E15" s="235">
        <v>24201049.749997001</v>
      </c>
      <c r="F15" s="235">
        <v>55937658.649954997</v>
      </c>
      <c r="G15" s="235">
        <v>146338394.12890899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235">
        <v>29653766.216979999</v>
      </c>
      <c r="D16" s="235">
        <v>444072.069999</v>
      </c>
      <c r="E16" s="235">
        <v>81081.06</v>
      </c>
      <c r="F16" s="235">
        <v>3362162.25</v>
      </c>
      <c r="G16" s="235">
        <v>33541081.596979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235">
        <v>100526949.915912</v>
      </c>
      <c r="D17" s="235">
        <v>20749659.379799001</v>
      </c>
      <c r="E17" s="235">
        <v>68512297.889873996</v>
      </c>
      <c r="F17" s="235">
        <v>371773872.88999999</v>
      </c>
      <c r="G17" s="235">
        <v>561562780.07558501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235">
        <v>23027261.328403998</v>
      </c>
      <c r="D18" s="235" t="s">
        <v>164</v>
      </c>
      <c r="E18" s="235">
        <v>9172523.3495000005</v>
      </c>
      <c r="F18" s="235">
        <v>1189189.2</v>
      </c>
      <c r="G18" s="235">
        <v>33388973.877904002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235">
        <v>3001250</v>
      </c>
      <c r="D19" s="235">
        <v>16863505.948210001</v>
      </c>
      <c r="E19" s="235">
        <v>4884460.5</v>
      </c>
      <c r="F19" s="235">
        <v>24345946.440000001</v>
      </c>
      <c r="G19" s="235">
        <v>49095162.888209999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235">
        <v>459459.48</v>
      </c>
      <c r="D20" s="235" t="s">
        <v>164</v>
      </c>
      <c r="E20" s="235" t="s">
        <v>164</v>
      </c>
      <c r="F20" s="235">
        <v>1765765.72</v>
      </c>
      <c r="G20" s="235">
        <v>2225225.2000000002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235">
        <v>45735555.600000001</v>
      </c>
      <c r="D21" s="235" t="s">
        <v>164</v>
      </c>
      <c r="E21" s="235" t="s">
        <v>164</v>
      </c>
      <c r="F21" s="235">
        <v>2486486.42</v>
      </c>
      <c r="G21" s="235">
        <v>48222042.020000003</v>
      </c>
      <c r="H21" s="111"/>
      <c r="I21" s="111"/>
      <c r="J21" s="111"/>
      <c r="M21" s="14">
        <f>SUM(C33,C34)+M20</f>
        <v>178900480.59215</v>
      </c>
      <c r="N21" s="10" t="s">
        <v>223</v>
      </c>
    </row>
    <row r="22" spans="2:15" ht="15" customHeight="1" x14ac:dyDescent="0.25">
      <c r="B22" s="72" t="s">
        <v>124</v>
      </c>
      <c r="C22" s="235">
        <v>57234744.619859003</v>
      </c>
      <c r="D22" s="235">
        <v>10334279.329978</v>
      </c>
      <c r="E22" s="235">
        <v>18897927.939989999</v>
      </c>
      <c r="F22" s="235">
        <v>91681082.079970002</v>
      </c>
      <c r="G22" s="235">
        <v>178148033.96979699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39624380.896167003</v>
      </c>
      <c r="D23" s="235">
        <v>10971548.739977</v>
      </c>
      <c r="E23" s="235">
        <v>29907478.539960999</v>
      </c>
      <c r="F23" s="235">
        <v>56332433.879880004</v>
      </c>
      <c r="G23" s="235">
        <v>136835842.055985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82760213.022239</v>
      </c>
      <c r="D24" s="235">
        <v>10901932.469989</v>
      </c>
      <c r="E24" s="235">
        <v>29385315.719994001</v>
      </c>
      <c r="F24" s="235">
        <v>107025587.08986799</v>
      </c>
      <c r="G24" s="235">
        <v>230073048.30208999</v>
      </c>
      <c r="H24" s="111"/>
      <c r="I24" s="111"/>
      <c r="J24" s="111"/>
    </row>
    <row r="25" spans="2:15" ht="15" customHeight="1" x14ac:dyDescent="0.25">
      <c r="B25" s="72" t="s">
        <v>224</v>
      </c>
      <c r="C25" s="235">
        <v>37378816.720908999</v>
      </c>
      <c r="D25" s="235">
        <v>8534119.2341939993</v>
      </c>
      <c r="E25" s="235">
        <v>14008306.429995</v>
      </c>
      <c r="F25" s="235">
        <v>44919099.269988</v>
      </c>
      <c r="G25" s="235">
        <v>104840341.655086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87315624.823841006</v>
      </c>
      <c r="D26" s="235">
        <v>22155470.159784</v>
      </c>
      <c r="E26" s="235">
        <v>51087786.329263002</v>
      </c>
      <c r="F26" s="235">
        <v>3565405.4871999999</v>
      </c>
      <c r="G26" s="235">
        <v>164124286.80008799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30087366.499875002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31338931.127664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43105347.793693997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135795132.79845601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227</v>
      </c>
      <c r="C40" s="262"/>
      <c r="D40" s="263"/>
      <c r="E40" s="66" t="s">
        <v>137</v>
      </c>
      <c r="F40" s="174">
        <f ca="1">IF(MONTH(TODAY())=10,DAY(TODAY())/DAY(EOMONTH(TODAY(),0)),IF(MONTH(TODAY())&gt;10,1,0))</f>
        <v>0.16129032258064516</v>
      </c>
      <c r="G40" s="192" t="s">
        <v>186</v>
      </c>
      <c r="H40" s="198">
        <v>1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4464586688.6595287</v>
      </c>
      <c r="E42" s="46">
        <f>H65</f>
        <v>637549683.936064</v>
      </c>
      <c r="F42" s="176">
        <f>IFERROR(E42/D42,0)</f>
        <v>0.14280150177294135</v>
      </c>
      <c r="G42" s="184">
        <f>D42*$H$40-E42</f>
        <v>3827037004.723465</v>
      </c>
      <c r="H42" s="184">
        <f ca="1">IFERROR(G42/$C$3,0)</f>
        <v>159459875.19681105</v>
      </c>
      <c r="I42" s="204">
        <f>D42*$J$40-E42</f>
        <v>3827037004.723465</v>
      </c>
      <c r="J42" s="204">
        <f ca="1">IFERROR(I42/$C$3,0)</f>
        <v>159459875.19681105</v>
      </c>
      <c r="K42" s="185">
        <f>D42*$L$40-E42</f>
        <v>3827037004.723465</v>
      </c>
      <c r="L42" s="185">
        <f ca="1">IFERROR(K42/$C$3,0)</f>
        <v>159459875.19681105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1279908063.1092303</v>
      </c>
      <c r="E43" s="46">
        <f>I65</f>
        <v>167393448.84964201</v>
      </c>
      <c r="F43" s="176">
        <f>IFERROR(E43/D43,0)</f>
        <v>0.1307855256751799</v>
      </c>
      <c r="G43" s="184">
        <f>D43*$H$40-E43</f>
        <v>1112514614.2595882</v>
      </c>
      <c r="H43" s="184">
        <f ca="1">IFERROR(G43/$C$3,0)</f>
        <v>46354775.594149508</v>
      </c>
      <c r="I43" s="204">
        <f>D43*$J$40-E43</f>
        <v>1112514614.2595882</v>
      </c>
      <c r="J43" s="204">
        <f ca="1">IFERROR(I43/$C$3,0)</f>
        <v>46354775.594149508</v>
      </c>
      <c r="K43" s="185">
        <f>D43*$L$40-E43</f>
        <v>1112514614.2595882</v>
      </c>
      <c r="L43" s="185">
        <f ca="1">IFERROR(K43/$C$3,0)</f>
        <v>46354775.594149508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SUM(TARGETS!AG5:AG18)</f>
        <v>2914007482.4702153</v>
      </c>
      <c r="E44" s="46">
        <f>J65</f>
        <v>413132198.43045396</v>
      </c>
      <c r="F44" s="176">
        <f>IFERROR(E44/D44,0)</f>
        <v>0.14177458394178186</v>
      </c>
      <c r="G44" s="184">
        <f>IF(D44=0,0,D44*$H$40-E44)</f>
        <v>2500875284.0397615</v>
      </c>
      <c r="H44" s="184">
        <f ca="1">IFERROR(G44/$C$3,0)</f>
        <v>104203136.83499007</v>
      </c>
      <c r="I44" s="204">
        <f>IF(D44=0,0,D44*$J$40-E44)</f>
        <v>2500875284.0397615</v>
      </c>
      <c r="J44" s="204">
        <f ca="1">IFERROR(I44/$C$3,0)</f>
        <v>104203136.83499007</v>
      </c>
      <c r="K44" s="185">
        <f>IF(D44=0,0,D44*$L$40-E44)</f>
        <v>2500875284.0397615</v>
      </c>
      <c r="L44" s="185">
        <f ca="1">IFERROR(K44/$C$3,0)</f>
        <v>104203136.83499007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1779787234.0425532</v>
      </c>
      <c r="E45" s="46">
        <f>E74</f>
        <v>240326778.21968901</v>
      </c>
      <c r="F45" s="176">
        <f>IFERROR(E45/D45,0)</f>
        <v>0.13503118441512713</v>
      </c>
      <c r="G45" s="184">
        <f>D45*$H$40-E45</f>
        <v>1539460455.8228641</v>
      </c>
      <c r="H45" s="184">
        <f ca="1">IFERROR(G45/$C$3,0)</f>
        <v>64144185.659286</v>
      </c>
      <c r="I45" s="204">
        <f>D45*$J$40-E45</f>
        <v>1539460455.8228641</v>
      </c>
      <c r="J45" s="204">
        <f ca="1">IFERROR(I45/$C$3,0)</f>
        <v>64144185.659286</v>
      </c>
      <c r="K45" s="185">
        <f>D45*$L$40-E45</f>
        <v>1539460455.8228641</v>
      </c>
      <c r="L45" s="185">
        <f ca="1">IFERROR(K45/$C$3,0)</f>
        <v>64144185.659286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10438289468.281527</v>
      </c>
      <c r="E46" s="47">
        <f>SUM(E42:E45)</f>
        <v>1458402109.4358492</v>
      </c>
      <c r="F46" s="177">
        <f>IFERROR(E46/D46,0)</f>
        <v>0.13971658037147233</v>
      </c>
      <c r="G46" s="181">
        <f>SUM(G42:G45)</f>
        <v>8979887358.8456783</v>
      </c>
      <c r="H46" s="181">
        <f ca="1">IFERROR(G46/$C$3,0)</f>
        <v>374161973.2852366</v>
      </c>
      <c r="I46" s="186">
        <f>SUM(I42:I45)</f>
        <v>8979887358.8456783</v>
      </c>
      <c r="J46" s="186">
        <f ca="1">IFERROR(I46/$C$3,0)</f>
        <v>374161973.2852366</v>
      </c>
      <c r="K46" s="186">
        <f>SUM(K42:K45)</f>
        <v>8979887358.8456783</v>
      </c>
      <c r="L46" s="186">
        <f ca="1">IFERROR(K46/$C$3,0)</f>
        <v>374161973.2852366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100%</v>
      </c>
      <c r="N49" s="274" t="str">
        <f>"PER HARI"&amp;CHAR(10)&amp;TEXT($H$40,"0%")</f>
        <v>PER HARI
100%</v>
      </c>
      <c r="O49" s="276" t="str">
        <f>"SELISIH"&amp;CHAR(10)&amp;TEXT($J$40,"0%")</f>
        <v>SELISIH
100%</v>
      </c>
      <c r="P49" s="276" t="str">
        <f>"PER HARI"&amp;CHAR(10)&amp;TEXT($J$40,"0%")</f>
        <v>PER HARI
100%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264756949.64136907</v>
      </c>
      <c r="E51" s="118">
        <f>TARGETS!AF5</f>
        <v>58508748.413354225</v>
      </c>
      <c r="F51" s="118">
        <f>TARGETS!AG5</f>
        <v>172968793.98622558</v>
      </c>
      <c r="G51" s="118">
        <f t="shared" ref="G51:G64" si="0">SUM(D51:F51)</f>
        <v>496234492.04094887</v>
      </c>
      <c r="H51" s="114">
        <f>SUMIF($B$10:$B$26,$T51,C$10:C$26)+SUMIF($B$10:$B$26,$U51,C$10:C$26)</f>
        <v>57234744.619859003</v>
      </c>
      <c r="I51" s="114">
        <f t="shared" ref="I51:I64" si="1">SUMIF($B$10:$B$26,$T51,D$10:D$26)+SUMIF($B$10:$B$26,$U51,D$10:D$26)</f>
        <v>10334279.329978</v>
      </c>
      <c r="J51" s="114">
        <f t="shared" ref="J51:J64" si="2">SUMIF($B$10:$B$26,$T51,E$10:E$26)+SUMIF($B$10:$B$26,$U51,E$10:E$26)</f>
        <v>18897927.939989999</v>
      </c>
      <c r="K51" s="114">
        <f t="shared" ref="K51:K64" si="3">SUM(H51:J51)</f>
        <v>86466951.889826998</v>
      </c>
      <c r="L51" s="187">
        <f t="shared" ref="L51:L65" si="4">IFERROR(K51/G51,0)</f>
        <v>0.17424615434166921</v>
      </c>
      <c r="M51" s="184">
        <f t="shared" ref="M51:M64" si="5">G51*$H$40-K51</f>
        <v>409767540.15112185</v>
      </c>
      <c r="N51" s="184">
        <f t="shared" ref="N51:N65" ca="1" si="6">IFERROR(M51/$C$3,0)</f>
        <v>17073647.506296743</v>
      </c>
      <c r="O51" s="180">
        <f t="shared" ref="O51:O64" si="7">G51*$J$40-K51</f>
        <v>409767540.15112185</v>
      </c>
      <c r="P51" s="180">
        <f t="shared" ref="P51:P65" ca="1" si="8">IFERROR(O51/$C$3,0)</f>
        <v>17073647.506296743</v>
      </c>
      <c r="Q51" s="185">
        <f t="shared" ref="Q51:Q64" si="9">G51*$L$40-K51</f>
        <v>409767540.15112185</v>
      </c>
      <c r="R51" s="185">
        <f t="shared" ref="R51:R65" ca="1" si="10">IFERROR(Q51/$C$3,0)</f>
        <v>17073647.506296743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180052976.96171179</v>
      </c>
      <c r="E52" s="119">
        <f>TARGETS!AF6</f>
        <v>163445127.22039506</v>
      </c>
      <c r="F52" s="119">
        <f>TARGETS!AG6</f>
        <v>423892749.39216906</v>
      </c>
      <c r="G52" s="119">
        <f t="shared" si="0"/>
        <v>767390853.57427597</v>
      </c>
      <c r="H52" s="114">
        <f t="shared" ref="H52:H64" si="11">SUMIF($B$10:$B$26,$T52,C$10:C$26)+SUMIF($B$10:$B$26,$U52,C$10:C$26)</f>
        <v>23674227.594746001</v>
      </c>
      <c r="I52" s="114">
        <f t="shared" si="1"/>
        <v>19894720.718455002</v>
      </c>
      <c r="J52" s="114">
        <f t="shared" si="2"/>
        <v>61468469.099829003</v>
      </c>
      <c r="K52" s="114">
        <f t="shared" si="3"/>
        <v>105037417.41303</v>
      </c>
      <c r="L52" s="187">
        <f t="shared" si="4"/>
        <v>0.13687603510492374</v>
      </c>
      <c r="M52" s="184">
        <f t="shared" si="5"/>
        <v>662353436.16124594</v>
      </c>
      <c r="N52" s="184">
        <f t="shared" ca="1" si="6"/>
        <v>27598059.840051915</v>
      </c>
      <c r="O52" s="180">
        <f t="shared" si="7"/>
        <v>662353436.16124594</v>
      </c>
      <c r="P52" s="180">
        <f t="shared" ca="1" si="8"/>
        <v>27598059.840051915</v>
      </c>
      <c r="Q52" s="185">
        <f t="shared" si="9"/>
        <v>662353436.16124594</v>
      </c>
      <c r="R52" s="185">
        <f t="shared" ca="1" si="10"/>
        <v>27598059.840051915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TARGETS!AE7</f>
        <v>262953105.06301075</v>
      </c>
      <c r="E53" s="138">
        <f>TARGETS!AF7</f>
        <v>0</v>
      </c>
      <c r="F53" s="138">
        <f>TARGETS!AG7</f>
        <v>0</v>
      </c>
      <c r="G53" s="138">
        <f t="shared" si="0"/>
        <v>262953105.06301075</v>
      </c>
      <c r="H53" s="114">
        <f t="shared" si="11"/>
        <v>459459.48</v>
      </c>
      <c r="I53" s="114">
        <f t="shared" si="1"/>
        <v>0</v>
      </c>
      <c r="J53" s="114">
        <f t="shared" si="2"/>
        <v>0</v>
      </c>
      <c r="K53" s="114">
        <f t="shared" si="3"/>
        <v>459459.48</v>
      </c>
      <c r="L53" s="187">
        <f t="shared" si="4"/>
        <v>1.7473057786859026E-3</v>
      </c>
      <c r="M53" s="184">
        <f t="shared" si="5"/>
        <v>262493645.58301076</v>
      </c>
      <c r="N53" s="184">
        <f t="shared" ca="1" si="6"/>
        <v>10937235.232625449</v>
      </c>
      <c r="O53" s="180">
        <f t="shared" si="7"/>
        <v>262493645.58301076</v>
      </c>
      <c r="P53" s="180">
        <f t="shared" ca="1" si="8"/>
        <v>10937235.232625449</v>
      </c>
      <c r="Q53" s="185">
        <f t="shared" si="9"/>
        <v>262493645.58301076</v>
      </c>
      <c r="R53" s="185">
        <f t="shared" ca="1" si="10"/>
        <v>10937235.232625449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590954252.3415246</v>
      </c>
      <c r="E54" s="119">
        <f>TARGETS!AF8</f>
        <v>33662936.863966122</v>
      </c>
      <c r="F54" s="119">
        <f>TARGETS!AG8</f>
        <v>83921591.734509259</v>
      </c>
      <c r="G54" s="119">
        <f t="shared" si="0"/>
        <v>708538780.93999994</v>
      </c>
      <c r="H54" s="114">
        <f t="shared" si="11"/>
        <v>62657645.134957999</v>
      </c>
      <c r="I54" s="114">
        <f t="shared" si="1"/>
        <v>3542040.5939989998</v>
      </c>
      <c r="J54" s="114">
        <f t="shared" si="2"/>
        <v>24201049.749997001</v>
      </c>
      <c r="K54" s="114">
        <f t="shared" si="3"/>
        <v>90400735.478954002</v>
      </c>
      <c r="L54" s="187">
        <f t="shared" si="4"/>
        <v>0.12758756176905617</v>
      </c>
      <c r="M54" s="184">
        <f t="shared" si="5"/>
        <v>618138045.46104598</v>
      </c>
      <c r="N54" s="184">
        <f t="shared" ca="1" si="6"/>
        <v>25755751.894210249</v>
      </c>
      <c r="O54" s="180">
        <f t="shared" si="7"/>
        <v>618138045.46104598</v>
      </c>
      <c r="P54" s="180">
        <f t="shared" ca="1" si="8"/>
        <v>25755751.894210249</v>
      </c>
      <c r="Q54" s="185">
        <f t="shared" si="9"/>
        <v>618138045.46104598</v>
      </c>
      <c r="R54" s="185">
        <f t="shared" ca="1" si="10"/>
        <v>25755751.894210249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TARGETS!AE9</f>
        <v>5575801.9517222047</v>
      </c>
      <c r="E55" s="118">
        <f>TARGETS!AF9</f>
        <v>63507750.38497854</v>
      </c>
      <c r="F55" s="118">
        <f>TARGETS!AG9</f>
        <v>468117447.23398483</v>
      </c>
      <c r="G55" s="118">
        <f t="shared" si="0"/>
        <v>537200999.57068563</v>
      </c>
      <c r="H55" s="114">
        <f t="shared" si="11"/>
        <v>0</v>
      </c>
      <c r="I55" s="114">
        <f t="shared" si="1"/>
        <v>4489392</v>
      </c>
      <c r="J55" s="114">
        <f t="shared" si="2"/>
        <v>47959459.840000004</v>
      </c>
      <c r="K55" s="114">
        <f t="shared" si="3"/>
        <v>52448851.840000004</v>
      </c>
      <c r="L55" s="187">
        <f t="shared" si="4"/>
        <v>9.7633570827149421E-2</v>
      </c>
      <c r="M55" s="184">
        <f t="shared" si="5"/>
        <v>484752147.73068559</v>
      </c>
      <c r="N55" s="184">
        <f t="shared" ca="1" si="6"/>
        <v>20198006.155445233</v>
      </c>
      <c r="O55" s="180">
        <f t="shared" si="7"/>
        <v>484752147.73068559</v>
      </c>
      <c r="P55" s="180">
        <f t="shared" ca="1" si="8"/>
        <v>20198006.155445233</v>
      </c>
      <c r="Q55" s="185">
        <f t="shared" si="9"/>
        <v>484752147.73068559</v>
      </c>
      <c r="R55" s="185">
        <f t="shared" ca="1" si="10"/>
        <v>20198006.155445233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TARGETS!AE10</f>
        <v>267520870.86594501</v>
      </c>
      <c r="E56" s="119">
        <f>TARGETS!AF10</f>
        <v>105132391.14913487</v>
      </c>
      <c r="F56" s="119">
        <f>TARGETS!AG10</f>
        <v>184159698.63927278</v>
      </c>
      <c r="G56" s="119">
        <f t="shared" si="0"/>
        <v>556812960.65435266</v>
      </c>
      <c r="H56" s="114">
        <f t="shared" si="11"/>
        <v>37378816.720908999</v>
      </c>
      <c r="I56" s="114">
        <f t="shared" si="1"/>
        <v>8534119.2341939993</v>
      </c>
      <c r="J56" s="114">
        <f t="shared" si="2"/>
        <v>14008306.429995</v>
      </c>
      <c r="K56" s="114">
        <f t="shared" si="3"/>
        <v>59921242.385097995</v>
      </c>
      <c r="L56" s="187">
        <f t="shared" si="4"/>
        <v>0.10761466887315276</v>
      </c>
      <c r="M56" s="184">
        <f t="shared" si="5"/>
        <v>496891718.26925468</v>
      </c>
      <c r="N56" s="184">
        <f t="shared" ca="1" si="6"/>
        <v>20703821.594552279</v>
      </c>
      <c r="O56" s="180">
        <f t="shared" si="7"/>
        <v>496891718.26925468</v>
      </c>
      <c r="P56" s="180">
        <f t="shared" ca="1" si="8"/>
        <v>20703821.594552279</v>
      </c>
      <c r="Q56" s="185">
        <f t="shared" si="9"/>
        <v>496891718.26925468</v>
      </c>
      <c r="R56" s="185">
        <f t="shared" ca="1" si="10"/>
        <v>20703821.594552279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664600150.5441153</v>
      </c>
      <c r="E57" s="118">
        <f>TARGETS!AF11</f>
        <v>83317068.128031164</v>
      </c>
      <c r="F57" s="118">
        <f>TARGETS!AG11</f>
        <v>343133819.00673455</v>
      </c>
      <c r="G57" s="118">
        <f t="shared" si="0"/>
        <v>1091051037.6788809</v>
      </c>
      <c r="H57" s="114">
        <f t="shared" si="11"/>
        <v>100526949.915912</v>
      </c>
      <c r="I57" s="114">
        <f t="shared" si="1"/>
        <v>20749659.379799001</v>
      </c>
      <c r="J57" s="114">
        <f t="shared" si="2"/>
        <v>68512297.889873996</v>
      </c>
      <c r="K57" s="114">
        <f t="shared" si="3"/>
        <v>189788907.18558502</v>
      </c>
      <c r="L57" s="187">
        <f t="shared" si="4"/>
        <v>0.173950530847159</v>
      </c>
      <c r="M57" s="184">
        <f t="shared" si="5"/>
        <v>901262130.49329591</v>
      </c>
      <c r="N57" s="184">
        <f t="shared" ca="1" si="6"/>
        <v>37552588.770553999</v>
      </c>
      <c r="O57" s="180">
        <f t="shared" si="7"/>
        <v>901262130.49329591</v>
      </c>
      <c r="P57" s="180">
        <f t="shared" ca="1" si="8"/>
        <v>37552588.770553999</v>
      </c>
      <c r="Q57" s="185">
        <f t="shared" si="9"/>
        <v>901262130.49329591</v>
      </c>
      <c r="R57" s="185">
        <f t="shared" ca="1" si="10"/>
        <v>37552588.770553999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259993077.39884707</v>
      </c>
      <c r="E58" s="119">
        <f>TARGETS!AF12</f>
        <v>86845105.094943255</v>
      </c>
      <c r="F58" s="119">
        <f>TARGETS!AG12</f>
        <v>249609659.83737293</v>
      </c>
      <c r="G58" s="119">
        <f t="shared" si="0"/>
        <v>596447842.33116329</v>
      </c>
      <c r="H58" s="114">
        <f t="shared" si="11"/>
        <v>39624380.896167003</v>
      </c>
      <c r="I58" s="114">
        <f t="shared" si="1"/>
        <v>10971548.739977</v>
      </c>
      <c r="J58" s="114">
        <f t="shared" si="2"/>
        <v>29907478.539960999</v>
      </c>
      <c r="K58" s="114">
        <f t="shared" si="3"/>
        <v>80503408.176105008</v>
      </c>
      <c r="L58" s="187">
        <f t="shared" si="4"/>
        <v>0.13497141319426123</v>
      </c>
      <c r="M58" s="184">
        <f t="shared" si="5"/>
        <v>515944434.15505826</v>
      </c>
      <c r="N58" s="184">
        <f t="shared" ca="1" si="6"/>
        <v>21497684.75646076</v>
      </c>
      <c r="O58" s="180">
        <f t="shared" si="7"/>
        <v>515944434.15505826</v>
      </c>
      <c r="P58" s="180">
        <f t="shared" ca="1" si="8"/>
        <v>21497684.75646076</v>
      </c>
      <c r="Q58" s="185">
        <f t="shared" si="9"/>
        <v>515944434.15505826</v>
      </c>
      <c r="R58" s="185">
        <f t="shared" ca="1" si="10"/>
        <v>21497684.75646076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TARGETS!AE13</f>
        <v>443846715.57642001</v>
      </c>
      <c r="E59" s="138">
        <f>TARGETS!AF13</f>
        <v>0</v>
      </c>
      <c r="F59" s="138">
        <f>TARGETS!AG13</f>
        <v>0</v>
      </c>
      <c r="G59" s="138">
        <f t="shared" si="0"/>
        <v>443846715.57642001</v>
      </c>
      <c r="H59" s="114">
        <f t="shared" si="11"/>
        <v>45735555.600000001</v>
      </c>
      <c r="I59" s="114">
        <f t="shared" si="1"/>
        <v>0</v>
      </c>
      <c r="J59" s="114">
        <f t="shared" si="2"/>
        <v>0</v>
      </c>
      <c r="K59" s="114">
        <f t="shared" si="3"/>
        <v>45735555.600000001</v>
      </c>
      <c r="L59" s="187">
        <f t="shared" si="4"/>
        <v>0.10304358237866787</v>
      </c>
      <c r="M59" s="184">
        <f t="shared" si="5"/>
        <v>398111159.97641999</v>
      </c>
      <c r="N59" s="184">
        <f t="shared" ca="1" si="6"/>
        <v>16587964.999017499</v>
      </c>
      <c r="O59" s="180">
        <f t="shared" si="7"/>
        <v>398111159.97641999</v>
      </c>
      <c r="P59" s="180">
        <f t="shared" ca="1" si="8"/>
        <v>16587964.999017499</v>
      </c>
      <c r="Q59" s="185">
        <f t="shared" si="9"/>
        <v>398111159.97641999</v>
      </c>
      <c r="R59" s="185">
        <f t="shared" ca="1" si="10"/>
        <v>16587964.999017499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TARGETS!AE14</f>
        <v>345737237.66667807</v>
      </c>
      <c r="E60" s="119">
        <f>TARGETS!AF14</f>
        <v>99843502.42153886</v>
      </c>
      <c r="F60" s="119">
        <f>TARGETS!AG14</f>
        <v>115472440.26230113</v>
      </c>
      <c r="G60" s="119">
        <f t="shared" si="0"/>
        <v>561053180.35051799</v>
      </c>
      <c r="H60" s="114">
        <f t="shared" si="11"/>
        <v>35082064.289915003</v>
      </c>
      <c r="I60" s="114">
        <f t="shared" si="1"/>
        <v>24504955.215257</v>
      </c>
      <c r="J60" s="114">
        <f t="shared" si="2"/>
        <v>20670603.645950999</v>
      </c>
      <c r="K60" s="114">
        <f t="shared" si="3"/>
        <v>80257623.151123002</v>
      </c>
      <c r="L60" s="187">
        <f t="shared" si="4"/>
        <v>0.14304815650627281</v>
      </c>
      <c r="M60" s="184">
        <f t="shared" si="5"/>
        <v>480795557.199395</v>
      </c>
      <c r="N60" s="184">
        <f t="shared" ca="1" si="6"/>
        <v>20033148.21664146</v>
      </c>
      <c r="O60" s="180">
        <f t="shared" si="7"/>
        <v>480795557.199395</v>
      </c>
      <c r="P60" s="180">
        <f t="shared" ca="1" si="8"/>
        <v>20033148.21664146</v>
      </c>
      <c r="Q60" s="185">
        <f t="shared" si="9"/>
        <v>480795557.199395</v>
      </c>
      <c r="R60" s="185">
        <f t="shared" ca="1" si="10"/>
        <v>20033148.21664146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476796144.98316145</v>
      </c>
      <c r="E61" s="118">
        <f>TARGETS!AF15</f>
        <v>53126030.965583593</v>
      </c>
      <c r="F61" s="118">
        <f>TARGETS!AG15</f>
        <v>168537597.75857076</v>
      </c>
      <c r="G61" s="118">
        <f t="shared" si="0"/>
        <v>698459773.7073158</v>
      </c>
      <c r="H61" s="114">
        <f t="shared" si="11"/>
        <v>82760213.022239</v>
      </c>
      <c r="I61" s="114">
        <f t="shared" si="1"/>
        <v>10901932.469989</v>
      </c>
      <c r="J61" s="114">
        <f t="shared" si="2"/>
        <v>29385315.719994001</v>
      </c>
      <c r="K61" s="114">
        <f t="shared" si="3"/>
        <v>123047461.21222201</v>
      </c>
      <c r="L61" s="187">
        <f t="shared" si="4"/>
        <v>0.17616971777645152</v>
      </c>
      <c r="M61" s="184">
        <f t="shared" si="5"/>
        <v>575412312.49509382</v>
      </c>
      <c r="N61" s="184">
        <f t="shared" ca="1" si="6"/>
        <v>23975513.020628911</v>
      </c>
      <c r="O61" s="180">
        <f t="shared" si="7"/>
        <v>575412312.49509382</v>
      </c>
      <c r="P61" s="180">
        <f t="shared" ca="1" si="8"/>
        <v>23975513.020628911</v>
      </c>
      <c r="Q61" s="185">
        <f t="shared" si="9"/>
        <v>575412312.49509382</v>
      </c>
      <c r="R61" s="185">
        <f t="shared" ca="1" si="10"/>
        <v>23975513.020628911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168507149.83198008</v>
      </c>
      <c r="E62" s="119">
        <f>TARGETS!AF16</f>
        <v>30531298.995438561</v>
      </c>
      <c r="F62" s="119">
        <f>TARGETS!AG16</f>
        <v>259851780.88751724</v>
      </c>
      <c r="G62" s="119">
        <f t="shared" si="0"/>
        <v>458890229.7149359</v>
      </c>
      <c r="H62" s="114">
        <f t="shared" si="11"/>
        <v>39071490.509113997</v>
      </c>
      <c r="I62" s="114">
        <f t="shared" si="1"/>
        <v>14451825.060000001</v>
      </c>
      <c r="J62" s="114">
        <f t="shared" si="2"/>
        <v>32976519.3961</v>
      </c>
      <c r="K62" s="114">
        <f t="shared" si="3"/>
        <v>86499834.965213999</v>
      </c>
      <c r="L62" s="187">
        <f t="shared" si="4"/>
        <v>0.18849787893489905</v>
      </c>
      <c r="M62" s="184">
        <f t="shared" si="5"/>
        <v>372390394.74972188</v>
      </c>
      <c r="N62" s="184">
        <f t="shared" ca="1" si="6"/>
        <v>15516266.447905079</v>
      </c>
      <c r="O62" s="180">
        <f t="shared" si="7"/>
        <v>372390394.74972188</v>
      </c>
      <c r="P62" s="180">
        <f t="shared" ca="1" si="8"/>
        <v>15516266.447905079</v>
      </c>
      <c r="Q62" s="185">
        <f t="shared" si="9"/>
        <v>372390394.74972188</v>
      </c>
      <c r="R62" s="185">
        <f t="shared" ca="1" si="10"/>
        <v>15516266.447905079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409968842.36459517</v>
      </c>
      <c r="E63" s="118">
        <f>TARGETS!AF17</f>
        <v>308297473.95300913</v>
      </c>
      <c r="F63" s="118">
        <f>TARGETS!AG17</f>
        <v>242574653.13033652</v>
      </c>
      <c r="G63" s="118">
        <f t="shared" si="0"/>
        <v>960840969.44794083</v>
      </c>
      <c r="H63" s="114">
        <f t="shared" si="11"/>
        <v>87315624.823841006</v>
      </c>
      <c r="I63" s="114">
        <f t="shared" si="1"/>
        <v>22155470.159784</v>
      </c>
      <c r="J63" s="114">
        <f t="shared" si="2"/>
        <v>51087786.329263002</v>
      </c>
      <c r="K63" s="114">
        <f t="shared" si="3"/>
        <v>160558881.31288803</v>
      </c>
      <c r="L63" s="187">
        <f t="shared" si="4"/>
        <v>0.16710245130902199</v>
      </c>
      <c r="M63" s="184">
        <f t="shared" si="5"/>
        <v>800282088.1350528</v>
      </c>
      <c r="N63" s="184">
        <f t="shared" ca="1" si="6"/>
        <v>33345087.0056272</v>
      </c>
      <c r="O63" s="180">
        <f t="shared" si="7"/>
        <v>800282088.1350528</v>
      </c>
      <c r="P63" s="180">
        <f t="shared" ca="1" si="8"/>
        <v>33345087.0056272</v>
      </c>
      <c r="Q63" s="185">
        <f t="shared" si="9"/>
        <v>800282088.1350528</v>
      </c>
      <c r="R63" s="185">
        <f t="shared" ca="1" si="10"/>
        <v>33345087.0056272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123323413.46844758</v>
      </c>
      <c r="E64" s="119">
        <f>TARGETS!AF18</f>
        <v>193690629.51885673</v>
      </c>
      <c r="F64" s="119">
        <f>TARGETS!AG18</f>
        <v>201767250.60122082</v>
      </c>
      <c r="G64" s="119">
        <f t="shared" si="0"/>
        <v>518781293.58852518</v>
      </c>
      <c r="H64" s="114">
        <f t="shared" si="11"/>
        <v>26028511.328403998</v>
      </c>
      <c r="I64" s="114">
        <f t="shared" si="1"/>
        <v>16863505.948210001</v>
      </c>
      <c r="J64" s="114">
        <f t="shared" si="2"/>
        <v>14056983.8495</v>
      </c>
      <c r="K64" s="114">
        <f t="shared" si="3"/>
        <v>56949001.126113996</v>
      </c>
      <c r="L64" s="187">
        <f t="shared" si="4"/>
        <v>0.10977458483937448</v>
      </c>
      <c r="M64" s="184">
        <f t="shared" si="5"/>
        <v>461832292.46241117</v>
      </c>
      <c r="N64" s="184">
        <f t="shared" ca="1" si="6"/>
        <v>19243012.185933799</v>
      </c>
      <c r="O64" s="180">
        <f t="shared" si="7"/>
        <v>461832292.46241117</v>
      </c>
      <c r="P64" s="180">
        <f t="shared" ca="1" si="8"/>
        <v>19243012.185933799</v>
      </c>
      <c r="Q64" s="185">
        <f t="shared" si="9"/>
        <v>461832292.46241117</v>
      </c>
      <c r="R64" s="185">
        <f t="shared" ca="1" si="10"/>
        <v>19243012.185933799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4464586688.6595287</v>
      </c>
      <c r="E65" s="134">
        <f t="shared" si="12"/>
        <v>1279908063.1092303</v>
      </c>
      <c r="F65" s="134">
        <f t="shared" si="12"/>
        <v>2914007482.4702153</v>
      </c>
      <c r="G65" s="134">
        <f t="shared" si="12"/>
        <v>8658502234.2389736</v>
      </c>
      <c r="H65" s="135">
        <f t="shared" si="12"/>
        <v>637549683.936064</v>
      </c>
      <c r="I65" s="135">
        <f t="shared" si="12"/>
        <v>167393448.84964201</v>
      </c>
      <c r="J65" s="135">
        <f t="shared" si="12"/>
        <v>413132198.43045396</v>
      </c>
      <c r="K65" s="135">
        <f t="shared" si="12"/>
        <v>1218075331.2161598</v>
      </c>
      <c r="L65" s="189">
        <f t="shared" si="4"/>
        <v>0.14067968088053751</v>
      </c>
      <c r="M65" s="181">
        <f>SUM(M51:M64)</f>
        <v>7440426903.0228138</v>
      </c>
      <c r="N65" s="181">
        <f t="shared" ca="1" si="6"/>
        <v>310017787.62595057</v>
      </c>
      <c r="O65" s="181">
        <f>SUM(O51:O64)</f>
        <v>7440426903.0228138</v>
      </c>
      <c r="P65" s="181">
        <f t="shared" ca="1" si="8"/>
        <v>310017787.62595057</v>
      </c>
      <c r="Q65" s="186">
        <f>SUM(Q51:Q64)</f>
        <v>7440426903.0228138</v>
      </c>
      <c r="R65" s="186">
        <f t="shared" ca="1" si="10"/>
        <v>310017787.62595057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269378070.68085116</v>
      </c>
      <c r="E69" s="114">
        <f>IFERROR($C$31,0)</f>
        <v>30087366.499875002</v>
      </c>
      <c r="F69" s="187">
        <f t="shared" ref="F69:F74" si="13">IFERROR(E69/D69,0)</f>
        <v>0.11169196669880883</v>
      </c>
      <c r="G69" s="184">
        <f>D69*$H$40-E69</f>
        <v>239290704.18097615</v>
      </c>
      <c r="H69" s="184">
        <f t="shared" ref="H69:H74" ca="1" si="14">IFERROR(G69/$C$3,0)</f>
        <v>9970446.007540673</v>
      </c>
      <c r="I69" s="204">
        <f>D69*$J$40-E69</f>
        <v>239290704.18097615</v>
      </c>
      <c r="J69" s="204">
        <f t="shared" ref="J69:J74" ca="1" si="15">IFERROR(I69/$C$3,0)</f>
        <v>9970446.007540673</v>
      </c>
      <c r="K69" s="185">
        <f>D69*$L$40-E69</f>
        <v>239290704.18097615</v>
      </c>
      <c r="L69" s="185">
        <f t="shared" ref="L69:L74" ca="1" si="16">IFERROR(K69/$C$3,0)</f>
        <v>9970446.007540673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412678979.6808511</v>
      </c>
      <c r="E70" s="114">
        <f>IFERROR($C$32,0)</f>
        <v>31338931.127664</v>
      </c>
      <c r="F70" s="187">
        <f t="shared" si="13"/>
        <v>7.5940216659206236E-2</v>
      </c>
      <c r="G70" s="184">
        <f>D70*$H$40-E70</f>
        <v>381340048.55318713</v>
      </c>
      <c r="H70" s="184">
        <f t="shared" ca="1" si="14"/>
        <v>15889168.68971613</v>
      </c>
      <c r="I70" s="204">
        <f>D70*$J$40-E70</f>
        <v>381340048.55318713</v>
      </c>
      <c r="J70" s="204">
        <f t="shared" ca="1" si="15"/>
        <v>15889168.68971613</v>
      </c>
      <c r="K70" s="185">
        <f>D70*$L$40-E70</f>
        <v>381340048.55318713</v>
      </c>
      <c r="L70" s="185">
        <f t="shared" ca="1" si="16"/>
        <v>15889168.68971613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1097730183.680851</v>
      </c>
      <c r="E71" s="114">
        <f>M21</f>
        <v>178900480.59215</v>
      </c>
      <c r="F71" s="187">
        <f t="shared" si="13"/>
        <v>0.16297309052054151</v>
      </c>
      <c r="G71" s="184">
        <f>D71*$H$40-E71</f>
        <v>918829703.08870101</v>
      </c>
      <c r="H71" s="184">
        <f t="shared" ca="1" si="14"/>
        <v>38284570.962029211</v>
      </c>
      <c r="I71" s="204">
        <f>D71*$J$40-E71</f>
        <v>918829703.08870101</v>
      </c>
      <c r="J71" s="204">
        <f t="shared" ca="1" si="15"/>
        <v>38284570.962029211</v>
      </c>
      <c r="K71" s="185">
        <f>D71*$L$40-E71</f>
        <v>918829703.08870101</v>
      </c>
      <c r="L71" s="185">
        <f t="shared" ca="1" si="16"/>
        <v>38284570.962029211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5.95" customHeight="1" x14ac:dyDescent="0.25">
      <c r="B74" s="57" t="s">
        <v>151</v>
      </c>
      <c r="C74" s="58"/>
      <c r="D74" s="115">
        <f>SUM(D69:D73)</f>
        <v>1779787234.0425532</v>
      </c>
      <c r="E74" s="115">
        <f>SUM(E69:E73)</f>
        <v>240326778.21968901</v>
      </c>
      <c r="F74" s="177">
        <f t="shared" si="13"/>
        <v>0.13503118441512713</v>
      </c>
      <c r="G74" s="181">
        <f>SUM(G69:G73)</f>
        <v>1539460455.8228643</v>
      </c>
      <c r="H74" s="181">
        <f t="shared" ca="1" si="14"/>
        <v>64144185.659286015</v>
      </c>
      <c r="I74" s="186">
        <f>SUM(I69:I73)</f>
        <v>1539460455.8228643</v>
      </c>
      <c r="J74" s="186">
        <f t="shared" ca="1" si="15"/>
        <v>64144185.659286015</v>
      </c>
      <c r="K74" s="186">
        <f>SUM(K69:K73)</f>
        <v>1539460455.8228643</v>
      </c>
      <c r="L74" s="186">
        <f t="shared" ca="1" si="16"/>
        <v>64144185.659286015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91681082.079970002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48148648.549999997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8"/>
        <v>1765765.72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55937658.649954997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8"/>
        <v>44919099.269988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371773872.88999999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56332433.879880004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8"/>
        <v>2486486.42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2283783.87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107025587.08986799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28479279.61998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3565405.4871999999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25535135.640000001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839934239.16684091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182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174</v>
      </c>
      <c r="C40" s="262"/>
      <c r="D40" s="263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182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182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176</v>
      </c>
      <c r="C40" s="262"/>
      <c r="D40" s="263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182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2026-10-05T00:52:44Z</dcterms:modified>
  <dc:language>en-US</dc:language>
</cp:coreProperties>
</file>