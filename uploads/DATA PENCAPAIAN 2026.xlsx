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4" l="1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M20" i="14"/>
  <c r="M21" i="14" s="1"/>
  <c r="N19" i="14"/>
  <c r="H64" i="14" s="1"/>
  <c r="M19" i="14"/>
  <c r="G64" i="14" s="1"/>
  <c r="N18" i="14"/>
  <c r="M18" i="14"/>
  <c r="G63" i="14" s="1"/>
  <c r="I63" i="14" s="1"/>
  <c r="J63" i="14" s="1"/>
  <c r="N17" i="14"/>
  <c r="M17" i="14"/>
  <c r="N16" i="14"/>
  <c r="H61" i="14" s="1"/>
  <c r="I61" i="14" s="1"/>
  <c r="J61" i="14" s="1"/>
  <c r="M16" i="14"/>
  <c r="N15" i="14"/>
  <c r="M15" i="14"/>
  <c r="N14" i="14"/>
  <c r="M14" i="14"/>
  <c r="N13" i="14"/>
  <c r="M13" i="14"/>
  <c r="N12" i="14"/>
  <c r="H56" i="14" s="1"/>
  <c r="M12" i="14"/>
  <c r="N11" i="14"/>
  <c r="M11" i="14"/>
  <c r="N10" i="14"/>
  <c r="M10" i="14"/>
  <c r="N9" i="14"/>
  <c r="M9" i="14"/>
  <c r="N8" i="14"/>
  <c r="M8" i="14"/>
  <c r="N7" i="14"/>
  <c r="M7" i="14"/>
  <c r="H63" i="14"/>
  <c r="H62" i="14"/>
  <c r="G62" i="14"/>
  <c r="I62" i="14" s="1"/>
  <c r="J62" i="14" s="1"/>
  <c r="G61" i="14"/>
  <c r="H60" i="14"/>
  <c r="G60" i="14"/>
  <c r="I60" i="14" s="1"/>
  <c r="J60" i="14" s="1"/>
  <c r="H59" i="14"/>
  <c r="I59" i="14" s="1"/>
  <c r="J59" i="14" s="1"/>
  <c r="G59" i="14"/>
  <c r="H58" i="14"/>
  <c r="G58" i="14"/>
  <c r="I58" i="14" s="1"/>
  <c r="J58" i="14" s="1"/>
  <c r="H57" i="14"/>
  <c r="I57" i="14" s="1"/>
  <c r="J57" i="14" s="1"/>
  <c r="G57" i="14"/>
  <c r="G56" i="14"/>
  <c r="I56" i="14" s="1"/>
  <c r="J56" i="14" s="1"/>
  <c r="H55" i="14"/>
  <c r="I55" i="14" s="1"/>
  <c r="J55" i="14" s="1"/>
  <c r="G55" i="14"/>
  <c r="H54" i="14"/>
  <c r="G54" i="14"/>
  <c r="I54" i="14" s="1"/>
  <c r="J54" i="14" s="1"/>
  <c r="H53" i="14"/>
  <c r="I53" i="14" s="1"/>
  <c r="J53" i="14" s="1"/>
  <c r="G53" i="14"/>
  <c r="H52" i="14"/>
  <c r="G52" i="14"/>
  <c r="I52" i="14" s="1"/>
  <c r="J52" i="14" s="1"/>
  <c r="H51" i="14"/>
  <c r="I51" i="14" s="1"/>
  <c r="J51" i="14" s="1"/>
  <c r="G51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M21" i="13"/>
  <c r="M20" i="13"/>
  <c r="N19" i="13"/>
  <c r="M19" i="13"/>
  <c r="G64" i="13" s="1"/>
  <c r="I64" i="13" s="1"/>
  <c r="J64" i="13" s="1"/>
  <c r="N18" i="13"/>
  <c r="M18" i="13"/>
  <c r="N17" i="13"/>
  <c r="M17" i="13"/>
  <c r="N16" i="13"/>
  <c r="H61" i="13" s="1"/>
  <c r="M16" i="13"/>
  <c r="N15" i="13"/>
  <c r="M15" i="13"/>
  <c r="G60" i="13" s="1"/>
  <c r="I60" i="13" s="1"/>
  <c r="J60" i="13" s="1"/>
  <c r="N14" i="13"/>
  <c r="M14" i="13"/>
  <c r="G58" i="13" s="1"/>
  <c r="I58" i="13" s="1"/>
  <c r="J58" i="13" s="1"/>
  <c r="N13" i="13"/>
  <c r="H57" i="13" s="1"/>
  <c r="M13" i="13"/>
  <c r="N12" i="13"/>
  <c r="M12" i="13"/>
  <c r="N11" i="13"/>
  <c r="M11" i="13"/>
  <c r="N10" i="13"/>
  <c r="M10" i="13"/>
  <c r="G54" i="13" s="1"/>
  <c r="I54" i="13" s="1"/>
  <c r="J54" i="13" s="1"/>
  <c r="N9" i="13"/>
  <c r="M9" i="13"/>
  <c r="N8" i="13"/>
  <c r="H51" i="13" s="1"/>
  <c r="M8" i="13"/>
  <c r="N7" i="13"/>
  <c r="M7" i="13"/>
  <c r="H64" i="13"/>
  <c r="H63" i="13"/>
  <c r="G63" i="13"/>
  <c r="I63" i="13" s="1"/>
  <c r="J63" i="13" s="1"/>
  <c r="H62" i="13"/>
  <c r="I62" i="13" s="1"/>
  <c r="J62" i="13" s="1"/>
  <c r="G62" i="13"/>
  <c r="G61" i="13"/>
  <c r="H60" i="13"/>
  <c r="H59" i="13"/>
  <c r="G59" i="13"/>
  <c r="I59" i="13" s="1"/>
  <c r="J59" i="13" s="1"/>
  <c r="H58" i="13"/>
  <c r="G57" i="13"/>
  <c r="H56" i="13"/>
  <c r="I56" i="13" s="1"/>
  <c r="J56" i="13" s="1"/>
  <c r="G56" i="13"/>
  <c r="H55" i="13"/>
  <c r="G55" i="13"/>
  <c r="I55" i="13" s="1"/>
  <c r="J55" i="13" s="1"/>
  <c r="H54" i="13"/>
  <c r="H53" i="13"/>
  <c r="G53" i="13"/>
  <c r="I53" i="13" s="1"/>
  <c r="J53" i="13" s="1"/>
  <c r="H52" i="13"/>
  <c r="I52" i="13" s="1"/>
  <c r="J52" i="13" s="1"/>
  <c r="G52" i="13"/>
  <c r="G51" i="13"/>
  <c r="I51" i="13" s="1"/>
  <c r="J51" i="13" s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M20" i="12"/>
  <c r="M21" i="12" s="1"/>
  <c r="N19" i="12"/>
  <c r="H64" i="12" s="1"/>
  <c r="M19" i="12"/>
  <c r="N18" i="12"/>
  <c r="M18" i="12"/>
  <c r="N17" i="12"/>
  <c r="M17" i="12"/>
  <c r="N16" i="12"/>
  <c r="M16" i="12"/>
  <c r="G61" i="12" s="1"/>
  <c r="I61" i="12" s="1"/>
  <c r="J61" i="12" s="1"/>
  <c r="N15" i="12"/>
  <c r="H60" i="12" s="1"/>
  <c r="M15" i="12"/>
  <c r="N14" i="12"/>
  <c r="H58" i="12" s="1"/>
  <c r="M14" i="12"/>
  <c r="N13" i="12"/>
  <c r="M13" i="12"/>
  <c r="G57" i="12" s="1"/>
  <c r="I57" i="12" s="1"/>
  <c r="J57" i="12" s="1"/>
  <c r="N12" i="12"/>
  <c r="M12" i="12"/>
  <c r="N11" i="12"/>
  <c r="M11" i="12"/>
  <c r="N10" i="12"/>
  <c r="H54" i="12" s="1"/>
  <c r="M10" i="12"/>
  <c r="N9" i="12"/>
  <c r="M9" i="12"/>
  <c r="N8" i="12"/>
  <c r="M8" i="12"/>
  <c r="G51" i="12" s="1"/>
  <c r="I51" i="12" s="1"/>
  <c r="J51" i="12" s="1"/>
  <c r="N7" i="12"/>
  <c r="M7" i="12"/>
  <c r="G64" i="12"/>
  <c r="I64" i="12" s="1"/>
  <c r="J64" i="12" s="1"/>
  <c r="H63" i="12"/>
  <c r="I63" i="12" s="1"/>
  <c r="J63" i="12" s="1"/>
  <c r="G63" i="12"/>
  <c r="H62" i="12"/>
  <c r="G62" i="12"/>
  <c r="I62" i="12" s="1"/>
  <c r="J62" i="12" s="1"/>
  <c r="H61" i="12"/>
  <c r="G60" i="12"/>
  <c r="I60" i="12" s="1"/>
  <c r="J60" i="12" s="1"/>
  <c r="H59" i="12"/>
  <c r="I59" i="12" s="1"/>
  <c r="J59" i="12" s="1"/>
  <c r="G59" i="12"/>
  <c r="G58" i="12"/>
  <c r="I58" i="12" s="1"/>
  <c r="J58" i="12" s="1"/>
  <c r="H57" i="12"/>
  <c r="H56" i="12"/>
  <c r="G56" i="12"/>
  <c r="I56" i="12" s="1"/>
  <c r="J56" i="12" s="1"/>
  <c r="H55" i="12"/>
  <c r="I55" i="12" s="1"/>
  <c r="J55" i="12" s="1"/>
  <c r="G55" i="12"/>
  <c r="G54" i="12"/>
  <c r="H53" i="12"/>
  <c r="I53" i="12" s="1"/>
  <c r="J53" i="12" s="1"/>
  <c r="G53" i="12"/>
  <c r="H52" i="12"/>
  <c r="G52" i="12"/>
  <c r="I52" i="12" s="1"/>
  <c r="J52" i="12" s="1"/>
  <c r="H51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M21" i="11"/>
  <c r="M20" i="11"/>
  <c r="N19" i="11"/>
  <c r="M19" i="11"/>
  <c r="G64" i="11" s="1"/>
  <c r="I64" i="11" s="1"/>
  <c r="J64" i="11" s="1"/>
  <c r="N18" i="11"/>
  <c r="M18" i="11"/>
  <c r="N17" i="11"/>
  <c r="H62" i="11" s="1"/>
  <c r="I62" i="11" s="1"/>
  <c r="J62" i="11" s="1"/>
  <c r="M17" i="11"/>
  <c r="N16" i="11"/>
  <c r="H61" i="11" s="1"/>
  <c r="M16" i="11"/>
  <c r="N15" i="11"/>
  <c r="M15" i="11"/>
  <c r="G60" i="11" s="1"/>
  <c r="I60" i="11" s="1"/>
  <c r="J60" i="11" s="1"/>
  <c r="N14" i="11"/>
  <c r="M14" i="11"/>
  <c r="G58" i="11" s="1"/>
  <c r="I58" i="11" s="1"/>
  <c r="J58" i="11" s="1"/>
  <c r="N13" i="11"/>
  <c r="H57" i="11" s="1"/>
  <c r="M13" i="11"/>
  <c r="N12" i="11"/>
  <c r="M12" i="11"/>
  <c r="N11" i="11"/>
  <c r="M11" i="11"/>
  <c r="N10" i="11"/>
  <c r="M10" i="11"/>
  <c r="G54" i="11" s="1"/>
  <c r="I54" i="11" s="1"/>
  <c r="J54" i="11" s="1"/>
  <c r="N9" i="11"/>
  <c r="M9" i="11"/>
  <c r="N8" i="11"/>
  <c r="H51" i="11" s="1"/>
  <c r="M8" i="11"/>
  <c r="N7" i="11"/>
  <c r="M7" i="11"/>
  <c r="H64" i="11"/>
  <c r="H63" i="11"/>
  <c r="G63" i="11"/>
  <c r="I63" i="11" s="1"/>
  <c r="J63" i="11" s="1"/>
  <c r="G62" i="11"/>
  <c r="G61" i="11"/>
  <c r="I61" i="11" s="1"/>
  <c r="J61" i="11" s="1"/>
  <c r="H60" i="11"/>
  <c r="H59" i="11"/>
  <c r="G59" i="11"/>
  <c r="I59" i="11" s="1"/>
  <c r="J59" i="11" s="1"/>
  <c r="H58" i="11"/>
  <c r="G57" i="11"/>
  <c r="H56" i="11"/>
  <c r="I56" i="11" s="1"/>
  <c r="J56" i="11" s="1"/>
  <c r="G56" i="11"/>
  <c r="H55" i="11"/>
  <c r="G55" i="11"/>
  <c r="I55" i="11" s="1"/>
  <c r="J55" i="11" s="1"/>
  <c r="H54" i="11"/>
  <c r="H53" i="11"/>
  <c r="G53" i="11"/>
  <c r="I53" i="11" s="1"/>
  <c r="J53" i="11" s="1"/>
  <c r="H52" i="11"/>
  <c r="I52" i="11" s="1"/>
  <c r="J52" i="11" s="1"/>
  <c r="G52" i="11"/>
  <c r="G51" i="11"/>
  <c r="I51" i="11" s="1"/>
  <c r="J51" i="11" s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M20" i="10"/>
  <c r="M21" i="10" s="1"/>
  <c r="N19" i="10"/>
  <c r="H64" i="10" s="1"/>
  <c r="M19" i="10"/>
  <c r="N18" i="10"/>
  <c r="M18" i="10"/>
  <c r="N17" i="10"/>
  <c r="M17" i="10"/>
  <c r="N16" i="10"/>
  <c r="M16" i="10"/>
  <c r="G61" i="10" s="1"/>
  <c r="I61" i="10" s="1"/>
  <c r="J61" i="10" s="1"/>
  <c r="N15" i="10"/>
  <c r="H60" i="10" s="1"/>
  <c r="M15" i="10"/>
  <c r="N14" i="10"/>
  <c r="H58" i="10" s="1"/>
  <c r="M14" i="10"/>
  <c r="N13" i="10"/>
  <c r="M13" i="10"/>
  <c r="G57" i="10" s="1"/>
  <c r="I57" i="10" s="1"/>
  <c r="J57" i="10" s="1"/>
  <c r="N12" i="10"/>
  <c r="M12" i="10"/>
  <c r="G56" i="10" s="1"/>
  <c r="I56" i="10" s="1"/>
  <c r="J56" i="10" s="1"/>
  <c r="N11" i="10"/>
  <c r="H55" i="10" s="1"/>
  <c r="I55" i="10" s="1"/>
  <c r="J55" i="10" s="1"/>
  <c r="M11" i="10"/>
  <c r="N10" i="10"/>
  <c r="H54" i="10" s="1"/>
  <c r="M10" i="10"/>
  <c r="N9" i="10"/>
  <c r="M9" i="10"/>
  <c r="N8" i="10"/>
  <c r="M8" i="10"/>
  <c r="G51" i="10" s="1"/>
  <c r="I51" i="10" s="1"/>
  <c r="J51" i="10" s="1"/>
  <c r="N7" i="10"/>
  <c r="M7" i="10"/>
  <c r="G64" i="10"/>
  <c r="I64" i="10" s="1"/>
  <c r="J64" i="10" s="1"/>
  <c r="H63" i="10"/>
  <c r="I63" i="10" s="1"/>
  <c r="J63" i="10" s="1"/>
  <c r="G63" i="10"/>
  <c r="H62" i="10"/>
  <c r="G62" i="10"/>
  <c r="I62" i="10" s="1"/>
  <c r="J62" i="10" s="1"/>
  <c r="H61" i="10"/>
  <c r="G60" i="10"/>
  <c r="I60" i="10" s="1"/>
  <c r="J60" i="10" s="1"/>
  <c r="H59" i="10"/>
  <c r="I59" i="10" s="1"/>
  <c r="J59" i="10" s="1"/>
  <c r="G59" i="10"/>
  <c r="G58" i="10"/>
  <c r="I58" i="10" s="1"/>
  <c r="J58" i="10" s="1"/>
  <c r="H57" i="10"/>
  <c r="H56" i="10"/>
  <c r="G55" i="10"/>
  <c r="G54" i="10"/>
  <c r="H53" i="10"/>
  <c r="I53" i="10" s="1"/>
  <c r="J53" i="10" s="1"/>
  <c r="G53" i="10"/>
  <c r="H52" i="10"/>
  <c r="G52" i="10"/>
  <c r="I52" i="10" s="1"/>
  <c r="J52" i="10" s="1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83" i="9"/>
  <c r="D80" i="9"/>
  <c r="D78" i="9"/>
  <c r="D77" i="9"/>
  <c r="D76" i="9"/>
  <c r="D75" i="9"/>
  <c r="D73" i="9"/>
  <c r="D72" i="9"/>
  <c r="D71" i="9"/>
  <c r="D7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82" i="9"/>
  <c r="D81" i="9"/>
  <c r="D79" i="9"/>
  <c r="D74" i="9"/>
  <c r="I57" i="13" l="1"/>
  <c r="J57" i="13" s="1"/>
  <c r="I57" i="11"/>
  <c r="J57" i="11" s="1"/>
  <c r="I54" i="12"/>
  <c r="J54" i="12" s="1"/>
  <c r="I54" i="10"/>
  <c r="J54" i="10" s="1"/>
  <c r="I61" i="13"/>
  <c r="J61" i="13" s="1"/>
  <c r="I64" i="14"/>
  <c r="J64" i="14" s="1"/>
  <c r="D84" i="9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F55" i="10" s="1"/>
  <c r="D54" i="10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F54" i="9" s="1"/>
  <c r="E53" i="9"/>
  <c r="E52" i="9"/>
  <c r="E51" i="9"/>
  <c r="E65" i="9" s="1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F62" i="8" s="1"/>
  <c r="D61" i="8"/>
  <c r="D60" i="8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E65" i="14"/>
  <c r="F64" i="14"/>
  <c r="F63" i="14"/>
  <c r="F62" i="14"/>
  <c r="F61" i="14"/>
  <c r="F60" i="14"/>
  <c r="L59" i="14"/>
  <c r="K59" i="14"/>
  <c r="F59" i="14"/>
  <c r="F57" i="14"/>
  <c r="F55" i="14"/>
  <c r="F54" i="14"/>
  <c r="L53" i="14"/>
  <c r="K53" i="14"/>
  <c r="F53" i="14"/>
  <c r="F52" i="14"/>
  <c r="F51" i="14"/>
  <c r="L64" i="14"/>
  <c r="L63" i="14"/>
  <c r="K63" i="14"/>
  <c r="L62" i="14"/>
  <c r="L61" i="14"/>
  <c r="L60" i="14"/>
  <c r="L58" i="14"/>
  <c r="L57" i="14"/>
  <c r="L56" i="14"/>
  <c r="L55" i="14"/>
  <c r="K55" i="14"/>
  <c r="L54" i="14"/>
  <c r="L52" i="14"/>
  <c r="E93" i="13"/>
  <c r="G93" i="13" s="1"/>
  <c r="E92" i="13"/>
  <c r="E90" i="13"/>
  <c r="E89" i="13"/>
  <c r="F89" i="13" s="1"/>
  <c r="F64" i="13"/>
  <c r="F62" i="13"/>
  <c r="F60" i="13"/>
  <c r="L59" i="13"/>
  <c r="F59" i="13"/>
  <c r="F58" i="13"/>
  <c r="F56" i="13"/>
  <c r="F54" i="13"/>
  <c r="L53" i="13"/>
  <c r="F53" i="13"/>
  <c r="F52" i="13"/>
  <c r="F51" i="13"/>
  <c r="E45" i="13"/>
  <c r="L64" i="13"/>
  <c r="L62" i="13"/>
  <c r="L61" i="13"/>
  <c r="K60" i="13"/>
  <c r="L58" i="13"/>
  <c r="L57" i="13"/>
  <c r="L56" i="13"/>
  <c r="L54" i="13"/>
  <c r="L52" i="13"/>
  <c r="E93" i="12"/>
  <c r="F93" i="12" s="1"/>
  <c r="E92" i="12"/>
  <c r="G92" i="12" s="1"/>
  <c r="E90" i="12"/>
  <c r="G90" i="12" s="1"/>
  <c r="E89" i="12"/>
  <c r="F89" i="12" s="1"/>
  <c r="F64" i="12"/>
  <c r="F63" i="12"/>
  <c r="F61" i="12"/>
  <c r="L59" i="12"/>
  <c r="F59" i="12"/>
  <c r="F57" i="12"/>
  <c r="F56" i="12"/>
  <c r="F55" i="12"/>
  <c r="L53" i="12"/>
  <c r="K53" i="12"/>
  <c r="F53" i="12"/>
  <c r="F51" i="12"/>
  <c r="D46" i="12"/>
  <c r="L64" i="12"/>
  <c r="K64" i="12"/>
  <c r="L63" i="12"/>
  <c r="L61" i="12"/>
  <c r="K61" i="12"/>
  <c r="L57" i="12"/>
  <c r="L56" i="12"/>
  <c r="K56" i="12"/>
  <c r="L55" i="12"/>
  <c r="K55" i="12"/>
  <c r="L52" i="12"/>
  <c r="L51" i="12"/>
  <c r="D94" i="11"/>
  <c r="E93" i="11"/>
  <c r="E92" i="11"/>
  <c r="G92" i="11" s="1"/>
  <c r="E90" i="11"/>
  <c r="F90" i="11" s="1"/>
  <c r="E89" i="11"/>
  <c r="F64" i="11"/>
  <c r="F62" i="11"/>
  <c r="F61" i="11"/>
  <c r="F60" i="11"/>
  <c r="K59" i="11"/>
  <c r="F59" i="11"/>
  <c r="F58" i="11"/>
  <c r="F56" i="11"/>
  <c r="F54" i="11"/>
  <c r="L53" i="11"/>
  <c r="F53" i="11"/>
  <c r="F52" i="11"/>
  <c r="L64" i="11"/>
  <c r="L63" i="11"/>
  <c r="L62" i="11"/>
  <c r="K62" i="11"/>
  <c r="L61" i="11"/>
  <c r="L60" i="11"/>
  <c r="L58" i="11"/>
  <c r="K58" i="11"/>
  <c r="L56" i="11"/>
  <c r="L55" i="11"/>
  <c r="L54" i="11"/>
  <c r="K54" i="11"/>
  <c r="L52" i="11"/>
  <c r="E93" i="10"/>
  <c r="E92" i="10"/>
  <c r="E90" i="10"/>
  <c r="G90" i="10" s="1"/>
  <c r="E89" i="10"/>
  <c r="F61" i="10"/>
  <c r="L59" i="10"/>
  <c r="F59" i="10"/>
  <c r="F58" i="10"/>
  <c r="L53" i="10"/>
  <c r="K53" i="10"/>
  <c r="F53" i="10"/>
  <c r="F51" i="10"/>
  <c r="D46" i="10"/>
  <c r="E45" i="10"/>
  <c r="F45" i="10" s="1"/>
  <c r="K64" i="10"/>
  <c r="L63" i="10"/>
  <c r="L61" i="10"/>
  <c r="L60" i="10"/>
  <c r="L58" i="10"/>
  <c r="L55" i="10"/>
  <c r="L52" i="10"/>
  <c r="E93" i="9"/>
  <c r="G93" i="9" s="1"/>
  <c r="E92" i="9"/>
  <c r="G92" i="9" s="1"/>
  <c r="E90" i="9"/>
  <c r="G90" i="9" s="1"/>
  <c r="E89" i="9"/>
  <c r="F64" i="9"/>
  <c r="F63" i="9"/>
  <c r="F58" i="9"/>
  <c r="F56" i="9"/>
  <c r="F55" i="9"/>
  <c r="L53" i="9"/>
  <c r="M21" i="9"/>
  <c r="E45" i="9" s="1"/>
  <c r="H64" i="9"/>
  <c r="L64" i="9" s="1"/>
  <c r="G64" i="9"/>
  <c r="K64" i="9" s="1"/>
  <c r="H63" i="9"/>
  <c r="L63" i="9" s="1"/>
  <c r="G63" i="9"/>
  <c r="H62" i="9"/>
  <c r="G62" i="9"/>
  <c r="H61" i="9"/>
  <c r="G61" i="9"/>
  <c r="H60" i="9"/>
  <c r="L60" i="9" s="1"/>
  <c r="G60" i="9"/>
  <c r="H58" i="9"/>
  <c r="L58" i="9" s="1"/>
  <c r="G58" i="9"/>
  <c r="K58" i="9" s="1"/>
  <c r="H57" i="9"/>
  <c r="L57" i="9" s="1"/>
  <c r="G57" i="9"/>
  <c r="H56" i="9"/>
  <c r="L56" i="9" s="1"/>
  <c r="G56" i="9"/>
  <c r="H55" i="9"/>
  <c r="L55" i="9" s="1"/>
  <c r="G55" i="9"/>
  <c r="K55" i="9" s="1"/>
  <c r="H54" i="9"/>
  <c r="L54" i="9" s="1"/>
  <c r="G54" i="9"/>
  <c r="G52" i="9"/>
  <c r="H51" i="9"/>
  <c r="G51" i="9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12" l="1"/>
  <c r="D94" i="13"/>
  <c r="G65" i="3"/>
  <c r="L56" i="8"/>
  <c r="F52" i="9"/>
  <c r="F55" i="7"/>
  <c r="F63" i="7"/>
  <c r="G92" i="7"/>
  <c r="F64" i="8"/>
  <c r="F59" i="9"/>
  <c r="F54" i="10"/>
  <c r="L51" i="3"/>
  <c r="L59" i="3"/>
  <c r="K53" i="7"/>
  <c r="K59" i="9"/>
  <c r="K62" i="7"/>
  <c r="D65" i="11"/>
  <c r="D65" i="13"/>
  <c r="F60" i="8"/>
  <c r="D94" i="9"/>
  <c r="F90" i="7"/>
  <c r="K62" i="8"/>
  <c r="E65" i="11"/>
  <c r="D65" i="14"/>
  <c r="F61" i="7"/>
  <c r="F51" i="9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F65" i="11" s="1"/>
  <c r="E65" i="13"/>
  <c r="F54" i="12"/>
  <c r="F59" i="8"/>
  <c r="D94" i="8"/>
  <c r="L56" i="10"/>
  <c r="L60" i="12"/>
  <c r="L55" i="13"/>
  <c r="F63" i="13"/>
  <c r="F65" i="13" s="1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M51" i="13"/>
  <c r="D94" i="7"/>
  <c r="I55" i="8"/>
  <c r="M55" i="8" s="1"/>
  <c r="N55" i="8" s="1"/>
  <c r="F92" i="12"/>
  <c r="K63" i="9"/>
  <c r="F90" i="8"/>
  <c r="I56" i="9"/>
  <c r="J56" i="9" s="1"/>
  <c r="F92" i="11"/>
  <c r="M59" i="14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K55" i="11"/>
  <c r="K51" i="9"/>
  <c r="I51" i="9"/>
  <c r="G45" i="9"/>
  <c r="H45" i="9" s="1"/>
  <c r="F45" i="9"/>
  <c r="I53" i="7"/>
  <c r="J53" i="7" s="1"/>
  <c r="K54" i="7"/>
  <c r="L51" i="10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M53" i="14"/>
  <c r="N53" i="14" s="1"/>
  <c r="H93" i="13"/>
  <c r="F66" i="3"/>
  <c r="K57" i="3"/>
  <c r="K53" i="3"/>
  <c r="D84" i="14"/>
  <c r="H92" i="11"/>
  <c r="F92" i="8"/>
  <c r="I59" i="9"/>
  <c r="J59" i="9" s="1"/>
  <c r="G45" i="10"/>
  <c r="H45" i="10" s="1"/>
  <c r="M58" i="11"/>
  <c r="N58" i="11" s="1"/>
  <c r="D84" i="11"/>
  <c r="M53" i="12"/>
  <c r="N53" i="12" s="1"/>
  <c r="F93" i="13"/>
  <c r="H93" i="10"/>
  <c r="I63" i="7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K56" i="10"/>
  <c r="D84" i="10"/>
  <c r="L54" i="12"/>
  <c r="D84" i="12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K52" i="12"/>
  <c r="G65" i="12"/>
  <c r="E43" i="12" s="1"/>
  <c r="L51" i="8"/>
  <c r="I62" i="8"/>
  <c r="I58" i="9"/>
  <c r="J58" i="9" s="1"/>
  <c r="K61" i="10"/>
  <c r="E44" i="11"/>
  <c r="E45" i="11"/>
  <c r="E91" i="11"/>
  <c r="E94" i="11" s="1"/>
  <c r="F94" i="11" s="1"/>
  <c r="K52" i="11"/>
  <c r="G65" i="14"/>
  <c r="E43" i="14" s="1"/>
  <c r="K51" i="14"/>
  <c r="K56" i="14"/>
  <c r="K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G89" i="9"/>
  <c r="K57" i="12"/>
  <c r="F93" i="7"/>
  <c r="I58" i="8"/>
  <c r="K54" i="10"/>
  <c r="K58" i="10"/>
  <c r="K63" i="10"/>
  <c r="K57" i="13"/>
  <c r="K62" i="13"/>
  <c r="K57" i="11"/>
  <c r="F89" i="9"/>
  <c r="K55" i="8"/>
  <c r="K59" i="10"/>
  <c r="K62" i="12"/>
  <c r="E91" i="7"/>
  <c r="E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K61" i="11"/>
  <c r="K56" i="9"/>
  <c r="K57" i="10"/>
  <c r="M64" i="10"/>
  <c r="N64" i="10" s="1"/>
  <c r="G92" i="10"/>
  <c r="H92" i="10" s="1"/>
  <c r="F92" i="10"/>
  <c r="K56" i="11"/>
  <c r="K51" i="13"/>
  <c r="G65" i="13"/>
  <c r="E43" i="13" s="1"/>
  <c r="K53" i="13"/>
  <c r="G92" i="13"/>
  <c r="H92" i="13" s="1"/>
  <c r="F92" i="13"/>
  <c r="G93" i="11"/>
  <c r="H93" i="11" s="1"/>
  <c r="F93" i="11"/>
  <c r="L58" i="12"/>
  <c r="G65" i="11"/>
  <c r="E43" i="11" s="1"/>
  <c r="K51" i="11"/>
  <c r="K53" i="11"/>
  <c r="K60" i="11"/>
  <c r="K63" i="12"/>
  <c r="K52" i="13"/>
  <c r="K54" i="13"/>
  <c r="K52" i="14"/>
  <c r="K57" i="14"/>
  <c r="K62" i="14"/>
  <c r="G65" i="9"/>
  <c r="E43" i="9" s="1"/>
  <c r="E91" i="10"/>
  <c r="E94" i="10" s="1"/>
  <c r="F94" i="10" s="1"/>
  <c r="K58" i="13"/>
  <c r="K63" i="13"/>
  <c r="F45" i="13"/>
  <c r="G45" i="13"/>
  <c r="H45" i="13" s="1"/>
  <c r="K59" i="13"/>
  <c r="M57" i="11"/>
  <c r="N57" i="11" s="1"/>
  <c r="K59" i="12"/>
  <c r="M60" i="10"/>
  <c r="N60" i="10" s="1"/>
  <c r="K64" i="11"/>
  <c r="F89" i="11"/>
  <c r="G89" i="11"/>
  <c r="K51" i="12"/>
  <c r="E91" i="12"/>
  <c r="E45" i="12"/>
  <c r="M59" i="12"/>
  <c r="N59" i="12" s="1"/>
  <c r="K64" i="13"/>
  <c r="M61" i="13"/>
  <c r="N61" i="13" s="1"/>
  <c r="F90" i="10"/>
  <c r="K54" i="12"/>
  <c r="K60" i="12"/>
  <c r="G90" i="13"/>
  <c r="F90" i="13"/>
  <c r="K54" i="14"/>
  <c r="K58" i="14"/>
  <c r="F90" i="9"/>
  <c r="F92" i="9"/>
  <c r="K56" i="13"/>
  <c r="E91" i="13"/>
  <c r="K61" i="13"/>
  <c r="L51" i="13"/>
  <c r="H65" i="13"/>
  <c r="M60" i="13"/>
  <c r="N60" i="13" s="1"/>
  <c r="K60" i="14"/>
  <c r="K64" i="14"/>
  <c r="G89" i="14"/>
  <c r="G93" i="14"/>
  <c r="H93" i="14" s="1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61" i="9" l="1"/>
  <c r="N61" i="9" s="1"/>
  <c r="M56" i="9"/>
  <c r="N56" i="9" s="1"/>
  <c r="F65" i="8"/>
  <c r="J58" i="8"/>
  <c r="E46" i="9"/>
  <c r="F46" i="9" s="1"/>
  <c r="J61" i="7"/>
  <c r="M58" i="3"/>
  <c r="N58" i="3" s="1"/>
  <c r="L65" i="13"/>
  <c r="M64" i="11"/>
  <c r="N64" i="11" s="1"/>
  <c r="F94" i="7"/>
  <c r="F65" i="12"/>
  <c r="F65" i="9"/>
  <c r="G91" i="9"/>
  <c r="H91" i="9" s="1"/>
  <c r="M63" i="7"/>
  <c r="N63" i="7" s="1"/>
  <c r="M59" i="9"/>
  <c r="N59" i="9" s="1"/>
  <c r="J62" i="9"/>
  <c r="F44" i="10"/>
  <c r="M57" i="10"/>
  <c r="N57" i="10" s="1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M51" i="10"/>
  <c r="H65" i="10"/>
  <c r="M54" i="9"/>
  <c r="N54" i="9" s="1"/>
  <c r="M53" i="3"/>
  <c r="N53" i="3" s="1"/>
  <c r="M60" i="8"/>
  <c r="N60" i="8" s="1"/>
  <c r="J55" i="8"/>
  <c r="H65" i="8"/>
  <c r="M51" i="3"/>
  <c r="N51" i="3" s="1"/>
  <c r="F44" i="14"/>
  <c r="M59" i="3"/>
  <c r="N59" i="3" s="1"/>
  <c r="F44" i="13"/>
  <c r="M54" i="12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M53" i="10"/>
  <c r="N53" i="10" s="1"/>
  <c r="M63" i="10"/>
  <c r="N63" i="10" s="1"/>
  <c r="E94" i="9"/>
  <c r="F94" i="9" s="1"/>
  <c r="M59" i="6"/>
  <c r="N51" i="8"/>
  <c r="M51" i="14"/>
  <c r="I65" i="14"/>
  <c r="J65" i="14" s="1"/>
  <c r="M58" i="14"/>
  <c r="N58" i="14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L51" i="7"/>
  <c r="L65" i="7" s="1"/>
  <c r="M58" i="8"/>
  <c r="N58" i="8" s="1"/>
  <c r="M57" i="7"/>
  <c r="N57" i="7" s="1"/>
  <c r="G91" i="7"/>
  <c r="H91" i="7" s="1"/>
  <c r="F91" i="7"/>
  <c r="M57" i="13"/>
  <c r="N57" i="13" s="1"/>
  <c r="F44" i="7"/>
  <c r="G44" i="7"/>
  <c r="H44" i="7" s="1"/>
  <c r="M64" i="13"/>
  <c r="N64" i="13" s="1"/>
  <c r="I65" i="11"/>
  <c r="J65" i="11" s="1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63" i="14"/>
  <c r="N63" i="14" s="1"/>
  <c r="M59" i="13"/>
  <c r="N59" i="13" s="1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M64" i="7"/>
  <c r="N64" i="7" s="1"/>
  <c r="M57" i="12"/>
  <c r="N57" i="12" s="1"/>
  <c r="M61" i="10"/>
  <c r="N61" i="10" s="1"/>
  <c r="M55" i="14"/>
  <c r="N55" i="14" s="1"/>
  <c r="M61" i="11"/>
  <c r="N61" i="11" s="1"/>
  <c r="E94" i="13"/>
  <c r="F94" i="13" s="1"/>
  <c r="M54" i="11"/>
  <c r="N54" i="11" s="1"/>
  <c r="M60" i="12"/>
  <c r="N60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K65" i="7"/>
  <c r="M62" i="12"/>
  <c r="N62" i="12" s="1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M57" i="14"/>
  <c r="N57" i="14" s="1"/>
  <c r="M63" i="12"/>
  <c r="N63" i="12" s="1"/>
  <c r="K65" i="12"/>
  <c r="H90" i="13"/>
  <c r="G94" i="11"/>
  <c r="H94" i="11" s="1"/>
  <c r="H89" i="11"/>
  <c r="M64" i="12"/>
  <c r="N64" i="12" s="1"/>
  <c r="M60" i="11"/>
  <c r="N60" i="11" s="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G91" i="12"/>
  <c r="E94" i="12"/>
  <c r="F94" i="12" s="1"/>
  <c r="F91" i="12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94" i="9" l="1"/>
  <c r="H94" i="9" s="1"/>
  <c r="I65" i="12"/>
  <c r="J65" i="12" s="1"/>
  <c r="G70" i="3"/>
  <c r="H70" i="3" s="1"/>
  <c r="G46" i="7"/>
  <c r="H46" i="7" s="1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M65" i="7" l="1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M50" i="4" l="1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<sst xmlns="http://schemas.openxmlformats.org/spreadsheetml/2006/main" count="1879" uniqueCount="189">
  <si>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</si>
  <si>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</si>
  <si>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</si>
  <si>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</si>
  <si>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</si>
  <si>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</si>
  <si>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</si>
  <si>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</si>
  <si>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</si>
  <si>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</si>
  <si>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</si>
  <si>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</si>
  <si>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</si>
  <si>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</si>
  <si>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</si>
  <si>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</si>
  <si>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</si>
  <si>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</si>
  <si>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</si>
  <si>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</si>
  <si>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</si>
  <si>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</si>
  <si>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</si>
  <si>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</si>
  <si>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</si>
  <si>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</si>
  <si>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</si>
  <si>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</si>
  <si>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</si>
  <si>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</si>
  <si>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</si>
  <si>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</si>
  <si>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</si>
  <si>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</si>
  <si>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</si>
  <si>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</si>
  <si>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</si>
  <si>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</si>
  <si>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</si>
  <si>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</si>
  <si>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</si>
  <si>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</si>
  <si>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</si>
  <si>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</si>
  <si>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</si>
  <si>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</si>
  <si>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</si>
  <si>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</si>
  <si>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</si>
  <si>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</si>
  <si>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</si>
  <si>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</si>
  <si>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</si>
  <si>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</si>
  <si>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</si>
  <si>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</si>
  <si>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</si>
  <si>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</si>
  <si>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</si>
  <si>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</si>
  <si>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</si>
  <si>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</si>
  <si>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</si>
  <si>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</si>
  <si>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</si>
  <si>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</si>
  <si>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</si>
  <si>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</si>
  <si>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</si>
  <si>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</si>
  <si>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</si>
  <si>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</si>
  <si>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</si>
  <si>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</si>
  <si>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</si>
  <si>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</si>
  <si>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</si>
  <si>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</si>
  <si>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</si>
  <si>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</si>
  <si>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</si>
  <si>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</si>
  <si>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</si>
  <si>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</si>
  <si>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</si>
  <si>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</si>
  <si>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</si>
  <si>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</si>
  <si>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</si>
  <si>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</si>
  <si>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</si>
  <si>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</si>
  <si>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</si>
  <si>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</si>
  <si>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</si>
  <si>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</si>
  <si>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</si>
  <si>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</si>
  <si>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</si>
  <si>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</si>
  <si>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</si>
  <si>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</si>
  <si>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</si>
  <si>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</si>
  <si>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</si>
  <si>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</si>
  <si>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</si>
  <si>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</si>
  <si>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</si>
  <si>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</si>
  <si>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</si>
  <si>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</si>
  <si>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</si>
  <si>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</si>
  <si>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</si>
  <si>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</si>
  <si>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</si>
  <si>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</si>
  <si>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</si>
  <si>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</si>
  <si>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</si>
  <si>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</si>
  <si>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</si>
  <si>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</si>
  <si>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</si>
  <si>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</si>
  <si>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</si>
  <si>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</si>
  <si>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</si>
  <si>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</si>
  <si>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</si>
  <si>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</si>
  <si>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</si>
  <si>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</si>
  <si>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</si>
  <si>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</si>
  <si>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</si>
  <si>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</si>
  <si>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</si>
  <si>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</si>
  <si>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</si>
  <si>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</si>
  <si>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</si>
  <si>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</si>
  <si>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</si>
  <si>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</si>
  <si>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</si>
  <si>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</si>
  <si>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</si>
  <si>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</si>
  <si>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</si>
  <si>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</si>
  <si>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</si>
  <si>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</si>
  <si>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</si>
  <si>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</si>
  <si>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</si>
  <si>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</si>
  <si>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</si>
  <si>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</si>
  <si>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</si>
  <si>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</si>
  <si>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</si>
  <si>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</si>
  <si>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</si>
  <si>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</si>
  <si>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</si>
  <si>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</si>
  <si>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</si>
  <si>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</si>
  <si>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</si>
  <si>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</si>
  <si>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</si>
  <si>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</si>
  <si>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</si>
  <si>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</si>
  <si>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</si>
  <si>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</si>
  <si>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</si>
  <si>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</si>
  <si>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</si>
  <si>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</si>
  <si>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</si>
  <si>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</si>
  <si>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</si>
  <si>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</si>
  <si>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</si>
  <si>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</si>
  <si>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DATA PENCAPAIAN — GLOBAL —  18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</si>
</sst>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12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52732840.017633915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46298944.143057562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9147709.5616427269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108179493.72233421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12662010.277213609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11329136.248939166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3658785.1833333322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-3362392.29050226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10899531.467627177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6723958.7045786381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-2093094.6390616298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9234535.6862741709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8634345.0141687486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6300995.6381066991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14769679.783823187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9864527.3468477372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2883806.9135829508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7525958.8257600321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99031784.160691559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-1113581.4930227052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-1544123.561490203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11805414.616155645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9147709.5616427362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40" zoomScaleNormal="100" workbookViewId="0">
      <selection activeCell="E43" sqref="E43:E45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42578125" customWidth="1"/>
    <col min="4" max="4" width="17.42578125" customWidth="1"/>
    <col min="5" max="5" width="14.7109375" customWidth="1"/>
    <col min="6" max="6" width="15.140625" bestFit="1" customWidth="1"/>
    <col min="7" max="7" width="16.85546875" customWidth="1"/>
    <col min="8" max="8" width="12.42578125" bestFit="1" customWidth="1"/>
    <col min="9" max="9" width="14.28515625" bestFit="1" customWidth="1"/>
    <col min="10" max="10" width="10.28515625" customWidth="1"/>
    <col min="11" max="11" width="12.7109375" bestFit="1" customWidth="1"/>
    <col min="12" max="12" width="11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12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273093421.39809698</v>
      </c>
      <c r="N8" s="11">
        <f>D22</f>
        <v>34137013.213969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361293635.19636798</v>
      </c>
      <c r="N9" s="11">
        <f>D13+D14</f>
        <v>122321335.081359</v>
      </c>
    </row>
    <row r="10" spans="2:14" x14ac:dyDescent="0.25">
      <c r="B10" s="74" t="s">
        <v>113</v>
      </c>
      <c r="C10" s="206">
        <v>232930580.84915301</v>
      </c>
      <c r="D10" s="206">
        <v>35717673.674698003</v>
      </c>
      <c r="E10" s="206">
        <v>95538262.629999995</v>
      </c>
      <c r="F10" s="206">
        <v>364186517.15385097</v>
      </c>
      <c r="H10" s="116"/>
      <c r="I10" s="116"/>
      <c r="J10" s="116"/>
      <c r="M10" s="11">
        <f>C15</f>
        <v>553253715.21678102</v>
      </c>
      <c r="N10" s="11">
        <f>D15</f>
        <v>15450178.822329</v>
      </c>
    </row>
    <row r="11" spans="2:14" x14ac:dyDescent="0.25">
      <c r="B11" s="74" t="s">
        <v>114</v>
      </c>
      <c r="C11" s="206">
        <v>197788540.816717</v>
      </c>
      <c r="D11" s="206">
        <v>58532970.422751002</v>
      </c>
      <c r="E11" s="206">
        <v>43437020.299999997</v>
      </c>
      <c r="F11" s="206">
        <v>299758531.53946799</v>
      </c>
      <c r="H11" s="116"/>
      <c r="I11" s="116"/>
      <c r="J11" s="116"/>
      <c r="M11" s="11">
        <f>C12</f>
        <v>215432433.479139</v>
      </c>
      <c r="N11" s="11">
        <f>D12</f>
        <v>21077997.699999999</v>
      </c>
    </row>
    <row r="12" spans="2:14" x14ac:dyDescent="0.25">
      <c r="B12" s="74" t="s">
        <v>185</v>
      </c>
      <c r="C12" s="206">
        <v>215432433.479139</v>
      </c>
      <c r="D12" s="206">
        <v>21077997.699999999</v>
      </c>
      <c r="E12" s="206" t="s">
        <v>168</v>
      </c>
      <c r="F12" s="206">
        <v>236510431.17913899</v>
      </c>
      <c r="H12" s="116"/>
      <c r="I12" s="116"/>
      <c r="J12" s="116"/>
      <c r="M12" s="11">
        <f>C25+C26</f>
        <v>231943798.64698201</v>
      </c>
      <c r="N12" s="11">
        <f>D25+D26</f>
        <v>75789406.465221003</v>
      </c>
    </row>
    <row r="13" spans="2:14" x14ac:dyDescent="0.25">
      <c r="B13" s="74" t="s">
        <v>70</v>
      </c>
      <c r="C13" s="206">
        <v>188382759.793291</v>
      </c>
      <c r="D13" s="206">
        <v>94238375.911494002</v>
      </c>
      <c r="E13" s="206">
        <v>40904922.479999997</v>
      </c>
      <c r="F13" s="206">
        <v>323526058.18478501</v>
      </c>
      <c r="H13" s="116"/>
      <c r="I13" s="116"/>
      <c r="J13" s="116"/>
      <c r="M13" s="11">
        <f>C17</f>
        <v>907537393.01042998</v>
      </c>
      <c r="N13" s="11">
        <f>D17</f>
        <v>69380882.629644006</v>
      </c>
    </row>
    <row r="14" spans="2:14" x14ac:dyDescent="0.25">
      <c r="B14" s="74" t="s">
        <v>115</v>
      </c>
      <c r="C14" s="206">
        <v>172910875.40307701</v>
      </c>
      <c r="D14" s="206">
        <v>28082959.169865001</v>
      </c>
      <c r="E14" s="206">
        <v>28998287.940000001</v>
      </c>
      <c r="F14" s="206">
        <v>229992122.51294199</v>
      </c>
      <c r="H14" s="116"/>
      <c r="I14" s="116"/>
      <c r="J14" s="116"/>
      <c r="M14" s="11">
        <f>C23</f>
        <v>298451877.04666603</v>
      </c>
      <c r="N14" s="11">
        <f>D23</f>
        <v>42651874.979944997</v>
      </c>
    </row>
    <row r="15" spans="2:14" x14ac:dyDescent="0.25">
      <c r="B15" s="84" t="s">
        <v>116</v>
      </c>
      <c r="C15" s="206">
        <v>553253715.21678102</v>
      </c>
      <c r="D15" s="206">
        <v>15450178.822329</v>
      </c>
      <c r="E15" s="206">
        <v>221572904.34</v>
      </c>
      <c r="F15" s="206">
        <v>790276798.37910998</v>
      </c>
      <c r="H15" s="116"/>
      <c r="I15" s="116"/>
      <c r="J15" s="116"/>
      <c r="M15" s="11">
        <f>C11</f>
        <v>197788540.816717</v>
      </c>
      <c r="N15" s="11">
        <f>D11</f>
        <v>58532970.422751002</v>
      </c>
    </row>
    <row r="16" spans="2:14" x14ac:dyDescent="0.25">
      <c r="B16" s="74" t="s">
        <v>119</v>
      </c>
      <c r="C16" s="206">
        <v>949776386.31378305</v>
      </c>
      <c r="D16" s="206">
        <v>3687063.3339979998</v>
      </c>
      <c r="E16" s="206">
        <v>3470270.24</v>
      </c>
      <c r="F16" s="206">
        <v>956933719.88778102</v>
      </c>
      <c r="H16" s="116"/>
      <c r="I16" s="116"/>
      <c r="J16" s="116"/>
      <c r="M16" s="11">
        <f>C24</f>
        <v>374025015.577838</v>
      </c>
      <c r="N16" s="11">
        <f>D24</f>
        <v>39839667.539916001</v>
      </c>
    </row>
    <row r="17" spans="2:14" x14ac:dyDescent="0.25">
      <c r="B17" s="74" t="s">
        <v>121</v>
      </c>
      <c r="C17" s="206">
        <v>907537393.01042998</v>
      </c>
      <c r="D17" s="206">
        <v>69380882.629644006</v>
      </c>
      <c r="E17" s="206">
        <v>801857679.27996802</v>
      </c>
      <c r="F17" s="206">
        <v>1778775954.920042</v>
      </c>
      <c r="H17" s="116"/>
      <c r="I17" s="116"/>
      <c r="J17" s="116"/>
      <c r="M17" s="11">
        <f>C10</f>
        <v>232930580.84915301</v>
      </c>
      <c r="N17" s="11">
        <f>D10</f>
        <v>35717673.674698003</v>
      </c>
    </row>
    <row r="18" spans="2:14" x14ac:dyDescent="0.25">
      <c r="B18" s="74" t="s">
        <v>123</v>
      </c>
      <c r="C18" s="206">
        <v>157254986.74780801</v>
      </c>
      <c r="D18" s="206">
        <v>18511770.979789</v>
      </c>
      <c r="E18" s="206">
        <v>3178378.44</v>
      </c>
      <c r="F18" s="206">
        <v>178945136.167597</v>
      </c>
      <c r="H18" s="116"/>
      <c r="I18" s="116"/>
      <c r="J18" s="116"/>
      <c r="M18" s="11">
        <f>C27</f>
        <v>573101679.14817798</v>
      </c>
      <c r="N18" s="11">
        <f>D27</f>
        <v>137206514.39118201</v>
      </c>
    </row>
    <row r="19" spans="2:14" x14ac:dyDescent="0.25">
      <c r="B19" s="74" t="s">
        <v>124</v>
      </c>
      <c r="C19" s="206">
        <v>38737213.299989</v>
      </c>
      <c r="D19" s="206">
        <v>94619529.726019993</v>
      </c>
      <c r="E19" s="206">
        <v>30681081.739999998</v>
      </c>
      <c r="F19" s="206">
        <v>164037824.766009</v>
      </c>
      <c r="H19" s="116"/>
      <c r="I19" s="116"/>
      <c r="J19" s="116"/>
      <c r="M19" s="11">
        <f>C18+C19</f>
        <v>195992200.04779702</v>
      </c>
      <c r="N19" s="11">
        <f>D18+D19</f>
        <v>113131300.705809</v>
      </c>
    </row>
    <row r="20" spans="2:14" x14ac:dyDescent="0.25">
      <c r="B20" s="74" t="s">
        <v>172</v>
      </c>
      <c r="C20" s="206">
        <v>92008319.599999994</v>
      </c>
      <c r="D20" s="206" t="s">
        <v>168</v>
      </c>
      <c r="E20" s="206">
        <v>6702702.5199999996</v>
      </c>
      <c r="F20" s="206">
        <v>98711022.120000005</v>
      </c>
      <c r="H20" s="116"/>
      <c r="I20" s="116"/>
      <c r="J20" s="116"/>
      <c r="M20" s="14">
        <f>IFERROR(C31,0)+IFERROR(C36,0)</f>
        <v>411000</v>
      </c>
      <c r="N20" s="10" t="s">
        <v>120</v>
      </c>
    </row>
    <row r="21" spans="2:14" x14ac:dyDescent="0.25">
      <c r="B21" s="74" t="s">
        <v>173</v>
      </c>
      <c r="C21" s="206">
        <v>176514768.24000001</v>
      </c>
      <c r="D21" s="206" t="s">
        <v>168</v>
      </c>
      <c r="E21" s="206">
        <v>9567567.3000000007</v>
      </c>
      <c r="F21" s="206">
        <v>186082335.53999999</v>
      </c>
      <c r="H21" s="116"/>
      <c r="I21" s="116"/>
      <c r="J21" s="116"/>
      <c r="M21" s="14">
        <f>IFERROR(C34,0)+IFERROR(C35,0)+M20</f>
        <v>403845398.95417601</v>
      </c>
      <c r="N21" s="10" t="s">
        <v>122</v>
      </c>
    </row>
    <row r="22" spans="2:14" x14ac:dyDescent="0.25">
      <c r="B22" s="74" t="s">
        <v>125</v>
      </c>
      <c r="C22" s="206">
        <v>273093421.39809698</v>
      </c>
      <c r="D22" s="206">
        <v>34137013.213969</v>
      </c>
      <c r="E22" s="206">
        <v>321857824.2899</v>
      </c>
      <c r="F22" s="206">
        <v>629088258.90196598</v>
      </c>
      <c r="H22" s="116"/>
      <c r="I22" s="116"/>
      <c r="J22" s="116"/>
    </row>
    <row r="23" spans="2:14" x14ac:dyDescent="0.25">
      <c r="B23" s="74" t="s">
        <v>126</v>
      </c>
      <c r="C23" s="206">
        <v>298451877.04666603</v>
      </c>
      <c r="D23" s="206">
        <v>42651874.979944997</v>
      </c>
      <c r="E23" s="206">
        <v>169825051.71959201</v>
      </c>
      <c r="F23" s="206">
        <v>510928803.74620301</v>
      </c>
      <c r="H23" s="116"/>
      <c r="I23" s="116"/>
      <c r="J23" s="116"/>
    </row>
    <row r="24" spans="2:14" x14ac:dyDescent="0.25">
      <c r="B24" s="74" t="s">
        <v>127</v>
      </c>
      <c r="C24" s="206">
        <v>374025015.577838</v>
      </c>
      <c r="D24" s="206">
        <v>39839667.539916001</v>
      </c>
      <c r="E24" s="206">
        <v>476972188.61950898</v>
      </c>
      <c r="F24" s="206">
        <v>890836871.73726296</v>
      </c>
      <c r="H24" s="116"/>
      <c r="I24" s="116"/>
      <c r="J24" s="116"/>
    </row>
    <row r="25" spans="2:14" x14ac:dyDescent="0.25">
      <c r="B25" s="74" t="s">
        <v>186</v>
      </c>
      <c r="C25" s="206">
        <v>152379647.977256</v>
      </c>
      <c r="D25" s="206">
        <v>3473604.9499949999</v>
      </c>
      <c r="E25" s="206">
        <v>37630269.799999997</v>
      </c>
      <c r="F25" s="206">
        <v>193483522.72725099</v>
      </c>
      <c r="H25" s="116"/>
      <c r="I25" s="116"/>
      <c r="J25" s="116"/>
    </row>
    <row r="26" spans="2:14" x14ac:dyDescent="0.25">
      <c r="B26" s="74" t="s">
        <v>187</v>
      </c>
      <c r="C26" s="206">
        <v>79564150.669725999</v>
      </c>
      <c r="D26" s="206">
        <v>72315801.515226007</v>
      </c>
      <c r="E26" s="206" t="s">
        <v>168</v>
      </c>
      <c r="F26" s="206">
        <v>151879952.18495199</v>
      </c>
      <c r="H26" s="116"/>
      <c r="I26" s="116"/>
      <c r="J26" s="116"/>
    </row>
    <row r="27" spans="2:14" x14ac:dyDescent="0.25">
      <c r="B27" s="74" t="s">
        <v>128</v>
      </c>
      <c r="C27" s="206">
        <v>573101679.14817798</v>
      </c>
      <c r="D27" s="206">
        <v>137206514.39118201</v>
      </c>
      <c r="E27" s="206">
        <v>10463243.48</v>
      </c>
      <c r="F27" s="206">
        <v>720771437.01935995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144789526.11382899</v>
      </c>
      <c r="G32" s="116"/>
      <c r="H32" s="116"/>
      <c r="I32" s="116"/>
    </row>
    <row r="33" spans="2:14" x14ac:dyDescent="0.25">
      <c r="B33" s="84" t="s">
        <v>133</v>
      </c>
      <c r="C33" s="206">
        <v>421060341.00550097</v>
      </c>
      <c r="G33" s="116"/>
      <c r="H33" s="116"/>
      <c r="I33" s="116"/>
    </row>
    <row r="34" spans="2:14" x14ac:dyDescent="0.25">
      <c r="B34" s="84" t="s">
        <v>134</v>
      </c>
      <c r="C34" s="205">
        <v>80494662.025224999</v>
      </c>
      <c r="G34" s="116"/>
      <c r="H34" s="116"/>
      <c r="I34" s="116"/>
    </row>
    <row r="35" spans="2:14" x14ac:dyDescent="0.25">
      <c r="B35" s="84" t="s">
        <v>135</v>
      </c>
      <c r="C35" s="206">
        <v>322939736.92895103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188</v>
      </c>
      <c r="C41" s="226"/>
      <c r="D41" s="227"/>
      <c r="E41" s="67" t="s">
        <v>138</v>
      </c>
      <c r="F41" s="73">
        <f ca="1">IF(MONTH(TODAY())=7,DAY(TODAY())/DAY(EOMONTH(TODAY(),0)),IF(MONTH(TODAY())&gt;7,1,0))</f>
        <v>0.58064516129032262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4683367378.2741461</v>
      </c>
      <c r="F43" s="44">
        <f>IFERROR(E43/D43,0)</f>
        <v>0.58926263429254733</v>
      </c>
      <c r="G43" s="118">
        <f>D43-E43</f>
        <v>3264476428.0735435</v>
      </c>
      <c r="H43" s="118">
        <f ca="1">IFERROR(G43/C3,0)</f>
        <v>272039702.33946198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765236815.62682295</v>
      </c>
      <c r="F44" s="44">
        <f>IFERROR(E44/D44,0)</f>
        <v>0.51610838271499326</v>
      </c>
      <c r="G44" s="118">
        <f>D44-E44</f>
        <v>717468835.46391702</v>
      </c>
      <c r="H44" s="118">
        <f ca="1">IFERROR(G44/C3,0)</f>
        <v>59789069.621993087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969695266.07350588</v>
      </c>
      <c r="F45" s="44">
        <f>IFERROR(E45/D45,0)</f>
        <v>0.52385836213166403</v>
      </c>
      <c r="G45" s="118">
        <f>D45-E45</f>
        <v>881368563.71372843</v>
      </c>
      <c r="H45" s="118">
        <f ca="1">IFERROR(G45/C3,0)</f>
        <v>73447380.309477374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6418299459.974474</v>
      </c>
      <c r="F46" s="43">
        <f>IFERROR(E46/D46,0)</f>
        <v>0.56891681150266071</v>
      </c>
      <c r="G46" s="119">
        <f>G43+G44+G45</f>
        <v>4863313827.2511883</v>
      </c>
      <c r="H46" s="119">
        <f ca="1">IFERROR(G46/C3,0)</f>
        <v>405276152.27093238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273093421.39809698</v>
      </c>
      <c r="H51" s="122">
        <f>N8</f>
        <v>34137013.213969</v>
      </c>
      <c r="I51" s="122">
        <f t="shared" ref="I51:I64" si="1">G51+H51</f>
        <v>307230434.61206597</v>
      </c>
      <c r="J51" s="61">
        <f t="shared" ref="J51:J64" si="2">IFERROR(I51/F51,0)</f>
        <v>0.54131239890057159</v>
      </c>
      <c r="K51" s="51">
        <f t="shared" ref="K51:M64" si="3">D51-G51</f>
        <v>218143755.72736645</v>
      </c>
      <c r="L51" s="51">
        <f t="shared" si="3"/>
        <v>42191664.860012449</v>
      </c>
      <c r="M51" s="51">
        <f t="shared" si="3"/>
        <v>260335420.58737892</v>
      </c>
      <c r="N51" s="51">
        <f ca="1">IFERROR(M51/C3,0)</f>
        <v>21694618.382281575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361293635.19636798</v>
      </c>
      <c r="H52" s="122">
        <f>N9</f>
        <v>122321335.081359</v>
      </c>
      <c r="I52" s="122">
        <f t="shared" si="1"/>
        <v>483614970.27772701</v>
      </c>
      <c r="J52" s="61">
        <f t="shared" si="2"/>
        <v>0.57660922845425611</v>
      </c>
      <c r="K52" s="54">
        <f t="shared" si="3"/>
        <v>296163524.65538168</v>
      </c>
      <c r="L52" s="54">
        <f t="shared" si="3"/>
        <v>58943721.799663305</v>
      </c>
      <c r="M52" s="54">
        <f t="shared" si="3"/>
        <v>355107246.45504498</v>
      </c>
      <c r="N52" s="54">
        <f ca="1">IFERROR(M52/C3,0)</f>
        <v>29592270.537920415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C20</f>
        <v>92008319.599999994</v>
      </c>
      <c r="H53" s="122">
        <f>IF(D20="",0,D20)</f>
        <v>0</v>
      </c>
      <c r="I53" s="122">
        <f>G53+H53</f>
        <v>92008319.599999994</v>
      </c>
      <c r="J53" s="61">
        <f>IFERROR(I53/F53,0)</f>
        <v>0.36957726312404759</v>
      </c>
      <c r="K53" s="54">
        <f>D53-G53</f>
        <v>156947254.18787572</v>
      </c>
      <c r="L53" s="54">
        <f>E53-H53</f>
        <v>0</v>
      </c>
      <c r="M53" s="54">
        <f>F53-I53</f>
        <v>156947254.18787572</v>
      </c>
      <c r="N53" s="54">
        <f ca="1">IFERROR(M53/C3,0)</f>
        <v>13078937.848989643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553253715.21678102</v>
      </c>
      <c r="H54" s="122">
        <f t="shared" ref="H54:H58" si="4">N10</f>
        <v>15450178.822329</v>
      </c>
      <c r="I54" s="122">
        <f t="shared" si="1"/>
        <v>568703894.03911006</v>
      </c>
      <c r="J54" s="61">
        <f t="shared" si="2"/>
        <v>0.72922895990141134</v>
      </c>
      <c r="K54" s="54">
        <f>D54-G54</f>
        <v>175133562.35712171</v>
      </c>
      <c r="L54" s="54">
        <f t="shared" si="3"/>
        <v>36032687.702264354</v>
      </c>
      <c r="M54" s="54">
        <f t="shared" si="3"/>
        <v>211166250.05938601</v>
      </c>
      <c r="N54" s="54">
        <f ca="1">IFERROR(M54/C3,0)</f>
        <v>17597187.504948836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215432433.479139</v>
      </c>
      <c r="H55" s="122">
        <f t="shared" si="4"/>
        <v>21077997.699999999</v>
      </c>
      <c r="I55" s="122">
        <f t="shared" si="1"/>
        <v>236510431.17913899</v>
      </c>
      <c r="J55" s="61">
        <f t="shared" si="2"/>
        <v>0.42799703729123778</v>
      </c>
      <c r="K55" s="54">
        <f t="shared" si="3"/>
        <v>266879744.99822637</v>
      </c>
      <c r="L55" s="54">
        <f t="shared" si="3"/>
        <v>49208114.399588957</v>
      </c>
      <c r="M55" s="54">
        <f t="shared" si="3"/>
        <v>316087859.39781535</v>
      </c>
      <c r="N55" s="54">
        <f ca="1">IFERROR(M55/C3,0)</f>
        <v>26340654.949817944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231943798.64698201</v>
      </c>
      <c r="H56" s="122">
        <f t="shared" si="4"/>
        <v>75789406.465221003</v>
      </c>
      <c r="I56" s="122">
        <f t="shared" si="1"/>
        <v>307733205.112203</v>
      </c>
      <c r="J56" s="61">
        <f t="shared" si="2"/>
        <v>0.48990843894641323</v>
      </c>
      <c r="K56" s="54">
        <f t="shared" si="3"/>
        <v>273248204.35610455</v>
      </c>
      <c r="L56" s="54">
        <f t="shared" si="3"/>
        <v>47162914.344541103</v>
      </c>
      <c r="M56" s="54">
        <f t="shared" si="3"/>
        <v>320411118.70064569</v>
      </c>
      <c r="N56" s="54">
        <f ca="1">IFERROR(M56/C3,0)</f>
        <v>26700926.558387142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907537393.01042998</v>
      </c>
      <c r="H57" s="122">
        <f t="shared" si="4"/>
        <v>69380882.629644006</v>
      </c>
      <c r="I57" s="122">
        <f t="shared" si="1"/>
        <v>976918275.64007401</v>
      </c>
      <c r="J57" s="61">
        <f t="shared" si="2"/>
        <v>0.84044482687995348</v>
      </c>
      <c r="K57" s="54">
        <f t="shared" si="3"/>
        <v>153708010.03828871</v>
      </c>
      <c r="L57" s="54">
        <f t="shared" si="3"/>
        <v>31756115.159014389</v>
      </c>
      <c r="M57" s="54">
        <f t="shared" si="3"/>
        <v>185464125.19730306</v>
      </c>
      <c r="N57" s="54">
        <f ca="1">IFERROR(M57/C3,0)</f>
        <v>15455343.766441921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298451877.04666603</v>
      </c>
      <c r="H58" s="122">
        <f t="shared" si="4"/>
        <v>42651874.979944997</v>
      </c>
      <c r="I58" s="122">
        <f>G58+H58</f>
        <v>341103752.02661103</v>
      </c>
      <c r="J58" s="61">
        <f>IFERROR(I58/F58,0)</f>
        <v>0.51080319546112773</v>
      </c>
      <c r="K58" s="54">
        <f t="shared" si="3"/>
        <v>264662293.68742275</v>
      </c>
      <c r="L58" s="54">
        <f t="shared" si="3"/>
        <v>62013159.77562549</v>
      </c>
      <c r="M58" s="54">
        <f t="shared" si="3"/>
        <v>326675453.46304828</v>
      </c>
      <c r="N58" s="54">
        <f ca="1">IFERROR(M58/C3,0)</f>
        <v>27222954.455254022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C21</f>
        <v>176514768.24000001</v>
      </c>
      <c r="H59" s="122">
        <f>IF(D21="",0,D21)</f>
        <v>0</v>
      </c>
      <c r="I59" s="122">
        <f>G59+H59</f>
        <v>176514768.24000001</v>
      </c>
      <c r="J59" s="61">
        <f>IFERROR(I59/F59,0)</f>
        <v>0.41064348773145348</v>
      </c>
      <c r="K59" s="54">
        <f>D59-G59</f>
        <v>253334416.06128496</v>
      </c>
      <c r="L59" s="54">
        <f>E59-H59</f>
        <v>0</v>
      </c>
      <c r="M59" s="54">
        <f>F59-I59</f>
        <v>253334416.06128496</v>
      </c>
      <c r="N59" s="54">
        <f ca="1">IFERROR(M59/C3,0)</f>
        <v>21111201.338440415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197788540.816717</v>
      </c>
      <c r="H60" s="122">
        <f t="shared" ref="H60:H64" si="5">N15</f>
        <v>58532970.422751002</v>
      </c>
      <c r="I60" s="122">
        <f t="shared" si="1"/>
        <v>256321511.23946801</v>
      </c>
      <c r="J60" s="61">
        <f t="shared" si="2"/>
        <v>0.405325389227851</v>
      </c>
      <c r="K60" s="54">
        <f t="shared" si="3"/>
        <v>316932570.61013103</v>
      </c>
      <c r="L60" s="54">
        <f t="shared" si="3"/>
        <v>59130461.659415074</v>
      </c>
      <c r="M60" s="54">
        <f t="shared" si="3"/>
        <v>376063032.26954615</v>
      </c>
      <c r="N60" s="54">
        <f ca="1">IFERROR(M60/C3,0)</f>
        <v>31338586.022462178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374025015.577838</v>
      </c>
      <c r="H61" s="122">
        <f t="shared" si="5"/>
        <v>39839667.539916001</v>
      </c>
      <c r="I61" s="122">
        <f t="shared" si="1"/>
        <v>413864683.11775398</v>
      </c>
      <c r="J61" s="61">
        <f t="shared" si="2"/>
        <v>0.53763243469234423</v>
      </c>
      <c r="K61" s="54">
        <f t="shared" si="3"/>
        <v>324820160.66176301</v>
      </c>
      <c r="L61" s="54">
        <f t="shared" si="3"/>
        <v>31106293.086294822</v>
      </c>
      <c r="M61" s="54">
        <f t="shared" si="3"/>
        <v>355926453.74805784</v>
      </c>
      <c r="N61" s="54">
        <f ca="1">IFERROR(M61/C3,0)</f>
        <v>29660537.812338155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232930580.84915301</v>
      </c>
      <c r="H62" s="122">
        <f t="shared" si="5"/>
        <v>35717673.674698003</v>
      </c>
      <c r="I62" s="122">
        <f t="shared" si="1"/>
        <v>268648254.52385104</v>
      </c>
      <c r="J62" s="61">
        <f t="shared" si="2"/>
        <v>0.50667165980163975</v>
      </c>
      <c r="K62" s="54">
        <f t="shared" si="3"/>
        <v>248939783.36821309</v>
      </c>
      <c r="L62" s="54">
        <f t="shared" si="3"/>
        <v>12633554.981367789</v>
      </c>
      <c r="M62" s="54">
        <f t="shared" si="3"/>
        <v>261573338.34958088</v>
      </c>
      <c r="N62" s="54">
        <f ca="1">IFERROR(M62/C3,0)</f>
        <v>21797778.195798408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573101679.14817798</v>
      </c>
      <c r="H63" s="122">
        <f t="shared" si="5"/>
        <v>137206514.39118201</v>
      </c>
      <c r="I63" s="122">
        <f t="shared" si="1"/>
        <v>710308193.53936005</v>
      </c>
      <c r="J63" s="61">
        <f t="shared" si="2"/>
        <v>0.68816821677993745</v>
      </c>
      <c r="K63" s="54">
        <f t="shared" si="3"/>
        <v>132953249.84462249</v>
      </c>
      <c r="L63" s="54">
        <f t="shared" si="3"/>
        <v>188910889.22245431</v>
      </c>
      <c r="M63" s="54">
        <f t="shared" si="3"/>
        <v>321864139.06707668</v>
      </c>
      <c r="N63" s="54">
        <f ca="1">IFERROR(M63/C3,0)</f>
        <v>26822011.588923056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195992200.04779702</v>
      </c>
      <c r="H64" s="122">
        <f t="shared" si="5"/>
        <v>113131300.705809</v>
      </c>
      <c r="I64" s="122">
        <f t="shared" si="1"/>
        <v>309123500.75360602</v>
      </c>
      <c r="J64" s="61">
        <f t="shared" si="2"/>
        <v>0.52383811331490548</v>
      </c>
      <c r="K64" s="54">
        <f t="shared" si="3"/>
        <v>182609897.51974016</v>
      </c>
      <c r="L64" s="54">
        <f t="shared" si="3"/>
        <v>98379258.473674983</v>
      </c>
      <c r="M64" s="54">
        <f t="shared" si="3"/>
        <v>280989155.99341518</v>
      </c>
      <c r="N64" s="54">
        <f ca="1">IFERROR(M64/C3,0)</f>
        <v>23415762.999451265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4683367378.2741461</v>
      </c>
      <c r="H65" s="152">
        <f>SUM(H51:H64)</f>
        <v>765236815.62682295</v>
      </c>
      <c r="I65" s="152">
        <f>SUM(I51:I64)</f>
        <v>5448604193.9009686</v>
      </c>
      <c r="J65" s="153">
        <f>IFERROR(I65/F65,0)</f>
        <v>0.57776105395463839</v>
      </c>
      <c r="K65" s="154">
        <f>SUM(K51:K64)</f>
        <v>3264476428.0735431</v>
      </c>
      <c r="L65" s="154">
        <f>SUM(L51:L64)</f>
        <v>717468835.46391702</v>
      </c>
      <c r="M65" s="154">
        <f>SUM(M51:M64)</f>
        <v>3981945263.5374594</v>
      </c>
      <c r="N65" s="154">
        <f ca="1">IFERROR(M65/C3,0)</f>
        <v>331828771.96145493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IF(E22="",0,E22)</f>
        <v>321857824.2899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IF(E13="",0,E13)+IF(E14="",0,E14)</f>
        <v>69903210.420000002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IF(E20="",0,E20)</f>
        <v>6702702.5199999996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IF(E15="",0,E15)</f>
        <v>221572904.34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IF(E25="",0,E25)+IF(E26="",0,E26)</f>
        <v>37630269.799999997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IF(E17="",0,E17)</f>
        <v>801857679.27996802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IF(E23="",0,E23)</f>
        <v>169825051.71959201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IF(E21="",0,E21)</f>
        <v>9567567.3000000007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43437020.299999997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IF(E24="",0,E24)</f>
        <v>476972188.61950898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95538262.629999995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10463243.48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IF(E18="",0,E18)+IF(E19="",0,E19)</f>
        <v>33859460.18</v>
      </c>
    </row>
    <row r="84" spans="2:9" ht="20.100000000000001" customHeight="1" x14ac:dyDescent="0.25">
      <c r="B84" s="57" t="s">
        <v>152</v>
      </c>
      <c r="C84" s="58"/>
      <c r="D84" s="129">
        <f>SUM(D70:D83)</f>
        <v>2299187384.8789692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144789526.11382899</v>
      </c>
      <c r="F89" s="61">
        <f t="shared" ref="F89:F94" si="7">IFERROR(E89/D89,0)</f>
        <v>0.49393136239363167</v>
      </c>
      <c r="G89" s="125">
        <f>D89-E89</f>
        <v>148347409.77978817</v>
      </c>
      <c r="H89" s="125">
        <f ca="1">IFERROR(G89/C3,0)</f>
        <v>12362284.148315681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421060341.00550097</v>
      </c>
      <c r="F90" s="61">
        <f t="shared" si="7"/>
        <v>0.96476587888049792</v>
      </c>
      <c r="G90" s="126">
        <f>D90-E90</f>
        <v>15377503.888116181</v>
      </c>
      <c r="H90" s="126">
        <f ca="1">IFERROR(G90/C3,0)</f>
        <v>1281458.6573430151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403845398.95417601</v>
      </c>
      <c r="F91" s="61">
        <f t="shared" si="7"/>
        <v>0.36009749655092355</v>
      </c>
      <c r="G91" s="125">
        <f>D91-E91</f>
        <v>717643650.04582405</v>
      </c>
      <c r="H91" s="125">
        <f ca="1">IFERROR(G91/C3,0)</f>
        <v>59803637.503818668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969695266.07350588</v>
      </c>
      <c r="F94" s="43">
        <f t="shared" si="7"/>
        <v>0.52385836213166403</v>
      </c>
      <c r="G94" s="119">
        <f>SUM(G89:G93)</f>
        <v>881368563.71372843</v>
      </c>
      <c r="H94" s="119">
        <f ca="1">IFERROR(G94/C3,0)</f>
        <v>73447380.309477374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TARGETS!R9</f>
        <v>0</v>
      </c>
      <c r="E55" s="127">
        <f>TARGETS!S9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TARGETS!R10</f>
        <v>0</v>
      </c>
      <c r="E56" s="128">
        <f>TARGETS!S10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TARGETS!T9</f>
        <v>0</v>
      </c>
      <c r="E55" s="127">
        <f>TARGETS!U9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TARGETS!T10</f>
        <v>0</v>
      </c>
      <c r="E56" s="128">
        <f>TARGETS!U10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TARGETS!V9</f>
        <v>0</v>
      </c>
      <c r="E55" s="127">
        <f>TARGETS!W9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TARGETS!V10</f>
        <v>0</v>
      </c>
      <c r="E56" s="128">
        <f>TARGETS!W10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TARGETS!X9</f>
        <v>0</v>
      </c>
      <c r="E55" s="127">
        <f>TARGETS!Y9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TARGETS!X10</f>
        <v>0</v>
      </c>
      <c r="E56" s="128">
        <f>TARGETS!Y10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TARGETS!Z9</f>
        <v>0</v>
      </c>
      <c r="E55" s="127"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TARGETS!Z10</f>
        <v>0</v>
      </c>
      <c r="E56" s="128"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2026-07-18T01:18:36Z</dcterms:modified>
  <dc:language>en-US</dc:language>
</cp:coreProperties>
</file>