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-105" yWindow="-105" windowWidth="19425" windowHeight="10305" tabRatio="500" firstSheet="1" activeTab="8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3" i="9" l="1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84" i="9" s="1"/>
  <c r="D74" i="8" l="1"/>
  <c r="D84" i="8"/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6" i="14" s="1"/>
  <c r="D43" i="14"/>
  <c r="D64" i="14"/>
  <c r="D63" i="14"/>
  <c r="D62" i="14"/>
  <c r="D61" i="14"/>
  <c r="D60" i="14"/>
  <c r="D59" i="14"/>
  <c r="D58" i="14"/>
  <c r="F58" i="14" s="1"/>
  <c r="D57" i="14"/>
  <c r="D56" i="14"/>
  <c r="F56" i="14" s="1"/>
  <c r="D55" i="14"/>
  <c r="D54" i="14"/>
  <c r="D53" i="14"/>
  <c r="D52" i="14"/>
  <c r="D51" i="14"/>
  <c r="F41" i="14"/>
  <c r="D93" i="13"/>
  <c r="D92" i="13"/>
  <c r="D94" i="13" s="1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D64" i="13"/>
  <c r="D63" i="13"/>
  <c r="D62" i="13"/>
  <c r="D61" i="13"/>
  <c r="F61" i="13" s="1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94" i="12" s="1"/>
  <c r="D45" i="12"/>
  <c r="D44" i="12"/>
  <c r="D43" i="12"/>
  <c r="E64" i="12"/>
  <c r="E63" i="12"/>
  <c r="E62" i="12"/>
  <c r="F62" i="12" s="1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F60" i="12" s="1"/>
  <c r="D59" i="12"/>
  <c r="D58" i="12"/>
  <c r="F58" i="12" s="1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F63" i="11" s="1"/>
  <c r="D62" i="11"/>
  <c r="D61" i="11"/>
  <c r="D60" i="11"/>
  <c r="D59" i="11"/>
  <c r="D58" i="11"/>
  <c r="D57" i="11"/>
  <c r="D56" i="11"/>
  <c r="D55" i="11"/>
  <c r="F55" i="11" s="1"/>
  <c r="D54" i="11"/>
  <c r="D53" i="11"/>
  <c r="D52" i="11"/>
  <c r="D51" i="11"/>
  <c r="F41" i="11"/>
  <c r="D93" i="10"/>
  <c r="D92" i="10"/>
  <c r="D91" i="10"/>
  <c r="D94" i="10" s="1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D61" i="10"/>
  <c r="D60" i="10"/>
  <c r="F60" i="10" s="1"/>
  <c r="D59" i="10"/>
  <c r="D58" i="10"/>
  <c r="D57" i="10"/>
  <c r="D56" i="10"/>
  <c r="D55" i="10"/>
  <c r="D54" i="10"/>
  <c r="F54" i="10" s="1"/>
  <c r="D53" i="10"/>
  <c r="D52" i="10"/>
  <c r="D65" i="10" s="1"/>
  <c r="D51" i="10"/>
  <c r="F41" i="10"/>
  <c r="D93" i="9"/>
  <c r="D92" i="9"/>
  <c r="D91" i="9"/>
  <c r="D90" i="9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F52" i="9" s="1"/>
  <c r="E51" i="9"/>
  <c r="E65" i="9" s="1"/>
  <c r="D64" i="9"/>
  <c r="D63" i="9"/>
  <c r="D62" i="9"/>
  <c r="D61" i="9"/>
  <c r="D60" i="9"/>
  <c r="F60" i="9" s="1"/>
  <c r="D59" i="9"/>
  <c r="F59" i="9" s="1"/>
  <c r="D58" i="9"/>
  <c r="D57" i="9"/>
  <c r="F57" i="9" s="1"/>
  <c r="D56" i="9"/>
  <c r="D55" i="9"/>
  <c r="D54" i="9"/>
  <c r="D53" i="9"/>
  <c r="F53" i="9" s="1"/>
  <c r="D52" i="9"/>
  <c r="D51" i="9"/>
  <c r="F41" i="9"/>
  <c r="D93" i="8"/>
  <c r="D92" i="8"/>
  <c r="D91" i="8"/>
  <c r="D90" i="8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F64" i="8" s="1"/>
  <c r="D63" i="8"/>
  <c r="F63" i="8" s="1"/>
  <c r="D62" i="8"/>
  <c r="F62" i="8" s="1"/>
  <c r="D61" i="8"/>
  <c r="D60" i="8"/>
  <c r="F60" i="8" s="1"/>
  <c r="D59" i="8"/>
  <c r="D58" i="8"/>
  <c r="D57" i="8"/>
  <c r="D56" i="8"/>
  <c r="D55" i="8"/>
  <c r="F55" i="8" s="1"/>
  <c r="D54" i="8"/>
  <c r="F54" i="8" s="1"/>
  <c r="D53" i="8"/>
  <c r="D52" i="8"/>
  <c r="D51" i="8"/>
  <c r="F41" i="8"/>
  <c r="D93" i="7"/>
  <c r="D92" i="7"/>
  <c r="G92" i="7" s="1"/>
  <c r="D91" i="7"/>
  <c r="D90" i="7"/>
  <c r="D89" i="7"/>
  <c r="D45" i="7"/>
  <c r="D44" i="7"/>
  <c r="D43" i="7"/>
  <c r="E64" i="7"/>
  <c r="E63" i="7"/>
  <c r="F63" i="7" s="1"/>
  <c r="E62" i="7"/>
  <c r="E61" i="7"/>
  <c r="E60" i="7"/>
  <c r="E59" i="7"/>
  <c r="E58" i="7"/>
  <c r="E57" i="7"/>
  <c r="E56" i="7"/>
  <c r="E55" i="7"/>
  <c r="F55" i="7" s="1"/>
  <c r="E54" i="7"/>
  <c r="E53" i="7"/>
  <c r="E52" i="7"/>
  <c r="E51" i="7"/>
  <c r="D64" i="7"/>
  <c r="D63" i="7"/>
  <c r="D62" i="7"/>
  <c r="D61" i="7"/>
  <c r="D60" i="7"/>
  <c r="F60" i="7" s="1"/>
  <c r="D59" i="7"/>
  <c r="F59" i="7" s="1"/>
  <c r="D58" i="7"/>
  <c r="D57" i="7"/>
  <c r="D56" i="7"/>
  <c r="D55" i="7"/>
  <c r="D54" i="7"/>
  <c r="D53" i="7"/>
  <c r="D52" i="7"/>
  <c r="F52" i="7" s="1"/>
  <c r="D51" i="7"/>
  <c r="D94" i="14"/>
  <c r="E93" i="14"/>
  <c r="F93" i="14" s="1"/>
  <c r="E92" i="14"/>
  <c r="F92" i="14" s="1"/>
  <c r="E90" i="14"/>
  <c r="G90" i="14" s="1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F64" i="14"/>
  <c r="F63" i="14"/>
  <c r="F62" i="14"/>
  <c r="F61" i="14"/>
  <c r="F60" i="14"/>
  <c r="H59" i="14"/>
  <c r="L59" i="14" s="1"/>
  <c r="G59" i="14"/>
  <c r="K59" i="14" s="1"/>
  <c r="F59" i="14"/>
  <c r="F57" i="14"/>
  <c r="F55" i="14"/>
  <c r="F54" i="14"/>
  <c r="H53" i="14"/>
  <c r="L53" i="14" s="1"/>
  <c r="G53" i="14"/>
  <c r="K53" i="14" s="1"/>
  <c r="F53" i="14"/>
  <c r="F52" i="14"/>
  <c r="F51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0" i="13"/>
  <c r="H59" i="13"/>
  <c r="L59" i="13" s="1"/>
  <c r="G59" i="13"/>
  <c r="F59" i="13"/>
  <c r="F58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1" i="12"/>
  <c r="H59" i="12"/>
  <c r="L59" i="12" s="1"/>
  <c r="G59" i="12"/>
  <c r="F59" i="12"/>
  <c r="F57" i="12"/>
  <c r="F56" i="12"/>
  <c r="F55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M15" i="12"/>
  <c r="G60" i="12" s="1"/>
  <c r="N14" i="12"/>
  <c r="H58" i="12" s="1"/>
  <c r="M14" i="12"/>
  <c r="G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5" i="11"/>
  <c r="F64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E93" i="10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H59" i="10"/>
  <c r="L59" i="10" s="1"/>
  <c r="G59" i="10"/>
  <c r="F59" i="10"/>
  <c r="F58" i="10"/>
  <c r="F55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F64" i="9"/>
  <c r="F63" i="9"/>
  <c r="H59" i="9"/>
  <c r="G59" i="9"/>
  <c r="K59" i="9" s="1"/>
  <c r="F58" i="9"/>
  <c r="F56" i="9"/>
  <c r="F55" i="9"/>
  <c r="F54" i="9"/>
  <c r="H53" i="9"/>
  <c r="L53" i="9" s="1"/>
  <c r="G53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M8" i="9"/>
  <c r="G51" i="9" s="1"/>
  <c r="N7" i="9"/>
  <c r="M7" i="9"/>
  <c r="E93" i="8"/>
  <c r="E92" i="8"/>
  <c r="E90" i="8"/>
  <c r="E89" i="8"/>
  <c r="G89" i="8" s="1"/>
  <c r="H59" i="8"/>
  <c r="G59" i="8"/>
  <c r="H53" i="8"/>
  <c r="L53" i="8" s="1"/>
  <c r="G53" i="8"/>
  <c r="F53" i="8"/>
  <c r="F52" i="8"/>
  <c r="F51" i="8"/>
  <c r="M20" i="8"/>
  <c r="M21" i="8" s="1"/>
  <c r="E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N16" i="8"/>
  <c r="H61" i="8" s="1"/>
  <c r="M16" i="8"/>
  <c r="G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E92" i="7"/>
  <c r="F92" i="7" s="1"/>
  <c r="E90" i="7"/>
  <c r="E89" i="7"/>
  <c r="H59" i="7"/>
  <c r="G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D94" i="9" l="1"/>
  <c r="F90" i="7"/>
  <c r="K62" i="8"/>
  <c r="E65" i="11"/>
  <c r="D65" i="14"/>
  <c r="F61" i="7"/>
  <c r="F51" i="9"/>
  <c r="F65" i="9" s="1"/>
  <c r="F62" i="10"/>
  <c r="L57" i="11"/>
  <c r="K58" i="12"/>
  <c r="F90" i="14"/>
  <c r="F57" i="10"/>
  <c r="F56" i="8"/>
  <c r="D65" i="9"/>
  <c r="L64" i="10"/>
  <c r="G93" i="10"/>
  <c r="K63" i="11"/>
  <c r="L63" i="13"/>
  <c r="F53" i="7"/>
  <c r="F57" i="11"/>
  <c r="E65" i="13"/>
  <c r="F54" i="12"/>
  <c r="F59" i="8"/>
  <c r="D94" i="8"/>
  <c r="L56" i="10"/>
  <c r="L60" i="12"/>
  <c r="L55" i="13"/>
  <c r="F63" i="13"/>
  <c r="L51" i="9"/>
  <c r="F57" i="13"/>
  <c r="F61" i="8"/>
  <c r="K57" i="8"/>
  <c r="K61" i="8"/>
  <c r="K59" i="8"/>
  <c r="G92" i="8"/>
  <c r="F58" i="8"/>
  <c r="F93" i="8"/>
  <c r="G90" i="8"/>
  <c r="F45" i="8"/>
  <c r="L61" i="8"/>
  <c r="F57" i="8"/>
  <c r="F65" i="8" s="1"/>
  <c r="E65" i="8"/>
  <c r="D46" i="8"/>
  <c r="D65" i="8"/>
  <c r="K63" i="8"/>
  <c r="L59" i="9"/>
  <c r="K62" i="10"/>
  <c r="G90" i="11"/>
  <c r="K55" i="13"/>
  <c r="G89" i="13"/>
  <c r="F62" i="7"/>
  <c r="L59" i="8"/>
  <c r="L61" i="9"/>
  <c r="L57" i="10"/>
  <c r="F52" i="12"/>
  <c r="F65" i="12" s="1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N62" i="9" s="1"/>
  <c r="K60" i="10"/>
  <c r="F65" i="14"/>
  <c r="E65" i="7"/>
  <c r="I51" i="13"/>
  <c r="I61" i="13"/>
  <c r="D94" i="7"/>
  <c r="I55" i="8"/>
  <c r="M55" i="8" s="1"/>
  <c r="N55" i="8" s="1"/>
  <c r="F92" i="12"/>
  <c r="F65" i="13"/>
  <c r="K63" i="9"/>
  <c r="F90" i="8"/>
  <c r="I56" i="9"/>
  <c r="J56" i="9" s="1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H51" i="10"/>
  <c r="L51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65" i="10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H45" i="10" s="1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H92" i="9"/>
  <c r="H90" i="11"/>
  <c r="H89" i="8"/>
  <c r="H93" i="8"/>
  <c r="H90" i="8"/>
  <c r="H90" i="10"/>
  <c r="H89" i="12"/>
  <c r="H92" i="12"/>
  <c r="H90" i="14"/>
  <c r="L57" i="8"/>
  <c r="I57" i="8"/>
  <c r="L56" i="7"/>
  <c r="I56" i="7"/>
  <c r="G45" i="7"/>
  <c r="H45" i="7" s="1"/>
  <c r="F45" i="7"/>
  <c r="K60" i="8"/>
  <c r="I60" i="8"/>
  <c r="J60" i="8" s="1"/>
  <c r="K57" i="9"/>
  <c r="I57" i="9"/>
  <c r="J57" i="9" s="1"/>
  <c r="K52" i="7"/>
  <c r="I57" i="7"/>
  <c r="I59" i="7"/>
  <c r="J59" i="7" s="1"/>
  <c r="K59" i="7"/>
  <c r="I61" i="9"/>
  <c r="J61" i="9" s="1"/>
  <c r="K61" i="9"/>
  <c r="I52" i="12"/>
  <c r="K52" i="12"/>
  <c r="G65" i="12"/>
  <c r="E43" i="12" s="1"/>
  <c r="L51" i="8"/>
  <c r="I62" i="8"/>
  <c r="I58" i="9"/>
  <c r="J58" i="9" s="1"/>
  <c r="K61" i="10"/>
  <c r="I61" i="10"/>
  <c r="E44" i="11"/>
  <c r="H51" i="11"/>
  <c r="E45" i="11"/>
  <c r="E91" i="11"/>
  <c r="E94" i="11" s="1"/>
  <c r="F94" i="11" s="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94" i="14" s="1"/>
  <c r="F94" i="14" s="1"/>
  <c r="E45" i="14"/>
  <c r="I64" i="8"/>
  <c r="J64" i="8" s="1"/>
  <c r="I51" i="7"/>
  <c r="K52" i="8"/>
  <c r="I61" i="8"/>
  <c r="K60" i="9"/>
  <c r="I60" i="9"/>
  <c r="J60" i="9" s="1"/>
  <c r="M61" i="9"/>
  <c r="N61" i="9" s="1"/>
  <c r="G89" i="9"/>
  <c r="K57" i="12"/>
  <c r="I57" i="12"/>
  <c r="F93" i="7"/>
  <c r="I58" i="8"/>
  <c r="J58" i="8" s="1"/>
  <c r="M56" i="9"/>
  <c r="N56" i="9" s="1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K59" i="10"/>
  <c r="I59" i="10"/>
  <c r="J59" i="10" s="1"/>
  <c r="K62" i="12"/>
  <c r="I62" i="12"/>
  <c r="E91" i="7"/>
  <c r="E94" i="7" s="1"/>
  <c r="F94" i="7" s="1"/>
  <c r="G65" i="8"/>
  <c r="E43" i="8" s="1"/>
  <c r="K51" i="8"/>
  <c r="I63" i="8"/>
  <c r="J63" i="8" s="1"/>
  <c r="I53" i="9"/>
  <c r="J53" i="9" s="1"/>
  <c r="K53" i="9"/>
  <c r="M55" i="10"/>
  <c r="N55" i="10" s="1"/>
  <c r="M63" i="11"/>
  <c r="N63" i="11" s="1"/>
  <c r="J63" i="11"/>
  <c r="K51" i="7"/>
  <c r="K58" i="7"/>
  <c r="I58" i="7"/>
  <c r="E91" i="8"/>
  <c r="E94" i="8" s="1"/>
  <c r="F94" i="8" s="1"/>
  <c r="K52" i="9"/>
  <c r="K62" i="9"/>
  <c r="G91" i="9"/>
  <c r="H91" i="9" s="1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I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K52" i="14"/>
  <c r="I52" i="14"/>
  <c r="J52" i="14" s="1"/>
  <c r="I57" i="14"/>
  <c r="K57" i="14"/>
  <c r="K62" i="14"/>
  <c r="I62" i="14"/>
  <c r="J62" i="14" s="1"/>
  <c r="I62" i="11"/>
  <c r="G65" i="9"/>
  <c r="E43" i="9" s="1"/>
  <c r="E46" i="9" s="1"/>
  <c r="E91" i="10"/>
  <c r="E94" i="10" s="1"/>
  <c r="F94" i="10" s="1"/>
  <c r="I58" i="13"/>
  <c r="J58" i="13" s="1"/>
  <c r="K58" i="13"/>
  <c r="K63" i="13"/>
  <c r="I63" i="13"/>
  <c r="J63" i="13" s="1"/>
  <c r="F45" i="13"/>
  <c r="G45" i="13"/>
  <c r="H45" i="13" s="1"/>
  <c r="K59" i="13"/>
  <c r="I59" i="13"/>
  <c r="M57" i="11"/>
  <c r="N57" i="11" s="1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F90" i="9"/>
  <c r="F92" i="9"/>
  <c r="K56" i="13"/>
  <c r="I56" i="13"/>
  <c r="E91" i="13"/>
  <c r="I55" i="13"/>
  <c r="K61" i="13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M59" i="9" l="1"/>
  <c r="N59" i="9" s="1"/>
  <c r="J62" i="9"/>
  <c r="F44" i="10"/>
  <c r="M57" i="10"/>
  <c r="N57" i="10" s="1"/>
  <c r="J52" i="12"/>
  <c r="L65" i="10"/>
  <c r="M53" i="6"/>
  <c r="M62" i="14"/>
  <c r="N62" i="14" s="1"/>
  <c r="M59" i="11"/>
  <c r="N59" i="11" s="1"/>
  <c r="J61" i="8"/>
  <c r="M63" i="13"/>
  <c r="N63" i="13" s="1"/>
  <c r="J59" i="8"/>
  <c r="J57" i="7"/>
  <c r="J56" i="7"/>
  <c r="F44" i="8"/>
  <c r="M56" i="8"/>
  <c r="N56" i="8" s="1"/>
  <c r="I52" i="8"/>
  <c r="J52" i="8" s="1"/>
  <c r="J52" i="7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F70" i="3" s="1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F46" i="9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I65" i="12" l="1"/>
  <c r="J65" i="12" s="1"/>
  <c r="G70" i="3"/>
  <c r="H70" i="3" s="1"/>
  <c r="G46" i="7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L61" i="4" l="1"/>
  <c r="G61" i="4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<sst xmlns="http://schemas.openxmlformats.org/spreadsheetml/2006/main" count="1881" uniqueCount="186">
  <si>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</si>
  <si>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</si>
  <si>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</si>
  <si>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</si>
  <si>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</si>
  <si>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</si>
  <si>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</si>
  <si>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</si>
  <si>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</si>
  <si>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</si>
  <si>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</si>
  <si>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</si>
  <si>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</si>
  <si>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</si>
  <si>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</si>
  <si>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</si>
  <si>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</si>
  <si>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</si>
  <si>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</si>
  <si>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</si>
  <si>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</si>
  <si>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</si>
  <si>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</si>
  <si>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</si>
  <si>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</si>
  <si>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</si>
  <si>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</si>
  <si>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</si>
  <si>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</si>
  <si>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</si>
  <si>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</si>
  <si>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</si>
  <si>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</si>
  <si>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</si>
  <si>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</si>
  <si>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</si>
  <si>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</si>
  <si>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</si>
  <si>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</si>
  <si>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</si>
  <si>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</si>
  <si>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</si>
  <si>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</si>
  <si>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</si>
  <si>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</si>
  <si>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</si>
  <si>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</si>
  <si>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</si>
  <si>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</si>
  <si>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</si>
  <si>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</si>
  <si>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</si>
  <si>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</si>
  <si>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</si>
  <si>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</si>
  <si>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</si>
  <si>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</si>
  <si>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</si>
  <si>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</si>
  <si>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</si>
  <si>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</si>
  <si>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</si>
  <si>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</si>
  <si>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</si>
  <si>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</si>
  <si>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</si>
  <si>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</si>
  <si>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</si>
  <si>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</si>
  <si>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</si>
  <si>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</si>
  <si>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</si>
  <si>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</si>
  <si>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</si>
  <si>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</si>
  <si>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</si>
  <si>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</si>
  <si>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</si>
  <si>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</si>
  <si>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</si>
  <si>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</si>
  <si>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</si>
  <si>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</si>
  <si>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</si>
  <si>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</si>
  <si>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</si>
  <si>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</si>
  <si>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</si>
  <si>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</si>
  <si>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</si>
  <si>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</si>
  <si>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</si>
  <si>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</si>
  <si>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</si>
  <si>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</si>
  <si>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</si>
  <si>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</si>
  <si>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</si>
  <si>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</si>
  <si>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</si>
  <si>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</si>
  <si>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</si>
  <si>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</si>
  <si>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</si>
  <si>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</si>
  <si>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</si>
  <si>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</si>
  <si>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</si>
  <si>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</si>
  <si>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</si>
  <si>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</si>
  <si>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</si>
  <si>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</si>
  <si>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</si>
  <si>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</si>
  <si>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</si>
  <si>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</si>
  <si>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</si>
  <si>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</si>
  <si>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</si>
  <si>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</si>
  <si>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</si>
  <si>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</si>
  <si>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</si>
  <si>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</si>
  <si>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</si>
  <si>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</si>
  <si>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</si>
  <si>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</si>
  <si>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</si>
  <si>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</si>
  <si>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</si>
  <si>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</si>
  <si>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</si>
  <si>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</si>
  <si>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</si>
  <si>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</si>
  <si>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</si>
  <si>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</si>
  <si>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</si>
  <si>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</si>
  <si>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</si>
  <si>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</si>
  <si>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</si>
  <si>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</si>
  <si>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</si>
  <si>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</si>
  <si>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</si>
  <si>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</si>
  <si>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</si>
  <si>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</si>
  <si>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</si>
  <si>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</si>
  <si>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</si>
  <si>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</si>
  <si>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</si>
  <si>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</si>
  <si>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</si>
  <si>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</si>
  <si>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</si>
  <si>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</si>
  <si>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</si>
  <si>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</si>
  <si>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</si>
  <si>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</si>
  <si>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</si>
  <si>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</si>
  <si>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</si>
  <si>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</si>
  <si>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</si>
  <si>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</si>
  <si>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</si>
  <si>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</si>
  <si>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</si>
  <si>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</si>
  <si>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</si>
  <si>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</si>
  <si>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</si>
  <si>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</si>
  <si>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</si>
  <si>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</si>
  <si>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</si>
  <si>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</si>
  <si>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</si>
  <si>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</si>
  <si>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DATA PENCAPAIAN — GLOBAL —  04 JULI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</si>
</sst>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9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7" t="s">
        <v>0</v>
      </c>
      <c r="C1" s="207"/>
    </row>
    <row r="3" spans="2:3" x14ac:dyDescent="0.25">
      <c r="B3" s="208" t="s">
        <v>1</v>
      </c>
      <c r="C3" s="208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9" t="s">
        <v>14</v>
      </c>
      <c r="C11" s="209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C12" zoomScale="110" zoomScaleNormal="110" workbookViewId="0">
      <selection activeCell="J22" sqref="J22:J24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5" width="9.85546875" customWidth="1"/>
    <col min="6" max="6" width="10.42578125" customWidth="1"/>
    <col min="7" max="7" width="8.85546875" customWidth="1"/>
    <col min="8" max="8" width="9.5703125" customWidth="1"/>
    <col min="9" max="9" width="9.42578125" customWidth="1"/>
    <col min="10" max="10" width="8.85546875" customWidth="1"/>
    <col min="11" max="11" width="8.42578125" customWidth="1"/>
    <col min="12" max="12" width="8.85546875" customWidth="1"/>
    <col min="13" max="13" width="8.42578125" customWidth="1"/>
    <col min="14" max="14" width="9.5703125" customWidth="1"/>
    <col min="15" max="15" width="9.85546875" customWidth="1"/>
    <col min="16" max="17" width="10.8554687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8" t="s">
        <v>28</v>
      </c>
      <c r="C3" s="208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491237177.12546343</v>
      </c>
      <c r="Q5" s="7">
        <v>76328678.073981449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657457159.85174966</v>
      </c>
      <c r="Q6" s="7">
        <v>181265056.8810223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175</v>
      </c>
      <c r="C7" s="146" t="s">
        <v>176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>
        <v>241473268</v>
      </c>
      <c r="O7" s="7"/>
      <c r="P7" s="7">
        <v>248955573.78787571</v>
      </c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728387277.57390273</v>
      </c>
      <c r="Q8" s="7">
        <v>51482866.524593353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482312178.47736537</v>
      </c>
      <c r="Q9" s="7">
        <v>70286112.09958896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505192003.00308657</v>
      </c>
      <c r="Q10" s="7">
        <v>122952320.80976211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1061245403.0487187</v>
      </c>
      <c r="Q11" s="7">
        <v>101136997.7886584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563114170.73408878</v>
      </c>
      <c r="Q12" s="7">
        <v>104665034.75557049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175</v>
      </c>
      <c r="C13" s="146" t="s">
        <v>177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>
        <v>404133664</v>
      </c>
      <c r="O13" s="7"/>
      <c r="P13" s="7">
        <v>429849184.30128497</v>
      </c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514721111.42684805</v>
      </c>
      <c r="Q14" s="7">
        <v>117663432.08216608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698845176.23960102</v>
      </c>
      <c r="Q15" s="7">
        <v>70945960.626210824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481870364.2173661</v>
      </c>
      <c r="Q16" s="7">
        <v>48351228.656065792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706054928.99280047</v>
      </c>
      <c r="Q17" s="7">
        <v>326117403.61363631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378602097.56753719</v>
      </c>
      <c r="Q18" s="7">
        <v>211510559.17948398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10" t="s">
        <v>102</v>
      </c>
      <c r="C29" s="210"/>
      <c r="D29" s="210"/>
      <c r="E29" s="210"/>
      <c r="F29" s="210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45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168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2" t="s">
        <v>146</v>
      </c>
      <c r="C44" s="223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4" t="s">
        <v>41</v>
      </c>
      <c r="C47" s="224" t="s">
        <v>42</v>
      </c>
      <c r="D47" s="219" t="s">
        <v>138</v>
      </c>
      <c r="E47" s="220"/>
      <c r="F47" s="221"/>
      <c r="G47" s="70" t="s">
        <v>139</v>
      </c>
      <c r="H47" s="70"/>
      <c r="I47" s="70"/>
      <c r="J47" s="224" t="s">
        <v>140</v>
      </c>
      <c r="K47" s="35" t="s">
        <v>148</v>
      </c>
      <c r="L47" s="35"/>
      <c r="M47" s="35"/>
      <c r="N47" s="218" t="s">
        <v>149</v>
      </c>
    </row>
    <row r="48" spans="2:17" ht="15.75" x14ac:dyDescent="0.25">
      <c r="B48" s="224"/>
      <c r="C48" s="224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4"/>
      <c r="K48" s="34" t="s">
        <v>143</v>
      </c>
      <c r="L48" s="34" t="s">
        <v>111</v>
      </c>
      <c r="M48" s="34" t="s">
        <v>146</v>
      </c>
      <c r="N48" s="218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29" zoomScaleNormal="100" workbookViewId="0">
      <selection activeCell="B41" sqref="B41:F46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168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5" t="s">
        <v>181</v>
      </c>
      <c r="C41" s="226"/>
      <c r="D41" s="227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2" t="s">
        <v>146</v>
      </c>
      <c r="C46" s="223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36"/>
      <c r="L48" s="237"/>
      <c r="M48" s="237"/>
      <c r="N48" s="238"/>
    </row>
    <row r="49" spans="2:14" s="158" customFormat="1" ht="20.100000000000001" customHeight="1" x14ac:dyDescent="0.25">
      <c r="B49" s="235" t="s">
        <v>41</v>
      </c>
      <c r="C49" s="235" t="s">
        <v>42</v>
      </c>
      <c r="D49" s="232" t="s">
        <v>138</v>
      </c>
      <c r="E49" s="233"/>
      <c r="F49" s="234"/>
      <c r="G49" s="159" t="s">
        <v>139</v>
      </c>
      <c r="H49" s="159"/>
      <c r="I49" s="159"/>
      <c r="J49" s="235" t="s">
        <v>140</v>
      </c>
      <c r="K49" s="160" t="s">
        <v>148</v>
      </c>
      <c r="L49" s="160"/>
      <c r="M49" s="160"/>
      <c r="N49" s="228" t="s">
        <v>149</v>
      </c>
    </row>
    <row r="50" spans="2:14" s="158" customFormat="1" ht="20.100000000000001" customHeight="1" x14ac:dyDescent="0.25">
      <c r="B50" s="235"/>
      <c r="C50" s="235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5"/>
      <c r="K50" s="163" t="s">
        <v>143</v>
      </c>
      <c r="L50" s="163" t="s">
        <v>111</v>
      </c>
      <c r="M50" s="163" t="s">
        <v>146</v>
      </c>
      <c r="N50" s="228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175</v>
      </c>
      <c r="C53" s="188" t="s">
        <v>176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175</v>
      </c>
      <c r="C59" s="188" t="s">
        <v>177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174</v>
      </c>
      <c r="C67" s="136"/>
      <c r="D67" s="137"/>
      <c r="G67"/>
      <c r="H67"/>
      <c r="I67"/>
    </row>
    <row r="68" spans="2:14" ht="20.100000000000001" customHeight="1" x14ac:dyDescent="0.25">
      <c r="B68" s="224" t="s">
        <v>41</v>
      </c>
      <c r="C68" s="224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4"/>
      <c r="C69" s="224"/>
      <c r="D69" s="71" t="s">
        <v>171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175</v>
      </c>
      <c r="C72" s="186" t="s">
        <v>176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175</v>
      </c>
      <c r="C78" s="186" t="s">
        <v>177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9" t="s">
        <v>145</v>
      </c>
      <c r="C87" s="230"/>
      <c r="D87" s="230"/>
      <c r="E87" s="230"/>
      <c r="F87" s="231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9" zoomScaleNormal="100" workbookViewId="0">
      <selection activeCell="D70" sqref="D70:D83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24</v>
      </c>
      <c r="D3" s="79" t="s">
        <v>104</v>
      </c>
      <c r="E3" s="80">
        <f ca="1">DAY(EOMONTH(TODAY(),0))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15">
        <v>314350697.279998</v>
      </c>
      <c r="D17" s="15">
        <v>42787524.299999997</v>
      </c>
      <c r="E17" s="15" t="s">
        <v>168</v>
      </c>
      <c r="F17" s="1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172</v>
      </c>
      <c r="C22" s="15">
        <v>197567845.80000001</v>
      </c>
      <c r="D22" s="15" t="s">
        <v>168</v>
      </c>
      <c r="E22" s="15">
        <v>12832432.08</v>
      </c>
      <c r="F22" s="15">
        <v>210400277.88</v>
      </c>
      <c r="H22" s="116"/>
      <c r="I22" s="116"/>
      <c r="J22" s="116"/>
    </row>
    <row r="23" spans="2:14" x14ac:dyDescent="0.25">
      <c r="B23" s="74" t="s">
        <v>173</v>
      </c>
      <c r="C23" s="15">
        <v>300521523.82997501</v>
      </c>
      <c r="D23" s="15" t="s">
        <v>168</v>
      </c>
      <c r="E23" s="15">
        <v>13813693.32</v>
      </c>
      <c r="F23" s="15">
        <v>314335217.149975</v>
      </c>
      <c r="H23" s="116"/>
      <c r="I23" s="116"/>
      <c r="J23" s="116"/>
    </row>
    <row r="24" spans="2:14" x14ac:dyDescent="0.25">
      <c r="B24" s="74" t="s">
        <v>125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6"/>
      <c r="I24" s="116"/>
      <c r="J24" s="116"/>
    </row>
    <row r="25" spans="2:14" x14ac:dyDescent="0.25">
      <c r="B25" s="74" t="s">
        <v>126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6"/>
      <c r="I25" s="116"/>
      <c r="J25" s="116"/>
    </row>
    <row r="26" spans="2:14" x14ac:dyDescent="0.25">
      <c r="B26" s="74" t="s">
        <v>127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6"/>
      <c r="I26" s="116"/>
      <c r="J26" s="116"/>
    </row>
    <row r="27" spans="2:14" x14ac:dyDescent="0.25">
      <c r="B27" s="74" t="s">
        <v>128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291427595.82048202</v>
      </c>
      <c r="G32" s="116"/>
      <c r="H32" s="116"/>
      <c r="I32" s="116"/>
    </row>
    <row r="33" spans="2:14" x14ac:dyDescent="0.25">
      <c r="B33" s="84" t="s">
        <v>133</v>
      </c>
      <c r="C33" s="15">
        <v>436148035.92440403</v>
      </c>
      <c r="G33" s="116"/>
      <c r="H33" s="116"/>
      <c r="I33" s="116"/>
    </row>
    <row r="34" spans="2:14" x14ac:dyDescent="0.25">
      <c r="B34" s="84" t="s">
        <v>134</v>
      </c>
      <c r="C34" s="15">
        <v>135628039.89320499</v>
      </c>
      <c r="G34" s="116"/>
      <c r="H34" s="116"/>
      <c r="I34" s="116"/>
    </row>
    <row r="35" spans="2:14" x14ac:dyDescent="0.25">
      <c r="B35" s="84" t="s">
        <v>135</v>
      </c>
      <c r="C35" s="15">
        <v>513829145.026452</v>
      </c>
      <c r="G35" s="116"/>
      <c r="H35" s="116"/>
      <c r="I35" s="116"/>
    </row>
    <row r="36" spans="2:14" x14ac:dyDescent="0.25">
      <c r="B36" s="84" t="s">
        <v>136</v>
      </c>
      <c r="C36" s="15">
        <v>296173392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39" t="s">
        <v>182</v>
      </c>
      <c r="C41" s="240"/>
      <c r="D41" s="241"/>
      <c r="E41" s="67" t="s">
        <v>138</v>
      </c>
      <c r="F41" s="73">
        <v>0.97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26366420.008816957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23149472.071528781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4573854.7808213634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54089746.861167103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20.10000000000000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22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6331005.1386068044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5664568.1244695829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1829392.5916666661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-1681196.14525113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5449765.7338135885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3361979.352289319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-1046547.3195308149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4617267.8431370854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4317172.5070843743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3150497.8190533496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7384839.8919115933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4932263.6734238686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1441903.4567914754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3762979.412880016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49515892.08034578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8.75" customHeight="1" x14ac:dyDescent="0.25">
      <c r="B68" s="224" t="s">
        <v>41</v>
      </c>
      <c r="C68" s="224" t="s">
        <v>42</v>
      </c>
      <c r="D68" s="134" t="s">
        <v>139</v>
      </c>
    </row>
    <row r="69" spans="2:14" ht="18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126214286.45999999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.100000000000001" customHeight="1" x14ac:dyDescent="0.25">
      <c r="B72" s="201" t="s">
        <v>175</v>
      </c>
      <c r="C72" s="202" t="s">
        <v>176</v>
      </c>
      <c r="D72" s="192">
        <f>IF(E22="",0,E22)</f>
        <v>12832432.08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260324322.93000001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14439639.5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709237967.049927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247976756.949745</v>
      </c>
    </row>
    <row r="78" spans="2:14" ht="20.100000000000001" customHeight="1" x14ac:dyDescent="0.25">
      <c r="B78" s="201" t="s">
        <v>175</v>
      </c>
      <c r="C78" s="202" t="s">
        <v>177</v>
      </c>
      <c r="D78" s="192">
        <f>IF(E23="",0,E23)</f>
        <v>13813693.32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40868468.799999997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469103962.04973102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162788612.639999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19182702.936000001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.100000000000001" customHeight="1" x14ac:dyDescent="0.25">
      <c r="B84" s="57" t="s">
        <v>152</v>
      </c>
      <c r="C84" s="58"/>
      <c r="D84" s="129">
        <f>SUM(D70:D83)</f>
        <v>2253342303.9954014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-556790.7465113526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-772061.78074510151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5902707.3080778224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4573854.7808213681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B29" zoomScaleNormal="100" workbookViewId="0">
      <selection activeCell="D81" sqref="D81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7" width="14.7109375" customWidth="1"/>
    <col min="8" max="8" width="15.42578125" customWidth="1"/>
    <col min="9" max="9" width="14.85546875" customWidth="1"/>
    <col min="10" max="10" width="9.28515625" customWidth="1"/>
    <col min="11" max="11" width="8.140625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0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320575286.94788897</v>
      </c>
      <c r="N8" s="11">
        <f>D24</f>
        <v>55052087.763467997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548772948.85095096</v>
      </c>
      <c r="N9" s="11">
        <f>D12+D13</f>
        <v>130737490.55623899</v>
      </c>
    </row>
    <row r="10" spans="2:14" x14ac:dyDescent="0.25">
      <c r="B10" s="74" t="s">
        <v>113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6"/>
      <c r="I10" s="116"/>
      <c r="J10" s="116"/>
      <c r="M10" s="11">
        <f>C14</f>
        <v>989456477.77127802</v>
      </c>
      <c r="N10" s="11">
        <f>D14</f>
        <v>37132037.007500999</v>
      </c>
    </row>
    <row r="11" spans="2:14" x14ac:dyDescent="0.25">
      <c r="B11" s="74" t="s">
        <v>114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6"/>
      <c r="I11" s="116"/>
      <c r="J11" s="116"/>
      <c r="M11" s="11">
        <f>C17</f>
        <v>368163765.47890598</v>
      </c>
      <c r="N11" s="11">
        <f>D17</f>
        <v>50693884.710000001</v>
      </c>
    </row>
    <row r="12" spans="2:14" x14ac:dyDescent="0.25">
      <c r="B12" s="74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6"/>
      <c r="I12" s="116"/>
      <c r="J12" s="116"/>
      <c r="M12" s="11">
        <f>C16</f>
        <v>517028510.48846501</v>
      </c>
      <c r="N12" s="11">
        <f>D16</f>
        <v>88679408.048779994</v>
      </c>
    </row>
    <row r="13" spans="2:14" x14ac:dyDescent="0.25">
      <c r="B13" s="74" t="s">
        <v>115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6"/>
      <c r="I13" s="116"/>
      <c r="J13" s="116"/>
      <c r="M13" s="11">
        <f>C19</f>
        <v>1002756079.983186</v>
      </c>
      <c r="N13" s="11">
        <f>D19</f>
        <v>72945098.289833993</v>
      </c>
    </row>
    <row r="14" spans="2:14" x14ac:dyDescent="0.25">
      <c r="B14" s="74" t="s">
        <v>116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6"/>
      <c r="I14" s="116"/>
      <c r="J14" s="116"/>
      <c r="M14" s="11">
        <f>C25</f>
        <v>461849289.23312598</v>
      </c>
      <c r="N14" s="11">
        <f>D25</f>
        <v>75489696.329871997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350800236.759597</v>
      </c>
      <c r="N15" s="11">
        <f>D11</f>
        <v>84864795.200103998</v>
      </c>
    </row>
    <row r="16" spans="2:14" x14ac:dyDescent="0.25">
      <c r="B16" s="74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6"/>
      <c r="I16" s="116"/>
      <c r="J16" s="116"/>
      <c r="M16" s="11">
        <f>C26</f>
        <v>508735877.73760903</v>
      </c>
      <c r="N16" s="11">
        <f>D26</f>
        <v>51169801.005402997</v>
      </c>
    </row>
    <row r="17" spans="2:14" x14ac:dyDescent="0.25">
      <c r="B17" s="74" t="s">
        <v>118</v>
      </c>
      <c r="C17" s="15">
        <v>368163765.47890598</v>
      </c>
      <c r="D17" s="15">
        <v>50693884.710000001</v>
      </c>
      <c r="E17" s="15" t="s">
        <v>168</v>
      </c>
      <c r="F17" s="15">
        <v>418857650.18890601</v>
      </c>
      <c r="H17" s="116"/>
      <c r="I17" s="116"/>
      <c r="J17" s="116"/>
      <c r="M17" s="11">
        <f>C10</f>
        <v>322280851.83509499</v>
      </c>
      <c r="N17" s="11">
        <f>D10</f>
        <v>34873341.943994999</v>
      </c>
    </row>
    <row r="18" spans="2:14" x14ac:dyDescent="0.25">
      <c r="B18" s="74" t="s">
        <v>119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6"/>
      <c r="I18" s="116"/>
      <c r="J18" s="116"/>
      <c r="M18" s="11">
        <f>C27</f>
        <v>789357999.90691698</v>
      </c>
      <c r="N18" s="11">
        <f>D27</f>
        <v>235212300.73199099</v>
      </c>
    </row>
    <row r="19" spans="2:14" x14ac:dyDescent="0.25">
      <c r="B19" s="74" t="s">
        <v>121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6"/>
      <c r="I19" s="116"/>
      <c r="J19" s="116"/>
      <c r="M19" s="11">
        <f>C20+C21</f>
        <v>186367654.50230998</v>
      </c>
      <c r="N19" s="11">
        <f>D20+D21</f>
        <v>152552071.034646</v>
      </c>
    </row>
    <row r="20" spans="2:14" x14ac:dyDescent="0.25">
      <c r="B20" s="74" t="s">
        <v>123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6"/>
      <c r="I20" s="116"/>
      <c r="J20" s="116"/>
      <c r="M20" s="14">
        <f>IFERROR(C31,0)+IFERROR(C15,0)+IFERROR(C36,0)</f>
        <v>309645249.995</v>
      </c>
      <c r="N20" s="10" t="s">
        <v>120</v>
      </c>
    </row>
    <row r="21" spans="2:14" x14ac:dyDescent="0.25">
      <c r="B21" s="74" t="s">
        <v>124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6"/>
      <c r="I21" s="116"/>
      <c r="J21" s="116"/>
      <c r="M21" s="14">
        <f>IFERROR(C34,0)+IFERROR(C35,0)+M20</f>
        <v>1208589913.9548378</v>
      </c>
      <c r="N21" s="10" t="s">
        <v>122</v>
      </c>
    </row>
    <row r="22" spans="2:14" x14ac:dyDescent="0.25">
      <c r="B22" s="74" t="s">
        <v>172</v>
      </c>
      <c r="C22" s="15">
        <v>167671841.09999999</v>
      </c>
      <c r="D22" s="15" t="s">
        <v>168</v>
      </c>
      <c r="E22" s="15">
        <v>12540540.199999999</v>
      </c>
      <c r="F22" s="15">
        <v>180212381.30000001</v>
      </c>
      <c r="H22" s="116"/>
      <c r="I22" s="116"/>
      <c r="J22" s="116"/>
    </row>
    <row r="23" spans="2:14" x14ac:dyDescent="0.25">
      <c r="B23" s="74" t="s">
        <v>173</v>
      </c>
      <c r="C23" s="15">
        <v>388937679.18000001</v>
      </c>
      <c r="D23" s="15" t="s">
        <v>168</v>
      </c>
      <c r="E23" s="15">
        <v>17519368.899999999</v>
      </c>
      <c r="F23" s="15">
        <v>406457048.07999998</v>
      </c>
      <c r="H23" s="116"/>
      <c r="I23" s="116"/>
      <c r="J23" s="116"/>
    </row>
    <row r="24" spans="2:14" x14ac:dyDescent="0.25">
      <c r="B24" s="74" t="s">
        <v>125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6"/>
      <c r="I24" s="116"/>
      <c r="J24" s="116"/>
    </row>
    <row r="25" spans="2:14" x14ac:dyDescent="0.25">
      <c r="B25" s="74" t="s">
        <v>126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6"/>
      <c r="I25" s="116"/>
      <c r="J25" s="116"/>
    </row>
    <row r="26" spans="2:14" x14ac:dyDescent="0.25">
      <c r="B26" s="74" t="s">
        <v>127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6"/>
      <c r="I26" s="116"/>
      <c r="J26" s="116"/>
    </row>
    <row r="27" spans="2:14" x14ac:dyDescent="0.25">
      <c r="B27" s="74" t="s">
        <v>128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185272533.73476499</v>
      </c>
      <c r="G32" s="116"/>
      <c r="H32" s="116"/>
      <c r="I32" s="116"/>
    </row>
    <row r="33" spans="2:14" x14ac:dyDescent="0.25">
      <c r="B33" s="84" t="s">
        <v>133</v>
      </c>
      <c r="C33" s="205">
        <v>334871676.45744997</v>
      </c>
      <c r="G33" s="116"/>
      <c r="H33" s="116"/>
      <c r="I33" s="116"/>
    </row>
    <row r="34" spans="2:14" x14ac:dyDescent="0.25">
      <c r="B34" s="84" t="s">
        <v>134</v>
      </c>
      <c r="C34" s="15">
        <v>164253111.869317</v>
      </c>
      <c r="G34" s="116"/>
      <c r="H34" s="116"/>
      <c r="I34" s="116"/>
    </row>
    <row r="35" spans="2:14" x14ac:dyDescent="0.25">
      <c r="B35" s="84" t="s">
        <v>135</v>
      </c>
      <c r="C35" s="15">
        <v>734691552.09052098</v>
      </c>
      <c r="G35" s="116"/>
      <c r="H35" s="116"/>
      <c r="I35" s="116"/>
    </row>
    <row r="36" spans="2:14" x14ac:dyDescent="0.25">
      <c r="B36" s="84" t="s">
        <v>136</v>
      </c>
      <c r="C36" s="15">
        <v>309645249.995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25" t="s">
        <v>183</v>
      </c>
      <c r="C41" s="226"/>
      <c r="D41" s="227"/>
      <c r="E41" s="67" t="s">
        <v>138</v>
      </c>
      <c r="F41" s="73">
        <f ca="1">IF(MONTH(TODAY())=6,DAY(TODAY())/DAY(EOMONTH(TODAY(),0)),IF(MONTH(TODAY())&gt;6,1,0))</f>
        <v>1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6922754499.7753286</v>
      </c>
      <c r="F43" s="44">
        <f>IFERROR(E43/D43,0)</f>
        <v>0.95364211558284873</v>
      </c>
      <c r="G43" s="118">
        <f>D43-E43</f>
        <v>336524832.22467136</v>
      </c>
      <c r="H43" s="118">
        <f ca="1">IFERROR(G43/C3,0)</f>
        <v>0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1069402012.6218331</v>
      </c>
      <c r="F44" s="44">
        <f>IFERROR(E44/D44,0)</f>
        <v>0.59101757616469108</v>
      </c>
      <c r="G44" s="118">
        <f>D44-E44</f>
        <v>740023046.37816691</v>
      </c>
      <c r="H44" s="118">
        <f ca="1">IFERROR(G44/C3,0)</f>
        <v>0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1728734124.1470528</v>
      </c>
      <c r="F45" s="44">
        <f>IFERROR(E45/D45,0)</f>
        <v>0.9442243326828319</v>
      </c>
      <c r="G45" s="118">
        <f>D45-E45</f>
        <v>102116939.85294724</v>
      </c>
      <c r="H45" s="118">
        <f ca="1">IFERROR(G45/C3,0)</f>
        <v>0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10899555455</v>
      </c>
      <c r="E46" s="47">
        <f>E43+E44+E45</f>
        <v>9720890636.5442142</v>
      </c>
      <c r="F46" s="43">
        <f>IFERROR(E46/D46,0)</f>
        <v>0.89186120265894953</v>
      </c>
      <c r="G46" s="119">
        <f>G43+G44+G45</f>
        <v>1178664818.4557855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21.75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19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ht="20.100000000000001" customHeight="1" x14ac:dyDescent="0.25">
      <c r="B51" s="50" t="s">
        <v>67</v>
      </c>
      <c r="C51" s="55" t="s">
        <v>68</v>
      </c>
      <c r="D51" s="127">
        <f>TARGETS!N5</f>
        <v>451683478</v>
      </c>
      <c r="E51" s="127">
        <f>TARGETS!O5</f>
        <v>101830423</v>
      </c>
      <c r="F51" s="127">
        <f t="shared" ref="F51:F64" si="0">D51+E51</f>
        <v>553513901</v>
      </c>
      <c r="G51" s="122">
        <f>M8</f>
        <v>320575286.94788897</v>
      </c>
      <c r="H51" s="122">
        <f>N8</f>
        <v>55052087.763467997</v>
      </c>
      <c r="I51" s="122">
        <f t="shared" ref="I51:I64" si="1">G51+H51</f>
        <v>375627374.711357</v>
      </c>
      <c r="J51" s="61">
        <f t="shared" ref="J51:J64" si="2">IFERROR(I51/F51,0)</f>
        <v>0.6786231999462593</v>
      </c>
      <c r="K51" s="51">
        <f t="shared" ref="K51:M64" si="3">D51-G51</f>
        <v>131108191.05211103</v>
      </c>
      <c r="L51" s="51">
        <f t="shared" si="3"/>
        <v>46778335.236532003</v>
      </c>
      <c r="M51" s="51">
        <f t="shared" si="3"/>
        <v>177886526.288643</v>
      </c>
      <c r="N51" s="51">
        <f ca="1">IFERROR(M51/C3,0)</f>
        <v>0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TARGETS!N6</f>
        <v>590182371</v>
      </c>
      <c r="E52" s="128">
        <f>TARGETS!O6</f>
        <v>225106806</v>
      </c>
      <c r="F52" s="128">
        <f t="shared" si="0"/>
        <v>815289177</v>
      </c>
      <c r="G52" s="122">
        <f>M9</f>
        <v>548772948.85095096</v>
      </c>
      <c r="H52" s="122">
        <f>N9</f>
        <v>130737490.55623899</v>
      </c>
      <c r="I52" s="122">
        <f t="shared" si="1"/>
        <v>679510439.40718997</v>
      </c>
      <c r="J52" s="61">
        <f t="shared" si="2"/>
        <v>0.83345941363721787</v>
      </c>
      <c r="K52" s="54">
        <f t="shared" si="3"/>
        <v>41409422.149049044</v>
      </c>
      <c r="L52" s="54">
        <f t="shared" si="3"/>
        <v>94369315.443761006</v>
      </c>
      <c r="M52" s="54">
        <f t="shared" si="3"/>
        <v>135778737.59281003</v>
      </c>
      <c r="N52" s="54">
        <f ca="1">IFERROR(M52/C3,0)</f>
        <v>0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TARGETS!N7</f>
        <v>241473268</v>
      </c>
      <c r="E53" s="157">
        <f>TARGETS!O7</f>
        <v>0</v>
      </c>
      <c r="F53" s="157">
        <f>D53+E53</f>
        <v>241473268</v>
      </c>
      <c r="G53" s="122">
        <f>C22</f>
        <v>167671841.09999999</v>
      </c>
      <c r="H53" s="122">
        <f>IF(D22="",0,D22)</f>
        <v>0</v>
      </c>
      <c r="I53" s="122">
        <f>G53+H53</f>
        <v>167671841.09999999</v>
      </c>
      <c r="J53" s="61">
        <f>IFERROR(I53/F53,0)</f>
        <v>0.69437019877496331</v>
      </c>
      <c r="K53" s="54">
        <f>D53-G53</f>
        <v>73801426.900000006</v>
      </c>
      <c r="L53" s="54">
        <f>E53-H53</f>
        <v>0</v>
      </c>
      <c r="M53" s="54">
        <f>F53-I53</f>
        <v>73801426.900000006</v>
      </c>
      <c r="N53" s="54">
        <f ca="1">IFERROR(M53/C3,0)</f>
        <v>0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TARGETS!N8</f>
        <v>645712472</v>
      </c>
      <c r="E54" s="128">
        <f>TARGETS!O8</f>
        <v>80441848</v>
      </c>
      <c r="F54" s="128">
        <f t="shared" si="0"/>
        <v>726154320</v>
      </c>
      <c r="G54" s="122">
        <f>M10</f>
        <v>989456477.77127802</v>
      </c>
      <c r="H54" s="122">
        <f t="shared" ref="H54:H58" si="4">N10</f>
        <v>37132037.007500999</v>
      </c>
      <c r="I54" s="122">
        <f t="shared" si="1"/>
        <v>1026588514.778779</v>
      </c>
      <c r="J54" s="61">
        <f t="shared" si="2"/>
        <v>1.4137332609668687</v>
      </c>
      <c r="K54" s="54">
        <f>D54-G54</f>
        <v>-343744005.77127802</v>
      </c>
      <c r="L54" s="54">
        <f t="shared" si="3"/>
        <v>43309810.992499001</v>
      </c>
      <c r="M54" s="54">
        <f t="shared" si="3"/>
        <v>-300434194.77877903</v>
      </c>
      <c r="N54" s="54">
        <f ca="1">IFERROR(M54/C3,0)</f>
        <v>0</v>
      </c>
    </row>
    <row r="55" spans="2:14" ht="20.100000000000001" customHeight="1" x14ac:dyDescent="0.25">
      <c r="B55" s="50" t="s">
        <v>73</v>
      </c>
      <c r="C55" s="55" t="s">
        <v>74</v>
      </c>
      <c r="D55" s="127">
        <f>TARGETS!N9</f>
        <v>508918832</v>
      </c>
      <c r="E55" s="127">
        <f>TARGETS!O9</f>
        <v>80519404</v>
      </c>
      <c r="F55" s="127">
        <f t="shared" si="0"/>
        <v>589438236</v>
      </c>
      <c r="G55" s="122">
        <f>M11</f>
        <v>368163765.47890598</v>
      </c>
      <c r="H55" s="122">
        <f t="shared" si="4"/>
        <v>50693884.710000001</v>
      </c>
      <c r="I55" s="122">
        <f t="shared" si="1"/>
        <v>418857650.18890595</v>
      </c>
      <c r="J55" s="61">
        <f t="shared" si="2"/>
        <v>0.71060481761638883</v>
      </c>
      <c r="K55" s="54">
        <f t="shared" si="3"/>
        <v>140755066.52109402</v>
      </c>
      <c r="L55" s="54">
        <f t="shared" si="3"/>
        <v>29825519.289999999</v>
      </c>
      <c r="M55" s="54">
        <f t="shared" si="3"/>
        <v>170580585.81109405</v>
      </c>
      <c r="N55" s="54">
        <f ca="1">IFERROR(M55/C3,0)</f>
        <v>0</v>
      </c>
    </row>
    <row r="56" spans="2:14" ht="20.100000000000001" customHeight="1" x14ac:dyDescent="0.25">
      <c r="B56" s="53" t="s">
        <v>75</v>
      </c>
      <c r="C56" s="56" t="s">
        <v>74</v>
      </c>
      <c r="D56" s="128">
        <f>TARGETS!N10</f>
        <v>440063284</v>
      </c>
      <c r="E56" s="128">
        <f>TARGETS!O10</f>
        <v>82149325</v>
      </c>
      <c r="F56" s="128">
        <f t="shared" si="0"/>
        <v>522212609</v>
      </c>
      <c r="G56" s="122">
        <f>M12</f>
        <v>517028510.48846501</v>
      </c>
      <c r="H56" s="122">
        <f t="shared" si="4"/>
        <v>88679408.048779994</v>
      </c>
      <c r="I56" s="122">
        <f t="shared" si="1"/>
        <v>605707918.53724504</v>
      </c>
      <c r="J56" s="61">
        <f t="shared" si="2"/>
        <v>1.1598875785422582</v>
      </c>
      <c r="K56" s="54">
        <f t="shared" si="3"/>
        <v>-76965226.488465011</v>
      </c>
      <c r="L56" s="54">
        <f t="shared" si="3"/>
        <v>-6530083.0487799942</v>
      </c>
      <c r="M56" s="54">
        <f t="shared" si="3"/>
        <v>-83495309.537245035</v>
      </c>
      <c r="N56" s="54">
        <f ca="1">IFERROR(M56/C3,0)</f>
        <v>0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TARGETS!N11</f>
        <v>996758345</v>
      </c>
      <c r="E57" s="127">
        <f>TARGETS!O11</f>
        <v>125488598</v>
      </c>
      <c r="F57" s="127">
        <f t="shared" si="0"/>
        <v>1122246943</v>
      </c>
      <c r="G57" s="122">
        <f>M13</f>
        <v>1002756079.983186</v>
      </c>
      <c r="H57" s="122">
        <f t="shared" si="4"/>
        <v>72945098.289833993</v>
      </c>
      <c r="I57" s="122">
        <f t="shared" si="1"/>
        <v>1075701178.27302</v>
      </c>
      <c r="J57" s="61">
        <f t="shared" si="2"/>
        <v>0.95852448962564918</v>
      </c>
      <c r="K57" s="54">
        <f t="shared" si="3"/>
        <v>-5997734.9831860065</v>
      </c>
      <c r="L57" s="54">
        <f t="shared" si="3"/>
        <v>52543499.710166007</v>
      </c>
      <c r="M57" s="54">
        <f t="shared" si="3"/>
        <v>46545764.726979971</v>
      </c>
      <c r="N57" s="54">
        <f ca="1">IFERROR(M57/C3,0)</f>
        <v>0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TARGETS!N12</f>
        <v>540287059</v>
      </c>
      <c r="E58" s="128">
        <f>TARGETS!O12</f>
        <v>97341426</v>
      </c>
      <c r="F58" s="128">
        <f t="shared" si="0"/>
        <v>637628485</v>
      </c>
      <c r="G58" s="122">
        <f>M14</f>
        <v>461849289.23312598</v>
      </c>
      <c r="H58" s="122">
        <f t="shared" si="4"/>
        <v>75489696.329871997</v>
      </c>
      <c r="I58" s="122">
        <f>G58+H58</f>
        <v>537338985.56299794</v>
      </c>
      <c r="J58" s="61">
        <f>IFERROR(I58/F58,0)</f>
        <v>0.84271483819139281</v>
      </c>
      <c r="K58" s="54">
        <f t="shared" si="3"/>
        <v>78437769.766874015</v>
      </c>
      <c r="L58" s="54">
        <f t="shared" si="3"/>
        <v>21851729.670128003</v>
      </c>
      <c r="M58" s="54">
        <f t="shared" si="3"/>
        <v>100289499.43700206</v>
      </c>
      <c r="N58" s="54">
        <f ca="1">IFERROR(M58/C3,0)</f>
        <v>0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TARGETS!N13</f>
        <v>404133664</v>
      </c>
      <c r="E59" s="157">
        <f>TARGETS!O13</f>
        <v>0</v>
      </c>
      <c r="F59" s="157">
        <f>D59+E59</f>
        <v>404133664</v>
      </c>
      <c r="G59" s="122">
        <f>C23</f>
        <v>388937679.18000001</v>
      </c>
      <c r="H59" s="122">
        <f>IF(D23="",0,D23)</f>
        <v>0</v>
      </c>
      <c r="I59" s="122">
        <f>G59+H59</f>
        <v>388937679.18000001</v>
      </c>
      <c r="J59" s="61">
        <f>IFERROR(I59/F59,0)</f>
        <v>0.96239861666163995</v>
      </c>
      <c r="K59" s="54">
        <f>D59-G59</f>
        <v>15195984.819999993</v>
      </c>
      <c r="L59" s="54">
        <f>E59-H59</f>
        <v>0</v>
      </c>
      <c r="M59" s="54">
        <f>F59-I59</f>
        <v>15195984.819999993</v>
      </c>
      <c r="N59" s="54">
        <f ca="1">IFERROR(M59/C3,0)</f>
        <v>0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TARGETS!N14</f>
        <v>439017309</v>
      </c>
      <c r="E60" s="128">
        <f>TARGETS!O14</f>
        <v>172024412</v>
      </c>
      <c r="F60" s="128">
        <f t="shared" si="0"/>
        <v>611041721</v>
      </c>
      <c r="G60" s="122">
        <f>M15</f>
        <v>350800236.759597</v>
      </c>
      <c r="H60" s="122">
        <f t="shared" ref="H60:H64" si="5">N15</f>
        <v>84864795.200103998</v>
      </c>
      <c r="I60" s="122">
        <f t="shared" si="1"/>
        <v>435665031.959701</v>
      </c>
      <c r="J60" s="61">
        <f t="shared" si="2"/>
        <v>0.71298737383547828</v>
      </c>
      <c r="K60" s="54">
        <f t="shared" si="3"/>
        <v>88217072.240402997</v>
      </c>
      <c r="L60" s="54">
        <f t="shared" si="3"/>
        <v>87159616.799896002</v>
      </c>
      <c r="M60" s="54">
        <f t="shared" si="3"/>
        <v>175376689.040299</v>
      </c>
      <c r="N60" s="54">
        <f ca="1">IFERROR(M60/C3,0)</f>
        <v>0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TARGETS!N15</f>
        <v>666629596</v>
      </c>
      <c r="E61" s="127">
        <f>TARGETS!O15</f>
        <v>92301622</v>
      </c>
      <c r="F61" s="127">
        <f t="shared" si="0"/>
        <v>758931218</v>
      </c>
      <c r="G61" s="122">
        <f>M16</f>
        <v>508735877.73760903</v>
      </c>
      <c r="H61" s="122">
        <f t="shared" si="5"/>
        <v>51169801.005402997</v>
      </c>
      <c r="I61" s="122">
        <f t="shared" si="1"/>
        <v>559905678.74301207</v>
      </c>
      <c r="J61" s="61">
        <f t="shared" si="2"/>
        <v>0.73775549807863094</v>
      </c>
      <c r="K61" s="54">
        <f t="shared" si="3"/>
        <v>157893718.26239097</v>
      </c>
      <c r="L61" s="54">
        <f t="shared" si="3"/>
        <v>41131820.994597003</v>
      </c>
      <c r="M61" s="54">
        <f t="shared" si="3"/>
        <v>199025539.25698793</v>
      </c>
      <c r="N61" s="54">
        <f ca="1">IFERROR(M61/C3,0)</f>
        <v>0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TARGETS!N16</f>
        <v>421543023</v>
      </c>
      <c r="E62" s="128">
        <f>TARGETS!O16</f>
        <v>97324176</v>
      </c>
      <c r="F62" s="128">
        <f t="shared" si="0"/>
        <v>518867199</v>
      </c>
      <c r="G62" s="122">
        <f>M17</f>
        <v>322280851.83509499</v>
      </c>
      <c r="H62" s="122">
        <f t="shared" si="5"/>
        <v>34873341.943994999</v>
      </c>
      <c r="I62" s="122">
        <f t="shared" si="1"/>
        <v>357154193.77908999</v>
      </c>
      <c r="J62" s="61">
        <f t="shared" si="2"/>
        <v>0.6883344995933921</v>
      </c>
      <c r="K62" s="54">
        <f t="shared" si="3"/>
        <v>99262171.164905012</v>
      </c>
      <c r="L62" s="54">
        <f t="shared" si="3"/>
        <v>62450834.056005001</v>
      </c>
      <c r="M62" s="54">
        <f t="shared" si="3"/>
        <v>161713005.22091001</v>
      </c>
      <c r="N62" s="54">
        <f ca="1">IFERROR(M62/C3,0)</f>
        <v>0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TARGETS!N17</f>
        <v>618350942</v>
      </c>
      <c r="E63" s="127">
        <f>TARGETS!O17</f>
        <v>363366966</v>
      </c>
      <c r="F63" s="127">
        <f t="shared" si="0"/>
        <v>981717908</v>
      </c>
      <c r="G63" s="122">
        <f>M18</f>
        <v>789357999.90691698</v>
      </c>
      <c r="H63" s="122">
        <f t="shared" si="5"/>
        <v>235212300.73199099</v>
      </c>
      <c r="I63" s="122">
        <f t="shared" si="1"/>
        <v>1024570300.6389079</v>
      </c>
      <c r="J63" s="61">
        <f t="shared" si="2"/>
        <v>1.0436504135146203</v>
      </c>
      <c r="K63" s="54">
        <f t="shared" si="3"/>
        <v>-171007057.90691698</v>
      </c>
      <c r="L63" s="54">
        <f t="shared" si="3"/>
        <v>128154665.26800901</v>
      </c>
      <c r="M63" s="54">
        <f t="shared" si="3"/>
        <v>-42852392.638907909</v>
      </c>
      <c r="N63" s="54">
        <f ca="1">IFERROR(M63/C3,0)</f>
        <v>0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TARGETS!N18</f>
        <v>294525689</v>
      </c>
      <c r="E64" s="128">
        <f>TARGETS!O18</f>
        <v>291530053</v>
      </c>
      <c r="F64" s="128">
        <f t="shared" si="0"/>
        <v>586055742</v>
      </c>
      <c r="G64" s="122">
        <f>M19</f>
        <v>186367654.50230998</v>
      </c>
      <c r="H64" s="122">
        <f t="shared" si="5"/>
        <v>152552071.034646</v>
      </c>
      <c r="I64" s="122">
        <f t="shared" si="1"/>
        <v>338919725.53695595</v>
      </c>
      <c r="J64" s="61">
        <f t="shared" si="2"/>
        <v>0.57830629622421814</v>
      </c>
      <c r="K64" s="54">
        <f t="shared" si="3"/>
        <v>108158034.49769002</v>
      </c>
      <c r="L64" s="54">
        <f t="shared" si="3"/>
        <v>138977981.965354</v>
      </c>
      <c r="M64" s="54">
        <f t="shared" si="3"/>
        <v>247136016.46304405</v>
      </c>
      <c r="N64" s="54">
        <f ca="1">IFERROR(M64/C3,0)</f>
        <v>0</v>
      </c>
    </row>
    <row r="65" spans="2:14" ht="20.100000000000001" customHeight="1" x14ac:dyDescent="0.25">
      <c r="B65" s="57" t="s">
        <v>152</v>
      </c>
      <c r="C65" s="58"/>
      <c r="D65" s="151">
        <f>SUM(D51:D64)</f>
        <v>7259279332</v>
      </c>
      <c r="E65" s="151">
        <f t="shared" ref="E65" si="6">SUM(E51:E52,E54:E58,E60:E64)</f>
        <v>1809425059</v>
      </c>
      <c r="F65" s="151">
        <f>SUM(F51:F64)</f>
        <v>9068704391</v>
      </c>
      <c r="G65" s="152">
        <f>SUM(G51:G64)</f>
        <v>6922754499.7753286</v>
      </c>
      <c r="H65" s="152">
        <f>SUM(H51:H64)</f>
        <v>1069402012.6218331</v>
      </c>
      <c r="I65" s="152">
        <f>SUM(I51:I64)</f>
        <v>7992156512.3971605</v>
      </c>
      <c r="J65" s="153">
        <f>IFERROR(I65/F65,0)</f>
        <v>0.88128978162842853</v>
      </c>
      <c r="K65" s="154">
        <f>SUM(K51:K64)</f>
        <v>336524832.22467113</v>
      </c>
      <c r="L65" s="154">
        <f>SUM(L51:L64)</f>
        <v>740023046.37816703</v>
      </c>
      <c r="M65" s="154">
        <f>SUM(M51:M64)</f>
        <v>1076547878.602838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12">
        <v>379329022.35987002</v>
      </c>
    </row>
    <row r="71" spans="2:14" ht="20.100000000000001" customHeight="1" x14ac:dyDescent="0.25">
      <c r="B71" s="53" t="s">
        <v>69</v>
      </c>
      <c r="C71" s="56" t="s">
        <v>70</v>
      </c>
      <c r="D71" s="192">
        <v>89366430.819999993</v>
      </c>
    </row>
    <row r="72" spans="2:14" ht="20.100000000000001" customHeight="1" x14ac:dyDescent="0.25">
      <c r="B72" s="53" t="s">
        <v>175</v>
      </c>
      <c r="C72" s="56" t="s">
        <v>176</v>
      </c>
      <c r="D72" s="112">
        <v>12540540.199999999</v>
      </c>
    </row>
    <row r="73" spans="2:14" ht="20.100000000000001" customHeight="1" x14ac:dyDescent="0.25">
      <c r="B73" s="50" t="s">
        <v>71</v>
      </c>
      <c r="C73" s="55" t="s">
        <v>72</v>
      </c>
      <c r="D73" s="112">
        <v>266587982.37</v>
      </c>
    </row>
    <row r="74" spans="2:14" ht="20.100000000000001" customHeight="1" x14ac:dyDescent="0.25">
      <c r="B74" s="53" t="s">
        <v>73</v>
      </c>
      <c r="C74" s="56" t="s">
        <v>74</v>
      </c>
      <c r="D74" s="192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12">
        <v>34044891.530000001</v>
      </c>
    </row>
    <row r="76" spans="2:14" ht="20.100000000000001" customHeight="1" x14ac:dyDescent="0.25">
      <c r="B76" s="53" t="s">
        <v>76</v>
      </c>
      <c r="C76" s="56" t="s">
        <v>77</v>
      </c>
      <c r="D76" s="112">
        <v>1329858796.62995</v>
      </c>
    </row>
    <row r="77" spans="2:14" ht="20.100000000000001" customHeight="1" x14ac:dyDescent="0.25">
      <c r="B77" s="50" t="s">
        <v>78</v>
      </c>
      <c r="C77" s="55" t="s">
        <v>79</v>
      </c>
      <c r="D77" s="112">
        <v>314812287.69929397</v>
      </c>
    </row>
    <row r="78" spans="2:14" ht="20.100000000000001" customHeight="1" x14ac:dyDescent="0.25">
      <c r="B78" s="53" t="s">
        <v>175</v>
      </c>
      <c r="C78" s="56" t="s">
        <v>177</v>
      </c>
      <c r="D78" s="112">
        <v>17519368.899999999</v>
      </c>
    </row>
    <row r="79" spans="2:14" ht="20.100000000000001" customHeight="1" x14ac:dyDescent="0.25">
      <c r="B79" s="53" t="s">
        <v>80</v>
      </c>
      <c r="C79" s="56" t="s">
        <v>81</v>
      </c>
      <c r="D79" s="112">
        <v>22719654.219999999</v>
      </c>
    </row>
    <row r="80" spans="2:14" ht="20.100000000000001" customHeight="1" x14ac:dyDescent="0.25">
      <c r="B80" s="50" t="s">
        <v>82</v>
      </c>
      <c r="C80" s="55" t="s">
        <v>83</v>
      </c>
      <c r="D80" s="112">
        <v>581028250.50941503</v>
      </c>
    </row>
    <row r="81" spans="2:9" ht="20.100000000000001" customHeight="1" x14ac:dyDescent="0.25">
      <c r="B81" s="53" t="s">
        <v>84</v>
      </c>
      <c r="C81" s="56" t="s">
        <v>85</v>
      </c>
      <c r="D81" s="112">
        <v>158162238.56999999</v>
      </c>
    </row>
    <row r="82" spans="2:9" ht="20.100000000000001" customHeight="1" x14ac:dyDescent="0.25">
      <c r="B82" s="50" t="s">
        <v>86</v>
      </c>
      <c r="C82" s="55" t="s">
        <v>87</v>
      </c>
      <c r="D82" s="112">
        <v>17184216.607000001</v>
      </c>
    </row>
    <row r="83" spans="2:9" ht="20.100000000000001" customHeight="1" x14ac:dyDescent="0.25">
      <c r="B83" s="53" t="s">
        <v>88</v>
      </c>
      <c r="C83" s="56" t="s">
        <v>89</v>
      </c>
      <c r="D83" s="192">
        <v>100075677.56</v>
      </c>
    </row>
    <row r="84" spans="2:9" ht="20.100000000000001" customHeight="1" x14ac:dyDescent="0.25">
      <c r="B84" s="57" t="s">
        <v>152</v>
      </c>
      <c r="C84" s="58"/>
      <c r="D84" s="129">
        <f>SUM(D70:D83)</f>
        <v>3323229357.9755292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34.5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TARGETS!I22</f>
        <v>285530553</v>
      </c>
      <c r="E89" s="122">
        <f>IFERROR(C32,0)</f>
        <v>185272533.73476499</v>
      </c>
      <c r="F89" s="61">
        <f t="shared" ref="F89:F94" si="7">IFERROR(E89/D89,0)</f>
        <v>0.64887113406306818</v>
      </c>
      <c r="G89" s="125">
        <f>D89-E89</f>
        <v>100258019.26523501</v>
      </c>
      <c r="H89" s="125">
        <f ca="1">IFERROR(G89/C3,0)</f>
        <v>0</v>
      </c>
      <c r="I89" s="116"/>
    </row>
    <row r="90" spans="2:9" ht="20.100000000000001" customHeight="1" x14ac:dyDescent="0.25">
      <c r="B90" s="53" t="s">
        <v>94</v>
      </c>
      <c r="C90" s="56" t="s">
        <v>95</v>
      </c>
      <c r="D90" s="126">
        <f>TARGETS!I23</f>
        <v>428831462</v>
      </c>
      <c r="E90" s="122">
        <f>IFERROR(C33,0)</f>
        <v>334871676.45744997</v>
      </c>
      <c r="F90" s="61">
        <f t="shared" si="7"/>
        <v>0.78089344213613221</v>
      </c>
      <c r="G90" s="126">
        <f>D90-E90</f>
        <v>93959785.542550027</v>
      </c>
      <c r="H90" s="126">
        <f ca="1">IFERROR(G90/C3,0)</f>
        <v>0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TARGETS!I24</f>
        <v>1116489049</v>
      </c>
      <c r="E91" s="122">
        <f>M21+M7</f>
        <v>1208589913.9548378</v>
      </c>
      <c r="F91" s="61">
        <f t="shared" si="7"/>
        <v>1.08249150767518</v>
      </c>
      <c r="G91" s="125">
        <f>D91-E91</f>
        <v>-92100864.954837799</v>
      </c>
      <c r="H91" s="125">
        <f ca="1">IFERROR(G91/C3,0)</f>
        <v>0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1830851064</v>
      </c>
      <c r="E94" s="123">
        <f>SUM(E89:E93)</f>
        <v>1728734124.1470528</v>
      </c>
      <c r="F94" s="43">
        <f t="shared" si="7"/>
        <v>0.9442243326828319</v>
      </c>
      <c r="G94" s="119">
        <f>SUM(G89:G93)</f>
        <v>102116939.85294724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58" zoomScaleNormal="100" workbookViewId="0">
      <selection activeCell="B67" sqref="B67:D84"/>
    </sheetView>
  </sheetViews>
  <sheetFormatPr defaultColWidth="8.7109375" defaultRowHeight="15" x14ac:dyDescent="0.25"/>
  <cols>
    <col min="1" max="1" width="2" customWidth="1"/>
    <col min="2" max="2" width="42.28515625" customWidth="1"/>
    <col min="3" max="3" width="16.5703125" customWidth="1"/>
    <col min="4" max="4" width="17.42578125" customWidth="1"/>
    <col min="5" max="5" width="14.7109375" customWidth="1"/>
    <col min="6" max="6" width="14.5703125" customWidth="1"/>
    <col min="7" max="7" width="16.85546875" customWidth="1"/>
    <col min="8" max="8" width="12.5703125" bestFit="1" customWidth="1"/>
    <col min="9" max="9" width="14.28515625" bestFit="1" customWidth="1"/>
    <col min="10" max="10" width="10.28515625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24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59862114.479809999</v>
      </c>
      <c r="N8" s="11">
        <f>D24</f>
        <v>10565277.479984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113883264.968282</v>
      </c>
      <c r="N9" s="11">
        <f>D12+D13</f>
        <v>49298930.56583</v>
      </c>
    </row>
    <row r="10" spans="2:14" x14ac:dyDescent="0.25">
      <c r="B10" s="74" t="s">
        <v>113</v>
      </c>
      <c r="C10" s="206">
        <v>64698159.778673001</v>
      </c>
      <c r="D10" s="206">
        <v>4591739.7856999999</v>
      </c>
      <c r="E10" s="206">
        <v>23430629.829999998</v>
      </c>
      <c r="F10" s="206">
        <v>92720529.394373</v>
      </c>
      <c r="H10" s="116"/>
      <c r="I10" s="116"/>
      <c r="J10" s="116"/>
      <c r="M10" s="11">
        <f>C14</f>
        <v>116810257.242483</v>
      </c>
      <c r="N10" s="11">
        <f>D14</f>
        <v>1499986.4799899999</v>
      </c>
    </row>
    <row r="11" spans="2:14" x14ac:dyDescent="0.25">
      <c r="B11" s="74" t="s">
        <v>114</v>
      </c>
      <c r="C11" s="206">
        <v>67527720.085627005</v>
      </c>
      <c r="D11" s="206">
        <v>10997681.997956</v>
      </c>
      <c r="E11" s="206">
        <v>720720.7</v>
      </c>
      <c r="F11" s="206">
        <v>79246122.783583</v>
      </c>
      <c r="H11" s="116"/>
      <c r="I11" s="116"/>
      <c r="J11" s="116"/>
      <c r="M11" s="11">
        <f>C17</f>
        <v>59684684.999750003</v>
      </c>
      <c r="N11" s="11">
        <f>D17</f>
        <v>12735432.119999999</v>
      </c>
    </row>
    <row r="12" spans="2:14" x14ac:dyDescent="0.25">
      <c r="B12" s="74" t="s">
        <v>70</v>
      </c>
      <c r="C12" s="206">
        <v>69941147.171636999</v>
      </c>
      <c r="D12" s="206">
        <v>46399799.915830001</v>
      </c>
      <c r="E12" s="206">
        <v>15711711.279999999</v>
      </c>
      <c r="F12" s="206">
        <v>132052658.367467</v>
      </c>
      <c r="H12" s="116"/>
      <c r="I12" s="116"/>
      <c r="J12" s="116"/>
      <c r="M12" s="11">
        <f>C16</f>
        <v>67473639.280867994</v>
      </c>
      <c r="N12" s="11">
        <f>D16</f>
        <v>22886348.229936998</v>
      </c>
    </row>
    <row r="13" spans="2:14" x14ac:dyDescent="0.25">
      <c r="B13" s="74" t="s">
        <v>115</v>
      </c>
      <c r="C13" s="206">
        <v>43942117.796645001</v>
      </c>
      <c r="D13" s="206">
        <v>2899130.65</v>
      </c>
      <c r="E13" s="206">
        <v>972972.96</v>
      </c>
      <c r="F13" s="206">
        <v>47814221.406645</v>
      </c>
      <c r="H13" s="116"/>
      <c r="I13" s="116"/>
      <c r="J13" s="116"/>
      <c r="M13" s="11">
        <f>C19</f>
        <v>218216884.534814</v>
      </c>
      <c r="N13" s="11">
        <f>D19</f>
        <v>12804259.439998001</v>
      </c>
    </row>
    <row r="14" spans="2:14" x14ac:dyDescent="0.25">
      <c r="B14" s="74" t="s">
        <v>116</v>
      </c>
      <c r="C14" s="206">
        <v>116810257.242483</v>
      </c>
      <c r="D14" s="206">
        <v>1499986.4799899999</v>
      </c>
      <c r="E14" s="206">
        <v>55856936.369999997</v>
      </c>
      <c r="F14" s="206">
        <v>174167180.092473</v>
      </c>
      <c r="H14" s="116"/>
      <c r="I14" s="116"/>
      <c r="J14" s="116"/>
      <c r="M14" s="11">
        <f>C25</f>
        <v>74354492.684582993</v>
      </c>
      <c r="N14" s="11">
        <f>D25</f>
        <v>7120945.9599959999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67527720.085627005</v>
      </c>
      <c r="N15" s="11">
        <f>D11</f>
        <v>10997681.997956</v>
      </c>
    </row>
    <row r="16" spans="2:14" x14ac:dyDescent="0.25">
      <c r="B16" s="74" t="s">
        <v>74</v>
      </c>
      <c r="C16" s="206">
        <v>67473639.280867994</v>
      </c>
      <c r="D16" s="206">
        <v>22886348.229936998</v>
      </c>
      <c r="E16" s="206">
        <v>5585585.5</v>
      </c>
      <c r="F16" s="206">
        <v>95945573.010804996</v>
      </c>
      <c r="H16" s="116"/>
      <c r="I16" s="116"/>
      <c r="J16" s="116"/>
      <c r="M16" s="11">
        <f>C26</f>
        <v>72810787.618852004</v>
      </c>
      <c r="N16" s="11">
        <f>D26</f>
        <v>8685876.5999989994</v>
      </c>
    </row>
    <row r="17" spans="2:14" x14ac:dyDescent="0.25">
      <c r="B17" s="74" t="s">
        <v>118</v>
      </c>
      <c r="C17" s="206">
        <v>59684684.999750003</v>
      </c>
      <c r="D17" s="206">
        <v>12735432.119999999</v>
      </c>
      <c r="E17" s="206" t="s">
        <v>168</v>
      </c>
      <c r="F17" s="206">
        <v>72420117.119749993</v>
      </c>
      <c r="H17" s="116"/>
      <c r="I17" s="116"/>
      <c r="J17" s="116"/>
      <c r="M17" s="11">
        <f>C10</f>
        <v>64698159.778673001</v>
      </c>
      <c r="N17" s="11">
        <f>D10</f>
        <v>4591739.7856999999</v>
      </c>
    </row>
    <row r="18" spans="2:14" x14ac:dyDescent="0.25">
      <c r="B18" s="74" t="s">
        <v>119</v>
      </c>
      <c r="C18" s="206">
        <v>181232738.213882</v>
      </c>
      <c r="D18" s="206">
        <v>1922738.979998</v>
      </c>
      <c r="E18" s="206">
        <v>713513.52</v>
      </c>
      <c r="F18" s="206">
        <v>183868990.71388</v>
      </c>
      <c r="H18" s="116"/>
      <c r="I18" s="116"/>
      <c r="J18" s="116"/>
      <c r="M18" s="11">
        <f>C27</f>
        <v>113111103.4497</v>
      </c>
      <c r="N18" s="11">
        <f>D27</f>
        <v>23620783.649753999</v>
      </c>
    </row>
    <row r="19" spans="2:14" x14ac:dyDescent="0.25">
      <c r="B19" s="74" t="s">
        <v>121</v>
      </c>
      <c r="C19" s="206">
        <v>218216884.534814</v>
      </c>
      <c r="D19" s="206">
        <v>12804259.439998001</v>
      </c>
      <c r="E19" s="206">
        <v>227177475.94999999</v>
      </c>
      <c r="F19" s="206">
        <v>458198619.92481202</v>
      </c>
      <c r="H19" s="116"/>
      <c r="I19" s="116"/>
      <c r="J19" s="116"/>
      <c r="M19" s="11">
        <f>C20+C21</f>
        <v>37590862.500668004</v>
      </c>
      <c r="N19" s="11">
        <f>D20+D21</f>
        <v>14296115.329815</v>
      </c>
    </row>
    <row r="20" spans="2:14" x14ac:dyDescent="0.25">
      <c r="B20" s="74" t="s">
        <v>123</v>
      </c>
      <c r="C20" s="206">
        <v>28860813.800673001</v>
      </c>
      <c r="D20" s="206">
        <v>504000</v>
      </c>
      <c r="E20" s="206" t="s">
        <v>168</v>
      </c>
      <c r="F20" s="206">
        <v>29364813.800673001</v>
      </c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206">
        <v>8730048.6999949999</v>
      </c>
      <c r="D21" s="206">
        <v>13792115.329815</v>
      </c>
      <c r="E21" s="206">
        <v>6508108.2599999998</v>
      </c>
      <c r="F21" s="206">
        <v>29030272.289810002</v>
      </c>
      <c r="H21" s="116"/>
      <c r="I21" s="116"/>
      <c r="J21" s="116"/>
      <c r="M21" s="14">
        <f>IFERROR(C34,0)+IFERROR(C35,0)+M20</f>
        <v>44291589.471226007</v>
      </c>
      <c r="N21" s="10" t="s">
        <v>122</v>
      </c>
    </row>
    <row r="22" spans="2:14" x14ac:dyDescent="0.25">
      <c r="B22" s="74" t="s">
        <v>172</v>
      </c>
      <c r="C22" s="206">
        <v>26980420.100000001</v>
      </c>
      <c r="D22" s="206" t="s">
        <v>168</v>
      </c>
      <c r="E22" s="206" t="s">
        <v>168</v>
      </c>
      <c r="F22" s="206">
        <v>26980420.100000001</v>
      </c>
      <c r="H22" s="116"/>
      <c r="I22" s="116"/>
      <c r="J22" s="116"/>
    </row>
    <row r="23" spans="2:14" x14ac:dyDescent="0.25">
      <c r="B23" s="74" t="s">
        <v>173</v>
      </c>
      <c r="C23" s="206">
        <v>75177498.400000006</v>
      </c>
      <c r="D23" s="206" t="s">
        <v>168</v>
      </c>
      <c r="E23" s="206">
        <v>2162162.1</v>
      </c>
      <c r="F23" s="206">
        <v>77339660.5</v>
      </c>
      <c r="H23" s="116"/>
      <c r="I23" s="116"/>
      <c r="J23" s="116"/>
    </row>
    <row r="24" spans="2:14" x14ac:dyDescent="0.25">
      <c r="B24" s="74" t="s">
        <v>125</v>
      </c>
      <c r="C24" s="206">
        <v>59862114.479809999</v>
      </c>
      <c r="D24" s="206">
        <v>10565277.479984</v>
      </c>
      <c r="E24" s="206">
        <v>63586486.109999999</v>
      </c>
      <c r="F24" s="206">
        <v>134013878.069794</v>
      </c>
      <c r="H24" s="116"/>
      <c r="I24" s="116"/>
      <c r="J24" s="116"/>
    </row>
    <row r="25" spans="2:14" x14ac:dyDescent="0.25">
      <c r="B25" s="74" t="s">
        <v>126</v>
      </c>
      <c r="C25" s="206">
        <v>74354492.684582993</v>
      </c>
      <c r="D25" s="206">
        <v>7120945.9599959999</v>
      </c>
      <c r="E25" s="206">
        <v>26756756.93995</v>
      </c>
      <c r="F25" s="206">
        <v>108232195.584529</v>
      </c>
      <c r="H25" s="116"/>
      <c r="I25" s="116"/>
      <c r="J25" s="116"/>
    </row>
    <row r="26" spans="2:14" x14ac:dyDescent="0.25">
      <c r="B26" s="74" t="s">
        <v>127</v>
      </c>
      <c r="C26" s="206">
        <v>72810787.618852004</v>
      </c>
      <c r="D26" s="206">
        <v>8685876.5999989994</v>
      </c>
      <c r="E26" s="206">
        <v>106505766.879857</v>
      </c>
      <c r="F26" s="206">
        <v>188002431.098708</v>
      </c>
      <c r="H26" s="116"/>
      <c r="I26" s="116"/>
      <c r="J26" s="116"/>
    </row>
    <row r="27" spans="2:14" x14ac:dyDescent="0.25">
      <c r="B27" s="74" t="s">
        <v>128</v>
      </c>
      <c r="C27" s="206">
        <v>113111103.4497</v>
      </c>
      <c r="D27" s="206">
        <v>23620783.649753999</v>
      </c>
      <c r="E27" s="206" t="s">
        <v>168</v>
      </c>
      <c r="F27" s="206">
        <v>136731887.09945399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6">
        <v>28583675.409811001</v>
      </c>
      <c r="G32" s="116"/>
      <c r="H32" s="116"/>
      <c r="I32" s="116"/>
    </row>
    <row r="33" spans="2:14" x14ac:dyDescent="0.25">
      <c r="B33" s="84" t="s">
        <v>133</v>
      </c>
      <c r="C33" s="206">
        <v>108413508.17652801</v>
      </c>
      <c r="G33" s="116"/>
      <c r="H33" s="116"/>
      <c r="I33" s="116"/>
    </row>
    <row r="34" spans="2:14" x14ac:dyDescent="0.25">
      <c r="B34" s="84" t="s">
        <v>134</v>
      </c>
      <c r="C34" s="206">
        <v>23451986.379539002</v>
      </c>
      <c r="G34" s="116"/>
      <c r="H34" s="116"/>
      <c r="I34" s="116"/>
    </row>
    <row r="35" spans="2:14" x14ac:dyDescent="0.25">
      <c r="B35" s="84" t="s">
        <v>135</v>
      </c>
      <c r="C35" s="206">
        <v>20839603.091687001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1" customHeight="1" x14ac:dyDescent="0.25">
      <c r="B41" s="225" t="s">
        <v>185</v>
      </c>
      <c r="C41" s="226"/>
      <c r="D41" s="227"/>
      <c r="E41" s="67" t="s">
        <v>138</v>
      </c>
      <c r="F41" s="73">
        <f ca="1">IF(MONTH(TODAY())=7,DAY(TODAY())/DAY(EOMONTH(TODAY(),0)),IF(MONTH(TODAY())&gt;7,1,0))</f>
        <v>0.12903225806451613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SUM(TARGETS!P5:P7,TARGETS!P8:P13,TARGETS!P14:P18)</f>
        <v>7947843806.3476896</v>
      </c>
      <c r="E43" s="46">
        <f>G65</f>
        <v>1168181890.12411</v>
      </c>
      <c r="F43" s="44">
        <f>IFERROR(E43/D43,0)</f>
        <v>0.14698098233776566</v>
      </c>
      <c r="G43" s="118">
        <f>D43-E43</f>
        <v>6779661916.2235794</v>
      </c>
      <c r="H43" s="118">
        <f ca="1">IFERROR(G43/C3,0)</f>
        <v>282485913.17598248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SUM(TARGETS!Q5:Q6,TARGETS!Q8:Q12,TARGETS!Q14:Q18)</f>
        <v>1482705651.09074</v>
      </c>
      <c r="E44" s="46">
        <f>N8+N9+N10+N11+N12+N13+N14+N15+N16+N17+N18+N19</f>
        <v>179103377.63895899</v>
      </c>
      <c r="F44" s="44">
        <f>IFERROR(E44/D44,0)</f>
        <v>0.12079496527662324</v>
      </c>
      <c r="G44" s="118">
        <f>D44-E44</f>
        <v>1303602273.451781</v>
      </c>
      <c r="H44" s="118">
        <f ca="1">IFERROR(G44/C3,0)</f>
        <v>54316761.393824212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SUM(TARGETS!J22:J26)</f>
        <v>1851063829.7872343</v>
      </c>
      <c r="E45" s="46">
        <f>IFERROR(C32,0)+IFERROR(C33,0)+M21+F9</f>
        <v>181288773.057565</v>
      </c>
      <c r="F45" s="44">
        <f>IFERROR(E45/D45,0)</f>
        <v>9.7937613031098325E-2</v>
      </c>
      <c r="G45" s="118">
        <f>D45-E45</f>
        <v>1669775056.7296693</v>
      </c>
      <c r="H45" s="118">
        <f ca="1">IFERROR(G45/C3,0)</f>
        <v>69573960.697069556</v>
      </c>
      <c r="I45" s="116"/>
    </row>
    <row r="46" spans="2:14" x14ac:dyDescent="0.25">
      <c r="B46" s="222" t="s">
        <v>146</v>
      </c>
      <c r="C46" s="223"/>
      <c r="D46" s="47">
        <f>D43+D44+D45</f>
        <v>11281613287.225662</v>
      </c>
      <c r="E46" s="47">
        <f>E43+E44+E45</f>
        <v>1528574040.8206339</v>
      </c>
      <c r="F46" s="43">
        <f>IFERROR(E46/D46,0)</f>
        <v>0.13549250465369708</v>
      </c>
      <c r="G46" s="119">
        <f>G43+G44+G45</f>
        <v>9753039246.4050293</v>
      </c>
      <c r="H46" s="119">
        <f ca="1">IFERROR(G46/C3,0)</f>
        <v>406376635.26687622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2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21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ht="20.100000000000001" customHeight="1" x14ac:dyDescent="0.25">
      <c r="B51" s="50" t="s">
        <v>67</v>
      </c>
      <c r="C51" s="55" t="s">
        <v>68</v>
      </c>
      <c r="D51" s="127">
        <f>TARGETS!P5</f>
        <v>491237177.12546343</v>
      </c>
      <c r="E51" s="127">
        <f>TARGETS!Q5</f>
        <v>76328678.073981449</v>
      </c>
      <c r="F51" s="127">
        <f t="shared" ref="F51:F64" si="0">D51+E51</f>
        <v>567565855.19944489</v>
      </c>
      <c r="G51" s="122">
        <f>M8</f>
        <v>59862114.479809999</v>
      </c>
      <c r="H51" s="122">
        <f>N8</f>
        <v>10565277.479984</v>
      </c>
      <c r="I51" s="122">
        <f t="shared" ref="I51:I64" si="1">G51+H51</f>
        <v>70427391.959794</v>
      </c>
      <c r="J51" s="61">
        <f t="shared" ref="J51:J64" si="2">IFERROR(I51/F51,0)</f>
        <v>0.12408673163583023</v>
      </c>
      <c r="K51" s="51">
        <f t="shared" ref="K51:M64" si="3">D51-G51</f>
        <v>431375062.64565343</v>
      </c>
      <c r="L51" s="51">
        <f t="shared" si="3"/>
        <v>65763400.593997449</v>
      </c>
      <c r="M51" s="51">
        <f t="shared" si="3"/>
        <v>497138463.23965091</v>
      </c>
      <c r="N51" s="51">
        <f ca="1">IFERROR(M51/C3,0)</f>
        <v>20714102.634985454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TARGETS!P6</f>
        <v>657457159.85174966</v>
      </c>
      <c r="E52" s="128">
        <f>TARGETS!Q6</f>
        <v>181265056.8810223</v>
      </c>
      <c r="F52" s="128">
        <f t="shared" si="0"/>
        <v>838722216.73277199</v>
      </c>
      <c r="G52" s="122">
        <f>M9</f>
        <v>113883264.968282</v>
      </c>
      <c r="H52" s="122">
        <f>N9</f>
        <v>49298930.56583</v>
      </c>
      <c r="I52" s="122">
        <f t="shared" si="1"/>
        <v>163182195.53411201</v>
      </c>
      <c r="J52" s="61">
        <f t="shared" si="2"/>
        <v>0.19456047816377806</v>
      </c>
      <c r="K52" s="54">
        <f t="shared" si="3"/>
        <v>543573894.88346767</v>
      </c>
      <c r="L52" s="54">
        <f t="shared" si="3"/>
        <v>131966126.31519231</v>
      </c>
      <c r="M52" s="54">
        <f t="shared" si="3"/>
        <v>675540021.19866002</v>
      </c>
      <c r="N52" s="54">
        <f ca="1">IFERROR(M52/C3,0)</f>
        <v>28147500.883277502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TARGETS!P7</f>
        <v>248955573.78787571</v>
      </c>
      <c r="E53" s="157">
        <f>TARGETS!Q7</f>
        <v>0</v>
      </c>
      <c r="F53" s="157">
        <f>D53+E53</f>
        <v>248955573.78787571</v>
      </c>
      <c r="G53" s="122">
        <f>C22</f>
        <v>26980420.100000001</v>
      </c>
      <c r="H53" s="122">
        <f>IF(D22="",0,D22)</f>
        <v>0</v>
      </c>
      <c r="I53" s="122">
        <f>G53+H53</f>
        <v>26980420.100000001</v>
      </c>
      <c r="J53" s="61">
        <f>IFERROR(I53/F53,0)</f>
        <v>0.10837443681011477</v>
      </c>
      <c r="K53" s="54">
        <f>D53-G53</f>
        <v>221975153.68787572</v>
      </c>
      <c r="L53" s="54">
        <f>E53-H53</f>
        <v>0</v>
      </c>
      <c r="M53" s="54">
        <f>F53-I53</f>
        <v>221975153.68787572</v>
      </c>
      <c r="N53" s="54">
        <f ca="1">IFERROR(M53/C3,0)</f>
        <v>9248964.7369948216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TARGETS!P8</f>
        <v>728387277.57390273</v>
      </c>
      <c r="E54" s="128">
        <f>TARGETS!Q8</f>
        <v>51482866.524593353</v>
      </c>
      <c r="F54" s="128">
        <f t="shared" si="0"/>
        <v>779870144.09849608</v>
      </c>
      <c r="G54" s="122">
        <f>M10</f>
        <v>116810257.242483</v>
      </c>
      <c r="H54" s="122">
        <f t="shared" ref="H54:H58" si="4">N10</f>
        <v>1499986.4799899999</v>
      </c>
      <c r="I54" s="122">
        <f t="shared" si="1"/>
        <v>118310243.72247301</v>
      </c>
      <c r="J54" s="61">
        <f t="shared" si="2"/>
        <v>0.15170505579391774</v>
      </c>
      <c r="K54" s="54">
        <f>D54-G54</f>
        <v>611577020.33141971</v>
      </c>
      <c r="L54" s="54">
        <f t="shared" si="3"/>
        <v>49982880.044603355</v>
      </c>
      <c r="M54" s="54">
        <f t="shared" si="3"/>
        <v>661559900.37602305</v>
      </c>
      <c r="N54" s="54">
        <f ca="1">IFERROR(M54/C3,0)</f>
        <v>27564995.849000961</v>
      </c>
    </row>
    <row r="55" spans="2:14" ht="20.100000000000001" customHeight="1" x14ac:dyDescent="0.25">
      <c r="B55" s="50" t="s">
        <v>73</v>
      </c>
      <c r="C55" s="55" t="s">
        <v>184</v>
      </c>
      <c r="D55" s="127">
        <f>TARGETS!P9</f>
        <v>482312178.47736537</v>
      </c>
      <c r="E55" s="127">
        <f>TARGETS!Q9</f>
        <v>70286112.09958896</v>
      </c>
      <c r="F55" s="127">
        <f t="shared" si="0"/>
        <v>552598290.57695436</v>
      </c>
      <c r="G55" s="122">
        <f>M11</f>
        <v>59684684.999750003</v>
      </c>
      <c r="H55" s="122">
        <f t="shared" si="4"/>
        <v>12735432.119999999</v>
      </c>
      <c r="I55" s="122">
        <f t="shared" si="1"/>
        <v>72420117.119750008</v>
      </c>
      <c r="J55" s="61">
        <f t="shared" si="2"/>
        <v>0.1310538203875693</v>
      </c>
      <c r="K55" s="54">
        <f t="shared" si="3"/>
        <v>422627493.47761536</v>
      </c>
      <c r="L55" s="54">
        <f t="shared" si="3"/>
        <v>57550679.979588963</v>
      </c>
      <c r="M55" s="54">
        <f t="shared" si="3"/>
        <v>480178173.45720434</v>
      </c>
      <c r="N55" s="54">
        <f ca="1">IFERROR(M55/C3,0)</f>
        <v>20007423.894050181</v>
      </c>
    </row>
    <row r="56" spans="2:14" ht="20.100000000000001" customHeight="1" x14ac:dyDescent="0.25">
      <c r="B56" s="53" t="s">
        <v>75</v>
      </c>
      <c r="C56" s="56" t="s">
        <v>99</v>
      </c>
      <c r="D56" s="128">
        <f>TARGETS!P10</f>
        <v>505192003.00308657</v>
      </c>
      <c r="E56" s="128">
        <f>TARGETS!Q10</f>
        <v>122952320.80976211</v>
      </c>
      <c r="F56" s="128">
        <f t="shared" si="0"/>
        <v>628144323.81284869</v>
      </c>
      <c r="G56" s="122">
        <f>M12</f>
        <v>67473639.280867994</v>
      </c>
      <c r="H56" s="122">
        <f t="shared" si="4"/>
        <v>22886348.229936998</v>
      </c>
      <c r="I56" s="122">
        <f t="shared" si="1"/>
        <v>90359987.510804996</v>
      </c>
      <c r="J56" s="61">
        <f t="shared" si="2"/>
        <v>0.14385227102319106</v>
      </c>
      <c r="K56" s="54">
        <f t="shared" si="3"/>
        <v>437718363.72221857</v>
      </c>
      <c r="L56" s="54">
        <f t="shared" si="3"/>
        <v>100065972.5798251</v>
      </c>
      <c r="M56" s="54">
        <f t="shared" si="3"/>
        <v>537784336.30204368</v>
      </c>
      <c r="N56" s="54">
        <f ca="1">IFERROR(M56/C3,0)</f>
        <v>22407680.67925182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TARGETS!P11</f>
        <v>1061245403.0487187</v>
      </c>
      <c r="E57" s="127">
        <f>TARGETS!Q11</f>
        <v>101136997.7886584</v>
      </c>
      <c r="F57" s="127">
        <f t="shared" si="0"/>
        <v>1162382400.8373771</v>
      </c>
      <c r="G57" s="122">
        <f>M13</f>
        <v>218216884.534814</v>
      </c>
      <c r="H57" s="122">
        <f t="shared" si="4"/>
        <v>12804259.439998001</v>
      </c>
      <c r="I57" s="122">
        <f t="shared" si="1"/>
        <v>231021143.974812</v>
      </c>
      <c r="J57" s="61">
        <f t="shared" si="2"/>
        <v>0.19874797124284144</v>
      </c>
      <c r="K57" s="54">
        <f t="shared" si="3"/>
        <v>843028518.51390469</v>
      </c>
      <c r="L57" s="54">
        <f t="shared" si="3"/>
        <v>88332738.348660395</v>
      </c>
      <c r="M57" s="54">
        <f t="shared" si="3"/>
        <v>931361256.86256504</v>
      </c>
      <c r="N57" s="54">
        <f ca="1">IFERROR(M57/C3,0)</f>
        <v>38806719.035940208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TARGETS!P12</f>
        <v>563114170.73408878</v>
      </c>
      <c r="E58" s="128">
        <f>TARGETS!Q12</f>
        <v>104665034.75557049</v>
      </c>
      <c r="F58" s="128">
        <f t="shared" si="0"/>
        <v>667779205.48965931</v>
      </c>
      <c r="G58" s="122">
        <f>M14</f>
        <v>74354492.684582993</v>
      </c>
      <c r="H58" s="122">
        <f t="shared" si="4"/>
        <v>7120945.9599959999</v>
      </c>
      <c r="I58" s="122">
        <f>G58+H58</f>
        <v>81475438.644578993</v>
      </c>
      <c r="J58" s="61">
        <f>IFERROR(I58/F58,0)</f>
        <v>0.12200954742943199</v>
      </c>
      <c r="K58" s="54">
        <f t="shared" si="3"/>
        <v>488759678.04950577</v>
      </c>
      <c r="L58" s="54">
        <f t="shared" si="3"/>
        <v>97544088.795574486</v>
      </c>
      <c r="M58" s="54">
        <f t="shared" si="3"/>
        <v>586303766.84508038</v>
      </c>
      <c r="N58" s="54">
        <f ca="1">IFERROR(M58/C3,0)</f>
        <v>24429323.618545014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TARGETS!P13</f>
        <v>429849184.30128497</v>
      </c>
      <c r="E59" s="157">
        <f>TARGETS!Q13</f>
        <v>0</v>
      </c>
      <c r="F59" s="157">
        <f>D59+E59</f>
        <v>429849184.30128497</v>
      </c>
      <c r="G59" s="122">
        <f>C23</f>
        <v>75177498.400000006</v>
      </c>
      <c r="H59" s="122">
        <f>IF(D23="",0,D23)</f>
        <v>0</v>
      </c>
      <c r="I59" s="122">
        <f>G59+H59</f>
        <v>75177498.400000006</v>
      </c>
      <c r="J59" s="61">
        <f>IFERROR(I59/F59,0)</f>
        <v>0.17489273248755882</v>
      </c>
      <c r="K59" s="54">
        <f>D59-G59</f>
        <v>354671685.90128493</v>
      </c>
      <c r="L59" s="54">
        <f>E59-H59</f>
        <v>0</v>
      </c>
      <c r="M59" s="54">
        <f>F59-I59</f>
        <v>354671685.90128493</v>
      </c>
      <c r="N59" s="54">
        <f ca="1">IFERROR(M59/C3,0)</f>
        <v>14777986.912553539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TARGETS!P14</f>
        <v>514721111.42684805</v>
      </c>
      <c r="E60" s="128">
        <f>TARGETS!Q14</f>
        <v>117663432.08216608</v>
      </c>
      <c r="F60" s="128">
        <f t="shared" si="0"/>
        <v>632384543.50901413</v>
      </c>
      <c r="G60" s="122">
        <f>M15</f>
        <v>67527720.085627005</v>
      </c>
      <c r="H60" s="122">
        <f t="shared" ref="H60:H64" si="5">N15</f>
        <v>10997681.997956</v>
      </c>
      <c r="I60" s="122">
        <f t="shared" si="1"/>
        <v>78525402.083582997</v>
      </c>
      <c r="J60" s="61">
        <f t="shared" si="2"/>
        <v>0.12417349995282369</v>
      </c>
      <c r="K60" s="54">
        <f t="shared" si="3"/>
        <v>447193391.34122103</v>
      </c>
      <c r="L60" s="54">
        <f t="shared" si="3"/>
        <v>106665750.08421007</v>
      </c>
      <c r="M60" s="54">
        <f t="shared" si="3"/>
        <v>553859141.42543113</v>
      </c>
      <c r="N60" s="54">
        <f ca="1">IFERROR(M60/C3,0)</f>
        <v>23077464.226059631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TARGETS!P15</f>
        <v>698845176.23960102</v>
      </c>
      <c r="E61" s="127">
        <f>TARGETS!Q15</f>
        <v>70945960.626210824</v>
      </c>
      <c r="F61" s="127">
        <f t="shared" si="0"/>
        <v>769791136.86581182</v>
      </c>
      <c r="G61" s="122">
        <f>M16</f>
        <v>72810787.618852004</v>
      </c>
      <c r="H61" s="122">
        <f t="shared" si="5"/>
        <v>8685876.5999989994</v>
      </c>
      <c r="I61" s="122">
        <f t="shared" si="1"/>
        <v>81496664.218851</v>
      </c>
      <c r="J61" s="61">
        <f t="shared" si="2"/>
        <v>0.10586854058967596</v>
      </c>
      <c r="K61" s="54">
        <f t="shared" si="3"/>
        <v>626034388.620749</v>
      </c>
      <c r="L61" s="54">
        <f t="shared" si="3"/>
        <v>62260084.026211828</v>
      </c>
      <c r="M61" s="54">
        <f t="shared" si="3"/>
        <v>688294472.64696085</v>
      </c>
      <c r="N61" s="54">
        <f ca="1">IFERROR(M61/C3,0)</f>
        <v>28678936.360290036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TARGETS!P16</f>
        <v>481870364.2173661</v>
      </c>
      <c r="E62" s="128">
        <f>TARGETS!Q16</f>
        <v>48351228.656065792</v>
      </c>
      <c r="F62" s="128">
        <f t="shared" si="0"/>
        <v>530221592.87343192</v>
      </c>
      <c r="G62" s="122">
        <f>M17</f>
        <v>64698159.778673001</v>
      </c>
      <c r="H62" s="122">
        <f t="shared" si="5"/>
        <v>4591739.7856999999</v>
      </c>
      <c r="I62" s="122">
        <f t="shared" si="1"/>
        <v>69289899.564373001</v>
      </c>
      <c r="J62" s="61">
        <f t="shared" si="2"/>
        <v>0.13068102185139233</v>
      </c>
      <c r="K62" s="54">
        <f t="shared" si="3"/>
        <v>417172204.43869311</v>
      </c>
      <c r="L62" s="54">
        <f t="shared" si="3"/>
        <v>43759488.870365791</v>
      </c>
      <c r="M62" s="54">
        <f t="shared" si="3"/>
        <v>460931693.3090589</v>
      </c>
      <c r="N62" s="54">
        <f ca="1">IFERROR(M62/C3,0)</f>
        <v>19205487.221210789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TARGETS!P17</f>
        <v>706054928.99280047</v>
      </c>
      <c r="E63" s="127">
        <f>TARGETS!Q17</f>
        <v>326117403.61363631</v>
      </c>
      <c r="F63" s="127">
        <f t="shared" si="0"/>
        <v>1032172332.6064367</v>
      </c>
      <c r="G63" s="122">
        <f>M18</f>
        <v>113111103.4497</v>
      </c>
      <c r="H63" s="122">
        <f t="shared" si="5"/>
        <v>23620783.649753999</v>
      </c>
      <c r="I63" s="122">
        <f t="shared" si="1"/>
        <v>136731887.09945399</v>
      </c>
      <c r="J63" s="61">
        <f t="shared" si="2"/>
        <v>0.13247001763182245</v>
      </c>
      <c r="K63" s="54">
        <f t="shared" si="3"/>
        <v>592943825.54310048</v>
      </c>
      <c r="L63" s="54">
        <f t="shared" si="3"/>
        <v>302496619.96388233</v>
      </c>
      <c r="M63" s="54">
        <f t="shared" si="3"/>
        <v>895440445.5069828</v>
      </c>
      <c r="N63" s="54">
        <f ca="1">IFERROR(M63/C3,0)</f>
        <v>37310018.562790953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TARGETS!P18</f>
        <v>378602097.56753719</v>
      </c>
      <c r="E64" s="128">
        <f>TARGETS!Q18</f>
        <v>211510559.17948398</v>
      </c>
      <c r="F64" s="128">
        <f t="shared" si="0"/>
        <v>590112656.7470212</v>
      </c>
      <c r="G64" s="122">
        <f>M19</f>
        <v>37590862.500668004</v>
      </c>
      <c r="H64" s="122">
        <f t="shared" si="5"/>
        <v>14296115.329815</v>
      </c>
      <c r="I64" s="122">
        <f t="shared" si="1"/>
        <v>51886977.830483004</v>
      </c>
      <c r="J64" s="61">
        <f t="shared" si="2"/>
        <v>8.7927241073778112E-2</v>
      </c>
      <c r="K64" s="54">
        <f t="shared" si="3"/>
        <v>341011235.0668692</v>
      </c>
      <c r="L64" s="54">
        <f t="shared" si="3"/>
        <v>197214443.84966898</v>
      </c>
      <c r="M64" s="54">
        <f t="shared" si="3"/>
        <v>538225678.91653824</v>
      </c>
      <c r="N64" s="54">
        <f ca="1">IFERROR(M64/C3,0)</f>
        <v>22426069.954855759</v>
      </c>
    </row>
    <row r="65" spans="2:14" ht="20.100000000000001" customHeight="1" x14ac:dyDescent="0.25">
      <c r="B65" s="57" t="s">
        <v>152</v>
      </c>
      <c r="C65" s="58"/>
      <c r="D65" s="151">
        <f>SUM(D51:D64)</f>
        <v>7947843806.3476896</v>
      </c>
      <c r="E65" s="151">
        <f t="shared" ref="E65" si="6">SUM(E51:E52,E54:E58,E60:E64)</f>
        <v>1482705651.09074</v>
      </c>
      <c r="F65" s="151">
        <f>SUM(F51:F64)</f>
        <v>9430549457.438427</v>
      </c>
      <c r="G65" s="152">
        <f>SUM(G51:G64)</f>
        <v>1168181890.12411</v>
      </c>
      <c r="H65" s="152">
        <f>SUM(H51:H64)</f>
        <v>179103377.63895899</v>
      </c>
      <c r="I65" s="152">
        <f>SUM(I51:I64)</f>
        <v>1347285267.7630689</v>
      </c>
      <c r="J65" s="153">
        <f>IFERROR(I65/F65,0)</f>
        <v>0.14286392047924484</v>
      </c>
      <c r="K65" s="154">
        <f>SUM(K51:K64)</f>
        <v>6779661916.2235775</v>
      </c>
      <c r="L65" s="154">
        <f>SUM(L51:L64)</f>
        <v>1303602273.451781</v>
      </c>
      <c r="M65" s="154">
        <f>SUM(M51:M64)</f>
        <v>8083264189.6753607</v>
      </c>
      <c r="N65" s="154">
        <f ca="1">IFERROR(M65/C3,0)</f>
        <v>336802674.56980669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21" customHeight="1" x14ac:dyDescent="0.25">
      <c r="B68" s="224" t="s">
        <v>41</v>
      </c>
      <c r="C68" s="224" t="s">
        <v>42</v>
      </c>
      <c r="D68" s="134" t="s">
        <v>139</v>
      </c>
    </row>
    <row r="69" spans="2:14" ht="21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48">
        <f>IF(E24="",0,E24)</f>
        <v>63586486.109999999</v>
      </c>
    </row>
    <row r="71" spans="2:14" ht="20.100000000000001" customHeight="1" x14ac:dyDescent="0.25">
      <c r="B71" s="53" t="s">
        <v>69</v>
      </c>
      <c r="C71" s="56" t="s">
        <v>70</v>
      </c>
      <c r="D71" s="148">
        <f>IF(E12="",0,E12)+IF(E13="",0,E13)</f>
        <v>16684684.239999998</v>
      </c>
    </row>
    <row r="72" spans="2:14" ht="20.100000000000001" customHeight="1" x14ac:dyDescent="0.25">
      <c r="B72" s="53" t="s">
        <v>175</v>
      </c>
      <c r="C72" s="56" t="s">
        <v>176</v>
      </c>
      <c r="D72" s="148">
        <f>IF(E22="",0,E22)</f>
        <v>0</v>
      </c>
    </row>
    <row r="73" spans="2:14" ht="20.100000000000001" customHeight="1" x14ac:dyDescent="0.25">
      <c r="B73" s="50" t="s">
        <v>71</v>
      </c>
      <c r="C73" s="55" t="s">
        <v>72</v>
      </c>
      <c r="D73" s="148">
        <f>IF(E14="",0,E14)</f>
        <v>55856936.369999997</v>
      </c>
    </row>
    <row r="74" spans="2:14" ht="20.100000000000001" customHeight="1" x14ac:dyDescent="0.25">
      <c r="B74" s="53" t="s">
        <v>73</v>
      </c>
      <c r="C74" s="56" t="s">
        <v>74</v>
      </c>
      <c r="D74" s="148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48">
        <f>IF(E16="",0,E16)</f>
        <v>5585585.5</v>
      </c>
    </row>
    <row r="76" spans="2:14" ht="20.100000000000001" customHeight="1" x14ac:dyDescent="0.25">
      <c r="B76" s="53" t="s">
        <v>76</v>
      </c>
      <c r="C76" s="56" t="s">
        <v>77</v>
      </c>
      <c r="D76" s="148">
        <f>IF(E19="",0,E19)</f>
        <v>227177475.94999999</v>
      </c>
    </row>
    <row r="77" spans="2:14" ht="20.100000000000001" customHeight="1" x14ac:dyDescent="0.25">
      <c r="B77" s="50" t="s">
        <v>78</v>
      </c>
      <c r="C77" s="55" t="s">
        <v>79</v>
      </c>
      <c r="D77" s="148">
        <f>IF(E25="",0,E25)</f>
        <v>26756756.93995</v>
      </c>
    </row>
    <row r="78" spans="2:14" ht="20.100000000000001" customHeight="1" x14ac:dyDescent="0.25">
      <c r="B78" s="53" t="s">
        <v>175</v>
      </c>
      <c r="C78" s="56" t="s">
        <v>177</v>
      </c>
      <c r="D78" s="148">
        <f>IF(E23="",0,E23)</f>
        <v>2162162.1</v>
      </c>
    </row>
    <row r="79" spans="2:14" ht="20.100000000000001" customHeight="1" x14ac:dyDescent="0.25">
      <c r="B79" s="53" t="s">
        <v>80</v>
      </c>
      <c r="C79" s="56" t="s">
        <v>81</v>
      </c>
      <c r="D79" s="148">
        <f>IF(E11="",0,E11)</f>
        <v>720720.7</v>
      </c>
    </row>
    <row r="80" spans="2:14" ht="20.100000000000001" customHeight="1" x14ac:dyDescent="0.25">
      <c r="B80" s="50" t="s">
        <v>82</v>
      </c>
      <c r="C80" s="55" t="s">
        <v>83</v>
      </c>
      <c r="D80" s="148">
        <f>IF(E26="",0,E26)</f>
        <v>106505766.879857</v>
      </c>
    </row>
    <row r="81" spans="2:9" ht="20.100000000000001" customHeight="1" x14ac:dyDescent="0.25">
      <c r="B81" s="53" t="s">
        <v>84</v>
      </c>
      <c r="C81" s="56" t="s">
        <v>85</v>
      </c>
      <c r="D81" s="148">
        <f>IF(E10="",0,E10)</f>
        <v>23430629.829999998</v>
      </c>
    </row>
    <row r="82" spans="2:9" ht="20.100000000000001" customHeight="1" x14ac:dyDescent="0.25">
      <c r="B82" s="50" t="s">
        <v>86</v>
      </c>
      <c r="C82" s="55" t="s">
        <v>87</v>
      </c>
      <c r="D82" s="148">
        <f>IF(E27="",0,E27)</f>
        <v>0</v>
      </c>
    </row>
    <row r="83" spans="2:9" ht="20.100000000000001" customHeight="1" x14ac:dyDescent="0.25">
      <c r="B83" s="53" t="s">
        <v>88</v>
      </c>
      <c r="C83" s="56" t="s">
        <v>89</v>
      </c>
      <c r="D83" s="148">
        <f>IF(E20="",0,E20)+IF(E21="",0,E21)</f>
        <v>6508108.2599999998</v>
      </c>
    </row>
    <row r="84" spans="2:9" ht="20.100000000000001" customHeight="1" x14ac:dyDescent="0.25">
      <c r="B84" s="57" t="s">
        <v>152</v>
      </c>
      <c r="C84" s="58"/>
      <c r="D84" s="129">
        <f>SUM(D70:D83)</f>
        <v>534975312.87980694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21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TARGETS!J22</f>
        <v>293136935.89361715</v>
      </c>
      <c r="E89" s="122">
        <f>IFERROR(C32,0)</f>
        <v>28583675.409811001</v>
      </c>
      <c r="F89" s="61">
        <f t="shared" ref="F89:F94" si="7">IFERROR(E89/D89,0)</f>
        <v>9.7509634269303938E-2</v>
      </c>
      <c r="G89" s="125">
        <f>D89-E89</f>
        <v>264553260.48380616</v>
      </c>
      <c r="H89" s="125">
        <f ca="1">IFERROR(G89/C3,0)</f>
        <v>11023052.520158591</v>
      </c>
      <c r="I89" s="116"/>
    </row>
    <row r="90" spans="2:9" ht="20.100000000000001" customHeight="1" x14ac:dyDescent="0.25">
      <c r="B90" s="53" t="s">
        <v>94</v>
      </c>
      <c r="C90" s="56" t="s">
        <v>101</v>
      </c>
      <c r="D90" s="126">
        <f>TARGETS!J23</f>
        <v>436437844.89361715</v>
      </c>
      <c r="E90" s="122">
        <f>IFERROR(C33,0)</f>
        <v>108413508.17652801</v>
      </c>
      <c r="F90" s="61">
        <f t="shared" si="7"/>
        <v>0.24840537878412922</v>
      </c>
      <c r="G90" s="126">
        <f>D90-E90</f>
        <v>328024336.71708918</v>
      </c>
      <c r="H90" s="126">
        <f ca="1">IFERROR(G90/C3,0)</f>
        <v>13667680.696545383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TARGETS!J24</f>
        <v>1121489049</v>
      </c>
      <c r="E91" s="122">
        <f>M21+M7</f>
        <v>44291589.471226007</v>
      </c>
      <c r="F91" s="61">
        <f t="shared" si="7"/>
        <v>3.9493555029110235E-2</v>
      </c>
      <c r="G91" s="125">
        <f>D91-E91</f>
        <v>1077197459.528774</v>
      </c>
      <c r="H91" s="125">
        <f ca="1">IFERROR(G91/C3,0)</f>
        <v>44883227.480365582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1851063829.7872343</v>
      </c>
      <c r="E94" s="123">
        <f>SUM(E89:E93)</f>
        <v>181288773.057565</v>
      </c>
      <c r="F94" s="43">
        <f t="shared" si="7"/>
        <v>9.7937613031098325E-2</v>
      </c>
      <c r="G94" s="119">
        <f>SUM(G89:G93)</f>
        <v>1669775056.7296693</v>
      </c>
      <c r="H94" s="119">
        <f ca="1">IFERROR(G94/C3,0)</f>
        <v>69573960.697069556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162</v>
      </c>
      <c r="C41" s="226"/>
      <c r="D41" s="227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164</v>
      </c>
      <c r="C41" s="226"/>
      <c r="D41" s="227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166</v>
      </c>
      <c r="C41" s="226"/>
      <c r="D41" s="227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178</v>
      </c>
      <c r="C41" s="226"/>
      <c r="D41" s="227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179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180</v>
      </c>
      <c r="C41" s="226"/>
      <c r="D41" s="227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2026-07-04T00:42:22Z</dcterms:modified>
  <dc:language>en-US</dc:language>
</cp:coreProperties>
</file>