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<sst xmlns="http://schemas.openxmlformats.org/spreadsheetml/2006/main" count="1877" uniqueCount="185">
  <si>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</si>
  <si>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</si>
  <si>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</si>
  <si>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</si>
  <si>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</si>
  <si>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</si>
  <si>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</si>
  <si>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</si>
  <si>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</si>
  <si>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</si>
  <si>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</si>
  <si>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</si>
  <si>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</si>
  <si>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</si>
  <si>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</si>
  <si>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</si>
  <si>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</si>
  <si>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</si>
  <si>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</si>
  <si>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</si>
  <si>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</si>
  <si>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</si>
  <si>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</si>
  <si>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</si>
  <si>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</si>
  <si>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</si>
  <si>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</si>
  <si>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</si>
  <si>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</si>
  <si>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</si>
  <si>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</si>
  <si>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</si>
  <si>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</si>
  <si>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</si>
  <si>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</si>
  <si>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</si>
  <si>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</si>
  <si>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</si>
  <si>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</si>
  <si>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</si>
  <si>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</si>
  <si>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</si>
  <si>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</si>
  <si>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</si>
  <si>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</si>
  <si>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</si>
  <si>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</si>
  <si>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</si>
  <si>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</si>
  <si>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</si>
  <si>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</si>
  <si>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</si>
  <si>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</si>
  <si>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</si>
  <si>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</si>
  <si>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</si>
  <si>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</si>
  <si>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</si>
  <si>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</si>
  <si>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</si>
  <si>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</si>
  <si>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</si>
  <si>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</si>
  <si>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</si>
  <si>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</si>
  <si>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</si>
  <si>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</si>
  <si>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</si>
  <si>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</si>
  <si>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</si>
  <si>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</si>
  <si>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</si>
  <si>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</si>
  <si>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</si>
  <si>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</si>
  <si>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</si>
  <si>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</si>
  <si>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</si>
  <si>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</si>
  <si>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</si>
  <si>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</si>
  <si>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</si>
  <si>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</si>
  <si>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</si>
  <si>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</si>
  <si>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</si>
  <si>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</si>
  <si>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</si>
  <si>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</si>
  <si>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</si>
  <si>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</si>
  <si>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</si>
  <si>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</si>
  <si>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</si>
  <si>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</si>
  <si>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</si>
  <si>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</si>
  <si>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</si>
  <si>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</si>
  <si>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</si>
  <si>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</si>
  <si>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</si>
  <si>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</si>
  <si>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</si>
  <si>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</si>
  <si>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</si>
  <si>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</si>
  <si>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</si>
  <si>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</si>
  <si>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</si>
  <si>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</si>
  <si>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</si>
  <si>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</si>
  <si>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</si>
  <si>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</si>
  <si>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</si>
  <si>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</si>
  <si>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</si>
  <si>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</si>
  <si>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</si>
  <si>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</si>
  <si>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</si>
  <si>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</si>
  <si>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</si>
  <si>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</si>
  <si>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</si>
  <si>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</si>
  <si>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</si>
  <si>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</si>
  <si>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</si>
  <si>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</si>
  <si>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</si>
  <si>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</si>
  <si>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</si>
  <si>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</si>
  <si>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</si>
  <si>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</si>
  <si>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</si>
  <si>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</si>
  <si>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</si>
  <si>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</si>
  <si>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</si>
  <si>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</si>
  <si>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</si>
  <si>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</si>
  <si>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</si>
  <si>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</si>
  <si>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</si>
  <si>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</si>
  <si>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</si>
  <si>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</si>
  <si>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</si>
  <si>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</si>
  <si>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</si>
  <si>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</si>
  <si>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</si>
  <si>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</si>
  <si>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</si>
  <si>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</si>
  <si>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</si>
  <si>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</si>
  <si>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</si>
  <si>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</si>
  <si>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</si>
  <si>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</si>
  <si>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</si>
  <si>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</si>
  <si>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</si>
  <si>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</si>
  <si>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</si>
  <si>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</si>
  <si>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</si>
  <si>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</si>
  <si>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</si>
  <si>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</si>
  <si>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</si>
  <si>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</si>
  <si>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</si>
  <si>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</si>
  <si>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</si>
  <si>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</si>
  <si>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</si>
  <si>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</si>
  <si>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</si>
  <si>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09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</si>
</sst>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182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19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5" t="s">
        <v>183</v>
      </c>
      <c r="C41" s="246"/>
      <c r="D41" s="247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33304951.590084579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29241438.40614162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5777500.7757743532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68323890.772000551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7997059.1224507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7155243.9466984207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2310811.6947368416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-2123616.1834751116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6883914.6111329542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4246710.7607865082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-1321954.5088810294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5832338.3281731606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5453270.5352644734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3979576.1924884412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9328218.8108356968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6230227.7980090976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1821351.7348944952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4753237.1531115994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62546389.996226251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-703314.62717223482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-975235.93357275974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7456051.336519354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5777500.7757743597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80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19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117735656.850054</v>
      </c>
      <c r="N8" s="11">
        <f>D24</f>
        <v>28298292.88899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199743705.26072901</v>
      </c>
      <c r="N9" s="11">
        <f>D12+D13</f>
        <v>39590277.125999004</v>
      </c>
    </row>
    <row r="10" spans="2:14" x14ac:dyDescent="0.25">
      <c r="B10" s="74" t="s">
        <v>113</v>
      </c>
      <c r="C10" s="205">
        <v>96238037.215053007</v>
      </c>
      <c r="D10" s="205">
        <v>12766305.931799</v>
      </c>
      <c r="E10" s="205">
        <v>49164133.729999997</v>
      </c>
      <c r="F10" s="205">
        <v>158168476.87685201</v>
      </c>
      <c r="H10" s="116"/>
      <c r="I10" s="116"/>
      <c r="J10" s="116"/>
      <c r="M10" s="11">
        <f>C14</f>
        <v>314777079.08607203</v>
      </c>
      <c r="N10" s="11">
        <f>D14</f>
        <v>8677783.7175789997</v>
      </c>
    </row>
    <row r="11" spans="2:14" x14ac:dyDescent="0.25">
      <c r="B11" s="74" t="s">
        <v>114</v>
      </c>
      <c r="C11" s="205">
        <v>124568945.48766901</v>
      </c>
      <c r="D11" s="205">
        <v>29348863.854412999</v>
      </c>
      <c r="E11" s="205" t="s">
        <v>168</v>
      </c>
      <c r="F11" s="205">
        <v>153917809.34208199</v>
      </c>
      <c r="H11" s="116"/>
      <c r="I11" s="116"/>
      <c r="J11" s="116"/>
      <c r="M11" s="11">
        <f>C17</f>
        <v>100441439.8</v>
      </c>
      <c r="N11" s="11">
        <f>D17</f>
        <v>33673767.340000004</v>
      </c>
    </row>
    <row r="12" spans="2:14" x14ac:dyDescent="0.25">
      <c r="B12" s="74" t="s">
        <v>70</v>
      </c>
      <c r="C12" s="205">
        <v>107551650.422556</v>
      </c>
      <c r="D12" s="205">
        <v>26558998.066082001</v>
      </c>
      <c r="E12" s="205">
        <v>2670270.2400000002</v>
      </c>
      <c r="F12" s="205">
        <v>136780918.72863799</v>
      </c>
      <c r="H12" s="116"/>
      <c r="I12" s="116"/>
      <c r="J12" s="116"/>
      <c r="M12" s="11">
        <f>C16</f>
        <v>183969906.55358899</v>
      </c>
      <c r="N12" s="11">
        <f>D16</f>
        <v>37583798.459847003</v>
      </c>
    </row>
    <row r="13" spans="2:14" x14ac:dyDescent="0.25">
      <c r="B13" s="74" t="s">
        <v>115</v>
      </c>
      <c r="C13" s="205">
        <v>92192054.838173002</v>
      </c>
      <c r="D13" s="205">
        <v>13031279.059916999</v>
      </c>
      <c r="E13" s="205">
        <v>8372162</v>
      </c>
      <c r="F13" s="205">
        <v>113595495.89809</v>
      </c>
      <c r="H13" s="116"/>
      <c r="I13" s="116"/>
      <c r="J13" s="116"/>
      <c r="M13" s="11">
        <f>C19</f>
        <v>262119110.493633</v>
      </c>
      <c r="N13" s="11">
        <f>D19</f>
        <v>32287974.319944002</v>
      </c>
    </row>
    <row r="14" spans="2:14" x14ac:dyDescent="0.25">
      <c r="B14" s="74" t="s">
        <v>116</v>
      </c>
      <c r="C14" s="205">
        <v>314777079.08607203</v>
      </c>
      <c r="D14" s="205">
        <v>8677783.7175789997</v>
      </c>
      <c r="E14" s="205">
        <v>82001802.109999999</v>
      </c>
      <c r="F14" s="205">
        <v>405456664.91365099</v>
      </c>
      <c r="H14" s="116"/>
      <c r="I14" s="116"/>
      <c r="J14" s="116"/>
      <c r="M14" s="11">
        <f>C25</f>
        <v>153628801.92758399</v>
      </c>
      <c r="N14" s="11">
        <f>D25</f>
        <v>20698577.639975999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124568945.48766901</v>
      </c>
      <c r="N15" s="11">
        <f>D11</f>
        <v>29348863.854412999</v>
      </c>
    </row>
    <row r="16" spans="2:14" x14ac:dyDescent="0.25">
      <c r="B16" s="74" t="s">
        <v>74</v>
      </c>
      <c r="C16" s="205">
        <v>183969906.55358899</v>
      </c>
      <c r="D16" s="205">
        <v>37583798.459847003</v>
      </c>
      <c r="E16" s="205">
        <v>9495225.0999999996</v>
      </c>
      <c r="F16" s="205">
        <v>231048930.11343601</v>
      </c>
      <c r="H16" s="116"/>
      <c r="I16" s="116"/>
      <c r="J16" s="116"/>
      <c r="M16" s="11">
        <f>C26</f>
        <v>183317238.90193999</v>
      </c>
      <c r="N16" s="11">
        <f>D26</f>
        <v>15736126.305468</v>
      </c>
    </row>
    <row r="17" spans="2:14" x14ac:dyDescent="0.25">
      <c r="B17" s="74" t="s">
        <v>118</v>
      </c>
      <c r="C17" s="205">
        <v>100441439.8</v>
      </c>
      <c r="D17" s="205">
        <v>33673767.340000004</v>
      </c>
      <c r="E17" s="205" t="s">
        <v>168</v>
      </c>
      <c r="F17" s="205">
        <v>134115207.14</v>
      </c>
      <c r="H17" s="116"/>
      <c r="I17" s="116"/>
      <c r="J17" s="116"/>
      <c r="M17" s="11">
        <f>C10</f>
        <v>96238037.215053007</v>
      </c>
      <c r="N17" s="11">
        <f>D10</f>
        <v>12766305.931799</v>
      </c>
    </row>
    <row r="18" spans="2:14" x14ac:dyDescent="0.25">
      <c r="B18" s="74" t="s">
        <v>119</v>
      </c>
      <c r="C18" s="205">
        <v>146236600.41912001</v>
      </c>
      <c r="D18" s="205">
        <v>783513.519998</v>
      </c>
      <c r="E18" s="205">
        <v>6824324.2400000002</v>
      </c>
      <c r="F18" s="205">
        <v>153844438.17911801</v>
      </c>
      <c r="H18" s="116"/>
      <c r="I18" s="116"/>
      <c r="J18" s="116"/>
      <c r="M18" s="11">
        <f>C27</f>
        <v>252347348.71590301</v>
      </c>
      <c r="N18" s="11">
        <f>D27</f>
        <v>11359406.759997001</v>
      </c>
    </row>
    <row r="19" spans="2:14" x14ac:dyDescent="0.25">
      <c r="B19" s="74" t="s">
        <v>121</v>
      </c>
      <c r="C19" s="205">
        <v>262119110.493633</v>
      </c>
      <c r="D19" s="205">
        <v>32287974.319944002</v>
      </c>
      <c r="E19" s="205">
        <v>486263072.48997998</v>
      </c>
      <c r="F19" s="205">
        <v>780670157.30355704</v>
      </c>
      <c r="H19" s="116"/>
      <c r="I19" s="116"/>
      <c r="J19" s="116"/>
      <c r="M19" s="11">
        <f>C20+C21</f>
        <v>58853093.639789999</v>
      </c>
      <c r="N19" s="11">
        <f>D20+D21</f>
        <v>32604979.759608001</v>
      </c>
    </row>
    <row r="20" spans="2:14" x14ac:dyDescent="0.25">
      <c r="B20" s="74" t="s">
        <v>123</v>
      </c>
      <c r="C20" s="205">
        <v>41008455.639789999</v>
      </c>
      <c r="D20" s="205">
        <v>12668340.47986</v>
      </c>
      <c r="E20" s="205">
        <v>1945946</v>
      </c>
      <c r="F20" s="205">
        <v>55622742.119649999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17844638</v>
      </c>
      <c r="D21" s="205">
        <v>19936639.279748</v>
      </c>
      <c r="E21" s="205">
        <v>15762162.460000001</v>
      </c>
      <c r="F21" s="205">
        <v>53543439.739748001</v>
      </c>
      <c r="H21" s="116"/>
      <c r="I21" s="116"/>
      <c r="J21" s="116"/>
      <c r="M21" s="14">
        <f>IFERROR(C34,0)+IFERROR(C35,0)+M20</f>
        <v>275337806.31482899</v>
      </c>
      <c r="N21" s="10" t="s">
        <v>122</v>
      </c>
    </row>
    <row r="22" spans="2:14" x14ac:dyDescent="0.25">
      <c r="B22" s="74" t="s">
        <v>172</v>
      </c>
      <c r="C22" s="205">
        <v>35091520</v>
      </c>
      <c r="D22" s="205" t="s">
        <v>168</v>
      </c>
      <c r="E22" s="205" t="s">
        <v>168</v>
      </c>
      <c r="F22" s="205">
        <v>35091520</v>
      </c>
      <c r="H22" s="116"/>
      <c r="I22" s="116"/>
      <c r="J22" s="116"/>
    </row>
    <row r="23" spans="2:14" x14ac:dyDescent="0.25">
      <c r="B23" s="74" t="s">
        <v>173</v>
      </c>
      <c r="C23" s="205">
        <v>92325602.239999995</v>
      </c>
      <c r="D23" s="205" t="s">
        <v>168</v>
      </c>
      <c r="E23" s="205">
        <v>3687657.56</v>
      </c>
      <c r="F23" s="205">
        <v>96013259.799999997</v>
      </c>
      <c r="H23" s="116"/>
      <c r="I23" s="116"/>
      <c r="J23" s="116"/>
    </row>
    <row r="24" spans="2:14" x14ac:dyDescent="0.25">
      <c r="B24" s="74" t="s">
        <v>125</v>
      </c>
      <c r="C24" s="205">
        <v>117735656.850054</v>
      </c>
      <c r="D24" s="205">
        <v>28298292.88899</v>
      </c>
      <c r="E24" s="205">
        <v>150475946.51989999</v>
      </c>
      <c r="F24" s="205">
        <v>296509896.25894397</v>
      </c>
      <c r="H24" s="116"/>
      <c r="I24" s="116"/>
      <c r="J24" s="116"/>
    </row>
    <row r="25" spans="2:14" x14ac:dyDescent="0.25">
      <c r="B25" s="74" t="s">
        <v>126</v>
      </c>
      <c r="C25" s="205">
        <v>153628801.92758399</v>
      </c>
      <c r="D25" s="205">
        <v>20698577.639975999</v>
      </c>
      <c r="E25" s="205">
        <v>93887839.209775001</v>
      </c>
      <c r="F25" s="205">
        <v>268215218.77733499</v>
      </c>
      <c r="H25" s="116"/>
      <c r="I25" s="116"/>
      <c r="J25" s="116"/>
    </row>
    <row r="26" spans="2:14" x14ac:dyDescent="0.25">
      <c r="B26" s="74" t="s">
        <v>127</v>
      </c>
      <c r="C26" s="205">
        <v>183317238.90193999</v>
      </c>
      <c r="D26" s="205">
        <v>15736126.305468</v>
      </c>
      <c r="E26" s="205">
        <v>210438650.29978001</v>
      </c>
      <c r="F26" s="205">
        <v>409492015.50718802</v>
      </c>
      <c r="H26" s="116"/>
      <c r="I26" s="116"/>
      <c r="J26" s="116"/>
    </row>
    <row r="27" spans="2:14" x14ac:dyDescent="0.25">
      <c r="B27" s="74" t="s">
        <v>128</v>
      </c>
      <c r="C27" s="205">
        <v>252347348.71590301</v>
      </c>
      <c r="D27" s="205">
        <v>11359406.759997001</v>
      </c>
      <c r="E27" s="205">
        <v>1902162.2150000001</v>
      </c>
      <c r="F27" s="205">
        <v>265608917.6909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80412292.329539001</v>
      </c>
      <c r="G32" s="116"/>
      <c r="H32" s="116"/>
      <c r="I32" s="116"/>
    </row>
    <row r="33" spans="2:14" x14ac:dyDescent="0.25">
      <c r="B33" s="84" t="s">
        <v>133</v>
      </c>
      <c r="C33" s="205">
        <v>121443345.52067301</v>
      </c>
      <c r="G33" s="116"/>
      <c r="H33" s="116"/>
      <c r="I33" s="116"/>
    </row>
    <row r="34" spans="2:14" x14ac:dyDescent="0.25">
      <c r="B34" s="84" t="s">
        <v>134</v>
      </c>
      <c r="C34" s="205">
        <v>58423675.421282999</v>
      </c>
      <c r="G34" s="116"/>
      <c r="H34" s="116"/>
      <c r="I34" s="116"/>
    </row>
    <row r="35" spans="2:14" x14ac:dyDescent="0.25">
      <c r="B35" s="84" t="s">
        <v>135</v>
      </c>
      <c r="C35" s="205">
        <v>216914130.89354599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4" t="s">
        <v>184</v>
      </c>
      <c r="C41" s="225"/>
      <c r="D41" s="226"/>
      <c r="E41" s="67" t="s">
        <v>138</v>
      </c>
      <c r="F41" s="73">
        <f ca="1">IF(MONTH(TODAY())=6,DAY(TODAY())/DAY(EOMONTH(TODAY(),0)),IF(MONTH(TODAY())&gt;6,1,0))</f>
        <v>0.3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2175157486.1720157</v>
      </c>
      <c r="F43" s="44">
        <f>IFERROR(E43/D43,0)</f>
        <v>0.29963821292612242</v>
      </c>
      <c r="G43" s="118">
        <f>D43-E43</f>
        <v>5084121845.8279839</v>
      </c>
      <c r="H43" s="118">
        <f ca="1">IFERROR(G43/C3,0)</f>
        <v>267585360.30673599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302626154.10361993</v>
      </c>
      <c r="F44" s="44">
        <f>IFERROR(E44/D44,0)</f>
        <v>0.16724989664444562</v>
      </c>
      <c r="G44" s="118">
        <f>D44-E44</f>
        <v>1506798904.8963799</v>
      </c>
      <c r="H44" s="118">
        <f ca="1">IFERROR(G44/C3,0)</f>
        <v>79305205.520862103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477193444.16504097</v>
      </c>
      <c r="F45" s="44">
        <f>IFERROR(E45/D45,0)</f>
        <v>0.26064023095493088</v>
      </c>
      <c r="G45" s="118">
        <f>D45-E45</f>
        <v>1353657619.834959</v>
      </c>
      <c r="H45" s="118">
        <f ca="1">IFERROR(G45/C3,0)</f>
        <v>71245137.886050478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10899555455</v>
      </c>
      <c r="E46" s="47">
        <f>E43+E44+E45</f>
        <v>2954977084.4406767</v>
      </c>
      <c r="F46" s="43">
        <f>IFERROR(E46/D46,0)</f>
        <v>0.27110987201639747</v>
      </c>
      <c r="G46" s="119">
        <f>G43+G44+G45</f>
        <v>7944578370.5593224</v>
      </c>
      <c r="H46" s="119">
        <f ca="1">IFERROR(G46/C3,0)</f>
        <v>418135703.71364856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1.75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19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117735656.850054</v>
      </c>
      <c r="H51" s="122">
        <f>N8</f>
        <v>28298292.88899</v>
      </c>
      <c r="I51" s="122">
        <f t="shared" ref="I51:I64" si="1">G51+H51</f>
        <v>146033949.73904401</v>
      </c>
      <c r="J51" s="61">
        <f t="shared" ref="J51:J64" si="2">IFERROR(I51/F51,0)</f>
        <v>0.26383068153340561</v>
      </c>
      <c r="K51" s="51">
        <f t="shared" ref="K51:M64" si="3">D51-G51</f>
        <v>333947821.14994597</v>
      </c>
      <c r="L51" s="51">
        <f t="shared" si="3"/>
        <v>73532130.11101</v>
      </c>
      <c r="M51" s="51">
        <f t="shared" si="3"/>
        <v>407479951.26095599</v>
      </c>
      <c r="N51" s="51">
        <f ca="1">IFERROR(M51/C3,0)</f>
        <v>21446313.224260841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199743705.26072901</v>
      </c>
      <c r="H52" s="122">
        <f>N9</f>
        <v>39590277.125999004</v>
      </c>
      <c r="I52" s="122">
        <f t="shared" si="1"/>
        <v>239333982.38672802</v>
      </c>
      <c r="J52" s="61">
        <f t="shared" si="2"/>
        <v>0.29355716859556447</v>
      </c>
      <c r="K52" s="54">
        <f t="shared" si="3"/>
        <v>390438665.73927099</v>
      </c>
      <c r="L52" s="54">
        <f t="shared" si="3"/>
        <v>185516528.874001</v>
      </c>
      <c r="M52" s="54">
        <f t="shared" si="3"/>
        <v>575955194.61327195</v>
      </c>
      <c r="N52" s="54">
        <f ca="1">IFERROR(M52/C3,0)</f>
        <v>30313431.295435365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35091520</v>
      </c>
      <c r="H53" s="122">
        <f>IF(D22="",0,D22)</f>
        <v>0</v>
      </c>
      <c r="I53" s="122">
        <f>G53+H53</f>
        <v>35091520</v>
      </c>
      <c r="J53" s="61">
        <f>IFERROR(I53/F53,0)</f>
        <v>0.14532258701199174</v>
      </c>
      <c r="K53" s="54">
        <f>D53-G53</f>
        <v>206381748</v>
      </c>
      <c r="L53" s="54">
        <f>E53-H53</f>
        <v>0</v>
      </c>
      <c r="M53" s="54">
        <f>F53-I53</f>
        <v>206381748</v>
      </c>
      <c r="N53" s="54">
        <f ca="1">IFERROR(M53/C3,0)</f>
        <v>10862197.263157895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314777079.08607203</v>
      </c>
      <c r="H54" s="122">
        <f t="shared" ref="H54:H58" si="4">N10</f>
        <v>8677783.7175789997</v>
      </c>
      <c r="I54" s="122">
        <f t="shared" si="1"/>
        <v>323454862.80365103</v>
      </c>
      <c r="J54" s="61">
        <f t="shared" si="2"/>
        <v>0.44543543141580572</v>
      </c>
      <c r="K54" s="54">
        <f>D54-G54</f>
        <v>330935392.91392797</v>
      </c>
      <c r="L54" s="54">
        <f t="shared" si="3"/>
        <v>71764064.282420993</v>
      </c>
      <c r="M54" s="54">
        <f t="shared" si="3"/>
        <v>402699457.19634897</v>
      </c>
      <c r="N54" s="54">
        <f ca="1">IFERROR(M54/C3,0)</f>
        <v>21194708.273492049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100441439.8</v>
      </c>
      <c r="H55" s="122">
        <f t="shared" si="4"/>
        <v>33673767.340000004</v>
      </c>
      <c r="I55" s="122">
        <f t="shared" si="1"/>
        <v>134115207.14</v>
      </c>
      <c r="J55" s="61">
        <f t="shared" si="2"/>
        <v>0.22753055188635574</v>
      </c>
      <c r="K55" s="54">
        <f t="shared" si="3"/>
        <v>408477392.19999999</v>
      </c>
      <c r="L55" s="54">
        <f t="shared" si="3"/>
        <v>46845636.659999996</v>
      </c>
      <c r="M55" s="54">
        <f t="shared" si="3"/>
        <v>455323028.86000001</v>
      </c>
      <c r="N55" s="54">
        <f ca="1">IFERROR(M55/C3,0)</f>
        <v>23964369.940000001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183969906.55358899</v>
      </c>
      <c r="H56" s="122">
        <f t="shared" si="4"/>
        <v>37583798.459847003</v>
      </c>
      <c r="I56" s="122">
        <f t="shared" si="1"/>
        <v>221553705.01343599</v>
      </c>
      <c r="J56" s="61">
        <f t="shared" si="2"/>
        <v>0.42425958545446762</v>
      </c>
      <c r="K56" s="54">
        <f t="shared" si="3"/>
        <v>256093377.44641101</v>
      </c>
      <c r="L56" s="54">
        <f t="shared" si="3"/>
        <v>44565526.540152997</v>
      </c>
      <c r="M56" s="54">
        <f t="shared" si="3"/>
        <v>300658903.98656404</v>
      </c>
      <c r="N56" s="54">
        <f ca="1">IFERROR(M56/C3,0)</f>
        <v>15824152.841398107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262119110.493633</v>
      </c>
      <c r="H57" s="122">
        <f t="shared" si="4"/>
        <v>32287974.319944002</v>
      </c>
      <c r="I57" s="122">
        <f t="shared" si="1"/>
        <v>294407084.813577</v>
      </c>
      <c r="J57" s="61">
        <f t="shared" si="2"/>
        <v>0.26233716799135626</v>
      </c>
      <c r="K57" s="54">
        <f t="shared" si="3"/>
        <v>734639234.50636697</v>
      </c>
      <c r="L57" s="54">
        <f t="shared" si="3"/>
        <v>93200623.680056006</v>
      </c>
      <c r="M57" s="54">
        <f t="shared" si="3"/>
        <v>827839858.18642306</v>
      </c>
      <c r="N57" s="54">
        <f ca="1">IFERROR(M57/C3,0)</f>
        <v>43570518.851917006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153628801.92758399</v>
      </c>
      <c r="H58" s="122">
        <f t="shared" si="4"/>
        <v>20698577.639975999</v>
      </c>
      <c r="I58" s="122">
        <f>G58+H58</f>
        <v>174327379.56755999</v>
      </c>
      <c r="J58" s="61">
        <f>IFERROR(I58/F58,0)</f>
        <v>0.27339961069581137</v>
      </c>
      <c r="K58" s="54">
        <f t="shared" si="3"/>
        <v>386658257.07241601</v>
      </c>
      <c r="L58" s="54">
        <f t="shared" si="3"/>
        <v>76642848.360024005</v>
      </c>
      <c r="M58" s="54">
        <f t="shared" si="3"/>
        <v>463301105.43244004</v>
      </c>
      <c r="N58" s="54">
        <f ca="1">IFERROR(M58/C3,0)</f>
        <v>24384268.706970528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92325602.239999995</v>
      </c>
      <c r="H59" s="122">
        <f>IF(D23="",0,D23)</f>
        <v>0</v>
      </c>
      <c r="I59" s="122">
        <f>G59+H59</f>
        <v>92325602.239999995</v>
      </c>
      <c r="J59" s="61">
        <f>IFERROR(I59/F59,0)</f>
        <v>0.2284531343570527</v>
      </c>
      <c r="K59" s="54">
        <f>D59-G59</f>
        <v>311808061.75999999</v>
      </c>
      <c r="L59" s="54">
        <f>E59-H59</f>
        <v>0</v>
      </c>
      <c r="M59" s="54">
        <f>F59-I59</f>
        <v>311808061.75999999</v>
      </c>
      <c r="N59" s="54">
        <f ca="1">IFERROR(M59/C3,0)</f>
        <v>16410950.618947368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124568945.48766901</v>
      </c>
      <c r="H60" s="122">
        <f t="shared" ref="H60:H64" si="5">N15</f>
        <v>29348863.854412999</v>
      </c>
      <c r="I60" s="122">
        <f t="shared" si="1"/>
        <v>153917809.34208199</v>
      </c>
      <c r="J60" s="61">
        <f t="shared" si="2"/>
        <v>0.25189410813092744</v>
      </c>
      <c r="K60" s="54">
        <f t="shared" si="3"/>
        <v>314448363.51233101</v>
      </c>
      <c r="L60" s="54">
        <f t="shared" si="3"/>
        <v>142675548.145587</v>
      </c>
      <c r="M60" s="54">
        <f t="shared" si="3"/>
        <v>457123911.65791798</v>
      </c>
      <c r="N60" s="54">
        <f ca="1">IFERROR(M60/C3,0)</f>
        <v>24059153.245153576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183317238.90193999</v>
      </c>
      <c r="H61" s="122">
        <f t="shared" si="5"/>
        <v>15736126.305468</v>
      </c>
      <c r="I61" s="122">
        <f t="shared" si="1"/>
        <v>199053365.20740798</v>
      </c>
      <c r="J61" s="61">
        <f t="shared" si="2"/>
        <v>0.26228116657524025</v>
      </c>
      <c r="K61" s="54">
        <f t="shared" si="3"/>
        <v>483312357.09806001</v>
      </c>
      <c r="L61" s="54">
        <f t="shared" si="3"/>
        <v>76565495.694532007</v>
      </c>
      <c r="M61" s="54">
        <f t="shared" si="3"/>
        <v>559877852.79259205</v>
      </c>
      <c r="N61" s="54">
        <f ca="1">IFERROR(M61/C3,0)</f>
        <v>29467255.410136424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96238037.215053007</v>
      </c>
      <c r="H62" s="122">
        <f t="shared" si="5"/>
        <v>12766305.931799</v>
      </c>
      <c r="I62" s="122">
        <f t="shared" si="1"/>
        <v>109004343.146852</v>
      </c>
      <c r="J62" s="61">
        <f t="shared" si="2"/>
        <v>0.21008139145610552</v>
      </c>
      <c r="K62" s="54">
        <f t="shared" si="3"/>
        <v>325304985.78494698</v>
      </c>
      <c r="L62" s="54">
        <f t="shared" si="3"/>
        <v>84557870.068201005</v>
      </c>
      <c r="M62" s="54">
        <f t="shared" si="3"/>
        <v>409862855.85314798</v>
      </c>
      <c r="N62" s="54">
        <f ca="1">IFERROR(M62/C3,0)</f>
        <v>21571729.255428839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252347348.71590301</v>
      </c>
      <c r="H63" s="122">
        <f t="shared" si="5"/>
        <v>11359406.759997001</v>
      </c>
      <c r="I63" s="122">
        <f t="shared" si="1"/>
        <v>263706755.47590002</v>
      </c>
      <c r="J63" s="61">
        <f t="shared" si="2"/>
        <v>0.26861764803000826</v>
      </c>
      <c r="K63" s="54">
        <f t="shared" si="3"/>
        <v>366003593.28409696</v>
      </c>
      <c r="L63" s="54">
        <f t="shared" si="3"/>
        <v>352007559.24000299</v>
      </c>
      <c r="M63" s="54">
        <f t="shared" si="3"/>
        <v>718011152.52409995</v>
      </c>
      <c r="N63" s="54">
        <f ca="1">IFERROR(M63/C3,0)</f>
        <v>37790060.659163155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58853093.639789999</v>
      </c>
      <c r="H64" s="122">
        <f t="shared" si="5"/>
        <v>32604979.759608001</v>
      </c>
      <c r="I64" s="122">
        <f t="shared" si="1"/>
        <v>91458073.399397999</v>
      </c>
      <c r="J64" s="61">
        <f t="shared" si="2"/>
        <v>0.15605695302512368</v>
      </c>
      <c r="K64" s="54">
        <f t="shared" si="3"/>
        <v>235672595.36021</v>
      </c>
      <c r="L64" s="54">
        <f t="shared" si="3"/>
        <v>258925073.240392</v>
      </c>
      <c r="M64" s="54">
        <f t="shared" si="3"/>
        <v>494597668.60060203</v>
      </c>
      <c r="N64" s="54">
        <f ca="1">IFERROR(M64/C3,0)</f>
        <v>26031456.242136948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2175157486.1720157</v>
      </c>
      <c r="H65" s="152">
        <f>SUM(H51:H64)</f>
        <v>302626154.10361993</v>
      </c>
      <c r="I65" s="152">
        <f>SUM(I51:I64)</f>
        <v>2477783640.2756357</v>
      </c>
      <c r="J65" s="153">
        <f>IFERROR(I65/F65,0)</f>
        <v>0.27322355360206113</v>
      </c>
      <c r="K65" s="154">
        <f>SUM(K51:K64)</f>
        <v>5084121845.8279839</v>
      </c>
      <c r="L65" s="154">
        <f>SUM(L51:L64)</f>
        <v>1506798904.8963797</v>
      </c>
      <c r="M65" s="154">
        <f>SUM(M51:M64)</f>
        <v>6590920750.7243652</v>
      </c>
      <c r="N65" s="154">
        <f ca="1">IFERROR(M65/C3,0)</f>
        <v>346890565.82759815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91">
        <f>IF(E24="",0,E24)</f>
        <v>150475946.51989999</v>
      </c>
    </row>
    <row r="71" spans="2:14" ht="20.100000000000001" customHeight="1" x14ac:dyDescent="0.25">
      <c r="B71" s="53" t="s">
        <v>69</v>
      </c>
      <c r="C71" s="56" t="s">
        <v>70</v>
      </c>
      <c r="D71" s="192">
        <f>IF(E12="",0,E12)+IF(E13="",0,E13)</f>
        <v>11042432.24</v>
      </c>
    </row>
    <row r="72" spans="2:14" ht="20.100000000000001" customHeight="1" x14ac:dyDescent="0.25">
      <c r="B72" s="53" t="s">
        <v>175</v>
      </c>
      <c r="C72" s="56" t="s">
        <v>176</v>
      </c>
      <c r="D72" s="192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91">
        <f>IF(E14="",0,E14)</f>
        <v>82001802.109999999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92">
        <f>IF(E16="",0,E16)</f>
        <v>9495225.0999999996</v>
      </c>
    </row>
    <row r="76" spans="2:14" ht="20.100000000000001" customHeight="1" x14ac:dyDescent="0.25">
      <c r="B76" s="53" t="s">
        <v>76</v>
      </c>
      <c r="C76" s="56" t="s">
        <v>77</v>
      </c>
      <c r="D76" s="192">
        <f>IF(E19="",0,E19)</f>
        <v>486263072.48997998</v>
      </c>
    </row>
    <row r="77" spans="2:14" ht="20.100000000000001" customHeight="1" x14ac:dyDescent="0.25">
      <c r="B77" s="50" t="s">
        <v>78</v>
      </c>
      <c r="C77" s="55" t="s">
        <v>79</v>
      </c>
      <c r="D77" s="191">
        <f>IF(E25="",0,E25)</f>
        <v>93887839.209775001</v>
      </c>
    </row>
    <row r="78" spans="2:14" ht="20.100000000000001" customHeight="1" x14ac:dyDescent="0.25">
      <c r="B78" s="53" t="s">
        <v>175</v>
      </c>
      <c r="C78" s="56" t="s">
        <v>177</v>
      </c>
      <c r="D78" s="192">
        <f>IF(E23="",0,E23)</f>
        <v>3687657.56</v>
      </c>
    </row>
    <row r="79" spans="2:14" ht="20.100000000000001" customHeight="1" x14ac:dyDescent="0.25">
      <c r="B79" s="53" t="s">
        <v>80</v>
      </c>
      <c r="C79" s="56" t="s">
        <v>81</v>
      </c>
      <c r="D79" s="192">
        <f>IF(E11="",0,E11)</f>
        <v>0</v>
      </c>
    </row>
    <row r="80" spans="2:14" ht="20.100000000000001" customHeight="1" x14ac:dyDescent="0.25">
      <c r="B80" s="50" t="s">
        <v>82</v>
      </c>
      <c r="C80" s="55" t="s">
        <v>83</v>
      </c>
      <c r="D80" s="191">
        <f>IF(E26="",0,E26)</f>
        <v>210438650.29978001</v>
      </c>
    </row>
    <row r="81" spans="2:9" ht="20.100000000000001" customHeight="1" x14ac:dyDescent="0.25">
      <c r="B81" s="53" t="s">
        <v>84</v>
      </c>
      <c r="C81" s="56" t="s">
        <v>85</v>
      </c>
      <c r="D81" s="192">
        <f>IF(E10="",0,E10)</f>
        <v>49164133.729999997</v>
      </c>
    </row>
    <row r="82" spans="2:9" ht="20.100000000000001" customHeight="1" x14ac:dyDescent="0.25">
      <c r="B82" s="50" t="s">
        <v>86</v>
      </c>
      <c r="C82" s="55" t="s">
        <v>87</v>
      </c>
      <c r="D82" s="192">
        <f>IF(E27="",0,E27)</f>
        <v>1902162.2150000001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f>IF(E20="",0,E20)+IF(E21="",0,E21)</f>
        <v>17708108.460000001</v>
      </c>
    </row>
    <row r="84" spans="2:9" ht="20.100000000000001" customHeight="1" x14ac:dyDescent="0.25">
      <c r="B84" s="57" t="s">
        <v>152</v>
      </c>
      <c r="C84" s="58"/>
      <c r="D84" s="129">
        <f>SUM(D70:D83)</f>
        <v>1116067029.9344349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80412292.329539001</v>
      </c>
      <c r="F89" s="61">
        <f t="shared" ref="F89:F94" si="7">IFERROR(E89/D89,0)</f>
        <v>0.28162412563092332</v>
      </c>
      <c r="G89" s="125">
        <f>D89-E89</f>
        <v>205118260.670461</v>
      </c>
      <c r="H89" s="125">
        <f ca="1">IFERROR(G89/C3,0)</f>
        <v>10795697.930024263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121443345.52067301</v>
      </c>
      <c r="F90" s="61">
        <f t="shared" si="7"/>
        <v>0.28319597856528772</v>
      </c>
      <c r="G90" s="126">
        <f>D90-E90</f>
        <v>307388116.47932696</v>
      </c>
      <c r="H90" s="126">
        <f ca="1">IFERROR(G90/C3,0)</f>
        <v>16178321.919964576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275337806.31482899</v>
      </c>
      <c r="F91" s="61">
        <f t="shared" si="7"/>
        <v>0.24661039583096617</v>
      </c>
      <c r="G91" s="125">
        <f>D91-E91</f>
        <v>841151242.68517101</v>
      </c>
      <c r="H91" s="125">
        <f ca="1">IFERROR(G91/C3,0)</f>
        <v>44271118.03606163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477193444.16504097</v>
      </c>
      <c r="F94" s="43">
        <f t="shared" si="7"/>
        <v>0.26064023095493088</v>
      </c>
      <c r="G94" s="119">
        <f>SUM(G89:G93)</f>
        <v>1353657619.834959</v>
      </c>
      <c r="H94" s="119">
        <f ca="1">IFERROR(G94/C3,0)</f>
        <v>71245137.886050478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178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162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164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166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181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2026-06-09T00:55:12Z</dcterms:modified>
  <dc:language>en-US</dc:language>
</cp:coreProperties>
</file>