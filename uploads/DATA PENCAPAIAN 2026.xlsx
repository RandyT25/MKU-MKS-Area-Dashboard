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<sst xmlns="http://schemas.openxmlformats.org/spreadsheetml/2006/main" count="2122" uniqueCount="228">
  <si>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</si>
  <si>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</si>
  <si>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</si>
  <si>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</si>
  <si>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</si>
  <si>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</si>
  <si>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</si>
  <si>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</si>
  <si>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</si>
  <si>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</si>
  <si>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</si>
  <si>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</si>
  <si>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</si>
  <si>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</si>
  <si>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</si>
  <si>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</si>
  <si>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</si>
  <si>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</si>
  <si>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</si>
  <si>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</si>
  <si>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</si>
  <si>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</si>
  <si>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</si>
  <si>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</si>
  <si>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</si>
  <si>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</si>
  <si>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</si>
  <si>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</si>
  <si>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</si>
  <si>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</si>
  <si>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</si>
  <si>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</si>
  <si>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</si>
  <si>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</si>
  <si>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</si>
  <si>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</si>
  <si>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</si>
  <si>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</si>
  <si>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</si>
  <si>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</si>
  <si>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</si>
  <si>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</si>
  <si>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</si>
  <si>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</si>
  <si>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</si>
  <si>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</si>
  <si>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</si>
  <si>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</si>
  <si>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</si>
  <si>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</si>
  <si>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</si>
  <si>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</si>
  <si>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</si>
  <si>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</si>
  <si>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</si>
  <si>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</si>
  <si>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</si>
  <si>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</si>
  <si>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</si>
  <si>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</si>
  <si>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</si>
  <si>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</si>
  <si>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</si>
  <si>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</si>
  <si>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</si>
  <si>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</si>
  <si>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</si>
  <si>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</si>
  <si>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</si>
  <si>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</si>
  <si>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</si>
  <si>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</si>
  <si>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</si>
  <si>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</si>
  <si>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</si>
  <si>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</si>
  <si>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</si>
  <si>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</si>
  <si>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</si>
  <si>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</si>
  <si>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</si>
  <si>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</si>
  <si>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</si>
  <si>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</si>
  <si>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</si>
  <si>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</si>
  <si>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</si>
  <si>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</si>
  <si>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</si>
  <si>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</si>
  <si>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</si>
  <si>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</si>
  <si>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</si>
  <si>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</si>
  <si>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</si>
  <si>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</si>
  <si>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</si>
  <si>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</si>
  <si>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</si>
  <si>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</si>
  <si>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</si>
  <si>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</si>
  <si>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</si>
  <si>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</si>
  <si>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</si>
  <si>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</si>
  <si>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</si>
  <si>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</si>
  <si>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</si>
  <si>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</si>
  <si>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</si>
  <si>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</si>
  <si>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</si>
  <si>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</si>
  <si>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</si>
  <si>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</si>
  <si>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</si>
  <si>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</si>
  <si>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</si>
  <si>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</si>
  <si>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</si>
  <si>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</si>
  <si>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</si>
  <si>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</si>
  <si>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</si>
  <si>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</si>
  <si>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</si>
  <si>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</si>
  <si>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</si>
  <si>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</si>
  <si>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</si>
  <si>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</si>
  <si>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</si>
  <si>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</si>
  <si>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</si>
  <si>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</si>
  <si>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</si>
  <si>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</si>
  <si>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</si>
  <si>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</si>
  <si>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</si>
  <si>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</si>
  <si>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</si>
  <si>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</si>
  <si>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</si>
  <si>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</si>
  <si>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</si>
  <si>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</si>
  <si>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</si>
  <si>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</si>
  <si>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</si>
  <si>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</si>
  <si>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</si>
  <si>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</si>
  <si>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</si>
  <si>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</si>
  <si>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</si>
  <si>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</si>
  <si>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</si>
  <si>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</si>
  <si>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</si>
  <si>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</si>
  <si>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</si>
  <si>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</si>
  <si>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</si>
  <si>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</si>
  <si>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</si>
  <si>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</si>
  <si>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</si>
  <si>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</si>
  <si>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</si>
  <si>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</si>
  <si>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</si>
  <si>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</si>
  <si>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</si>
  <si>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</si>
  <si>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</si>
  <si>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</si>
  <si>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</si>
  <si>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</si>
  <si>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</si>
  <si>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</si>
  <si>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</si>
  <si>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</si>
  <si>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</si>
  <si>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</si>
  <si>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</si>
  <si>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</si>
  <si>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</si>
  <si>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</si>
  <si>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</si>
  <si>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</si>
  <si>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</si>
  <si>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</si>
  <si>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</si>
  <si>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</si>
  <si>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</si>
  <si>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</si>
  <si>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</si>
  <si>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</si>
  <si>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</si>
  <si>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</si>
  <si>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</si>
  <si>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</si>
  <si>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</si>
  <si>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</si>
  <si>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</si>
  <si>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</si>
  <si>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</si>
  <si>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</si>
  <si>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</si>
  <si>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</si>
  <si>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</si>
  <si>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</si>
  <si>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</si>
  <si>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</si>
  <si>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</si>
  <si>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</si>
  <si>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</si>
  <si>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</si>
  <si>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</si>
  <si>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</si>
  <si>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</si>
  <si>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</si>
  <si>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</si>
  <si>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</si>
  <si>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</si>
  <si>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17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</si>
</sst>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5" t="s">
        <v>177</v>
      </c>
      <c r="C41" s="276"/>
      <c r="D41" s="27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  <c r="Q48"/>
      <c r="R48"/>
    </row>
    <row r="49" spans="2:18" s="139" customFormat="1" ht="33.950000000000003" customHeight="1" x14ac:dyDescent="0.25">
      <c r="B49" s="283" t="s">
        <v>41</v>
      </c>
      <c r="C49" s="283" t="s">
        <v>42</v>
      </c>
      <c r="D49" s="280" t="s">
        <v>137</v>
      </c>
      <c r="E49" s="281"/>
      <c r="F49" s="282"/>
      <c r="G49" s="140" t="s">
        <v>138</v>
      </c>
      <c r="H49" s="140"/>
      <c r="I49" s="140"/>
      <c r="J49" s="280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3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3"/>
      <c r="C50" s="28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0"/>
      <c r="K50" s="270"/>
      <c r="L50" s="270"/>
      <c r="M50" s="272"/>
      <c r="N50" s="188"/>
      <c r="O50" s="183"/>
      <c r="P50" s="274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65" t="s">
        <v>41</v>
      </c>
      <c r="C78" s="265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65" t="s">
        <v>41</v>
      </c>
      <c r="C78" s="265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5" t="s">
        <v>179</v>
      </c>
      <c r="C41" s="276"/>
      <c r="D41" s="27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5" t="s">
        <v>188</v>
      </c>
      <c r="C41" s="276"/>
      <c r="D41" s="27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5" t="s">
        <v>218</v>
      </c>
      <c r="C40" s="276"/>
      <c r="D40" s="27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5.75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8"/>
      <c r="G67" s="266" t="s">
        <v>185</v>
      </c>
      <c r="H67" s="267"/>
      <c r="I67" s="267"/>
      <c r="J67" s="267"/>
      <c r="K67" s="267"/>
      <c r="L67" s="268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65" t="s">
        <v>41</v>
      </c>
      <c r="C78" s="265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226</v>
      </c>
      <c r="C40" s="276"/>
      <c r="D40" s="27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95%</v>
      </c>
      <c r="N49" s="269" t="str">
        <f>"PER HARI"&amp;CHAR(10)&amp;TEXT($H$40,"0%")</f>
        <v>PER HARI
95%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37" zoomScale="73" zoomScaleNormal="73" workbookViewId="0">
      <selection activeCell="F60" sqref="F6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13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118145839.523184</v>
      </c>
      <c r="D10" s="235">
        <v>29399402.252997</v>
      </c>
      <c r="E10" s="235">
        <v>117326717.816039</v>
      </c>
      <c r="F10" s="235">
        <v>100752311.309945</v>
      </c>
      <c r="G10" s="235">
        <v>365624270.902165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11321748</v>
      </c>
      <c r="E11" s="235">
        <v>211283787.97999999</v>
      </c>
      <c r="F11" s="235" t="s">
        <v>164</v>
      </c>
      <c r="G11" s="235">
        <v>224625806.23999399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97026329.371765003</v>
      </c>
      <c r="D12" s="235">
        <v>37442729.308450997</v>
      </c>
      <c r="E12" s="235">
        <v>111673182.029681</v>
      </c>
      <c r="F12" s="235">
        <v>73110138.879999995</v>
      </c>
      <c r="G12" s="235">
        <v>319252379.58989698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14776347.166142</v>
      </c>
      <c r="D13" s="235">
        <v>30611208.919801999</v>
      </c>
      <c r="E13" s="235">
        <v>150023759.189484</v>
      </c>
      <c r="F13" s="235">
        <v>49292794.530000001</v>
      </c>
      <c r="G13" s="235">
        <v>244704109.805428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258229128.37485501</v>
      </c>
      <c r="D14" s="235">
        <v>21886807.423951</v>
      </c>
      <c r="E14" s="235">
        <v>92148852.360563993</v>
      </c>
      <c r="F14" s="235">
        <v>203110220.82980001</v>
      </c>
      <c r="G14" s="235">
        <v>575375008.98916996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644018701.81540501</v>
      </c>
      <c r="D15" s="235">
        <v>3621531.5399989998</v>
      </c>
      <c r="E15" s="235">
        <v>7333011.4199369997</v>
      </c>
      <c r="F15" s="235">
        <v>8868108.2860000003</v>
      </c>
      <c r="G15" s="235">
        <v>663841353.06134105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333558691.34827602</v>
      </c>
      <c r="D16" s="235">
        <v>47455997.059772998</v>
      </c>
      <c r="E16" s="235">
        <v>216101262.93959701</v>
      </c>
      <c r="F16" s="235">
        <v>875711527.20985401</v>
      </c>
      <c r="G16" s="235">
        <v>1472827478.5574999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59792275.810353003</v>
      </c>
      <c r="D17" s="235">
        <v>17330721.166446</v>
      </c>
      <c r="E17" s="235">
        <v>43762978.569179997</v>
      </c>
      <c r="F17" s="235">
        <v>29467568.309999999</v>
      </c>
      <c r="G17" s="235">
        <v>150353543.855979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13183880</v>
      </c>
      <c r="D18" s="235">
        <v>68341324.359715998</v>
      </c>
      <c r="E18" s="235">
        <v>27400614.5</v>
      </c>
      <c r="F18" s="235">
        <v>86237839.659999996</v>
      </c>
      <c r="G18" s="235">
        <v>195163658.51971599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17840536.079999998</v>
      </c>
      <c r="D19" s="235" t="s">
        <v>164</v>
      </c>
      <c r="E19" s="235" t="s">
        <v>164</v>
      </c>
      <c r="F19" s="235">
        <v>14263062.76</v>
      </c>
      <c r="G19" s="235">
        <v>32103598.84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114771868.08</v>
      </c>
      <c r="D20" s="235" t="s">
        <v>164</v>
      </c>
      <c r="E20" s="235" t="s">
        <v>164</v>
      </c>
      <c r="F20" s="235">
        <v>7909909.7000000002</v>
      </c>
      <c r="G20" s="235">
        <v>122681777.78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181463352.30815601</v>
      </c>
      <c r="D21" s="235">
        <v>26820891.988453001</v>
      </c>
      <c r="E21" s="235">
        <v>90591501.439844996</v>
      </c>
      <c r="F21" s="235">
        <v>300456112.03987002</v>
      </c>
      <c r="G21" s="235">
        <v>599331857.77632403</v>
      </c>
      <c r="H21" s="111"/>
      <c r="I21" s="111"/>
      <c r="J21" s="111"/>
      <c r="M21" s="14">
        <f>SUM(C33,C34)+M20</f>
        <v>471522139.48591805</v>
      </c>
      <c r="N21" s="10" t="s">
        <v>223</v>
      </c>
    </row>
    <row r="22" spans="2:15" ht="15" customHeight="1" x14ac:dyDescent="0.25">
      <c r="B22" s="72" t="s">
        <v>224</v>
      </c>
      <c r="C22" s="235">
        <v>122679168.046584</v>
      </c>
      <c r="D22" s="235">
        <v>39425047.344106004</v>
      </c>
      <c r="E22" s="235">
        <v>74665108.889923006</v>
      </c>
      <c r="F22" s="235">
        <v>80390180.449987993</v>
      </c>
      <c r="G22" s="235">
        <v>317159504.73060101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189799656.01653099</v>
      </c>
      <c r="D23" s="235">
        <v>46989965.049925998</v>
      </c>
      <c r="E23" s="235">
        <v>110262471.78326599</v>
      </c>
      <c r="F23" s="235">
        <v>184016396.21966499</v>
      </c>
      <c r="G23" s="235">
        <v>531068489.06938797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275429897.80160201</v>
      </c>
      <c r="D24" s="235">
        <v>42482995.459880002</v>
      </c>
      <c r="E24" s="235">
        <v>117120541.45996401</v>
      </c>
      <c r="F24" s="235">
        <v>431509278.37930799</v>
      </c>
      <c r="G24" s="235">
        <v>866542713.10075402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201411109.252626</v>
      </c>
      <c r="D25" s="235">
        <v>58465117.244176</v>
      </c>
      <c r="E25" s="235">
        <v>74055034.641353995</v>
      </c>
      <c r="F25" s="235">
        <v>35011712.450000003</v>
      </c>
      <c r="G25" s="235">
        <v>368942973.58815598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321984930.889651</v>
      </c>
      <c r="D26" s="235">
        <v>102582674.691796</v>
      </c>
      <c r="E26" s="235">
        <v>152297381.26772299</v>
      </c>
      <c r="F26" s="235">
        <v>13020108.380999999</v>
      </c>
      <c r="G26" s="235">
        <v>589885095.23017001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128918978.879344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88201011.487179995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96933866.324832007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374588273.16108602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227</v>
      </c>
      <c r="C40" s="276"/>
      <c r="D40" s="277"/>
      <c r="E40" s="66" t="s">
        <v>137</v>
      </c>
      <c r="F40" s="174">
        <f ca="1">IF(MONTH(TODAY())=10,DAY(TODAY())/DAY(EOMONTH(TODAY(),0)),IF(MONTH(TODAY())&gt;10,1,0))</f>
        <v>0.54838709677419351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2322113280.3297186</v>
      </c>
      <c r="F42" s="176">
        <f>IFERROR(E42/D42,0)</f>
        <v>0.5201183093225864</v>
      </c>
      <c r="G42" s="184">
        <f>D42*$H$40-E42</f>
        <v>2142473408.3298101</v>
      </c>
      <c r="H42" s="184">
        <f ca="1">IFERROR(G42/$C$3,0)</f>
        <v>164805646.79460078</v>
      </c>
      <c r="I42" s="204">
        <f>D42*$J$40-E42</f>
        <v>2142473408.3298101</v>
      </c>
      <c r="J42" s="204">
        <f ca="1">IFERROR(I42/$C$3,0)</f>
        <v>164805646.79460078</v>
      </c>
      <c r="K42" s="185">
        <f>D42*$L$40-E42</f>
        <v>2142473408.3298101</v>
      </c>
      <c r="L42" s="185">
        <f ca="1">IFERROR(K42/$C$3,0)</f>
        <v>164805646.79460078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580556630.26947296</v>
      </c>
      <c r="F43" s="176">
        <f>IFERROR(E43/D43,0)</f>
        <v>0.45359244699119217</v>
      </c>
      <c r="G43" s="184">
        <f>D43*$H$40-E43</f>
        <v>699351432.83975732</v>
      </c>
      <c r="H43" s="184">
        <f ca="1">IFERROR(G43/$C$3,0)</f>
        <v>53796264.06459672</v>
      </c>
      <c r="I43" s="204">
        <f>D43*$J$40-E43</f>
        <v>699351432.83975732</v>
      </c>
      <c r="J43" s="204">
        <f ca="1">IFERROR(I43/$C$3,0)</f>
        <v>53796264.06459672</v>
      </c>
      <c r="K43" s="185">
        <f>D43*$L$40-E43</f>
        <v>699351432.83975732</v>
      </c>
      <c r="L43" s="185">
        <f ca="1">IFERROR(K43/$C$3,0)</f>
        <v>53796264.06459672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1588713194.8666201</v>
      </c>
      <c r="F44" s="176">
        <f>IFERROR(E44/D44,0)</f>
        <v>0.5451987355639395</v>
      </c>
      <c r="G44" s="184">
        <f>IF(D44=0,0,D44*$H$40-E44)</f>
        <v>1325294287.6035953</v>
      </c>
      <c r="H44" s="184">
        <f ca="1">IFERROR(G44/$C$3,0)</f>
        <v>101945714.43104579</v>
      </c>
      <c r="I44" s="204">
        <f>IF(D44=0,0,D44*$J$40-E44)</f>
        <v>1325294287.6035953</v>
      </c>
      <c r="J44" s="204">
        <f ca="1">IFERROR(I44/$C$3,0)</f>
        <v>101945714.43104579</v>
      </c>
      <c r="K44" s="185">
        <f>IF(D44=0,0,D44*$L$40-E44)</f>
        <v>1325294287.6035953</v>
      </c>
      <c r="L44" s="185">
        <f ca="1">IFERROR(K44/$C$3,0)</f>
        <v>101945714.43104579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688642129.85244203</v>
      </c>
      <c r="F45" s="176">
        <f>IFERROR(E45/D45,0)</f>
        <v>0.38692385060448026</v>
      </c>
      <c r="G45" s="184">
        <f>D45*$H$40-E45</f>
        <v>1091145104.1901112</v>
      </c>
      <c r="H45" s="184">
        <f ca="1">IFERROR(G45/$C$3,0)</f>
        <v>83934238.783854708</v>
      </c>
      <c r="I45" s="204">
        <f>D45*$J$40-E45</f>
        <v>1091145104.1901112</v>
      </c>
      <c r="J45" s="204">
        <f ca="1">IFERROR(I45/$C$3,0)</f>
        <v>83934238.783854708</v>
      </c>
      <c r="K45" s="185">
        <f>D45*$L$40-E45</f>
        <v>1091145104.1901112</v>
      </c>
      <c r="L45" s="185">
        <f ca="1">IFERROR(K45/$C$3,0)</f>
        <v>83934238.783854708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5180025235.3182535</v>
      </c>
      <c r="F46" s="177">
        <f>IFERROR(E46/D46,0)</f>
        <v>0.49625230753167165</v>
      </c>
      <c r="G46" s="181">
        <f>SUM(G42:G45)</f>
        <v>5258264232.963274</v>
      </c>
      <c r="H46" s="181">
        <f ca="1">IFERROR(G46/$C$3,0)</f>
        <v>404481864.07409799</v>
      </c>
      <c r="I46" s="186">
        <f>SUM(I42:I45)</f>
        <v>5258264232.963274</v>
      </c>
      <c r="J46" s="186">
        <f ca="1">IFERROR(I46/$C$3,0)</f>
        <v>404481864.07409799</v>
      </c>
      <c r="K46" s="186">
        <f>SUM(K42:K45)</f>
        <v>5258264232.963274</v>
      </c>
      <c r="L46" s="186">
        <f ca="1">IFERROR(K46/$C$3,0)</f>
        <v>404481864.07409799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100%</v>
      </c>
      <c r="N49" s="269" t="str">
        <f>"PER HARI"&amp;CHAR(10)&amp;TEXT($H$40,"0%")</f>
        <v>PER HARI
100%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181463352.30815601</v>
      </c>
      <c r="I51" s="114">
        <f t="shared" ref="I51:I64" si="1">SUMIF($B$10:$B$26,$T51,D$10:D$26)+SUMIF($B$10:$B$26,$U51,D$10:D$26)</f>
        <v>26820891.988453001</v>
      </c>
      <c r="J51" s="114">
        <f t="shared" ref="J51:J64" si="2">SUMIF($B$10:$B$26,$T51,E$10:E$26)+SUMIF($B$10:$B$26,$U51,E$10:E$26)</f>
        <v>90591501.439844996</v>
      </c>
      <c r="K51" s="114">
        <f t="shared" ref="K51:K64" si="3">SUM(H51:J51)</f>
        <v>298875745.73645401</v>
      </c>
      <c r="L51" s="187">
        <f t="shared" ref="L51:L65" si="4">IFERROR(K51/G51,0)</f>
        <v>0.60228732691920783</v>
      </c>
      <c r="M51" s="184">
        <f t="shared" ref="M51:M64" si="5">G51*$H$40-K51</f>
        <v>197358746.30449486</v>
      </c>
      <c r="N51" s="184">
        <f t="shared" ref="N51:N65" ca="1" si="6">IFERROR(M51/$C$3,0)</f>
        <v>15181442.023422681</v>
      </c>
      <c r="O51" s="180">
        <f t="shared" ref="O51:O64" si="7">G51*$J$40-K51</f>
        <v>197358746.30449486</v>
      </c>
      <c r="P51" s="180">
        <f t="shared" ref="P51:P65" ca="1" si="8">IFERROR(O51/$C$3,0)</f>
        <v>15181442.023422681</v>
      </c>
      <c r="Q51" s="185">
        <f t="shared" ref="Q51:Q64" si="9">G51*$L$40-K51</f>
        <v>197358746.30449486</v>
      </c>
      <c r="R51" s="185">
        <f t="shared" ref="R51:R65" ca="1" si="10">IFERROR(Q51/$C$3,0)</f>
        <v>15181442.023422681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111802676.537907</v>
      </c>
      <c r="I52" s="114">
        <f t="shared" si="1"/>
        <v>68053938.228252992</v>
      </c>
      <c r="J52" s="114">
        <f t="shared" si="2"/>
        <v>261696941.219165</v>
      </c>
      <c r="K52" s="114">
        <f t="shared" si="3"/>
        <v>441553555.98532498</v>
      </c>
      <c r="L52" s="187">
        <f t="shared" si="4"/>
        <v>0.57539590669956675</v>
      </c>
      <c r="M52" s="184">
        <f t="shared" si="5"/>
        <v>325837297.58895099</v>
      </c>
      <c r="N52" s="184">
        <f t="shared" ca="1" si="6"/>
        <v>25064407.506842382</v>
      </c>
      <c r="O52" s="180">
        <f t="shared" si="7"/>
        <v>325837297.58895099</v>
      </c>
      <c r="P52" s="180">
        <f t="shared" ca="1" si="8"/>
        <v>25064407.506842382</v>
      </c>
      <c r="Q52" s="185">
        <f t="shared" si="9"/>
        <v>325837297.58895099</v>
      </c>
      <c r="R52" s="185">
        <f t="shared" ca="1" si="10"/>
        <v>25064407.506842382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17840536.079999998</v>
      </c>
      <c r="I53" s="114">
        <f t="shared" si="1"/>
        <v>0</v>
      </c>
      <c r="J53" s="114">
        <f t="shared" si="2"/>
        <v>0</v>
      </c>
      <c r="K53" s="114">
        <f t="shared" si="3"/>
        <v>17840536.079999998</v>
      </c>
      <c r="L53" s="187">
        <f t="shared" si="4"/>
        <v>6.7846835563036681E-2</v>
      </c>
      <c r="M53" s="184">
        <f t="shared" si="5"/>
        <v>245112568.98301077</v>
      </c>
      <c r="N53" s="184">
        <f t="shared" ca="1" si="6"/>
        <v>18854812.998693135</v>
      </c>
      <c r="O53" s="180">
        <f t="shared" si="7"/>
        <v>245112568.98301077</v>
      </c>
      <c r="P53" s="180">
        <f t="shared" ca="1" si="8"/>
        <v>18854812.998693135</v>
      </c>
      <c r="Q53" s="185">
        <f t="shared" si="9"/>
        <v>245112568.98301077</v>
      </c>
      <c r="R53" s="185">
        <f t="shared" ca="1" si="10"/>
        <v>18854812.998693135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258229128.37485501</v>
      </c>
      <c r="I54" s="114">
        <f t="shared" si="1"/>
        <v>21886807.423951</v>
      </c>
      <c r="J54" s="114">
        <f t="shared" si="2"/>
        <v>92148852.360563993</v>
      </c>
      <c r="K54" s="114">
        <f t="shared" si="3"/>
        <v>372264788.15937001</v>
      </c>
      <c r="L54" s="187">
        <f t="shared" si="4"/>
        <v>0.52539790082554971</v>
      </c>
      <c r="M54" s="184">
        <f t="shared" si="5"/>
        <v>336273992.78062993</v>
      </c>
      <c r="N54" s="184">
        <f t="shared" ca="1" si="6"/>
        <v>25867230.213894609</v>
      </c>
      <c r="O54" s="180">
        <f t="shared" si="7"/>
        <v>336273992.78062993</v>
      </c>
      <c r="P54" s="180">
        <f t="shared" ca="1" si="8"/>
        <v>25867230.213894609</v>
      </c>
      <c r="Q54" s="185">
        <f t="shared" si="9"/>
        <v>336273992.78062993</v>
      </c>
      <c r="R54" s="185">
        <f t="shared" ca="1" si="10"/>
        <v>25867230.213894609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11321748</v>
      </c>
      <c r="J55" s="114">
        <f t="shared" si="2"/>
        <v>211283787.97999999</v>
      </c>
      <c r="K55" s="114">
        <f t="shared" si="3"/>
        <v>224625806.23999399</v>
      </c>
      <c r="L55" s="187">
        <f t="shared" si="4"/>
        <v>0.4181410801906697</v>
      </c>
      <c r="M55" s="184">
        <f t="shared" si="5"/>
        <v>312575193.33069164</v>
      </c>
      <c r="N55" s="184">
        <f t="shared" ca="1" si="6"/>
        <v>24044245.640822433</v>
      </c>
      <c r="O55" s="180">
        <f t="shared" si="7"/>
        <v>312575193.33069164</v>
      </c>
      <c r="P55" s="180">
        <f t="shared" ca="1" si="8"/>
        <v>24044245.640822433</v>
      </c>
      <c r="Q55" s="185">
        <f t="shared" si="9"/>
        <v>312575193.33069164</v>
      </c>
      <c r="R55" s="185">
        <f t="shared" ca="1" si="10"/>
        <v>24044245.640822433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122679168.046584</v>
      </c>
      <c r="I56" s="114">
        <f t="shared" si="1"/>
        <v>39425047.344106004</v>
      </c>
      <c r="J56" s="114">
        <f t="shared" si="2"/>
        <v>74665108.889923006</v>
      </c>
      <c r="K56" s="114">
        <f t="shared" si="3"/>
        <v>236769324.28061301</v>
      </c>
      <c r="L56" s="187">
        <f t="shared" si="4"/>
        <v>0.42522236551815823</v>
      </c>
      <c r="M56" s="184">
        <f t="shared" si="5"/>
        <v>320043636.37373966</v>
      </c>
      <c r="N56" s="184">
        <f t="shared" ca="1" si="6"/>
        <v>24618741.259518437</v>
      </c>
      <c r="O56" s="180">
        <f t="shared" si="7"/>
        <v>320043636.37373966</v>
      </c>
      <c r="P56" s="180">
        <f t="shared" ca="1" si="8"/>
        <v>24618741.259518437</v>
      </c>
      <c r="Q56" s="185">
        <f t="shared" si="9"/>
        <v>320043636.37373966</v>
      </c>
      <c r="R56" s="185">
        <f t="shared" ca="1" si="10"/>
        <v>24618741.259518437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333558691.34827602</v>
      </c>
      <c r="I57" s="114">
        <f t="shared" si="1"/>
        <v>47455997.059772998</v>
      </c>
      <c r="J57" s="114">
        <f t="shared" si="2"/>
        <v>216101262.93959701</v>
      </c>
      <c r="K57" s="114">
        <f t="shared" si="3"/>
        <v>597115951.347646</v>
      </c>
      <c r="L57" s="187">
        <f t="shared" si="4"/>
        <v>0.54728507716555574</v>
      </c>
      <c r="M57" s="184">
        <f t="shared" si="5"/>
        <v>493935086.33123493</v>
      </c>
      <c r="N57" s="184">
        <f t="shared" ca="1" si="6"/>
        <v>37995006.640864223</v>
      </c>
      <c r="O57" s="180">
        <f t="shared" si="7"/>
        <v>493935086.33123493</v>
      </c>
      <c r="P57" s="180">
        <f t="shared" ca="1" si="8"/>
        <v>37995006.640864223</v>
      </c>
      <c r="Q57" s="185">
        <f t="shared" si="9"/>
        <v>493935086.33123493</v>
      </c>
      <c r="R57" s="185">
        <f t="shared" ca="1" si="10"/>
        <v>37995006.640864223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189799656.01653099</v>
      </c>
      <c r="I58" s="114">
        <f t="shared" si="1"/>
        <v>46989965.049925998</v>
      </c>
      <c r="J58" s="114">
        <f t="shared" si="2"/>
        <v>110262471.78326599</v>
      </c>
      <c r="K58" s="114">
        <f t="shared" si="3"/>
        <v>347052092.84972298</v>
      </c>
      <c r="L58" s="187">
        <f t="shared" si="4"/>
        <v>0.58186494814584422</v>
      </c>
      <c r="M58" s="184">
        <f t="shared" si="5"/>
        <v>249395749.48144031</v>
      </c>
      <c r="N58" s="184">
        <f t="shared" ca="1" si="6"/>
        <v>19184288.421649255</v>
      </c>
      <c r="O58" s="180">
        <f t="shared" si="7"/>
        <v>249395749.48144031</v>
      </c>
      <c r="P58" s="180">
        <f t="shared" ca="1" si="8"/>
        <v>19184288.421649255</v>
      </c>
      <c r="Q58" s="185">
        <f t="shared" si="9"/>
        <v>249395749.48144031</v>
      </c>
      <c r="R58" s="185">
        <f t="shared" ca="1" si="10"/>
        <v>19184288.421649255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114771868.08</v>
      </c>
      <c r="I59" s="114">
        <f t="shared" si="1"/>
        <v>0</v>
      </c>
      <c r="J59" s="114">
        <f t="shared" si="2"/>
        <v>0</v>
      </c>
      <c r="K59" s="114">
        <f t="shared" si="3"/>
        <v>114771868.08</v>
      </c>
      <c r="L59" s="187">
        <f t="shared" si="4"/>
        <v>0.25858447083684449</v>
      </c>
      <c r="M59" s="184">
        <f t="shared" si="5"/>
        <v>329074847.49642003</v>
      </c>
      <c r="N59" s="184">
        <f t="shared" ca="1" si="6"/>
        <v>25313449.807416923</v>
      </c>
      <c r="O59" s="180">
        <f t="shared" si="7"/>
        <v>329074847.49642003</v>
      </c>
      <c r="P59" s="180">
        <f t="shared" ca="1" si="8"/>
        <v>25313449.807416923</v>
      </c>
      <c r="Q59" s="185">
        <f t="shared" si="9"/>
        <v>329074847.49642003</v>
      </c>
      <c r="R59" s="185">
        <f t="shared" ca="1" si="10"/>
        <v>25313449.807416923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201411109.252626</v>
      </c>
      <c r="I60" s="114">
        <f t="shared" si="1"/>
        <v>58465117.244176</v>
      </c>
      <c r="J60" s="114">
        <f t="shared" si="2"/>
        <v>74055034.641353995</v>
      </c>
      <c r="K60" s="114">
        <f t="shared" si="3"/>
        <v>333931261.138156</v>
      </c>
      <c r="L60" s="187">
        <f t="shared" si="4"/>
        <v>0.59518646865085489</v>
      </c>
      <c r="M60" s="184">
        <f t="shared" si="5"/>
        <v>227121919.21236199</v>
      </c>
      <c r="N60" s="184">
        <f t="shared" ca="1" si="6"/>
        <v>17470916.862489384</v>
      </c>
      <c r="O60" s="180">
        <f t="shared" si="7"/>
        <v>227121919.21236199</v>
      </c>
      <c r="P60" s="180">
        <f t="shared" ca="1" si="8"/>
        <v>17470916.862489384</v>
      </c>
      <c r="Q60" s="185">
        <f t="shared" si="9"/>
        <v>227121919.21236199</v>
      </c>
      <c r="R60" s="185">
        <f t="shared" ca="1" si="10"/>
        <v>17470916.862489384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275429897.80160201</v>
      </c>
      <c r="I61" s="114">
        <f t="shared" si="1"/>
        <v>42482995.459880002</v>
      </c>
      <c r="J61" s="114">
        <f t="shared" si="2"/>
        <v>117120541.45996401</v>
      </c>
      <c r="K61" s="114">
        <f t="shared" si="3"/>
        <v>435033434.72144604</v>
      </c>
      <c r="L61" s="187">
        <f t="shared" si="4"/>
        <v>0.62284679962649281</v>
      </c>
      <c r="M61" s="184">
        <f t="shared" si="5"/>
        <v>263426338.98586977</v>
      </c>
      <c r="N61" s="184">
        <f t="shared" ca="1" si="6"/>
        <v>20263564.537374597</v>
      </c>
      <c r="O61" s="180">
        <f t="shared" si="7"/>
        <v>263426338.98586977</v>
      </c>
      <c r="P61" s="180">
        <f t="shared" ca="1" si="8"/>
        <v>20263564.537374597</v>
      </c>
      <c r="Q61" s="185">
        <f t="shared" si="9"/>
        <v>263426338.98586977</v>
      </c>
      <c r="R61" s="185">
        <f t="shared" ca="1" si="10"/>
        <v>20263564.537374597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118145839.523184</v>
      </c>
      <c r="I62" s="114">
        <f t="shared" si="1"/>
        <v>29399402.252997</v>
      </c>
      <c r="J62" s="114">
        <f t="shared" si="2"/>
        <v>117326717.816039</v>
      </c>
      <c r="K62" s="114">
        <f t="shared" si="3"/>
        <v>264871959.59222001</v>
      </c>
      <c r="L62" s="187">
        <f t="shared" si="4"/>
        <v>0.5772011309910855</v>
      </c>
      <c r="M62" s="184">
        <f t="shared" si="5"/>
        <v>194018270.12271589</v>
      </c>
      <c r="N62" s="184">
        <f t="shared" ca="1" si="6"/>
        <v>14924482.317131992</v>
      </c>
      <c r="O62" s="180">
        <f t="shared" si="7"/>
        <v>194018270.12271589</v>
      </c>
      <c r="P62" s="180">
        <f t="shared" ca="1" si="8"/>
        <v>14924482.317131992</v>
      </c>
      <c r="Q62" s="185">
        <f t="shared" si="9"/>
        <v>194018270.12271589</v>
      </c>
      <c r="R62" s="185">
        <f t="shared" ca="1" si="10"/>
        <v>14924482.317131992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321984930.889651</v>
      </c>
      <c r="I63" s="114">
        <f t="shared" si="1"/>
        <v>102582674.691796</v>
      </c>
      <c r="J63" s="114">
        <f t="shared" si="2"/>
        <v>152297381.26772299</v>
      </c>
      <c r="K63" s="114">
        <f t="shared" si="3"/>
        <v>576864986.84916997</v>
      </c>
      <c r="L63" s="187">
        <f t="shared" si="4"/>
        <v>0.60037509347734475</v>
      </c>
      <c r="M63" s="184">
        <f t="shared" si="5"/>
        <v>383975982.59877086</v>
      </c>
      <c r="N63" s="184">
        <f t="shared" ca="1" si="6"/>
        <v>29536614.046059296</v>
      </c>
      <c r="O63" s="180">
        <f t="shared" si="7"/>
        <v>383975982.59877086</v>
      </c>
      <c r="P63" s="180">
        <f t="shared" ca="1" si="8"/>
        <v>29536614.046059296</v>
      </c>
      <c r="Q63" s="185">
        <f t="shared" si="9"/>
        <v>383975982.59877086</v>
      </c>
      <c r="R63" s="185">
        <f t="shared" ca="1" si="10"/>
        <v>29536614.046059296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72976155.810353011</v>
      </c>
      <c r="I64" s="114">
        <f t="shared" si="1"/>
        <v>85672045.526161999</v>
      </c>
      <c r="J64" s="114">
        <f t="shared" si="2"/>
        <v>71163593.069179997</v>
      </c>
      <c r="K64" s="114">
        <f t="shared" si="3"/>
        <v>229811794.40569502</v>
      </c>
      <c r="L64" s="187">
        <f t="shared" si="4"/>
        <v>0.44298396500775095</v>
      </c>
      <c r="M64" s="184">
        <f t="shared" si="5"/>
        <v>288969499.18283015</v>
      </c>
      <c r="N64" s="184">
        <f t="shared" ca="1" si="6"/>
        <v>22228423.014063857</v>
      </c>
      <c r="O64" s="180">
        <f t="shared" si="7"/>
        <v>288969499.18283015</v>
      </c>
      <c r="P64" s="180">
        <f t="shared" ca="1" si="8"/>
        <v>22228423.014063857</v>
      </c>
      <c r="Q64" s="185">
        <f t="shared" si="9"/>
        <v>288969499.18283015</v>
      </c>
      <c r="R64" s="185">
        <f t="shared" ca="1" si="10"/>
        <v>22228423.014063857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2322113280.3297186</v>
      </c>
      <c r="I65" s="135">
        <f t="shared" si="12"/>
        <v>580556630.26947296</v>
      </c>
      <c r="J65" s="135">
        <f t="shared" si="12"/>
        <v>1588713194.8666201</v>
      </c>
      <c r="K65" s="135">
        <f t="shared" si="12"/>
        <v>4491383105.4658117</v>
      </c>
      <c r="L65" s="189">
        <f t="shared" si="4"/>
        <v>0.51872517716807809</v>
      </c>
      <c r="M65" s="181">
        <f>SUM(M51:M64)</f>
        <v>4167119128.7731624</v>
      </c>
      <c r="N65" s="181">
        <f t="shared" ca="1" si="6"/>
        <v>320547625.29024327</v>
      </c>
      <c r="O65" s="181">
        <f>SUM(O51:O64)</f>
        <v>4167119128.7731624</v>
      </c>
      <c r="P65" s="181">
        <f t="shared" ca="1" si="8"/>
        <v>320547625.29024327</v>
      </c>
      <c r="Q65" s="186">
        <f>SUM(Q51:Q64)</f>
        <v>4167119128.7731624</v>
      </c>
      <c r="R65" s="186">
        <f t="shared" ca="1" si="10"/>
        <v>320547625.29024327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128918978.879344</v>
      </c>
      <c r="F69" s="187">
        <f t="shared" ref="F69:F74" si="13">IFERROR(E69/D69,0)</f>
        <v>0.47858008097504817</v>
      </c>
      <c r="G69" s="184">
        <f>D69*$H$40-E69</f>
        <v>140459091.80150717</v>
      </c>
      <c r="H69" s="184">
        <f t="shared" ref="H69:H74" ca="1" si="14">IFERROR(G69/$C$3,0)</f>
        <v>10804545.52319286</v>
      </c>
      <c r="I69" s="204">
        <f>D69*$J$40-E69</f>
        <v>140459091.80150717</v>
      </c>
      <c r="J69" s="204">
        <f t="shared" ref="J69:J74" ca="1" si="15">IFERROR(I69/$C$3,0)</f>
        <v>10804545.52319286</v>
      </c>
      <c r="K69" s="185">
        <f>D69*$L$40-E69</f>
        <v>140459091.80150717</v>
      </c>
      <c r="L69" s="185">
        <f t="shared" ref="L69:L74" ca="1" si="16">IFERROR(K69/$C$3,0)</f>
        <v>10804545.52319286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88201011.487179995</v>
      </c>
      <c r="F70" s="187">
        <f t="shared" si="13"/>
        <v>0.21372789948107127</v>
      </c>
      <c r="G70" s="184">
        <f>D70*$H$40-E70</f>
        <v>324477968.19367111</v>
      </c>
      <c r="H70" s="184">
        <f t="shared" ca="1" si="14"/>
        <v>24959843.707205471</v>
      </c>
      <c r="I70" s="204">
        <f>D70*$J$40-E70</f>
        <v>324477968.19367111</v>
      </c>
      <c r="J70" s="204">
        <f t="shared" ca="1" si="15"/>
        <v>24959843.707205471</v>
      </c>
      <c r="K70" s="185">
        <f>D70*$L$40-E70</f>
        <v>324477968.19367111</v>
      </c>
      <c r="L70" s="185">
        <f t="shared" ca="1" si="16"/>
        <v>24959843.707205471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471522139.48591805</v>
      </c>
      <c r="F71" s="187">
        <f t="shared" si="13"/>
        <v>0.42954283893773865</v>
      </c>
      <c r="G71" s="184">
        <f>D71*$H$40-E71</f>
        <v>626208044.19493294</v>
      </c>
      <c r="H71" s="184">
        <f t="shared" ca="1" si="14"/>
        <v>48169849.553456381</v>
      </c>
      <c r="I71" s="204">
        <f>D71*$J$40-E71</f>
        <v>626208044.19493294</v>
      </c>
      <c r="J71" s="204">
        <f t="shared" ca="1" si="15"/>
        <v>48169849.553456381</v>
      </c>
      <c r="K71" s="185">
        <f>D71*$L$40-E71</f>
        <v>626208044.19493294</v>
      </c>
      <c r="L71" s="185">
        <f t="shared" ca="1" si="16"/>
        <v>48169849.553456381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688642129.85244203</v>
      </c>
      <c r="F74" s="177">
        <f t="shared" si="13"/>
        <v>0.38692385060448026</v>
      </c>
      <c r="G74" s="181">
        <f>SUM(G69:G73)</f>
        <v>1091145104.1901112</v>
      </c>
      <c r="H74" s="181">
        <f t="shared" ca="1" si="14"/>
        <v>83934238.783854708</v>
      </c>
      <c r="I74" s="186">
        <f>SUM(I69:I73)</f>
        <v>1091145104.1901112</v>
      </c>
      <c r="J74" s="186">
        <f t="shared" ca="1" si="15"/>
        <v>83934238.783854708</v>
      </c>
      <c r="K74" s="186">
        <f>SUM(K69:K73)</f>
        <v>1091145104.1901112</v>
      </c>
      <c r="L74" s="186">
        <f t="shared" ca="1" si="16"/>
        <v>83934238.783854708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300456112.03987002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122402933.41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14263062.76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203110220.82980001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80390180.449987993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875711527.20985401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184016396.21966499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7909909.7000000002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35011712.450000003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431509278.37930799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100752311.309945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13020108.380999999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115705407.97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2484259161.1094303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174</v>
      </c>
      <c r="C40" s="276"/>
      <c r="D40" s="27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176</v>
      </c>
      <c r="C40" s="276"/>
      <c r="D40" s="27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2026-10-17T00:56:28Z</dcterms:modified>
  <dc:language>en-US</dc:language>
</cp:coreProperties>
</file>