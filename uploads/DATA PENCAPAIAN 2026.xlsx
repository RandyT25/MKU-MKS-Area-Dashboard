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<sst xmlns="http://schemas.openxmlformats.org/spreadsheetml/2006/main" count="1878" uniqueCount="186">
  <si>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</si>
  <si>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</si>
  <si>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</si>
  <si>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</si>
  <si>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</si>
  <si>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</si>
  <si>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</si>
  <si>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</si>
  <si>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</si>
  <si>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</si>
  <si>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</si>
  <si>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</si>
  <si>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</si>
  <si>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</si>
  <si>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</si>
  <si>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</si>
  <si>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</si>
  <si>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</si>
  <si>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</si>
  <si>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</si>
  <si>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</si>
  <si>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</si>
  <si>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</si>
  <si>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</si>
  <si>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</si>
  <si>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</si>
  <si>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</si>
  <si>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</si>
  <si>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</si>
  <si>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</si>
  <si>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</si>
  <si>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</si>
  <si>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</si>
  <si>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</si>
  <si>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</si>
  <si>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</si>
  <si>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</si>
  <si>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</si>
  <si>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</si>
  <si>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</si>
  <si>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</si>
  <si>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</si>
  <si>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</si>
  <si>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</si>
  <si>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</si>
  <si>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</si>
  <si>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</si>
  <si>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</si>
  <si>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</si>
  <si>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</si>
  <si>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</si>
  <si>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</si>
  <si>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</si>
  <si>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</si>
  <si>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</si>
  <si>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</si>
  <si>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</si>
  <si>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</si>
  <si>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</si>
  <si>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</si>
  <si>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</si>
  <si>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</si>
  <si>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</si>
  <si>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</si>
  <si>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</si>
  <si>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</si>
  <si>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</si>
  <si>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</si>
  <si>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</si>
  <si>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</si>
  <si>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</si>
  <si>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</si>
  <si>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</si>
  <si>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</si>
  <si>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</si>
  <si>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</si>
  <si>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</si>
  <si>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</si>
  <si>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</si>
  <si>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</si>
  <si>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</si>
  <si>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</si>
  <si>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</si>
  <si>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</si>
  <si>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</si>
  <si>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</si>
  <si>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</si>
  <si>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</si>
  <si>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</si>
  <si>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</si>
  <si>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</si>
  <si>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</si>
  <si>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</si>
  <si>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</si>
  <si>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</si>
  <si>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</si>
  <si>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</si>
  <si>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</si>
  <si>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</si>
  <si>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</si>
  <si>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</si>
  <si>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</si>
  <si>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</si>
  <si>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</si>
  <si>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</si>
  <si>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</si>
  <si>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</si>
  <si>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</si>
  <si>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</si>
  <si>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</si>
  <si>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</si>
  <si>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</si>
  <si>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</si>
  <si>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</si>
  <si>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</si>
  <si>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</si>
  <si>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</si>
  <si>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</si>
  <si>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</si>
  <si>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</si>
  <si>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</si>
  <si>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</si>
  <si>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</si>
  <si>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</si>
  <si>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</si>
  <si>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</si>
  <si>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</si>
  <si>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</si>
  <si>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</si>
  <si>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</si>
  <si>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</si>
  <si>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</si>
  <si>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</si>
  <si>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</si>
  <si>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</si>
  <si>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</si>
  <si>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</si>
  <si>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</si>
  <si>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</si>
  <si>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</si>
  <si>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</si>
  <si>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</si>
  <si>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</si>
  <si>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</si>
  <si>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</si>
  <si>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</si>
  <si>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</si>
  <si>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</si>
  <si>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</si>
  <si>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</si>
  <si>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</si>
  <si>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</si>
  <si>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</si>
  <si>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</si>
  <si>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</si>
  <si>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</si>
  <si>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</si>
  <si>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</si>
  <si>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</si>
  <si>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</si>
  <si>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</si>
  <si>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</si>
  <si>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</si>
  <si>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</si>
  <si>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</si>
  <si>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</si>
  <si>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</si>
  <si>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</si>
  <si>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</si>
  <si>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</si>
  <si>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</si>
  <si>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</si>
  <si>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</si>
  <si>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</si>
  <si>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</si>
  <si>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</si>
  <si>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</si>
  <si>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</si>
  <si>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</si>
  <si>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</si>
  <si>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</si>
  <si>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</si>
  <si>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</si>
  <si>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</si>
  <si>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</si>
  <si>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15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</si>
</sst>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15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42186272.01410713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37039155.314446054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7318167.6493141809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86543594.977867365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10129608.221770886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9063308.9991513323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2927028.146666666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-2689913.8324018079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8719625.174101742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5379166.9636629103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-1674475.7112493038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7387628.5490193367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6907476.0113349995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5040796.5104853595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11815743.82705855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7891621.8774781907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2307045.5308663608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6020767.0606080256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79225427.328553244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-890865.19441816409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-1235298.8491921623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9444331.6929245163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7318167.6493141893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9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15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216120204.917725</v>
      </c>
      <c r="N8" s="11">
        <f>D24</f>
        <v>25347664.979977999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300969828.84408402</v>
      </c>
      <c r="N9" s="11">
        <f>D12+D13</f>
        <v>94767171.095587015</v>
      </c>
    </row>
    <row r="10" spans="2:14" x14ac:dyDescent="0.25">
      <c r="B10" s="74" t="s">
        <v>113</v>
      </c>
      <c r="C10" s="206">
        <v>209299603.041015</v>
      </c>
      <c r="D10" s="206">
        <v>19098035.769698001</v>
      </c>
      <c r="E10" s="206">
        <v>78801664.120000005</v>
      </c>
      <c r="F10" s="206">
        <v>307199302.930713</v>
      </c>
      <c r="H10" s="116"/>
      <c r="I10" s="116"/>
      <c r="J10" s="116"/>
      <c r="M10" s="11">
        <f>C14</f>
        <v>445286611.20681602</v>
      </c>
      <c r="N10" s="11">
        <f>D14</f>
        <v>10698419.402341001</v>
      </c>
    </row>
    <row r="11" spans="2:14" x14ac:dyDescent="0.25">
      <c r="B11" s="74" t="s">
        <v>114</v>
      </c>
      <c r="C11" s="206">
        <v>161787136.785211</v>
      </c>
      <c r="D11" s="206">
        <v>50204596.462793</v>
      </c>
      <c r="E11" s="206">
        <v>41988371.619999997</v>
      </c>
      <c r="F11" s="206">
        <v>253980104.86800399</v>
      </c>
      <c r="H11" s="116"/>
      <c r="I11" s="116"/>
      <c r="J11" s="116"/>
      <c r="M11" s="11">
        <f>C17</f>
        <v>203855856.87916899</v>
      </c>
      <c r="N11" s="11">
        <f>D17</f>
        <v>21077997.699999999</v>
      </c>
    </row>
    <row r="12" spans="2:14" x14ac:dyDescent="0.25">
      <c r="B12" s="74" t="s">
        <v>70</v>
      </c>
      <c r="C12" s="206">
        <v>156672377.15333101</v>
      </c>
      <c r="D12" s="206">
        <v>71692788.515722007</v>
      </c>
      <c r="E12" s="206">
        <v>23982873.359999999</v>
      </c>
      <c r="F12" s="206">
        <v>252348039.029053</v>
      </c>
      <c r="H12" s="116"/>
      <c r="I12" s="116"/>
      <c r="J12" s="116"/>
      <c r="M12" s="11">
        <f>C16</f>
        <v>186723405.24926001</v>
      </c>
      <c r="N12" s="11">
        <f>D16</f>
        <v>66261631.697237</v>
      </c>
    </row>
    <row r="13" spans="2:14" x14ac:dyDescent="0.25">
      <c r="B13" s="74" t="s">
        <v>115</v>
      </c>
      <c r="C13" s="206">
        <v>144297451.69075301</v>
      </c>
      <c r="D13" s="206">
        <v>23074382.579865001</v>
      </c>
      <c r="E13" s="206">
        <v>20221711.440000001</v>
      </c>
      <c r="F13" s="206">
        <v>187593545.71061799</v>
      </c>
      <c r="H13" s="116"/>
      <c r="I13" s="116"/>
      <c r="J13" s="116"/>
      <c r="M13" s="11">
        <f>C19</f>
        <v>752764418.96171701</v>
      </c>
      <c r="N13" s="11">
        <f>D19</f>
        <v>67228882.629644006</v>
      </c>
    </row>
    <row r="14" spans="2:14" x14ac:dyDescent="0.25">
      <c r="B14" s="74" t="s">
        <v>116</v>
      </c>
      <c r="C14" s="206">
        <v>445286611.20681602</v>
      </c>
      <c r="D14" s="206">
        <v>10698419.402341001</v>
      </c>
      <c r="E14" s="206">
        <v>187867228.96000001</v>
      </c>
      <c r="F14" s="206">
        <v>643852259.569157</v>
      </c>
      <c r="H14" s="116"/>
      <c r="I14" s="116"/>
      <c r="J14" s="116"/>
      <c r="M14" s="11">
        <f>C25</f>
        <v>253461063.08590999</v>
      </c>
      <c r="N14" s="11">
        <f>D25</f>
        <v>32120954.169946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161787136.785211</v>
      </c>
      <c r="N15" s="11">
        <f>D11</f>
        <v>50204596.462793</v>
      </c>
    </row>
    <row r="16" spans="2:14" x14ac:dyDescent="0.25">
      <c r="B16" s="74" t="s">
        <v>74</v>
      </c>
      <c r="C16" s="206">
        <v>186723405.24926001</v>
      </c>
      <c r="D16" s="206">
        <v>66261631.697237</v>
      </c>
      <c r="E16" s="206">
        <v>25792432.199999999</v>
      </c>
      <c r="F16" s="206">
        <v>278777469.14649701</v>
      </c>
      <c r="H16" s="116"/>
      <c r="I16" s="116"/>
      <c r="J16" s="116"/>
      <c r="M16" s="11">
        <f>C26</f>
        <v>296771278.31405598</v>
      </c>
      <c r="N16" s="11">
        <f>D26</f>
        <v>30649703.559950002</v>
      </c>
    </row>
    <row r="17" spans="2:14" x14ac:dyDescent="0.25">
      <c r="B17" s="74" t="s">
        <v>118</v>
      </c>
      <c r="C17" s="206">
        <v>203855856.87916899</v>
      </c>
      <c r="D17" s="206">
        <v>21077997.699999999</v>
      </c>
      <c r="E17" s="206" t="s">
        <v>168</v>
      </c>
      <c r="F17" s="206">
        <v>224933854.57916901</v>
      </c>
      <c r="H17" s="116"/>
      <c r="I17" s="116"/>
      <c r="J17" s="116"/>
      <c r="M17" s="11">
        <f>C10</f>
        <v>209299603.041015</v>
      </c>
      <c r="N17" s="11">
        <f>D10</f>
        <v>19098035.769698001</v>
      </c>
    </row>
    <row r="18" spans="2:14" x14ac:dyDescent="0.25">
      <c r="B18" s="74" t="s">
        <v>119</v>
      </c>
      <c r="C18" s="206">
        <v>918793722.41381896</v>
      </c>
      <c r="D18" s="206">
        <v>3687063.3339979998</v>
      </c>
      <c r="E18" s="206">
        <v>3470270.24</v>
      </c>
      <c r="F18" s="206">
        <v>925951055.98781705</v>
      </c>
      <c r="H18" s="116"/>
      <c r="I18" s="116"/>
      <c r="J18" s="116"/>
      <c r="M18" s="11">
        <f>C27</f>
        <v>447995568.887254</v>
      </c>
      <c r="N18" s="11">
        <f>D27</f>
        <v>120995585.525314</v>
      </c>
    </row>
    <row r="19" spans="2:14" x14ac:dyDescent="0.25">
      <c r="B19" s="74" t="s">
        <v>121</v>
      </c>
      <c r="C19" s="206">
        <v>752764418.96171701</v>
      </c>
      <c r="D19" s="206">
        <v>67228882.629644006</v>
      </c>
      <c r="E19" s="206">
        <v>653519483.91997898</v>
      </c>
      <c r="F19" s="206">
        <v>1473512785.5113399</v>
      </c>
      <c r="H19" s="116"/>
      <c r="I19" s="116"/>
      <c r="J19" s="116"/>
      <c r="M19" s="11">
        <f>C20+C21</f>
        <v>142192001.886246</v>
      </c>
      <c r="N19" s="11">
        <f>D20+D21</f>
        <v>74526130.726335004</v>
      </c>
    </row>
    <row r="20" spans="2:14" x14ac:dyDescent="0.25">
      <c r="B20" s="74" t="s">
        <v>123</v>
      </c>
      <c r="C20" s="206">
        <v>107284423.186251</v>
      </c>
      <c r="D20" s="206">
        <v>6100960.339989</v>
      </c>
      <c r="E20" s="206">
        <v>3178378.44</v>
      </c>
      <c r="F20" s="206">
        <v>116563761.96624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34907578.699995004</v>
      </c>
      <c r="D21" s="206">
        <v>68425170.386345997</v>
      </c>
      <c r="E21" s="206">
        <v>15675676.02</v>
      </c>
      <c r="F21" s="206">
        <v>119008425.106341</v>
      </c>
      <c r="H21" s="116"/>
      <c r="I21" s="116"/>
      <c r="J21" s="116"/>
      <c r="M21" s="14">
        <f>IFERROR(C34,0)+IFERROR(C35,0)+M20</f>
        <v>295302976.125274</v>
      </c>
      <c r="N21" s="10" t="s">
        <v>122</v>
      </c>
    </row>
    <row r="22" spans="2:14" x14ac:dyDescent="0.25">
      <c r="B22" s="74" t="s">
        <v>172</v>
      </c>
      <c r="C22" s="206">
        <v>92008319.599999994</v>
      </c>
      <c r="D22" s="206" t="s">
        <v>168</v>
      </c>
      <c r="E22" s="206">
        <v>3783783.68</v>
      </c>
      <c r="F22" s="206">
        <v>95792103.280000001</v>
      </c>
      <c r="H22" s="116"/>
      <c r="I22" s="116"/>
      <c r="J22" s="116"/>
    </row>
    <row r="23" spans="2:14" x14ac:dyDescent="0.25">
      <c r="B23" s="74" t="s">
        <v>173</v>
      </c>
      <c r="C23" s="206">
        <v>178904133.24000001</v>
      </c>
      <c r="D23" s="206" t="s">
        <v>168</v>
      </c>
      <c r="E23" s="206">
        <v>8126125.9000000004</v>
      </c>
      <c r="F23" s="206">
        <v>187030259.13999999</v>
      </c>
      <c r="H23" s="116"/>
      <c r="I23" s="116"/>
      <c r="J23" s="116"/>
    </row>
    <row r="24" spans="2:14" x14ac:dyDescent="0.25">
      <c r="B24" s="74" t="s">
        <v>125</v>
      </c>
      <c r="C24" s="206">
        <v>216120204.917725</v>
      </c>
      <c r="D24" s="206">
        <v>25347664.979977999</v>
      </c>
      <c r="E24" s="206">
        <v>242803072.13992</v>
      </c>
      <c r="F24" s="206">
        <v>484270942.03762299</v>
      </c>
      <c r="H24" s="116"/>
      <c r="I24" s="116"/>
      <c r="J24" s="116"/>
    </row>
    <row r="25" spans="2:14" x14ac:dyDescent="0.25">
      <c r="B25" s="74" t="s">
        <v>126</v>
      </c>
      <c r="C25" s="206">
        <v>253461063.08590999</v>
      </c>
      <c r="D25" s="206">
        <v>32120954.169946</v>
      </c>
      <c r="E25" s="206">
        <v>130853069.239682</v>
      </c>
      <c r="F25" s="206">
        <v>416435086.495538</v>
      </c>
      <c r="H25" s="116"/>
      <c r="I25" s="116"/>
      <c r="J25" s="116"/>
    </row>
    <row r="26" spans="2:14" x14ac:dyDescent="0.25">
      <c r="B26" s="74" t="s">
        <v>127</v>
      </c>
      <c r="C26" s="206">
        <v>296771278.31405598</v>
      </c>
      <c r="D26" s="206">
        <v>30649703.559950002</v>
      </c>
      <c r="E26" s="206">
        <v>375813021.44958401</v>
      </c>
      <c r="F26" s="206">
        <v>703234003.32359004</v>
      </c>
      <c r="H26" s="116"/>
      <c r="I26" s="116"/>
      <c r="J26" s="116"/>
    </row>
    <row r="27" spans="2:14" x14ac:dyDescent="0.25">
      <c r="B27" s="74" t="s">
        <v>128</v>
      </c>
      <c r="C27" s="206">
        <v>447995568.887254</v>
      </c>
      <c r="D27" s="206">
        <v>120995585.525314</v>
      </c>
      <c r="E27" s="206">
        <v>8357729.9079999998</v>
      </c>
      <c r="F27" s="206">
        <v>577348884.32056797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128597012.66389801</v>
      </c>
      <c r="G32" s="116"/>
      <c r="H32" s="116"/>
      <c r="I32" s="116"/>
    </row>
    <row r="33" spans="2:14" x14ac:dyDescent="0.25">
      <c r="B33" s="84" t="s">
        <v>133</v>
      </c>
      <c r="C33" s="206">
        <v>330237528.13652402</v>
      </c>
      <c r="G33" s="116"/>
      <c r="H33" s="116"/>
      <c r="I33" s="116"/>
    </row>
    <row r="34" spans="2:14" x14ac:dyDescent="0.25">
      <c r="B34" s="84" t="s">
        <v>134</v>
      </c>
      <c r="C34" s="205">
        <v>65011819.795329005</v>
      </c>
      <c r="G34" s="116"/>
      <c r="H34" s="116"/>
      <c r="I34" s="116"/>
    </row>
    <row r="35" spans="2:14" x14ac:dyDescent="0.25">
      <c r="B35" s="84" t="s">
        <v>135</v>
      </c>
      <c r="C35" s="206">
        <v>229880156.329945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0.4838709677419355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3888139430.8984637</v>
      </c>
      <c r="F43" s="44">
        <f>IFERROR(E43/D43,0)</f>
        <v>0.48920682459727388</v>
      </c>
      <c r="G43" s="118">
        <f>D43-E43</f>
        <v>4059704375.4492259</v>
      </c>
      <c r="H43" s="118">
        <f ca="1">IFERROR(G43/C3,0)</f>
        <v>270646958.36328173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612976773.71882308</v>
      </c>
      <c r="F44" s="44">
        <f>IFERROR(E44/D44,0)</f>
        <v>0.41341770921820647</v>
      </c>
      <c r="G44" s="118">
        <f>D44-E44</f>
        <v>869728877.37191689</v>
      </c>
      <c r="H44" s="118">
        <f ca="1">IFERROR(G44/C3,0)</f>
        <v>57981925.158127792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754137516.92569602</v>
      </c>
      <c r="F45" s="44">
        <f>IFERROR(E45/D45,0)</f>
        <v>0.40740762408629549</v>
      </c>
      <c r="G45" s="118">
        <f>D45-E45</f>
        <v>1096926312.8615384</v>
      </c>
      <c r="H45" s="118">
        <f ca="1">IFERROR(G45/C3,0)</f>
        <v>73128420.857435897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5255253721.5429831</v>
      </c>
      <c r="F46" s="43">
        <f>IFERROR(E46/D46,0)</f>
        <v>0.46582466423428859</v>
      </c>
      <c r="G46" s="119">
        <f>G43+G44+G45</f>
        <v>6026359565.682682</v>
      </c>
      <c r="H46" s="119">
        <f ca="1">IFERROR(G46/C3,0)</f>
        <v>401757304.37884545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216120204.917725</v>
      </c>
      <c r="H51" s="122">
        <f>N8</f>
        <v>25347664.979977999</v>
      </c>
      <c r="I51" s="122">
        <f t="shared" ref="I51:I64" si="1">G51+H51</f>
        <v>241467869.89770299</v>
      </c>
      <c r="J51" s="61">
        <f t="shared" ref="J51:J64" si="2">IFERROR(I51/F51,0)</f>
        <v>0.42544467339891373</v>
      </c>
      <c r="K51" s="51">
        <f t="shared" ref="K51:M64" si="3">D51-G51</f>
        <v>275116972.2077384</v>
      </c>
      <c r="L51" s="51">
        <f t="shared" si="3"/>
        <v>50981013.094003454</v>
      </c>
      <c r="M51" s="51">
        <f t="shared" si="3"/>
        <v>326097985.3017419</v>
      </c>
      <c r="N51" s="51">
        <f ca="1">IFERROR(M51/C3,0)</f>
        <v>21739865.686782792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300969828.84408402</v>
      </c>
      <c r="H52" s="122">
        <f>N9</f>
        <v>94767171.095587015</v>
      </c>
      <c r="I52" s="122">
        <f t="shared" si="1"/>
        <v>395736999.93967104</v>
      </c>
      <c r="J52" s="61">
        <f t="shared" si="2"/>
        <v>0.47183321491262953</v>
      </c>
      <c r="K52" s="54">
        <f t="shared" si="3"/>
        <v>356487331.00766563</v>
      </c>
      <c r="L52" s="54">
        <f t="shared" si="3"/>
        <v>86497885.785435289</v>
      </c>
      <c r="M52" s="54">
        <f t="shared" si="3"/>
        <v>442985216.79310095</v>
      </c>
      <c r="N52" s="54">
        <f ca="1">IFERROR(M52/C3,0)</f>
        <v>29532347.78620673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92008319.599999994</v>
      </c>
      <c r="H53" s="122">
        <f>IF(D22="",0,D22)</f>
        <v>0</v>
      </c>
      <c r="I53" s="122">
        <f>G53+H53</f>
        <v>92008319.599999994</v>
      </c>
      <c r="J53" s="61">
        <f>IFERROR(I53/F53,0)</f>
        <v>0.36957726312404759</v>
      </c>
      <c r="K53" s="54">
        <f>D53-G53</f>
        <v>156947254.18787572</v>
      </c>
      <c r="L53" s="54">
        <f>E53-H53</f>
        <v>0</v>
      </c>
      <c r="M53" s="54">
        <f>F53-I53</f>
        <v>156947254.18787572</v>
      </c>
      <c r="N53" s="54">
        <f ca="1">IFERROR(M53/C3,0)</f>
        <v>10463150.279191714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445286611.20681602</v>
      </c>
      <c r="H54" s="122">
        <f t="shared" ref="H54:H58" si="4">N10</f>
        <v>10698419.402341001</v>
      </c>
      <c r="I54" s="122">
        <f t="shared" si="1"/>
        <v>455985030.60915703</v>
      </c>
      <c r="J54" s="61">
        <f t="shared" si="2"/>
        <v>0.58469353399374013</v>
      </c>
      <c r="K54" s="54">
        <f>D54-G54</f>
        <v>283100666.36708671</v>
      </c>
      <c r="L54" s="54">
        <f t="shared" si="3"/>
        <v>40784447.122252353</v>
      </c>
      <c r="M54" s="54">
        <f t="shared" si="3"/>
        <v>323885113.48933905</v>
      </c>
      <c r="N54" s="54">
        <f ca="1">IFERROR(M54/C3,0)</f>
        <v>21592340.899289269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203855856.87916899</v>
      </c>
      <c r="H55" s="122">
        <f t="shared" si="4"/>
        <v>21077997.699999999</v>
      </c>
      <c r="I55" s="122">
        <f t="shared" si="1"/>
        <v>224933854.57916898</v>
      </c>
      <c r="J55" s="61">
        <f t="shared" si="2"/>
        <v>0.40704768439352396</v>
      </c>
      <c r="K55" s="54">
        <f t="shared" si="3"/>
        <v>278456321.59819639</v>
      </c>
      <c r="L55" s="54">
        <f t="shared" si="3"/>
        <v>49208114.399588957</v>
      </c>
      <c r="M55" s="54">
        <f t="shared" si="3"/>
        <v>327664435.99778539</v>
      </c>
      <c r="N55" s="54">
        <f ca="1">IFERROR(M55/C3,0)</f>
        <v>21844295.733185694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186723405.24926001</v>
      </c>
      <c r="H56" s="122">
        <f t="shared" si="4"/>
        <v>66261631.697237</v>
      </c>
      <c r="I56" s="122">
        <f t="shared" si="1"/>
        <v>252985036.94649702</v>
      </c>
      <c r="J56" s="61">
        <f t="shared" si="2"/>
        <v>0.40274985756596948</v>
      </c>
      <c r="K56" s="54">
        <f t="shared" si="3"/>
        <v>318468597.75382656</v>
      </c>
      <c r="L56" s="54">
        <f t="shared" si="3"/>
        <v>56690689.112525105</v>
      </c>
      <c r="M56" s="54">
        <f t="shared" si="3"/>
        <v>375159286.86635166</v>
      </c>
      <c r="N56" s="54">
        <f ca="1">IFERROR(M56/C3,0)</f>
        <v>25010619.124423444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752764418.96171701</v>
      </c>
      <c r="H57" s="122">
        <f t="shared" si="4"/>
        <v>67228882.629644006</v>
      </c>
      <c r="I57" s="122">
        <f t="shared" si="1"/>
        <v>819993301.59136105</v>
      </c>
      <c r="J57" s="61">
        <f t="shared" si="2"/>
        <v>0.70544194492332313</v>
      </c>
      <c r="K57" s="54">
        <f t="shared" si="3"/>
        <v>308480984.08700168</v>
      </c>
      <c r="L57" s="54">
        <f t="shared" si="3"/>
        <v>33908115.159014389</v>
      </c>
      <c r="M57" s="54">
        <f t="shared" si="3"/>
        <v>342389099.24601603</v>
      </c>
      <c r="N57" s="54">
        <f ca="1">IFERROR(M57/C3,0)</f>
        <v>22825939.949734401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253461063.08590999</v>
      </c>
      <c r="H58" s="122">
        <f t="shared" si="4"/>
        <v>32120954.169946</v>
      </c>
      <c r="I58" s="122">
        <f>G58+H58</f>
        <v>285582017.25585598</v>
      </c>
      <c r="J58" s="61">
        <f>IFERROR(I58/F58,0)</f>
        <v>0.42765934444821263</v>
      </c>
      <c r="K58" s="54">
        <f t="shared" si="3"/>
        <v>309653107.64817882</v>
      </c>
      <c r="L58" s="54">
        <f t="shared" si="3"/>
        <v>72544080.585624486</v>
      </c>
      <c r="M58" s="54">
        <f t="shared" si="3"/>
        <v>382197188.23380333</v>
      </c>
      <c r="N58" s="54">
        <f ca="1">IFERROR(M58/C3,0)</f>
        <v>25479812.548920222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178904133.24000001</v>
      </c>
      <c r="H59" s="122">
        <f>IF(D23="",0,D23)</f>
        <v>0</v>
      </c>
      <c r="I59" s="122">
        <f>G59+H59</f>
        <v>178904133.24000001</v>
      </c>
      <c r="J59" s="61">
        <f>IFERROR(I59/F59,0)</f>
        <v>0.41620210011752534</v>
      </c>
      <c r="K59" s="54">
        <f>D59-G59</f>
        <v>250945051.06128496</v>
      </c>
      <c r="L59" s="54">
        <f>E59-H59</f>
        <v>0</v>
      </c>
      <c r="M59" s="54">
        <f>F59-I59</f>
        <v>250945051.06128496</v>
      </c>
      <c r="N59" s="54">
        <f ca="1">IFERROR(M59/C3,0)</f>
        <v>16729670.07075233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161787136.785211</v>
      </c>
      <c r="H60" s="122">
        <f t="shared" ref="H60:H64" si="5">N15</f>
        <v>50204596.462793</v>
      </c>
      <c r="I60" s="122">
        <f t="shared" si="1"/>
        <v>211991733.24800399</v>
      </c>
      <c r="J60" s="61">
        <f t="shared" si="2"/>
        <v>0.33522598776954804</v>
      </c>
      <c r="K60" s="54">
        <f t="shared" si="3"/>
        <v>352933974.64163709</v>
      </c>
      <c r="L60" s="54">
        <f t="shared" si="3"/>
        <v>67458835.619373083</v>
      </c>
      <c r="M60" s="54">
        <f t="shared" si="3"/>
        <v>420392810.26101017</v>
      </c>
      <c r="N60" s="54">
        <f ca="1">IFERROR(M60/C3,0)</f>
        <v>28026187.35073401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296771278.31405598</v>
      </c>
      <c r="H61" s="122">
        <f t="shared" si="5"/>
        <v>30649703.559950002</v>
      </c>
      <c r="I61" s="122">
        <f t="shared" si="1"/>
        <v>327420981.87400597</v>
      </c>
      <c r="J61" s="61">
        <f t="shared" si="2"/>
        <v>0.42533742750935472</v>
      </c>
      <c r="K61" s="54">
        <f t="shared" si="3"/>
        <v>402073897.92554504</v>
      </c>
      <c r="L61" s="54">
        <f t="shared" si="3"/>
        <v>40296257.066260822</v>
      </c>
      <c r="M61" s="54">
        <f t="shared" si="3"/>
        <v>442370154.99180585</v>
      </c>
      <c r="N61" s="54">
        <f ca="1">IFERROR(M61/C3,0)</f>
        <v>29491343.666120391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209299603.041015</v>
      </c>
      <c r="H62" s="122">
        <f t="shared" si="5"/>
        <v>19098035.769698001</v>
      </c>
      <c r="I62" s="122">
        <f t="shared" si="1"/>
        <v>228397638.81071299</v>
      </c>
      <c r="J62" s="61">
        <f t="shared" si="2"/>
        <v>0.4307588409837419</v>
      </c>
      <c r="K62" s="54">
        <f t="shared" si="3"/>
        <v>272570761.17635107</v>
      </c>
      <c r="L62" s="54">
        <f t="shared" si="3"/>
        <v>29253192.88636779</v>
      </c>
      <c r="M62" s="54">
        <f t="shared" si="3"/>
        <v>301823954.06271893</v>
      </c>
      <c r="N62" s="54">
        <f ca="1">IFERROR(M62/C3,0)</f>
        <v>20121596.937514596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447995568.887254</v>
      </c>
      <c r="H63" s="122">
        <f t="shared" si="5"/>
        <v>120995585.525314</v>
      </c>
      <c r="I63" s="122">
        <f t="shared" si="1"/>
        <v>568991154.41256797</v>
      </c>
      <c r="J63" s="61">
        <f t="shared" si="2"/>
        <v>0.55125596418163447</v>
      </c>
      <c r="K63" s="54">
        <f t="shared" si="3"/>
        <v>258059360.10554647</v>
      </c>
      <c r="L63" s="54">
        <f t="shared" si="3"/>
        <v>205121818.08832231</v>
      </c>
      <c r="M63" s="54">
        <f t="shared" si="3"/>
        <v>463181178.19386876</v>
      </c>
      <c r="N63" s="54">
        <f ca="1">IFERROR(M63/C3,0)</f>
        <v>30878745.212924585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142192001.886246</v>
      </c>
      <c r="H64" s="122">
        <f t="shared" si="5"/>
        <v>74526130.726335004</v>
      </c>
      <c r="I64" s="122">
        <f t="shared" si="1"/>
        <v>216718132.61258101</v>
      </c>
      <c r="J64" s="61">
        <f t="shared" si="2"/>
        <v>0.36724874502308319</v>
      </c>
      <c r="K64" s="54">
        <f t="shared" si="3"/>
        <v>236410095.68129119</v>
      </c>
      <c r="L64" s="54">
        <f t="shared" si="3"/>
        <v>136984428.45314896</v>
      </c>
      <c r="M64" s="54">
        <f t="shared" si="3"/>
        <v>373394524.13444018</v>
      </c>
      <c r="N64" s="54">
        <f ca="1">IFERROR(M64/C3,0)</f>
        <v>24892968.275629345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3888139430.8984637</v>
      </c>
      <c r="H65" s="152">
        <f>SUM(H51:H64)</f>
        <v>612976773.71882308</v>
      </c>
      <c r="I65" s="152">
        <f>SUM(I51:I64)</f>
        <v>4501116204.6172857</v>
      </c>
      <c r="J65" s="153">
        <f>IFERROR(I65/F65,0)</f>
        <v>0.47729098128709685</v>
      </c>
      <c r="K65" s="154">
        <f>SUM(K51:K64)</f>
        <v>4059704375.4492254</v>
      </c>
      <c r="L65" s="154">
        <f>SUM(L51:L64)</f>
        <v>869728877.37191701</v>
      </c>
      <c r="M65" s="154">
        <f>SUM(M51:M64)</f>
        <v>4929433252.8211432</v>
      </c>
      <c r="N65" s="154">
        <f ca="1">IFERROR(M65/C3,0)</f>
        <v>328628883.52140957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242803072.13992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44204584.799999997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187867228.96000001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25792432.199999999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653519483.91997898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130853069.239682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8126125.9000000004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41988371.619999997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375813021.44958401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78801664.120000005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8357729.9079999998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18854054.460000001</v>
      </c>
    </row>
    <row r="84" spans="2:9" ht="20.100000000000001" customHeight="1" x14ac:dyDescent="0.25">
      <c r="B84" s="57" t="s">
        <v>152</v>
      </c>
      <c r="C84" s="58"/>
      <c r="D84" s="129">
        <f>SUM(D70:D83)</f>
        <v>1820764622.3971648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128597012.66389801</v>
      </c>
      <c r="F89" s="61">
        <f t="shared" ref="F89:F94" si="7">IFERROR(E89/D89,0)</f>
        <v>0.43869262763450384</v>
      </c>
      <c r="G89" s="125">
        <f>D89-E89</f>
        <v>164539923.22971916</v>
      </c>
      <c r="H89" s="125">
        <f ca="1">IFERROR(G89/C3,0)</f>
        <v>10969328.21531461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330237528.13652402</v>
      </c>
      <c r="F90" s="61">
        <f t="shared" si="7"/>
        <v>0.7566656558324365</v>
      </c>
      <c r="G90" s="126">
        <f>D90-E90</f>
        <v>106200316.75709313</v>
      </c>
      <c r="H90" s="126">
        <f ca="1">IFERROR(G90/C3,0)</f>
        <v>7080021.1171395425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295302976.125274</v>
      </c>
      <c r="F91" s="61">
        <f t="shared" si="7"/>
        <v>0.26331329439960854</v>
      </c>
      <c r="G91" s="125">
        <f>D91-E91</f>
        <v>826186072.87472606</v>
      </c>
      <c r="H91" s="125">
        <f ca="1">IFERROR(G91/C3,0)</f>
        <v>55079071.524981737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754137516.92569602</v>
      </c>
      <c r="F94" s="43">
        <f t="shared" si="7"/>
        <v>0.40740762408629549</v>
      </c>
      <c r="G94" s="119">
        <f>SUM(G89:G93)</f>
        <v>1096926312.8615384</v>
      </c>
      <c r="H94" s="119">
        <f ca="1">IFERROR(G94/C3,0)</f>
        <v>73128420.857435897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2026-07-15T00:42:48Z</dcterms:modified>
  <dc:language>en-US</dc:language>
</cp:coreProperties>
</file>