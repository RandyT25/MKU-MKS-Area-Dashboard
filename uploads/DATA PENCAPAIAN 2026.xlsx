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<sst xmlns="http://schemas.openxmlformats.org/spreadsheetml/2006/main" count="2112" uniqueCount="226">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</sst>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D48" zoomScale="73" zoomScaleNormal="73" workbookViewId="0">
      <selection activeCell="H65" sqref="H6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22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46598835.349512003</v>
      </c>
      <c r="D10" s="234">
        <v>11651847.140000001</v>
      </c>
      <c r="E10" s="234">
        <v>57120621.753935002</v>
      </c>
      <c r="F10" s="234">
        <v>36794009.459988996</v>
      </c>
      <c r="G10" s="234">
        <v>152165313.70343599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5443932</v>
      </c>
      <c r="E11" s="234">
        <v>35810810.999849997</v>
      </c>
      <c r="F11" s="234">
        <v>0</v>
      </c>
      <c r="G11" s="234">
        <v>43504742.999849997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58987356.786303997</v>
      </c>
      <c r="D12" s="234">
        <v>37404812.451497003</v>
      </c>
      <c r="E12" s="234">
        <v>34535235.089906998</v>
      </c>
      <c r="F12" s="234">
        <v>6564486.7999999998</v>
      </c>
      <c r="G12" s="234">
        <v>137491891.12770799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12094838.093313999</v>
      </c>
      <c r="D13" s="234">
        <v>5732538.7599989995</v>
      </c>
      <c r="E13" s="234">
        <v>47153468.889896996</v>
      </c>
      <c r="F13" s="234">
        <v>9568468.6999999993</v>
      </c>
      <c r="G13" s="234">
        <v>74549314.443210006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92252891.066808999</v>
      </c>
      <c r="D14" s="234">
        <v>12780482.425979</v>
      </c>
      <c r="E14" s="234">
        <v>41351288.389953002</v>
      </c>
      <c r="F14" s="234">
        <v>89937028.799940005</v>
      </c>
      <c r="G14" s="234">
        <v>236321690.68268099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281689260.62117499</v>
      </c>
      <c r="D15" s="234">
        <v>900717.44999899995</v>
      </c>
      <c r="E15" s="234">
        <v>9863156.4399750009</v>
      </c>
      <c r="F15" s="234">
        <v>8021621.8499999996</v>
      </c>
      <c r="G15" s="234">
        <v>300474756.36114901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102586706.237812</v>
      </c>
      <c r="D16" s="234">
        <v>19678535.869982999</v>
      </c>
      <c r="E16" s="234">
        <v>74783063.199864998</v>
      </c>
      <c r="F16" s="234">
        <v>241696394.539987</v>
      </c>
      <c r="G16" s="234">
        <v>438744699.84764701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26997965.952842999</v>
      </c>
      <c r="D17" s="234">
        <v>7638783.7408999996</v>
      </c>
      <c r="E17" s="234">
        <v>20506234.639490001</v>
      </c>
      <c r="F17" s="234">
        <v>9243243.5</v>
      </c>
      <c r="G17" s="234">
        <v>64386227.833232999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3966250</v>
      </c>
      <c r="D18" s="234">
        <v>23543459.467810001</v>
      </c>
      <c r="E18" s="234">
        <v>21917531</v>
      </c>
      <c r="F18" s="234">
        <v>30659460.079999998</v>
      </c>
      <c r="G18" s="234">
        <v>80086700.547810003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918918.96</v>
      </c>
      <c r="D19" s="234">
        <v>0</v>
      </c>
      <c r="E19" s="234">
        <v>0</v>
      </c>
      <c r="F19" s="234">
        <v>2198198.14</v>
      </c>
      <c r="G19" s="234">
        <v>3117117.1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44435147.740000002</v>
      </c>
      <c r="D20" s="234">
        <v>0</v>
      </c>
      <c r="E20" s="234">
        <v>0</v>
      </c>
      <c r="F20" s="234">
        <v>2804774.7</v>
      </c>
      <c r="G20" s="234">
        <v>47239922.439999998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65238809.426485002</v>
      </c>
      <c r="D21" s="234">
        <v>12066477.509993</v>
      </c>
      <c r="E21" s="234">
        <v>30152162.269962002</v>
      </c>
      <c r="F21" s="234">
        <v>77454861.539979994</v>
      </c>
      <c r="G21" s="234">
        <v>184912310.74642</v>
      </c>
      <c r="H21" s="111"/>
      <c r="I21" s="111"/>
      <c r="J21" s="111"/>
      <c r="M21" s="14">
        <f>SUM(C33,C34)+M20</f>
        <v>144230333.145183</v>
      </c>
      <c r="N21" s="10" t="s">
        <v>224</v>
      </c>
    </row>
    <row r="22" spans="2:15" ht="15" customHeight="1" x14ac:dyDescent="0.25">
      <c r="B22" s="72" t="s">
        <v>125</v>
      </c>
      <c r="C22" s="234">
        <v>47361329.371572003</v>
      </c>
      <c r="D22" s="234">
        <v>16899419.849998001</v>
      </c>
      <c r="E22" s="234">
        <v>40282928.473927997</v>
      </c>
      <c r="F22" s="234">
        <v>71822794.219885007</v>
      </c>
      <c r="G22" s="234">
        <v>176366471.91538301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113860981.987975</v>
      </c>
      <c r="D23" s="234">
        <v>15896301.829992</v>
      </c>
      <c r="E23" s="234">
        <v>57101757.339924999</v>
      </c>
      <c r="F23" s="234">
        <v>164219461.60982499</v>
      </c>
      <c r="G23" s="234">
        <v>351078502.767717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60252449.660063997</v>
      </c>
      <c r="D24" s="234">
        <v>9905702.7099920008</v>
      </c>
      <c r="E24" s="234">
        <v>40917961.448390998</v>
      </c>
      <c r="F24" s="234">
        <v>16126125.949999999</v>
      </c>
      <c r="G24" s="234">
        <v>127202239.768447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63243575.728973001</v>
      </c>
      <c r="D25" s="234">
        <v>25011687.311854001</v>
      </c>
      <c r="E25" s="234">
        <v>26672504.699900001</v>
      </c>
      <c r="F25" s="234">
        <v>15855856.24</v>
      </c>
      <c r="G25" s="234">
        <v>130783623.980727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116243103.73868001</v>
      </c>
      <c r="D26" s="234">
        <v>115467392.12853999</v>
      </c>
      <c r="E26" s="234">
        <v>85411185.788420007</v>
      </c>
      <c r="F26" s="234">
        <v>1415675.7150000001</v>
      </c>
      <c r="G26" s="234">
        <v>318537357.37063998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44499284.619805999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48954528.409915999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40152086.150325999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104078246.994857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225</v>
      </c>
      <c r="C40" s="270"/>
      <c r="D40" s="271"/>
      <c r="E40" s="66" t="s">
        <v>137</v>
      </c>
      <c r="F40" s="174">
        <f ca="1">IF(MONTH(TODAY())=9,DAY(TODAY())/DAY(EOMONTH(TODAY(),0)),IF(MONTH(TODAY())&gt;9,1,0))</f>
        <v>0.16666666666666666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857289160.10034299</v>
      </c>
      <c r="F42" s="176">
        <f>IFERROR(E42/D42,0)</f>
        <v>0.19001104079339881</v>
      </c>
      <c r="G42" s="184">
        <f>D42*$H$40-E42</f>
        <v>3654496873.5990534</v>
      </c>
      <c r="H42" s="184">
        <f ca="1">IFERROR(G42/$C$3,0)</f>
        <v>166113494.25450242</v>
      </c>
      <c r="I42" s="204">
        <f>D42*$J$40-E42</f>
        <v>3654496873.5990534</v>
      </c>
      <c r="J42" s="204">
        <f ca="1">IFERROR(I42/$C$3,0)</f>
        <v>166113494.25450242</v>
      </c>
      <c r="K42" s="185">
        <f>D42*$L$40-E42</f>
        <v>3654496873.5990534</v>
      </c>
      <c r="L42" s="185">
        <f ca="1">IFERROR(K42/$C$3,0)</f>
        <v>166113494.25450242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319121373.19653702</v>
      </c>
      <c r="F43" s="176">
        <f>IFERROR(E43/D43,0)</f>
        <v>0.22772175877478074</v>
      </c>
      <c r="G43" s="184">
        <f>D43*$H$40-E43</f>
        <v>1082243937.3188779</v>
      </c>
      <c r="H43" s="184">
        <f ca="1">IFERROR(G43/$C$3,0)</f>
        <v>49192906.241767175</v>
      </c>
      <c r="I43" s="204">
        <f>D43*$J$40-E43</f>
        <v>1082243937.3188779</v>
      </c>
      <c r="J43" s="204">
        <f ca="1">IFERROR(I43/$C$3,0)</f>
        <v>49192906.241767175</v>
      </c>
      <c r="K43" s="185">
        <f>D43*$L$40-E43</f>
        <v>1082243937.3188779</v>
      </c>
      <c r="L43" s="185">
        <f ca="1">IFERROR(K43/$C$3,0)</f>
        <v>49192906.241767175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613716753.98342299</v>
      </c>
      <c r="F44" s="176">
        <f>IFERROR(E44/D44,0)</f>
        <v>0.2084059343195733</v>
      </c>
      <c r="G44" s="184">
        <f>IF(D44=0,0,D44*$H$40-E44)</f>
        <v>2331097442.3452625</v>
      </c>
      <c r="H44" s="184">
        <f ca="1">IFERROR(G44/$C$3,0)</f>
        <v>105958974.65205739</v>
      </c>
      <c r="I44" s="204">
        <f>IF(D44=0,0,D44*$J$40-E44)</f>
        <v>2331097442.3452625</v>
      </c>
      <c r="J44" s="204">
        <f ca="1">IFERROR(I44/$C$3,0)</f>
        <v>105958974.65205739</v>
      </c>
      <c r="K44" s="185">
        <f>IF(D44=0,0,D44*$L$40-E44)</f>
        <v>2331097442.3452625</v>
      </c>
      <c r="L44" s="185">
        <f ca="1">IFERROR(K44/$C$3,0)</f>
        <v>105958974.65205739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237684146.174905</v>
      </c>
      <c r="F45" s="176">
        <f>IFERROR(E45/D45,0)</f>
        <v>0.13656668545501877</v>
      </c>
      <c r="G45" s="184">
        <f>D45*$H$40-E45</f>
        <v>1502741385.7399886</v>
      </c>
      <c r="H45" s="184">
        <f ca="1">IFERROR(G45/$C$3,0)</f>
        <v>68306426.624544933</v>
      </c>
      <c r="I45" s="204">
        <f>D45*$J$40-E45</f>
        <v>1502741385.7399886</v>
      </c>
      <c r="J45" s="204">
        <f ca="1">IFERROR(I45/$C$3,0)</f>
        <v>68306426.624544933</v>
      </c>
      <c r="K45" s="185">
        <f>D45*$L$40-E45</f>
        <v>1502741385.7399886</v>
      </c>
      <c r="L45" s="185">
        <f ca="1">IFERROR(K45/$C$3,0)</f>
        <v>68306426.624544933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2027811433.4552081</v>
      </c>
      <c r="F46" s="177">
        <f>IFERROR(E46/D46,0)</f>
        <v>0.19133200686704224</v>
      </c>
      <c r="G46" s="181">
        <f>SUM(G42:G45)</f>
        <v>8570579639.0031824</v>
      </c>
      <c r="H46" s="181">
        <f ca="1">IFERROR(G46/$C$3,0)</f>
        <v>389571801.77287191</v>
      </c>
      <c r="I46" s="186">
        <f>SUM(I42:I45)</f>
        <v>8570579639.0031824</v>
      </c>
      <c r="J46" s="186">
        <f ca="1">IFERROR(I46/$C$3,0)</f>
        <v>389571801.77287191</v>
      </c>
      <c r="K46" s="186">
        <f>SUM(K42:K45)</f>
        <v>8570579639.0031824</v>
      </c>
      <c r="L46" s="186">
        <f ca="1">IFERROR(K46/$C$3,0)</f>
        <v>389571801.77287191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65238809.426485002</v>
      </c>
      <c r="I51" s="114">
        <f t="shared" ref="I51:I64" si="1">SUMIF($B$10:$B$26,$T51,D$10:D$26)+SUMIF($B$10:$B$26,$U51,D$10:D$26)</f>
        <v>12066477.509993</v>
      </c>
      <c r="J51" s="114">
        <f t="shared" ref="J51:J64" si="2">SUMIF($B$10:$B$26,$T51,E$10:E$26)+SUMIF($B$10:$B$26,$U51,E$10:E$26)</f>
        <v>30152162.269962002</v>
      </c>
      <c r="K51" s="114">
        <f t="shared" ref="K51:K64" si="3">SUM(H51:J51)</f>
        <v>107457449.20644</v>
      </c>
      <c r="L51" s="187">
        <f t="shared" ref="L51:L65" si="4">IFERROR(K51/G51,0)</f>
        <v>0.20891180926448422</v>
      </c>
      <c r="M51" s="184">
        <f t="shared" ref="M51:M64" si="5">G51*$H$40-K51</f>
        <v>406910070.68037462</v>
      </c>
      <c r="N51" s="184">
        <f t="shared" ref="N51:N65" ca="1" si="6">IFERROR(M51/$C$3,0)</f>
        <v>18495912.303653393</v>
      </c>
      <c r="O51" s="180">
        <f t="shared" ref="O51:O64" si="7">G51*$J$40-K51</f>
        <v>406910070.68037462</v>
      </c>
      <c r="P51" s="180">
        <f t="shared" ref="P51:P65" ca="1" si="8">IFERROR(O51/$C$3,0)</f>
        <v>18495912.303653393</v>
      </c>
      <c r="Q51" s="185">
        <f t="shared" ref="Q51:Q64" si="9">G51*$L$40-K51</f>
        <v>406910070.68037462</v>
      </c>
      <c r="R51" s="185">
        <f t="shared" ref="R51:R65" ca="1" si="10">IFERROR(Q51/$C$3,0)</f>
        <v>18495912.303653393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71082194.879617989</v>
      </c>
      <c r="I52" s="114">
        <f t="shared" si="1"/>
        <v>43137351.211496003</v>
      </c>
      <c r="J52" s="114">
        <f t="shared" si="2"/>
        <v>81688703.979803994</v>
      </c>
      <c r="K52" s="114">
        <f t="shared" si="3"/>
        <v>195908250.07091796</v>
      </c>
      <c r="L52" s="187">
        <f t="shared" si="4"/>
        <v>0.24939821016865482</v>
      </c>
      <c r="M52" s="184">
        <f t="shared" si="5"/>
        <v>589615631.34922361</v>
      </c>
      <c r="N52" s="184">
        <f t="shared" ca="1" si="6"/>
        <v>26800710.515873801</v>
      </c>
      <c r="O52" s="180">
        <f t="shared" si="7"/>
        <v>589615631.34922361</v>
      </c>
      <c r="P52" s="180">
        <f t="shared" ca="1" si="8"/>
        <v>26800710.515873801</v>
      </c>
      <c r="Q52" s="185">
        <f t="shared" si="9"/>
        <v>589615631.34922361</v>
      </c>
      <c r="R52" s="185">
        <f t="shared" ca="1" si="10"/>
        <v>26800710.515873801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918918.96</v>
      </c>
      <c r="I53" s="114">
        <f t="shared" si="1"/>
        <v>0</v>
      </c>
      <c r="J53" s="114">
        <f t="shared" si="2"/>
        <v>0</v>
      </c>
      <c r="K53" s="114">
        <f t="shared" si="3"/>
        <v>918918.96</v>
      </c>
      <c r="L53" s="187">
        <f t="shared" si="4"/>
        <v>3.4946115573718053E-3</v>
      </c>
      <c r="M53" s="184">
        <f t="shared" si="5"/>
        <v>262034186.10301074</v>
      </c>
      <c r="N53" s="184">
        <f t="shared" ca="1" si="6"/>
        <v>11910644.822864125</v>
      </c>
      <c r="O53" s="180">
        <f t="shared" si="7"/>
        <v>262034186.10301074</v>
      </c>
      <c r="P53" s="180">
        <f t="shared" ca="1" si="8"/>
        <v>11910644.822864125</v>
      </c>
      <c r="Q53" s="185">
        <f t="shared" si="9"/>
        <v>262034186.10301074</v>
      </c>
      <c r="R53" s="185">
        <f t="shared" ca="1" si="10"/>
        <v>11910644.822864125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92252891.066808999</v>
      </c>
      <c r="I54" s="114">
        <f t="shared" si="1"/>
        <v>12780482.425979</v>
      </c>
      <c r="J54" s="114">
        <f t="shared" si="2"/>
        <v>41351288.389953002</v>
      </c>
      <c r="K54" s="114">
        <f t="shared" si="3"/>
        <v>146384661.882741</v>
      </c>
      <c r="L54" s="187">
        <f t="shared" si="4"/>
        <v>0.20144535691748211</v>
      </c>
      <c r="M54" s="184">
        <f t="shared" si="5"/>
        <v>580287146.90312457</v>
      </c>
      <c r="N54" s="184">
        <f t="shared" ca="1" si="6"/>
        <v>26376688.495596573</v>
      </c>
      <c r="O54" s="180">
        <f t="shared" si="7"/>
        <v>580287146.90312457</v>
      </c>
      <c r="P54" s="180">
        <f t="shared" ca="1" si="8"/>
        <v>26376688.495596573</v>
      </c>
      <c r="Q54" s="185">
        <f t="shared" si="9"/>
        <v>580287146.90312457</v>
      </c>
      <c r="R54" s="185">
        <f t="shared" ca="1" si="10"/>
        <v>26376688.495596573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5443932</v>
      </c>
      <c r="J55" s="114">
        <f t="shared" si="2"/>
        <v>35810810.999849997</v>
      </c>
      <c r="K55" s="114">
        <f t="shared" si="3"/>
        <v>43504742.999849997</v>
      </c>
      <c r="L55" s="187">
        <f t="shared" si="4"/>
        <v>8.0984106572060816E-2</v>
      </c>
      <c r="M55" s="184">
        <f t="shared" si="5"/>
        <v>493696256.57083565</v>
      </c>
      <c r="N55" s="184">
        <f t="shared" ca="1" si="6"/>
        <v>22440738.935037985</v>
      </c>
      <c r="O55" s="180">
        <f t="shared" si="7"/>
        <v>493696256.57083565</v>
      </c>
      <c r="P55" s="180">
        <f t="shared" ca="1" si="8"/>
        <v>22440738.935037985</v>
      </c>
      <c r="Q55" s="185">
        <f t="shared" si="9"/>
        <v>493696256.57083565</v>
      </c>
      <c r="R55" s="185">
        <f t="shared" ca="1" si="10"/>
        <v>22440738.935037985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60252449.660063997</v>
      </c>
      <c r="I56" s="114">
        <f t="shared" si="1"/>
        <v>9905702.7099920008</v>
      </c>
      <c r="J56" s="114">
        <f t="shared" si="2"/>
        <v>40917961.448390998</v>
      </c>
      <c r="K56" s="114">
        <f t="shared" si="3"/>
        <v>111076113.81844699</v>
      </c>
      <c r="L56" s="187">
        <f t="shared" si="4"/>
        <v>0.19319399741912419</v>
      </c>
      <c r="M56" s="184">
        <f t="shared" si="5"/>
        <v>463869874.6817714</v>
      </c>
      <c r="N56" s="184">
        <f t="shared" ca="1" si="6"/>
        <v>21084994.303716883</v>
      </c>
      <c r="O56" s="180">
        <f t="shared" si="7"/>
        <v>463869874.6817714</v>
      </c>
      <c r="P56" s="180">
        <f t="shared" ca="1" si="8"/>
        <v>21084994.303716883</v>
      </c>
      <c r="Q56" s="185">
        <f t="shared" si="9"/>
        <v>463869874.6817714</v>
      </c>
      <c r="R56" s="185">
        <f t="shared" ca="1" si="10"/>
        <v>21084994.303716883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102586706.237812</v>
      </c>
      <c r="I57" s="114">
        <f t="shared" si="1"/>
        <v>19678535.869982999</v>
      </c>
      <c r="J57" s="114">
        <f t="shared" si="2"/>
        <v>74783063.199864998</v>
      </c>
      <c r="K57" s="114">
        <f t="shared" si="3"/>
        <v>197048305.30765998</v>
      </c>
      <c r="L57" s="187">
        <f t="shared" si="4"/>
        <v>0.17765158320628949</v>
      </c>
      <c r="M57" s="184">
        <f t="shared" si="5"/>
        <v>912135760.21708667</v>
      </c>
      <c r="N57" s="184">
        <f t="shared" ca="1" si="6"/>
        <v>41460716.373503938</v>
      </c>
      <c r="O57" s="180">
        <f t="shared" si="7"/>
        <v>912135760.21708667</v>
      </c>
      <c r="P57" s="180">
        <f t="shared" ca="1" si="8"/>
        <v>41460716.373503938</v>
      </c>
      <c r="Q57" s="185">
        <f t="shared" si="9"/>
        <v>912135760.21708667</v>
      </c>
      <c r="R57" s="185">
        <f t="shared" ca="1" si="10"/>
        <v>41460716.373503938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47361329.371572003</v>
      </c>
      <c r="I58" s="114">
        <f t="shared" si="1"/>
        <v>16899419.849998001</v>
      </c>
      <c r="J58" s="114">
        <f t="shared" si="2"/>
        <v>40282928.473927997</v>
      </c>
      <c r="K58" s="114">
        <f t="shared" si="3"/>
        <v>104543677.69549799</v>
      </c>
      <c r="L58" s="187">
        <f t="shared" si="4"/>
        <v>0.1701056488552668</v>
      </c>
      <c r="M58" s="184">
        <f t="shared" si="5"/>
        <v>510037192.4815309</v>
      </c>
      <c r="N58" s="184">
        <f t="shared" ca="1" si="6"/>
        <v>23183508.749160495</v>
      </c>
      <c r="O58" s="180">
        <f t="shared" si="7"/>
        <v>510037192.4815309</v>
      </c>
      <c r="P58" s="180">
        <f t="shared" ca="1" si="8"/>
        <v>23183508.749160495</v>
      </c>
      <c r="Q58" s="185">
        <f t="shared" si="9"/>
        <v>510037192.4815309</v>
      </c>
      <c r="R58" s="185">
        <f t="shared" ca="1" si="10"/>
        <v>23183508.749160495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44435147.740000002</v>
      </c>
      <c r="I59" s="114">
        <f t="shared" si="1"/>
        <v>0</v>
      </c>
      <c r="J59" s="114">
        <f t="shared" si="2"/>
        <v>0</v>
      </c>
      <c r="K59" s="114">
        <f t="shared" si="3"/>
        <v>44435147.740000002</v>
      </c>
      <c r="L59" s="187">
        <f t="shared" si="4"/>
        <v>0.10011372435705072</v>
      </c>
      <c r="M59" s="184">
        <f t="shared" si="5"/>
        <v>399411567.83642</v>
      </c>
      <c r="N59" s="184">
        <f t="shared" ca="1" si="6"/>
        <v>18155071.265291817</v>
      </c>
      <c r="O59" s="180">
        <f t="shared" si="7"/>
        <v>399411567.83642</v>
      </c>
      <c r="P59" s="180">
        <f t="shared" ca="1" si="8"/>
        <v>18155071.265291817</v>
      </c>
      <c r="Q59" s="185">
        <f t="shared" si="9"/>
        <v>399411567.83642</v>
      </c>
      <c r="R59" s="185">
        <f t="shared" ca="1" si="10"/>
        <v>18155071.265291817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63243575.728973001</v>
      </c>
      <c r="I60" s="114">
        <f t="shared" si="1"/>
        <v>25011687.311854001</v>
      </c>
      <c r="J60" s="114">
        <f t="shared" si="2"/>
        <v>26672504.699900001</v>
      </c>
      <c r="K60" s="114">
        <f t="shared" si="3"/>
        <v>114927767.74072701</v>
      </c>
      <c r="L60" s="187">
        <f t="shared" si="4"/>
        <v>0.19842973833686081</v>
      </c>
      <c r="M60" s="184">
        <f t="shared" si="5"/>
        <v>464258440.45565671</v>
      </c>
      <c r="N60" s="184">
        <f t="shared" ca="1" si="6"/>
        <v>21102656.384348031</v>
      </c>
      <c r="O60" s="180">
        <f t="shared" si="7"/>
        <v>464258440.45565671</v>
      </c>
      <c r="P60" s="180">
        <f t="shared" ca="1" si="8"/>
        <v>21102656.384348031</v>
      </c>
      <c r="Q60" s="185">
        <f t="shared" si="9"/>
        <v>464258440.45565671</v>
      </c>
      <c r="R60" s="185">
        <f t="shared" ca="1" si="10"/>
        <v>21102656.384348031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113860981.987975</v>
      </c>
      <c r="I61" s="114">
        <f t="shared" si="1"/>
        <v>15896301.829992</v>
      </c>
      <c r="J61" s="114">
        <f t="shared" si="2"/>
        <v>57101757.339924999</v>
      </c>
      <c r="K61" s="114">
        <f t="shared" si="3"/>
        <v>186859041.15789199</v>
      </c>
      <c r="L61" s="187">
        <f t="shared" si="4"/>
        <v>0.26076042175260999</v>
      </c>
      <c r="M61" s="184">
        <f t="shared" si="5"/>
        <v>529733760.39528954</v>
      </c>
      <c r="N61" s="184">
        <f t="shared" ca="1" si="6"/>
        <v>24078807.290694978</v>
      </c>
      <c r="O61" s="180">
        <f t="shared" si="7"/>
        <v>529733760.39528954</v>
      </c>
      <c r="P61" s="180">
        <f t="shared" ca="1" si="8"/>
        <v>24078807.290694978</v>
      </c>
      <c r="Q61" s="185">
        <f t="shared" si="9"/>
        <v>529733760.39528954</v>
      </c>
      <c r="R61" s="185">
        <f t="shared" ca="1" si="10"/>
        <v>24078807.290694978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46598835.349512003</v>
      </c>
      <c r="I62" s="114">
        <f t="shared" si="1"/>
        <v>11651847.140000001</v>
      </c>
      <c r="J62" s="114">
        <f t="shared" si="2"/>
        <v>57120621.753935002</v>
      </c>
      <c r="K62" s="114">
        <f t="shared" si="3"/>
        <v>115371304.24344701</v>
      </c>
      <c r="L62" s="187">
        <f t="shared" si="4"/>
        <v>0.2418567699054836</v>
      </c>
      <c r="M62" s="184">
        <f t="shared" si="5"/>
        <v>361651953.3173545</v>
      </c>
      <c r="N62" s="184">
        <f t="shared" ca="1" si="6"/>
        <v>16438725.150788842</v>
      </c>
      <c r="O62" s="180">
        <f t="shared" si="7"/>
        <v>361651953.3173545</v>
      </c>
      <c r="P62" s="180">
        <f t="shared" ca="1" si="8"/>
        <v>16438725.150788842</v>
      </c>
      <c r="Q62" s="185">
        <f t="shared" si="9"/>
        <v>361651953.3173545</v>
      </c>
      <c r="R62" s="185">
        <f t="shared" ca="1" si="10"/>
        <v>16438725.150788842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116243103.73868001</v>
      </c>
      <c r="I63" s="114">
        <f t="shared" si="1"/>
        <v>115467392.12853999</v>
      </c>
      <c r="J63" s="114">
        <f t="shared" si="2"/>
        <v>85411185.788420007</v>
      </c>
      <c r="K63" s="114">
        <f t="shared" si="3"/>
        <v>317121681.65564001</v>
      </c>
      <c r="L63" s="187">
        <f t="shared" si="4"/>
        <v>0.3239326912995284</v>
      </c>
      <c r="M63" s="184">
        <f t="shared" si="5"/>
        <v>661852315.63816655</v>
      </c>
      <c r="N63" s="184">
        <f t="shared" ca="1" si="6"/>
        <v>30084196.165371206</v>
      </c>
      <c r="O63" s="180">
        <f t="shared" si="7"/>
        <v>661852315.63816655</v>
      </c>
      <c r="P63" s="180">
        <f t="shared" ca="1" si="8"/>
        <v>30084196.165371206</v>
      </c>
      <c r="Q63" s="185">
        <f t="shared" si="9"/>
        <v>661852315.63816655</v>
      </c>
      <c r="R63" s="185">
        <f t="shared" ca="1" si="10"/>
        <v>30084196.165371206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30964215.952842999</v>
      </c>
      <c r="I64" s="114">
        <f t="shared" si="1"/>
        <v>31182243.20871</v>
      </c>
      <c r="J64" s="114">
        <f t="shared" si="2"/>
        <v>42423765.639490001</v>
      </c>
      <c r="K64" s="114">
        <f t="shared" si="3"/>
        <v>104570224.801043</v>
      </c>
      <c r="L64" s="187">
        <f t="shared" si="4"/>
        <v>0.19476147427336069</v>
      </c>
      <c r="M64" s="184">
        <f t="shared" si="5"/>
        <v>432344096.63334775</v>
      </c>
      <c r="N64" s="184">
        <f t="shared" ca="1" si="6"/>
        <v>19652004.392424896</v>
      </c>
      <c r="O64" s="180">
        <f t="shared" si="7"/>
        <v>432344096.63334775</v>
      </c>
      <c r="P64" s="180">
        <f t="shared" ca="1" si="8"/>
        <v>19652004.392424896</v>
      </c>
      <c r="Q64" s="185">
        <f t="shared" si="9"/>
        <v>432344096.63334775</v>
      </c>
      <c r="R64" s="185">
        <f t="shared" ca="1" si="10"/>
        <v>19652004.392424896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857289160.10034299</v>
      </c>
      <c r="I65" s="135">
        <f t="shared" si="12"/>
        <v>319121373.19653702</v>
      </c>
      <c r="J65" s="135">
        <f t="shared" si="12"/>
        <v>613716753.98342299</v>
      </c>
      <c r="K65" s="135">
        <f t="shared" si="12"/>
        <v>1790127287.280303</v>
      </c>
      <c r="L65" s="189">
        <f t="shared" si="4"/>
        <v>0.2020923742688738</v>
      </c>
      <c r="M65" s="181">
        <f>SUM(M51:M64)</f>
        <v>7067838253.2631931</v>
      </c>
      <c r="N65" s="181">
        <f t="shared" ca="1" si="6"/>
        <v>321265375.14832693</v>
      </c>
      <c r="O65" s="181">
        <f>SUM(O51:O64)</f>
        <v>7067838253.2631931</v>
      </c>
      <c r="P65" s="181">
        <f t="shared" ca="1" si="8"/>
        <v>321265375.14832693</v>
      </c>
      <c r="Q65" s="186">
        <f>SUM(Q51:Q64)</f>
        <v>7067838253.2631931</v>
      </c>
      <c r="R65" s="186">
        <f t="shared" ca="1" si="10"/>
        <v>321265375.14832693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44499284.619805999</v>
      </c>
      <c r="F69" s="187">
        <f t="shared" ref="F69:F74" si="13">IFERROR(E69/D69,0)</f>
        <v>0.17365066015978736</v>
      </c>
      <c r="G69" s="184">
        <f>D69*$H$40-E69</f>
        <v>211758218.68515864</v>
      </c>
      <c r="H69" s="184">
        <f t="shared" ref="H69:H74" ca="1" si="14">IFERROR(G69/$C$3,0)</f>
        <v>9625373.5765981209</v>
      </c>
      <c r="I69" s="204">
        <f>D69*$J$40-E69</f>
        <v>211758218.68515864</v>
      </c>
      <c r="J69" s="204">
        <f t="shared" ref="J69:J74" ca="1" si="15">IFERROR(I69/$C$3,0)</f>
        <v>9625373.5765981209</v>
      </c>
      <c r="K69" s="185">
        <f>D69*$L$40-E69</f>
        <v>211758218.68515864</v>
      </c>
      <c r="L69" s="185">
        <f t="shared" ref="L69:L74" ca="1" si="16">IFERROR(K69/$C$3,0)</f>
        <v>9625373.5765981209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48954528.409915999</v>
      </c>
      <c r="F70" s="187">
        <f t="shared" si="13"/>
        <v>0.12252158108124439</v>
      </c>
      <c r="G70" s="184">
        <f>D70*$H$40-E70</f>
        <v>350603883.89504862</v>
      </c>
      <c r="H70" s="184">
        <f t="shared" ca="1" si="14"/>
        <v>15936540.177047664</v>
      </c>
      <c r="I70" s="204">
        <f>D70*$J$40-E70</f>
        <v>350603883.89504862</v>
      </c>
      <c r="J70" s="204">
        <f t="shared" ca="1" si="15"/>
        <v>15936540.177047664</v>
      </c>
      <c r="K70" s="185">
        <f>D70*$L$40-E70</f>
        <v>350603883.89504862</v>
      </c>
      <c r="L70" s="185">
        <f t="shared" ca="1" si="16"/>
        <v>15936540.177047664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144230333.145183</v>
      </c>
      <c r="F71" s="187">
        <f t="shared" si="13"/>
        <v>0.13297902856194951</v>
      </c>
      <c r="G71" s="184">
        <f>D71*$H$40-E71</f>
        <v>940379283.15978158</v>
      </c>
      <c r="H71" s="184">
        <f t="shared" ca="1" si="14"/>
        <v>42744512.870899163</v>
      </c>
      <c r="I71" s="204">
        <f>D71*$J$40-E71</f>
        <v>940379283.15978158</v>
      </c>
      <c r="J71" s="204">
        <f t="shared" ca="1" si="15"/>
        <v>42744512.870899163</v>
      </c>
      <c r="K71" s="185">
        <f>D71*$L$40-E71</f>
        <v>940379283.15978158</v>
      </c>
      <c r="L71" s="185">
        <f t="shared" ca="1" si="16"/>
        <v>42744512.870899163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237684146.174905</v>
      </c>
      <c r="F74" s="177">
        <f t="shared" si="13"/>
        <v>0.13656668545501877</v>
      </c>
      <c r="G74" s="181">
        <f>SUM(G69:G73)</f>
        <v>1502741385.7399888</v>
      </c>
      <c r="H74" s="181">
        <f t="shared" ca="1" si="14"/>
        <v>68306426.624544948</v>
      </c>
      <c r="I74" s="186">
        <f>SUM(I69:I73)</f>
        <v>1502741385.7399888</v>
      </c>
      <c r="J74" s="186">
        <f t="shared" ca="1" si="15"/>
        <v>68306426.624544948</v>
      </c>
      <c r="K74" s="186">
        <f>SUM(K69:K73)</f>
        <v>1502741385.7399888</v>
      </c>
      <c r="L74" s="186">
        <f t="shared" ca="1" si="16"/>
        <v>68306426.624544948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77454861.539979994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16132955.5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89937028.799940005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16126125.949999999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241696394.539987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71822794.219885007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2804774.7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15855856.24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164219461.60982499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36794009.459988996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1415675.7150000001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39902703.579999998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776360839.99460602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2026-09-05T00:56:46Z</dcterms:modified>
  <dc:language>en-US</dc:language>
</cp:coreProperties>
</file>