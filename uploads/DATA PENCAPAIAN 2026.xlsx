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6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94" i="12" s="1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K61" i="11"/>
  <c r="K63" i="12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57" i="11" l="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<sst xmlns="http://schemas.openxmlformats.org/spreadsheetml/2006/main" count="2117" uniqueCount="228">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</sst>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8" t="s">
        <v>0</v>
      </c>
      <c r="C1" s="238"/>
    </row>
    <row r="3" spans="2:3" x14ac:dyDescent="0.25">
      <c r="B3" s="239" t="s">
        <v>1</v>
      </c>
      <c r="C3" s="23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0" t="s">
        <v>14</v>
      </c>
      <c r="C11" s="24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9" t="s">
        <v>28</v>
      </c>
      <c r="C3" s="239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1" t="s">
        <v>102</v>
      </c>
      <c r="C29" s="241"/>
      <c r="D29" s="241"/>
      <c r="E29" s="241"/>
      <c r="F29" s="241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6" t="s">
        <v>145</v>
      </c>
      <c r="C44" s="247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8" t="s">
        <v>41</v>
      </c>
      <c r="C47" s="248" t="s">
        <v>42</v>
      </c>
      <c r="D47" s="249" t="s">
        <v>137</v>
      </c>
      <c r="E47" s="250"/>
      <c r="F47" s="251"/>
      <c r="G47" s="98" t="s">
        <v>138</v>
      </c>
      <c r="H47" s="98"/>
      <c r="I47" s="98"/>
      <c r="J47" s="248" t="s">
        <v>139</v>
      </c>
      <c r="K47" s="99" t="s">
        <v>147</v>
      </c>
      <c r="L47" s="99"/>
      <c r="M47" s="99"/>
      <c r="N47" s="245" t="s">
        <v>148</v>
      </c>
    </row>
    <row r="48" spans="2:14" ht="15.75" x14ac:dyDescent="0.25">
      <c r="B48" s="248"/>
      <c r="C48" s="24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8"/>
      <c r="K48" s="101" t="s">
        <v>142</v>
      </c>
      <c r="L48" s="101" t="s">
        <v>110</v>
      </c>
      <c r="M48" s="101" t="s">
        <v>145</v>
      </c>
      <c r="N48" s="245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2" t="s">
        <v>144</v>
      </c>
      <c r="C63" s="243"/>
      <c r="D63" s="243"/>
      <c r="E63" s="243"/>
      <c r="F63" s="243"/>
      <c r="G63" s="243"/>
      <c r="H63" s="244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9" t="s">
        <v>145</v>
      </c>
      <c r="C44" s="26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1" t="s">
        <v>41</v>
      </c>
      <c r="C47" s="261" t="s">
        <v>42</v>
      </c>
      <c r="D47" s="256" t="s">
        <v>137</v>
      </c>
      <c r="E47" s="257"/>
      <c r="F47" s="258"/>
      <c r="G47" s="69" t="s">
        <v>138</v>
      </c>
      <c r="H47" s="69"/>
      <c r="I47" s="69"/>
      <c r="J47" s="261" t="s">
        <v>139</v>
      </c>
      <c r="K47" s="35" t="s">
        <v>147</v>
      </c>
      <c r="L47" s="35"/>
      <c r="M47" s="35"/>
      <c r="N47" s="255" t="s">
        <v>148</v>
      </c>
    </row>
    <row r="48" spans="2:17" ht="15.75" x14ac:dyDescent="0.25">
      <c r="B48" s="261"/>
      <c r="C48" s="261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1"/>
      <c r="K48" s="34" t="s">
        <v>142</v>
      </c>
      <c r="L48" s="34" t="s">
        <v>110</v>
      </c>
      <c r="M48" s="34" t="s">
        <v>145</v>
      </c>
      <c r="N48" s="255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2" t="s">
        <v>144</v>
      </c>
      <c r="C63" s="253"/>
      <c r="D63" s="253"/>
      <c r="E63" s="253"/>
      <c r="F63" s="253"/>
      <c r="G63" s="253"/>
      <c r="H63" s="254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2" t="s">
        <v>178</v>
      </c>
      <c r="C41" s="263"/>
      <c r="D41" s="264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9" t="s">
        <v>145</v>
      </c>
      <c r="C46" s="260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  <c r="Q48"/>
      <c r="R48"/>
    </row>
    <row r="49" spans="2:18" s="139" customFormat="1" ht="33.950000000000003" customHeight="1" x14ac:dyDescent="0.25">
      <c r="B49" s="270" t="s">
        <v>41</v>
      </c>
      <c r="C49" s="270" t="s">
        <v>42</v>
      </c>
      <c r="D49" s="267" t="s">
        <v>137</v>
      </c>
      <c r="E49" s="268"/>
      <c r="F49" s="269"/>
      <c r="G49" s="140" t="s">
        <v>138</v>
      </c>
      <c r="H49" s="140"/>
      <c r="I49" s="140"/>
      <c r="J49" s="267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9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0"/>
      <c r="C50" s="270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7"/>
      <c r="K50" s="276"/>
      <c r="L50" s="276"/>
      <c r="M50" s="278"/>
      <c r="N50" s="188"/>
      <c r="O50" s="183"/>
      <c r="P50" s="280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2" t="s">
        <v>171</v>
      </c>
      <c r="C77" s="253"/>
      <c r="D77" s="254"/>
      <c r="G77"/>
      <c r="H77"/>
      <c r="I77"/>
    </row>
    <row r="78" spans="1:19" ht="20.100000000000001" customHeight="1" x14ac:dyDescent="0.25">
      <c r="B78" s="271" t="s">
        <v>41</v>
      </c>
      <c r="C78" s="271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1"/>
      <c r="C79" s="261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81" t="s">
        <v>179</v>
      </c>
      <c r="C41" s="282"/>
      <c r="D41" s="283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277" t="str">
        <f>"PER HARI"&amp;CHAR(10)&amp;TEXT($J$41,"0%")</f>
        <v>PER HARI
95%</v>
      </c>
      <c r="O49" s="279" t="str">
        <f>"SELISIH"&amp;CHAR(10)&amp;TEXT($L$41,"0%")</f>
        <v>SELISIH
100%</v>
      </c>
      <c r="P49" s="279" t="str">
        <f>"PER HARI"&amp;CHAR(10)&amp;TEXT($L$41,"0%")</f>
        <v>PER HARI
100%</v>
      </c>
    </row>
    <row r="50" spans="2:16" ht="22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76"/>
      <c r="L50" s="276"/>
      <c r="M50" s="278"/>
      <c r="N50" s="278"/>
      <c r="O50" s="280"/>
      <c r="P50" s="280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8.75" customHeight="1" x14ac:dyDescent="0.25">
      <c r="B78" s="271" t="s">
        <v>41</v>
      </c>
      <c r="C78" s="271" t="s">
        <v>42</v>
      </c>
      <c r="D78" s="231" t="s">
        <v>138</v>
      </c>
    </row>
    <row r="79" spans="2:16" ht="18" customHeight="1" x14ac:dyDescent="0.25">
      <c r="B79" s="261"/>
      <c r="C79" s="261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2" t="s">
        <v>180</v>
      </c>
      <c r="C41" s="263"/>
      <c r="D41" s="264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9" t="s">
        <v>145</v>
      </c>
      <c r="C46" s="260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</row>
    <row r="49" spans="2:16" ht="33.950000000000003" customHeight="1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277" t="str">
        <f>"PER HARI"&amp;CHAR(10)&amp;TEXT($J$41,"0%")</f>
        <v>PER HARI
95%</v>
      </c>
      <c r="O49" s="279" t="str">
        <f>"SELISIH"&amp;CHAR(10)&amp;TEXT($L$41,"0%")</f>
        <v>SELISIH
100%</v>
      </c>
      <c r="P49" s="279" t="str">
        <f>"PER HARI"&amp;CHAR(10)&amp;TEXT($L$41,"0%")</f>
        <v>PER HARI
100%</v>
      </c>
    </row>
    <row r="50" spans="2:16" ht="19.5" customHeight="1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76"/>
      <c r="L50" s="276"/>
      <c r="M50" s="278"/>
      <c r="N50" s="278"/>
      <c r="O50" s="280"/>
      <c r="P50" s="280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71" t="s">
        <v>41</v>
      </c>
      <c r="C78" s="271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2" t="s">
        <v>189</v>
      </c>
      <c r="C41" s="263"/>
      <c r="D41" s="264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9" t="s">
        <v>145</v>
      </c>
      <c r="C46" s="260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72" t="s">
        <v>186</v>
      </c>
      <c r="L48" s="273"/>
      <c r="M48" s="273"/>
      <c r="N48" s="273"/>
      <c r="O48" s="273"/>
      <c r="P48" s="274"/>
    </row>
    <row r="49" spans="2:16" ht="15.75" x14ac:dyDescent="0.25">
      <c r="B49" s="261" t="s">
        <v>41</v>
      </c>
      <c r="C49" s="261" t="s">
        <v>42</v>
      </c>
      <c r="D49" s="256" t="s">
        <v>137</v>
      </c>
      <c r="E49" s="257"/>
      <c r="F49" s="258"/>
      <c r="G49" s="112" t="s">
        <v>138</v>
      </c>
      <c r="H49" s="112"/>
      <c r="I49" s="112"/>
      <c r="J49" s="256" t="s">
        <v>139</v>
      </c>
      <c r="K49" s="275" t="str">
        <f>"SELISIH"&amp;CHAR(10)&amp;TEXT($H$41,"0%")</f>
        <v>SELISIH
90%</v>
      </c>
      <c r="L49" s="275" t="str">
        <f>"PER HARI"&amp;CHAR(10)&amp;TEXT($H$41,"0%")</f>
        <v>PER HARI
90%</v>
      </c>
      <c r="M49" s="277" t="str">
        <f>"SELISIH"&amp;CHAR(10)&amp;TEXT($J$41,"0%")</f>
        <v>SELISIH
95%</v>
      </c>
      <c r="N49" s="277" t="str">
        <f>"PER HARI"&amp;CHAR(10)&amp;TEXT($J$41,"0%")</f>
        <v>PER HARI
95%</v>
      </c>
      <c r="O49" s="284" t="str">
        <f>"SELISIH"&amp;CHAR(10)&amp;TEXT($L$41,"0%")</f>
        <v>SELISIH
100%</v>
      </c>
      <c r="P49" s="284" t="str">
        <f>"PER HARI"&amp;CHAR(10)&amp;TEXT($L$41,"0%")</f>
        <v>PER HARI
100%</v>
      </c>
    </row>
    <row r="50" spans="2:16" ht="15.75" x14ac:dyDescent="0.25">
      <c r="B50" s="261"/>
      <c r="C50" s="261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6"/>
      <c r="K50" s="276"/>
      <c r="L50" s="276"/>
      <c r="M50" s="278"/>
      <c r="N50" s="278"/>
      <c r="O50" s="285"/>
      <c r="P50" s="285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2" t="s">
        <v>144</v>
      </c>
      <c r="C67" s="253"/>
      <c r="D67" s="253"/>
      <c r="E67" s="253"/>
      <c r="F67" s="253"/>
      <c r="G67" s="253"/>
      <c r="H67" s="253"/>
      <c r="I67" s="253"/>
      <c r="J67" s="253"/>
      <c r="K67" s="253"/>
      <c r="L67" s="254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2" t="s">
        <v>171</v>
      </c>
      <c r="C77" s="253"/>
      <c r="D77" s="254"/>
    </row>
    <row r="78" spans="2:16" ht="15.75" x14ac:dyDescent="0.25">
      <c r="B78" s="271" t="s">
        <v>41</v>
      </c>
      <c r="C78" s="271" t="s">
        <v>42</v>
      </c>
      <c r="D78" s="231" t="s">
        <v>138</v>
      </c>
    </row>
    <row r="79" spans="2:16" ht="15.75" x14ac:dyDescent="0.25">
      <c r="B79" s="261"/>
      <c r="C79" s="261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2" t="s">
        <v>219</v>
      </c>
      <c r="C40" s="263"/>
      <c r="D40" s="264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9" t="s">
        <v>145</v>
      </c>
      <c r="C46" s="260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5" t="s">
        <v>213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5.75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88"/>
      <c r="G67" s="272" t="s">
        <v>186</v>
      </c>
      <c r="H67" s="273"/>
      <c r="I67" s="273"/>
      <c r="J67" s="273"/>
      <c r="K67" s="273"/>
      <c r="L67" s="274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2" t="s">
        <v>171</v>
      </c>
      <c r="C77" s="253"/>
      <c r="D77" s="254"/>
    </row>
    <row r="78" spans="2:21" ht="15.75" x14ac:dyDescent="0.25">
      <c r="B78" s="271" t="s">
        <v>41</v>
      </c>
      <c r="C78" s="271" t="s">
        <v>42</v>
      </c>
      <c r="D78" s="231" t="s">
        <v>138</v>
      </c>
    </row>
    <row r="79" spans="2:21" ht="15.75" x14ac:dyDescent="0.25">
      <c r="B79" s="261"/>
      <c r="C79" s="261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9" zoomScale="84" zoomScaleNormal="84" workbookViewId="0">
      <selection activeCell="G84" sqref="G8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4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6">
        <v>130775176.729406</v>
      </c>
      <c r="D10" s="236">
        <v>38616940.117797002</v>
      </c>
      <c r="E10" s="236">
        <v>185920937.347022</v>
      </c>
      <c r="F10" s="236">
        <v>148907397.44993299</v>
      </c>
      <c r="G10" s="236">
        <v>504220451.64415801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6">
        <v>5673423.4199980004</v>
      </c>
      <c r="D11" s="236">
        <v>32629360.699999999</v>
      </c>
      <c r="E11" s="236">
        <v>271000001.35890001</v>
      </c>
      <c r="F11" s="236" t="s">
        <v>165</v>
      </c>
      <c r="G11" s="236">
        <v>309302785.47889799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6">
        <v>158839730.55793801</v>
      </c>
      <c r="D12" s="236">
        <v>68100455.821513996</v>
      </c>
      <c r="E12" s="236">
        <v>149647841.07957</v>
      </c>
      <c r="F12" s="236">
        <v>68507391.549999997</v>
      </c>
      <c r="G12" s="236">
        <v>445095419.009022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6">
        <v>31056577.699947</v>
      </c>
      <c r="D13" s="236">
        <v>22046277.749963999</v>
      </c>
      <c r="E13" s="236">
        <v>190861218.02961701</v>
      </c>
      <c r="F13" s="236">
        <v>85824155.530000001</v>
      </c>
      <c r="G13" s="236">
        <v>329788229.00952798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6">
        <v>464604407.979559</v>
      </c>
      <c r="D14" s="236">
        <v>42720135.969465002</v>
      </c>
      <c r="E14" s="236">
        <v>150846270.519853</v>
      </c>
      <c r="F14" s="236">
        <v>382969885.31973499</v>
      </c>
      <c r="G14" s="236">
        <v>1041140699.788612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6">
        <v>1505892643.1199069</v>
      </c>
      <c r="D15" s="236">
        <v>11190936.014923999</v>
      </c>
      <c r="E15" s="236">
        <v>76858935.799939007</v>
      </c>
      <c r="F15" s="236">
        <v>14956757.039999999</v>
      </c>
      <c r="G15" s="236">
        <v>1608899271.9747701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6">
        <v>469087694.35771102</v>
      </c>
      <c r="D16" s="236">
        <v>52390125.779923998</v>
      </c>
      <c r="E16" s="236">
        <v>301606082.52941</v>
      </c>
      <c r="F16" s="236">
        <v>955586205.67996895</v>
      </c>
      <c r="G16" s="236">
        <v>1778670108.347014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6">
        <v>98586351.086017996</v>
      </c>
      <c r="D17" s="236">
        <v>13122554.039898001</v>
      </c>
      <c r="E17" s="236">
        <v>103260945.468842</v>
      </c>
      <c r="F17" s="236">
        <v>47952973.898000002</v>
      </c>
      <c r="G17" s="236">
        <v>262922824.49275801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6">
        <v>13656047.589996999</v>
      </c>
      <c r="D18" s="236">
        <v>135022363.55165499</v>
      </c>
      <c r="E18" s="236">
        <v>58453106.100000001</v>
      </c>
      <c r="F18" s="236">
        <v>104562164.42</v>
      </c>
      <c r="G18" s="236">
        <v>311693681.66165203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6">
        <v>47429875.460000001</v>
      </c>
      <c r="D19" s="236" t="s">
        <v>165</v>
      </c>
      <c r="E19" s="236" t="s">
        <v>165</v>
      </c>
      <c r="F19" s="236">
        <v>7027026.8399999999</v>
      </c>
      <c r="G19" s="236">
        <v>54456902.299999997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6">
        <v>215561847.16</v>
      </c>
      <c r="D20" s="236" t="s">
        <v>165</v>
      </c>
      <c r="E20" s="236" t="s">
        <v>165</v>
      </c>
      <c r="F20" s="236">
        <v>11975945.619999999</v>
      </c>
      <c r="G20" s="236">
        <v>227537792.78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6">
        <v>258036727.34778699</v>
      </c>
      <c r="D21" s="236">
        <v>46523994.503447004</v>
      </c>
      <c r="E21" s="236">
        <v>140234870.34977701</v>
      </c>
      <c r="F21" s="236">
        <v>385081374.45986003</v>
      </c>
      <c r="G21" s="236">
        <v>829876966.66087103</v>
      </c>
      <c r="H21" s="111"/>
      <c r="I21" s="111"/>
      <c r="J21" s="111"/>
      <c r="M21" s="14">
        <f>SUM(C33,C34)+M20</f>
        <v>951040727.40107894</v>
      </c>
      <c r="N21" s="10" t="s">
        <v>224</v>
      </c>
    </row>
    <row r="22" spans="2:15" ht="15" customHeight="1" x14ac:dyDescent="0.25">
      <c r="B22" s="72" t="s">
        <v>225</v>
      </c>
      <c r="C22" s="236">
        <v>184450526.976354</v>
      </c>
      <c r="D22" s="236">
        <v>47411295.139939003</v>
      </c>
      <c r="E22" s="236">
        <v>144992226.38817099</v>
      </c>
      <c r="F22" s="236">
        <v>65692612.399999999</v>
      </c>
      <c r="G22" s="236">
        <v>442546660.90446401</v>
      </c>
      <c r="H22" s="111"/>
      <c r="I22" s="111"/>
      <c r="J22" s="111"/>
    </row>
    <row r="23" spans="2:15" ht="15" customHeight="1" x14ac:dyDescent="0.25">
      <c r="B23" s="72" t="s">
        <v>125</v>
      </c>
      <c r="C23" s="236">
        <v>253561209.328915</v>
      </c>
      <c r="D23" s="236">
        <v>63950429.039943002</v>
      </c>
      <c r="E23" s="236">
        <v>180549813.52216801</v>
      </c>
      <c r="F23" s="236">
        <v>297399826.70943499</v>
      </c>
      <c r="G23" s="236">
        <v>795461278.60046101</v>
      </c>
      <c r="H23" s="111"/>
      <c r="I23" s="111"/>
      <c r="J23" s="111"/>
    </row>
    <row r="24" spans="2:15" ht="15" customHeight="1" x14ac:dyDescent="0.25">
      <c r="B24" s="72" t="s">
        <v>126</v>
      </c>
      <c r="C24" s="236">
        <v>428037130.09258002</v>
      </c>
      <c r="D24" s="236">
        <v>58268998.644919001</v>
      </c>
      <c r="E24" s="236">
        <v>192989083.319877</v>
      </c>
      <c r="F24" s="236">
        <v>569324336.12944102</v>
      </c>
      <c r="G24" s="236">
        <v>1248619548.1868169</v>
      </c>
      <c r="H24" s="111"/>
      <c r="I24" s="111"/>
      <c r="J24" s="111"/>
    </row>
    <row r="25" spans="2:15" ht="15" customHeight="1" x14ac:dyDescent="0.25">
      <c r="B25" s="72" t="s">
        <v>220</v>
      </c>
      <c r="C25" s="236">
        <v>309803234.24329299</v>
      </c>
      <c r="D25" s="236">
        <v>81584972.886524007</v>
      </c>
      <c r="E25" s="236">
        <v>96322302.232531995</v>
      </c>
      <c r="F25" s="236">
        <v>50324325.43</v>
      </c>
      <c r="G25" s="236">
        <v>538034834.79234898</v>
      </c>
      <c r="H25" s="111"/>
      <c r="I25" s="111"/>
      <c r="J25" s="111"/>
    </row>
    <row r="26" spans="2:15" ht="15" customHeight="1" x14ac:dyDescent="0.25">
      <c r="B26" s="72" t="s">
        <v>127</v>
      </c>
      <c r="C26" s="236">
        <v>434916433.51514399</v>
      </c>
      <c r="D26" s="236">
        <v>285495088.43090999</v>
      </c>
      <c r="E26" s="236">
        <v>280204913.43528301</v>
      </c>
      <c r="F26" s="236">
        <v>18820757.1204</v>
      </c>
      <c r="G26" s="236">
        <v>1019437192.501737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171">
        <v>251052873.62514299</v>
      </c>
      <c r="G31" s="111"/>
      <c r="H31" s="111"/>
      <c r="I31" s="111"/>
    </row>
    <row r="32" spans="2:15" ht="15" customHeight="1" x14ac:dyDescent="0.25">
      <c r="B32" s="81" t="s">
        <v>132</v>
      </c>
      <c r="C32" s="236">
        <v>443836083.938923</v>
      </c>
      <c r="G32" s="111"/>
      <c r="H32" s="111"/>
      <c r="I32" s="111"/>
    </row>
    <row r="33" spans="2:19" ht="15" customHeight="1" x14ac:dyDescent="0.25">
      <c r="B33" s="81" t="s">
        <v>133</v>
      </c>
      <c r="C33" s="236">
        <v>503733073.28979498</v>
      </c>
      <c r="G33" s="111"/>
      <c r="H33" s="111"/>
      <c r="I33" s="111"/>
    </row>
    <row r="34" spans="2:19" ht="15" customHeight="1" x14ac:dyDescent="0.25">
      <c r="B34" s="81" t="s">
        <v>134</v>
      </c>
      <c r="C34" s="236">
        <v>447307654.11128402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227</v>
      </c>
      <c r="C40" s="263"/>
      <c r="D40" s="264"/>
      <c r="E40" s="66" t="s">
        <v>137</v>
      </c>
      <c r="F40" s="174">
        <f ca="1">IF(MONTH(TODAY())=9,DAY(TODAY())/DAY(EOMONTH(TODAY(),0)),IF(MONTH(TODAY())&gt;9,1,0))</f>
        <v>0.8666666666666667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3504076393.5446467</v>
      </c>
      <c r="F42" s="176">
        <f>IFERROR(E42/D42,0)</f>
        <v>0.77664950584358994</v>
      </c>
      <c r="G42" s="184">
        <f>D42*$H$40-E42</f>
        <v>782120338.46977949</v>
      </c>
      <c r="H42" s="184">
        <f ca="1">IFERROR(G42/$C$3,0)</f>
        <v>195530084.61744487</v>
      </c>
      <c r="I42" s="204">
        <f>D42*$J$40-E42</f>
        <v>1007709640.1547494</v>
      </c>
      <c r="J42" s="204">
        <f ca="1">IFERROR(I42/$C$3,0)</f>
        <v>251927410.03868735</v>
      </c>
      <c r="K42" s="185">
        <f>D42*$L$40-E42</f>
        <v>1007709640.1547494</v>
      </c>
      <c r="L42" s="185">
        <f ca="1">IFERROR(K42/$C$3,0)</f>
        <v>251927410.03868735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987882992.37589896</v>
      </c>
      <c r="F43" s="176">
        <f>IFERROR(E43/D43,0)</f>
        <v>0.70494323283381455</v>
      </c>
      <c r="G43" s="184">
        <f>D43*$H$40-E43</f>
        <v>343414052.61374509</v>
      </c>
      <c r="H43" s="184">
        <f ca="1">IFERROR(G43/$C$3,0)</f>
        <v>85853513.153436273</v>
      </c>
      <c r="I43" s="204">
        <f>D43*$J$40-E43</f>
        <v>413482318.139516</v>
      </c>
      <c r="J43" s="204">
        <f ca="1">IFERROR(I43/$C$3,0)</f>
        <v>103370579.534879</v>
      </c>
      <c r="K43" s="185">
        <f>D43*$L$40-E43</f>
        <v>413482318.139516</v>
      </c>
      <c r="L43" s="185">
        <f ca="1">IFERROR(K43/$C$3,0)</f>
        <v>103370579.534879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2446889611.6810222</v>
      </c>
      <c r="F44" s="176">
        <f>IFERROR(E44/D44,0)</f>
        <v>0.8309147703551456</v>
      </c>
      <c r="G44" s="184">
        <f>IF(D44=0,0,D44*$H$40-E44)</f>
        <v>350683874.83122873</v>
      </c>
      <c r="H44" s="184">
        <f ca="1">IFERROR(G44/$C$3,0)</f>
        <v>87670968.707807183</v>
      </c>
      <c r="I44" s="204">
        <f>IF(D44=0,0,D44*$J$40-E44)</f>
        <v>497924584.64766312</v>
      </c>
      <c r="J44" s="204">
        <f ca="1">IFERROR(I44/$C$3,0)</f>
        <v>124481146.16191578</v>
      </c>
      <c r="K44" s="185">
        <f>IF(D44=0,0,D44*$L$40-E44)</f>
        <v>497924584.64766312</v>
      </c>
      <c r="L44" s="185">
        <f ca="1">IFERROR(K44/$C$3,0)</f>
        <v>124481146.16191578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1645929684.9651449</v>
      </c>
      <c r="F45" s="176">
        <f>IFERROR(E45/D45,0)</f>
        <v>0.94570532021224707</v>
      </c>
      <c r="G45" s="184">
        <f>D45*$H$40-E45</f>
        <v>7474570.3540039063</v>
      </c>
      <c r="H45" s="184">
        <f ca="1">IFERROR(G45/$C$3,0)</f>
        <v>1868642.5885009766</v>
      </c>
      <c r="I45" s="204">
        <f>D45*$J$40-E45</f>
        <v>94495846.949748755</v>
      </c>
      <c r="J45" s="204">
        <f ca="1">IFERROR(I45/$C$3,0)</f>
        <v>23623961.737437189</v>
      </c>
      <c r="K45" s="185">
        <f>D45*$L$40-E45</f>
        <v>94495846.949748755</v>
      </c>
      <c r="L45" s="185">
        <f ca="1">IFERROR(K45/$C$3,0)</f>
        <v>23623961.737437189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10598391072.458391</v>
      </c>
      <c r="E46" s="47">
        <f>SUM(E42:E45)</f>
        <v>8584778682.5667133</v>
      </c>
      <c r="F46" s="177">
        <f>IFERROR(E46/D46,0)</f>
        <v>0.81000772889723138</v>
      </c>
      <c r="G46" s="181">
        <f>SUM(G42:G45)</f>
        <v>1483692836.2687573</v>
      </c>
      <c r="H46" s="181">
        <f ca="1">IFERROR(G46/$C$3,0)</f>
        <v>370923209.06718934</v>
      </c>
      <c r="I46" s="186">
        <f>SUM(I42:I45)</f>
        <v>2013612389.8916771</v>
      </c>
      <c r="J46" s="186">
        <f ca="1">IFERROR(I46/$C$3,0)</f>
        <v>503403097.47291929</v>
      </c>
      <c r="K46" s="186">
        <f>SUM(K42:K45)</f>
        <v>2013612389.8916771</v>
      </c>
      <c r="L46" s="186">
        <f ca="1">IFERROR(K46/$C$3,0)</f>
        <v>503403097.47291929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213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95%</v>
      </c>
      <c r="N49" s="275" t="str">
        <f>"PER HARI"&amp;CHAR(10)&amp;TEXT($H$40,"0%")</f>
        <v>PER HARI
95%</v>
      </c>
      <c r="O49" s="277" t="str">
        <f>"SELISIH"&amp;CHAR(10)&amp;TEXT($J$40,"0%")</f>
        <v>SELISIH
100%</v>
      </c>
      <c r="P49" s="277" t="str">
        <f>"PER HARI"&amp;CHAR(10)&amp;TEXT($J$40,"0%")</f>
        <v>PER HARI
100%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258036727.34778699</v>
      </c>
      <c r="I51" s="114">
        <f t="shared" ref="I51:I64" si="2">SUMIF($B$10:$B$26,$T51,D$10:D$26)+SUMIF($B$10:$B$26,$U51,D$10:D$26)</f>
        <v>46523994.503447004</v>
      </c>
      <c r="J51" s="114">
        <f t="shared" ref="J51:J64" si="3">SUMIF($B$10:$B$26,$T51,E$10:E$26)+SUMIF($B$10:$B$26,$U51,E$10:E$26)</f>
        <v>140234870.34977701</v>
      </c>
      <c r="K51" s="114">
        <f t="shared" ref="K51:K64" si="4">SUM(H51:J51)</f>
        <v>444795592.20101106</v>
      </c>
      <c r="L51" s="187">
        <f t="shared" ref="L51:L65" si="5">IFERROR(K51/G51,0)</f>
        <v>0.86474276660953886</v>
      </c>
      <c r="M51" s="184">
        <f t="shared" ref="M51:M64" si="6">G51*$H$40-K51</f>
        <v>43853551.691462755</v>
      </c>
      <c r="N51" s="184">
        <f t="shared" ref="N51:N65" ca="1" si="7">IFERROR(M51/$C$3,0)</f>
        <v>10963387.922865689</v>
      </c>
      <c r="O51" s="180">
        <f t="shared" ref="O51:O64" si="8">G51*$J$40-K51</f>
        <v>69571927.685803533</v>
      </c>
      <c r="P51" s="180">
        <f t="shared" ref="P51:P65" ca="1" si="9">IFERROR(O51/$C$3,0)</f>
        <v>17392981.921450883</v>
      </c>
      <c r="Q51" s="185">
        <f t="shared" ref="Q51:Q64" si="10">G51*$L$40-K51</f>
        <v>69571927.685803533</v>
      </c>
      <c r="R51" s="185">
        <f t="shared" ref="R51:R65" ca="1" si="11">IFERROR(Q51/$C$3,0)</f>
        <v>17392981.921450883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189896308.25788501</v>
      </c>
      <c r="I52" s="114">
        <f t="shared" si="2"/>
        <v>90146733.571477994</v>
      </c>
      <c r="J52" s="114">
        <f t="shared" si="3"/>
        <v>340509059.10918701</v>
      </c>
      <c r="K52" s="114">
        <f t="shared" si="4"/>
        <v>620552100.93855</v>
      </c>
      <c r="L52" s="187">
        <f t="shared" si="5"/>
        <v>0.78998502224612122</v>
      </c>
      <c r="M52" s="184">
        <f t="shared" si="6"/>
        <v>125695586.41058445</v>
      </c>
      <c r="N52" s="184">
        <f t="shared" ca="1" si="7"/>
        <v>31423896.602646112</v>
      </c>
      <c r="O52" s="180">
        <f t="shared" si="8"/>
        <v>164971780.48159158</v>
      </c>
      <c r="P52" s="180">
        <f t="shared" ca="1" si="9"/>
        <v>41242945.120397896</v>
      </c>
      <c r="Q52" s="185">
        <f t="shared" si="10"/>
        <v>164971780.48159158</v>
      </c>
      <c r="R52" s="185">
        <f t="shared" ca="1" si="11"/>
        <v>41242945.120397896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47429875.460000001</v>
      </c>
      <c r="I53" s="114">
        <f t="shared" si="2"/>
        <v>0</v>
      </c>
      <c r="J53" s="114">
        <f t="shared" si="3"/>
        <v>0</v>
      </c>
      <c r="K53" s="114">
        <f t="shared" si="4"/>
        <v>47429875.460000001</v>
      </c>
      <c r="L53" s="187">
        <f t="shared" si="5"/>
        <v>0.1803738938493786</v>
      </c>
      <c r="M53" s="184">
        <f t="shared" si="6"/>
        <v>202375574.34986019</v>
      </c>
      <c r="N53" s="184">
        <f t="shared" ca="1" si="7"/>
        <v>50593893.587465048</v>
      </c>
      <c r="O53" s="180">
        <f t="shared" si="8"/>
        <v>215523229.60301074</v>
      </c>
      <c r="P53" s="180">
        <f t="shared" ca="1" si="9"/>
        <v>53880807.400752686</v>
      </c>
      <c r="Q53" s="185">
        <f t="shared" si="10"/>
        <v>215523229.60301074</v>
      </c>
      <c r="R53" s="185">
        <f t="shared" ca="1" si="11"/>
        <v>53880807.400752686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464604407.979559</v>
      </c>
      <c r="I54" s="114">
        <f t="shared" si="2"/>
        <v>42720135.969465002</v>
      </c>
      <c r="J54" s="114">
        <f t="shared" si="3"/>
        <v>150846270.519853</v>
      </c>
      <c r="K54" s="114">
        <f t="shared" si="4"/>
        <v>658170814.46887708</v>
      </c>
      <c r="L54" s="187">
        <f t="shared" si="5"/>
        <v>0.90573324368886554</v>
      </c>
      <c r="M54" s="184">
        <f t="shared" si="6"/>
        <v>32167403.877695203</v>
      </c>
      <c r="N54" s="184">
        <f t="shared" ca="1" si="7"/>
        <v>8041850.9694238007</v>
      </c>
      <c r="O54" s="180">
        <f t="shared" si="8"/>
        <v>68500994.316988468</v>
      </c>
      <c r="P54" s="180">
        <f t="shared" ca="1" si="9"/>
        <v>17125248.579247117</v>
      </c>
      <c r="Q54" s="185">
        <f t="shared" si="10"/>
        <v>68500994.316988468</v>
      </c>
      <c r="R54" s="185">
        <f t="shared" ca="1" si="11"/>
        <v>17125248.579247117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32629360.699999999</v>
      </c>
      <c r="J55" s="114">
        <f t="shared" si="3"/>
        <v>271000001.35890001</v>
      </c>
      <c r="K55" s="114">
        <f t="shared" si="4"/>
        <v>309302785.47889799</v>
      </c>
      <c r="L55" s="187">
        <f t="shared" si="5"/>
        <v>0.57576733052634521</v>
      </c>
      <c r="M55" s="184">
        <f t="shared" si="6"/>
        <v>201038164.11325336</v>
      </c>
      <c r="N55" s="184">
        <f t="shared" ca="1" si="7"/>
        <v>50259541.028313339</v>
      </c>
      <c r="O55" s="180">
        <f t="shared" si="8"/>
        <v>227898214.09178764</v>
      </c>
      <c r="P55" s="180">
        <f t="shared" ca="1" si="9"/>
        <v>56974553.522946909</v>
      </c>
      <c r="Q55" s="185">
        <f t="shared" si="10"/>
        <v>227898214.09178764</v>
      </c>
      <c r="R55" s="185">
        <f t="shared" ca="1" si="11"/>
        <v>56974553.522946909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184450526.976354</v>
      </c>
      <c r="I56" s="114">
        <f t="shared" si="2"/>
        <v>47411295.139939003</v>
      </c>
      <c r="J56" s="114">
        <f t="shared" si="3"/>
        <v>144992226.38817099</v>
      </c>
      <c r="K56" s="114">
        <f t="shared" si="4"/>
        <v>376854048.50446403</v>
      </c>
      <c r="L56" s="187">
        <f t="shared" si="5"/>
        <v>0.65545991456955943</v>
      </c>
      <c r="M56" s="184">
        <f t="shared" si="6"/>
        <v>169344640.57074344</v>
      </c>
      <c r="N56" s="184">
        <f t="shared" ca="1" si="7"/>
        <v>42336160.14268586</v>
      </c>
      <c r="O56" s="180">
        <f t="shared" si="8"/>
        <v>198091939.99575436</v>
      </c>
      <c r="P56" s="180">
        <f t="shared" ca="1" si="9"/>
        <v>49522984.99893859</v>
      </c>
      <c r="Q56" s="185">
        <f t="shared" si="10"/>
        <v>198091939.99575436</v>
      </c>
      <c r="R56" s="185">
        <f t="shared" ca="1" si="11"/>
        <v>49522984.99893859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469087694.35771102</v>
      </c>
      <c r="I57" s="114">
        <f t="shared" si="2"/>
        <v>52390125.779923998</v>
      </c>
      <c r="J57" s="114">
        <f t="shared" si="3"/>
        <v>301606082.52941</v>
      </c>
      <c r="K57" s="114">
        <f t="shared" si="4"/>
        <v>823083902.667045</v>
      </c>
      <c r="L57" s="187">
        <f t="shared" si="5"/>
        <v>0.74206250184242428</v>
      </c>
      <c r="M57" s="184">
        <f t="shared" si="6"/>
        <v>230640959.58146429</v>
      </c>
      <c r="N57" s="184">
        <f t="shared" ca="1" si="7"/>
        <v>57660239.895366073</v>
      </c>
      <c r="O57" s="180">
        <f t="shared" si="8"/>
        <v>286100162.85770166</v>
      </c>
      <c r="P57" s="180">
        <f t="shared" ca="1" si="9"/>
        <v>71525040.714425415</v>
      </c>
      <c r="Q57" s="185">
        <f t="shared" si="10"/>
        <v>286100162.85770166</v>
      </c>
      <c r="R57" s="185">
        <f t="shared" ca="1" si="11"/>
        <v>71525040.714425415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253561209.328915</v>
      </c>
      <c r="I58" s="114">
        <f t="shared" si="2"/>
        <v>63950429.039943002</v>
      </c>
      <c r="J58" s="114">
        <f t="shared" si="3"/>
        <v>180549813.52216801</v>
      </c>
      <c r="K58" s="114">
        <f t="shared" si="4"/>
        <v>498061451.89102602</v>
      </c>
      <c r="L58" s="187">
        <f t="shared" si="5"/>
        <v>0.81040832225637016</v>
      </c>
      <c r="M58" s="184">
        <f t="shared" si="6"/>
        <v>85790374.777151346</v>
      </c>
      <c r="N58" s="184">
        <f t="shared" ca="1" si="7"/>
        <v>21447593.694287837</v>
      </c>
      <c r="O58" s="180">
        <f t="shared" si="8"/>
        <v>116519418.28600287</v>
      </c>
      <c r="P58" s="180">
        <f t="shared" ca="1" si="9"/>
        <v>29129854.571500719</v>
      </c>
      <c r="Q58" s="185">
        <f t="shared" si="10"/>
        <v>116519418.28600287</v>
      </c>
      <c r="R58" s="185">
        <f t="shared" ca="1" si="11"/>
        <v>29129854.571500719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215561847.16</v>
      </c>
      <c r="I59" s="114">
        <f t="shared" si="2"/>
        <v>0</v>
      </c>
      <c r="J59" s="114">
        <f t="shared" si="3"/>
        <v>0</v>
      </c>
      <c r="K59" s="114">
        <f t="shared" si="4"/>
        <v>215561847.16</v>
      </c>
      <c r="L59" s="187">
        <f t="shared" si="5"/>
        <v>0.48566732521621037</v>
      </c>
      <c r="M59" s="184">
        <f t="shared" si="6"/>
        <v>206092532.63759902</v>
      </c>
      <c r="N59" s="184">
        <f t="shared" ca="1" si="7"/>
        <v>51523133.159399755</v>
      </c>
      <c r="O59" s="180">
        <f t="shared" si="8"/>
        <v>228284868.41642001</v>
      </c>
      <c r="P59" s="180">
        <f t="shared" ca="1" si="9"/>
        <v>57071217.104105003</v>
      </c>
      <c r="Q59" s="185">
        <f t="shared" si="10"/>
        <v>228284868.41642001</v>
      </c>
      <c r="R59" s="185">
        <f t="shared" ca="1" si="11"/>
        <v>57071217.104105003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309803234.24329299</v>
      </c>
      <c r="I60" s="114">
        <f t="shared" si="2"/>
        <v>81584972.886524007</v>
      </c>
      <c r="J60" s="114">
        <f t="shared" si="3"/>
        <v>96322302.232531995</v>
      </c>
      <c r="K60" s="114">
        <f t="shared" si="4"/>
        <v>487710509.36234903</v>
      </c>
      <c r="L60" s="187">
        <f t="shared" si="5"/>
        <v>0.8420616762976888</v>
      </c>
      <c r="M60" s="184">
        <f t="shared" si="6"/>
        <v>62516388.424215436</v>
      </c>
      <c r="N60" s="184">
        <f t="shared" ca="1" si="7"/>
        <v>15629097.106053859</v>
      </c>
      <c r="O60" s="180">
        <f t="shared" si="8"/>
        <v>91475698.834034681</v>
      </c>
      <c r="P60" s="180">
        <f t="shared" ca="1" si="9"/>
        <v>22868924.70850867</v>
      </c>
      <c r="Q60" s="185">
        <f t="shared" si="10"/>
        <v>91475698.834034681</v>
      </c>
      <c r="R60" s="185">
        <f t="shared" ca="1" si="11"/>
        <v>22868924.70850867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428037130.09258002</v>
      </c>
      <c r="I61" s="114">
        <f t="shared" si="2"/>
        <v>58268998.644919001</v>
      </c>
      <c r="J61" s="114">
        <f t="shared" si="3"/>
        <v>192989083.319877</v>
      </c>
      <c r="K61" s="114">
        <f t="shared" si="4"/>
        <v>679295212.05737603</v>
      </c>
      <c r="L61" s="187">
        <f t="shared" si="5"/>
        <v>0.94795148735102464</v>
      </c>
      <c r="M61" s="184">
        <f t="shared" si="6"/>
        <v>1467949.4181463718</v>
      </c>
      <c r="N61" s="184">
        <f t="shared" ca="1" si="7"/>
        <v>366987.35453659296</v>
      </c>
      <c r="O61" s="180">
        <f t="shared" si="8"/>
        <v>37297589.495805502</v>
      </c>
      <c r="P61" s="180">
        <f t="shared" ca="1" si="9"/>
        <v>9324397.3739513755</v>
      </c>
      <c r="Q61" s="185">
        <f t="shared" si="10"/>
        <v>37297589.495805502</v>
      </c>
      <c r="R61" s="185">
        <f t="shared" ca="1" si="11"/>
        <v>9324397.3739513755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130775176.729406</v>
      </c>
      <c r="I62" s="114">
        <f t="shared" si="2"/>
        <v>38616940.117797002</v>
      </c>
      <c r="J62" s="114">
        <f t="shared" si="3"/>
        <v>185920937.347022</v>
      </c>
      <c r="K62" s="114">
        <f t="shared" si="4"/>
        <v>355313054.19422501</v>
      </c>
      <c r="L62" s="187">
        <f t="shared" si="5"/>
        <v>0.74485478131836524</v>
      </c>
      <c r="M62" s="184">
        <f t="shared" si="6"/>
        <v>97859040.488536417</v>
      </c>
      <c r="N62" s="184">
        <f t="shared" ca="1" si="7"/>
        <v>24464760.122134104</v>
      </c>
      <c r="O62" s="180">
        <f t="shared" si="8"/>
        <v>121710203.36657649</v>
      </c>
      <c r="P62" s="180">
        <f t="shared" ca="1" si="9"/>
        <v>30427550.841644123</v>
      </c>
      <c r="Q62" s="185">
        <f t="shared" si="10"/>
        <v>121710203.36657649</v>
      </c>
      <c r="R62" s="185">
        <f t="shared" ca="1" si="11"/>
        <v>30427550.841644123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434916433.51514399</v>
      </c>
      <c r="I63" s="114">
        <f t="shared" si="2"/>
        <v>285495088.43090999</v>
      </c>
      <c r="J63" s="114">
        <f t="shared" si="3"/>
        <v>280204913.43528301</v>
      </c>
      <c r="K63" s="114">
        <f t="shared" si="4"/>
        <v>1000616435.3813369</v>
      </c>
      <c r="L63" s="187">
        <f t="shared" si="5"/>
        <v>1.0221072655120125</v>
      </c>
      <c r="M63" s="184">
        <f t="shared" si="6"/>
        <v>-70591137.952220798</v>
      </c>
      <c r="N63" s="184">
        <f t="shared" ca="1" si="7"/>
        <v>-17647784.488055199</v>
      </c>
      <c r="O63" s="180">
        <f t="shared" si="8"/>
        <v>-21642438.087530375</v>
      </c>
      <c r="P63" s="180">
        <f t="shared" ca="1" si="9"/>
        <v>-5410609.5218825936</v>
      </c>
      <c r="Q63" s="185">
        <f t="shared" si="10"/>
        <v>-21642438.087530375</v>
      </c>
      <c r="R63" s="185">
        <f t="shared" ca="1" si="11"/>
        <v>-5410609.5218825936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112242398.67601499</v>
      </c>
      <c r="I64" s="114">
        <f t="shared" si="2"/>
        <v>148144917.591553</v>
      </c>
      <c r="J64" s="114">
        <f t="shared" si="3"/>
        <v>161714051.56884199</v>
      </c>
      <c r="K64" s="114">
        <f t="shared" si="4"/>
        <v>422101367.83640999</v>
      </c>
      <c r="L64" s="187">
        <f t="shared" si="5"/>
        <v>0.78616149911730271</v>
      </c>
      <c r="M64" s="184">
        <f t="shared" si="6"/>
        <v>87967237.52626121</v>
      </c>
      <c r="N64" s="184">
        <f t="shared" ca="1" si="7"/>
        <v>21991809.381565303</v>
      </c>
      <c r="O64" s="180">
        <f t="shared" si="8"/>
        <v>114812953.5979808</v>
      </c>
      <c r="P64" s="180">
        <f t="shared" ca="1" si="9"/>
        <v>28703238.399495199</v>
      </c>
      <c r="Q64" s="185">
        <f t="shared" si="10"/>
        <v>114812953.5979808</v>
      </c>
      <c r="R64" s="185">
        <f t="shared" ca="1" si="11"/>
        <v>28703238.399495199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3504076393.5446467</v>
      </c>
      <c r="I65" s="135">
        <f t="shared" si="12"/>
        <v>987882992.37589896</v>
      </c>
      <c r="J65" s="135">
        <f t="shared" si="12"/>
        <v>2446889611.6810222</v>
      </c>
      <c r="K65" s="135">
        <f t="shared" si="12"/>
        <v>6938848997.6015682</v>
      </c>
      <c r="L65" s="189">
        <f t="shared" si="5"/>
        <v>0.7833456752390825</v>
      </c>
      <c r="M65" s="181">
        <f>SUM(M51:M64)</f>
        <v>1476218265.914753</v>
      </c>
      <c r="N65" s="181">
        <f t="shared" ca="1" si="7"/>
        <v>369054566.47868824</v>
      </c>
      <c r="O65" s="181">
        <f>SUM(O51:O64)</f>
        <v>1919116542.9419279</v>
      </c>
      <c r="P65" s="181">
        <f t="shared" ca="1" si="9"/>
        <v>479779135.73548198</v>
      </c>
      <c r="Q65" s="186">
        <f>SUM(Q51:Q64)</f>
        <v>1919116542.9419279</v>
      </c>
      <c r="R65" s="186">
        <f t="shared" ca="1" si="11"/>
        <v>479779135.73548198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251052873.62514299</v>
      </c>
      <c r="F69" s="187">
        <f t="shared" ref="F69:F74" si="13">IFERROR(E69/D69,0)</f>
        <v>0.97968984473548171</v>
      </c>
      <c r="G69" s="184">
        <f>D69*$H$40-E69</f>
        <v>-7608245.4854266047</v>
      </c>
      <c r="H69" s="184">
        <f t="shared" ref="H69:H74" ca="1" si="14">IFERROR(G69/$C$3,0)</f>
        <v>-1902061.3713566512</v>
      </c>
      <c r="I69" s="204">
        <f>D69*$J$40-E69</f>
        <v>5204629.6798216403</v>
      </c>
      <c r="J69" s="204">
        <f t="shared" ref="J69:J74" ca="1" si="15">IFERROR(I69/$C$3,0)</f>
        <v>1301157.4199554101</v>
      </c>
      <c r="K69" s="185">
        <f>D69*$L$40-E69</f>
        <v>5204629.6798216403</v>
      </c>
      <c r="L69" s="185">
        <f t="shared" ref="L69:L74" ca="1" si="16">IFERROR(K69/$C$3,0)</f>
        <v>1301157.4199554101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443836083.938923</v>
      </c>
      <c r="F70" s="187">
        <f t="shared" si="13"/>
        <v>1.1108165171108031</v>
      </c>
      <c r="G70" s="184">
        <f>D70*$H$40-E70</f>
        <v>-64255592.249206662</v>
      </c>
      <c r="H70" s="184">
        <f t="shared" ca="1" si="14"/>
        <v>-16063898.062301666</v>
      </c>
      <c r="I70" s="204">
        <f>D70*$J$40-E70</f>
        <v>-44277671.633958399</v>
      </c>
      <c r="J70" s="204">
        <f t="shared" ca="1" si="15"/>
        <v>-11069417.9084896</v>
      </c>
      <c r="K70" s="185">
        <f>D70*$L$40-E70</f>
        <v>-44277671.633958399</v>
      </c>
      <c r="L70" s="185">
        <f t="shared" ca="1" si="16"/>
        <v>-11069417.9084896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951040727.40107894</v>
      </c>
      <c r="F71" s="187">
        <f t="shared" si="13"/>
        <v>0.87685072407994447</v>
      </c>
      <c r="G71" s="184">
        <f>D71*$H$40-E71</f>
        <v>79338408.088637352</v>
      </c>
      <c r="H71" s="184">
        <f t="shared" ca="1" si="14"/>
        <v>19834602.022159338</v>
      </c>
      <c r="I71" s="204">
        <f>D71*$J$40-E71</f>
        <v>133568888.9038856</v>
      </c>
      <c r="J71" s="204">
        <f t="shared" ca="1" si="15"/>
        <v>33392222.225971401</v>
      </c>
      <c r="K71" s="185">
        <f>D71*$L$40-E71</f>
        <v>133568888.9038856</v>
      </c>
      <c r="L71" s="185">
        <f t="shared" ca="1" si="16"/>
        <v>33392222.225971401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1645929684.9651449</v>
      </c>
      <c r="F74" s="177">
        <f t="shared" si="13"/>
        <v>0.94570532021224707</v>
      </c>
      <c r="G74" s="181">
        <f>SUM(G69:G73)</f>
        <v>7474570.3540040851</v>
      </c>
      <c r="H74" s="181">
        <f t="shared" ca="1" si="14"/>
        <v>1868642.5885010213</v>
      </c>
      <c r="I74" s="186">
        <f>SUM(I69:I73)</f>
        <v>94495846.949748844</v>
      </c>
      <c r="J74" s="186">
        <f t="shared" ca="1" si="15"/>
        <v>23623961.737437211</v>
      </c>
      <c r="K74" s="186">
        <f>SUM(K69:K73)</f>
        <v>94495846.949748844</v>
      </c>
      <c r="L74" s="186">
        <f t="shared" ca="1" si="16"/>
        <v>23623961.737437211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385081374.45986003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154331547.07999998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7"/>
        <v>7027026.8399999999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382969885.31973499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222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226</v>
      </c>
      <c r="D85" s="131">
        <f t="shared" si="17"/>
        <v>65692612.399999999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955586205.67996895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297399826.70943499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7"/>
        <v>11975945.619999999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569324336.12944102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148907397.44993299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18820757.1204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152515138.31800002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3199956378.5567727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163</v>
      </c>
      <c r="C40" s="263"/>
      <c r="D40" s="264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175</v>
      </c>
      <c r="C40" s="263"/>
      <c r="D40" s="264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2" t="s">
        <v>177</v>
      </c>
      <c r="C40" s="263"/>
      <c r="D40" s="264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9" t="s">
        <v>145</v>
      </c>
      <c r="C46" s="260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5" t="s">
        <v>146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89"/>
      <c r="M48" s="272" t="s">
        <v>186</v>
      </c>
      <c r="N48" s="273"/>
      <c r="O48" s="273"/>
      <c r="P48" s="273"/>
      <c r="Q48" s="273"/>
      <c r="R48" s="274"/>
    </row>
    <row r="49" spans="2:21" ht="17.100000000000001" customHeight="1" x14ac:dyDescent="0.25">
      <c r="B49" s="290" t="s">
        <v>41</v>
      </c>
      <c r="C49" s="290" t="s">
        <v>42</v>
      </c>
      <c r="D49" s="256" t="s">
        <v>137</v>
      </c>
      <c r="E49" s="257"/>
      <c r="F49" s="257"/>
      <c r="G49" s="258"/>
      <c r="H49" s="291" t="s">
        <v>138</v>
      </c>
      <c r="I49" s="292"/>
      <c r="J49" s="292"/>
      <c r="K49" s="293"/>
      <c r="L49" s="294" t="s">
        <v>139</v>
      </c>
      <c r="M49" s="275" t="str">
        <f>"SELISIH"&amp;CHAR(10)&amp;TEXT($H$40,"0%")</f>
        <v>SELISIH
90%</v>
      </c>
      <c r="N49" s="275" t="str">
        <f>"PER HARI"&amp;CHAR(10)&amp;TEXT($H$40,"0%")</f>
        <v>PER HARI
90%</v>
      </c>
      <c r="O49" s="277" t="str">
        <f>"SELISIH"&amp;CHAR(10)&amp;TEXT($J$40,"0%")</f>
        <v>SELISIH
95%</v>
      </c>
      <c r="P49" s="277" t="str">
        <f>"PER HARI"&amp;CHAR(10)&amp;TEXT($J$40,"0%")</f>
        <v>PER HARI
95%</v>
      </c>
      <c r="Q49" s="279" t="str">
        <f>"SELISIH"&amp;CHAR(10)&amp;TEXT($L$40,"0%")</f>
        <v>SELISIH
100%</v>
      </c>
      <c r="R49" s="279" t="str">
        <f>"PER HARI"&amp;CHAR(10)&amp;TEXT($L$40,"0%")</f>
        <v>PER HARI
100%</v>
      </c>
    </row>
    <row r="50" spans="2:21" ht="17.100000000000001" customHeight="1" x14ac:dyDescent="0.25">
      <c r="B50" s="271"/>
      <c r="C50" s="271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5"/>
      <c r="M50" s="276"/>
      <c r="N50" s="276"/>
      <c r="O50" s="278"/>
      <c r="P50" s="278"/>
      <c r="Q50" s="280"/>
      <c r="R50" s="280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6" t="s">
        <v>144</v>
      </c>
      <c r="C67" s="287"/>
      <c r="D67" s="287"/>
      <c r="E67" s="287"/>
      <c r="F67" s="296"/>
      <c r="G67" s="272" t="s">
        <v>186</v>
      </c>
      <c r="H67" s="273"/>
      <c r="I67" s="273"/>
      <c r="J67" s="273"/>
      <c r="K67" s="273"/>
      <c r="L67" s="27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2" t="s">
        <v>171</v>
      </c>
      <c r="C77" s="253"/>
      <c r="D77" s="254"/>
    </row>
    <row r="78" spans="2:21" ht="17.100000000000001" customHeight="1" x14ac:dyDescent="0.25">
      <c r="B78" s="271" t="s">
        <v>41</v>
      </c>
      <c r="C78" s="271" t="s">
        <v>42</v>
      </c>
      <c r="D78" s="231" t="s">
        <v>138</v>
      </c>
    </row>
    <row r="79" spans="2:21" ht="17.100000000000001" customHeight="1" x14ac:dyDescent="0.25">
      <c r="B79" s="261"/>
      <c r="C79" s="261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2026-09-26T00:49:09Z</dcterms:modified>
  <dc:language>en-US</dc:language>
</cp:coreProperties>
</file>