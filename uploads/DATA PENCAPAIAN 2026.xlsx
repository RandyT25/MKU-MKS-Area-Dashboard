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65" i="10"/>
  <c r="K51" i="10"/>
  <c r="M51" i="10"/>
  <c r="M65" i="10" s="1"/>
  <c r="O51" i="10"/>
  <c r="K52" i="10"/>
  <c r="M52" i="10"/>
  <c r="O52" i="10"/>
  <c r="K53" i="10"/>
  <c r="M53" i="10"/>
  <c r="O53" i="10"/>
  <c r="K54" i="10"/>
  <c r="M54" i="10"/>
  <c r="O54" i="10"/>
  <c r="K55" i="10"/>
  <c r="M55" i="10"/>
  <c r="O55" i="10"/>
  <c r="K56" i="10"/>
  <c r="M56" i="10"/>
  <c r="O56" i="10"/>
  <c r="K57" i="10"/>
  <c r="M57" i="10"/>
  <c r="O57" i="10"/>
  <c r="K58" i="10"/>
  <c r="M58" i="10"/>
  <c r="O58" i="10"/>
  <c r="K59" i="10"/>
  <c r="M59" i="10"/>
  <c r="O59" i="10"/>
  <c r="K60" i="10"/>
  <c r="M60" i="10"/>
  <c r="O60" i="10"/>
  <c r="K61" i="10"/>
  <c r="M61" i="10"/>
  <c r="O61" i="10"/>
  <c r="K62" i="10"/>
  <c r="M62" i="10"/>
  <c r="O62" i="10"/>
  <c r="K63" i="10"/>
  <c r="M63" i="10"/>
  <c r="O63" i="10"/>
  <c r="K64" i="10"/>
  <c r="M64" i="10"/>
  <c r="O64" i="10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69" i="10"/>
  <c r="I69" i="10"/>
  <c r="K69" i="10"/>
  <c r="G70" i="10"/>
  <c r="G74" i="10" s="1"/>
  <c r="I70" i="10"/>
  <c r="K70" i="10"/>
  <c r="G71" i="10"/>
  <c r="I71" i="10"/>
  <c r="K71" i="10"/>
  <c r="G72" i="10"/>
  <c r="I72" i="10"/>
  <c r="K72" i="10"/>
  <c r="K74" i="10" s="1"/>
  <c r="G73" i="10"/>
  <c r="I73" i="10"/>
  <c r="K73" i="10"/>
  <c r="G68" i="10"/>
  <c r="H68" i="10"/>
  <c r="I68" i="10"/>
  <c r="J68" i="10"/>
  <c r="K68" i="10"/>
  <c r="L68" i="10"/>
  <c r="I46" i="10"/>
  <c r="G43" i="10"/>
  <c r="I43" i="10"/>
  <c r="K43" i="10"/>
  <c r="G44" i="10"/>
  <c r="I44" i="10"/>
  <c r="K44" i="10"/>
  <c r="G45" i="10"/>
  <c r="I45" i="10"/>
  <c r="K45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M17" i="10"/>
  <c r="G62" i="10" s="1"/>
  <c r="I62" i="10" s="1"/>
  <c r="N16" i="10"/>
  <c r="M16" i="10"/>
  <c r="G61" i="10" s="1"/>
  <c r="N15" i="10"/>
  <c r="H60" i="10" s="1"/>
  <c r="M15" i="10"/>
  <c r="G60" i="10" s="1"/>
  <c r="I60" i="10" s="1"/>
  <c r="N14" i="10"/>
  <c r="H58" i="10" s="1"/>
  <c r="M14" i="10"/>
  <c r="N13" i="10"/>
  <c r="M13" i="10"/>
  <c r="G57" i="10" s="1"/>
  <c r="I57" i="10" s="1"/>
  <c r="N12" i="10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I52" i="10" s="1"/>
  <c r="N8" i="10"/>
  <c r="M8" i="10"/>
  <c r="G51" i="10" s="1"/>
  <c r="N7" i="10"/>
  <c r="M7" i="10"/>
  <c r="H63" i="10"/>
  <c r="H62" i="10"/>
  <c r="H61" i="10"/>
  <c r="H59" i="10"/>
  <c r="G59" i="10"/>
  <c r="G58" i="10"/>
  <c r="I58" i="10" s="1"/>
  <c r="H57" i="10"/>
  <c r="H56" i="10"/>
  <c r="H53" i="10"/>
  <c r="G53" i="10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G74" i="6" l="1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0"/>
  <c r="O65" i="11"/>
  <c r="K46" i="10"/>
  <c r="K46" i="11"/>
  <c r="K74" i="11"/>
  <c r="G46" i="10"/>
  <c r="I74" i="10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L52" i="10"/>
  <c r="N53" i="10"/>
  <c r="L56" i="10"/>
  <c r="P58" i="10"/>
  <c r="L60" i="10"/>
  <c r="P62" i="10"/>
  <c r="N55" i="10"/>
  <c r="L62" i="10"/>
  <c r="P54" i="10"/>
  <c r="N57" i="10"/>
  <c r="N61" i="10"/>
  <c r="L64" i="10"/>
  <c r="L54" i="10"/>
  <c r="P64" i="10"/>
  <c r="L51" i="10"/>
  <c r="N52" i="10"/>
  <c r="P53" i="10"/>
  <c r="L55" i="10"/>
  <c r="N56" i="10"/>
  <c r="P57" i="10"/>
  <c r="L59" i="10"/>
  <c r="N60" i="10"/>
  <c r="P61" i="10"/>
  <c r="L63" i="10"/>
  <c r="N64" i="10"/>
  <c r="P52" i="10"/>
  <c r="P56" i="10"/>
  <c r="L58" i="10"/>
  <c r="N59" i="10"/>
  <c r="P60" i="10"/>
  <c r="N63" i="10"/>
  <c r="N51" i="10"/>
  <c r="N62" i="10"/>
  <c r="P59" i="10"/>
  <c r="L65" i="10"/>
  <c r="N54" i="10"/>
  <c r="N65" i="10"/>
  <c r="P63" i="10"/>
  <c r="P51" i="10"/>
  <c r="L61" i="10"/>
  <c r="N58" i="10"/>
  <c r="L57" i="10"/>
  <c r="P55" i="10"/>
  <c r="L53" i="10"/>
  <c r="P65" i="10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L44" i="10"/>
  <c r="J72" i="10"/>
  <c r="H71" i="10"/>
  <c r="H69" i="10"/>
  <c r="J70" i="10"/>
  <c r="L71" i="10"/>
  <c r="H73" i="10"/>
  <c r="H44" i="10"/>
  <c r="J45" i="10"/>
  <c r="L69" i="10"/>
  <c r="J43" i="10"/>
  <c r="J44" i="10"/>
  <c r="L70" i="10"/>
  <c r="H74" i="10"/>
  <c r="J46" i="10"/>
  <c r="L43" i="10"/>
  <c r="L74" i="10"/>
  <c r="J71" i="10"/>
  <c r="J69" i="10"/>
  <c r="J73" i="10"/>
  <c r="H45" i="10"/>
  <c r="H43" i="10"/>
  <c r="L45" i="10"/>
  <c r="H72" i="10"/>
  <c r="L72" i="10"/>
  <c r="H70" i="10"/>
  <c r="L46" i="10"/>
  <c r="H46" i="10"/>
  <c r="J74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D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F51" i="10" s="1"/>
  <c r="J51" i="10" s="1"/>
  <c r="D64" i="10"/>
  <c r="D63" i="10"/>
  <c r="F63" i="10" s="1"/>
  <c r="J63" i="10" s="1"/>
  <c r="D62" i="10"/>
  <c r="D61" i="10"/>
  <c r="D60" i="10"/>
  <c r="D59" i="10"/>
  <c r="D58" i="10"/>
  <c r="D57" i="10"/>
  <c r="D56" i="10"/>
  <c r="D55" i="10"/>
  <c r="F55" i="10" s="1"/>
  <c r="J55" i="10" s="1"/>
  <c r="D54" i="10"/>
  <c r="D53" i="10"/>
  <c r="F53" i="10" s="1"/>
  <c r="J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J61" i="10" s="1"/>
  <c r="F59" i="10"/>
  <c r="J59" i="10" s="1"/>
  <c r="F58" i="10"/>
  <c r="J58" i="10" s="1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J53" i="12" l="1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J60" i="10" s="1"/>
  <c r="F45" i="10"/>
  <c r="F53" i="11"/>
  <c r="J53" i="11" s="1"/>
  <c r="F70" i="11"/>
  <c r="F58" i="11"/>
  <c r="J58" i="11" s="1"/>
  <c r="F56" i="10"/>
  <c r="J56" i="10" s="1"/>
  <c r="F64" i="10"/>
  <c r="J64" i="10" s="1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J54" i="10" s="1"/>
  <c r="L51" i="3"/>
  <c r="L59" i="3"/>
  <c r="D65" i="11"/>
  <c r="D65" i="13"/>
  <c r="F60" i="8"/>
  <c r="D74" i="9"/>
  <c r="F70" i="7"/>
  <c r="E65" i="11"/>
  <c r="D65" i="14"/>
  <c r="F61" i="7"/>
  <c r="F51" i="9"/>
  <c r="F62" i="10"/>
  <c r="J62" i="10" s="1"/>
  <c r="F70" i="14"/>
  <c r="F57" i="10"/>
  <c r="J57" i="10" s="1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H43" i="13" l="1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46" i="9" l="1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<sst xmlns="http://schemas.openxmlformats.org/spreadsheetml/2006/main" count="1843" uniqueCount="193">
  <si>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</si>
  <si>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</si>
  <si>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</si>
  <si>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</si>
  <si>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</si>
  <si>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</si>
  <si>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</si>
  <si>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</si>
  <si>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</si>
  <si>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</si>
  <si>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</si>
  <si>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</si>
  <si>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</si>
  <si>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</si>
  <si>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</si>
  <si>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</si>
  <si>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</si>
  <si>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</si>
  <si>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</si>
  <si>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</si>
  <si>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</si>
  <si>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</si>
  <si>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</si>
  <si>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</si>
  <si>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</si>
  <si>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</si>
  <si>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</si>
  <si>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</si>
  <si>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</si>
  <si>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</si>
  <si>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</si>
  <si>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</si>
  <si>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</si>
  <si>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</si>
  <si>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</si>
  <si>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</si>
  <si>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</si>
  <si>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</si>
  <si>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</si>
  <si>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</si>
  <si>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</si>
  <si>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</si>
  <si>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</si>
  <si>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</si>
  <si>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</si>
  <si>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</si>
  <si>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</si>
  <si>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</si>
  <si>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</si>
  <si>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</si>
  <si>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</si>
  <si>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</si>
  <si>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</si>
  <si>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</si>
  <si>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</si>
  <si>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</si>
  <si>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</si>
  <si>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</si>
  <si>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</si>
  <si>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</si>
  <si>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</si>
  <si>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</si>
  <si>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</si>
  <si>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</si>
  <si>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</si>
  <si>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</si>
  <si>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</si>
  <si>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</si>
  <si>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</si>
  <si>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</si>
  <si>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</si>
  <si>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</si>
  <si>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</si>
  <si>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</si>
  <si>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</si>
  <si>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</si>
  <si>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</si>
  <si>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</si>
  <si>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</si>
  <si>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</si>
  <si>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</si>
  <si>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</si>
  <si>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</si>
  <si>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</si>
  <si>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</si>
  <si>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</si>
  <si>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</si>
  <si>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</si>
  <si>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</si>
  <si>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</si>
  <si>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</si>
  <si>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</si>
  <si>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</si>
  <si>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</si>
  <si>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</si>
  <si>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</si>
  <si>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</si>
  <si>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</si>
  <si>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</si>
  <si>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</si>
  <si>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</si>
  <si>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</si>
  <si>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</si>
  <si>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</si>
  <si>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</si>
  <si>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</si>
  <si>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</si>
  <si>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</si>
  <si>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</si>
  <si>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</si>
  <si>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</si>
  <si>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</si>
  <si>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</si>
  <si>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</si>
  <si>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</si>
  <si>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</si>
  <si>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</si>
  <si>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</si>
  <si>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</si>
  <si>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</si>
  <si>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</si>
  <si>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</si>
  <si>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</si>
  <si>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</si>
  <si>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</si>
  <si>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</si>
  <si>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</si>
  <si>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</si>
  <si>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</si>
  <si>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</si>
  <si>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</si>
  <si>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</si>
  <si>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</si>
  <si>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</si>
  <si>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</si>
  <si>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</si>
  <si>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</si>
  <si>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</si>
  <si>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</si>
  <si>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</si>
  <si>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</si>
  <si>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</si>
  <si>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</si>
  <si>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</si>
  <si>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</si>
  <si>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</si>
  <si>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</si>
  <si>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</si>
  <si>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</si>
  <si>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</si>
  <si>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</si>
  <si>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</si>
  <si>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</si>
  <si>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</si>
  <si>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</si>
  <si>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</si>
  <si>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</si>
  <si>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</si>
  <si>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</si>
  <si>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</si>
  <si>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</si>
  <si>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</si>
  <si>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</si>
  <si>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</si>
  <si>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</si>
  <si>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</si>
  <si>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</si>
  <si>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</si>
  <si>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</si>
  <si>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</si>
  <si>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</si>
  <si>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</si>
  <si>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</si>
  <si>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</si>
  <si>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</si>
  <si>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</si>
  <si>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</si>
  <si>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</si>
  <si>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</si>
  <si>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</si>
  <si>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</si>
  <si>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</si>
  <si>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</si>
  <si>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</si>
  <si>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</si>
  <si>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</si>
  <si>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</si>
  <si>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</si>
  <si>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</si>
  <si>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</si>
  <si>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</si>
  <si>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</si>
  <si>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27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</si>
</sst>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164" fontId="0" fillId="0" borderId="14" xfId="0" applyNumberFormat="1" applyBorder="1"/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3" t="s">
        <v>0</v>
      </c>
      <c r="C1" s="233"/>
    </row>
    <row r="3" spans="2:3" x14ac:dyDescent="0.25">
      <c r="B3" s="234" t="s">
        <v>1</v>
      </c>
      <c r="C3" s="234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5" t="s">
        <v>14</v>
      </c>
      <c r="C11" s="235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6" zoomScale="110" zoomScaleNormal="110" workbookViewId="0">
      <selection activeCell="K22" sqref="K22:K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4" t="s">
        <v>28</v>
      </c>
      <c r="C3" s="234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175</v>
      </c>
      <c r="C7" s="138" t="s">
        <v>176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175</v>
      </c>
      <c r="C13" s="138" t="s">
        <v>177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6" t="s">
        <v>102</v>
      </c>
      <c r="C29" s="236"/>
      <c r="D29" s="236"/>
      <c r="E29" s="236"/>
      <c r="F29" s="236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8" t="s">
        <v>146</v>
      </c>
      <c r="C44" s="239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0" t="s">
        <v>41</v>
      </c>
      <c r="C47" s="240" t="s">
        <v>42</v>
      </c>
      <c r="D47" s="241" t="s">
        <v>138</v>
      </c>
      <c r="E47" s="242"/>
      <c r="F47" s="243"/>
      <c r="G47" s="101" t="s">
        <v>139</v>
      </c>
      <c r="H47" s="101"/>
      <c r="I47" s="101"/>
      <c r="J47" s="240" t="s">
        <v>140</v>
      </c>
      <c r="K47" s="102" t="s">
        <v>148</v>
      </c>
      <c r="L47" s="102"/>
      <c r="M47" s="102"/>
      <c r="N47" s="237" t="s">
        <v>149</v>
      </c>
    </row>
    <row r="48" spans="2:14" ht="15.75" x14ac:dyDescent="0.25">
      <c r="B48" s="240"/>
      <c r="C48" s="240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0"/>
      <c r="K48" s="104" t="s">
        <v>143</v>
      </c>
      <c r="L48" s="104" t="s">
        <v>111</v>
      </c>
      <c r="M48" s="104" t="s">
        <v>146</v>
      </c>
      <c r="N48" s="237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8" t="s">
        <v>146</v>
      </c>
      <c r="C44" s="239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0" t="s">
        <v>41</v>
      </c>
      <c r="C47" s="240" t="s">
        <v>42</v>
      </c>
      <c r="D47" s="241" t="s">
        <v>138</v>
      </c>
      <c r="E47" s="242"/>
      <c r="F47" s="243"/>
      <c r="G47" s="101" t="s">
        <v>139</v>
      </c>
      <c r="H47" s="101"/>
      <c r="I47" s="101"/>
      <c r="J47" s="240" t="s">
        <v>140</v>
      </c>
      <c r="K47" s="102" t="s">
        <v>148</v>
      </c>
      <c r="L47" s="102"/>
      <c r="M47" s="102"/>
      <c r="N47" s="237" t="s">
        <v>149</v>
      </c>
    </row>
    <row r="48" spans="2:14" ht="15.75" x14ac:dyDescent="0.25">
      <c r="B48" s="240"/>
      <c r="C48" s="240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0"/>
      <c r="K48" s="104" t="s">
        <v>143</v>
      </c>
      <c r="L48" s="104" t="s">
        <v>111</v>
      </c>
      <c r="M48" s="104" t="s">
        <v>146</v>
      </c>
      <c r="N48" s="237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8" t="s">
        <v>146</v>
      </c>
      <c r="C44" s="24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0" t="s">
        <v>41</v>
      </c>
      <c r="C47" s="250" t="s">
        <v>42</v>
      </c>
      <c r="D47" s="245" t="s">
        <v>138</v>
      </c>
      <c r="E47" s="246"/>
      <c r="F47" s="247"/>
      <c r="G47" s="70" t="s">
        <v>139</v>
      </c>
      <c r="H47" s="70"/>
      <c r="I47" s="70"/>
      <c r="J47" s="250" t="s">
        <v>140</v>
      </c>
      <c r="K47" s="35" t="s">
        <v>148</v>
      </c>
      <c r="L47" s="35"/>
      <c r="M47" s="35"/>
      <c r="N47" s="244" t="s">
        <v>149</v>
      </c>
    </row>
    <row r="48" spans="2:17" ht="15.75" x14ac:dyDescent="0.25">
      <c r="B48" s="250"/>
      <c r="C48" s="250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0"/>
      <c r="K48" s="34" t="s">
        <v>143</v>
      </c>
      <c r="L48" s="34" t="s">
        <v>111</v>
      </c>
      <c r="M48" s="34" t="s">
        <v>146</v>
      </c>
      <c r="N48" s="244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168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188</v>
      </c>
    </row>
    <row r="41" spans="2:19" ht="27.95" customHeight="1" x14ac:dyDescent="0.25">
      <c r="B41" s="253" t="s">
        <v>181</v>
      </c>
      <c r="C41" s="254"/>
      <c r="D41" s="255"/>
      <c r="E41" s="67" t="s">
        <v>138</v>
      </c>
      <c r="F41" s="185"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8" t="s">
        <v>146</v>
      </c>
      <c r="C46" s="249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  <c r="Q48"/>
      <c r="R48"/>
    </row>
    <row r="49" spans="2:18" s="148" customFormat="1" ht="33.950000000000003" customHeight="1" x14ac:dyDescent="0.25">
      <c r="B49" s="261" t="s">
        <v>41</v>
      </c>
      <c r="C49" s="261" t="s">
        <v>42</v>
      </c>
      <c r="D49" s="258" t="s">
        <v>138</v>
      </c>
      <c r="E49" s="259"/>
      <c r="F49" s="260"/>
      <c r="G49" s="149" t="s">
        <v>139</v>
      </c>
      <c r="H49" s="149"/>
      <c r="I49" s="149"/>
      <c r="J49" s="258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51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1"/>
      <c r="C50" s="261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58"/>
      <c r="K50" s="266"/>
      <c r="L50" s="266"/>
      <c r="M50" s="268"/>
      <c r="N50" s="202"/>
      <c r="O50" s="196"/>
      <c r="P50" s="252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175</v>
      </c>
      <c r="C53" s="164" t="s">
        <v>176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175</v>
      </c>
      <c r="C59" s="164" t="s">
        <v>177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56" t="s">
        <v>145</v>
      </c>
      <c r="C67" s="257"/>
      <c r="D67" s="257"/>
      <c r="E67" s="257"/>
      <c r="F67" s="257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174</v>
      </c>
      <c r="C77" s="128"/>
      <c r="D77" s="129"/>
      <c r="G77"/>
      <c r="H77"/>
      <c r="I77"/>
    </row>
    <row r="78" spans="1:19" ht="20.100000000000001" customHeight="1" x14ac:dyDescent="0.25">
      <c r="B78" s="250" t="s">
        <v>41</v>
      </c>
      <c r="C78" s="250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0"/>
      <c r="C79" s="250"/>
      <c r="D79" s="71" t="s">
        <v>171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175</v>
      </c>
      <c r="C82" s="162" t="s">
        <v>176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175</v>
      </c>
      <c r="C88" s="162" t="s">
        <v>177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5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69" t="s">
        <v>182</v>
      </c>
      <c r="C41" s="270"/>
      <c r="D41" s="271"/>
      <c r="E41" s="67" t="s">
        <v>138</v>
      </c>
      <c r="F41" s="185">
        <v>0.97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-10226770.597678566</v>
      </c>
      <c r="I43" s="218">
        <f>D43*$J$41-E43</f>
        <v>290830113.6116066</v>
      </c>
      <c r="J43" s="218">
        <f ca="1">IFERROR(I43/$C$3,0)</f>
        <v>58166022.722321317</v>
      </c>
      <c r="K43" s="198">
        <f>D43*$L$41-E43</f>
        <v>632794080.21160698</v>
      </c>
      <c r="L43" s="198">
        <f ca="1">IFERROR(K43/$C$3,0)</f>
        <v>126558816.0423214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81612169.458930925</v>
      </c>
      <c r="I44" s="218">
        <f>D44*$J$41-E44</f>
        <v>481824088.50567269</v>
      </c>
      <c r="J44" s="218">
        <f ca="1">IFERROR(I44/$C$3,0)</f>
        <v>96364817.701134533</v>
      </c>
      <c r="K44" s="198">
        <f>D44*$L$41-E44</f>
        <v>555587329.71669078</v>
      </c>
      <c r="L44" s="198">
        <f ca="1">IFERROR(K44/$C$3,0)</f>
        <v>111117465.94333816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-13705071.520142555</v>
      </c>
      <c r="I45" s="218">
        <f>D45*$J$41-E45</f>
        <v>20623578.569499731</v>
      </c>
      <c r="J45" s="218">
        <f ca="1">IFERROR(I45/$C$3,0)</f>
        <v>4124715.7138999463</v>
      </c>
      <c r="K45" s="198">
        <f>D45*$L$41-E45</f>
        <v>109772514.73971272</v>
      </c>
      <c r="L45" s="198">
        <f ca="1">IFERROR(K45/$C$3,0)</f>
        <v>21954502.947942544</v>
      </c>
      <c r="S45" s="184">
        <v>0.9</v>
      </c>
    </row>
    <row r="46" spans="2:19" ht="18.75" customHeight="1" x14ac:dyDescent="0.25">
      <c r="B46" s="248" t="s">
        <v>146</v>
      </c>
      <c r="C46" s="249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57680327.341109797</v>
      </c>
      <c r="I46" s="199">
        <f>I43+I44+I45</f>
        <v>793277780.68677902</v>
      </c>
      <c r="J46" s="199">
        <f ca="1">IFERROR(I46/$C$3,0)</f>
        <v>158655556.1373558</v>
      </c>
      <c r="K46" s="199">
        <f>K43+K44+K45</f>
        <v>1298153924.6680105</v>
      </c>
      <c r="L46" s="199">
        <f ca="1">IFERROR(K46/$C$3,0)</f>
        <v>259630784.93360209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33.950000000000003" customHeight="1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51" t="str">
        <f>"SELISIH"&amp;CHAR(10)&amp;TEXT($L$41,"0%")</f>
        <v>SELISIH
100%</v>
      </c>
      <c r="P49" s="251" t="str">
        <f>"PER HARI"&amp;CHAR(10)&amp;TEXT($L$41,"0%")</f>
        <v>PER HARI
100%</v>
      </c>
    </row>
    <row r="50" spans="2:16" ht="22.5" customHeight="1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52"/>
      <c r="P50" s="252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20689747.080899574</v>
      </c>
      <c r="M51" s="193">
        <f t="shared" ref="M51:M64" si="5">F51*$J$41-I51</f>
        <v>127696429.36553055</v>
      </c>
      <c r="N51" s="193">
        <f t="shared" ref="N51:N65" ca="1" si="6">IFERROR(M51/$C$3,0)</f>
        <v>25539285.873106111</v>
      </c>
      <c r="O51" s="198">
        <f t="shared" ref="O51:O64" si="7">F51*$L$41-I51</f>
        <v>151944123.3265633</v>
      </c>
      <c r="P51" s="198">
        <f t="shared" ref="P51:P65" ca="1" si="8">IFERROR(O51/$C$3,0)</f>
        <v>30388824.665312659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12255343.897453999</v>
      </c>
      <c r="M52" s="193">
        <f t="shared" si="5"/>
        <v>98613177.237269998</v>
      </c>
      <c r="N52" s="193">
        <f t="shared" ca="1" si="6"/>
        <v>19722635.447453998</v>
      </c>
      <c r="O52" s="198">
        <f t="shared" si="7"/>
        <v>135949634.98727</v>
      </c>
      <c r="P52" s="198">
        <f t="shared" ca="1" si="8"/>
        <v>27189926.997453999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3951619.080000001</v>
      </c>
      <c r="M53" s="193">
        <f t="shared" si="5"/>
        <v>31831758.799999982</v>
      </c>
      <c r="N53" s="193">
        <f t="shared" ca="1" si="6"/>
        <v>6366351.7599999961</v>
      </c>
      <c r="O53" s="198">
        <f t="shared" si="7"/>
        <v>43905422.199999988</v>
      </c>
      <c r="P53" s="198">
        <f t="shared" ca="1" si="8"/>
        <v>8781084.4399999976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-21221627.473552108</v>
      </c>
      <c r="M54" s="193">
        <f t="shared" si="5"/>
        <v>-73228422.42689395</v>
      </c>
      <c r="N54" s="193">
        <f t="shared" ca="1" si="6"/>
        <v>-14645684.485378791</v>
      </c>
      <c r="O54" s="198">
        <f t="shared" si="7"/>
        <v>-40348707.486027122</v>
      </c>
      <c r="P54" s="198">
        <f t="shared" ca="1" si="8"/>
        <v>-8069741.4972054241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16400223.53847475</v>
      </c>
      <c r="M55" s="193">
        <f t="shared" si="5"/>
        <v>106397747.65194988</v>
      </c>
      <c r="N55" s="193">
        <f t="shared" ca="1" si="6"/>
        <v>21279549.530389976</v>
      </c>
      <c r="O55" s="198">
        <f t="shared" si="7"/>
        <v>130794377.61152613</v>
      </c>
      <c r="P55" s="198">
        <f t="shared" ca="1" si="8"/>
        <v>26158875.522305228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5034336.3685356621</v>
      </c>
      <c r="M56" s="193">
        <f t="shared" si="5"/>
        <v>52929593.148810923</v>
      </c>
      <c r="N56" s="193">
        <f t="shared" ca="1" si="6"/>
        <v>10585918.629762184</v>
      </c>
      <c r="O56" s="198">
        <f t="shared" si="7"/>
        <v>80687504.454943657</v>
      </c>
      <c r="P56" s="198">
        <f t="shared" ca="1" si="8"/>
        <v>16137500.890988732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-26097165.560531043</v>
      </c>
      <c r="M57" s="193">
        <f t="shared" si="5"/>
        <v>-77801481.735697389</v>
      </c>
      <c r="N57" s="193">
        <f t="shared" ca="1" si="6"/>
        <v>-15560296.347139478</v>
      </c>
      <c r="O57" s="198">
        <f t="shared" si="7"/>
        <v>-25117135.668739557</v>
      </c>
      <c r="P57" s="198">
        <f t="shared" ca="1" si="8"/>
        <v>-5023427.1337479111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10781516.387058008</v>
      </c>
      <c r="M58" s="193">
        <f t="shared" si="5"/>
        <v>82361005.085290074</v>
      </c>
      <c r="N58" s="193">
        <f t="shared" ca="1" si="6"/>
        <v>16472201.017058015</v>
      </c>
      <c r="O58" s="198">
        <f t="shared" si="7"/>
        <v>110814428.23529005</v>
      </c>
      <c r="P58" s="198">
        <f t="shared" ca="1" si="8"/>
        <v>22162885.64705801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12639754.754005004</v>
      </c>
      <c r="M59" s="193">
        <f t="shared" si="5"/>
        <v>83405456.970024943</v>
      </c>
      <c r="N59" s="193">
        <f t="shared" ca="1" si="6"/>
        <v>16681091.394004989</v>
      </c>
      <c r="O59" s="198">
        <f t="shared" si="7"/>
        <v>103612140.17002499</v>
      </c>
      <c r="P59" s="198">
        <f t="shared" ca="1" si="8"/>
        <v>20722428.034004997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4272755.5470961686</v>
      </c>
      <c r="M60" s="193">
        <f t="shared" si="5"/>
        <v>48487862.696380615</v>
      </c>
      <c r="N60" s="193">
        <f t="shared" ca="1" si="6"/>
        <v>9697572.539276123</v>
      </c>
      <c r="O60" s="198">
        <f t="shared" si="7"/>
        <v>75611947.657280385</v>
      </c>
      <c r="P60" s="198">
        <f t="shared" ca="1" si="8"/>
        <v>15122389.531456077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21639807.548963152</v>
      </c>
      <c r="M61" s="193">
        <f t="shared" si="5"/>
        <v>142717597.57534701</v>
      </c>
      <c r="N61" s="193">
        <f t="shared" ca="1" si="6"/>
        <v>28543519.515069403</v>
      </c>
      <c r="O61" s="198">
        <f t="shared" si="7"/>
        <v>177236157.40587825</v>
      </c>
      <c r="P61" s="198">
        <f t="shared" ca="1" si="8"/>
        <v>35447231.481175646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14668722.076438297</v>
      </c>
      <c r="M62" s="193">
        <f t="shared" si="5"/>
        <v>95858969.272182167</v>
      </c>
      <c r="N62" s="193">
        <f t="shared" ca="1" si="6"/>
        <v>19171793.854436435</v>
      </c>
      <c r="O62" s="198">
        <f t="shared" si="7"/>
        <v>118374328.16217285</v>
      </c>
      <c r="P62" s="198">
        <f t="shared" ca="1" si="8"/>
        <v>23674865.632434569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-11342021.147255253</v>
      </c>
      <c r="M63" s="193">
        <f t="shared" si="5"/>
        <v>-11052211.386640549</v>
      </c>
      <c r="N63" s="193">
        <f t="shared" ca="1" si="6"/>
        <v>-2210442.2773281098</v>
      </c>
      <c r="O63" s="198">
        <f t="shared" si="7"/>
        <v>34605682.96299541</v>
      </c>
      <c r="P63" s="198">
        <f t="shared" ca="1" si="8"/>
        <v>6921136.5925990818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7712386.763666356</v>
      </c>
      <c r="M64" s="193">
        <f t="shared" si="5"/>
        <v>64436719.86372602</v>
      </c>
      <c r="N64" s="193">
        <f t="shared" ca="1" si="6"/>
        <v>12887343.972745204</v>
      </c>
      <c r="O64" s="198">
        <f t="shared" si="7"/>
        <v>90311505.909120381</v>
      </c>
      <c r="P64" s="198">
        <f t="shared" ca="1" si="8"/>
        <v>18062301.181824077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71385398.861252576</v>
      </c>
      <c r="M65" s="194">
        <f>SUM(M51:M64)</f>
        <v>772654202.11728036</v>
      </c>
      <c r="N65" s="194">
        <f t="shared" ca="1" si="6"/>
        <v>154530840.42345607</v>
      </c>
      <c r="O65" s="199">
        <f>SUM(O51:O64)</f>
        <v>1188381409.9282987</v>
      </c>
      <c r="P65" s="199">
        <f t="shared" ca="1" si="8"/>
        <v>237676281.98565975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3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-8233887.9413386825</v>
      </c>
      <c r="I69" s="218">
        <f>D69*$J$41-E69</f>
        <v>-27266208.811482966</v>
      </c>
      <c r="J69" s="218">
        <f t="shared" ref="J69:J74" ca="1" si="14">IFERROR(I69/$C$3,0)</f>
        <v>-5453241.7622965928</v>
      </c>
      <c r="K69" s="198">
        <f>D69*$L$41-E69</f>
        <v>-13362977.916272461</v>
      </c>
      <c r="L69" s="198">
        <f t="shared" ref="L69:L74" ca="1" si="15">IFERROR(K69/$C$3,0)</f>
        <v>-2672595.5832544924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-12058267.611306917</v>
      </c>
      <c r="I70" s="218">
        <f>D70*$J$41-E70</f>
        <v>-39410410.397208512</v>
      </c>
      <c r="J70" s="218">
        <f t="shared" ca="1" si="14"/>
        <v>-7882082.079441702</v>
      </c>
      <c r="K70" s="198">
        <f>D70*$L$41-E70</f>
        <v>-18529482.737882435</v>
      </c>
      <c r="L70" s="198">
        <f t="shared" ca="1" si="15"/>
        <v>-3705896.5475764871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6587084.0325030563</v>
      </c>
      <c r="I71" s="218">
        <f>D71*$J$41-E71</f>
        <v>87300197.778191447</v>
      </c>
      <c r="J71" s="218">
        <f t="shared" ca="1" si="14"/>
        <v>17460039.555638291</v>
      </c>
      <c r="K71" s="198">
        <f>D71*$L$41-E71</f>
        <v>141664975.39386773</v>
      </c>
      <c r="L71" s="198">
        <f t="shared" ca="1" si="15"/>
        <v>28332995.078773547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-13705071.520142544</v>
      </c>
      <c r="I74" s="199">
        <f>SUM(I69:I73)</f>
        <v>20623578.569499969</v>
      </c>
      <c r="J74" s="199">
        <f t="shared" ca="1" si="14"/>
        <v>4124715.7138999938</v>
      </c>
      <c r="K74" s="199">
        <f>SUM(K69:K73)</f>
        <v>109772514.73971283</v>
      </c>
      <c r="L74" s="199">
        <f t="shared" ca="1" si="15"/>
        <v>21954502.947942566</v>
      </c>
    </row>
    <row r="77" spans="2:16" ht="18.75" x14ac:dyDescent="0.25">
      <c r="B77" s="127" t="s">
        <v>174</v>
      </c>
      <c r="C77" s="128"/>
      <c r="D77" s="129"/>
    </row>
    <row r="78" spans="2:16" ht="18.75" customHeight="1" x14ac:dyDescent="0.25">
      <c r="B78" s="250" t="s">
        <v>41</v>
      </c>
      <c r="C78" s="250" t="s">
        <v>42</v>
      </c>
      <c r="D78" s="126" t="s">
        <v>139</v>
      </c>
    </row>
    <row r="79" spans="2:16" ht="18" customHeight="1" x14ac:dyDescent="0.25">
      <c r="B79" s="250"/>
      <c r="C79" s="250"/>
      <c r="D79" s="71" t="s">
        <v>171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175</v>
      </c>
      <c r="C82" s="178" t="s">
        <v>176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175</v>
      </c>
      <c r="C88" s="178" t="s">
        <v>177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B29" zoomScaleNormal="100" workbookViewId="0">
      <selection activeCell="B48" sqref="B48:J4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3" t="s">
        <v>183</v>
      </c>
      <c r="C41" s="254"/>
      <c r="D41" s="255"/>
      <c r="E41" s="67" t="s">
        <v>138</v>
      </c>
      <c r="F41" s="185">
        <f ca="1">IF(MONTH(TODAY())=6,DAY(TODAY())/DAY(EOMONTH(TODAY(),0)),IF(MONTH(TODAY())&gt;6,1,0))</f>
        <v>1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8" t="s">
        <v>146</v>
      </c>
      <c r="C46" s="249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33.950000000000003" customHeight="1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51" t="str">
        <f>"SELISIH"&amp;CHAR(10)&amp;TEXT($L$41,"0%")</f>
        <v>SELISIH
100%</v>
      </c>
      <c r="P49" s="251" t="str">
        <f>"PER HARI"&amp;CHAR(10)&amp;TEXT($L$41,"0%")</f>
        <v>PER HARI
100%</v>
      </c>
    </row>
    <row r="50" spans="2:16" ht="19.5" customHeight="1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52"/>
      <c r="P50" s="252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175</v>
      </c>
      <c r="C53" s="146" t="s">
        <v>176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175</v>
      </c>
      <c r="C59" s="146" t="s">
        <v>177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3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0" t="s">
        <v>41</v>
      </c>
      <c r="C78" s="250" t="s">
        <v>42</v>
      </c>
      <c r="D78" s="126" t="s">
        <v>139</v>
      </c>
    </row>
    <row r="79" spans="2:16" ht="15.75" x14ac:dyDescent="0.25">
      <c r="B79" s="250"/>
      <c r="C79" s="250"/>
      <c r="D79" s="71" t="s">
        <v>171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175</v>
      </c>
      <c r="C82" s="56" t="s">
        <v>176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175</v>
      </c>
      <c r="C88" s="56" t="s">
        <v>177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94"/>
  <sheetViews>
    <sheetView showGridLines="0" tabSelected="1" topLeftCell="A79" zoomScaleNormal="100" workbookViewId="0">
      <selection activeCell="E84" sqref="E84"/>
    </sheetView>
  </sheetViews>
  <sheetFormatPr defaultColWidth="8.7109375" defaultRowHeight="15" x14ac:dyDescent="0.25"/>
  <cols>
    <col min="1" max="1" width="2" customWidth="1"/>
    <col min="2" max="2" width="28" customWidth="1"/>
    <col min="3" max="3" width="16.42578125" customWidth="1"/>
    <col min="4" max="4" width="24.42578125" customWidth="1"/>
    <col min="5" max="5" width="20.42578125" bestFit="1" customWidth="1"/>
    <col min="6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5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368481985.37154001</v>
      </c>
      <c r="N8" s="11">
        <f>D22</f>
        <v>51245941.173954003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527271952.95196795</v>
      </c>
      <c r="N9" s="11">
        <f>D13+D14</f>
        <v>140310163.131338</v>
      </c>
    </row>
    <row r="10" spans="2:14" x14ac:dyDescent="0.25">
      <c r="B10" s="74" t="s">
        <v>113</v>
      </c>
      <c r="C10" s="15">
        <v>323462813.98100299</v>
      </c>
      <c r="D10" s="15">
        <v>43479974.574698001</v>
      </c>
      <c r="E10" s="15">
        <v>140904594.69</v>
      </c>
      <c r="F10" s="15">
        <v>507847383.24570101</v>
      </c>
      <c r="H10" s="116"/>
      <c r="I10" s="116"/>
      <c r="J10" s="116"/>
      <c r="M10" s="11">
        <f>C15</f>
        <v>852570988.24464798</v>
      </c>
      <c r="N10" s="11">
        <f>D15</f>
        <v>25048158.472293999</v>
      </c>
    </row>
    <row r="11" spans="2:14" x14ac:dyDescent="0.25">
      <c r="B11" s="74" t="s">
        <v>114</v>
      </c>
      <c r="C11" s="15">
        <v>255588750.28104901</v>
      </c>
      <c r="D11" s="15">
        <v>97947781.037006006</v>
      </c>
      <c r="E11" s="15">
        <v>68988371.920000002</v>
      </c>
      <c r="F11" s="15">
        <v>422524903.23805499</v>
      </c>
      <c r="H11" s="116"/>
      <c r="I11" s="116"/>
      <c r="J11" s="116"/>
      <c r="M11" s="11">
        <f>C12</f>
        <v>312427929.47873902</v>
      </c>
      <c r="N11" s="11">
        <f>D12</f>
        <v>39205390.100000001</v>
      </c>
    </row>
    <row r="12" spans="2:14" x14ac:dyDescent="0.25">
      <c r="B12" s="74" t="s">
        <v>185</v>
      </c>
      <c r="C12" s="15">
        <v>312427929.47873902</v>
      </c>
      <c r="D12" s="15">
        <v>39205390.100000001</v>
      </c>
      <c r="E12" s="15" t="s">
        <v>168</v>
      </c>
      <c r="F12" s="15">
        <v>351633319.57873899</v>
      </c>
      <c r="H12" s="116"/>
      <c r="I12" s="116"/>
      <c r="J12" s="116"/>
      <c r="M12" s="11">
        <f>C25+C26</f>
        <v>349165443.69526798</v>
      </c>
      <c r="N12" s="11">
        <f>D25+D26</f>
        <v>97541098.986386999</v>
      </c>
    </row>
    <row r="13" spans="2:14" x14ac:dyDescent="0.25">
      <c r="B13" s="74" t="s">
        <v>70</v>
      </c>
      <c r="C13" s="15">
        <v>281119368.62511998</v>
      </c>
      <c r="D13" s="15">
        <v>104360699.461472</v>
      </c>
      <c r="E13" s="15">
        <v>47038638.640000001</v>
      </c>
      <c r="F13" s="15">
        <v>432518706.726592</v>
      </c>
      <c r="H13" s="116"/>
      <c r="I13" s="116"/>
      <c r="J13" s="116"/>
      <c r="M13" s="11">
        <f>C17</f>
        <v>1234582198.8578351</v>
      </c>
      <c r="N13" s="11">
        <f>D17</f>
        <v>77414554.659632996</v>
      </c>
    </row>
    <row r="14" spans="2:14" x14ac:dyDescent="0.25">
      <c r="B14" s="74" t="s">
        <v>115</v>
      </c>
      <c r="C14" s="15">
        <v>246152584.326848</v>
      </c>
      <c r="D14" s="15">
        <v>35949463.669866003</v>
      </c>
      <c r="E14" s="15">
        <v>49691855.259999998</v>
      </c>
      <c r="F14" s="15">
        <v>331793903.25671399</v>
      </c>
      <c r="H14" s="116"/>
      <c r="I14" s="116"/>
      <c r="J14" s="116"/>
      <c r="M14" s="11">
        <f>C23</f>
        <v>403455704.93592501</v>
      </c>
      <c r="N14" s="11">
        <f>D23</f>
        <v>56637953.379945002</v>
      </c>
    </row>
    <row r="15" spans="2:14" x14ac:dyDescent="0.25">
      <c r="B15" s="84" t="s">
        <v>116</v>
      </c>
      <c r="C15" s="15">
        <v>852570988.24464798</v>
      </c>
      <c r="D15" s="15">
        <v>25048158.472293999</v>
      </c>
      <c r="E15" s="15">
        <v>330634475.89999998</v>
      </c>
      <c r="F15" s="15">
        <v>1208253622.6169419</v>
      </c>
      <c r="H15" s="116"/>
      <c r="I15" s="116"/>
      <c r="J15" s="116"/>
      <c r="M15" s="11">
        <f>C11</f>
        <v>255588750.28104901</v>
      </c>
      <c r="N15" s="11">
        <f>D11</f>
        <v>97947781.037006006</v>
      </c>
    </row>
    <row r="16" spans="2:14" x14ac:dyDescent="0.25">
      <c r="B16" s="74" t="s">
        <v>119</v>
      </c>
      <c r="C16" s="15">
        <v>1057120744.052097</v>
      </c>
      <c r="D16" s="15">
        <v>4590775.053998</v>
      </c>
      <c r="E16" s="15">
        <v>6540540.4800000004</v>
      </c>
      <c r="F16" s="15">
        <v>1068252059.586095</v>
      </c>
      <c r="H16" s="116"/>
      <c r="I16" s="116"/>
      <c r="J16" s="116"/>
      <c r="M16" s="11">
        <f>C24</f>
        <v>543443197.11157405</v>
      </c>
      <c r="N16" s="11">
        <f>D24</f>
        <v>51435436.009915002</v>
      </c>
    </row>
    <row r="17" spans="2:14" x14ac:dyDescent="0.25">
      <c r="B17" s="74" t="s">
        <v>121</v>
      </c>
      <c r="C17" s="15">
        <v>1234582198.8578351</v>
      </c>
      <c r="D17" s="15">
        <v>77414554.659632996</v>
      </c>
      <c r="E17" s="15">
        <v>1092317371.309963</v>
      </c>
      <c r="F17" s="15">
        <v>2404314124.8274312</v>
      </c>
      <c r="H17" s="116"/>
      <c r="I17" s="116"/>
      <c r="J17" s="116"/>
      <c r="M17" s="11">
        <f>C10</f>
        <v>323462813.98100299</v>
      </c>
      <c r="N17" s="11">
        <f>D10</f>
        <v>43479974.574698001</v>
      </c>
    </row>
    <row r="18" spans="2:14" x14ac:dyDescent="0.25">
      <c r="B18" s="74" t="s">
        <v>123</v>
      </c>
      <c r="C18" s="15">
        <v>204622031.07837099</v>
      </c>
      <c r="D18" s="15">
        <v>20527770.979789</v>
      </c>
      <c r="E18" s="15">
        <v>7372973.1399999997</v>
      </c>
      <c r="F18" s="15">
        <v>232522775.19815999</v>
      </c>
      <c r="H18" s="116"/>
      <c r="I18" s="116"/>
      <c r="J18" s="116"/>
      <c r="M18" s="11">
        <f>C27</f>
        <v>759812881.81265903</v>
      </c>
      <c r="N18" s="11">
        <f>D27</f>
        <v>233195319.11573201</v>
      </c>
    </row>
    <row r="19" spans="2:14" x14ac:dyDescent="0.25">
      <c r="B19" s="74" t="s">
        <v>124</v>
      </c>
      <c r="C19" s="15">
        <v>58660661.799989</v>
      </c>
      <c r="D19" s="15">
        <v>116870481.871911</v>
      </c>
      <c r="E19" s="15">
        <v>58475676.880000003</v>
      </c>
      <c r="F19" s="15">
        <v>234006820.5519</v>
      </c>
      <c r="H19" s="116"/>
      <c r="I19" s="116"/>
      <c r="J19" s="116"/>
      <c r="M19" s="11">
        <f>C18+C19</f>
        <v>263282692.87835997</v>
      </c>
      <c r="N19" s="11">
        <f>D18+D19</f>
        <v>137398252.85170001</v>
      </c>
    </row>
    <row r="20" spans="2:14" x14ac:dyDescent="0.25">
      <c r="B20" s="74" t="s">
        <v>172</v>
      </c>
      <c r="C20" s="15">
        <v>158373219.69999999</v>
      </c>
      <c r="D20" s="15" t="s">
        <v>168</v>
      </c>
      <c r="E20" s="15">
        <v>9909909.6400000006</v>
      </c>
      <c r="F20" s="15">
        <v>168283129.34</v>
      </c>
      <c r="H20" s="116"/>
      <c r="I20" s="116"/>
      <c r="J20" s="116"/>
      <c r="M20" s="14">
        <f>IFERROR(C31,0)+IFERROR(C36,0)</f>
        <v>31353000</v>
      </c>
      <c r="N20" s="10" t="s">
        <v>120</v>
      </c>
    </row>
    <row r="21" spans="2:14" x14ac:dyDescent="0.25">
      <c r="B21" s="74" t="s">
        <v>173</v>
      </c>
      <c r="C21" s="15">
        <v>271711599.33999997</v>
      </c>
      <c r="D21" s="15" t="s">
        <v>168</v>
      </c>
      <c r="E21" s="15">
        <v>11765765.439999999</v>
      </c>
      <c r="F21" s="15">
        <v>283477364.77999997</v>
      </c>
      <c r="H21" s="116"/>
      <c r="I21" s="116"/>
      <c r="J21" s="116"/>
      <c r="M21" s="14">
        <f>IFERROR(C34,0)+IFERROR(C35,0)+M20</f>
        <v>546265942.51302004</v>
      </c>
      <c r="N21" s="10" t="s">
        <v>122</v>
      </c>
    </row>
    <row r="22" spans="2:14" x14ac:dyDescent="0.25">
      <c r="B22" s="74" t="s">
        <v>125</v>
      </c>
      <c r="C22" s="15">
        <v>368481985.37154001</v>
      </c>
      <c r="D22" s="15">
        <v>51245941.173954003</v>
      </c>
      <c r="E22" s="15">
        <v>384702053.34988999</v>
      </c>
      <c r="F22" s="15">
        <v>804429979.89538395</v>
      </c>
      <c r="H22" s="116"/>
      <c r="I22" s="116"/>
      <c r="J22" s="116"/>
    </row>
    <row r="23" spans="2:14" x14ac:dyDescent="0.25">
      <c r="B23" s="74" t="s">
        <v>126</v>
      </c>
      <c r="C23" s="15">
        <v>403455704.93592501</v>
      </c>
      <c r="D23" s="15">
        <v>56637953.379945002</v>
      </c>
      <c r="E23" s="15">
        <v>256846764.08943701</v>
      </c>
      <c r="F23" s="15">
        <v>716940422.40530705</v>
      </c>
      <c r="H23" s="116"/>
      <c r="I23" s="116"/>
      <c r="J23" s="116"/>
    </row>
    <row r="24" spans="2:14" x14ac:dyDescent="0.25">
      <c r="B24" s="74" t="s">
        <v>127</v>
      </c>
      <c r="C24" s="15">
        <v>543443197.11157405</v>
      </c>
      <c r="D24" s="15">
        <v>51435436.009915002</v>
      </c>
      <c r="E24" s="15">
        <v>639332978.63924694</v>
      </c>
      <c r="F24" s="15">
        <v>1234211611.760736</v>
      </c>
      <c r="H24" s="116"/>
      <c r="I24" s="116"/>
      <c r="J24" s="116"/>
    </row>
    <row r="25" spans="2:14" x14ac:dyDescent="0.25">
      <c r="B25" s="74" t="s">
        <v>186</v>
      </c>
      <c r="C25" s="15">
        <v>235618127.26115799</v>
      </c>
      <c r="D25" s="15">
        <v>4897568.9099909998</v>
      </c>
      <c r="E25" s="15">
        <v>56620990.340000004</v>
      </c>
      <c r="F25" s="15">
        <v>297136686.51114899</v>
      </c>
      <c r="H25" s="116"/>
      <c r="I25" s="116"/>
      <c r="J25" s="116"/>
    </row>
    <row r="26" spans="2:14" x14ac:dyDescent="0.25">
      <c r="B26" s="74" t="s">
        <v>187</v>
      </c>
      <c r="C26" s="15">
        <v>113547316.43411</v>
      </c>
      <c r="D26" s="15">
        <v>92643530.076396003</v>
      </c>
      <c r="E26" s="15" t="s">
        <v>168</v>
      </c>
      <c r="F26" s="15">
        <v>206190846.510506</v>
      </c>
      <c r="H26" s="116"/>
      <c r="I26" s="116"/>
      <c r="J26" s="116"/>
    </row>
    <row r="27" spans="2:14" x14ac:dyDescent="0.25">
      <c r="B27" s="74" t="s">
        <v>128</v>
      </c>
      <c r="C27" s="15">
        <v>759812881.81265903</v>
      </c>
      <c r="D27" s="15">
        <v>233195319.11573201</v>
      </c>
      <c r="E27" s="15">
        <v>14280324.624</v>
      </c>
      <c r="F27" s="15">
        <v>1007288525.5523911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78">
        <v>193007517.51358399</v>
      </c>
      <c r="G32" s="116"/>
      <c r="H32" s="116"/>
      <c r="I32" s="116"/>
    </row>
    <row r="33" spans="2:19" x14ac:dyDescent="0.25">
      <c r="B33" s="84" t="s">
        <v>133</v>
      </c>
      <c r="C33" s="277">
        <v>585821629.74037194</v>
      </c>
      <c r="G33" s="116"/>
      <c r="H33" s="116"/>
      <c r="I33" s="116"/>
    </row>
    <row r="34" spans="2:19" x14ac:dyDescent="0.25">
      <c r="B34" s="84" t="s">
        <v>134</v>
      </c>
      <c r="C34" s="277">
        <v>108003242.935142</v>
      </c>
      <c r="G34" s="116"/>
      <c r="H34" s="116"/>
      <c r="I34" s="116"/>
    </row>
    <row r="35" spans="2:19" x14ac:dyDescent="0.25">
      <c r="B35" s="84" t="s">
        <v>135</v>
      </c>
      <c r="C35" s="277">
        <v>406909699.577878</v>
      </c>
      <c r="G35" s="116"/>
      <c r="H35" s="116"/>
      <c r="I35" s="116"/>
    </row>
    <row r="36" spans="2:19" x14ac:dyDescent="0.25">
      <c r="B36" s="84" t="s">
        <v>136</v>
      </c>
      <c r="C36" s="277">
        <v>31353000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s="205" customFormat="1" ht="27.95" customHeight="1" x14ac:dyDescent="0.25">
      <c r="B41" s="253" t="s">
        <v>192</v>
      </c>
      <c r="C41" s="254"/>
      <c r="D41" s="255"/>
      <c r="E41" s="67" t="s">
        <v>138</v>
      </c>
      <c r="F41" s="185">
        <f ca="1">IF(MONTH(TODAY())=7,DAY(TODAY())/DAY(EOMONTH(TODAY(),0)),IF(MONTH(TODAY())&gt;7,1,0))</f>
        <v>0.87096774193548387</v>
      </c>
      <c r="G41" s="206" t="s">
        <v>190</v>
      </c>
      <c r="H41" s="212">
        <v>0.9</v>
      </c>
      <c r="I41" s="207" t="s">
        <v>190</v>
      </c>
      <c r="J41" s="213">
        <v>0.95</v>
      </c>
      <c r="K41" s="208" t="s">
        <v>191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6623631358.6405678</v>
      </c>
      <c r="F43" s="187">
        <f>IFERROR(E43/D43,0)</f>
        <v>0.83338720790543019</v>
      </c>
      <c r="G43" s="209">
        <f>D43*$H$41-E43</f>
        <v>529428067.07235336</v>
      </c>
      <c r="H43" s="209">
        <f ca="1">IFERROR(G43/C3,0)</f>
        <v>105885613.41447067</v>
      </c>
      <c r="I43" s="210">
        <f>D43*$J$41-E43</f>
        <v>926820257.38973713</v>
      </c>
      <c r="J43" s="210">
        <f ca="1">IFERROR(I43/$C$3,0)</f>
        <v>185364051.47794741</v>
      </c>
      <c r="K43" s="211">
        <f>D43*$L$41-E43</f>
        <v>1324212447.7071218</v>
      </c>
      <c r="L43" s="211">
        <f ca="1">IFERROR(K43/$C$3,0)</f>
        <v>264842489.54142436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1050860023.4926021</v>
      </c>
      <c r="F44" s="187">
        <f>IFERROR(E44/D44,0)</f>
        <v>0.70874486970461448</v>
      </c>
      <c r="G44" s="197">
        <f>D44*$H$41-E44</f>
        <v>283575062.48906398</v>
      </c>
      <c r="H44" s="197">
        <f ca="1">IFERROR(G44/C3,0)</f>
        <v>56715012.497812793</v>
      </c>
      <c r="I44" s="193">
        <f>D44*$J$41-E44</f>
        <v>357710345.0436008</v>
      </c>
      <c r="J44" s="193">
        <f ca="1">IFERROR(I44/$C$3,0)</f>
        <v>71542069.00872016</v>
      </c>
      <c r="K44" s="198">
        <f>D44*$L$41-E44</f>
        <v>431845627.59813786</v>
      </c>
      <c r="L44" s="198">
        <f ca="1">IFERROR(K44/$C$3,0)</f>
        <v>86369125.519627571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1325095089.7669759</v>
      </c>
      <c r="F45" s="187">
        <f>IFERROR(E45/D45,0)</f>
        <v>0.71585596803503282</v>
      </c>
      <c r="G45" s="197">
        <f>D45*$H$41-E45</f>
        <v>340862357.04153514</v>
      </c>
      <c r="H45" s="197">
        <f ca="1">IFERROR(G45/C3,0)</f>
        <v>68172471.408307031</v>
      </c>
      <c r="I45" s="193">
        <f>D45*$J$41-E45</f>
        <v>433415548.53089666</v>
      </c>
      <c r="J45" s="193">
        <f ca="1">IFERROR(I45/$C$3,0)</f>
        <v>86683109.706179336</v>
      </c>
      <c r="K45" s="198">
        <f>D45*$L$41-E45</f>
        <v>525968740.02025843</v>
      </c>
      <c r="L45" s="198">
        <f ca="1">IFERROR(K45/$C$3,0)</f>
        <v>105193748.00405169</v>
      </c>
      <c r="S45" s="184">
        <v>0.9</v>
      </c>
    </row>
    <row r="46" spans="2:19" x14ac:dyDescent="0.25">
      <c r="B46" s="248" t="s">
        <v>146</v>
      </c>
      <c r="C46" s="249"/>
      <c r="D46" s="47">
        <f>D43+D44+D45</f>
        <v>11281613287.225662</v>
      </c>
      <c r="E46" s="47">
        <f>E43+E44+E45</f>
        <v>8999586471.9001465</v>
      </c>
      <c r="F46" s="188">
        <f>IFERROR(E46/D46,0)</f>
        <v>0.79772158846204311</v>
      </c>
      <c r="G46" s="194">
        <f>G43+G44+G45</f>
        <v>1153865486.6029525</v>
      </c>
      <c r="H46" s="194">
        <f ca="1">IFERROR(G46/C3,0)</f>
        <v>230773097.3205905</v>
      </c>
      <c r="I46" s="194">
        <f>I43+I44+I45</f>
        <v>1717946150.9642346</v>
      </c>
      <c r="J46" s="194">
        <f ca="1">IFERROR(I46/$C$3,0)</f>
        <v>343589230.19284689</v>
      </c>
      <c r="K46" s="199">
        <f>K43+K44+K45</f>
        <v>2282026815.3255181</v>
      </c>
      <c r="L46" s="199">
        <f ca="1">IFERROR(K46/$C$3,0)</f>
        <v>456405363.06510365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15.75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74" t="str">
        <f>"SELISIH"&amp;CHAR(10)&amp;TEXT($L$41,"0%")</f>
        <v>SELISIH
100%</v>
      </c>
      <c r="P49" s="274" t="str">
        <f>"PER HARI"&amp;CHAR(10)&amp;TEXT($L$41,"0%")</f>
        <v>PER HARI
100%</v>
      </c>
    </row>
    <row r="50" spans="2:16" ht="15.75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75"/>
      <c r="P50" s="275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368481985.37154001</v>
      </c>
      <c r="H51" s="119">
        <f>N8</f>
        <v>51245941.173954003</v>
      </c>
      <c r="I51" s="119">
        <f t="shared" ref="I51:I64" si="1">G51+H51</f>
        <v>419727926.54549402</v>
      </c>
      <c r="J51" s="200">
        <f t="shared" ref="J51:J64" si="2">IFERROR(I51/F51,0)</f>
        <v>0.73952286364725017</v>
      </c>
      <c r="K51" s="197">
        <f>F51*$H$41-I51</f>
        <v>91081343.134006381</v>
      </c>
      <c r="L51" s="197">
        <f ca="1">IFERROR(K51/$C$3,0)</f>
        <v>18216268.626801275</v>
      </c>
      <c r="M51" s="193">
        <f>F51*$J$41-I51</f>
        <v>119459635.89397866</v>
      </c>
      <c r="N51" s="193">
        <f ca="1">IFERROR(M51/$C$3,0)</f>
        <v>23891927.178795733</v>
      </c>
      <c r="O51" s="232">
        <f>F51*$L$41-I51</f>
        <v>147837928.65395087</v>
      </c>
      <c r="P51" s="232">
        <f ca="1">IFERROR(O51/$C$3,0)</f>
        <v>29567585.730790175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527271952.95196795</v>
      </c>
      <c r="H52" s="119">
        <f>N9</f>
        <v>140310163.131338</v>
      </c>
      <c r="I52" s="119">
        <f t="shared" si="1"/>
        <v>667582116.08330595</v>
      </c>
      <c r="J52" s="200">
        <f t="shared" si="2"/>
        <v>0.79595139220689848</v>
      </c>
      <c r="K52" s="197">
        <f t="shared" ref="K52:K64" si="3">F52*$H$41-I52</f>
        <v>87267878.976188898</v>
      </c>
      <c r="L52" s="197">
        <f t="shared" ref="L52:L64" ca="1" si="4">IFERROR(K52/$C$3,0)</f>
        <v>17453575.79523778</v>
      </c>
      <c r="M52" s="193">
        <f t="shared" ref="M52:M64" si="5">F52*$J$41-I52</f>
        <v>129203989.81282735</v>
      </c>
      <c r="N52" s="193">
        <f t="shared" ref="N52:N64" ca="1" si="6">IFERROR(M52/$C$3,0)</f>
        <v>25840797.96256547</v>
      </c>
      <c r="O52" s="232">
        <f t="shared" ref="O52:O64" si="7">F52*$L$41-I52</f>
        <v>171140100.64946604</v>
      </c>
      <c r="P52" s="232">
        <f t="shared" ref="P52:P64" ca="1" si="8">IFERROR(O52/$C$3,0)</f>
        <v>34228020.129893206</v>
      </c>
    </row>
    <row r="53" spans="2:16" x14ac:dyDescent="0.25">
      <c r="B53" s="145" t="s">
        <v>175</v>
      </c>
      <c r="C53" s="146" t="s">
        <v>176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158373219.69999999</v>
      </c>
      <c r="H53" s="119">
        <f>IF(D20="",0,D20)</f>
        <v>0</v>
      </c>
      <c r="I53" s="119">
        <f>G53+H53</f>
        <v>158373219.69999999</v>
      </c>
      <c r="J53" s="200">
        <f>IFERROR(I53/F53,0)</f>
        <v>0.63615052794496962</v>
      </c>
      <c r="K53" s="197">
        <f t="shared" si="3"/>
        <v>65686796.709088147</v>
      </c>
      <c r="L53" s="197">
        <f t="shared" ca="1" si="4"/>
        <v>13137359.341817629</v>
      </c>
      <c r="M53" s="193">
        <f t="shared" si="5"/>
        <v>78134575.398481935</v>
      </c>
      <c r="N53" s="193">
        <f t="shared" ca="1" si="6"/>
        <v>15626915.079696387</v>
      </c>
      <c r="O53" s="232">
        <f t="shared" si="7"/>
        <v>90582354.087875724</v>
      </c>
      <c r="P53" s="232">
        <f t="shared" ca="1" si="8"/>
        <v>18116470.817575146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852570988.24464798</v>
      </c>
      <c r="H54" s="119">
        <f t="shared" ref="H54:H58" si="9">N10</f>
        <v>25048158.472293999</v>
      </c>
      <c r="I54" s="119">
        <f t="shared" si="1"/>
        <v>877619146.71694195</v>
      </c>
      <c r="J54" s="200">
        <f t="shared" si="2"/>
        <v>1.1253401009875055</v>
      </c>
      <c r="K54" s="197">
        <f t="shared" si="3"/>
        <v>-175736017.02829552</v>
      </c>
      <c r="L54" s="197">
        <f t="shared" ca="1" si="4"/>
        <v>-35147203.405659102</v>
      </c>
      <c r="M54" s="193">
        <f t="shared" si="5"/>
        <v>-136742509.8233707</v>
      </c>
      <c r="N54" s="193">
        <f t="shared" ca="1" si="6"/>
        <v>-27348501.964674138</v>
      </c>
      <c r="O54" s="232">
        <f t="shared" si="7"/>
        <v>-97749002.618445873</v>
      </c>
      <c r="P54" s="232">
        <f t="shared" ca="1" si="8"/>
        <v>-19549800.523689173</v>
      </c>
    </row>
    <row r="55" spans="2:16" x14ac:dyDescent="0.25">
      <c r="B55" s="50" t="s">
        <v>73</v>
      </c>
      <c r="C55" s="55" t="s">
        <v>184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312427929.47873902</v>
      </c>
      <c r="H55" s="119">
        <f t="shared" si="9"/>
        <v>39205390.100000001</v>
      </c>
      <c r="I55" s="119">
        <f t="shared" si="1"/>
        <v>351633319.57873905</v>
      </c>
      <c r="J55" s="200">
        <f t="shared" si="2"/>
        <v>0.63632719386737024</v>
      </c>
      <c r="K55" s="197">
        <f t="shared" si="3"/>
        <v>145705141.94051987</v>
      </c>
      <c r="L55" s="197">
        <f t="shared" ca="1" si="4"/>
        <v>29141028.388103973</v>
      </c>
      <c r="M55" s="193">
        <f t="shared" si="5"/>
        <v>173335056.46936756</v>
      </c>
      <c r="N55" s="193">
        <f t="shared" ca="1" si="6"/>
        <v>34667011.293873511</v>
      </c>
      <c r="O55" s="232">
        <f t="shared" si="7"/>
        <v>200964970.99821532</v>
      </c>
      <c r="P55" s="232">
        <f t="shared" ca="1" si="8"/>
        <v>40192994.199643061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349165443.69526798</v>
      </c>
      <c r="H56" s="119">
        <f t="shared" si="9"/>
        <v>97541098.986386999</v>
      </c>
      <c r="I56" s="119">
        <f t="shared" si="1"/>
        <v>446706542.68165499</v>
      </c>
      <c r="J56" s="200">
        <f t="shared" si="2"/>
        <v>0.71115271721335838</v>
      </c>
      <c r="K56" s="197">
        <f t="shared" si="3"/>
        <v>118623348.74990886</v>
      </c>
      <c r="L56" s="197">
        <f t="shared" ca="1" si="4"/>
        <v>23724669.749981772</v>
      </c>
      <c r="M56" s="193">
        <f t="shared" si="5"/>
        <v>150030564.94055122</v>
      </c>
      <c r="N56" s="193">
        <f t="shared" ca="1" si="6"/>
        <v>30006112.988110244</v>
      </c>
      <c r="O56" s="232">
        <f t="shared" si="7"/>
        <v>181437781.1311937</v>
      </c>
      <c r="P56" s="232">
        <f t="shared" ca="1" si="8"/>
        <v>36287556.226238742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1234582198.8578351</v>
      </c>
      <c r="H57" s="119">
        <f t="shared" si="9"/>
        <v>77414554.659632996</v>
      </c>
      <c r="I57" s="119">
        <f t="shared" si="1"/>
        <v>1311996753.517468</v>
      </c>
      <c r="J57" s="200">
        <f t="shared" si="2"/>
        <v>1.1287135391694756</v>
      </c>
      <c r="K57" s="197">
        <f t="shared" si="3"/>
        <v>-265852592.76382864</v>
      </c>
      <c r="L57" s="197">
        <f t="shared" ca="1" si="4"/>
        <v>-53170518.552765727</v>
      </c>
      <c r="M57" s="193">
        <f t="shared" si="5"/>
        <v>-207733472.72195983</v>
      </c>
      <c r="N57" s="193">
        <f t="shared" ca="1" si="6"/>
        <v>-41546694.544391967</v>
      </c>
      <c r="O57" s="232">
        <f t="shared" si="7"/>
        <v>-149614352.6800909</v>
      </c>
      <c r="P57" s="232">
        <f t="shared" ca="1" si="8"/>
        <v>-29922870.536018182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403455704.93592501</v>
      </c>
      <c r="H58" s="119">
        <f t="shared" si="9"/>
        <v>56637953.379945002</v>
      </c>
      <c r="I58" s="119">
        <f>G58+H58</f>
        <v>460093658.31586999</v>
      </c>
      <c r="J58" s="200">
        <f>IFERROR(I58/F58,0)</f>
        <v>0.68899069412995462</v>
      </c>
      <c r="K58" s="197">
        <f t="shared" si="3"/>
        <v>140907626.62482339</v>
      </c>
      <c r="L58" s="197">
        <f t="shared" ca="1" si="4"/>
        <v>28181525.32496468</v>
      </c>
      <c r="M58" s="193">
        <f t="shared" si="5"/>
        <v>174296586.89930636</v>
      </c>
      <c r="N58" s="193">
        <f t="shared" ca="1" si="6"/>
        <v>34859317.379861273</v>
      </c>
      <c r="O58" s="232">
        <f t="shared" si="7"/>
        <v>207685547.17378932</v>
      </c>
      <c r="P58" s="232">
        <f t="shared" ca="1" si="8"/>
        <v>41537109.434757866</v>
      </c>
    </row>
    <row r="59" spans="2:16" x14ac:dyDescent="0.25">
      <c r="B59" s="145" t="s">
        <v>175</v>
      </c>
      <c r="C59" s="146" t="s">
        <v>177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271711599.33999997</v>
      </c>
      <c r="H59" s="119">
        <f>IF(D21="",0,D21)</f>
        <v>0</v>
      </c>
      <c r="I59" s="119">
        <f>G59+H59</f>
        <v>271711599.33999997</v>
      </c>
      <c r="J59" s="200">
        <f>IFERROR(I59/F59,0)</f>
        <v>0.63210914260931805</v>
      </c>
      <c r="K59" s="197">
        <f t="shared" si="3"/>
        <v>115152666.53115648</v>
      </c>
      <c r="L59" s="197">
        <f t="shared" ca="1" si="4"/>
        <v>23030533.306231298</v>
      </c>
      <c r="M59" s="193">
        <f t="shared" si="5"/>
        <v>136645125.74622071</v>
      </c>
      <c r="N59" s="193">
        <f t="shared" ca="1" si="6"/>
        <v>27329025.149244141</v>
      </c>
      <c r="O59" s="232">
        <f t="shared" si="7"/>
        <v>158137584.961285</v>
      </c>
      <c r="P59" s="232">
        <f t="shared" ca="1" si="8"/>
        <v>31627516.992256999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255588750.28104901</v>
      </c>
      <c r="H60" s="119">
        <f t="shared" ref="H60:H64" si="10">N15</f>
        <v>97947781.037006006</v>
      </c>
      <c r="I60" s="119">
        <f t="shared" si="1"/>
        <v>353536531.31805503</v>
      </c>
      <c r="J60" s="200">
        <f t="shared" si="2"/>
        <v>0.55905308715537205</v>
      </c>
      <c r="K60" s="197">
        <f t="shared" si="3"/>
        <v>215609557.84005773</v>
      </c>
      <c r="L60" s="197">
        <f t="shared" ca="1" si="4"/>
        <v>43121911.568011545</v>
      </c>
      <c r="M60" s="193">
        <f t="shared" si="5"/>
        <v>247228785.01550841</v>
      </c>
      <c r="N60" s="193">
        <f t="shared" ca="1" si="6"/>
        <v>49445757.003101684</v>
      </c>
      <c r="O60" s="232">
        <f t="shared" si="7"/>
        <v>278848012.1909591</v>
      </c>
      <c r="P60" s="232">
        <f t="shared" ca="1" si="8"/>
        <v>55769602.438191816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543443197.11157405</v>
      </c>
      <c r="H61" s="119">
        <f t="shared" si="10"/>
        <v>51435436.009915002</v>
      </c>
      <c r="I61" s="119">
        <f t="shared" si="1"/>
        <v>594878633.12148905</v>
      </c>
      <c r="J61" s="200">
        <f t="shared" si="2"/>
        <v>0.77277927041810934</v>
      </c>
      <c r="K61" s="197">
        <f t="shared" si="3"/>
        <v>97933390.057741642</v>
      </c>
      <c r="L61" s="197">
        <f t="shared" ca="1" si="4"/>
        <v>19586678.011548329</v>
      </c>
      <c r="M61" s="193">
        <f t="shared" si="5"/>
        <v>136422946.90103221</v>
      </c>
      <c r="N61" s="193">
        <f t="shared" ca="1" si="6"/>
        <v>27284589.380206443</v>
      </c>
      <c r="O61" s="232">
        <f t="shared" si="7"/>
        <v>174912503.74432278</v>
      </c>
      <c r="P61" s="232">
        <f t="shared" ca="1" si="8"/>
        <v>34982500.748864554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323462813.98100299</v>
      </c>
      <c r="H62" s="119">
        <f t="shared" si="10"/>
        <v>43479974.574698001</v>
      </c>
      <c r="I62" s="119">
        <f t="shared" si="1"/>
        <v>366942788.55570102</v>
      </c>
      <c r="J62" s="200">
        <f t="shared" si="2"/>
        <v>0.69205553581310519</v>
      </c>
      <c r="K62" s="197">
        <f t="shared" si="3"/>
        <v>110256645.0303877</v>
      </c>
      <c r="L62" s="197">
        <f t="shared" ca="1" si="4"/>
        <v>22051329.006077539</v>
      </c>
      <c r="M62" s="193">
        <f t="shared" si="5"/>
        <v>136767724.67405927</v>
      </c>
      <c r="N62" s="193">
        <f t="shared" ca="1" si="6"/>
        <v>27353544.934811853</v>
      </c>
      <c r="O62" s="232">
        <f t="shared" si="7"/>
        <v>163278804.3177309</v>
      </c>
      <c r="P62" s="232">
        <f t="shared" ca="1" si="8"/>
        <v>32655760.863546181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759812881.81265903</v>
      </c>
      <c r="H63" s="119">
        <f t="shared" si="10"/>
        <v>233195319.11573201</v>
      </c>
      <c r="I63" s="119">
        <f t="shared" si="1"/>
        <v>993008200.92839098</v>
      </c>
      <c r="J63" s="200">
        <f t="shared" si="2"/>
        <v>0.96205659613143413</v>
      </c>
      <c r="K63" s="197">
        <f t="shared" si="3"/>
        <v>-64053101.582597852</v>
      </c>
      <c r="L63" s="197">
        <f t="shared" ca="1" si="4"/>
        <v>-12810620.31651957</v>
      </c>
      <c r="M63" s="193">
        <f t="shared" si="5"/>
        <v>-12444484.952276111</v>
      </c>
      <c r="N63" s="193">
        <f t="shared" ca="1" si="6"/>
        <v>-2488896.9904552223</v>
      </c>
      <c r="O63" s="232">
        <f t="shared" si="7"/>
        <v>39164131.67804575</v>
      </c>
      <c r="P63" s="232">
        <f t="shared" ca="1" si="8"/>
        <v>7832826.3356091501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263282692.87835997</v>
      </c>
      <c r="H64" s="119">
        <f t="shared" si="10"/>
        <v>137398252.85170001</v>
      </c>
      <c r="I64" s="119">
        <f t="shared" si="1"/>
        <v>400680945.73005998</v>
      </c>
      <c r="J64" s="200">
        <f t="shared" si="2"/>
        <v>0.67899059806444761</v>
      </c>
      <c r="K64" s="197">
        <f t="shared" si="3"/>
        <v>130420445.34225911</v>
      </c>
      <c r="L64" s="197">
        <f t="shared" ca="1" si="4"/>
        <v>26084089.068451822</v>
      </c>
      <c r="M64" s="193">
        <f t="shared" si="5"/>
        <v>159926078.17961013</v>
      </c>
      <c r="N64" s="193">
        <f t="shared" ca="1" si="6"/>
        <v>31985215.635922026</v>
      </c>
      <c r="O64" s="232">
        <f t="shared" si="7"/>
        <v>189431711.01696122</v>
      </c>
      <c r="P64" s="232">
        <f t="shared" ca="1" si="8"/>
        <v>37886342.203392245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6623631358.6405678</v>
      </c>
      <c r="H65" s="144">
        <f>SUM(H51:H64)</f>
        <v>1050860023.4926021</v>
      </c>
      <c r="I65" s="144">
        <f>SUM(I51:I64)</f>
        <v>7674491382.1331701</v>
      </c>
      <c r="J65" s="203">
        <f>IFERROR(I65/F65,0)</f>
        <v>0.81379048132554455</v>
      </c>
      <c r="K65" s="194">
        <f>SUM(K51:K64)</f>
        <v>813003129.56141615</v>
      </c>
      <c r="L65" s="194">
        <f ca="1">IFERROR(K65/$C$3,0)</f>
        <v>162600625.91228324</v>
      </c>
      <c r="M65" s="194">
        <f>SUM(M51:M64)</f>
        <v>1284530602.4333372</v>
      </c>
      <c r="N65" s="194">
        <f ca="1">IFERROR(M65/$C$3,0)</f>
        <v>256906120.48666745</v>
      </c>
      <c r="O65" s="194">
        <f>SUM(O51:O64)</f>
        <v>1756058075.3052588</v>
      </c>
      <c r="P65" s="194">
        <f ca="1">IFERROR(O65/$C$3,0)</f>
        <v>351211615.06105173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6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193007517.51358399</v>
      </c>
      <c r="F69" s="200">
        <f t="shared" ref="F69:F74" si="12">IFERROR(E69/D69,0)</f>
        <v>0.65842101038959033</v>
      </c>
      <c r="G69" s="197">
        <f>D69*$H$41-E69</f>
        <v>70815724.790671468</v>
      </c>
      <c r="H69" s="197">
        <f ca="1">IFERROR(G69/C3,0)</f>
        <v>14163144.958134294</v>
      </c>
      <c r="I69" s="193">
        <f>D69*$J$41-E69</f>
        <v>85472571.585352272</v>
      </c>
      <c r="J69" s="193">
        <f t="shared" ref="J69:J74" ca="1" si="13">IFERROR(I69/$C$3,0)</f>
        <v>17094514.317070454</v>
      </c>
      <c r="K69" s="198">
        <f>D69*$L$41-E69</f>
        <v>100129418.38003317</v>
      </c>
      <c r="L69" s="198">
        <f t="shared" ref="L69:L74" ca="1" si="14">IFERROR(K69/$C$3,0)</f>
        <v>20025883.676006634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585821629.74037194</v>
      </c>
      <c r="F70" s="200">
        <f t="shared" si="12"/>
        <v>1.3422796317839198</v>
      </c>
      <c r="G70" s="197">
        <f>D70*$H$41-E70</f>
        <v>-193027569.33611649</v>
      </c>
      <c r="H70" s="197">
        <f ca="1">IFERROR(G70/C3,0)</f>
        <v>-38605513.8672233</v>
      </c>
      <c r="I70" s="193">
        <f>D70*$J$41-E70</f>
        <v>-171205677.09143567</v>
      </c>
      <c r="J70" s="193">
        <f t="shared" ca="1" si="13"/>
        <v>-34241135.418287136</v>
      </c>
      <c r="K70" s="198">
        <f>D70*$L$41-E70</f>
        <v>-149383784.84675479</v>
      </c>
      <c r="L70" s="198">
        <f t="shared" ca="1" si="14"/>
        <v>-29876756.969350956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546265942.51302004</v>
      </c>
      <c r="F71" s="200">
        <f t="shared" si="12"/>
        <v>0.48708985879096178</v>
      </c>
      <c r="G71" s="197">
        <f>D71*$H$41-E71</f>
        <v>463074201.58697999</v>
      </c>
      <c r="H71" s="197">
        <f ca="1">IFERROR(G71/C3,0)</f>
        <v>92614840.317396</v>
      </c>
      <c r="I71" s="193">
        <f>D71*$J$41-E71</f>
        <v>519148654.03697991</v>
      </c>
      <c r="J71" s="193">
        <f t="shared" ca="1" si="13"/>
        <v>103829730.80739598</v>
      </c>
      <c r="K71" s="198">
        <f>D71*$L$41-E71</f>
        <v>575223106.48697996</v>
      </c>
      <c r="L71" s="198">
        <f t="shared" ca="1" si="14"/>
        <v>115044621.29739599</v>
      </c>
    </row>
    <row r="72" spans="2:16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1325095089.7669759</v>
      </c>
      <c r="F74" s="188">
        <f t="shared" si="12"/>
        <v>0.71585596803503282</v>
      </c>
      <c r="G74" s="194">
        <f>SUM(G69:G73)</f>
        <v>340862357.04153496</v>
      </c>
      <c r="H74" s="194">
        <f ca="1">IFERROR(G74/C3,0)</f>
        <v>68172471.408306986</v>
      </c>
      <c r="I74" s="194">
        <f>SUM(I69:I73)</f>
        <v>433415548.53089654</v>
      </c>
      <c r="J74" s="194">
        <f t="shared" ca="1" si="13"/>
        <v>86683109.706179306</v>
      </c>
      <c r="K74" s="199">
        <f>SUM(K69:K73)</f>
        <v>525968740.02025831</v>
      </c>
      <c r="L74" s="199">
        <f t="shared" ca="1" si="14"/>
        <v>105193748.00405166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0" t="s">
        <v>41</v>
      </c>
      <c r="C78" s="250" t="s">
        <v>42</v>
      </c>
      <c r="D78" s="126" t="s">
        <v>139</v>
      </c>
    </row>
    <row r="79" spans="2:16" ht="15.75" x14ac:dyDescent="0.25">
      <c r="B79" s="250"/>
      <c r="C79" s="250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384702053.34988999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96730493.900000006</v>
      </c>
    </row>
    <row r="82" spans="2:4" x14ac:dyDescent="0.25">
      <c r="B82" s="53" t="s">
        <v>175</v>
      </c>
      <c r="C82" s="56" t="s">
        <v>176</v>
      </c>
      <c r="D82" s="140">
        <f>IF(E20="",0,E20)</f>
        <v>9909909.6400000006</v>
      </c>
    </row>
    <row r="83" spans="2:4" x14ac:dyDescent="0.25">
      <c r="B83" s="50" t="s">
        <v>71</v>
      </c>
      <c r="C83" s="55" t="s">
        <v>72</v>
      </c>
      <c r="D83" s="140">
        <f>IF(E15="",0,E15)</f>
        <v>330634475.89999998</v>
      </c>
    </row>
    <row r="84" spans="2:4" x14ac:dyDescent="0.25">
      <c r="B84" s="53" t="s">
        <v>73</v>
      </c>
      <c r="C84" s="56" t="s">
        <v>184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56620990.340000004</v>
      </c>
    </row>
    <row r="86" spans="2:4" x14ac:dyDescent="0.25">
      <c r="B86" s="53" t="s">
        <v>76</v>
      </c>
      <c r="C86" s="56" t="s">
        <v>77</v>
      </c>
      <c r="D86" s="140">
        <f>IF(E17="",0,E17)</f>
        <v>1092317371.309963</v>
      </c>
    </row>
    <row r="87" spans="2:4" x14ac:dyDescent="0.25">
      <c r="B87" s="50" t="s">
        <v>78</v>
      </c>
      <c r="C87" s="55" t="s">
        <v>79</v>
      </c>
      <c r="D87" s="140">
        <f>IF(E23="",0,E23)</f>
        <v>256846764.08943701</v>
      </c>
    </row>
    <row r="88" spans="2:4" x14ac:dyDescent="0.25">
      <c r="B88" s="53" t="s">
        <v>175</v>
      </c>
      <c r="C88" s="56" t="s">
        <v>177</v>
      </c>
      <c r="D88" s="140">
        <f>IF(E21="",0,E21)</f>
        <v>11765765.439999999</v>
      </c>
    </row>
    <row r="89" spans="2:4" x14ac:dyDescent="0.25">
      <c r="B89" s="53" t="s">
        <v>80</v>
      </c>
      <c r="C89" s="56" t="s">
        <v>81</v>
      </c>
      <c r="D89" s="140">
        <f>IF(E11="",0,E11)</f>
        <v>68988371.920000002</v>
      </c>
    </row>
    <row r="90" spans="2:4" x14ac:dyDescent="0.25">
      <c r="B90" s="50" t="s">
        <v>82</v>
      </c>
      <c r="C90" s="55" t="s">
        <v>83</v>
      </c>
      <c r="D90" s="140">
        <f>IF(E24="",0,E24)</f>
        <v>639332978.63924694</v>
      </c>
    </row>
    <row r="91" spans="2:4" x14ac:dyDescent="0.25">
      <c r="B91" s="53" t="s">
        <v>84</v>
      </c>
      <c r="C91" s="56" t="s">
        <v>85</v>
      </c>
      <c r="D91" s="140">
        <f>IF(E10="",0,E10)</f>
        <v>140904594.69</v>
      </c>
    </row>
    <row r="92" spans="2:4" x14ac:dyDescent="0.25">
      <c r="B92" s="50" t="s">
        <v>86</v>
      </c>
      <c r="C92" s="55" t="s">
        <v>87</v>
      </c>
      <c r="D92" s="140">
        <f>IF(E27="",0,E27)</f>
        <v>14280324.624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65848650.020000003</v>
      </c>
    </row>
    <row r="94" spans="2:4" x14ac:dyDescent="0.25">
      <c r="B94" s="57" t="s">
        <v>152</v>
      </c>
      <c r="C94" s="58"/>
      <c r="D94" s="125">
        <f>SUM(D80:D93)</f>
        <v>3168882743.8625374</v>
      </c>
    </row>
  </sheetData>
  <mergeCells count="17">
    <mergeCell ref="K48:P48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  <mergeCell ref="P49:P50"/>
    <mergeCell ref="O49:O50"/>
    <mergeCell ref="K49:K50"/>
    <mergeCell ref="L49:L50"/>
    <mergeCell ref="M49:M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H38" sqref="H3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53" t="s">
        <v>162</v>
      </c>
      <c r="C41" s="254"/>
      <c r="D41" s="255"/>
      <c r="E41" s="67" t="s">
        <v>138</v>
      </c>
      <c r="F41" s="185">
        <f ca="1">IF(MONTH(TODAY())=8,DAY(TODAY())/DAY(EOMONTH(TODAY(),0)),IF(MONTH(TODAY())&gt;8,1,0))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8" t="s">
        <v>146</v>
      </c>
      <c r="C46" s="24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15.75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51" t="str">
        <f>"SELISIH"&amp;CHAR(10)&amp;TEXT($L$41,"0%")</f>
        <v>SELISIH
100%</v>
      </c>
      <c r="P49" s="251" t="str">
        <f>"PER HARI"&amp;CHAR(10)&amp;TEXT($L$41,"0%")</f>
        <v>PER HARI
100%</v>
      </c>
    </row>
    <row r="50" spans="2:16" ht="15.75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52"/>
      <c r="P50" s="252"/>
    </row>
    <row r="51" spans="2:16" x14ac:dyDescent="0.25">
      <c r="B51" s="50" t="s">
        <v>67</v>
      </c>
      <c r="C51" s="55" t="s">
        <v>68</v>
      </c>
      <c r="D51" s="123">
        <f>TARGETS!R5</f>
        <v>0</v>
      </c>
      <c r="E51" s="123">
        <f>TARGETS!S5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TARGETS!R6</f>
        <v>0</v>
      </c>
      <c r="E52" s="124">
        <f>TARGETS!S6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x14ac:dyDescent="0.25">
      <c r="B53" s="145" t="s">
        <v>175</v>
      </c>
      <c r="C53" s="146" t="s">
        <v>176</v>
      </c>
      <c r="D53" s="147">
        <f>TARGETS!R7</f>
        <v>0</v>
      </c>
      <c r="E53" s="147">
        <f>TARGETS!S7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TARGETS!R8</f>
        <v>0</v>
      </c>
      <c r="E54" s="124">
        <f>TARGETS!S8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TARGETS!R9</f>
        <v>0</v>
      </c>
      <c r="E55" s="123">
        <f>TARGETS!S9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TARGETS!R10</f>
        <v>0</v>
      </c>
      <c r="E56" s="124">
        <f>TARGETS!S10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TARGETS!R11</f>
        <v>0</v>
      </c>
      <c r="E57" s="123">
        <f>TARGETS!S11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TARGETS!R12</f>
        <v>0</v>
      </c>
      <c r="E58" s="124">
        <f>TARGETS!S12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TARGETS!R13</f>
        <v>0</v>
      </c>
      <c r="E59" s="147">
        <f>TARGETS!S13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TARGETS!R14</f>
        <v>0</v>
      </c>
      <c r="E60" s="124">
        <f>TARGETS!S14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TARGETS!R15</f>
        <v>0</v>
      </c>
      <c r="E61" s="123">
        <f>TARGETS!S15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x14ac:dyDescent="0.25">
      <c r="B62" s="53" t="s">
        <v>84</v>
      </c>
      <c r="C62" s="56" t="s">
        <v>85</v>
      </c>
      <c r="D62" s="124">
        <f>TARGETS!R16</f>
        <v>0</v>
      </c>
      <c r="E62" s="124">
        <f>TARGETS!S16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TARGETS!R17</f>
        <v>0</v>
      </c>
      <c r="E63" s="123">
        <f>TARGETS!S17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TARGETS!R18</f>
        <v>0</v>
      </c>
      <c r="E64" s="124">
        <f>TARGETS!S18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3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TARGETS!K23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TARGETS!K24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0" t="s">
        <v>41</v>
      </c>
      <c r="C78" s="250" t="s">
        <v>42</v>
      </c>
      <c r="D78" s="126" t="s">
        <v>139</v>
      </c>
    </row>
    <row r="79" spans="2:16" ht="15.75" x14ac:dyDescent="0.25">
      <c r="B79" s="250"/>
      <c r="C79" s="250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188</v>
      </c>
    </row>
    <row r="41" spans="2:19" ht="18.75" x14ac:dyDescent="0.25">
      <c r="B41" s="253" t="s">
        <v>164</v>
      </c>
      <c r="C41" s="254"/>
      <c r="D41" s="255"/>
      <c r="E41" s="67" t="s">
        <v>138</v>
      </c>
      <c r="F41" s="185">
        <f ca="1">IF(MONTH(TODAY())=9,DAY(TODAY())/DAY(EOMONTH(TODAY(),0)),IF(MONTH(TODAY())&gt;9,1,0))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8" t="s">
        <v>146</v>
      </c>
      <c r="C46" s="24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15.75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51" t="str">
        <f>"SELISIH"&amp;CHAR(10)&amp;TEXT($L$41,"0%")</f>
        <v>SELISIH
100%</v>
      </c>
      <c r="P49" s="251" t="str">
        <f>"PER HARI"&amp;CHAR(10)&amp;TEXT($L$41,"0%")</f>
        <v>PER HARI
100%</v>
      </c>
    </row>
    <row r="50" spans="2:16" ht="15.75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52"/>
      <c r="P50" s="252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3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0" t="s">
        <v>41</v>
      </c>
      <c r="C78" s="250" t="s">
        <v>42</v>
      </c>
      <c r="D78" s="126" t="s">
        <v>139</v>
      </c>
    </row>
    <row r="79" spans="2:16" ht="15.75" x14ac:dyDescent="0.25">
      <c r="B79" s="250"/>
      <c r="C79" s="250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3" t="s">
        <v>166</v>
      </c>
      <c r="C41" s="254"/>
      <c r="D41" s="255"/>
      <c r="E41" s="67" t="s">
        <v>138</v>
      </c>
      <c r="F41" s="185">
        <f ca="1">IF(MONTH(TODAY())=10,DAY(TODAY())/DAY(EOMONTH(TODAY(),0)),IF(MONTH(TODAY())&gt;10,1,0))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8" t="s">
        <v>146</v>
      </c>
      <c r="C46" s="24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33.950000000000003" customHeight="1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51" t="str">
        <f>"SELISIH"&amp;CHAR(10)&amp;TEXT($L$41,"0%")</f>
        <v>SELISIH
100%</v>
      </c>
      <c r="P49" s="251" t="str">
        <f>"PER HARI"&amp;CHAR(10)&amp;TEXT($L$41,"0%")</f>
        <v>PER HARI
100%</v>
      </c>
    </row>
    <row r="50" spans="2:16" ht="51" customHeight="1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52"/>
      <c r="P50" s="252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3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0" t="s">
        <v>41</v>
      </c>
      <c r="C78" s="250" t="s">
        <v>42</v>
      </c>
      <c r="D78" s="126" t="s">
        <v>139</v>
      </c>
    </row>
    <row r="79" spans="2:16" ht="15.75" x14ac:dyDescent="0.25">
      <c r="B79" s="250"/>
      <c r="C79" s="250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3" t="s">
        <v>178</v>
      </c>
      <c r="C41" s="254"/>
      <c r="D41" s="255"/>
      <c r="E41" s="67" t="s">
        <v>138</v>
      </c>
      <c r="F41" s="185">
        <f ca="1">IF(MONTH(TODAY())=11,DAY(TODAY())/DAY(EOMONTH(TODAY(),0)),IF(MONTH(TODAY())&gt;11,1,0))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8" t="s">
        <v>146</v>
      </c>
      <c r="C46" s="24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33.950000000000003" customHeight="1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51" t="str">
        <f>"SELISIH"&amp;CHAR(10)&amp;TEXT($L$41,"0%")</f>
        <v>SELISIH
100%</v>
      </c>
      <c r="P49" s="251" t="str">
        <f>"PER HARI"&amp;CHAR(10)&amp;TEXT($L$41,"0%")</f>
        <v>PER HARI
100%</v>
      </c>
    </row>
    <row r="50" spans="2:16" ht="51" customHeight="1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52"/>
      <c r="P50" s="252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3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0" t="s">
        <v>41</v>
      </c>
      <c r="C78" s="250" t="s">
        <v>42</v>
      </c>
      <c r="D78" s="126" t="s">
        <v>139</v>
      </c>
    </row>
    <row r="79" spans="2:16" ht="15.75" x14ac:dyDescent="0.25">
      <c r="B79" s="250"/>
      <c r="C79" s="250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188</v>
      </c>
    </row>
    <row r="41" spans="2:19" ht="27.95" customHeight="1" x14ac:dyDescent="0.25">
      <c r="B41" s="253" t="s">
        <v>180</v>
      </c>
      <c r="C41" s="254"/>
      <c r="D41" s="255"/>
      <c r="E41" s="67" t="s">
        <v>138</v>
      </c>
      <c r="F41" s="185">
        <f ca="1">IF(MONTH(TODAY())=12,DAY(TODAY())/DAY(EOMONTH(TODAY(),0)),IF(MONTH(TODAY())&gt;12,1,0))</f>
        <v>0</v>
      </c>
      <c r="G41" s="206" t="s">
        <v>190</v>
      </c>
      <c r="H41" s="212">
        <v>0.9</v>
      </c>
      <c r="I41" s="215" t="s">
        <v>190</v>
      </c>
      <c r="J41" s="213">
        <v>0.95</v>
      </c>
      <c r="K41" s="208" t="s">
        <v>191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8" t="s">
        <v>146</v>
      </c>
      <c r="C46" s="249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6" t="s">
        <v>147</v>
      </c>
      <c r="C48" s="257"/>
      <c r="D48" s="257"/>
      <c r="E48" s="257"/>
      <c r="F48" s="257"/>
      <c r="G48" s="257"/>
      <c r="H48" s="257"/>
      <c r="I48" s="257"/>
      <c r="J48" s="257"/>
      <c r="K48" s="262" t="s">
        <v>189</v>
      </c>
      <c r="L48" s="263"/>
      <c r="M48" s="263"/>
      <c r="N48" s="263"/>
      <c r="O48" s="263"/>
      <c r="P48" s="264"/>
    </row>
    <row r="49" spans="2:16" ht="33.950000000000003" customHeight="1" x14ac:dyDescent="0.25">
      <c r="B49" s="250" t="s">
        <v>41</v>
      </c>
      <c r="C49" s="250" t="s">
        <v>42</v>
      </c>
      <c r="D49" s="245" t="s">
        <v>138</v>
      </c>
      <c r="E49" s="246"/>
      <c r="F49" s="247"/>
      <c r="G49" s="117" t="s">
        <v>139</v>
      </c>
      <c r="H49" s="117"/>
      <c r="I49" s="117"/>
      <c r="J49" s="245" t="s">
        <v>140</v>
      </c>
      <c r="K49" s="265" t="str">
        <f>"SELISIH"&amp;CHAR(10)&amp;TEXT($H$41,"0%")</f>
        <v>SELISIH
90%</v>
      </c>
      <c r="L49" s="265" t="str">
        <f>"PER HARI"&amp;CHAR(10)&amp;TEXT($H$41,"0%")</f>
        <v>PER HARI
90%</v>
      </c>
      <c r="M49" s="267" t="str">
        <f>"SELISIH"&amp;CHAR(10)&amp;TEXT($J$41,"0%")</f>
        <v>SELISIH
95%</v>
      </c>
      <c r="N49" s="267" t="str">
        <f>"PER HARI"&amp;CHAR(10)&amp;TEXT($J$41,"0%")</f>
        <v>PER HARI
95%</v>
      </c>
      <c r="O49" s="251" t="str">
        <f>"SELISIH"&amp;CHAR(10)&amp;TEXT($L$41,"0%")</f>
        <v>SELISIH
100%</v>
      </c>
      <c r="P49" s="251" t="str">
        <f>"PER HARI"&amp;CHAR(10)&amp;TEXT($L$41,"0%")</f>
        <v>PER HARI
100%</v>
      </c>
    </row>
    <row r="50" spans="2:16" ht="51" customHeight="1" x14ac:dyDescent="0.25">
      <c r="B50" s="250"/>
      <c r="C50" s="250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5"/>
      <c r="K50" s="266"/>
      <c r="L50" s="266"/>
      <c r="M50" s="268"/>
      <c r="N50" s="268"/>
      <c r="O50" s="252"/>
      <c r="P50" s="252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175</v>
      </c>
      <c r="C53" s="146" t="s">
        <v>176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184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175</v>
      </c>
      <c r="C59" s="146" t="s">
        <v>177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2" t="s">
        <v>145</v>
      </c>
      <c r="C67" s="273"/>
      <c r="D67" s="273"/>
      <c r="E67" s="273"/>
      <c r="F67" s="273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174</v>
      </c>
      <c r="C77" s="128"/>
      <c r="D77" s="129"/>
    </row>
    <row r="78" spans="2:16" ht="15.75" x14ac:dyDescent="0.25">
      <c r="B78" s="250" t="s">
        <v>41</v>
      </c>
      <c r="C78" s="250" t="s">
        <v>42</v>
      </c>
      <c r="D78" s="126" t="s">
        <v>139</v>
      </c>
    </row>
    <row r="79" spans="2:16" ht="15.75" x14ac:dyDescent="0.25">
      <c r="B79" s="250"/>
      <c r="C79" s="250"/>
      <c r="D79" s="71" t="s">
        <v>171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175</v>
      </c>
      <c r="C82" s="56" t="s">
        <v>176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175</v>
      </c>
      <c r="C88" s="56" t="s">
        <v>177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2026-07-24T08:17:10Z</cp:lastPrinted>
  <dcterms:created xsi:type="dcterms:W3CDTF">2026-03-24T08:59:20Z</dcterms:created>
  <dcterms:modified xsi:type="dcterms:W3CDTF">2026-07-27T00:48:26Z</dcterms:modified>
  <dc:language>en-US</dc:language>
</cp:coreProperties>
</file>