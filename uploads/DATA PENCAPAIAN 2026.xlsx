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definedNames>
    <definedName name="_xlnm._FilterDatabase" localSheetId="11" hidden="1">OKT!$B$42:$L$47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M53" i="12" s="1"/>
  <c r="N53" i="12" s="1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4" i="12" l="1"/>
  <c r="P54" i="12" s="1"/>
  <c r="D96" i="12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<sst xmlns="http://schemas.openxmlformats.org/spreadsheetml/2006/main" count="2130" uniqueCount="231">
  <si>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</si>
  <si>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</si>
  <si>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</si>
  <si>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</si>
  <si>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</si>
  <si>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</si>
  <si>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</si>
  <si>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</si>
  <si>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</si>
  <si>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</si>
  <si>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</si>
  <si>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</si>
  <si>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</si>
  <si>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</si>
  <si>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</si>
  <si>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</si>
  <si>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</si>
  <si>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</si>
  <si>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</si>
  <si>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</si>
  <si>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</si>
  <si>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</si>
  <si>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</si>
  <si>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</si>
  <si>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</si>
  <si>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</si>
  <si>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</si>
  <si>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</si>
  <si>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</si>
  <si>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</si>
  <si>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</si>
  <si>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</si>
  <si>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</si>
  <si>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</si>
  <si>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</si>
  <si>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</si>
  <si>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</si>
  <si>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</si>
  <si>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</si>
  <si>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</si>
  <si>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</si>
  <si>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</si>
  <si>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</si>
  <si>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</si>
  <si>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</si>
  <si>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</si>
  <si>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</si>
  <si>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</si>
  <si>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</si>
  <si>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</si>
  <si>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</si>
  <si>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</si>
  <si>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</si>
  <si>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</si>
  <si>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</si>
  <si>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</si>
  <si>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</si>
  <si>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</si>
  <si>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</si>
  <si>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</si>
  <si>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</si>
  <si>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</si>
  <si>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</si>
  <si>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</si>
  <si>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</si>
  <si>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</si>
  <si>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</si>
  <si>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</si>
  <si>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</si>
  <si>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</si>
  <si>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</si>
  <si>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</si>
  <si>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</si>
  <si>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</si>
  <si>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</si>
  <si>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</si>
  <si>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</si>
  <si>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</si>
  <si>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</si>
  <si>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</si>
  <si>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</si>
  <si>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</si>
  <si>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</si>
  <si>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</si>
  <si>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</si>
  <si>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</si>
  <si>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</si>
  <si>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</si>
  <si>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</si>
  <si>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</si>
  <si>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</si>
  <si>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</si>
  <si>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</si>
  <si>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</si>
  <si>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</si>
  <si>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</si>
  <si>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</si>
  <si>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</si>
  <si>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</si>
  <si>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</si>
  <si>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</si>
  <si>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</si>
  <si>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</si>
  <si>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</si>
  <si>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</si>
  <si>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</si>
  <si>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</si>
  <si>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</si>
  <si>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</si>
  <si>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</si>
  <si>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</si>
  <si>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</si>
  <si>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</si>
  <si>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</si>
  <si>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</si>
  <si>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</si>
  <si>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</si>
  <si>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</si>
  <si>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</si>
  <si>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</si>
  <si>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</si>
  <si>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</si>
  <si>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</si>
  <si>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</si>
  <si>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</si>
  <si>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</si>
  <si>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</si>
  <si>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</si>
  <si>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</si>
  <si>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</si>
  <si>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</si>
  <si>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</si>
  <si>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</si>
  <si>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</si>
  <si>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</si>
  <si>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</si>
  <si>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</si>
  <si>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</si>
  <si>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</si>
  <si>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</si>
  <si>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</si>
  <si>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</si>
  <si>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</si>
  <si>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</si>
  <si>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</si>
  <si>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</si>
  <si>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</si>
  <si>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</si>
  <si>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</si>
  <si>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</si>
  <si>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</si>
  <si>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</si>
  <si>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</si>
  <si>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</si>
  <si>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</si>
  <si>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</si>
  <si>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</si>
  <si>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</si>
  <si>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</si>
  <si>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</si>
  <si>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</si>
  <si>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</si>
  <si>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</si>
  <si>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</si>
  <si>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</si>
  <si>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</si>
  <si>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</si>
  <si>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</si>
  <si>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</si>
  <si>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</si>
  <si>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</si>
  <si>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</si>
  <si>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</si>
  <si>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</si>
  <si>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</si>
  <si>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</si>
  <si>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</si>
  <si>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</si>
  <si>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</si>
  <si>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</si>
  <si>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</si>
  <si>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</si>
  <si>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</si>
  <si>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</si>
  <si>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</si>
  <si>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</si>
  <si>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</si>
  <si>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</si>
  <si>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</si>
  <si>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</si>
  <si>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</si>
  <si>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</si>
  <si>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</si>
  <si>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</si>
  <si>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</si>
  <si>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</si>
  <si>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</si>
  <si>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</si>
  <si>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</si>
  <si>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</si>
  <si>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</si>
  <si>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</si>
  <si>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</si>
  <si>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</si>
  <si>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</si>
  <si>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</si>
  <si>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</si>
  <si>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</si>
  <si>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</si>
  <si>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</si>
  <si>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</si>
  <si>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</si>
  <si>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</si>
  <si>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</si>
  <si>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</si>
  <si>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</si>
  <si>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</si>
  <si>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</si>
  <si>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</si>
  <si>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</si>
  <si>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</si>
  <si>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</si>
  <si>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</si>
  <si>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</si>
  <si>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</si>
  <si>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</si>
  <si>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</si>
  <si>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</si>
  <si>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</si>
  <si>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</si>
  <si>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30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</si>
</sst>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1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2" t="s">
        <v>0</v>
      </c>
      <c r="C1" s="242"/>
    </row>
    <row r="3" spans="2:3" x14ac:dyDescent="0.25">
      <c r="B3" s="243" t="s">
        <v>1</v>
      </c>
      <c r="C3" s="243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4" t="s">
        <v>14</v>
      </c>
      <c r="C11" s="244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3" t="s">
        <v>28</v>
      </c>
      <c r="C3" s="243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5" t="s">
        <v>102</v>
      </c>
      <c r="C29" s="245"/>
      <c r="D29" s="245"/>
      <c r="E29" s="245"/>
      <c r="F29" s="245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50" t="s">
        <v>145</v>
      </c>
      <c r="C44" s="251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2" t="s">
        <v>41</v>
      </c>
      <c r="C47" s="252" t="s">
        <v>42</v>
      </c>
      <c r="D47" s="253" t="s">
        <v>137</v>
      </c>
      <c r="E47" s="254"/>
      <c r="F47" s="255"/>
      <c r="G47" s="98" t="s">
        <v>138</v>
      </c>
      <c r="H47" s="98"/>
      <c r="I47" s="98"/>
      <c r="J47" s="252" t="s">
        <v>139</v>
      </c>
      <c r="K47" s="99" t="s">
        <v>147</v>
      </c>
      <c r="L47" s="99"/>
      <c r="M47" s="99"/>
      <c r="N47" s="249" t="s">
        <v>148</v>
      </c>
    </row>
    <row r="48" spans="2:14" ht="15.75" x14ac:dyDescent="0.25">
      <c r="B48" s="252"/>
      <c r="C48" s="252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2"/>
      <c r="K48" s="101" t="s">
        <v>142</v>
      </c>
      <c r="L48" s="101" t="s">
        <v>110</v>
      </c>
      <c r="M48" s="101" t="s">
        <v>145</v>
      </c>
      <c r="N48" s="249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6" t="s">
        <v>144</v>
      </c>
      <c r="C63" s="247"/>
      <c r="D63" s="247"/>
      <c r="E63" s="247"/>
      <c r="F63" s="247"/>
      <c r="G63" s="247"/>
      <c r="H63" s="248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50" t="s">
        <v>145</v>
      </c>
      <c r="C44" s="251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2" t="s">
        <v>41</v>
      </c>
      <c r="C47" s="252" t="s">
        <v>42</v>
      </c>
      <c r="D47" s="253" t="s">
        <v>137</v>
      </c>
      <c r="E47" s="254"/>
      <c r="F47" s="255"/>
      <c r="G47" s="98" t="s">
        <v>138</v>
      </c>
      <c r="H47" s="98"/>
      <c r="I47" s="98"/>
      <c r="J47" s="252" t="s">
        <v>139</v>
      </c>
      <c r="K47" s="99" t="s">
        <v>147</v>
      </c>
      <c r="L47" s="99"/>
      <c r="M47" s="99"/>
      <c r="N47" s="249" t="s">
        <v>148</v>
      </c>
    </row>
    <row r="48" spans="2:14" ht="15.75" x14ac:dyDescent="0.25">
      <c r="B48" s="252"/>
      <c r="C48" s="252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2"/>
      <c r="K48" s="101" t="s">
        <v>142</v>
      </c>
      <c r="L48" s="101" t="s">
        <v>110</v>
      </c>
      <c r="M48" s="101" t="s">
        <v>145</v>
      </c>
      <c r="N48" s="249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6" t="s">
        <v>144</v>
      </c>
      <c r="C63" s="247"/>
      <c r="D63" s="247"/>
      <c r="E63" s="247"/>
      <c r="F63" s="247"/>
      <c r="G63" s="247"/>
      <c r="H63" s="248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3" t="s">
        <v>145</v>
      </c>
      <c r="C44" s="26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5" t="s">
        <v>41</v>
      </c>
      <c r="C47" s="265" t="s">
        <v>42</v>
      </c>
      <c r="D47" s="260" t="s">
        <v>137</v>
      </c>
      <c r="E47" s="261"/>
      <c r="F47" s="262"/>
      <c r="G47" s="69" t="s">
        <v>138</v>
      </c>
      <c r="H47" s="69"/>
      <c r="I47" s="69"/>
      <c r="J47" s="265" t="s">
        <v>139</v>
      </c>
      <c r="K47" s="35" t="s">
        <v>147</v>
      </c>
      <c r="L47" s="35"/>
      <c r="M47" s="35"/>
      <c r="N47" s="259" t="s">
        <v>148</v>
      </c>
    </row>
    <row r="48" spans="2:17" ht="15.75" x14ac:dyDescent="0.25">
      <c r="B48" s="265"/>
      <c r="C48" s="265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5"/>
      <c r="K48" s="34" t="s">
        <v>142</v>
      </c>
      <c r="L48" s="34" t="s">
        <v>110</v>
      </c>
      <c r="M48" s="34" t="s">
        <v>145</v>
      </c>
      <c r="N48" s="259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6" t="s">
        <v>144</v>
      </c>
      <c r="C63" s="257"/>
      <c r="D63" s="257"/>
      <c r="E63" s="257"/>
      <c r="F63" s="257"/>
      <c r="G63" s="257"/>
      <c r="H63" s="258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6" t="s">
        <v>177</v>
      </c>
      <c r="C41" s="267"/>
      <c r="D41" s="268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3" t="s">
        <v>145</v>
      </c>
      <c r="C46" s="264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9" t="s">
        <v>146</v>
      </c>
      <c r="C48" s="270"/>
      <c r="D48" s="270"/>
      <c r="E48" s="270"/>
      <c r="F48" s="270"/>
      <c r="G48" s="270"/>
      <c r="H48" s="270"/>
      <c r="I48" s="270"/>
      <c r="J48" s="270"/>
      <c r="K48" s="276" t="s">
        <v>185</v>
      </c>
      <c r="L48" s="277"/>
      <c r="M48" s="277"/>
      <c r="N48" s="277"/>
      <c r="O48" s="277"/>
      <c r="P48" s="278"/>
      <c r="Q48"/>
      <c r="R48"/>
    </row>
    <row r="49" spans="2:18" s="139" customFormat="1" ht="33.950000000000003" customHeight="1" x14ac:dyDescent="0.25">
      <c r="B49" s="274" t="s">
        <v>41</v>
      </c>
      <c r="C49" s="274" t="s">
        <v>42</v>
      </c>
      <c r="D49" s="271" t="s">
        <v>137</v>
      </c>
      <c r="E49" s="272"/>
      <c r="F49" s="273"/>
      <c r="G49" s="140" t="s">
        <v>138</v>
      </c>
      <c r="H49" s="140"/>
      <c r="I49" s="140"/>
      <c r="J49" s="271" t="s">
        <v>139</v>
      </c>
      <c r="K49" s="279" t="str">
        <f>"SELISIH"&amp;CHAR(10)&amp;TEXT($H$41,"0%")</f>
        <v>SELISIH
90%</v>
      </c>
      <c r="L49" s="279" t="str">
        <f>"PER HARI"&amp;CHAR(10)&amp;TEXT($H$41,"0%")</f>
        <v>PER HARI
90%</v>
      </c>
      <c r="M49" s="281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83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4"/>
      <c r="C50" s="274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1"/>
      <c r="K50" s="280"/>
      <c r="L50" s="280"/>
      <c r="M50" s="282"/>
      <c r="N50" s="188"/>
      <c r="O50" s="183"/>
      <c r="P50" s="284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6" t="s">
        <v>170</v>
      </c>
      <c r="C77" s="257"/>
      <c r="D77" s="258"/>
      <c r="G77"/>
      <c r="H77"/>
      <c r="I77"/>
    </row>
    <row r="78" spans="1:19" ht="20.100000000000001" customHeight="1" x14ac:dyDescent="0.25">
      <c r="B78" s="275" t="s">
        <v>41</v>
      </c>
      <c r="C78" s="275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5"/>
      <c r="C79" s="265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5" t="s">
        <v>178</v>
      </c>
      <c r="C41" s="286"/>
      <c r="D41" s="287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3" t="s">
        <v>145</v>
      </c>
      <c r="C46" s="264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9" t="s">
        <v>146</v>
      </c>
      <c r="C48" s="270"/>
      <c r="D48" s="270"/>
      <c r="E48" s="270"/>
      <c r="F48" s="270"/>
      <c r="G48" s="270"/>
      <c r="H48" s="270"/>
      <c r="I48" s="270"/>
      <c r="J48" s="270"/>
      <c r="K48" s="276" t="s">
        <v>185</v>
      </c>
      <c r="L48" s="277"/>
      <c r="M48" s="277"/>
      <c r="N48" s="277"/>
      <c r="O48" s="277"/>
      <c r="P48" s="278"/>
    </row>
    <row r="49" spans="2:16" ht="33.950000000000003" customHeight="1" x14ac:dyDescent="0.25">
      <c r="B49" s="265" t="s">
        <v>41</v>
      </c>
      <c r="C49" s="265" t="s">
        <v>42</v>
      </c>
      <c r="D49" s="260" t="s">
        <v>137</v>
      </c>
      <c r="E49" s="261"/>
      <c r="F49" s="262"/>
      <c r="G49" s="112" t="s">
        <v>138</v>
      </c>
      <c r="H49" s="112"/>
      <c r="I49" s="112"/>
      <c r="J49" s="260" t="s">
        <v>139</v>
      </c>
      <c r="K49" s="279" t="str">
        <f>"SELISIH"&amp;CHAR(10)&amp;TEXT($H$41,"0%")</f>
        <v>SELISIH
90%</v>
      </c>
      <c r="L49" s="279" t="str">
        <f>"PER HARI"&amp;CHAR(10)&amp;TEXT($H$41,"0%")</f>
        <v>PER HARI
90%</v>
      </c>
      <c r="M49" s="281" t="str">
        <f>"SELISIH"&amp;CHAR(10)&amp;TEXT($J$41,"0%")</f>
        <v>SELISIH
95%</v>
      </c>
      <c r="N49" s="281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22.5" customHeight="1" x14ac:dyDescent="0.25">
      <c r="B50" s="265"/>
      <c r="C50" s="265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60"/>
      <c r="K50" s="280"/>
      <c r="L50" s="280"/>
      <c r="M50" s="282"/>
      <c r="N50" s="282"/>
      <c r="O50" s="284"/>
      <c r="P50" s="284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6" t="s">
        <v>170</v>
      </c>
      <c r="C77" s="257"/>
      <c r="D77" s="258"/>
    </row>
    <row r="78" spans="2:16" ht="18.75" customHeight="1" x14ac:dyDescent="0.25">
      <c r="B78" s="275" t="s">
        <v>41</v>
      </c>
      <c r="C78" s="275" t="s">
        <v>42</v>
      </c>
      <c r="D78" s="231" t="s">
        <v>138</v>
      </c>
    </row>
    <row r="79" spans="2:16" ht="18" customHeight="1" x14ac:dyDescent="0.25">
      <c r="B79" s="265"/>
      <c r="C79" s="265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6" t="s">
        <v>179</v>
      </c>
      <c r="C41" s="267"/>
      <c r="D41" s="268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3" t="s">
        <v>145</v>
      </c>
      <c r="C46" s="264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9" t="s">
        <v>146</v>
      </c>
      <c r="C48" s="270"/>
      <c r="D48" s="270"/>
      <c r="E48" s="270"/>
      <c r="F48" s="270"/>
      <c r="G48" s="270"/>
      <c r="H48" s="270"/>
      <c r="I48" s="270"/>
      <c r="J48" s="270"/>
      <c r="K48" s="276" t="s">
        <v>185</v>
      </c>
      <c r="L48" s="277"/>
      <c r="M48" s="277"/>
      <c r="N48" s="277"/>
      <c r="O48" s="277"/>
      <c r="P48" s="278"/>
    </row>
    <row r="49" spans="2:16" ht="33.950000000000003" customHeight="1" x14ac:dyDescent="0.25">
      <c r="B49" s="265" t="s">
        <v>41</v>
      </c>
      <c r="C49" s="265" t="s">
        <v>42</v>
      </c>
      <c r="D49" s="260" t="s">
        <v>137</v>
      </c>
      <c r="E49" s="261"/>
      <c r="F49" s="262"/>
      <c r="G49" s="112" t="s">
        <v>138</v>
      </c>
      <c r="H49" s="112"/>
      <c r="I49" s="112"/>
      <c r="J49" s="260" t="s">
        <v>139</v>
      </c>
      <c r="K49" s="279" t="str">
        <f>"SELISIH"&amp;CHAR(10)&amp;TEXT($H$41,"0%")</f>
        <v>SELISIH
90%</v>
      </c>
      <c r="L49" s="279" t="str">
        <f>"PER HARI"&amp;CHAR(10)&amp;TEXT($H$41,"0%")</f>
        <v>PER HARI
90%</v>
      </c>
      <c r="M49" s="281" t="str">
        <f>"SELISIH"&amp;CHAR(10)&amp;TEXT($J$41,"0%")</f>
        <v>SELISIH
95%</v>
      </c>
      <c r="N49" s="281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9.5" customHeight="1" x14ac:dyDescent="0.25">
      <c r="B50" s="265"/>
      <c r="C50" s="265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60"/>
      <c r="K50" s="280"/>
      <c r="L50" s="280"/>
      <c r="M50" s="282"/>
      <c r="N50" s="282"/>
      <c r="O50" s="284"/>
      <c r="P50" s="284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6" t="s">
        <v>170</v>
      </c>
      <c r="C77" s="257"/>
      <c r="D77" s="258"/>
    </row>
    <row r="78" spans="2:16" ht="15.75" x14ac:dyDescent="0.25">
      <c r="B78" s="275" t="s">
        <v>41</v>
      </c>
      <c r="C78" s="275" t="s">
        <v>42</v>
      </c>
      <c r="D78" s="231" t="s">
        <v>138</v>
      </c>
    </row>
    <row r="79" spans="2:16" ht="15.75" x14ac:dyDescent="0.25">
      <c r="B79" s="265"/>
      <c r="C79" s="265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6" t="s">
        <v>188</v>
      </c>
      <c r="C41" s="267"/>
      <c r="D41" s="268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3" t="s">
        <v>145</v>
      </c>
      <c r="C46" s="264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9" t="s">
        <v>146</v>
      </c>
      <c r="C48" s="270"/>
      <c r="D48" s="270"/>
      <c r="E48" s="270"/>
      <c r="F48" s="270"/>
      <c r="G48" s="270"/>
      <c r="H48" s="270"/>
      <c r="I48" s="270"/>
      <c r="J48" s="270"/>
      <c r="K48" s="276" t="s">
        <v>185</v>
      </c>
      <c r="L48" s="277"/>
      <c r="M48" s="277"/>
      <c r="N48" s="277"/>
      <c r="O48" s="277"/>
      <c r="P48" s="278"/>
    </row>
    <row r="49" spans="2:16" ht="15.75" x14ac:dyDescent="0.25">
      <c r="B49" s="265" t="s">
        <v>41</v>
      </c>
      <c r="C49" s="265" t="s">
        <v>42</v>
      </c>
      <c r="D49" s="260" t="s">
        <v>137</v>
      </c>
      <c r="E49" s="261"/>
      <c r="F49" s="262"/>
      <c r="G49" s="112" t="s">
        <v>138</v>
      </c>
      <c r="H49" s="112"/>
      <c r="I49" s="112"/>
      <c r="J49" s="260" t="s">
        <v>139</v>
      </c>
      <c r="K49" s="279" t="str">
        <f>"SELISIH"&amp;CHAR(10)&amp;TEXT($H$41,"0%")</f>
        <v>SELISIH
90%</v>
      </c>
      <c r="L49" s="279" t="str">
        <f>"PER HARI"&amp;CHAR(10)&amp;TEXT($H$41,"0%")</f>
        <v>PER HARI
90%</v>
      </c>
      <c r="M49" s="281" t="str">
        <f>"SELISIH"&amp;CHAR(10)&amp;TEXT($J$41,"0%")</f>
        <v>SELISIH
95%</v>
      </c>
      <c r="N49" s="281" t="str">
        <f>"PER HARI"&amp;CHAR(10)&amp;TEXT($J$41,"0%")</f>
        <v>PER HARI
95%</v>
      </c>
      <c r="O49" s="288" t="str">
        <f>"SELISIH"&amp;CHAR(10)&amp;TEXT($L$41,"0%")</f>
        <v>SELISIH
100%</v>
      </c>
      <c r="P49" s="288" t="str">
        <f>"PER HARI"&amp;CHAR(10)&amp;TEXT($L$41,"0%")</f>
        <v>PER HARI
100%</v>
      </c>
    </row>
    <row r="50" spans="2:16" ht="15.75" x14ac:dyDescent="0.25">
      <c r="B50" s="265"/>
      <c r="C50" s="265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60"/>
      <c r="K50" s="280"/>
      <c r="L50" s="280"/>
      <c r="M50" s="282"/>
      <c r="N50" s="282"/>
      <c r="O50" s="289"/>
      <c r="P50" s="289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6" t="s">
        <v>170</v>
      </c>
      <c r="C77" s="257"/>
      <c r="D77" s="258"/>
    </row>
    <row r="78" spans="2:16" ht="15.75" x14ac:dyDescent="0.25">
      <c r="B78" s="275" t="s">
        <v>41</v>
      </c>
      <c r="C78" s="275" t="s">
        <v>42</v>
      </c>
      <c r="D78" s="231" t="s">
        <v>138</v>
      </c>
    </row>
    <row r="79" spans="2:16" ht="15.75" x14ac:dyDescent="0.25">
      <c r="B79" s="265"/>
      <c r="C79" s="265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6" t="s">
        <v>218</v>
      </c>
      <c r="C40" s="267"/>
      <c r="D40" s="268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3" t="s">
        <v>145</v>
      </c>
      <c r="C46" s="264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9" t="s">
        <v>212</v>
      </c>
      <c r="C48" s="270"/>
      <c r="D48" s="270"/>
      <c r="E48" s="270"/>
      <c r="F48" s="270"/>
      <c r="G48" s="270"/>
      <c r="H48" s="270"/>
      <c r="I48" s="270"/>
      <c r="J48" s="270"/>
      <c r="K48" s="270"/>
      <c r="L48" s="293"/>
      <c r="M48" s="276" t="s">
        <v>185</v>
      </c>
      <c r="N48" s="277"/>
      <c r="O48" s="277"/>
      <c r="P48" s="277"/>
      <c r="Q48" s="277"/>
      <c r="R48" s="278"/>
    </row>
    <row r="49" spans="2:21" ht="17.100000000000001" customHeight="1" x14ac:dyDescent="0.25">
      <c r="B49" s="294" t="s">
        <v>41</v>
      </c>
      <c r="C49" s="294" t="s">
        <v>42</v>
      </c>
      <c r="D49" s="260" t="s">
        <v>137</v>
      </c>
      <c r="E49" s="261"/>
      <c r="F49" s="261"/>
      <c r="G49" s="262"/>
      <c r="H49" s="295" t="s">
        <v>138</v>
      </c>
      <c r="I49" s="296"/>
      <c r="J49" s="296"/>
      <c r="K49" s="297"/>
      <c r="L49" s="298" t="s">
        <v>139</v>
      </c>
      <c r="M49" s="279" t="str">
        <f>"SELISIH"&amp;CHAR(10)&amp;TEXT($H$40,"0%")</f>
        <v>SELISIH
90%</v>
      </c>
      <c r="N49" s="279" t="str">
        <f>"PER HARI"&amp;CHAR(10)&amp;TEXT($H$40,"0%")</f>
        <v>PER HARI
90%</v>
      </c>
      <c r="O49" s="281" t="str">
        <f>"SELISIH"&amp;CHAR(10)&amp;TEXT($J$40,"0%")</f>
        <v>SELISIH
95%</v>
      </c>
      <c r="P49" s="281" t="str">
        <f>"PER HARI"&amp;CHAR(10)&amp;TEXT($J$40,"0%")</f>
        <v>PER HARI
95%</v>
      </c>
      <c r="Q49" s="283" t="str">
        <f>"SELISIH"&amp;CHAR(10)&amp;TEXT($L$40,"0%")</f>
        <v>SELISIH
100%</v>
      </c>
      <c r="R49" s="283" t="str">
        <f>"PER HARI"&amp;CHAR(10)&amp;TEXT($L$40,"0%")</f>
        <v>PER HARI
100%</v>
      </c>
    </row>
    <row r="50" spans="2:21" ht="15.75" x14ac:dyDescent="0.25">
      <c r="B50" s="275"/>
      <c r="C50" s="27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9"/>
      <c r="M50" s="280"/>
      <c r="N50" s="280"/>
      <c r="O50" s="282"/>
      <c r="P50" s="282"/>
      <c r="Q50" s="284"/>
      <c r="R50" s="284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76" t="s">
        <v>185</v>
      </c>
      <c r="H67" s="277"/>
      <c r="I67" s="277"/>
      <c r="J67" s="277"/>
      <c r="K67" s="277"/>
      <c r="L67" s="278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6" t="s">
        <v>170</v>
      </c>
      <c r="C77" s="257"/>
      <c r="D77" s="258"/>
    </row>
    <row r="78" spans="2:21" ht="15.75" x14ac:dyDescent="0.25">
      <c r="B78" s="275" t="s">
        <v>41</v>
      </c>
      <c r="C78" s="275" t="s">
        <v>42</v>
      </c>
      <c r="D78" s="231" t="s">
        <v>138</v>
      </c>
    </row>
    <row r="79" spans="2:21" ht="15.75" x14ac:dyDescent="0.25">
      <c r="B79" s="265"/>
      <c r="C79" s="265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6" t="s">
        <v>226</v>
      </c>
      <c r="C40" s="267"/>
      <c r="D40" s="268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3" t="s">
        <v>145</v>
      </c>
      <c r="C46" s="264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9" t="s">
        <v>212</v>
      </c>
      <c r="C48" s="270"/>
      <c r="D48" s="270"/>
      <c r="E48" s="270"/>
      <c r="F48" s="270"/>
      <c r="G48" s="270"/>
      <c r="H48" s="270"/>
      <c r="I48" s="270"/>
      <c r="J48" s="270"/>
      <c r="K48" s="270"/>
      <c r="L48" s="293"/>
      <c r="M48" s="276" t="s">
        <v>185</v>
      </c>
      <c r="N48" s="277"/>
      <c r="O48" s="277"/>
      <c r="P48" s="277"/>
      <c r="Q48" s="277"/>
      <c r="R48" s="278"/>
    </row>
    <row r="49" spans="2:21" ht="17.100000000000001" customHeight="1" x14ac:dyDescent="0.25">
      <c r="B49" s="294" t="s">
        <v>41</v>
      </c>
      <c r="C49" s="294" t="s">
        <v>42</v>
      </c>
      <c r="D49" s="260" t="s">
        <v>137</v>
      </c>
      <c r="E49" s="261"/>
      <c r="F49" s="261"/>
      <c r="G49" s="262"/>
      <c r="H49" s="295" t="s">
        <v>138</v>
      </c>
      <c r="I49" s="296"/>
      <c r="J49" s="296"/>
      <c r="K49" s="297"/>
      <c r="L49" s="298" t="s">
        <v>139</v>
      </c>
      <c r="M49" s="279" t="str">
        <f>"SELISIH"&amp;CHAR(10)&amp;TEXT($H$40,"0%")</f>
        <v>SELISIH
95%</v>
      </c>
      <c r="N49" s="279" t="str">
        <f>"PER HARI"&amp;CHAR(10)&amp;TEXT($H$40,"0%")</f>
        <v>PER HARI
95%</v>
      </c>
      <c r="O49" s="281" t="str">
        <f>"SELISIH"&amp;CHAR(10)&amp;TEXT($J$40,"0%")</f>
        <v>SELISIH
100%</v>
      </c>
      <c r="P49" s="281" t="str">
        <f>"PER HARI"&amp;CHAR(10)&amp;TEXT($J$40,"0%")</f>
        <v>PER HARI
100%</v>
      </c>
      <c r="Q49" s="283" t="str">
        <f>"SELISIH"&amp;CHAR(10)&amp;TEXT($L$40,"0%")</f>
        <v>SELISIH
100%</v>
      </c>
      <c r="R49" s="283" t="str">
        <f>"PER HARI"&amp;CHAR(10)&amp;TEXT($L$40,"0%")</f>
        <v>PER HARI
100%</v>
      </c>
    </row>
    <row r="50" spans="2:21" ht="17.100000000000001" customHeight="1" x14ac:dyDescent="0.25">
      <c r="B50" s="275"/>
      <c r="C50" s="27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9"/>
      <c r="M50" s="280"/>
      <c r="N50" s="280"/>
      <c r="O50" s="282"/>
      <c r="P50" s="282"/>
      <c r="Q50" s="284"/>
      <c r="R50" s="28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300"/>
      <c r="G67" s="276" t="s">
        <v>185</v>
      </c>
      <c r="H67" s="277"/>
      <c r="I67" s="277"/>
      <c r="J67" s="277"/>
      <c r="K67" s="277"/>
      <c r="L67" s="27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6" t="s">
        <v>170</v>
      </c>
      <c r="C77" s="257"/>
      <c r="D77" s="258"/>
    </row>
    <row r="78" spans="2:21" ht="17.100000000000001" customHeight="1" x14ac:dyDescent="0.25">
      <c r="B78" s="275" t="s">
        <v>41</v>
      </c>
      <c r="C78" s="275" t="s">
        <v>42</v>
      </c>
      <c r="D78" s="231" t="s">
        <v>138</v>
      </c>
    </row>
    <row r="79" spans="2:21" ht="17.100000000000001" customHeight="1" x14ac:dyDescent="0.25">
      <c r="B79" s="265"/>
      <c r="C79" s="265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zoomScale="80" zoomScaleNormal="80" workbookViewId="0">
      <selection activeCell="D13" sqref="D1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1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9">
        <v>186442124.61438301</v>
      </c>
      <c r="D10" s="239">
        <v>48782899.217996001</v>
      </c>
      <c r="E10" s="239">
        <v>216774642.85777801</v>
      </c>
      <c r="F10" s="239">
        <v>160947748.489916</v>
      </c>
      <c r="G10" s="239">
        <v>616728915.18007302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9">
        <v>3670270.2599940002</v>
      </c>
      <c r="D11" s="239">
        <v>37900456</v>
      </c>
      <c r="E11" s="239">
        <v>327900908.15999299</v>
      </c>
      <c r="F11" s="239">
        <v>0</v>
      </c>
      <c r="G11" s="239">
        <v>369471634.41998702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9">
        <v>194009208.916161</v>
      </c>
      <c r="D12" s="239">
        <v>55907611.32739</v>
      </c>
      <c r="E12" s="239">
        <v>165908370.55955499</v>
      </c>
      <c r="F12" s="239">
        <v>115794593.52</v>
      </c>
      <c r="G12" s="239">
        <v>546112284.32310605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9">
        <v>29479188.485427</v>
      </c>
      <c r="D13" s="239">
        <v>46107380.269777</v>
      </c>
      <c r="E13" s="239">
        <v>238528778.16924599</v>
      </c>
      <c r="F13" s="239">
        <v>82486489.469999999</v>
      </c>
      <c r="G13" s="239">
        <v>398541836.39445001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9">
        <v>444291128.904737</v>
      </c>
      <c r="D14" s="239">
        <v>39061320.403894</v>
      </c>
      <c r="E14" s="239">
        <v>153793718.043538</v>
      </c>
      <c r="F14" s="239">
        <v>335073522.33967501</v>
      </c>
      <c r="G14" s="239">
        <v>970383689.69184399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9">
        <v>1427145792.365334</v>
      </c>
      <c r="D15" s="239">
        <v>9568842.5199989993</v>
      </c>
      <c r="E15" s="239">
        <v>27889835.979908001</v>
      </c>
      <c r="F15" s="239">
        <v>17597838.162999999</v>
      </c>
      <c r="G15" s="239">
        <v>1482194809.0282409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9">
        <v>573436294.46217</v>
      </c>
      <c r="D16" s="239">
        <v>68087212.979720995</v>
      </c>
      <c r="E16" s="239">
        <v>359048876.09935403</v>
      </c>
      <c r="F16" s="239">
        <v>1215853146.8097529</v>
      </c>
      <c r="G16" s="239">
        <v>2366800530.3509979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9">
        <v>151302143.077492</v>
      </c>
      <c r="D17" s="239">
        <v>22741585.966366</v>
      </c>
      <c r="E17" s="239">
        <v>112452644.487335</v>
      </c>
      <c r="F17" s="239">
        <v>36743784.674999997</v>
      </c>
      <c r="G17" s="239">
        <v>323240158.20619297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9">
        <v>18296335.959989998</v>
      </c>
      <c r="D18" s="239">
        <v>83605958.709668994</v>
      </c>
      <c r="E18" s="239">
        <v>53475245</v>
      </c>
      <c r="F18" s="239">
        <v>121567570.22</v>
      </c>
      <c r="G18" s="239">
        <v>276945109.88965899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9">
        <v>20479995.640000001</v>
      </c>
      <c r="D19" s="239">
        <v>0</v>
      </c>
      <c r="E19" s="239">
        <v>0</v>
      </c>
      <c r="F19" s="239">
        <v>13405405.039999999</v>
      </c>
      <c r="G19" s="239">
        <v>37085400.68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9">
        <v>143859574.81999999</v>
      </c>
      <c r="D20" s="239">
        <v>0</v>
      </c>
      <c r="E20" s="239">
        <v>0</v>
      </c>
      <c r="F20" s="239">
        <v>13729729.359999999</v>
      </c>
      <c r="G20" s="239">
        <v>157679304.18000001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9">
        <v>270066684.31365699</v>
      </c>
      <c r="D21" s="239">
        <v>43943588.924447</v>
      </c>
      <c r="E21" s="239">
        <v>134384645.41973299</v>
      </c>
      <c r="F21" s="239">
        <v>423916762.48982</v>
      </c>
      <c r="G21" s="239">
        <v>925275681.14765704</v>
      </c>
      <c r="H21" s="111"/>
      <c r="I21" s="111"/>
      <c r="J21" s="111"/>
      <c r="M21" s="14">
        <f>SUM(C34,C35)+M20</f>
        <v>784470039.06313705</v>
      </c>
      <c r="N21" s="10" t="s">
        <v>223</v>
      </c>
    </row>
    <row r="22" spans="2:15" ht="15" customHeight="1" x14ac:dyDescent="0.25">
      <c r="B22" s="72" t="s">
        <v>224</v>
      </c>
      <c r="C22" s="239">
        <v>212043234.70449099</v>
      </c>
      <c r="D22" s="239">
        <v>65836587.019547001</v>
      </c>
      <c r="E22" s="239">
        <v>124039388.58992</v>
      </c>
      <c r="F22" s="239">
        <v>102681982.55997799</v>
      </c>
      <c r="G22" s="239">
        <v>523911192.873936</v>
      </c>
      <c r="H22" s="111"/>
      <c r="I22" s="111"/>
      <c r="J22" s="111"/>
    </row>
    <row r="23" spans="2:15" ht="15" customHeight="1" x14ac:dyDescent="0.25">
      <c r="B23" s="72" t="s">
        <v>125</v>
      </c>
      <c r="C23" s="239">
        <v>295536952.62163299</v>
      </c>
      <c r="D23" s="239">
        <v>65732254.339916997</v>
      </c>
      <c r="E23" s="239">
        <v>181061517.89020401</v>
      </c>
      <c r="F23" s="239">
        <v>307960368.599401</v>
      </c>
      <c r="G23" s="239">
        <v>853485593.45115495</v>
      </c>
      <c r="H23" s="111"/>
      <c r="I23" s="111"/>
      <c r="J23" s="111"/>
    </row>
    <row r="24" spans="2:15" ht="15" customHeight="1" x14ac:dyDescent="0.25">
      <c r="B24" s="72" t="s">
        <v>126</v>
      </c>
      <c r="C24" s="239">
        <v>453035831.50691497</v>
      </c>
      <c r="D24" s="239">
        <v>69083446.838856995</v>
      </c>
      <c r="E24" s="239">
        <v>202640771.69990101</v>
      </c>
      <c r="F24" s="239">
        <v>661248301.29922605</v>
      </c>
      <c r="G24" s="239">
        <v>1414067351.3448989</v>
      </c>
      <c r="H24" s="111"/>
      <c r="I24" s="111"/>
      <c r="J24" s="111"/>
    </row>
    <row r="25" spans="2:15" ht="15" customHeight="1" x14ac:dyDescent="0.25">
      <c r="B25" s="72" t="s">
        <v>219</v>
      </c>
      <c r="C25" s="239">
        <v>300924785.19607401</v>
      </c>
      <c r="D25" s="239">
        <v>87326604.717989996</v>
      </c>
      <c r="E25" s="239">
        <v>103356934.06951401</v>
      </c>
      <c r="F25" s="239">
        <v>75549351.290000007</v>
      </c>
      <c r="G25" s="239">
        <v>568517675.27357805</v>
      </c>
      <c r="H25" s="111"/>
      <c r="I25" s="111"/>
      <c r="J25" s="111"/>
    </row>
    <row r="26" spans="2:15" ht="15" customHeight="1" x14ac:dyDescent="0.25">
      <c r="B26" s="237" t="s">
        <v>127</v>
      </c>
      <c r="C26" s="239">
        <v>514004721.535891</v>
      </c>
      <c r="D26" s="239">
        <v>172027681.29659799</v>
      </c>
      <c r="E26" s="239">
        <v>234555712.977231</v>
      </c>
      <c r="F26" s="239">
        <v>26364324.849199999</v>
      </c>
      <c r="G26" s="239">
        <v>946952440.65892005</v>
      </c>
      <c r="H26" s="111"/>
      <c r="I26" s="111"/>
      <c r="J26" s="111"/>
    </row>
    <row r="27" spans="2:15" ht="15" customHeight="1" x14ac:dyDescent="0.25">
      <c r="B27" s="238" t="s">
        <v>228</v>
      </c>
      <c r="C27" s="239">
        <v>0</v>
      </c>
      <c r="D27" s="239">
        <v>0</v>
      </c>
      <c r="E27" s="239">
        <v>0</v>
      </c>
      <c r="F27" s="239">
        <v>5837838.0999999996</v>
      </c>
      <c r="G27" s="239">
        <v>8837838.0999999996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240">
        <v>237991304.04896301</v>
      </c>
      <c r="G32" s="111"/>
      <c r="H32" s="111"/>
      <c r="I32" s="111"/>
    </row>
    <row r="33" spans="2:19" ht="15" customHeight="1" x14ac:dyDescent="0.25">
      <c r="B33" s="81" t="s">
        <v>132</v>
      </c>
      <c r="C33" s="240">
        <v>429890346.57516897</v>
      </c>
      <c r="G33" s="111"/>
      <c r="H33" s="111"/>
      <c r="I33" s="111"/>
    </row>
    <row r="34" spans="2:19" ht="15" customHeight="1" x14ac:dyDescent="0.25">
      <c r="B34" s="81" t="s">
        <v>133</v>
      </c>
      <c r="C34" s="240">
        <v>141128243.87453601</v>
      </c>
      <c r="G34" s="111"/>
      <c r="H34" s="111"/>
      <c r="I34" s="111"/>
    </row>
    <row r="35" spans="2:19" ht="15" customHeight="1" x14ac:dyDescent="0.25">
      <c r="B35" s="81" t="s">
        <v>134</v>
      </c>
      <c r="C35" s="241">
        <v>643341795.18860102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66" t="s">
        <v>230</v>
      </c>
      <c r="C41" s="267"/>
      <c r="D41" s="268"/>
      <c r="E41" s="66" t="s">
        <v>137</v>
      </c>
      <c r="F41" s="174">
        <f ca="1">IF(MONTH(TODAY())=10,DAY(TODAY())/DAY(EOMONTH(TODAY(),0)),IF(MONTH(TODAY())&gt;10,1,0))</f>
        <v>0.967741935483871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3810878475.0190153</v>
      </c>
      <c r="F43" s="176">
        <f>IFERROR(E43/D43,0)</f>
        <v>0.85357923157792104</v>
      </c>
      <c r="G43" s="184">
        <f>D43*$H$41-E43</f>
        <v>653708213.64051342</v>
      </c>
      <c r="H43" s="184">
        <f ca="1">IFERROR(G43/$C$3,0)</f>
        <v>653708213.64051342</v>
      </c>
      <c r="I43" s="204">
        <f>D43*$J$41-E43</f>
        <v>653708213.64051342</v>
      </c>
      <c r="J43" s="204">
        <f ca="1">IFERROR(I43/$C$3,0)</f>
        <v>653708213.64051342</v>
      </c>
      <c r="K43" s="185">
        <f>D43*$L$41-E43</f>
        <v>653708213.64051342</v>
      </c>
      <c r="L43" s="185">
        <f ca="1">IFERROR(K43/$C$3,0)</f>
        <v>653708213.64051342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906144588.01216888</v>
      </c>
      <c r="F44" s="176">
        <f>IFERROR(E44/D44,0)</f>
        <v>0.70797631027568297</v>
      </c>
      <c r="G44" s="184">
        <f>D44*$H$41-E44</f>
        <v>373763475.0970614</v>
      </c>
      <c r="H44" s="184">
        <f ca="1">IFERROR(G44/$C$3,0)</f>
        <v>373763475.0970614</v>
      </c>
      <c r="I44" s="204">
        <f>D44*$J$41-E44</f>
        <v>373763475.0970614</v>
      </c>
      <c r="J44" s="204">
        <f ca="1">IFERROR(I44/$C$3,0)</f>
        <v>373763475.0970614</v>
      </c>
      <c r="K44" s="185">
        <f>D44*$L$41-E44</f>
        <v>373763475.0970614</v>
      </c>
      <c r="L44" s="185">
        <f ca="1">IFERROR(K44/$C$3,0)</f>
        <v>373763475.0970614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2607922154.0233026</v>
      </c>
      <c r="F45" s="176">
        <f>IFERROR(E45/D45,0)</f>
        <v>0.89496069234954634</v>
      </c>
      <c r="G45" s="184">
        <f>IF(D45=0,0,D45*$H$41-E45)</f>
        <v>306085328.44691277</v>
      </c>
      <c r="H45" s="184">
        <f ca="1">IFERROR(G45/$C$3,0)</f>
        <v>306085328.44691277</v>
      </c>
      <c r="I45" s="204">
        <f>IF(D45=0,0,D45*$J$41-E45)</f>
        <v>306085328.44691277</v>
      </c>
      <c r="J45" s="204">
        <f ca="1">IFERROR(I45/$C$3,0)</f>
        <v>306085328.44691277</v>
      </c>
      <c r="K45" s="185">
        <f>IF(D45=0,0,D45*$L$41-E45)</f>
        <v>306085328.44691277</v>
      </c>
      <c r="L45" s="185">
        <f ca="1">IFERROR(K45/$C$3,0)</f>
        <v>306085328.44691277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1452351689.687269</v>
      </c>
      <c r="F46" s="176">
        <f>IFERROR(E46/D46,0)</f>
        <v>0.81602545624987022</v>
      </c>
      <c r="G46" s="184">
        <f>D46*$H$41-E46</f>
        <v>327435544.35528421</v>
      </c>
      <c r="H46" s="184">
        <f ca="1">IFERROR(G46/$C$3,0)</f>
        <v>327435544.35528421</v>
      </c>
      <c r="I46" s="204">
        <f>D46*$J$41-E46</f>
        <v>327435544.35528421</v>
      </c>
      <c r="J46" s="204">
        <f ca="1">IFERROR(I46/$C$3,0)</f>
        <v>327435544.35528421</v>
      </c>
      <c r="K46" s="185">
        <f>D46*$L$41-E46</f>
        <v>327435544.35528421</v>
      </c>
      <c r="L46" s="185">
        <f ca="1">IFERROR(K46/$C$3,0)</f>
        <v>327435544.35528421</v>
      </c>
      <c r="S46" s="173">
        <v>0.95</v>
      </c>
    </row>
    <row r="47" spans="2:19" ht="15" customHeight="1" x14ac:dyDescent="0.25">
      <c r="B47" s="263" t="s">
        <v>145</v>
      </c>
      <c r="C47" s="264"/>
      <c r="D47" s="47">
        <f>SUM(D43:D46)</f>
        <v>10438289468.281527</v>
      </c>
      <c r="E47" s="47">
        <f>SUM(E43:E46)</f>
        <v>8777296906.7417564</v>
      </c>
      <c r="F47" s="177">
        <f>IFERROR(E47/D47,0)</f>
        <v>0.84087502395991498</v>
      </c>
      <c r="G47" s="181">
        <f>SUM(G43:G46)</f>
        <v>1660992561.5397718</v>
      </c>
      <c r="H47" s="181">
        <f ca="1">IFERROR(G47/$C$3,0)</f>
        <v>1660992561.5397718</v>
      </c>
      <c r="I47" s="186">
        <f>SUM(I43:I46)</f>
        <v>1660992561.5397718</v>
      </c>
      <c r="J47" s="186">
        <f ca="1">IFERROR(I47/$C$3,0)</f>
        <v>1660992561.5397718</v>
      </c>
      <c r="K47" s="186">
        <f>SUM(K43:K46)</f>
        <v>1660992561.5397718</v>
      </c>
      <c r="L47" s="186">
        <f ca="1">IFERROR(K47/$C$3,0)</f>
        <v>1660992561.5397718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69" t="s">
        <v>212</v>
      </c>
      <c r="C49" s="270"/>
      <c r="D49" s="270"/>
      <c r="E49" s="270"/>
      <c r="F49" s="270"/>
      <c r="G49" s="270"/>
      <c r="H49" s="270"/>
      <c r="I49" s="270"/>
      <c r="J49" s="270"/>
      <c r="K49" s="270"/>
      <c r="L49" s="293"/>
      <c r="M49" s="276" t="s">
        <v>185</v>
      </c>
      <c r="N49" s="277"/>
      <c r="O49" s="277"/>
      <c r="P49" s="277"/>
      <c r="Q49" s="277"/>
      <c r="R49" s="278"/>
    </row>
    <row r="50" spans="2:21" ht="17.100000000000001" customHeight="1" x14ac:dyDescent="0.25">
      <c r="B50" s="294" t="s">
        <v>41</v>
      </c>
      <c r="C50" s="294" t="s">
        <v>42</v>
      </c>
      <c r="D50" s="260" t="s">
        <v>137</v>
      </c>
      <c r="E50" s="261"/>
      <c r="F50" s="261"/>
      <c r="G50" s="262"/>
      <c r="H50" s="295" t="s">
        <v>138</v>
      </c>
      <c r="I50" s="296"/>
      <c r="J50" s="296"/>
      <c r="K50" s="297"/>
      <c r="L50" s="298" t="s">
        <v>139</v>
      </c>
      <c r="M50" s="279" t="str">
        <f>"SELISIH"&amp;CHAR(10)&amp;TEXT($H$41,"0%")</f>
        <v>SELISIH
100%</v>
      </c>
      <c r="N50" s="279" t="str">
        <f>"PER HARI"&amp;CHAR(10)&amp;TEXT($H$41,"0%")</f>
        <v>PER HARI
100%</v>
      </c>
      <c r="O50" s="281" t="str">
        <f>"SELISIH"&amp;CHAR(10)&amp;TEXT($J$41,"0%")</f>
        <v>SELISIH
100%</v>
      </c>
      <c r="P50" s="281" t="str">
        <f>"PER HARI"&amp;CHAR(10)&amp;TEXT($J$41,"0%")</f>
        <v>PER HARI
100%</v>
      </c>
      <c r="Q50" s="283" t="str">
        <f>"SELISIH"&amp;CHAR(10)&amp;TEXT($L$41,"0%")</f>
        <v>SELISIH
100%</v>
      </c>
      <c r="R50" s="283" t="str">
        <f>"PER HARI"&amp;CHAR(10)&amp;TEXT($L$41,"0%")</f>
        <v>PER HARI
100%</v>
      </c>
    </row>
    <row r="51" spans="2:21" ht="17.100000000000001" customHeight="1" x14ac:dyDescent="0.25">
      <c r="B51" s="275"/>
      <c r="C51" s="275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9"/>
      <c r="M51" s="280"/>
      <c r="N51" s="280"/>
      <c r="O51" s="282"/>
      <c r="P51" s="282"/>
      <c r="Q51" s="284"/>
      <c r="R51" s="284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270066684.31365699</v>
      </c>
      <c r="I52" s="114">
        <f t="shared" ref="I52:I65" si="1">SUMIF($B$10:$B$26,$T52,D$10:D$26)+SUMIF($B$10:$B$26,$U52,D$10:D$26)</f>
        <v>43943588.924447</v>
      </c>
      <c r="J52" s="114">
        <f t="shared" ref="J52:J65" si="2">SUMIF($B$10:$B$26,$T52,E$10:E$26)+SUMIF($B$10:$B$26,$U52,E$10:E$26)</f>
        <v>134384645.41973299</v>
      </c>
      <c r="K52" s="114">
        <f t="shared" ref="K52:K65" si="3">SUM(H52:J52)</f>
        <v>448394918.65783697</v>
      </c>
      <c r="L52" s="187">
        <f t="shared" ref="L52:L66" si="4">IFERROR(K52/G52,0)</f>
        <v>0.90359482432115135</v>
      </c>
      <c r="M52" s="184">
        <f t="shared" ref="M52:M65" si="5">G52*$H$41-K52</f>
        <v>47839573.383111894</v>
      </c>
      <c r="N52" s="184">
        <f t="shared" ref="N52:N66" ca="1" si="6">IFERROR(M52/$C$3,0)</f>
        <v>47839573.383111894</v>
      </c>
      <c r="O52" s="180">
        <f t="shared" ref="O52:O65" si="7">G52*$J$41-K52</f>
        <v>47839573.383111894</v>
      </c>
      <c r="P52" s="180">
        <f t="shared" ref="P52:P66" ca="1" si="8">IFERROR(O52/$C$3,0)</f>
        <v>47839573.383111894</v>
      </c>
      <c r="Q52" s="185">
        <f t="shared" ref="Q52:Q65" si="9">G52*$L$41-K52</f>
        <v>47839573.383111894</v>
      </c>
      <c r="R52" s="185">
        <f t="shared" ref="R52:R66" ca="1" si="10">IFERROR(Q52/$C$3,0)</f>
        <v>47839573.383111894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223488397.40158799</v>
      </c>
      <c r="I53" s="114">
        <f t="shared" si="1"/>
        <v>102014991.597167</v>
      </c>
      <c r="J53" s="114">
        <f t="shared" si="2"/>
        <v>404437148.72880101</v>
      </c>
      <c r="K53" s="114">
        <f t="shared" si="3"/>
        <v>729940537.72755599</v>
      </c>
      <c r="L53" s="187">
        <f t="shared" si="4"/>
        <v>0.95119786003144591</v>
      </c>
      <c r="M53" s="184">
        <f t="shared" si="5"/>
        <v>37450315.84671998</v>
      </c>
      <c r="N53" s="184">
        <f t="shared" ca="1" si="6"/>
        <v>37450315.84671998</v>
      </c>
      <c r="O53" s="180">
        <f t="shared" si="7"/>
        <v>37450315.84671998</v>
      </c>
      <c r="P53" s="180">
        <f t="shared" ca="1" si="8"/>
        <v>37450315.84671998</v>
      </c>
      <c r="Q53" s="185">
        <f t="shared" si="9"/>
        <v>37450315.84671998</v>
      </c>
      <c r="R53" s="185">
        <f t="shared" ca="1" si="10"/>
        <v>37450315.84671998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20479995.640000001</v>
      </c>
      <c r="I54" s="114">
        <f t="shared" si="1"/>
        <v>0</v>
      </c>
      <c r="J54" s="114">
        <f t="shared" si="2"/>
        <v>0</v>
      </c>
      <c r="K54" s="114">
        <f t="shared" si="3"/>
        <v>20479995.640000001</v>
      </c>
      <c r="L54" s="187">
        <f t="shared" si="4"/>
        <v>7.7884593281727685E-2</v>
      </c>
      <c r="M54" s="184">
        <f t="shared" si="5"/>
        <v>242473109.42301077</v>
      </c>
      <c r="N54" s="184">
        <f t="shared" ca="1" si="6"/>
        <v>242473109.42301077</v>
      </c>
      <c r="O54" s="180">
        <f t="shared" si="7"/>
        <v>242473109.42301077</v>
      </c>
      <c r="P54" s="180">
        <f t="shared" ca="1" si="8"/>
        <v>242473109.42301077</v>
      </c>
      <c r="Q54" s="185">
        <f t="shared" si="9"/>
        <v>242473109.42301077</v>
      </c>
      <c r="R54" s="185">
        <f t="shared" ca="1" si="10"/>
        <v>242473109.42301077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444291128.904737</v>
      </c>
      <c r="I55" s="114">
        <f t="shared" si="1"/>
        <v>39061320.403894</v>
      </c>
      <c r="J55" s="114">
        <f t="shared" si="2"/>
        <v>153793718.043538</v>
      </c>
      <c r="K55" s="114">
        <f t="shared" si="3"/>
        <v>637146167.35216904</v>
      </c>
      <c r="L55" s="187">
        <f t="shared" si="4"/>
        <v>0.89923965277790985</v>
      </c>
      <c r="M55" s="184">
        <f t="shared" si="5"/>
        <v>71392613.587830901</v>
      </c>
      <c r="N55" s="184">
        <f t="shared" ca="1" si="6"/>
        <v>71392613.587830901</v>
      </c>
      <c r="O55" s="180">
        <f t="shared" si="7"/>
        <v>71392613.587830901</v>
      </c>
      <c r="P55" s="180">
        <f t="shared" ca="1" si="8"/>
        <v>71392613.587830901</v>
      </c>
      <c r="Q55" s="185">
        <f t="shared" si="9"/>
        <v>71392613.587830901</v>
      </c>
      <c r="R55" s="185">
        <f t="shared" ca="1" si="10"/>
        <v>71392613.587830901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3670270.2599940002</v>
      </c>
      <c r="I56" s="114">
        <f t="shared" si="1"/>
        <v>37900456</v>
      </c>
      <c r="J56" s="114">
        <f t="shared" si="2"/>
        <v>327900908.15999299</v>
      </c>
      <c r="K56" s="114">
        <f t="shared" si="3"/>
        <v>369471634.41998696</v>
      </c>
      <c r="L56" s="187">
        <f t="shared" si="4"/>
        <v>0.68777168083316531</v>
      </c>
      <c r="M56" s="184">
        <f t="shared" si="5"/>
        <v>167729365.15069866</v>
      </c>
      <c r="N56" s="184">
        <f t="shared" ca="1" si="6"/>
        <v>167729365.15069866</v>
      </c>
      <c r="O56" s="180">
        <f t="shared" si="7"/>
        <v>167729365.15069866</v>
      </c>
      <c r="P56" s="180">
        <f t="shared" ca="1" si="8"/>
        <v>167729365.15069866</v>
      </c>
      <c r="Q56" s="185">
        <f t="shared" si="9"/>
        <v>167729365.15069866</v>
      </c>
      <c r="R56" s="185">
        <f t="shared" ca="1" si="10"/>
        <v>167729365.15069866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212043234.70449099</v>
      </c>
      <c r="I57" s="114">
        <f t="shared" si="1"/>
        <v>65836587.019547001</v>
      </c>
      <c r="J57" s="114">
        <f t="shared" si="2"/>
        <v>124039388.58992</v>
      </c>
      <c r="K57" s="114">
        <f t="shared" si="3"/>
        <v>401919210.31395799</v>
      </c>
      <c r="L57" s="187">
        <f t="shared" si="4"/>
        <v>0.72182086035072279</v>
      </c>
      <c r="M57" s="184">
        <f t="shared" si="5"/>
        <v>154893750.34039468</v>
      </c>
      <c r="N57" s="184">
        <f t="shared" ca="1" si="6"/>
        <v>154893750.34039468</v>
      </c>
      <c r="O57" s="180">
        <f t="shared" si="7"/>
        <v>154893750.34039468</v>
      </c>
      <c r="P57" s="180">
        <f t="shared" ca="1" si="8"/>
        <v>154893750.34039468</v>
      </c>
      <c r="Q57" s="185">
        <f t="shared" si="9"/>
        <v>154893750.34039468</v>
      </c>
      <c r="R57" s="185">
        <f t="shared" ca="1" si="10"/>
        <v>154893750.34039468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573436294.46217</v>
      </c>
      <c r="I58" s="114">
        <f t="shared" si="1"/>
        <v>68087212.979720995</v>
      </c>
      <c r="J58" s="114">
        <f t="shared" si="2"/>
        <v>359048876.09935403</v>
      </c>
      <c r="K58" s="114">
        <f t="shared" si="3"/>
        <v>1000572383.541245</v>
      </c>
      <c r="L58" s="187">
        <f t="shared" si="4"/>
        <v>0.91707202411894351</v>
      </c>
      <c r="M58" s="184">
        <f t="shared" si="5"/>
        <v>90478654.137635946</v>
      </c>
      <c r="N58" s="184">
        <f t="shared" ca="1" si="6"/>
        <v>90478654.137635946</v>
      </c>
      <c r="O58" s="180">
        <f t="shared" si="7"/>
        <v>90478654.137635946</v>
      </c>
      <c r="P58" s="180">
        <f t="shared" ca="1" si="8"/>
        <v>90478654.137635946</v>
      </c>
      <c r="Q58" s="185">
        <f t="shared" si="9"/>
        <v>90478654.137635946</v>
      </c>
      <c r="R58" s="185">
        <f t="shared" ca="1" si="10"/>
        <v>90478654.137635946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295536952.62163299</v>
      </c>
      <c r="I59" s="114">
        <f t="shared" si="1"/>
        <v>65732254.339916997</v>
      </c>
      <c r="J59" s="114">
        <f t="shared" si="2"/>
        <v>181061517.89020401</v>
      </c>
      <c r="K59" s="114">
        <f t="shared" si="3"/>
        <v>542330724.85175395</v>
      </c>
      <c r="L59" s="187">
        <f t="shared" si="4"/>
        <v>0.90926764481551747</v>
      </c>
      <c r="M59" s="184">
        <f t="shared" si="5"/>
        <v>54117117.479409337</v>
      </c>
      <c r="N59" s="184">
        <f t="shared" ca="1" si="6"/>
        <v>54117117.479409337</v>
      </c>
      <c r="O59" s="180">
        <f t="shared" si="7"/>
        <v>54117117.479409337</v>
      </c>
      <c r="P59" s="180">
        <f t="shared" ca="1" si="8"/>
        <v>54117117.479409337</v>
      </c>
      <c r="Q59" s="185">
        <f t="shared" si="9"/>
        <v>54117117.479409337</v>
      </c>
      <c r="R59" s="185">
        <f t="shared" ca="1" si="10"/>
        <v>54117117.479409337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143859574.81999999</v>
      </c>
      <c r="I60" s="114">
        <f t="shared" si="1"/>
        <v>0</v>
      </c>
      <c r="J60" s="114">
        <f t="shared" si="2"/>
        <v>0</v>
      </c>
      <c r="K60" s="114">
        <f t="shared" si="3"/>
        <v>143859574.81999999</v>
      </c>
      <c r="L60" s="187">
        <f t="shared" si="4"/>
        <v>0.32411994900800556</v>
      </c>
      <c r="M60" s="184">
        <f t="shared" si="5"/>
        <v>299987140.75642002</v>
      </c>
      <c r="N60" s="184">
        <f t="shared" ca="1" si="6"/>
        <v>299987140.75642002</v>
      </c>
      <c r="O60" s="180">
        <f t="shared" si="7"/>
        <v>299987140.75642002</v>
      </c>
      <c r="P60" s="180">
        <f t="shared" ca="1" si="8"/>
        <v>299987140.75642002</v>
      </c>
      <c r="Q60" s="185">
        <f t="shared" si="9"/>
        <v>299987140.75642002</v>
      </c>
      <c r="R60" s="185">
        <f t="shared" ca="1" si="10"/>
        <v>299987140.75642002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300924785.19607401</v>
      </c>
      <c r="I61" s="114">
        <f t="shared" si="1"/>
        <v>87326604.717989996</v>
      </c>
      <c r="J61" s="114">
        <f t="shared" si="2"/>
        <v>103356934.06951401</v>
      </c>
      <c r="K61" s="114">
        <f t="shared" si="3"/>
        <v>491608323.98357797</v>
      </c>
      <c r="L61" s="187">
        <f t="shared" si="4"/>
        <v>0.87622411065640093</v>
      </c>
      <c r="M61" s="184">
        <f t="shared" si="5"/>
        <v>69444856.366940022</v>
      </c>
      <c r="N61" s="184">
        <f t="shared" ca="1" si="6"/>
        <v>69444856.366940022</v>
      </c>
      <c r="O61" s="180">
        <f t="shared" si="7"/>
        <v>69444856.366940022</v>
      </c>
      <c r="P61" s="180">
        <f t="shared" ca="1" si="8"/>
        <v>69444856.366940022</v>
      </c>
      <c r="Q61" s="185">
        <f t="shared" si="9"/>
        <v>69444856.366940022</v>
      </c>
      <c r="R61" s="185">
        <f t="shared" ca="1" si="10"/>
        <v>69444856.366940022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453035831.50691497</v>
      </c>
      <c r="I62" s="114">
        <f t="shared" si="1"/>
        <v>69083446.838856995</v>
      </c>
      <c r="J62" s="114">
        <f t="shared" si="2"/>
        <v>202640771.69990101</v>
      </c>
      <c r="K62" s="114">
        <f t="shared" si="3"/>
        <v>724760050.04567301</v>
      </c>
      <c r="L62" s="187">
        <f t="shared" si="4"/>
        <v>1.0376546758000957</v>
      </c>
      <c r="M62" s="184">
        <f t="shared" si="5"/>
        <v>-26300276.33835721</v>
      </c>
      <c r="N62" s="184">
        <f t="shared" ca="1" si="6"/>
        <v>-26300276.33835721</v>
      </c>
      <c r="O62" s="180">
        <f t="shared" si="7"/>
        <v>-26300276.33835721</v>
      </c>
      <c r="P62" s="180">
        <f t="shared" ca="1" si="8"/>
        <v>-26300276.33835721</v>
      </c>
      <c r="Q62" s="185">
        <f t="shared" si="9"/>
        <v>-26300276.33835721</v>
      </c>
      <c r="R62" s="185">
        <f t="shared" ca="1" si="10"/>
        <v>-26300276.33835721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186442124.61438301</v>
      </c>
      <c r="I63" s="114">
        <f t="shared" si="1"/>
        <v>48782899.217996001</v>
      </c>
      <c r="J63" s="114">
        <f t="shared" si="2"/>
        <v>216774642.85777801</v>
      </c>
      <c r="K63" s="114">
        <f t="shared" si="3"/>
        <v>451999666.69015706</v>
      </c>
      <c r="L63" s="187">
        <f t="shared" si="4"/>
        <v>0.98498428909881286</v>
      </c>
      <c r="M63" s="184">
        <f t="shared" si="5"/>
        <v>6890563.0247788429</v>
      </c>
      <c r="N63" s="184">
        <f t="shared" ca="1" si="6"/>
        <v>6890563.0247788429</v>
      </c>
      <c r="O63" s="180">
        <f t="shared" si="7"/>
        <v>6890563.0247788429</v>
      </c>
      <c r="P63" s="180">
        <f t="shared" ca="1" si="8"/>
        <v>6890563.0247788429</v>
      </c>
      <c r="Q63" s="185">
        <f t="shared" si="9"/>
        <v>6890563.0247788429</v>
      </c>
      <c r="R63" s="185">
        <f t="shared" ca="1" si="10"/>
        <v>6890563.0247788429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514004721.535891</v>
      </c>
      <c r="I64" s="114">
        <f t="shared" si="1"/>
        <v>172027681.29659799</v>
      </c>
      <c r="J64" s="114">
        <f t="shared" si="2"/>
        <v>234555712.977231</v>
      </c>
      <c r="K64" s="114">
        <f t="shared" si="3"/>
        <v>920588115.80972004</v>
      </c>
      <c r="L64" s="187">
        <f t="shared" si="4"/>
        <v>0.95810664311977833</v>
      </c>
      <c r="M64" s="184">
        <f t="shared" si="5"/>
        <v>40252853.638220787</v>
      </c>
      <c r="N64" s="184">
        <f t="shared" ca="1" si="6"/>
        <v>40252853.638220787</v>
      </c>
      <c r="O64" s="180">
        <f t="shared" si="7"/>
        <v>40252853.638220787</v>
      </c>
      <c r="P64" s="180">
        <f t="shared" ca="1" si="8"/>
        <v>40252853.638220787</v>
      </c>
      <c r="Q64" s="185">
        <f t="shared" si="9"/>
        <v>40252853.638220787</v>
      </c>
      <c r="R64" s="185">
        <f t="shared" ca="1" si="10"/>
        <v>40252853.638220787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169598479.03748199</v>
      </c>
      <c r="I65" s="114">
        <f t="shared" si="1"/>
        <v>106347544.67603499</v>
      </c>
      <c r="J65" s="114">
        <f t="shared" si="2"/>
        <v>165927889.487335</v>
      </c>
      <c r="K65" s="114">
        <f t="shared" si="3"/>
        <v>441873913.20085192</v>
      </c>
      <c r="L65" s="187">
        <f t="shared" si="4"/>
        <v>0.85175375184465907</v>
      </c>
      <c r="M65" s="184">
        <f t="shared" si="5"/>
        <v>76907380.387673259</v>
      </c>
      <c r="N65" s="184">
        <f t="shared" ca="1" si="6"/>
        <v>76907380.387673259</v>
      </c>
      <c r="O65" s="180">
        <f t="shared" si="7"/>
        <v>76907380.387673259</v>
      </c>
      <c r="P65" s="180">
        <f t="shared" ca="1" si="8"/>
        <v>76907380.387673259</v>
      </c>
      <c r="Q65" s="185">
        <f t="shared" si="9"/>
        <v>76907380.387673259</v>
      </c>
      <c r="R65" s="185">
        <f t="shared" ca="1" si="10"/>
        <v>76907380.387673259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3810878475.0190153</v>
      </c>
      <c r="I66" s="135">
        <f t="shared" si="12"/>
        <v>906144588.01216888</v>
      </c>
      <c r="J66" s="135">
        <f t="shared" si="12"/>
        <v>2607922154.0233026</v>
      </c>
      <c r="K66" s="135">
        <f t="shared" si="12"/>
        <v>7324945217.0544872</v>
      </c>
      <c r="L66" s="189">
        <f t="shared" si="4"/>
        <v>0.84598294472788838</v>
      </c>
      <c r="M66" s="181">
        <f>SUM(M52:M65)</f>
        <v>1333557017.1844878</v>
      </c>
      <c r="N66" s="181">
        <f t="shared" ca="1" si="6"/>
        <v>1333557017.1844878</v>
      </c>
      <c r="O66" s="181">
        <f>SUM(O52:O65)</f>
        <v>1333557017.1844878</v>
      </c>
      <c r="P66" s="181">
        <f t="shared" ca="1" si="8"/>
        <v>1333557017.1844878</v>
      </c>
      <c r="Q66" s="186">
        <f>SUM(Q52:Q65)</f>
        <v>1333557017.1844878</v>
      </c>
      <c r="R66" s="186">
        <f t="shared" ca="1" si="10"/>
        <v>1333557017.1844878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90" t="s">
        <v>144</v>
      </c>
      <c r="C68" s="291"/>
      <c r="D68" s="291"/>
      <c r="E68" s="291"/>
      <c r="F68" s="300"/>
      <c r="G68" s="276" t="s">
        <v>185</v>
      </c>
      <c r="H68" s="277"/>
      <c r="I68" s="277"/>
      <c r="J68" s="277"/>
      <c r="K68" s="277"/>
      <c r="L68" s="278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237991304.04896301</v>
      </c>
      <c r="F70" s="187">
        <f t="shared" ref="F70:F75" si="13">IFERROR(E70/D70,0)</f>
        <v>0.88348432909717434</v>
      </c>
      <c r="G70" s="184">
        <f>D70*$H$41-E70</f>
        <v>31386766.631888151</v>
      </c>
      <c r="H70" s="184">
        <f t="shared" ref="H70:H75" ca="1" si="14">IFERROR(G70/$C$3,0)</f>
        <v>31386766.631888151</v>
      </c>
      <c r="I70" s="204">
        <f>D70*$J$41-E70</f>
        <v>31386766.631888151</v>
      </c>
      <c r="J70" s="204">
        <f t="shared" ref="J70:J75" ca="1" si="15">IFERROR(I70/$C$3,0)</f>
        <v>31386766.631888151</v>
      </c>
      <c r="K70" s="185">
        <f>D70*$L$41-E70</f>
        <v>31386766.631888151</v>
      </c>
      <c r="L70" s="185">
        <f t="shared" ref="L70:L75" ca="1" si="16">IFERROR(K70/$C$3,0)</f>
        <v>31386766.631888151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429890346.57516897</v>
      </c>
      <c r="F71" s="187">
        <f t="shared" si="13"/>
        <v>1.041706429795936</v>
      </c>
      <c r="G71" s="184">
        <f>D71*$H$41-E71</f>
        <v>-17211366.894317865</v>
      </c>
      <c r="H71" s="184">
        <f t="shared" ca="1" si="14"/>
        <v>-17211366.894317865</v>
      </c>
      <c r="I71" s="204">
        <f>D71*$J$41-E71</f>
        <v>-17211366.894317865</v>
      </c>
      <c r="J71" s="204">
        <f t="shared" ca="1" si="15"/>
        <v>-17211366.894317865</v>
      </c>
      <c r="K71" s="185">
        <f>D71*$L$41-E71</f>
        <v>-17211366.894317865</v>
      </c>
      <c r="L71" s="185">
        <f t="shared" ca="1" si="16"/>
        <v>-17211366.894317865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784470039.06313705</v>
      </c>
      <c r="F72" s="187">
        <f t="shared" si="13"/>
        <v>0.71462919643212641</v>
      </c>
      <c r="G72" s="184">
        <f>D72*$H$41-E72</f>
        <v>313260144.61771393</v>
      </c>
      <c r="H72" s="184">
        <f t="shared" ca="1" si="14"/>
        <v>313260144.61771393</v>
      </c>
      <c r="I72" s="204">
        <f>D72*$J$41-E72</f>
        <v>313260144.61771393</v>
      </c>
      <c r="J72" s="204">
        <f t="shared" ca="1" si="15"/>
        <v>313260144.61771393</v>
      </c>
      <c r="K72" s="185">
        <f>D72*$L$41-E72</f>
        <v>313260144.61771393</v>
      </c>
      <c r="L72" s="185">
        <f t="shared" ca="1" si="16"/>
        <v>313260144.61771393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1452351689.687269</v>
      </c>
      <c r="F75" s="177">
        <f t="shared" si="13"/>
        <v>0.81602545624987022</v>
      </c>
      <c r="G75" s="181">
        <f>SUM(G70:G74)</f>
        <v>327435544.35528421</v>
      </c>
      <c r="H75" s="181">
        <f t="shared" ca="1" si="14"/>
        <v>327435544.35528421</v>
      </c>
      <c r="I75" s="186">
        <f>SUM(I70:I74)</f>
        <v>327435544.35528421</v>
      </c>
      <c r="J75" s="186">
        <f t="shared" ca="1" si="15"/>
        <v>327435544.35528421</v>
      </c>
      <c r="K75" s="186">
        <f>SUM(K70:K74)</f>
        <v>327435544.35528421</v>
      </c>
      <c r="L75" s="186">
        <f t="shared" ca="1" si="16"/>
        <v>327435544.35528421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6" t="s">
        <v>170</v>
      </c>
      <c r="C78" s="257"/>
      <c r="D78" s="258"/>
    </row>
    <row r="79" spans="2:21" ht="17.100000000000001" customHeight="1" x14ac:dyDescent="0.25">
      <c r="B79" s="275" t="s">
        <v>41</v>
      </c>
      <c r="C79" s="275" t="s">
        <v>42</v>
      </c>
      <c r="D79" s="231" t="s">
        <v>138</v>
      </c>
    </row>
    <row r="80" spans="2:21" ht="17.100000000000001" customHeight="1" x14ac:dyDescent="0.25">
      <c r="B80" s="265"/>
      <c r="C80" s="265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423916762.48982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198281082.99000001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13405405.039999999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335073522.33967501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102681982.55997799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1215853146.8097529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307960368.599401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13729729.359999999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75549351.290000007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661248301.29922605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160947748.489916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26364324.849199999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158311354.89499998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5837838.0999999996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3699160919.1119685</v>
      </c>
    </row>
    <row r="97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6" t="s">
        <v>174</v>
      </c>
      <c r="C40" s="267"/>
      <c r="D40" s="268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3" t="s">
        <v>145</v>
      </c>
      <c r="C46" s="264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9" t="s">
        <v>146</v>
      </c>
      <c r="C48" s="270"/>
      <c r="D48" s="270"/>
      <c r="E48" s="270"/>
      <c r="F48" s="270"/>
      <c r="G48" s="270"/>
      <c r="H48" s="270"/>
      <c r="I48" s="270"/>
      <c r="J48" s="270"/>
      <c r="K48" s="270"/>
      <c r="L48" s="293"/>
      <c r="M48" s="276" t="s">
        <v>185</v>
      </c>
      <c r="N48" s="277"/>
      <c r="O48" s="277"/>
      <c r="P48" s="277"/>
      <c r="Q48" s="277"/>
      <c r="R48" s="278"/>
    </row>
    <row r="49" spans="2:21" ht="17.100000000000001" customHeight="1" x14ac:dyDescent="0.25">
      <c r="B49" s="294" t="s">
        <v>41</v>
      </c>
      <c r="C49" s="294" t="s">
        <v>42</v>
      </c>
      <c r="D49" s="260" t="s">
        <v>137</v>
      </c>
      <c r="E49" s="261"/>
      <c r="F49" s="261"/>
      <c r="G49" s="262"/>
      <c r="H49" s="295" t="s">
        <v>138</v>
      </c>
      <c r="I49" s="296"/>
      <c r="J49" s="296"/>
      <c r="K49" s="297"/>
      <c r="L49" s="298" t="s">
        <v>139</v>
      </c>
      <c r="M49" s="279" t="str">
        <f>"SELISIH"&amp;CHAR(10)&amp;TEXT($H$40,"0%")</f>
        <v>SELISIH
90%</v>
      </c>
      <c r="N49" s="279" t="str">
        <f>"PER HARI"&amp;CHAR(10)&amp;TEXT($H$40,"0%")</f>
        <v>PER HARI
90%</v>
      </c>
      <c r="O49" s="281" t="str">
        <f>"SELISIH"&amp;CHAR(10)&amp;TEXT($J$40,"0%")</f>
        <v>SELISIH
95%</v>
      </c>
      <c r="P49" s="281" t="str">
        <f>"PER HARI"&amp;CHAR(10)&amp;TEXT($J$40,"0%")</f>
        <v>PER HARI
95%</v>
      </c>
      <c r="Q49" s="283" t="str">
        <f>"SELISIH"&amp;CHAR(10)&amp;TEXT($L$40,"0%")</f>
        <v>SELISIH
100%</v>
      </c>
      <c r="R49" s="283" t="str">
        <f>"PER HARI"&amp;CHAR(10)&amp;TEXT($L$40,"0%")</f>
        <v>PER HARI
100%</v>
      </c>
    </row>
    <row r="50" spans="2:21" ht="17.100000000000001" customHeight="1" x14ac:dyDescent="0.25">
      <c r="B50" s="275"/>
      <c r="C50" s="27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9"/>
      <c r="M50" s="280"/>
      <c r="N50" s="280"/>
      <c r="O50" s="282"/>
      <c r="P50" s="282"/>
      <c r="Q50" s="284"/>
      <c r="R50" s="28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300"/>
      <c r="G67" s="276" t="s">
        <v>185</v>
      </c>
      <c r="H67" s="277"/>
      <c r="I67" s="277"/>
      <c r="J67" s="277"/>
      <c r="K67" s="277"/>
      <c r="L67" s="27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6" t="s">
        <v>170</v>
      </c>
      <c r="C77" s="257"/>
      <c r="D77" s="258"/>
    </row>
    <row r="78" spans="2:21" ht="17.100000000000001" customHeight="1" x14ac:dyDescent="0.25">
      <c r="B78" s="275" t="s">
        <v>41</v>
      </c>
      <c r="C78" s="275" t="s">
        <v>42</v>
      </c>
      <c r="D78" s="231" t="s">
        <v>138</v>
      </c>
    </row>
    <row r="79" spans="2:21" ht="17.100000000000001" customHeight="1" x14ac:dyDescent="0.25">
      <c r="B79" s="265"/>
      <c r="C79" s="265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6" t="s">
        <v>176</v>
      </c>
      <c r="C40" s="267"/>
      <c r="D40" s="268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3" t="s">
        <v>145</v>
      </c>
      <c r="C46" s="264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9" t="s">
        <v>146</v>
      </c>
      <c r="C48" s="270"/>
      <c r="D48" s="270"/>
      <c r="E48" s="270"/>
      <c r="F48" s="270"/>
      <c r="G48" s="270"/>
      <c r="H48" s="270"/>
      <c r="I48" s="270"/>
      <c r="J48" s="270"/>
      <c r="K48" s="270"/>
      <c r="L48" s="293"/>
      <c r="M48" s="276" t="s">
        <v>185</v>
      </c>
      <c r="N48" s="277"/>
      <c r="O48" s="277"/>
      <c r="P48" s="277"/>
      <c r="Q48" s="277"/>
      <c r="R48" s="278"/>
    </row>
    <row r="49" spans="2:21" ht="17.100000000000001" customHeight="1" x14ac:dyDescent="0.25">
      <c r="B49" s="294" t="s">
        <v>41</v>
      </c>
      <c r="C49" s="294" t="s">
        <v>42</v>
      </c>
      <c r="D49" s="260" t="s">
        <v>137</v>
      </c>
      <c r="E49" s="261"/>
      <c r="F49" s="261"/>
      <c r="G49" s="262"/>
      <c r="H49" s="295" t="s">
        <v>138</v>
      </c>
      <c r="I49" s="296"/>
      <c r="J49" s="296"/>
      <c r="K49" s="297"/>
      <c r="L49" s="298" t="s">
        <v>139</v>
      </c>
      <c r="M49" s="279" t="str">
        <f>"SELISIH"&amp;CHAR(10)&amp;TEXT($H$40,"0%")</f>
        <v>SELISIH
90%</v>
      </c>
      <c r="N49" s="279" t="str">
        <f>"PER HARI"&amp;CHAR(10)&amp;TEXT($H$40,"0%")</f>
        <v>PER HARI
90%</v>
      </c>
      <c r="O49" s="281" t="str">
        <f>"SELISIH"&amp;CHAR(10)&amp;TEXT($J$40,"0%")</f>
        <v>SELISIH
95%</v>
      </c>
      <c r="P49" s="281" t="str">
        <f>"PER HARI"&amp;CHAR(10)&amp;TEXT($J$40,"0%")</f>
        <v>PER HARI
95%</v>
      </c>
      <c r="Q49" s="283" t="str">
        <f>"SELISIH"&amp;CHAR(10)&amp;TEXT($L$40,"0%")</f>
        <v>SELISIH
100%</v>
      </c>
      <c r="R49" s="283" t="str">
        <f>"PER HARI"&amp;CHAR(10)&amp;TEXT($L$40,"0%")</f>
        <v>PER HARI
100%</v>
      </c>
    </row>
    <row r="50" spans="2:21" ht="17.100000000000001" customHeight="1" x14ac:dyDescent="0.25">
      <c r="B50" s="275"/>
      <c r="C50" s="27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9"/>
      <c r="M50" s="280"/>
      <c r="N50" s="280"/>
      <c r="O50" s="282"/>
      <c r="P50" s="282"/>
      <c r="Q50" s="284"/>
      <c r="R50" s="28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300"/>
      <c r="G67" s="276" t="s">
        <v>185</v>
      </c>
      <c r="H67" s="277"/>
      <c r="I67" s="277"/>
      <c r="J67" s="277"/>
      <c r="K67" s="277"/>
      <c r="L67" s="27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6" t="s">
        <v>170</v>
      </c>
      <c r="C77" s="257"/>
      <c r="D77" s="258"/>
    </row>
    <row r="78" spans="2:21" ht="17.100000000000001" customHeight="1" x14ac:dyDescent="0.25">
      <c r="B78" s="275" t="s">
        <v>41</v>
      </c>
      <c r="C78" s="275" t="s">
        <v>42</v>
      </c>
      <c r="D78" s="231" t="s">
        <v>138</v>
      </c>
    </row>
    <row r="79" spans="2:21" ht="17.100000000000001" customHeight="1" x14ac:dyDescent="0.25">
      <c r="B79" s="265"/>
      <c r="C79" s="265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2026-10-30T00:44:45Z</dcterms:modified>
  <dc:language>en-US</dc:language>
</cp:coreProperties>
</file>