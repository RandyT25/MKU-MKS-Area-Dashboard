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s="1"/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<sst xmlns="http://schemas.openxmlformats.org/spreadsheetml/2006/main" count="1880" uniqueCount="186">
  <si>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</si>
  <si>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</si>
  <si>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</si>
  <si>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</si>
  <si>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</si>
  <si>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</si>
  <si>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</si>
  <si>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</si>
  <si>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</si>
  <si>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</si>
  <si>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</si>
  <si>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</si>
  <si>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</si>
  <si>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</si>
  <si>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</si>
  <si>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</si>
  <si>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</si>
  <si>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</si>
  <si>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</si>
  <si>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</si>
  <si>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</si>
  <si>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</si>
  <si>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</si>
  <si>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</si>
  <si>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</si>
  <si>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</si>
  <si>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</si>
  <si>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</si>
  <si>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</si>
  <si>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</si>
  <si>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</si>
  <si>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</si>
  <si>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</si>
  <si>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</si>
  <si>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</si>
  <si>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</si>
  <si>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</si>
  <si>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</si>
  <si>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</si>
  <si>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</si>
  <si>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</si>
  <si>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</si>
  <si>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</si>
  <si>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</si>
  <si>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</si>
  <si>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</si>
  <si>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</si>
  <si>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</si>
  <si>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</si>
  <si>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</si>
  <si>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</si>
  <si>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</si>
  <si>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</si>
  <si>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</si>
  <si>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</si>
  <si>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</si>
  <si>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</si>
  <si>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</si>
  <si>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</si>
  <si>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</si>
  <si>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</si>
  <si>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</si>
  <si>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</si>
  <si>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</si>
  <si>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</si>
  <si>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</si>
  <si>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</si>
  <si>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</si>
  <si>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</si>
  <si>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</si>
  <si>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</si>
  <si>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</si>
  <si>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</si>
  <si>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</si>
  <si>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</si>
  <si>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</si>
  <si>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</si>
  <si>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</si>
  <si>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</si>
  <si>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</si>
  <si>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</si>
  <si>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</si>
  <si>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</si>
  <si>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</si>
  <si>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</si>
  <si>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</si>
  <si>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</si>
  <si>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</si>
  <si>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</si>
  <si>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</si>
  <si>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</si>
  <si>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</si>
  <si>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</si>
  <si>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</si>
  <si>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</si>
  <si>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</si>
  <si>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</si>
  <si>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</si>
  <si>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</si>
  <si>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</si>
  <si>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</si>
  <si>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</si>
  <si>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</si>
  <si>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</si>
  <si>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</si>
  <si>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</si>
  <si>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</si>
  <si>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</si>
  <si>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</si>
  <si>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</si>
  <si>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</si>
  <si>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</si>
  <si>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</si>
  <si>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</si>
  <si>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</si>
  <si>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</si>
  <si>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</si>
  <si>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</si>
  <si>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</si>
  <si>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</si>
  <si>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</si>
  <si>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</si>
  <si>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</si>
  <si>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</si>
  <si>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</si>
  <si>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</si>
  <si>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</si>
  <si>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</si>
  <si>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</si>
  <si>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</si>
  <si>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</si>
  <si>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</si>
  <si>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</si>
  <si>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</si>
  <si>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</si>
  <si>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</si>
  <si>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</si>
  <si>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</si>
  <si>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</si>
  <si>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</si>
  <si>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</si>
  <si>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</si>
  <si>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</si>
  <si>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</si>
  <si>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</si>
  <si>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</si>
  <si>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</si>
  <si>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</si>
  <si>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</si>
  <si>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</si>
  <si>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</si>
  <si>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</si>
  <si>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</si>
  <si>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</si>
  <si>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</si>
  <si>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</si>
  <si>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</si>
  <si>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</si>
  <si>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</si>
  <si>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</si>
  <si>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</si>
  <si>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</si>
  <si>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</si>
  <si>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</si>
  <si>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</si>
  <si>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</si>
  <si>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</si>
  <si>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</si>
  <si>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</si>
  <si>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</si>
  <si>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</si>
  <si>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</si>
  <si>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</si>
  <si>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</si>
  <si>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</si>
  <si>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</si>
  <si>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</si>
  <si>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</si>
  <si>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</si>
  <si>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</si>
  <si>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</si>
  <si>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</si>
  <si>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</si>
  <si>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</si>
  <si>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</si>
  <si>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06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</si>
</sst>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23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27512786.096156824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24155970.857247423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4772718.0321614221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56441474.98556567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6606266.2315897085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5910853.6950986953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1908931.3999999994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-1754291.6298272661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5686712.0700663533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3508152.3676062459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-1092049.37690172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4818018.6189256543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4504875.6595663037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3287475.9850991471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7705919.8872120976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5146709.9200944724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1504594.9114345831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3926587.2134400164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51668756.953404292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-580999.03983793315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-805629.68425575807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6159346.7562551191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4772718.0321614277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23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72710237.919788003</v>
      </c>
      <c r="N8" s="11">
        <f>D24</f>
        <v>12164574.779983999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134350544.888156</v>
      </c>
      <c r="N9" s="11">
        <f>D12+D13</f>
        <v>51635471.105829999</v>
      </c>
    </row>
    <row r="10" spans="2:14" x14ac:dyDescent="0.25">
      <c r="B10" s="74" t="s">
        <v>113</v>
      </c>
      <c r="C10" s="206">
        <v>81123123.688261002</v>
      </c>
      <c r="D10" s="206">
        <v>5293937.9857000001</v>
      </c>
      <c r="E10" s="206">
        <v>26597296.449999999</v>
      </c>
      <c r="F10" s="206">
        <v>113014358.123961</v>
      </c>
      <c r="H10" s="116"/>
      <c r="I10" s="116"/>
      <c r="J10" s="116"/>
      <c r="M10" s="11">
        <f>C14</f>
        <v>137394922.78248301</v>
      </c>
      <c r="N10" s="11">
        <f>D14</f>
        <v>1608995.4899889999</v>
      </c>
    </row>
    <row r="11" spans="2:14" x14ac:dyDescent="0.25">
      <c r="B11" s="74" t="s">
        <v>114</v>
      </c>
      <c r="C11" s="206">
        <v>73575780.845605001</v>
      </c>
      <c r="D11" s="206">
        <v>12499339.657956</v>
      </c>
      <c r="E11" s="206">
        <v>41196209.5</v>
      </c>
      <c r="F11" s="206">
        <v>127271330.003561</v>
      </c>
      <c r="H11" s="116"/>
      <c r="I11" s="116"/>
      <c r="J11" s="116"/>
      <c r="M11" s="11">
        <f>C17</f>
        <v>83558558.999650002</v>
      </c>
      <c r="N11" s="11">
        <f>D17</f>
        <v>12735432.119999999</v>
      </c>
    </row>
    <row r="12" spans="2:14" x14ac:dyDescent="0.25">
      <c r="B12" s="74" t="s">
        <v>70</v>
      </c>
      <c r="C12" s="206">
        <v>78130048.531561002</v>
      </c>
      <c r="D12" s="206">
        <v>46894299.915830001</v>
      </c>
      <c r="E12" s="206">
        <v>15711711.279999999</v>
      </c>
      <c r="F12" s="206">
        <v>140736059.727391</v>
      </c>
      <c r="H12" s="116"/>
      <c r="I12" s="116"/>
      <c r="J12" s="116"/>
      <c r="M12" s="11">
        <f>C16</f>
        <v>78265294.072640002</v>
      </c>
      <c r="N12" s="11">
        <f>D16</f>
        <v>26467987.810922001</v>
      </c>
    </row>
    <row r="13" spans="2:14" x14ac:dyDescent="0.25">
      <c r="B13" s="74" t="s">
        <v>115</v>
      </c>
      <c r="C13" s="206">
        <v>56220496.356595002</v>
      </c>
      <c r="D13" s="206">
        <v>4741171.1900000004</v>
      </c>
      <c r="E13" s="206">
        <v>3225225.16</v>
      </c>
      <c r="F13" s="206">
        <v>64186892.706595004</v>
      </c>
      <c r="H13" s="116"/>
      <c r="I13" s="116"/>
      <c r="J13" s="116"/>
      <c r="M13" s="11">
        <f>C19</f>
        <v>265432820.74970299</v>
      </c>
      <c r="N13" s="11">
        <f>D19</f>
        <v>13724059.439998001</v>
      </c>
    </row>
    <row r="14" spans="2:14" x14ac:dyDescent="0.25">
      <c r="B14" s="74" t="s">
        <v>116</v>
      </c>
      <c r="C14" s="206">
        <v>137394922.78248301</v>
      </c>
      <c r="D14" s="206">
        <v>1608995.4899889999</v>
      </c>
      <c r="E14" s="206">
        <v>56667747.170000002</v>
      </c>
      <c r="F14" s="206">
        <v>195671665.44247201</v>
      </c>
      <c r="H14" s="116"/>
      <c r="I14" s="116"/>
      <c r="J14" s="116"/>
      <c r="M14" s="11">
        <f>C25</f>
        <v>85426463.634579003</v>
      </c>
      <c r="N14" s="11">
        <f>D25</f>
        <v>7261945.9599959999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73575780.845605001</v>
      </c>
      <c r="N15" s="11">
        <f>D11</f>
        <v>12499339.657956</v>
      </c>
    </row>
    <row r="16" spans="2:14" x14ac:dyDescent="0.25">
      <c r="B16" s="74" t="s">
        <v>74</v>
      </c>
      <c r="C16" s="206">
        <v>78265294.072640002</v>
      </c>
      <c r="D16" s="206">
        <v>26467987.810922001</v>
      </c>
      <c r="E16" s="206">
        <v>5585585.5</v>
      </c>
      <c r="F16" s="206">
        <v>110318867.383562</v>
      </c>
      <c r="H16" s="116"/>
      <c r="I16" s="116"/>
      <c r="J16" s="116"/>
      <c r="M16" s="11">
        <f>C26</f>
        <v>99023629.999679998</v>
      </c>
      <c r="N16" s="11">
        <f>D26</f>
        <v>9426876.5999989994</v>
      </c>
    </row>
    <row r="17" spans="2:14" x14ac:dyDescent="0.25">
      <c r="B17" s="74" t="s">
        <v>118</v>
      </c>
      <c r="C17" s="206">
        <v>83558558.999650002</v>
      </c>
      <c r="D17" s="206">
        <v>12735432.119999999</v>
      </c>
      <c r="E17" s="206" t="s">
        <v>168</v>
      </c>
      <c r="F17" s="206">
        <v>96293991.119650006</v>
      </c>
      <c r="H17" s="116"/>
      <c r="I17" s="116"/>
      <c r="J17" s="116"/>
      <c r="M17" s="11">
        <f>C10</f>
        <v>81123123.688261002</v>
      </c>
      <c r="N17" s="11">
        <f>D10</f>
        <v>5293937.9857000001</v>
      </c>
    </row>
    <row r="18" spans="2:14" x14ac:dyDescent="0.25">
      <c r="B18" s="74" t="s">
        <v>119</v>
      </c>
      <c r="C18" s="206">
        <v>815129570.05384195</v>
      </c>
      <c r="D18" s="206">
        <v>2202468.729998</v>
      </c>
      <c r="E18" s="206">
        <v>713513.52</v>
      </c>
      <c r="F18" s="206">
        <v>818045552.30384004</v>
      </c>
      <c r="H18" s="116"/>
      <c r="I18" s="116"/>
      <c r="J18" s="116"/>
      <c r="M18" s="11">
        <f>C27</f>
        <v>161867060.38935</v>
      </c>
      <c r="N18" s="11">
        <f>D27</f>
        <v>25044583.649753999</v>
      </c>
    </row>
    <row r="19" spans="2:14" x14ac:dyDescent="0.25">
      <c r="B19" s="74" t="s">
        <v>121</v>
      </c>
      <c r="C19" s="206">
        <v>265432820.74970299</v>
      </c>
      <c r="D19" s="206">
        <v>13724059.439998001</v>
      </c>
      <c r="E19" s="206">
        <v>245231529.80000001</v>
      </c>
      <c r="F19" s="206">
        <v>524388409.98970097</v>
      </c>
      <c r="H19" s="116"/>
      <c r="I19" s="116"/>
      <c r="J19" s="116"/>
      <c r="M19" s="11">
        <f>C20+C21</f>
        <v>39481438.550668001</v>
      </c>
      <c r="N19" s="11">
        <f>D20+D21</f>
        <v>16005016.229815001</v>
      </c>
    </row>
    <row r="20" spans="2:14" x14ac:dyDescent="0.25">
      <c r="B20" s="74" t="s">
        <v>123</v>
      </c>
      <c r="C20" s="206">
        <v>30146849.850673001</v>
      </c>
      <c r="D20" s="206">
        <v>504000</v>
      </c>
      <c r="E20" s="206">
        <v>972973</v>
      </c>
      <c r="F20" s="206">
        <v>31623822.850673001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6">
        <v>9334588.6999949999</v>
      </c>
      <c r="D21" s="206">
        <v>15501016.229815001</v>
      </c>
      <c r="E21" s="206">
        <v>7967567.7599999998</v>
      </c>
      <c r="F21" s="206">
        <v>32803172.68981</v>
      </c>
      <c r="H21" s="116"/>
      <c r="I21" s="116"/>
      <c r="J21" s="116"/>
      <c r="M21" s="14">
        <f>IFERROR(C34,0)+IFERROR(C35,0)+M20</f>
        <v>55640561.861166</v>
      </c>
      <c r="N21" s="10" t="s">
        <v>122</v>
      </c>
    </row>
    <row r="22" spans="2:14" x14ac:dyDescent="0.25">
      <c r="B22" s="74" t="s">
        <v>172</v>
      </c>
      <c r="C22" s="206">
        <v>52619440.100000001</v>
      </c>
      <c r="D22" s="206" t="s">
        <v>168</v>
      </c>
      <c r="E22" s="206" t="s">
        <v>168</v>
      </c>
      <c r="F22" s="206">
        <v>52619440.100000001</v>
      </c>
      <c r="H22" s="116"/>
      <c r="I22" s="116"/>
      <c r="J22" s="116"/>
    </row>
    <row r="23" spans="2:14" x14ac:dyDescent="0.25">
      <c r="B23" s="74" t="s">
        <v>173</v>
      </c>
      <c r="C23" s="206">
        <v>75177498.400000006</v>
      </c>
      <c r="D23" s="206" t="s">
        <v>168</v>
      </c>
      <c r="E23" s="206">
        <v>2162162.1</v>
      </c>
      <c r="F23" s="206">
        <v>77339660.5</v>
      </c>
      <c r="H23" s="116"/>
      <c r="I23" s="116"/>
      <c r="J23" s="116"/>
    </row>
    <row r="24" spans="2:14" x14ac:dyDescent="0.25">
      <c r="B24" s="74" t="s">
        <v>125</v>
      </c>
      <c r="C24" s="206">
        <v>72710237.919788003</v>
      </c>
      <c r="D24" s="206">
        <v>12164574.779983999</v>
      </c>
      <c r="E24" s="206">
        <v>72963062.640000001</v>
      </c>
      <c r="F24" s="206">
        <v>157837875.33977199</v>
      </c>
      <c r="H24" s="116"/>
      <c r="I24" s="116"/>
      <c r="J24" s="116"/>
    </row>
    <row r="25" spans="2:14" x14ac:dyDescent="0.25">
      <c r="B25" s="74" t="s">
        <v>126</v>
      </c>
      <c r="C25" s="206">
        <v>85426463.634579003</v>
      </c>
      <c r="D25" s="206">
        <v>7261945.9599959999</v>
      </c>
      <c r="E25" s="206">
        <v>38504505.199890003</v>
      </c>
      <c r="F25" s="206">
        <v>131192914.79446501</v>
      </c>
      <c r="H25" s="116"/>
      <c r="I25" s="116"/>
      <c r="J25" s="116"/>
    </row>
    <row r="26" spans="2:14" x14ac:dyDescent="0.25">
      <c r="B26" s="74" t="s">
        <v>127</v>
      </c>
      <c r="C26" s="206">
        <v>99023629.999679998</v>
      </c>
      <c r="D26" s="206">
        <v>9426876.5999989994</v>
      </c>
      <c r="E26" s="206">
        <v>112876938.069847</v>
      </c>
      <c r="F26" s="206">
        <v>221327444.66952601</v>
      </c>
      <c r="H26" s="116"/>
      <c r="I26" s="116"/>
      <c r="J26" s="116"/>
    </row>
    <row r="27" spans="2:14" x14ac:dyDescent="0.25">
      <c r="B27" s="74" t="s">
        <v>128</v>
      </c>
      <c r="C27" s="206">
        <v>161867060.38935</v>
      </c>
      <c r="D27" s="206">
        <v>25044583.649753999</v>
      </c>
      <c r="E27" s="206" t="s">
        <v>168</v>
      </c>
      <c r="F27" s="206">
        <v>186911644.03910401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31944342.069788001</v>
      </c>
      <c r="G32" s="116"/>
      <c r="H32" s="116"/>
      <c r="I32" s="116"/>
    </row>
    <row r="33" spans="2:14" x14ac:dyDescent="0.25">
      <c r="B33" s="84" t="s">
        <v>133</v>
      </c>
      <c r="C33" s="206">
        <v>108998373.05651601</v>
      </c>
      <c r="G33" s="116"/>
      <c r="H33" s="116"/>
      <c r="I33" s="116"/>
    </row>
    <row r="34" spans="2:14" x14ac:dyDescent="0.25">
      <c r="B34" s="84" t="s">
        <v>134</v>
      </c>
      <c r="C34" s="206">
        <v>25229373.809507001</v>
      </c>
      <c r="G34" s="116"/>
      <c r="H34" s="116"/>
      <c r="I34" s="116"/>
    </row>
    <row r="35" spans="2:14" x14ac:dyDescent="0.25">
      <c r="B35" s="84" t="s">
        <v>135</v>
      </c>
      <c r="C35" s="206">
        <v>30411188.051658999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0.19354838709677419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1440006815.0205629</v>
      </c>
      <c r="F43" s="44">
        <f>IFERROR(E43/D43,0)</f>
        <v>0.18118207278689541</v>
      </c>
      <c r="G43" s="118">
        <f>D43-E43</f>
        <v>6507836991.3271265</v>
      </c>
      <c r="H43" s="118">
        <f ca="1">IFERROR(G43/C3,0)</f>
        <v>282949434.40552723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193868220.829943</v>
      </c>
      <c r="F44" s="44">
        <f>IFERROR(E44/D44,0)</f>
        <v>0.13075300595726838</v>
      </c>
      <c r="G44" s="118">
        <f>D44-E44</f>
        <v>1288837430.260797</v>
      </c>
      <c r="H44" s="118">
        <f ca="1">IFERROR(G44/C3,0)</f>
        <v>56036410.011339001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196583276.98747</v>
      </c>
      <c r="F45" s="44">
        <f>IFERROR(E45/D45,0)</f>
        <v>0.10620016113116194</v>
      </c>
      <c r="G45" s="118">
        <f>D45-E45</f>
        <v>1654480552.7997644</v>
      </c>
      <c r="H45" s="118">
        <f ca="1">IFERROR(G45/C3,0)</f>
        <v>71933937.078250632</v>
      </c>
      <c r="I45" s="116"/>
    </row>
    <row r="46" spans="2:14" x14ac:dyDescent="0.25">
      <c r="B46" s="222" t="s">
        <v>146</v>
      </c>
      <c r="C46" s="223"/>
      <c r="D46" s="47">
        <f>D43+D44+D45</f>
        <v>11281613287.225662</v>
      </c>
      <c r="E46" s="47">
        <f>E43+E44+E45</f>
        <v>1830458312.8379757</v>
      </c>
      <c r="F46" s="43">
        <f>IFERROR(E46/D46,0)</f>
        <v>0.16225146760797329</v>
      </c>
      <c r="G46" s="119">
        <f>G43+G44+G45</f>
        <v>9451154974.3876877</v>
      </c>
      <c r="H46" s="119">
        <f ca="1">IFERROR(G46/C3,0)</f>
        <v>410919781.49511683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72710237.919788003</v>
      </c>
      <c r="H51" s="122">
        <f>N8</f>
        <v>12164574.779983999</v>
      </c>
      <c r="I51" s="122">
        <f t="shared" ref="I51:I64" si="1">G51+H51</f>
        <v>84874812.699772</v>
      </c>
      <c r="J51" s="61">
        <f t="shared" ref="J51:J64" si="2">IFERROR(I51/F51,0)</f>
        <v>0.14954178783349584</v>
      </c>
      <c r="K51" s="51">
        <f t="shared" ref="K51:M64" si="3">D51-G51</f>
        <v>418526939.20567542</v>
      </c>
      <c r="L51" s="51">
        <f t="shared" si="3"/>
        <v>64164103.293997452</v>
      </c>
      <c r="M51" s="51">
        <f t="shared" si="3"/>
        <v>482691042.49967289</v>
      </c>
      <c r="N51" s="51">
        <f ca="1">IFERROR(M51/C3,0)</f>
        <v>20986567.065203167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134350544.888156</v>
      </c>
      <c r="H52" s="122">
        <f>N9</f>
        <v>51635471.105829999</v>
      </c>
      <c r="I52" s="122">
        <f t="shared" si="1"/>
        <v>185986015.99398601</v>
      </c>
      <c r="J52" s="61">
        <f t="shared" si="2"/>
        <v>0.22174924222049505</v>
      </c>
      <c r="K52" s="54">
        <f t="shared" si="3"/>
        <v>523106614.96359366</v>
      </c>
      <c r="L52" s="54">
        <f t="shared" si="3"/>
        <v>129629585.77519231</v>
      </c>
      <c r="M52" s="54">
        <f t="shared" si="3"/>
        <v>652736200.73878598</v>
      </c>
      <c r="N52" s="54">
        <f ca="1">IFERROR(M52/C3,0)</f>
        <v>28379834.814729825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52619440.100000001</v>
      </c>
      <c r="H53" s="122">
        <f>IF(D22="",0,D22)</f>
        <v>0</v>
      </c>
      <c r="I53" s="122">
        <f>G53+H53</f>
        <v>52619440.100000001</v>
      </c>
      <c r="J53" s="61">
        <f>IFERROR(I53/F53,0)</f>
        <v>0.21136076328556014</v>
      </c>
      <c r="K53" s="54">
        <f>D53-G53</f>
        <v>196336133.68787572</v>
      </c>
      <c r="L53" s="54">
        <f>E53-H53</f>
        <v>0</v>
      </c>
      <c r="M53" s="54">
        <f>F53-I53</f>
        <v>196336133.68787572</v>
      </c>
      <c r="N53" s="54">
        <f ca="1">IFERROR(M53/C3,0)</f>
        <v>8536353.6386032924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137394922.78248301</v>
      </c>
      <c r="H54" s="122">
        <f t="shared" ref="H54:H58" si="4">N10</f>
        <v>1608995.4899889999</v>
      </c>
      <c r="I54" s="122">
        <f t="shared" si="1"/>
        <v>139003918.27247202</v>
      </c>
      <c r="J54" s="61">
        <f t="shared" si="2"/>
        <v>0.17823982534060964</v>
      </c>
      <c r="K54" s="54">
        <f>D54-G54</f>
        <v>590992354.79141974</v>
      </c>
      <c r="L54" s="54">
        <f t="shared" si="3"/>
        <v>49873871.034604356</v>
      </c>
      <c r="M54" s="54">
        <f t="shared" si="3"/>
        <v>640866225.82602406</v>
      </c>
      <c r="N54" s="54">
        <f ca="1">IFERROR(M54/C3,0)</f>
        <v>27863748.948957566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83558558.999650002</v>
      </c>
      <c r="H55" s="122">
        <f t="shared" si="4"/>
        <v>12735432.119999999</v>
      </c>
      <c r="I55" s="122">
        <f t="shared" si="1"/>
        <v>96293991.119650006</v>
      </c>
      <c r="J55" s="61">
        <f t="shared" si="2"/>
        <v>0.17425676619287367</v>
      </c>
      <c r="K55" s="54">
        <f t="shared" si="3"/>
        <v>398753619.47771537</v>
      </c>
      <c r="L55" s="54">
        <f t="shared" si="3"/>
        <v>57550679.979588963</v>
      </c>
      <c r="M55" s="54">
        <f t="shared" si="3"/>
        <v>456304299.45730436</v>
      </c>
      <c r="N55" s="54">
        <f ca="1">IFERROR(M55/C3,0)</f>
        <v>19839317.367708884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78265294.072640002</v>
      </c>
      <c r="H56" s="122">
        <f t="shared" si="4"/>
        <v>26467987.810922001</v>
      </c>
      <c r="I56" s="122">
        <f t="shared" si="1"/>
        <v>104733281.883562</v>
      </c>
      <c r="J56" s="61">
        <f t="shared" si="2"/>
        <v>0.16673442378310269</v>
      </c>
      <c r="K56" s="54">
        <f t="shared" si="3"/>
        <v>426926708.93044657</v>
      </c>
      <c r="L56" s="54">
        <f t="shared" si="3"/>
        <v>96484332.998840109</v>
      </c>
      <c r="M56" s="54">
        <f t="shared" si="3"/>
        <v>523411041.92928672</v>
      </c>
      <c r="N56" s="54">
        <f ca="1">IFERROR(M56/C3,0)</f>
        <v>22757001.823012467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265432820.74970299</v>
      </c>
      <c r="H57" s="122">
        <f t="shared" si="4"/>
        <v>13724059.439998001</v>
      </c>
      <c r="I57" s="122">
        <f t="shared" si="1"/>
        <v>279156880.18970096</v>
      </c>
      <c r="J57" s="61">
        <f t="shared" si="2"/>
        <v>0.24015924534696767</v>
      </c>
      <c r="K57" s="54">
        <f t="shared" si="3"/>
        <v>795812582.29901576</v>
      </c>
      <c r="L57" s="54">
        <f t="shared" si="3"/>
        <v>87412938.348660395</v>
      </c>
      <c r="M57" s="54">
        <f t="shared" si="3"/>
        <v>883225520.64767611</v>
      </c>
      <c r="N57" s="54">
        <f ca="1">IFERROR(M57/C3,0)</f>
        <v>38401109.593377225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85426463.634579003</v>
      </c>
      <c r="H58" s="122">
        <f t="shared" si="4"/>
        <v>7261945.9599959999</v>
      </c>
      <c r="I58" s="122">
        <f>G58+H58</f>
        <v>92688409.594575003</v>
      </c>
      <c r="J58" s="61">
        <f>IFERROR(I58/F58,0)</f>
        <v>0.13880098216986228</v>
      </c>
      <c r="K58" s="54">
        <f t="shared" si="3"/>
        <v>477687707.09950978</v>
      </c>
      <c r="L58" s="54">
        <f t="shared" si="3"/>
        <v>97403088.795574486</v>
      </c>
      <c r="M58" s="54">
        <f t="shared" si="3"/>
        <v>575090795.89508426</v>
      </c>
      <c r="N58" s="54">
        <f ca="1">IFERROR(M58/C3,0)</f>
        <v>25003947.647612359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75177498.400000006</v>
      </c>
      <c r="H59" s="122">
        <f>IF(D23="",0,D23)</f>
        <v>0</v>
      </c>
      <c r="I59" s="122">
        <f>G59+H59</f>
        <v>75177498.400000006</v>
      </c>
      <c r="J59" s="61">
        <f>IFERROR(I59/F59,0)</f>
        <v>0.17489273248755882</v>
      </c>
      <c r="K59" s="54">
        <f>D59-G59</f>
        <v>354671685.90128493</v>
      </c>
      <c r="L59" s="54">
        <f>E59-H59</f>
        <v>0</v>
      </c>
      <c r="M59" s="54">
        <f>F59-I59</f>
        <v>354671685.90128493</v>
      </c>
      <c r="N59" s="54">
        <f ca="1">IFERROR(M59/C3,0)</f>
        <v>15420508.082664562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73575780.845605001</v>
      </c>
      <c r="H60" s="122">
        <f t="shared" ref="H60:H64" si="5">N15</f>
        <v>12499339.657956</v>
      </c>
      <c r="I60" s="122">
        <f t="shared" si="1"/>
        <v>86075120.503561005</v>
      </c>
      <c r="J60" s="61">
        <f t="shared" si="2"/>
        <v>0.13611199291168963</v>
      </c>
      <c r="K60" s="54">
        <f t="shared" si="3"/>
        <v>441145330.58124304</v>
      </c>
      <c r="L60" s="54">
        <f t="shared" si="3"/>
        <v>105164092.42421007</v>
      </c>
      <c r="M60" s="54">
        <f t="shared" si="3"/>
        <v>546309423.00545311</v>
      </c>
      <c r="N60" s="54">
        <f ca="1">IFERROR(M60/C3,0)</f>
        <v>23752583.608932745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99023629.999679998</v>
      </c>
      <c r="H61" s="122">
        <f t="shared" si="5"/>
        <v>9426876.5999989994</v>
      </c>
      <c r="I61" s="122">
        <f t="shared" si="1"/>
        <v>108450506.59967899</v>
      </c>
      <c r="J61" s="61">
        <f t="shared" si="2"/>
        <v>0.14088302840330549</v>
      </c>
      <c r="K61" s="54">
        <f t="shared" si="3"/>
        <v>599821546.23992097</v>
      </c>
      <c r="L61" s="54">
        <f t="shared" si="3"/>
        <v>61519084.026211828</v>
      </c>
      <c r="M61" s="54">
        <f t="shared" si="3"/>
        <v>661340630.26613283</v>
      </c>
      <c r="N61" s="54">
        <f ca="1">IFERROR(M61/C3,0)</f>
        <v>28753940.446353603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81123123.688261002</v>
      </c>
      <c r="H62" s="122">
        <f t="shared" si="5"/>
        <v>5293937.9857000001</v>
      </c>
      <c r="I62" s="122">
        <f t="shared" si="1"/>
        <v>86417061.673960999</v>
      </c>
      <c r="J62" s="61">
        <f t="shared" si="2"/>
        <v>0.16298291664366343</v>
      </c>
      <c r="K62" s="54">
        <f t="shared" si="3"/>
        <v>400747240.52910507</v>
      </c>
      <c r="L62" s="54">
        <f t="shared" si="3"/>
        <v>43057290.670365795</v>
      </c>
      <c r="M62" s="54">
        <f t="shared" si="3"/>
        <v>443804531.19947094</v>
      </c>
      <c r="N62" s="54">
        <f ca="1">IFERROR(M62/C3,0)</f>
        <v>19295849.182585694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161867060.38935</v>
      </c>
      <c r="H63" s="122">
        <f t="shared" si="5"/>
        <v>25044583.649753999</v>
      </c>
      <c r="I63" s="122">
        <f t="shared" si="1"/>
        <v>186911644.03910398</v>
      </c>
      <c r="J63" s="61">
        <f t="shared" si="2"/>
        <v>0.18108569483461698</v>
      </c>
      <c r="K63" s="54">
        <f t="shared" si="3"/>
        <v>544187868.60345054</v>
      </c>
      <c r="L63" s="54">
        <f t="shared" si="3"/>
        <v>301072819.96388233</v>
      </c>
      <c r="M63" s="54">
        <f t="shared" si="3"/>
        <v>845260688.56733274</v>
      </c>
      <c r="N63" s="54">
        <f ca="1">IFERROR(M63/C3,0)</f>
        <v>36750464.720318817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39481438.550668001</v>
      </c>
      <c r="H64" s="122">
        <f t="shared" si="5"/>
        <v>16005016.229815001</v>
      </c>
      <c r="I64" s="122">
        <f t="shared" si="1"/>
        <v>55486454.780483</v>
      </c>
      <c r="J64" s="61">
        <f t="shared" si="2"/>
        <v>9.4026884775443492E-2</v>
      </c>
      <c r="K64" s="54">
        <f t="shared" si="3"/>
        <v>339120659.01686919</v>
      </c>
      <c r="L64" s="54">
        <f t="shared" si="3"/>
        <v>195505542.94966897</v>
      </c>
      <c r="M64" s="54">
        <f t="shared" si="3"/>
        <v>534626201.96653819</v>
      </c>
      <c r="N64" s="54">
        <f ca="1">IFERROR(M64/C3,0)</f>
        <v>23244617.476806007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1440006815.0205629</v>
      </c>
      <c r="H65" s="152">
        <f>SUM(H51:H64)</f>
        <v>193868220.829943</v>
      </c>
      <c r="I65" s="152">
        <f>SUM(I51:I64)</f>
        <v>1633875035.8505061</v>
      </c>
      <c r="J65" s="153">
        <f>IFERROR(I65/F65,0)</f>
        <v>0.17325342952968378</v>
      </c>
      <c r="K65" s="154">
        <f>SUM(K51:K64)</f>
        <v>6507836991.3271265</v>
      </c>
      <c r="L65" s="154">
        <f>SUM(L51:L64)</f>
        <v>1288837430.260797</v>
      </c>
      <c r="M65" s="154">
        <f>SUM(M51:M64)</f>
        <v>7796674421.5879221</v>
      </c>
      <c r="N65" s="154">
        <f ca="1">IFERROR(M65/C3,0)</f>
        <v>338985844.41686618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72963062.640000001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18936936.439999998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56667747.170000002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5585585.5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245231529.80000001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38504505.199890003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2162162.1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41196209.5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112876938.069847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26597296.449999999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8940540.7599999998</v>
      </c>
    </row>
    <row r="84" spans="2:9" ht="20.100000000000001" customHeight="1" x14ac:dyDescent="0.25">
      <c r="B84" s="57" t="s">
        <v>152</v>
      </c>
      <c r="C84" s="58"/>
      <c r="D84" s="129">
        <f>SUM(D70:D83)</f>
        <v>629662513.62973714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31944342.069788001</v>
      </c>
      <c r="F89" s="61">
        <f t="shared" ref="F89:F94" si="7">IFERROR(E89/D89,0)</f>
        <v>0.10897412832813733</v>
      </c>
      <c r="G89" s="125">
        <f>D89-E89</f>
        <v>261192593.82382914</v>
      </c>
      <c r="H89" s="125">
        <f ca="1">IFERROR(G89/C3,0)</f>
        <v>11356199.731470833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108998373.05651601</v>
      </c>
      <c r="F90" s="61">
        <f t="shared" si="7"/>
        <v>0.24974546623720187</v>
      </c>
      <c r="G90" s="126">
        <f>D90-E90</f>
        <v>327439471.83710116</v>
      </c>
      <c r="H90" s="126">
        <f ca="1">IFERROR(G90/C3,0)</f>
        <v>14236498.775526138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55640561.861166</v>
      </c>
      <c r="F91" s="61">
        <f t="shared" si="7"/>
        <v>4.9613112059167332E-2</v>
      </c>
      <c r="G91" s="125">
        <f>D91-E91</f>
        <v>1065848487.138834</v>
      </c>
      <c r="H91" s="125">
        <f ca="1">IFERROR(G91/C3,0)</f>
        <v>46341238.57125365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196583276.98747</v>
      </c>
      <c r="F94" s="43">
        <f t="shared" si="7"/>
        <v>0.10620016113116194</v>
      </c>
      <c r="G94" s="119">
        <f>SUM(G89:G93)</f>
        <v>1654480552.7997642</v>
      </c>
      <c r="H94" s="119">
        <f ca="1">IFERROR(G94/C3,0)</f>
        <v>71933937.078250617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2026-07-06T00:57:38Z</dcterms:modified>
  <dc:language>en-US</dc:language>
</cp:coreProperties>
</file>