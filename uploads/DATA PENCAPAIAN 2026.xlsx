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firstSheet="1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8" l="1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D92" i="8"/>
  <c r="D91" i="8"/>
  <c r="D90" i="8"/>
  <c r="D94" i="8" s="1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1" i="8" l="1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I52" i="8" l="1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<sst xmlns="http://schemas.openxmlformats.org/spreadsheetml/2006/main" count="1876" uniqueCount="185">
  <si>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</si>
  <si>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</si>
  <si>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</si>
  <si>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</si>
  <si>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</si>
  <si>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</si>
  <si>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</si>
  <si>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</si>
  <si>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</si>
  <si>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</si>
  <si>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</si>
  <si>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</si>
  <si>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</si>
  <si>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</si>
  <si>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</si>
  <si>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</si>
  <si>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</si>
  <si>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</si>
  <si>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</si>
  <si>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</si>
  <si>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</si>
  <si>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</si>
  <si>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</si>
  <si>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</si>
  <si>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</si>
  <si>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</si>
  <si>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</si>
  <si>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</si>
  <si>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</si>
  <si>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</si>
  <si>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</si>
  <si>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</si>
  <si>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</si>
  <si>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</si>
  <si>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</si>
  <si>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</si>
  <si>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</si>
  <si>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</si>
  <si>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</si>
  <si>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</si>
  <si>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</si>
  <si>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</si>
  <si>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</si>
  <si>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</si>
  <si>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</si>
  <si>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</si>
  <si>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</si>
  <si>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</si>
  <si>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</si>
  <si>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</si>
  <si>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</si>
  <si>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</si>
  <si>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</si>
  <si>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</si>
  <si>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</si>
  <si>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</si>
  <si>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</si>
  <si>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</si>
  <si>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</si>
  <si>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</si>
  <si>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</si>
  <si>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</si>
  <si>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</si>
  <si>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</si>
  <si>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</si>
  <si>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</si>
  <si>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</si>
  <si>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</si>
  <si>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</si>
  <si>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</si>
  <si>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</si>
  <si>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</si>
  <si>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</si>
  <si>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</si>
  <si>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</si>
  <si>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</si>
  <si>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</si>
  <si>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</si>
  <si>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</si>
  <si>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</si>
  <si>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</si>
  <si>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</si>
  <si>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</si>
  <si>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</si>
  <si>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</si>
  <si>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</si>
  <si>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</si>
  <si>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</si>
  <si>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</si>
  <si>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</si>
  <si>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</si>
  <si>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</si>
  <si>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</si>
  <si>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</si>
  <si>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</si>
  <si>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</si>
  <si>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</si>
  <si>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</si>
  <si>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</si>
  <si>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</si>
  <si>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</si>
  <si>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</si>
  <si>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</si>
  <si>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</si>
  <si>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</si>
  <si>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</si>
  <si>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</si>
  <si>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</si>
  <si>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</si>
  <si>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</si>
  <si>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</si>
  <si>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</si>
  <si>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</si>
  <si>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</si>
  <si>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</si>
  <si>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</si>
  <si>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</si>
  <si>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</si>
  <si>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</si>
  <si>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</si>
  <si>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</si>
  <si>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</si>
  <si>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</si>
  <si>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</si>
  <si>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</si>
  <si>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</si>
  <si>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</si>
  <si>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</si>
  <si>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</si>
  <si>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</si>
  <si>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</si>
  <si>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</si>
  <si>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</si>
  <si>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</si>
  <si>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</si>
  <si>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</si>
  <si>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</si>
  <si>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</si>
  <si>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</si>
  <si>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</si>
  <si>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</si>
  <si>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</si>
  <si>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</si>
  <si>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</si>
  <si>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</si>
  <si>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</si>
  <si>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</si>
  <si>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</si>
  <si>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</si>
  <si>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</si>
  <si>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</si>
  <si>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</si>
  <si>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</si>
  <si>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</si>
  <si>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</si>
  <si>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</si>
  <si>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</si>
  <si>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</si>
  <si>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</si>
  <si>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</si>
  <si>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</si>
  <si>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</si>
  <si>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</si>
  <si>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</si>
  <si>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</si>
  <si>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</si>
  <si>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</si>
  <si>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</si>
  <si>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</si>
  <si>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</si>
  <si>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</si>
  <si>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</si>
  <si>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</si>
  <si>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</si>
  <si>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</si>
  <si>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</si>
  <si>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</si>
  <si>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</si>
  <si>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</si>
  <si>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</si>
  <si>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</si>
  <si>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</si>
  <si>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</si>
  <si>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</si>
  <si>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10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</si>
</sst>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6" t="s">
        <v>0</v>
      </c>
      <c r="C1" s="206"/>
    </row>
    <row r="3" spans="2:3" x14ac:dyDescent="0.25">
      <c r="B3" s="207" t="s">
        <v>1</v>
      </c>
      <c r="C3" s="207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8" t="s">
        <v>14</v>
      </c>
      <c r="C11" s="208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7" t="s">
        <v>28</v>
      </c>
      <c r="C3" s="20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9" t="s">
        <v>102</v>
      </c>
      <c r="C29" s="209"/>
      <c r="D29" s="209"/>
      <c r="E29" s="209"/>
      <c r="F29" s="20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1" t="s">
        <v>146</v>
      </c>
      <c r="C44" s="22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3" t="s">
        <v>41</v>
      </c>
      <c r="C47" s="223" t="s">
        <v>42</v>
      </c>
      <c r="D47" s="218" t="s">
        <v>138</v>
      </c>
      <c r="E47" s="219"/>
      <c r="F47" s="220"/>
      <c r="G47" s="70" t="s">
        <v>139</v>
      </c>
      <c r="H47" s="70"/>
      <c r="I47" s="70"/>
      <c r="J47" s="223" t="s">
        <v>140</v>
      </c>
      <c r="K47" s="35" t="s">
        <v>148</v>
      </c>
      <c r="L47" s="35"/>
      <c r="M47" s="35"/>
      <c r="N47" s="217" t="s">
        <v>149</v>
      </c>
    </row>
    <row r="48" spans="2:17" ht="15.75" x14ac:dyDescent="0.25">
      <c r="B48" s="223"/>
      <c r="C48" s="22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3"/>
      <c r="K48" s="34" t="s">
        <v>143</v>
      </c>
      <c r="L48" s="34" t="s">
        <v>111</v>
      </c>
      <c r="M48" s="34" t="s">
        <v>146</v>
      </c>
      <c r="N48" s="217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4" t="s">
        <v>182</v>
      </c>
      <c r="C41" s="225"/>
      <c r="D41" s="226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1" t="s">
        <v>146</v>
      </c>
      <c r="C46" s="22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5"/>
      <c r="L48" s="236"/>
      <c r="M48" s="236"/>
      <c r="N48" s="237"/>
    </row>
    <row r="49" spans="2:14" s="158" customFormat="1" ht="20.100000000000001" customHeight="1" x14ac:dyDescent="0.25">
      <c r="B49" s="234" t="s">
        <v>41</v>
      </c>
      <c r="C49" s="234" t="s">
        <v>42</v>
      </c>
      <c r="D49" s="231" t="s">
        <v>138</v>
      </c>
      <c r="E49" s="232"/>
      <c r="F49" s="233"/>
      <c r="G49" s="159" t="s">
        <v>139</v>
      </c>
      <c r="H49" s="159"/>
      <c r="I49" s="159"/>
      <c r="J49" s="234" t="s">
        <v>140</v>
      </c>
      <c r="K49" s="160" t="s">
        <v>148</v>
      </c>
      <c r="L49" s="160"/>
      <c r="M49" s="160"/>
      <c r="N49" s="227" t="s">
        <v>149</v>
      </c>
    </row>
    <row r="50" spans="2:14" s="158" customFormat="1" ht="20.100000000000001" customHeight="1" x14ac:dyDescent="0.25">
      <c r="B50" s="234"/>
      <c r="C50" s="234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4"/>
      <c r="K50" s="163" t="s">
        <v>143</v>
      </c>
      <c r="L50" s="163" t="s">
        <v>111</v>
      </c>
      <c r="M50" s="163" t="s">
        <v>146</v>
      </c>
      <c r="N50" s="227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3" t="s">
        <v>41</v>
      </c>
      <c r="C68" s="223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3"/>
      <c r="C69" s="223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18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8" t="s">
        <v>183</v>
      </c>
      <c r="C41" s="239"/>
      <c r="D41" s="240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35155226.678422607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30865962.762038376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6098473.0410951506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72119662.481556132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20.10000000000000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22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8441340.1848090719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7552757.4992927779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2439190.1222222215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-2241594.8603348401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7266354.3117514513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4482639.1363857584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-1395396.4260410864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6156357.1241827803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5756230.009445833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4200663.7587377988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9846453.1892154589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6576351.5645651584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1922537.942388634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5017305.8838400207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66021189.44046104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3" t="s">
        <v>41</v>
      </c>
      <c r="C68" s="223" t="s">
        <v>42</v>
      </c>
      <c r="D68" s="134" t="s">
        <v>139</v>
      </c>
    </row>
    <row r="69" spans="2:14" ht="18" customHeight="1" x14ac:dyDescent="0.25">
      <c r="B69" s="223"/>
      <c r="C69" s="223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-742387.6620151368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-1029415.7076601353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7870276.4107704293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6098473.0410951572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7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18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131003162.560046</v>
      </c>
      <c r="N8" s="11">
        <f>D24</f>
        <v>30741238.848979998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234820630.080697</v>
      </c>
      <c r="N9" s="11">
        <f>D12+D13</f>
        <v>66215972.277888998</v>
      </c>
    </row>
    <row r="10" spans="2:14" x14ac:dyDescent="0.25">
      <c r="B10" s="74" t="s">
        <v>113</v>
      </c>
      <c r="C10" s="205">
        <v>106446757.925051</v>
      </c>
      <c r="D10" s="205">
        <v>20384697.426798999</v>
      </c>
      <c r="E10" s="205">
        <v>57238908.399999999</v>
      </c>
      <c r="F10" s="205">
        <v>184070363.75185001</v>
      </c>
      <c r="H10" s="116"/>
      <c r="I10" s="116"/>
      <c r="J10" s="116"/>
      <c r="M10" s="11">
        <f>C14</f>
        <v>362230308.49726498</v>
      </c>
      <c r="N10" s="11">
        <f>D14</f>
        <v>11191243.147555999</v>
      </c>
    </row>
    <row r="11" spans="2:14" x14ac:dyDescent="0.25">
      <c r="B11" s="74" t="s">
        <v>114</v>
      </c>
      <c r="C11" s="205">
        <v>133760703.15766799</v>
      </c>
      <c r="D11" s="205">
        <v>34246061.990364</v>
      </c>
      <c r="E11" s="205">
        <v>1783783.8</v>
      </c>
      <c r="F11" s="205">
        <v>169790548.94803199</v>
      </c>
      <c r="H11" s="116"/>
      <c r="I11" s="116"/>
      <c r="J11" s="116"/>
      <c r="M11" s="11">
        <f>C17</f>
        <v>100441439.8</v>
      </c>
      <c r="N11" s="11">
        <f>D17</f>
        <v>37956650.210000001</v>
      </c>
    </row>
    <row r="12" spans="2:14" x14ac:dyDescent="0.25">
      <c r="B12" s="74" t="s">
        <v>70</v>
      </c>
      <c r="C12" s="205">
        <v>124706041.402551</v>
      </c>
      <c r="D12" s="205">
        <v>39332135.068071999</v>
      </c>
      <c r="E12" s="205">
        <v>2670270.2400000002</v>
      </c>
      <c r="F12" s="205">
        <v>166708446.710623</v>
      </c>
      <c r="H12" s="116"/>
      <c r="I12" s="116"/>
      <c r="J12" s="116"/>
      <c r="M12" s="11">
        <f>C16</f>
        <v>194596923.17355201</v>
      </c>
      <c r="N12" s="11">
        <f>D16</f>
        <v>40895843.640844002</v>
      </c>
    </row>
    <row r="13" spans="2:14" x14ac:dyDescent="0.25">
      <c r="B13" s="74" t="s">
        <v>115</v>
      </c>
      <c r="C13" s="205">
        <v>110114588.678146</v>
      </c>
      <c r="D13" s="205">
        <v>26883837.209817</v>
      </c>
      <c r="E13" s="205">
        <v>10318107.92</v>
      </c>
      <c r="F13" s="205">
        <v>147316533.80796301</v>
      </c>
      <c r="H13" s="116"/>
      <c r="I13" s="116"/>
      <c r="J13" s="116"/>
      <c r="M13" s="11">
        <f>C19</f>
        <v>289820795.27350301</v>
      </c>
      <c r="N13" s="11">
        <f>D19</f>
        <v>32833974.319944002</v>
      </c>
    </row>
    <row r="14" spans="2:14" x14ac:dyDescent="0.25">
      <c r="B14" s="74" t="s">
        <v>116</v>
      </c>
      <c r="C14" s="205">
        <v>362230308.49726498</v>
      </c>
      <c r="D14" s="205">
        <v>11191243.147555999</v>
      </c>
      <c r="E14" s="205">
        <v>88542342.609999999</v>
      </c>
      <c r="F14" s="205">
        <v>461963894.254821</v>
      </c>
      <c r="H14" s="116"/>
      <c r="I14" s="116"/>
      <c r="J14" s="116"/>
      <c r="M14" s="11">
        <f>C25</f>
        <v>181134992.25664401</v>
      </c>
      <c r="N14" s="11">
        <f>D25</f>
        <v>23568577.639975999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133760703.15766799</v>
      </c>
      <c r="N15" s="11">
        <f>D11</f>
        <v>34246061.990364</v>
      </c>
    </row>
    <row r="16" spans="2:14" x14ac:dyDescent="0.25">
      <c r="B16" s="74" t="s">
        <v>74</v>
      </c>
      <c r="C16" s="205">
        <v>194596923.17355201</v>
      </c>
      <c r="D16" s="205">
        <v>40895843.640844002</v>
      </c>
      <c r="E16" s="205">
        <v>9495225.0999999996</v>
      </c>
      <c r="F16" s="205">
        <v>244987991.91439599</v>
      </c>
      <c r="H16" s="116"/>
      <c r="I16" s="116"/>
      <c r="J16" s="116"/>
      <c r="M16" s="11">
        <f>C26</f>
        <v>213854001.74483201</v>
      </c>
      <c r="N16" s="11">
        <f>D26</f>
        <v>18407221.805468</v>
      </c>
    </row>
    <row r="17" spans="2:14" x14ac:dyDescent="0.25">
      <c r="B17" s="74" t="s">
        <v>118</v>
      </c>
      <c r="C17" s="205">
        <v>100441439.8</v>
      </c>
      <c r="D17" s="205">
        <v>37956650.210000001</v>
      </c>
      <c r="E17" s="205" t="s">
        <v>168</v>
      </c>
      <c r="F17" s="205">
        <v>138398090.00999999</v>
      </c>
      <c r="H17" s="116"/>
      <c r="I17" s="116"/>
      <c r="J17" s="116"/>
      <c r="M17" s="11">
        <f>C10</f>
        <v>106446757.925051</v>
      </c>
      <c r="N17" s="11">
        <f>D10</f>
        <v>20384697.426798999</v>
      </c>
    </row>
    <row r="18" spans="2:14" x14ac:dyDescent="0.25">
      <c r="B18" s="74" t="s">
        <v>119</v>
      </c>
      <c r="C18" s="205">
        <v>205933716.21912</v>
      </c>
      <c r="D18" s="205">
        <v>1115504.509997</v>
      </c>
      <c r="E18" s="205">
        <v>6824324.2400000002</v>
      </c>
      <c r="F18" s="205">
        <v>213873544.96911699</v>
      </c>
      <c r="H18" s="116"/>
      <c r="I18" s="116"/>
      <c r="J18" s="116"/>
      <c r="M18" s="11">
        <f>C27</f>
        <v>303643157.845487</v>
      </c>
      <c r="N18" s="11">
        <f>D27</f>
        <v>41052595.559517004</v>
      </c>
    </row>
    <row r="19" spans="2:14" x14ac:dyDescent="0.25">
      <c r="B19" s="74" t="s">
        <v>121</v>
      </c>
      <c r="C19" s="205">
        <v>289820795.27350301</v>
      </c>
      <c r="D19" s="205">
        <v>32833974.319944002</v>
      </c>
      <c r="E19" s="205">
        <v>528253164.88998002</v>
      </c>
      <c r="F19" s="205">
        <v>850907934.48342705</v>
      </c>
      <c r="H19" s="116"/>
      <c r="I19" s="116"/>
      <c r="J19" s="116"/>
      <c r="M19" s="11">
        <f>C20+C21</f>
        <v>69453418.021081001</v>
      </c>
      <c r="N19" s="11">
        <f>D20+D21</f>
        <v>70097685.959368005</v>
      </c>
    </row>
    <row r="20" spans="2:14" x14ac:dyDescent="0.25">
      <c r="B20" s="74" t="s">
        <v>123</v>
      </c>
      <c r="C20" s="205">
        <v>44172780.021081001</v>
      </c>
      <c r="D20" s="205">
        <v>13884556.67984</v>
      </c>
      <c r="E20" s="205">
        <v>1945946</v>
      </c>
      <c r="F20" s="205">
        <v>60003282.700920999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5">
        <v>25280638</v>
      </c>
      <c r="D21" s="205">
        <v>56213129.279527999</v>
      </c>
      <c r="E21" s="205">
        <v>16627027.34</v>
      </c>
      <c r="F21" s="205">
        <v>98120794.619527996</v>
      </c>
      <c r="H21" s="116"/>
      <c r="I21" s="116"/>
      <c r="J21" s="116"/>
      <c r="M21" s="14">
        <f>IFERROR(C34,0)+IFERROR(C35,0)+M20</f>
        <v>304509189.634718</v>
      </c>
      <c r="N21" s="10" t="s">
        <v>122</v>
      </c>
    </row>
    <row r="22" spans="2:14" x14ac:dyDescent="0.25">
      <c r="B22" s="74" t="s">
        <v>172</v>
      </c>
      <c r="C22" s="205">
        <v>60385505.920000002</v>
      </c>
      <c r="D22" s="205" t="s">
        <v>168</v>
      </c>
      <c r="E22" s="205" t="s">
        <v>168</v>
      </c>
      <c r="F22" s="205">
        <v>60385505.920000002</v>
      </c>
      <c r="H22" s="116"/>
      <c r="I22" s="116"/>
      <c r="J22" s="116"/>
    </row>
    <row r="23" spans="2:14" x14ac:dyDescent="0.25">
      <c r="B23" s="74" t="s">
        <v>173</v>
      </c>
      <c r="C23" s="205">
        <v>123341852.23999999</v>
      </c>
      <c r="D23" s="205" t="s">
        <v>168</v>
      </c>
      <c r="E23" s="205">
        <v>3687657.56</v>
      </c>
      <c r="F23" s="205">
        <v>127029509.8</v>
      </c>
      <c r="H23" s="116"/>
      <c r="I23" s="116"/>
      <c r="J23" s="116"/>
    </row>
    <row r="24" spans="2:14" x14ac:dyDescent="0.25">
      <c r="B24" s="74" t="s">
        <v>125</v>
      </c>
      <c r="C24" s="205">
        <v>131003162.560046</v>
      </c>
      <c r="D24" s="205">
        <v>30741238.848979998</v>
      </c>
      <c r="E24" s="205">
        <v>155959369.87990001</v>
      </c>
      <c r="F24" s="205">
        <v>317703771.28892601</v>
      </c>
      <c r="H24" s="116"/>
      <c r="I24" s="116"/>
      <c r="J24" s="116"/>
    </row>
    <row r="25" spans="2:14" x14ac:dyDescent="0.25">
      <c r="B25" s="74" t="s">
        <v>126</v>
      </c>
      <c r="C25" s="205">
        <v>181134992.25664401</v>
      </c>
      <c r="D25" s="205">
        <v>23568577.639975999</v>
      </c>
      <c r="E25" s="205">
        <v>97941893.209775001</v>
      </c>
      <c r="F25" s="205">
        <v>302645463.10639501</v>
      </c>
      <c r="H25" s="116"/>
      <c r="I25" s="116"/>
      <c r="J25" s="116"/>
    </row>
    <row r="26" spans="2:14" x14ac:dyDescent="0.25">
      <c r="B26" s="74" t="s">
        <v>127</v>
      </c>
      <c r="C26" s="205">
        <v>213854001.74483201</v>
      </c>
      <c r="D26" s="205">
        <v>18407221.805468</v>
      </c>
      <c r="E26" s="205">
        <v>211962974.69977999</v>
      </c>
      <c r="F26" s="205">
        <v>444224198.25007999</v>
      </c>
      <c r="H26" s="116"/>
      <c r="I26" s="116"/>
      <c r="J26" s="116"/>
    </row>
    <row r="27" spans="2:14" x14ac:dyDescent="0.25">
      <c r="B27" s="74" t="s">
        <v>128</v>
      </c>
      <c r="C27" s="205">
        <v>303643157.845487</v>
      </c>
      <c r="D27" s="205">
        <v>41052595.559517004</v>
      </c>
      <c r="E27" s="205">
        <v>1902162.2150000001</v>
      </c>
      <c r="F27" s="205">
        <v>346597915.620004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81758283.299530998</v>
      </c>
      <c r="G32" s="116"/>
      <c r="H32" s="116"/>
      <c r="I32" s="116"/>
    </row>
    <row r="33" spans="2:14" x14ac:dyDescent="0.25">
      <c r="B33" s="84" t="s">
        <v>133</v>
      </c>
      <c r="C33" s="205">
        <v>126042913.180613</v>
      </c>
      <c r="G33" s="116"/>
      <c r="H33" s="116"/>
      <c r="I33" s="116"/>
    </row>
    <row r="34" spans="2:14" x14ac:dyDescent="0.25">
      <c r="B34" s="84" t="s">
        <v>134</v>
      </c>
      <c r="C34" s="205">
        <v>60934053.821280003</v>
      </c>
      <c r="G34" s="116"/>
      <c r="H34" s="116"/>
      <c r="I34" s="116"/>
    </row>
    <row r="35" spans="2:14" x14ac:dyDescent="0.25">
      <c r="B35" s="84" t="s">
        <v>135</v>
      </c>
      <c r="C35" s="205">
        <v>243575135.813438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4" t="s">
        <v>184</v>
      </c>
      <c r="C41" s="225"/>
      <c r="D41" s="226"/>
      <c r="E41" s="67" t="s">
        <v>138</v>
      </c>
      <c r="F41" s="73">
        <f ca="1">IF(MONTH(TODAY())=6,DAY(TODAY())/DAY(EOMONTH(TODAY(),0)),IF(MONTH(TODAY())&gt;6,1,0))</f>
        <v>0.33333333333333331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2504933648.4958258</v>
      </c>
      <c r="F43" s="44">
        <f>IFERROR(E43/D43,0)</f>
        <v>0.34506643620306771</v>
      </c>
      <c r="G43" s="118">
        <f>D43-E43</f>
        <v>4754345683.5041742</v>
      </c>
      <c r="H43" s="118">
        <f ca="1">IFERROR(G43/C3,0)</f>
        <v>264130315.75023189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427591762.82670504</v>
      </c>
      <c r="F44" s="44">
        <f>IFERROR(E44/D44,0)</f>
        <v>0.2363136072974576</v>
      </c>
      <c r="G44" s="118">
        <f>D44-E44</f>
        <v>1381833296.173295</v>
      </c>
      <c r="H44" s="118">
        <f ca="1">IFERROR(G44/C3,0)</f>
        <v>76768516.454071939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512310386.11486197</v>
      </c>
      <c r="F45" s="44">
        <f>IFERROR(E45/D45,0)</f>
        <v>0.27982089651551362</v>
      </c>
      <c r="G45" s="118">
        <f>D45-E45</f>
        <v>1318540677.885138</v>
      </c>
      <c r="H45" s="118">
        <f ca="1">IFERROR(G45/C3,0)</f>
        <v>73252259.882507667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10899555455</v>
      </c>
      <c r="E46" s="47">
        <f>E43+E44+E45</f>
        <v>3444835797.4373927</v>
      </c>
      <c r="F46" s="43">
        <f>IFERROR(E46/D46,0)</f>
        <v>0.31605287129918019</v>
      </c>
      <c r="G46" s="119">
        <f>G43+G44+G45</f>
        <v>7454719657.5626068</v>
      </c>
      <c r="H46" s="119">
        <f ca="1">IFERROR(G46/C3,0)</f>
        <v>414151092.08681148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21.75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19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131003162.560046</v>
      </c>
      <c r="H51" s="122">
        <f>N8</f>
        <v>30741238.848979998</v>
      </c>
      <c r="I51" s="122">
        <f t="shared" ref="I51:I64" si="1">G51+H51</f>
        <v>161744401.409026</v>
      </c>
      <c r="J51" s="61">
        <f t="shared" ref="J51:J64" si="2">IFERROR(I51/F51,0)</f>
        <v>0.29221380188792401</v>
      </c>
      <c r="K51" s="51">
        <f t="shared" ref="K51:M64" si="3">D51-G51</f>
        <v>320680315.43995398</v>
      </c>
      <c r="L51" s="51">
        <f t="shared" si="3"/>
        <v>71089184.151020005</v>
      </c>
      <c r="M51" s="51">
        <f t="shared" si="3"/>
        <v>391769499.59097397</v>
      </c>
      <c r="N51" s="51">
        <f ca="1">IFERROR(M51/C3,0)</f>
        <v>21764972.199498553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234820630.080697</v>
      </c>
      <c r="H52" s="122">
        <f>N9</f>
        <v>66215972.277888998</v>
      </c>
      <c r="I52" s="122">
        <f t="shared" si="1"/>
        <v>301036602.35858601</v>
      </c>
      <c r="J52" s="61">
        <f t="shared" si="2"/>
        <v>0.36923905143240482</v>
      </c>
      <c r="K52" s="54">
        <f t="shared" si="3"/>
        <v>355361740.919303</v>
      </c>
      <c r="L52" s="54">
        <f t="shared" si="3"/>
        <v>158890833.72211099</v>
      </c>
      <c r="M52" s="54">
        <f t="shared" si="3"/>
        <v>514252574.64141399</v>
      </c>
      <c r="N52" s="54">
        <f ca="1">IFERROR(M52/C3,0)</f>
        <v>28569587.480078556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60385505.920000002</v>
      </c>
      <c r="H53" s="122">
        <f>IF(D22="",0,D22)</f>
        <v>0</v>
      </c>
      <c r="I53" s="122">
        <f>G53+H53</f>
        <v>60385505.920000002</v>
      </c>
      <c r="J53" s="61">
        <f>IFERROR(I53/F53,0)</f>
        <v>0.25007118353158664</v>
      </c>
      <c r="K53" s="54">
        <f>D53-G53</f>
        <v>181087762.07999998</v>
      </c>
      <c r="L53" s="54">
        <f>E53-H53</f>
        <v>0</v>
      </c>
      <c r="M53" s="54">
        <f>F53-I53</f>
        <v>181087762.07999998</v>
      </c>
      <c r="N53" s="54">
        <f ca="1">IFERROR(M53/C3,0)</f>
        <v>10060431.226666667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362230308.49726498</v>
      </c>
      <c r="H54" s="122">
        <f t="shared" ref="H54:H58" si="4">N10</f>
        <v>11191243.147555999</v>
      </c>
      <c r="I54" s="122">
        <f t="shared" si="1"/>
        <v>373421551.64482099</v>
      </c>
      <c r="J54" s="61">
        <f t="shared" si="2"/>
        <v>0.51424544529986549</v>
      </c>
      <c r="K54" s="54">
        <f>D54-G54</f>
        <v>283482163.50273502</v>
      </c>
      <c r="L54" s="54">
        <f t="shared" si="3"/>
        <v>69250604.852443993</v>
      </c>
      <c r="M54" s="54">
        <f t="shared" si="3"/>
        <v>352732768.35517901</v>
      </c>
      <c r="N54" s="54">
        <f ca="1">IFERROR(M54/C3,0)</f>
        <v>19596264.908621058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100441439.8</v>
      </c>
      <c r="H55" s="122">
        <f t="shared" si="4"/>
        <v>37956650.210000001</v>
      </c>
      <c r="I55" s="122">
        <f t="shared" si="1"/>
        <v>138398090.00999999</v>
      </c>
      <c r="J55" s="61">
        <f t="shared" si="2"/>
        <v>0.23479659370112527</v>
      </c>
      <c r="K55" s="54">
        <f t="shared" si="3"/>
        <v>408477392.19999999</v>
      </c>
      <c r="L55" s="54">
        <f t="shared" si="3"/>
        <v>42562753.789999999</v>
      </c>
      <c r="M55" s="54">
        <f t="shared" si="3"/>
        <v>451040145.99000001</v>
      </c>
      <c r="N55" s="54">
        <f ca="1">IFERROR(M55/C3,0)</f>
        <v>25057785.888333336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194596923.17355201</v>
      </c>
      <c r="H56" s="122">
        <f t="shared" si="4"/>
        <v>40895843.640844002</v>
      </c>
      <c r="I56" s="122">
        <f t="shared" si="1"/>
        <v>235492766.81439602</v>
      </c>
      <c r="J56" s="61">
        <f t="shared" si="2"/>
        <v>0.45095189728441815</v>
      </c>
      <c r="K56" s="54">
        <f t="shared" si="3"/>
        <v>245466360.82644799</v>
      </c>
      <c r="L56" s="54">
        <f t="shared" si="3"/>
        <v>41253481.359155998</v>
      </c>
      <c r="M56" s="54">
        <f t="shared" si="3"/>
        <v>286719842.18560398</v>
      </c>
      <c r="N56" s="54">
        <f ca="1">IFERROR(M56/C3,0)</f>
        <v>15928880.121422444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289820795.27350301</v>
      </c>
      <c r="H57" s="122">
        <f t="shared" si="4"/>
        <v>32833974.319944002</v>
      </c>
      <c r="I57" s="122">
        <f t="shared" si="1"/>
        <v>322654769.59344703</v>
      </c>
      <c r="J57" s="61">
        <f t="shared" si="2"/>
        <v>0.28750781778110579</v>
      </c>
      <c r="K57" s="54">
        <f t="shared" si="3"/>
        <v>706937549.72649693</v>
      </c>
      <c r="L57" s="54">
        <f t="shared" si="3"/>
        <v>92654623.680056006</v>
      </c>
      <c r="M57" s="54">
        <f t="shared" si="3"/>
        <v>799592173.40655303</v>
      </c>
      <c r="N57" s="54">
        <f ca="1">IFERROR(M57/C3,0)</f>
        <v>44421787.411475167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181134992.25664401</v>
      </c>
      <c r="H58" s="122">
        <f t="shared" si="4"/>
        <v>23568577.639975999</v>
      </c>
      <c r="I58" s="122">
        <f>G58+H58</f>
        <v>204703569.89662001</v>
      </c>
      <c r="J58" s="61">
        <f>IFERROR(I58/F58,0)</f>
        <v>0.32103893522984628</v>
      </c>
      <c r="K58" s="54">
        <f t="shared" si="3"/>
        <v>359152066.74335599</v>
      </c>
      <c r="L58" s="54">
        <f t="shared" si="3"/>
        <v>73772848.360024005</v>
      </c>
      <c r="M58" s="54">
        <f t="shared" si="3"/>
        <v>432924915.10337996</v>
      </c>
      <c r="N58" s="54">
        <f ca="1">IFERROR(M58/C3,0)</f>
        <v>24051384.172409996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123341852.23999999</v>
      </c>
      <c r="H59" s="122">
        <f>IF(D23="",0,D23)</f>
        <v>0</v>
      </c>
      <c r="I59" s="122">
        <f>G59+H59</f>
        <v>123341852.23999999</v>
      </c>
      <c r="J59" s="61">
        <f>IFERROR(I59/F59,0)</f>
        <v>0.30520063837097222</v>
      </c>
      <c r="K59" s="54">
        <f>D59-G59</f>
        <v>280791811.75999999</v>
      </c>
      <c r="L59" s="54">
        <f>E59-H59</f>
        <v>0</v>
      </c>
      <c r="M59" s="54">
        <f>F59-I59</f>
        <v>280791811.75999999</v>
      </c>
      <c r="N59" s="54">
        <f ca="1">IFERROR(M59/C3,0)</f>
        <v>15599545.097777776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133760703.15766799</v>
      </c>
      <c r="H60" s="122">
        <f t="shared" ref="H60:H64" si="5">N15</f>
        <v>34246061.990364</v>
      </c>
      <c r="I60" s="122">
        <f t="shared" si="1"/>
        <v>168006765.14803201</v>
      </c>
      <c r="J60" s="61">
        <f t="shared" si="2"/>
        <v>0.27495138118078194</v>
      </c>
      <c r="K60" s="54">
        <f t="shared" si="3"/>
        <v>305256605.84233201</v>
      </c>
      <c r="L60" s="54">
        <f t="shared" si="3"/>
        <v>137778350.00963598</v>
      </c>
      <c r="M60" s="54">
        <f t="shared" si="3"/>
        <v>443034955.85196799</v>
      </c>
      <c r="N60" s="54">
        <f ca="1">IFERROR(M60/C3,0)</f>
        <v>24613053.102887109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213854001.74483201</v>
      </c>
      <c r="H61" s="122">
        <f t="shared" si="5"/>
        <v>18407221.805468</v>
      </c>
      <c r="I61" s="122">
        <f t="shared" si="1"/>
        <v>232261223.5503</v>
      </c>
      <c r="J61" s="61">
        <f t="shared" si="2"/>
        <v>0.3060372508623041</v>
      </c>
      <c r="K61" s="54">
        <f t="shared" si="3"/>
        <v>452775594.25516796</v>
      </c>
      <c r="L61" s="54">
        <f t="shared" si="3"/>
        <v>73894400.194532007</v>
      </c>
      <c r="M61" s="54">
        <f t="shared" si="3"/>
        <v>526669994.4497</v>
      </c>
      <c r="N61" s="54">
        <f ca="1">IFERROR(M61/C3,0)</f>
        <v>29259444.136094444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106446757.925051</v>
      </c>
      <c r="H62" s="122">
        <f t="shared" si="5"/>
        <v>20384697.426798999</v>
      </c>
      <c r="I62" s="122">
        <f t="shared" si="1"/>
        <v>126831455.35185</v>
      </c>
      <c r="J62" s="61">
        <f t="shared" si="2"/>
        <v>0.2444391466569657</v>
      </c>
      <c r="K62" s="54">
        <f t="shared" si="3"/>
        <v>315096265.07494903</v>
      </c>
      <c r="L62" s="54">
        <f t="shared" si="3"/>
        <v>76939478.573201001</v>
      </c>
      <c r="M62" s="54">
        <f t="shared" si="3"/>
        <v>392035743.64814997</v>
      </c>
      <c r="N62" s="54">
        <f ca="1">IFERROR(M62/C3,0)</f>
        <v>21779763.536008332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303643157.845487</v>
      </c>
      <c r="H63" s="122">
        <f t="shared" si="5"/>
        <v>41052595.559517004</v>
      </c>
      <c r="I63" s="122">
        <f t="shared" si="1"/>
        <v>344695753.40500402</v>
      </c>
      <c r="J63" s="61">
        <f t="shared" si="2"/>
        <v>0.35111486771921452</v>
      </c>
      <c r="K63" s="54">
        <f t="shared" si="3"/>
        <v>314707784.154513</v>
      </c>
      <c r="L63" s="54">
        <f t="shared" si="3"/>
        <v>322314370.44048297</v>
      </c>
      <c r="M63" s="54">
        <f t="shared" si="3"/>
        <v>637022154.59499598</v>
      </c>
      <c r="N63" s="54">
        <f ca="1">IFERROR(M63/C3,0)</f>
        <v>35390119.699721999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69453418.021081001</v>
      </c>
      <c r="H64" s="122">
        <f t="shared" si="5"/>
        <v>70097685.959368005</v>
      </c>
      <c r="I64" s="122">
        <f t="shared" si="1"/>
        <v>139551103.98044902</v>
      </c>
      <c r="J64" s="61">
        <f t="shared" si="2"/>
        <v>0.23811916508864958</v>
      </c>
      <c r="K64" s="54">
        <f t="shared" si="3"/>
        <v>225072270.978919</v>
      </c>
      <c r="L64" s="54">
        <f t="shared" si="3"/>
        <v>221432367.04063201</v>
      </c>
      <c r="M64" s="54">
        <f t="shared" si="3"/>
        <v>446504638.01955098</v>
      </c>
      <c r="N64" s="54">
        <f ca="1">IFERROR(M64/C3,0)</f>
        <v>24805813.223308388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2504933648.4958258</v>
      </c>
      <c r="H65" s="152">
        <f>SUM(H51:H64)</f>
        <v>427591762.82670504</v>
      </c>
      <c r="I65" s="152">
        <f>SUM(I51:I64)</f>
        <v>2932525411.3225312</v>
      </c>
      <c r="J65" s="153">
        <f>IFERROR(I65/F65,0)</f>
        <v>0.32336762616640585</v>
      </c>
      <c r="K65" s="154">
        <f>SUM(K51:K64)</f>
        <v>4754345683.5041742</v>
      </c>
      <c r="L65" s="154">
        <f>SUM(L51:L64)</f>
        <v>1381833296.1732953</v>
      </c>
      <c r="M65" s="154">
        <f>SUM(M51:M64)</f>
        <v>6136178979.6774702</v>
      </c>
      <c r="N65" s="154">
        <f ca="1">IFERROR(M65/C3,0)</f>
        <v>340898832.20430392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91">
        <f>IF(E24="",0,E24)</f>
        <v>155959369.87990001</v>
      </c>
    </row>
    <row r="71" spans="2:14" ht="20.100000000000001" customHeight="1" x14ac:dyDescent="0.25">
      <c r="B71" s="53" t="s">
        <v>69</v>
      </c>
      <c r="C71" s="56" t="s">
        <v>70</v>
      </c>
      <c r="D71" s="192">
        <f>IF(E12="",0,E12)+IF(E13="",0,E13)</f>
        <v>12988378.16</v>
      </c>
    </row>
    <row r="72" spans="2:14" ht="20.100000000000001" customHeight="1" x14ac:dyDescent="0.25">
      <c r="B72" s="53" t="s">
        <v>175</v>
      </c>
      <c r="C72" s="56" t="s">
        <v>176</v>
      </c>
      <c r="D72" s="192">
        <f>IF(E22="",0,E22)</f>
        <v>0</v>
      </c>
    </row>
    <row r="73" spans="2:14" ht="20.100000000000001" customHeight="1" x14ac:dyDescent="0.25">
      <c r="B73" s="50" t="s">
        <v>71</v>
      </c>
      <c r="C73" s="55" t="s">
        <v>72</v>
      </c>
      <c r="D73" s="191">
        <f>IF(E14="",0,E14)</f>
        <v>88542342.609999999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92">
        <f>IF(E16="",0,E16)</f>
        <v>9495225.0999999996</v>
      </c>
    </row>
    <row r="76" spans="2:14" ht="20.100000000000001" customHeight="1" x14ac:dyDescent="0.25">
      <c r="B76" s="53" t="s">
        <v>76</v>
      </c>
      <c r="C76" s="56" t="s">
        <v>77</v>
      </c>
      <c r="D76" s="192">
        <f>IF(E19="",0,E19)</f>
        <v>528253164.88998002</v>
      </c>
    </row>
    <row r="77" spans="2:14" ht="20.100000000000001" customHeight="1" x14ac:dyDescent="0.25">
      <c r="B77" s="50" t="s">
        <v>78</v>
      </c>
      <c r="C77" s="55" t="s">
        <v>79</v>
      </c>
      <c r="D77" s="191">
        <f>IF(E25="",0,E25)</f>
        <v>97941893.209775001</v>
      </c>
    </row>
    <row r="78" spans="2:14" ht="20.100000000000001" customHeight="1" x14ac:dyDescent="0.25">
      <c r="B78" s="53" t="s">
        <v>175</v>
      </c>
      <c r="C78" s="56" t="s">
        <v>177</v>
      </c>
      <c r="D78" s="192">
        <f>IF(E23="",0,E23)</f>
        <v>3687657.56</v>
      </c>
    </row>
    <row r="79" spans="2:14" ht="20.100000000000001" customHeight="1" x14ac:dyDescent="0.25">
      <c r="B79" s="53" t="s">
        <v>80</v>
      </c>
      <c r="C79" s="56" t="s">
        <v>81</v>
      </c>
      <c r="D79" s="192">
        <f>IF(E11="",0,E11)</f>
        <v>1783783.8</v>
      </c>
    </row>
    <row r="80" spans="2:14" ht="20.100000000000001" customHeight="1" x14ac:dyDescent="0.25">
      <c r="B80" s="50" t="s">
        <v>82</v>
      </c>
      <c r="C80" s="55" t="s">
        <v>83</v>
      </c>
      <c r="D80" s="191">
        <f>IF(E26="",0,E26)</f>
        <v>211962974.69977999</v>
      </c>
    </row>
    <row r="81" spans="2:9" ht="20.100000000000001" customHeight="1" x14ac:dyDescent="0.25">
      <c r="B81" s="53" t="s">
        <v>84</v>
      </c>
      <c r="C81" s="56" t="s">
        <v>85</v>
      </c>
      <c r="D81" s="192">
        <f>IF(E10="",0,E10)</f>
        <v>57238908.399999999</v>
      </c>
    </row>
    <row r="82" spans="2:9" ht="20.100000000000001" customHeight="1" x14ac:dyDescent="0.25">
      <c r="B82" s="50" t="s">
        <v>86</v>
      </c>
      <c r="C82" s="55" t="s">
        <v>87</v>
      </c>
      <c r="D82" s="192">
        <f>IF(E27="",0,E27)</f>
        <v>1902162.2150000001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f>IF(E20="",0,E20)+IF(E21="",0,E21)</f>
        <v>18572973.34</v>
      </c>
    </row>
    <row r="84" spans="2:9" ht="20.100000000000001" customHeight="1" x14ac:dyDescent="0.25">
      <c r="B84" s="57" t="s">
        <v>152</v>
      </c>
      <c r="C84" s="58"/>
      <c r="D84" s="129">
        <f>SUM(D70:D83)</f>
        <v>1188328833.8644347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81758283.299530998</v>
      </c>
      <c r="F89" s="61">
        <f t="shared" ref="F89:F94" si="7">IFERROR(E89/D89,0)</f>
        <v>0.28633812543182025</v>
      </c>
      <c r="G89" s="125">
        <f>D89-E89</f>
        <v>203772269.70046902</v>
      </c>
      <c r="H89" s="125">
        <f ca="1">IFERROR(G89/C3,0)</f>
        <v>11320681.650026057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126042913.180613</v>
      </c>
      <c r="F90" s="61">
        <f t="shared" si="7"/>
        <v>0.29392179527306461</v>
      </c>
      <c r="G90" s="126">
        <f>D90-E90</f>
        <v>302788548.81938702</v>
      </c>
      <c r="H90" s="126">
        <f ca="1">IFERROR(G90/C3,0)</f>
        <v>16821586.045521501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304509189.634718</v>
      </c>
      <c r="F91" s="61">
        <f t="shared" si="7"/>
        <v>0.27273817858532173</v>
      </c>
      <c r="G91" s="125">
        <f>D91-E91</f>
        <v>811979859.36528206</v>
      </c>
      <c r="H91" s="125">
        <f ca="1">IFERROR(G91/C3,0)</f>
        <v>45109992.186960116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512310386.11486197</v>
      </c>
      <c r="F94" s="43">
        <f t="shared" si="7"/>
        <v>0.27982089651551362</v>
      </c>
      <c r="G94" s="119">
        <f>SUM(G89:G93)</f>
        <v>1318540677.885138</v>
      </c>
      <c r="H94" s="119">
        <f ca="1">IFERROR(G94/C3,0)</f>
        <v>73252259.882507667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7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178</v>
      </c>
      <c r="C41" s="225"/>
      <c r="D41" s="226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162</v>
      </c>
      <c r="C41" s="225"/>
      <c r="D41" s="226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164</v>
      </c>
      <c r="C41" s="225"/>
      <c r="D41" s="226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166</v>
      </c>
      <c r="C41" s="225"/>
      <c r="D41" s="226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179</v>
      </c>
      <c r="C41" s="225"/>
      <c r="D41" s="226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181</v>
      </c>
      <c r="C41" s="225"/>
      <c r="D41" s="226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4"/>
      <c r="L48" s="245"/>
      <c r="M48" s="245"/>
      <c r="N48" s="246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7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7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1" t="s">
        <v>145</v>
      </c>
      <c r="C87" s="242"/>
      <c r="D87" s="242"/>
      <c r="E87" s="242"/>
      <c r="F87" s="24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2026-06-10T00:51:37Z</dcterms:modified>
  <dc:language>en-US</dc:language>
</cp:coreProperties>
</file>