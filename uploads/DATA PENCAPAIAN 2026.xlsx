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<sst xmlns="http://schemas.openxmlformats.org/spreadsheetml/2006/main" count="1878" uniqueCount="185">
  <si>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</si>
  <si>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</si>
  <si>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</si>
  <si>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</si>
  <si>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</si>
  <si>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</si>
  <si>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</si>
  <si>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</si>
  <si>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</si>
  <si>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</si>
  <si>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</si>
  <si>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</si>
  <si>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</si>
  <si>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</si>
  <si>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</si>
  <si>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</si>
  <si>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</si>
  <si>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</si>
  <si>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</si>
  <si>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</si>
  <si>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</si>
  <si>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</si>
  <si>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</si>
  <si>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</si>
  <si>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</si>
  <si>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</si>
  <si>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</si>
  <si>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</si>
  <si>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</si>
  <si>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</si>
  <si>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</si>
  <si>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</si>
  <si>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</si>
  <si>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</si>
  <si>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</si>
  <si>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</si>
  <si>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</si>
  <si>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</si>
  <si>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</si>
  <si>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</si>
  <si>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</si>
  <si>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</si>
  <si>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</si>
  <si>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</si>
  <si>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</si>
  <si>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</si>
  <si>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</si>
  <si>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</si>
  <si>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</si>
  <si>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</si>
  <si>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</si>
  <si>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</si>
  <si>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</si>
  <si>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</si>
  <si>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</si>
  <si>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</si>
  <si>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</si>
  <si>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</si>
  <si>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</si>
  <si>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</si>
  <si>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</si>
  <si>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</si>
  <si>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</si>
  <si>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</si>
  <si>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</si>
  <si>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</si>
  <si>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</si>
  <si>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</si>
  <si>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</si>
  <si>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</si>
  <si>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</si>
  <si>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</si>
  <si>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</si>
  <si>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</si>
  <si>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</si>
  <si>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</si>
  <si>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</si>
  <si>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</si>
  <si>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</si>
  <si>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</si>
  <si>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</si>
  <si>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</si>
  <si>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</si>
  <si>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</si>
  <si>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</si>
  <si>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</si>
  <si>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</si>
  <si>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</si>
  <si>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</si>
  <si>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</si>
  <si>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</si>
  <si>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</si>
  <si>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</si>
  <si>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</si>
  <si>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</si>
  <si>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</si>
  <si>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</si>
  <si>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</si>
  <si>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</si>
  <si>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</si>
  <si>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</si>
  <si>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</si>
  <si>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</si>
  <si>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</si>
  <si>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</si>
  <si>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</si>
  <si>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</si>
  <si>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</si>
  <si>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</si>
  <si>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</si>
  <si>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</si>
  <si>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</si>
  <si>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</si>
  <si>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</si>
  <si>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</si>
  <si>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</si>
  <si>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</si>
  <si>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</si>
  <si>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</si>
  <si>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</si>
  <si>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</si>
  <si>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</si>
  <si>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</si>
  <si>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</si>
  <si>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</si>
  <si>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</si>
  <si>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</si>
  <si>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</si>
  <si>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</si>
  <si>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</si>
  <si>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</si>
  <si>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</si>
  <si>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</si>
  <si>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</si>
  <si>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</si>
  <si>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</si>
  <si>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</si>
  <si>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</si>
  <si>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</si>
  <si>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</si>
  <si>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</si>
  <si>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</si>
  <si>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</si>
  <si>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</si>
  <si>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</si>
  <si>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</si>
  <si>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</si>
  <si>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</si>
  <si>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</si>
  <si>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</si>
  <si>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</si>
  <si>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</si>
  <si>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</si>
  <si>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</si>
  <si>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</si>
  <si>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</si>
  <si>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</si>
  <si>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</si>
  <si>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</si>
  <si>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</si>
  <si>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</si>
  <si>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</si>
  <si>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</si>
  <si>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</si>
  <si>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</si>
  <si>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</si>
  <si>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</si>
  <si>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</si>
  <si>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</si>
  <si>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</si>
  <si>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</si>
  <si>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</si>
  <si>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</si>
  <si>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</si>
  <si>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</si>
  <si>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</si>
  <si>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</si>
  <si>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</si>
  <si>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</si>
  <si>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</si>
  <si>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</si>
  <si>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</si>
  <si>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</si>
  <si>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</si>
  <si>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02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</si>
</sst>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40" zoomScaleNormal="100" workbookViewId="0">
      <selection activeCell="A49" sqref="A49:XFD50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25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183</v>
      </c>
      <c r="C41" s="239"/>
      <c r="D41" s="240"/>
      <c r="E41" s="67" t="s">
        <v>138</v>
      </c>
      <c r="F41" s="73">
        <f ca="1">IF(MONTH(TODAY())=5,DAY(TODAY())/DAY(EOMONTH(TODAY(),0)),IF(MONTH(TODAY())&gt;5,1,0))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25311763.20846428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22223493.188667633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4390900.5895885089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51926156.98672042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6077764.933062532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5437985.3994907998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1756216.8879999996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-1613948.299441085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5231775.104461045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3227500.1781977462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-1004685.4267495823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4432577.1294116024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4144485.6068009995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3024477.9062912152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7089446.2962351302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4734973.1264869142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1384227.3185198165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3612460.2363648154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47535256.39713195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-534519.11665089848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-741179.30951529741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5666599.015754709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4390900.5895885136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25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15565960.869789001</v>
      </c>
      <c r="N8" s="11">
        <f>D24</f>
        <v>1540540.52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15107693.889947999</v>
      </c>
      <c r="N9" s="11">
        <f>D12+D13</f>
        <v>6064027.9354969999</v>
      </c>
    </row>
    <row r="10" spans="2:14" x14ac:dyDescent="0.25">
      <c r="B10" s="74" t="s">
        <v>113</v>
      </c>
      <c r="C10" s="205">
        <v>10209497.789187999</v>
      </c>
      <c r="D10" s="205">
        <v>0</v>
      </c>
      <c r="E10" s="205">
        <v>3279279.22</v>
      </c>
      <c r="F10" s="205">
        <v>13488777.009188</v>
      </c>
      <c r="H10" s="116"/>
      <c r="I10" s="116"/>
      <c r="J10" s="116"/>
      <c r="M10" s="11">
        <f>C14</f>
        <v>39950331.5</v>
      </c>
      <c r="N10" s="11">
        <f>D14</f>
        <v>420000</v>
      </c>
    </row>
    <row r="11" spans="2:14" x14ac:dyDescent="0.25">
      <c r="B11" s="74" t="s">
        <v>114</v>
      </c>
      <c r="C11" s="205">
        <v>40538550.981369004</v>
      </c>
      <c r="D11" s="205">
        <v>4228378.3199399998</v>
      </c>
      <c r="E11" s="205" t="s">
        <v>168</v>
      </c>
      <c r="F11" s="205">
        <v>44766929.301308997</v>
      </c>
      <c r="H11" s="116"/>
      <c r="I11" s="116"/>
      <c r="J11" s="116"/>
      <c r="M11" s="11">
        <f>C17</f>
        <v>1500000</v>
      </c>
      <c r="N11" s="11">
        <f>D17</f>
        <v>282000</v>
      </c>
    </row>
    <row r="12" spans="2:14" x14ac:dyDescent="0.25">
      <c r="B12" s="74" t="s">
        <v>70</v>
      </c>
      <c r="C12" s="205">
        <v>2065000</v>
      </c>
      <c r="D12" s="205">
        <v>5678149.5554999998</v>
      </c>
      <c r="E12" s="205" t="s">
        <v>168</v>
      </c>
      <c r="F12" s="205">
        <v>7743149.5554999998</v>
      </c>
      <c r="H12" s="116"/>
      <c r="I12" s="116"/>
      <c r="J12" s="116"/>
      <c r="M12" s="11">
        <f>C16</f>
        <v>33187180.708790999</v>
      </c>
      <c r="N12" s="11">
        <f>D16</f>
        <v>773810.81</v>
      </c>
    </row>
    <row r="13" spans="2:14" x14ac:dyDescent="0.25">
      <c r="B13" s="74" t="s">
        <v>115</v>
      </c>
      <c r="C13" s="205">
        <v>13042693.889947999</v>
      </c>
      <c r="D13" s="205">
        <v>385878.37999699998</v>
      </c>
      <c r="E13" s="205" t="s">
        <v>168</v>
      </c>
      <c r="F13" s="205">
        <v>13428572.269944999</v>
      </c>
      <c r="H13" s="116"/>
      <c r="I13" s="116"/>
      <c r="J13" s="116"/>
      <c r="M13" s="11">
        <f>C19</f>
        <v>33289730.151946001</v>
      </c>
      <c r="N13" s="11">
        <f>D19</f>
        <v>14591959.959952001</v>
      </c>
    </row>
    <row r="14" spans="2:14" x14ac:dyDescent="0.25">
      <c r="B14" s="74" t="s">
        <v>116</v>
      </c>
      <c r="C14" s="205">
        <v>39950331.5</v>
      </c>
      <c r="D14" s="205">
        <v>420000</v>
      </c>
      <c r="E14" s="205">
        <v>9360360.2599999998</v>
      </c>
      <c r="F14" s="205">
        <v>49730691.759999998</v>
      </c>
      <c r="H14" s="116"/>
      <c r="I14" s="116"/>
      <c r="J14" s="116"/>
      <c r="M14" s="11">
        <f>C25</f>
        <v>17738173.430498999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40538550.981369004</v>
      </c>
      <c r="N15" s="11">
        <f>D11</f>
        <v>4228378.3199399998</v>
      </c>
    </row>
    <row r="16" spans="2:14" x14ac:dyDescent="0.25">
      <c r="B16" s="74" t="s">
        <v>74</v>
      </c>
      <c r="C16" s="205">
        <v>33187180.708790999</v>
      </c>
      <c r="D16" s="205">
        <v>773810.81</v>
      </c>
      <c r="E16" s="205">
        <v>810810.8</v>
      </c>
      <c r="F16" s="205">
        <v>34771802.318791002</v>
      </c>
      <c r="H16" s="116"/>
      <c r="I16" s="116"/>
      <c r="J16" s="116"/>
      <c r="M16" s="11">
        <f>C26</f>
        <v>34306915.179871</v>
      </c>
      <c r="N16" s="11">
        <f>D26</f>
        <v>2431800</v>
      </c>
    </row>
    <row r="17" spans="2:14" x14ac:dyDescent="0.25">
      <c r="B17" s="74" t="s">
        <v>118</v>
      </c>
      <c r="C17" s="205">
        <v>1500000</v>
      </c>
      <c r="D17" s="205">
        <v>282000</v>
      </c>
      <c r="E17" s="205" t="s">
        <v>168</v>
      </c>
      <c r="F17" s="205">
        <v>1782000</v>
      </c>
      <c r="H17" s="116"/>
      <c r="I17" s="116"/>
      <c r="J17" s="116"/>
      <c r="M17" s="11">
        <f>C10</f>
        <v>10209497.789187999</v>
      </c>
      <c r="N17" s="11">
        <f>D10</f>
        <v>0</v>
      </c>
    </row>
    <row r="18" spans="2:14" x14ac:dyDescent="0.25">
      <c r="B18" s="74" t="s">
        <v>119</v>
      </c>
      <c r="C18" s="205">
        <v>42189230.339962997</v>
      </c>
      <c r="D18" s="205">
        <v>0</v>
      </c>
      <c r="E18" s="205">
        <v>5189189.12</v>
      </c>
      <c r="F18" s="205">
        <v>47378419.459963001</v>
      </c>
      <c r="H18" s="116"/>
      <c r="I18" s="116"/>
      <c r="J18" s="116"/>
      <c r="M18" s="11">
        <f>C27</f>
        <v>10305210.84</v>
      </c>
      <c r="N18" s="11">
        <f>D27</f>
        <v>0</v>
      </c>
    </row>
    <row r="19" spans="2:14" x14ac:dyDescent="0.25">
      <c r="B19" s="74" t="s">
        <v>121</v>
      </c>
      <c r="C19" s="205">
        <v>33289730.151946001</v>
      </c>
      <c r="D19" s="205">
        <v>14591959.959952001</v>
      </c>
      <c r="E19" s="205">
        <v>284636047.89999998</v>
      </c>
      <c r="F19" s="205">
        <v>332517738.01189798</v>
      </c>
      <c r="H19" s="116"/>
      <c r="I19" s="116"/>
      <c r="J19" s="116"/>
      <c r="M19" s="11">
        <f>C20+C21</f>
        <v>930000</v>
      </c>
      <c r="N19" s="11">
        <f>D20+D21</f>
        <v>0</v>
      </c>
    </row>
    <row r="20" spans="2:14" x14ac:dyDescent="0.25">
      <c r="B20" s="74" t="s">
        <v>123</v>
      </c>
      <c r="C20" s="15"/>
      <c r="D20" s="15">
        <v>0</v>
      </c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930000</v>
      </c>
      <c r="D21" s="205">
        <v>0</v>
      </c>
      <c r="E21" s="205" t="s">
        <v>168</v>
      </c>
      <c r="F21" s="205">
        <v>930000</v>
      </c>
      <c r="H21" s="116"/>
      <c r="I21" s="116"/>
      <c r="J21" s="116"/>
      <c r="M21" s="14">
        <f>IFERROR(C34,0)+IFERROR(C35,0)+M20</f>
        <v>22380806.529866003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205">
        <v>63811629.899999999</v>
      </c>
      <c r="D23" s="205">
        <v>0</v>
      </c>
      <c r="E23" s="205">
        <v>1927927.88</v>
      </c>
      <c r="F23" s="205">
        <v>65739557.780000001</v>
      </c>
      <c r="H23" s="116"/>
      <c r="I23" s="116"/>
      <c r="J23" s="116"/>
    </row>
    <row r="24" spans="2:14" x14ac:dyDescent="0.25">
      <c r="B24" s="74" t="s">
        <v>125</v>
      </c>
      <c r="C24" s="205">
        <v>15565960.869789001</v>
      </c>
      <c r="D24" s="205">
        <v>1540540.52</v>
      </c>
      <c r="E24" s="205">
        <v>6677477.4199999999</v>
      </c>
      <c r="F24" s="205">
        <v>23783978.809788998</v>
      </c>
      <c r="H24" s="116"/>
      <c r="I24" s="116"/>
      <c r="J24" s="116"/>
    </row>
    <row r="25" spans="2:14" x14ac:dyDescent="0.25">
      <c r="B25" s="74" t="s">
        <v>126</v>
      </c>
      <c r="C25" s="205">
        <v>17738173.430498999</v>
      </c>
      <c r="D25" s="205">
        <v>0</v>
      </c>
      <c r="E25" s="205">
        <v>11945946.749915</v>
      </c>
      <c r="F25" s="205">
        <v>29684120.180413999</v>
      </c>
      <c r="H25" s="116"/>
      <c r="I25" s="116"/>
      <c r="J25" s="116"/>
    </row>
    <row r="26" spans="2:14" x14ac:dyDescent="0.25">
      <c r="B26" s="74" t="s">
        <v>127</v>
      </c>
      <c r="C26" s="205">
        <v>34306915.179871</v>
      </c>
      <c r="D26" s="205">
        <v>2431800</v>
      </c>
      <c r="E26" s="205">
        <v>35648648.749954998</v>
      </c>
      <c r="F26" s="205">
        <v>72387363.929826006</v>
      </c>
      <c r="H26" s="116"/>
      <c r="I26" s="116"/>
      <c r="J26" s="116"/>
    </row>
    <row r="27" spans="2:14" x14ac:dyDescent="0.25">
      <c r="B27" s="74" t="s">
        <v>128</v>
      </c>
      <c r="C27" s="205">
        <v>10305210.84</v>
      </c>
      <c r="D27" s="205">
        <v>0</v>
      </c>
      <c r="E27" s="205" t="s">
        <v>168</v>
      </c>
      <c r="F27" s="205">
        <v>10305210.84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1374000</v>
      </c>
      <c r="G32" s="116"/>
      <c r="H32" s="116"/>
      <c r="I32" s="116"/>
    </row>
    <row r="33" spans="2:14" x14ac:dyDescent="0.25">
      <c r="B33" s="84" t="s">
        <v>133</v>
      </c>
      <c r="C33" s="205">
        <v>1197747.618</v>
      </c>
      <c r="G33" s="116"/>
      <c r="H33" s="116"/>
      <c r="I33" s="116"/>
    </row>
    <row r="34" spans="2:14" x14ac:dyDescent="0.25">
      <c r="B34" s="84" t="s">
        <v>134</v>
      </c>
      <c r="C34" s="205">
        <v>7647500</v>
      </c>
      <c r="G34" s="116"/>
      <c r="H34" s="116"/>
      <c r="I34" s="116"/>
    </row>
    <row r="35" spans="2:14" x14ac:dyDescent="0.25">
      <c r="B35" s="84" t="s">
        <v>135</v>
      </c>
      <c r="C35" s="205">
        <v>14733306.529866001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6.6666666666666666E-2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316440875.24140102</v>
      </c>
      <c r="F43" s="44">
        <f>IFERROR(E43/D43,0)</f>
        <v>4.3591224523690915E-2</v>
      </c>
      <c r="G43" s="118">
        <f>D43-E43</f>
        <v>6942838456.7585993</v>
      </c>
      <c r="H43" s="118">
        <f ca="1">IFERROR(G43/C3,0)</f>
        <v>277713538.27034396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30332517.545389004</v>
      </c>
      <c r="F44" s="44">
        <f>IFERROR(E44/D44,0)</f>
        <v>1.6763621899960106E-2</v>
      </c>
      <c r="G44" s="118">
        <f>D44-E44</f>
        <v>1779092541.4546111</v>
      </c>
      <c r="H44" s="118">
        <f ca="1">IFERROR(G44/C3,0)</f>
        <v>71163701.658184439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24952554.147866003</v>
      </c>
      <c r="F45" s="44">
        <f>IFERROR(E45/D45,0)</f>
        <v>1.3628937185829991E-2</v>
      </c>
      <c r="G45" s="118">
        <f>D45-E45</f>
        <v>1805898509.852134</v>
      </c>
      <c r="H45" s="118">
        <f ca="1">IFERROR(G45/C3,0)</f>
        <v>72235940.394085363</v>
      </c>
      <c r="I45" s="116"/>
    </row>
    <row r="46" spans="2:14" x14ac:dyDescent="0.25">
      <c r="B46" s="221" t="s">
        <v>146</v>
      </c>
      <c r="C46" s="222"/>
      <c r="D46" s="47">
        <f>D43+D44+D45</f>
        <v>10899555455</v>
      </c>
      <c r="E46" s="47">
        <f>E43+E44+E45</f>
        <v>371725946.93465602</v>
      </c>
      <c r="F46" s="43">
        <f>IFERROR(E46/D46,0)</f>
        <v>3.4104688807664409E-2</v>
      </c>
      <c r="G46" s="119">
        <f>G43+G44+G45</f>
        <v>10527829508.065346</v>
      </c>
      <c r="H46" s="119">
        <f ca="1">IFERROR(G46/C3,0)</f>
        <v>421113180.32261384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15565960.869789001</v>
      </c>
      <c r="H51" s="122">
        <f>N8</f>
        <v>1540540.52</v>
      </c>
      <c r="I51" s="122">
        <f t="shared" ref="I51:I64" si="1">G51+H51</f>
        <v>17106501.389789</v>
      </c>
      <c r="J51" s="61">
        <f t="shared" ref="J51:J64" si="2">IFERROR(I51/F51,0)</f>
        <v>3.0905278727207611E-2</v>
      </c>
      <c r="K51" s="51">
        <f t="shared" ref="K51:M64" si="3">D51-G51</f>
        <v>436117517.130211</v>
      </c>
      <c r="L51" s="51">
        <f t="shared" si="3"/>
        <v>100289882.48</v>
      </c>
      <c r="M51" s="51">
        <f t="shared" si="3"/>
        <v>536407399.61021101</v>
      </c>
      <c r="N51" s="51">
        <f ca="1">IFERROR(M51/C3,0)</f>
        <v>21456295.984408442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15107693.889947999</v>
      </c>
      <c r="H52" s="122">
        <f>N9</f>
        <v>6064027.9354969999</v>
      </c>
      <c r="I52" s="122">
        <f t="shared" si="1"/>
        <v>21171721.825445</v>
      </c>
      <c r="J52" s="61">
        <f t="shared" si="2"/>
        <v>2.5968358740330735E-2</v>
      </c>
      <c r="K52" s="54">
        <f t="shared" si="3"/>
        <v>575074677.11005199</v>
      </c>
      <c r="L52" s="54">
        <f t="shared" si="3"/>
        <v>219042778.06450301</v>
      </c>
      <c r="M52" s="54">
        <f t="shared" si="3"/>
        <v>794117455.17455494</v>
      </c>
      <c r="N52" s="54">
        <f ca="1">IFERROR(M52/C3,0)</f>
        <v>31764698.206982199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241473268</v>
      </c>
      <c r="L53" s="54">
        <f>E53-H53</f>
        <v>0</v>
      </c>
      <c r="M53" s="54">
        <f>F53-I53</f>
        <v>241473268</v>
      </c>
      <c r="N53" s="54">
        <f ca="1">IFERROR(M53/C3,0)</f>
        <v>9658930.7200000007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39950331.5</v>
      </c>
      <c r="H54" s="122">
        <f t="shared" ref="H54:H58" si="4">N10</f>
        <v>420000</v>
      </c>
      <c r="I54" s="122">
        <f t="shared" si="1"/>
        <v>40370331.5</v>
      </c>
      <c r="J54" s="61">
        <f t="shared" si="2"/>
        <v>5.5594699897950066E-2</v>
      </c>
      <c r="K54" s="54">
        <f>D54-G54</f>
        <v>605762140.5</v>
      </c>
      <c r="L54" s="54">
        <f t="shared" si="3"/>
        <v>80021848</v>
      </c>
      <c r="M54" s="54">
        <f t="shared" si="3"/>
        <v>685783988.5</v>
      </c>
      <c r="N54" s="54">
        <f ca="1">IFERROR(M54/C3,0)</f>
        <v>27431359.539999999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1500000</v>
      </c>
      <c r="H55" s="122">
        <f t="shared" si="4"/>
        <v>282000</v>
      </c>
      <c r="I55" s="122">
        <f t="shared" si="1"/>
        <v>1782000</v>
      </c>
      <c r="J55" s="61">
        <f t="shared" si="2"/>
        <v>3.0232175165507925E-3</v>
      </c>
      <c r="K55" s="54">
        <f t="shared" si="3"/>
        <v>507418832</v>
      </c>
      <c r="L55" s="54">
        <f t="shared" si="3"/>
        <v>80237404</v>
      </c>
      <c r="M55" s="54">
        <f t="shared" si="3"/>
        <v>587656236</v>
      </c>
      <c r="N55" s="54">
        <f ca="1">IFERROR(M55/C3,0)</f>
        <v>23506249.440000001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33187180.708790999</v>
      </c>
      <c r="H56" s="122">
        <f t="shared" si="4"/>
        <v>773810.81</v>
      </c>
      <c r="I56" s="122">
        <f t="shared" si="1"/>
        <v>33960991.518790998</v>
      </c>
      <c r="J56" s="61">
        <f t="shared" si="2"/>
        <v>6.5032883031728939E-2</v>
      </c>
      <c r="K56" s="54">
        <f t="shared" si="3"/>
        <v>406876103.29120898</v>
      </c>
      <c r="L56" s="54">
        <f t="shared" si="3"/>
        <v>81375514.189999998</v>
      </c>
      <c r="M56" s="54">
        <f t="shared" si="3"/>
        <v>488251617.48120898</v>
      </c>
      <c r="N56" s="54">
        <f ca="1">IFERROR(M56/C3,0)</f>
        <v>19530064.699248359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33289730.151946001</v>
      </c>
      <c r="H57" s="122">
        <f t="shared" si="4"/>
        <v>14591959.959952001</v>
      </c>
      <c r="I57" s="122">
        <f t="shared" si="1"/>
        <v>47881690.111898005</v>
      </c>
      <c r="J57" s="61">
        <f t="shared" si="2"/>
        <v>4.2665912712491129E-2</v>
      </c>
      <c r="K57" s="54">
        <f t="shared" si="3"/>
        <v>963468614.84805405</v>
      </c>
      <c r="L57" s="54">
        <f t="shared" si="3"/>
        <v>110896638.040048</v>
      </c>
      <c r="M57" s="54">
        <f t="shared" si="3"/>
        <v>1074365252.8881021</v>
      </c>
      <c r="N57" s="54">
        <f ca="1">IFERROR(M57/C3,0)</f>
        <v>42974610.115524083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17738173.430498999</v>
      </c>
      <c r="H58" s="122">
        <f t="shared" si="4"/>
        <v>0</v>
      </c>
      <c r="I58" s="122">
        <f>G58+H58</f>
        <v>17738173.430498999</v>
      </c>
      <c r="J58" s="61">
        <f>IFERROR(I58/F58,0)</f>
        <v>2.7818978994482969E-2</v>
      </c>
      <c r="K58" s="54">
        <f t="shared" si="3"/>
        <v>522548885.56950098</v>
      </c>
      <c r="L58" s="54">
        <f t="shared" si="3"/>
        <v>97341426</v>
      </c>
      <c r="M58" s="54">
        <f t="shared" si="3"/>
        <v>619890311.56950104</v>
      </c>
      <c r="N58" s="54">
        <f ca="1">IFERROR(M58/C3,0)</f>
        <v>24795612.462780043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63811629.899999999</v>
      </c>
      <c r="H59" s="122">
        <f>IF(D23="",0,D23)</f>
        <v>0</v>
      </c>
      <c r="I59" s="122">
        <f>G59+H59</f>
        <v>63811629.899999999</v>
      </c>
      <c r="J59" s="61">
        <f>IFERROR(I59/F59,0)</f>
        <v>0.1578973383914882</v>
      </c>
      <c r="K59" s="54">
        <f>D59-G59</f>
        <v>340322034.10000002</v>
      </c>
      <c r="L59" s="54">
        <f>E59-H59</f>
        <v>0</v>
      </c>
      <c r="M59" s="54">
        <f>F59-I59</f>
        <v>340322034.10000002</v>
      </c>
      <c r="N59" s="54">
        <f ca="1">IFERROR(M59/C3,0)</f>
        <v>13612881.364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40538550.981369004</v>
      </c>
      <c r="H60" s="122">
        <f t="shared" ref="H60:H64" si="5">N15</f>
        <v>4228378.3199399998</v>
      </c>
      <c r="I60" s="122">
        <f t="shared" si="1"/>
        <v>44766929.301309004</v>
      </c>
      <c r="J60" s="61">
        <f t="shared" si="2"/>
        <v>7.3263294080878325E-2</v>
      </c>
      <c r="K60" s="54">
        <f t="shared" si="3"/>
        <v>398478758.01863098</v>
      </c>
      <c r="L60" s="54">
        <f t="shared" si="3"/>
        <v>167796033.68006</v>
      </c>
      <c r="M60" s="54">
        <f t="shared" si="3"/>
        <v>566274791.69869101</v>
      </c>
      <c r="N60" s="54">
        <f ca="1">IFERROR(M60/C3,0)</f>
        <v>22650991.667947639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34306915.179871</v>
      </c>
      <c r="H61" s="122">
        <f t="shared" si="5"/>
        <v>2431800</v>
      </c>
      <c r="I61" s="122">
        <f t="shared" si="1"/>
        <v>36738715.179871</v>
      </c>
      <c r="J61" s="61">
        <f t="shared" si="2"/>
        <v>4.8408491189343858E-2</v>
      </c>
      <c r="K61" s="54">
        <f t="shared" si="3"/>
        <v>632322680.82012904</v>
      </c>
      <c r="L61" s="54">
        <f t="shared" si="3"/>
        <v>89869822</v>
      </c>
      <c r="M61" s="54">
        <f t="shared" si="3"/>
        <v>722192502.82012904</v>
      </c>
      <c r="N61" s="54">
        <f ca="1">IFERROR(M61/C3,0)</f>
        <v>28887700.112805162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10209497.789187999</v>
      </c>
      <c r="H62" s="122">
        <f t="shared" si="5"/>
        <v>0</v>
      </c>
      <c r="I62" s="122">
        <f t="shared" si="1"/>
        <v>10209497.789187999</v>
      </c>
      <c r="J62" s="61">
        <f t="shared" si="2"/>
        <v>1.967651416174411E-2</v>
      </c>
      <c r="K62" s="54">
        <f t="shared" si="3"/>
        <v>411333525.21081197</v>
      </c>
      <c r="L62" s="54">
        <f t="shared" si="3"/>
        <v>97324176</v>
      </c>
      <c r="M62" s="54">
        <f t="shared" si="3"/>
        <v>508657701.21081197</v>
      </c>
      <c r="N62" s="54">
        <f ca="1">IFERROR(M62/C3,0)</f>
        <v>20346308.048432481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10305210.84</v>
      </c>
      <c r="H63" s="122">
        <f t="shared" si="5"/>
        <v>0</v>
      </c>
      <c r="I63" s="122">
        <f t="shared" si="1"/>
        <v>10305210.84</v>
      </c>
      <c r="J63" s="61">
        <f t="shared" si="2"/>
        <v>1.0497120156434999E-2</v>
      </c>
      <c r="K63" s="54">
        <f t="shared" si="3"/>
        <v>608045731.15999997</v>
      </c>
      <c r="L63" s="54">
        <f t="shared" si="3"/>
        <v>363366966</v>
      </c>
      <c r="M63" s="54">
        <f t="shared" si="3"/>
        <v>971412697.15999997</v>
      </c>
      <c r="N63" s="54">
        <f ca="1">IFERROR(M63/C3,0)</f>
        <v>38856507.886399999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930000</v>
      </c>
      <c r="H64" s="122">
        <f t="shared" si="5"/>
        <v>0</v>
      </c>
      <c r="I64" s="122">
        <f t="shared" si="1"/>
        <v>930000</v>
      </c>
      <c r="J64" s="61">
        <f t="shared" si="2"/>
        <v>1.5868797681705847E-3</v>
      </c>
      <c r="K64" s="54">
        <f t="shared" si="3"/>
        <v>293595689</v>
      </c>
      <c r="L64" s="54">
        <f t="shared" si="3"/>
        <v>291530053</v>
      </c>
      <c r="M64" s="54">
        <f t="shared" si="3"/>
        <v>585125742</v>
      </c>
      <c r="N64" s="54">
        <f ca="1">IFERROR(M64/C3,0)</f>
        <v>23405029.68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316440875.24140102</v>
      </c>
      <c r="H65" s="152">
        <f>SUM(H51:H64)</f>
        <v>30332517.545389004</v>
      </c>
      <c r="I65" s="152">
        <f>SUM(I51:I64)</f>
        <v>346773392.78679001</v>
      </c>
      <c r="J65" s="153">
        <f>IFERROR(I65/F65,0)</f>
        <v>3.8238471322423549E-2</v>
      </c>
      <c r="K65" s="154">
        <f>SUM(K51:K64)</f>
        <v>6942838456.7585993</v>
      </c>
      <c r="L65" s="154">
        <f>SUM(L51:L64)</f>
        <v>1779092541.4546111</v>
      </c>
      <c r="M65" s="154">
        <f>SUM(M51:M64)</f>
        <v>8721930998.2132111</v>
      </c>
      <c r="N65" s="154">
        <f ca="1">IFERROR(M65/C3,0)</f>
        <v>348877239.92852843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6677477.4199999999</v>
      </c>
    </row>
    <row r="71" spans="2:14" ht="20.100000000000001" customHeight="1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9360360.2599999998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0</f>
        <v>0</v>
      </c>
    </row>
    <row r="76" spans="2:14" ht="20.100000000000001" customHeight="1" x14ac:dyDescent="0.25">
      <c r="B76" s="53" t="s">
        <v>76</v>
      </c>
      <c r="C76" s="56" t="s">
        <v>77</v>
      </c>
      <c r="D76" s="149">
        <f>IF(E19="",0,E19)</f>
        <v>284636047.89999998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11945946.749915</v>
      </c>
    </row>
    <row r="78" spans="2:14" ht="20.100000000000001" customHeight="1" x14ac:dyDescent="0.25">
      <c r="B78" s="53" t="s">
        <v>175</v>
      </c>
      <c r="C78" s="56" t="s">
        <v>177</v>
      </c>
      <c r="D78" s="149">
        <f>IF(E23="",0,E23)</f>
        <v>1927927.88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35648648.749954998</v>
      </c>
    </row>
    <row r="81" spans="2:9" ht="20.100000000000001" customHeight="1" x14ac:dyDescent="0.25">
      <c r="B81" s="53" t="s">
        <v>84</v>
      </c>
      <c r="C81" s="56" t="s">
        <v>85</v>
      </c>
      <c r="D81" s="149">
        <f>IF(E10="",0,E10)</f>
        <v>3279279.22</v>
      </c>
    </row>
    <row r="82" spans="2:9" ht="20.100000000000001" customHeight="1" x14ac:dyDescent="0.25">
      <c r="B82" s="50" t="s">
        <v>86</v>
      </c>
      <c r="C82" s="55" t="s">
        <v>87</v>
      </c>
      <c r="D82" s="148">
        <f>0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f>0</f>
        <v>0</v>
      </c>
    </row>
    <row r="84" spans="2:9" ht="20.100000000000001" customHeight="1" x14ac:dyDescent="0.25">
      <c r="B84" s="57" t="s">
        <v>152</v>
      </c>
      <c r="C84" s="58"/>
      <c r="D84" s="129">
        <f>SUM(D70:D83)</f>
        <v>353475688.17987001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1374000</v>
      </c>
      <c r="F89" s="61">
        <f t="shared" ref="F89:F94" si="7">IFERROR(E89/D89,0)</f>
        <v>4.8120944871353228E-3</v>
      </c>
      <c r="G89" s="125">
        <f>D89-E89</f>
        <v>284156553</v>
      </c>
      <c r="H89" s="125">
        <f ca="1">IFERROR(G89/C3,0)</f>
        <v>11366262.119999999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1197747.618</v>
      </c>
      <c r="F90" s="61">
        <f t="shared" si="7"/>
        <v>2.793049773945924E-3</v>
      </c>
      <c r="G90" s="126">
        <f>D90-E90</f>
        <v>427633714.38200003</v>
      </c>
      <c r="H90" s="126">
        <f ca="1">IFERROR(G90/C3,0)</f>
        <v>17105348.57528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22380806.529866003</v>
      </c>
      <c r="F91" s="61">
        <f t="shared" si="7"/>
        <v>2.0045701791622322E-2</v>
      </c>
      <c r="G91" s="125">
        <f>D91-E91</f>
        <v>1094108242.470134</v>
      </c>
      <c r="H91" s="125">
        <f ca="1">IFERROR(G91/C3,0)</f>
        <v>43764329.698805362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24952554.147866003</v>
      </c>
      <c r="F94" s="43">
        <f t="shared" si="7"/>
        <v>1.3628937185829991E-2</v>
      </c>
      <c r="G94" s="119">
        <f>SUM(G89:G93)</f>
        <v>1805898509.852134</v>
      </c>
      <c r="H94" s="119">
        <f ca="1">IFERROR(G94/C3,0)</f>
        <v>72235940.394085363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2026-06-02T02:34:39Z</dcterms:modified>
  <dc:language>en-US</dc:language>
</cp:coreProperties>
</file>