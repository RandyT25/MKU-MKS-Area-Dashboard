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4" activeTab="11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D43" i="12"/>
  <c r="D42" i="12"/>
  <c r="L41" i="12"/>
  <c r="K41" i="12"/>
  <c r="J41" i="12"/>
  <c r="I41" i="12"/>
  <c r="H41" i="12"/>
  <c r="G41" i="12"/>
  <c r="F4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I62" i="9" l="1"/>
  <c r="F57" i="3"/>
  <c r="L59" i="5"/>
  <c r="F59" i="3"/>
  <c r="D92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I53" i="6"/>
  <c r="F57" i="6"/>
  <c r="K57" i="6" s="1"/>
  <c r="L57" i="6" s="1"/>
  <c r="F60" i="6"/>
  <c r="O60" i="6" s="1"/>
  <c r="P60" i="6" s="1"/>
  <c r="F64" i="6"/>
  <c r="I55" i="7"/>
  <c r="I60" i="7"/>
  <c r="I64" i="7"/>
  <c r="I53" i="7"/>
  <c r="F57" i="7"/>
  <c r="F60" i="7"/>
  <c r="K60" i="7" s="1"/>
  <c r="L60" i="7" s="1"/>
  <c r="F64" i="7"/>
  <c r="F69" i="7"/>
  <c r="F53" i="8"/>
  <c r="F56" i="8"/>
  <c r="I59" i="8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D82" i="13"/>
  <c r="D86" i="13"/>
  <c r="D90" i="13"/>
  <c r="F53" i="6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K53" i="9" s="1"/>
  <c r="L53" i="9" s="1"/>
  <c r="F57" i="9"/>
  <c r="J57" i="9" s="1"/>
  <c r="F60" i="9"/>
  <c r="F64" i="9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L57" i="12" s="1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K55" i="9" s="1"/>
  <c r="L55" i="9" s="1"/>
  <c r="F59" i="9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J59" i="7" s="1"/>
  <c r="F62" i="7"/>
  <c r="K62" i="7" s="1"/>
  <c r="L62" i="7" s="1"/>
  <c r="H65" i="8"/>
  <c r="D46" i="8"/>
  <c r="F54" i="8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J59" i="9" s="1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D65" i="14"/>
  <c r="I51" i="4"/>
  <c r="L53" i="5"/>
  <c r="G44" i="13"/>
  <c r="D74" i="11"/>
  <c r="K62" i="11"/>
  <c r="K55" i="12"/>
  <c r="Q55" i="12" s="1"/>
  <c r="R55" i="12" s="1"/>
  <c r="K61" i="11"/>
  <c r="K63" i="12"/>
  <c r="Q63" i="12" s="1"/>
  <c r="R63" i="12" s="1"/>
  <c r="K63" i="10"/>
  <c r="K61" i="12"/>
  <c r="I55" i="4"/>
  <c r="J55" i="4" s="1"/>
  <c r="G65" i="4"/>
  <c r="J54" i="8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M51" i="4" s="1"/>
  <c r="N51" i="4" s="1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Q52" i="12" s="1"/>
  <c r="R52" i="12" s="1"/>
  <c r="G62" i="12"/>
  <c r="F69" i="12"/>
  <c r="F65" i="13"/>
  <c r="G54" i="13"/>
  <c r="K57" i="13"/>
  <c r="O57" i="13" s="1"/>
  <c r="P57" i="13" s="1"/>
  <c r="K61" i="13"/>
  <c r="Q61" i="13" s="1"/>
  <c r="R61" i="13" s="1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Q60" i="13" s="1"/>
  <c r="R60" i="13" s="1"/>
  <c r="G63" i="13"/>
  <c r="O63" i="13" s="1"/>
  <c r="P63" i="13" s="1"/>
  <c r="F65" i="14"/>
  <c r="K62" i="12"/>
  <c r="L62" i="12" s="1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K73" i="6"/>
  <c r="L73" i="6" s="1"/>
  <c r="J55" i="7"/>
  <c r="K72" i="8"/>
  <c r="L72" i="8" s="1"/>
  <c r="F72" i="9"/>
  <c r="G55" i="10"/>
  <c r="K60" i="10"/>
  <c r="D65" i="11"/>
  <c r="G55" i="11"/>
  <c r="D46" i="12"/>
  <c r="G59" i="12"/>
  <c r="L59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I51" i="3"/>
  <c r="J51" i="3" s="1"/>
  <c r="F68" i="3"/>
  <c r="I53" i="4"/>
  <c r="J53" i="4" s="1"/>
  <c r="I57" i="4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L59" i="14" s="1"/>
  <c r="E42" i="4"/>
  <c r="G42" i="4" s="1"/>
  <c r="H42" i="4" s="1"/>
  <c r="E42" i="5"/>
  <c r="G42" i="5" s="1"/>
  <c r="H42" i="5" s="1"/>
  <c r="D65" i="8"/>
  <c r="G42" i="12"/>
  <c r="H42" i="12" s="1"/>
  <c r="K58" i="12"/>
  <c r="L58" i="12" s="1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M56" i="8"/>
  <c r="N56" i="8" s="1"/>
  <c r="O57" i="8"/>
  <c r="P57" i="8" s="1"/>
  <c r="M57" i="8"/>
  <c r="N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O61" i="8"/>
  <c r="P61" i="8" s="1"/>
  <c r="M61" i="8"/>
  <c r="N61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O59" i="9"/>
  <c r="P59" i="9" s="1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O53" i="12"/>
  <c r="P53" i="12" s="1"/>
  <c r="Q54" i="12"/>
  <c r="R54" i="12" s="1"/>
  <c r="Q57" i="12"/>
  <c r="R57" i="12" s="1"/>
  <c r="O57" i="12"/>
  <c r="P57" i="12" s="1"/>
  <c r="M57" i="12"/>
  <c r="N57" i="12" s="1"/>
  <c r="M59" i="12"/>
  <c r="N59" i="12" s="1"/>
  <c r="L64" i="12"/>
  <c r="Q52" i="13"/>
  <c r="R52" i="13" s="1"/>
  <c r="M52" i="13"/>
  <c r="N52" i="13" s="1"/>
  <c r="M54" i="13"/>
  <c r="N54" i="13" s="1"/>
  <c r="Q55" i="13"/>
  <c r="R55" i="13" s="1"/>
  <c r="M55" i="13"/>
  <c r="N55" i="13" s="1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1" i="12"/>
  <c r="D65" i="12"/>
  <c r="K51" i="12"/>
  <c r="Q56" i="12"/>
  <c r="R56" i="12" s="1"/>
  <c r="O56" i="12"/>
  <c r="P56" i="12" s="1"/>
  <c r="M56" i="12"/>
  <c r="N56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54" i="14"/>
  <c r="R54" i="14" s="1"/>
  <c r="M54" i="14"/>
  <c r="N54" i="14" s="1"/>
  <c r="L54" i="14"/>
  <c r="Q62" i="13"/>
  <c r="R62" i="13" s="1"/>
  <c r="Q63" i="13"/>
  <c r="R63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4" i="14" l="1"/>
  <c r="N64" i="14" s="1"/>
  <c r="Q64" i="13"/>
  <c r="R64" i="13" s="1"/>
  <c r="L57" i="13"/>
  <c r="O52" i="12"/>
  <c r="P52" i="12" s="1"/>
  <c r="M62" i="12"/>
  <c r="N62" i="12" s="1"/>
  <c r="M61" i="12"/>
  <c r="N61" i="12" s="1"/>
  <c r="M53" i="12"/>
  <c r="N53" i="12" s="1"/>
  <c r="I44" i="12"/>
  <c r="J44" i="12" s="1"/>
  <c r="G44" i="12"/>
  <c r="H44" i="12" s="1"/>
  <c r="Q58" i="12"/>
  <c r="R58" i="12" s="1"/>
  <c r="K44" i="12"/>
  <c r="L44" i="12" s="1"/>
  <c r="Q61" i="12"/>
  <c r="R61" i="12" s="1"/>
  <c r="M55" i="12"/>
  <c r="N55" i="12" s="1"/>
  <c r="Q62" i="12"/>
  <c r="R62" i="12" s="1"/>
  <c r="D94" i="12"/>
  <c r="L57" i="11"/>
  <c r="L54" i="11"/>
  <c r="Q63" i="14"/>
  <c r="R63" i="14" s="1"/>
  <c r="M56" i="5"/>
  <c r="N56" i="5" s="1"/>
  <c r="G42" i="14"/>
  <c r="H42" i="14" s="1"/>
  <c r="M63" i="13"/>
  <c r="N63" i="13" s="1"/>
  <c r="M58" i="12"/>
  <c r="N58" i="12" s="1"/>
  <c r="L56" i="13"/>
  <c r="G43" i="12"/>
  <c r="H43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2" i="12"/>
  <c r="Q61" i="11"/>
  <c r="R61" i="11" s="1"/>
  <c r="J64" i="9"/>
  <c r="O55" i="12"/>
  <c r="P55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1" i="12"/>
  <c r="P61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J42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F45" i="12" l="1"/>
  <c r="F74" i="12"/>
  <c r="G74" i="7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<sst xmlns="http://schemas.openxmlformats.org/spreadsheetml/2006/main" count="2122" uniqueCount="228">
  <si>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</si>
  <si>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</si>
  <si>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</si>
  <si>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</si>
  <si>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</si>
  <si>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</si>
  <si>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</si>
  <si>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</si>
  <si>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</si>
  <si>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</si>
  <si>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</si>
  <si>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</si>
  <si>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</si>
  <si>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</si>
  <si>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</si>
  <si>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</si>
  <si>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</si>
  <si>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</si>
  <si>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</si>
  <si>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</si>
  <si>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</si>
  <si>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</si>
  <si>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</si>
  <si>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</si>
  <si>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</si>
  <si>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</si>
  <si>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</si>
  <si>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</si>
  <si>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</si>
  <si>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</si>
  <si>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</si>
  <si>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</si>
  <si>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</si>
  <si>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</si>
  <si>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</si>
  <si>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</si>
  <si>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</si>
  <si>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</si>
  <si>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</si>
  <si>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</si>
  <si>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</si>
  <si>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</si>
  <si>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</si>
  <si>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</si>
  <si>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</si>
  <si>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</si>
  <si>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</si>
  <si>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</si>
  <si>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</si>
  <si>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</si>
  <si>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</si>
  <si>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</si>
  <si>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</si>
  <si>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</si>
  <si>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</si>
  <si>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</si>
  <si>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</si>
  <si>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</si>
  <si>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</si>
  <si>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</si>
  <si>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</si>
  <si>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</si>
  <si>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</si>
  <si>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</si>
  <si>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</si>
  <si>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</si>
  <si>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</si>
  <si>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</si>
  <si>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</si>
  <si>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</si>
  <si>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</si>
  <si>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</si>
  <si>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</si>
  <si>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</si>
  <si>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</si>
  <si>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</si>
  <si>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</si>
  <si>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</si>
  <si>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</si>
  <si>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</si>
  <si>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</si>
  <si>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</si>
  <si>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</si>
  <si>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</si>
  <si>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</si>
  <si>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</si>
  <si>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</si>
  <si>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</si>
  <si>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</si>
  <si>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</si>
  <si>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</si>
  <si>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</si>
  <si>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</si>
  <si>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</si>
  <si>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</si>
  <si>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</si>
  <si>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</si>
  <si>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</si>
  <si>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</si>
  <si>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</si>
  <si>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</si>
  <si>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</si>
  <si>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</si>
  <si>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</si>
  <si>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</si>
  <si>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</si>
  <si>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</si>
  <si>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</si>
  <si>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</si>
  <si>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</si>
  <si>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</si>
  <si>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</si>
  <si>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</si>
  <si>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</si>
  <si>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</si>
  <si>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</si>
  <si>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</si>
  <si>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</si>
  <si>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</si>
  <si>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</si>
  <si>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</si>
  <si>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</si>
  <si>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</si>
  <si>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</si>
  <si>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</si>
  <si>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</si>
  <si>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</si>
  <si>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</si>
  <si>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</si>
  <si>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</si>
  <si>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</si>
  <si>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</si>
  <si>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</si>
  <si>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</si>
  <si>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</si>
  <si>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</si>
  <si>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</si>
  <si>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</si>
  <si>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</si>
  <si>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</si>
  <si>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</si>
  <si>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</si>
  <si>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</si>
  <si>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</si>
  <si>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</si>
  <si>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</si>
  <si>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</si>
  <si>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</si>
  <si>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</si>
  <si>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</si>
  <si>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</si>
  <si>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</si>
  <si>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</si>
  <si>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</si>
  <si>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</si>
  <si>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</si>
  <si>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</si>
  <si>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</si>
  <si>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</si>
  <si>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</si>
  <si>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</si>
  <si>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</si>
  <si>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</si>
  <si>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</si>
  <si>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</si>
  <si>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</si>
  <si>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</si>
  <si>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</si>
  <si>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</si>
  <si>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</si>
  <si>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</si>
  <si>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</si>
  <si>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</si>
  <si>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</si>
  <si>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</si>
  <si>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</si>
  <si>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</si>
  <si>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</si>
  <si>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</si>
  <si>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</si>
  <si>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</si>
  <si>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</si>
  <si>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</si>
  <si>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</si>
  <si>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</si>
  <si>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</si>
  <si>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</si>
  <si>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</si>
  <si>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</si>
  <si>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</si>
  <si>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</si>
  <si>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</si>
  <si>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</si>
  <si>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</si>
  <si>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</si>
  <si>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</si>
  <si>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</si>
  <si>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</si>
  <si>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</si>
  <si>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</si>
  <si>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</si>
  <si>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</si>
  <si>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</si>
  <si>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</si>
  <si>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</si>
  <si>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</si>
  <si>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</si>
  <si>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</si>
  <si>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</si>
  <si>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</si>
  <si>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</si>
  <si>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</si>
  <si>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</si>
  <si>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</si>
  <si>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</si>
  <si>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</si>
  <si>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</si>
  <si>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</si>
  <si>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</si>
  <si>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</si>
  <si>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</si>
  <si>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</si>
  <si>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</si>
  <si>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</si>
  <si>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</si>
  <si>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</si>
  <si>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</si>
  <si>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DATA PENCAPAIAN — GLOBAL —  13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</si>
</sst>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300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41" fontId="0" fillId="0" borderId="1" xfId="0" applyNumberFormat="1" applyBorder="1" applyAlignment="1">
      <alignment vertical="center"/>
    </xf>
    <xf numFmtId="41" fontId="0" fillId="0" borderId="12" xfId="0" applyNumberFormat="1" applyBorder="1" applyAlignment="1">
      <alignment vertical="center"/>
    </xf>
    <xf numFmtId="164" fontId="0" fillId="0" borderId="13" xfId="0" applyNumberFormat="1" applyBorder="1" applyAlignment="1">
      <alignment vertical="center"/>
    </xf>
    <xf numFmtId="164" fontId="0" fillId="0" borderId="1" xfId="0" applyNumberFormat="1" applyBorder="1"/>
    <xf numFmtId="164" fontId="0" fillId="0" borderId="1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41" t="s">
        <v>0</v>
      </c>
      <c r="C1" s="241"/>
    </row>
    <row r="3" spans="2:3" x14ac:dyDescent="0.25">
      <c r="B3" s="242" t="s">
        <v>1</v>
      </c>
      <c r="C3" s="242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3" t="s">
        <v>14</v>
      </c>
      <c r="C11" s="243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42" t="s">
        <v>28</v>
      </c>
      <c r="C3" s="242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4" t="s">
        <v>102</v>
      </c>
      <c r="C29" s="244"/>
      <c r="D29" s="244"/>
      <c r="E29" s="244"/>
      <c r="F29" s="244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9" t="s">
        <v>145</v>
      </c>
      <c r="C44" s="250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1" t="s">
        <v>41</v>
      </c>
      <c r="C47" s="251" t="s">
        <v>42</v>
      </c>
      <c r="D47" s="252" t="s">
        <v>137</v>
      </c>
      <c r="E47" s="253"/>
      <c r="F47" s="254"/>
      <c r="G47" s="98" t="s">
        <v>138</v>
      </c>
      <c r="H47" s="98"/>
      <c r="I47" s="98"/>
      <c r="J47" s="251" t="s">
        <v>139</v>
      </c>
      <c r="K47" s="99" t="s">
        <v>147</v>
      </c>
      <c r="L47" s="99"/>
      <c r="M47" s="99"/>
      <c r="N47" s="248" t="s">
        <v>148</v>
      </c>
    </row>
    <row r="48" spans="2:14" ht="15.75" x14ac:dyDescent="0.25">
      <c r="B48" s="251"/>
      <c r="C48" s="251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1"/>
      <c r="K48" s="101" t="s">
        <v>142</v>
      </c>
      <c r="L48" s="101" t="s">
        <v>110</v>
      </c>
      <c r="M48" s="101" t="s">
        <v>145</v>
      </c>
      <c r="N48" s="248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5" t="s">
        <v>144</v>
      </c>
      <c r="C63" s="246"/>
      <c r="D63" s="246"/>
      <c r="E63" s="246"/>
      <c r="F63" s="246"/>
      <c r="G63" s="246"/>
      <c r="H63" s="247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9" t="s">
        <v>145</v>
      </c>
      <c r="C44" s="250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1" t="s">
        <v>41</v>
      </c>
      <c r="C47" s="251" t="s">
        <v>42</v>
      </c>
      <c r="D47" s="252" t="s">
        <v>137</v>
      </c>
      <c r="E47" s="253"/>
      <c r="F47" s="254"/>
      <c r="G47" s="98" t="s">
        <v>138</v>
      </c>
      <c r="H47" s="98"/>
      <c r="I47" s="98"/>
      <c r="J47" s="251" t="s">
        <v>139</v>
      </c>
      <c r="K47" s="99" t="s">
        <v>147</v>
      </c>
      <c r="L47" s="99"/>
      <c r="M47" s="99"/>
      <c r="N47" s="248" t="s">
        <v>148</v>
      </c>
    </row>
    <row r="48" spans="2:14" ht="15.75" x14ac:dyDescent="0.25">
      <c r="B48" s="251"/>
      <c r="C48" s="251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1"/>
      <c r="K48" s="101" t="s">
        <v>142</v>
      </c>
      <c r="L48" s="101" t="s">
        <v>110</v>
      </c>
      <c r="M48" s="101" t="s">
        <v>145</v>
      </c>
      <c r="N48" s="248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5" t="s">
        <v>144</v>
      </c>
      <c r="C63" s="246"/>
      <c r="D63" s="246"/>
      <c r="E63" s="246"/>
      <c r="F63" s="246"/>
      <c r="G63" s="246"/>
      <c r="H63" s="247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62" t="s">
        <v>145</v>
      </c>
      <c r="C44" s="26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4" t="s">
        <v>41</v>
      </c>
      <c r="C47" s="264" t="s">
        <v>42</v>
      </c>
      <c r="D47" s="259" t="s">
        <v>137</v>
      </c>
      <c r="E47" s="260"/>
      <c r="F47" s="261"/>
      <c r="G47" s="69" t="s">
        <v>138</v>
      </c>
      <c r="H47" s="69"/>
      <c r="I47" s="69"/>
      <c r="J47" s="264" t="s">
        <v>139</v>
      </c>
      <c r="K47" s="35" t="s">
        <v>147</v>
      </c>
      <c r="L47" s="35"/>
      <c r="M47" s="35"/>
      <c r="N47" s="258" t="s">
        <v>148</v>
      </c>
    </row>
    <row r="48" spans="2:17" ht="15.75" x14ac:dyDescent="0.25">
      <c r="B48" s="264"/>
      <c r="C48" s="264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4"/>
      <c r="K48" s="34" t="s">
        <v>142</v>
      </c>
      <c r="L48" s="34" t="s">
        <v>110</v>
      </c>
      <c r="M48" s="34" t="s">
        <v>145</v>
      </c>
      <c r="N48" s="258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5" t="s">
        <v>144</v>
      </c>
      <c r="C63" s="256"/>
      <c r="D63" s="256"/>
      <c r="E63" s="256"/>
      <c r="F63" s="256"/>
      <c r="G63" s="256"/>
      <c r="H63" s="257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75" t="s">
        <v>177</v>
      </c>
      <c r="C41" s="276"/>
      <c r="D41" s="277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62" t="s">
        <v>145</v>
      </c>
      <c r="C46" s="263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66" t="s">
        <v>185</v>
      </c>
      <c r="L48" s="267"/>
      <c r="M48" s="267"/>
      <c r="N48" s="267"/>
      <c r="O48" s="267"/>
      <c r="P48" s="268"/>
      <c r="Q48"/>
      <c r="R48"/>
    </row>
    <row r="49" spans="2:18" s="139" customFormat="1" ht="33.950000000000003" customHeight="1" x14ac:dyDescent="0.25">
      <c r="B49" s="283" t="s">
        <v>41</v>
      </c>
      <c r="C49" s="283" t="s">
        <v>42</v>
      </c>
      <c r="D49" s="280" t="s">
        <v>137</v>
      </c>
      <c r="E49" s="281"/>
      <c r="F49" s="282"/>
      <c r="G49" s="140" t="s">
        <v>138</v>
      </c>
      <c r="H49" s="140"/>
      <c r="I49" s="140"/>
      <c r="J49" s="280" t="s">
        <v>139</v>
      </c>
      <c r="K49" s="269" t="str">
        <f>"SELISIH"&amp;CHAR(10)&amp;TEXT($H$41,"0%")</f>
        <v>SELISIH
90%</v>
      </c>
      <c r="L49" s="269" t="str">
        <f>"PER HARI"&amp;CHAR(10)&amp;TEXT($H$41,"0%")</f>
        <v>PER HARI
90%</v>
      </c>
      <c r="M49" s="271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3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83"/>
      <c r="C50" s="283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80"/>
      <c r="K50" s="270"/>
      <c r="L50" s="270"/>
      <c r="M50" s="272"/>
      <c r="N50" s="188"/>
      <c r="O50" s="183"/>
      <c r="P50" s="274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5" t="s">
        <v>170</v>
      </c>
      <c r="C77" s="256"/>
      <c r="D77" s="257"/>
      <c r="G77"/>
      <c r="H77"/>
      <c r="I77"/>
    </row>
    <row r="78" spans="1:19" ht="20.100000000000001" customHeight="1" x14ac:dyDescent="0.25">
      <c r="B78" s="265" t="s">
        <v>41</v>
      </c>
      <c r="C78" s="265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4"/>
      <c r="C79" s="264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4" t="s">
        <v>178</v>
      </c>
      <c r="C41" s="285"/>
      <c r="D41" s="286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2" t="s">
        <v>145</v>
      </c>
      <c r="C46" s="263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66" t="s">
        <v>185</v>
      </c>
      <c r="L48" s="267"/>
      <c r="M48" s="267"/>
      <c r="N48" s="267"/>
      <c r="O48" s="267"/>
      <c r="P48" s="268"/>
    </row>
    <row r="49" spans="2:16" ht="33.950000000000003" customHeight="1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69" t="str">
        <f>"SELISIH"&amp;CHAR(10)&amp;TEXT($H$41,"0%")</f>
        <v>SELISIH
90%</v>
      </c>
      <c r="L49" s="269" t="str">
        <f>"PER HARI"&amp;CHAR(10)&amp;TEXT($H$41,"0%")</f>
        <v>PER HARI
90%</v>
      </c>
      <c r="M49" s="271" t="str">
        <f>"SELISIH"&amp;CHAR(10)&amp;TEXT($J$41,"0%")</f>
        <v>SELISIH
95%</v>
      </c>
      <c r="N49" s="271" t="str">
        <f>"PER HARI"&amp;CHAR(10)&amp;TEXT($J$41,"0%")</f>
        <v>PER HARI
95%</v>
      </c>
      <c r="O49" s="273" t="str">
        <f>"SELISIH"&amp;CHAR(10)&amp;TEXT($L$41,"0%")</f>
        <v>SELISIH
100%</v>
      </c>
      <c r="P49" s="273" t="str">
        <f>"PER HARI"&amp;CHAR(10)&amp;TEXT($L$41,"0%")</f>
        <v>PER HARI
100%</v>
      </c>
    </row>
    <row r="50" spans="2:16" ht="22.5" customHeight="1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0"/>
      <c r="L50" s="270"/>
      <c r="M50" s="272"/>
      <c r="N50" s="272"/>
      <c r="O50" s="274"/>
      <c r="P50" s="274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8.75" customHeight="1" x14ac:dyDescent="0.25">
      <c r="B78" s="265" t="s">
        <v>41</v>
      </c>
      <c r="C78" s="265" t="s">
        <v>42</v>
      </c>
      <c r="D78" s="231" t="s">
        <v>138</v>
      </c>
    </row>
    <row r="79" spans="2:16" ht="18" customHeight="1" x14ac:dyDescent="0.25">
      <c r="B79" s="264"/>
      <c r="C79" s="264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75" t="s">
        <v>179</v>
      </c>
      <c r="C41" s="276"/>
      <c r="D41" s="277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2" t="s">
        <v>145</v>
      </c>
      <c r="C46" s="263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66" t="s">
        <v>185</v>
      </c>
      <c r="L48" s="267"/>
      <c r="M48" s="267"/>
      <c r="N48" s="267"/>
      <c r="O48" s="267"/>
      <c r="P48" s="268"/>
    </row>
    <row r="49" spans="2:16" ht="33.950000000000003" customHeight="1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69" t="str">
        <f>"SELISIH"&amp;CHAR(10)&amp;TEXT($H$41,"0%")</f>
        <v>SELISIH
90%</v>
      </c>
      <c r="L49" s="269" t="str">
        <f>"PER HARI"&amp;CHAR(10)&amp;TEXT($H$41,"0%")</f>
        <v>PER HARI
90%</v>
      </c>
      <c r="M49" s="271" t="str">
        <f>"SELISIH"&amp;CHAR(10)&amp;TEXT($J$41,"0%")</f>
        <v>SELISIH
95%</v>
      </c>
      <c r="N49" s="271" t="str">
        <f>"PER HARI"&amp;CHAR(10)&amp;TEXT($J$41,"0%")</f>
        <v>PER HARI
95%</v>
      </c>
      <c r="O49" s="273" t="str">
        <f>"SELISIH"&amp;CHAR(10)&amp;TEXT($L$41,"0%")</f>
        <v>SELISIH
100%</v>
      </c>
      <c r="P49" s="273" t="str">
        <f>"PER HARI"&amp;CHAR(10)&amp;TEXT($L$41,"0%")</f>
        <v>PER HARI
100%</v>
      </c>
    </row>
    <row r="50" spans="2:16" ht="19.5" customHeight="1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0"/>
      <c r="L50" s="270"/>
      <c r="M50" s="272"/>
      <c r="N50" s="272"/>
      <c r="O50" s="274"/>
      <c r="P50" s="274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5.75" x14ac:dyDescent="0.25">
      <c r="B78" s="265" t="s">
        <v>41</v>
      </c>
      <c r="C78" s="265" t="s">
        <v>42</v>
      </c>
      <c r="D78" s="231" t="s">
        <v>138</v>
      </c>
    </row>
    <row r="79" spans="2:16" ht="15.75" x14ac:dyDescent="0.25">
      <c r="B79" s="264"/>
      <c r="C79" s="264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75" t="s">
        <v>188</v>
      </c>
      <c r="C41" s="276"/>
      <c r="D41" s="277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62" t="s">
        <v>145</v>
      </c>
      <c r="C46" s="263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66" t="s">
        <v>185</v>
      </c>
      <c r="L48" s="267"/>
      <c r="M48" s="267"/>
      <c r="N48" s="267"/>
      <c r="O48" s="267"/>
      <c r="P48" s="268"/>
    </row>
    <row r="49" spans="2:16" ht="15.75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69" t="str">
        <f>"SELISIH"&amp;CHAR(10)&amp;TEXT($H$41,"0%")</f>
        <v>SELISIH
90%</v>
      </c>
      <c r="L49" s="269" t="str">
        <f>"PER HARI"&amp;CHAR(10)&amp;TEXT($H$41,"0%")</f>
        <v>PER HARI
90%</v>
      </c>
      <c r="M49" s="271" t="str">
        <f>"SELISIH"&amp;CHAR(10)&amp;TEXT($J$41,"0%")</f>
        <v>SELISIH
95%</v>
      </c>
      <c r="N49" s="271" t="str">
        <f>"PER HARI"&amp;CHAR(10)&amp;TEXT($J$41,"0%")</f>
        <v>PER HARI
95%</v>
      </c>
      <c r="O49" s="287" t="str">
        <f>"SELISIH"&amp;CHAR(10)&amp;TEXT($L$41,"0%")</f>
        <v>SELISIH
100%</v>
      </c>
      <c r="P49" s="287" t="str">
        <f>"PER HARI"&amp;CHAR(10)&amp;TEXT($L$41,"0%")</f>
        <v>PER HARI
100%</v>
      </c>
    </row>
    <row r="50" spans="2:16" ht="15.75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0"/>
      <c r="L50" s="270"/>
      <c r="M50" s="272"/>
      <c r="N50" s="272"/>
      <c r="O50" s="288"/>
      <c r="P50" s="288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5.75" x14ac:dyDescent="0.25">
      <c r="B78" s="265" t="s">
        <v>41</v>
      </c>
      <c r="C78" s="265" t="s">
        <v>42</v>
      </c>
      <c r="D78" s="231" t="s">
        <v>138</v>
      </c>
    </row>
    <row r="79" spans="2:16" ht="15.75" x14ac:dyDescent="0.25">
      <c r="B79" s="264"/>
      <c r="C79" s="264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75" t="s">
        <v>218</v>
      </c>
      <c r="C40" s="276"/>
      <c r="D40" s="277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62" t="s">
        <v>145</v>
      </c>
      <c r="C46" s="263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8" t="s">
        <v>212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90%</v>
      </c>
      <c r="N49" s="269" t="str">
        <f>"PER HARI"&amp;CHAR(10)&amp;TEXT($H$40,"0%")</f>
        <v>PER HARI
90%</v>
      </c>
      <c r="O49" s="271" t="str">
        <f>"SELISIH"&amp;CHAR(10)&amp;TEXT($J$40,"0%")</f>
        <v>SELISIH
95%</v>
      </c>
      <c r="P49" s="271" t="str">
        <f>"PER HARI"&amp;CHAR(10)&amp;TEXT($J$40,"0%")</f>
        <v>PER HARI
95%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5.75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8"/>
      <c r="G67" s="266" t="s">
        <v>185</v>
      </c>
      <c r="H67" s="267"/>
      <c r="I67" s="267"/>
      <c r="J67" s="267"/>
      <c r="K67" s="267"/>
      <c r="L67" s="268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5" t="s">
        <v>170</v>
      </c>
      <c r="C77" s="256"/>
      <c r="D77" s="257"/>
    </row>
    <row r="78" spans="2:21" ht="15.75" x14ac:dyDescent="0.25">
      <c r="B78" s="265" t="s">
        <v>41</v>
      </c>
      <c r="C78" s="265" t="s">
        <v>42</v>
      </c>
      <c r="D78" s="231" t="s">
        <v>138</v>
      </c>
    </row>
    <row r="79" spans="2:21" ht="15.75" x14ac:dyDescent="0.25">
      <c r="B79" s="264"/>
      <c r="C79" s="264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opLeftCell="A40" zoomScale="84" zoomScaleNormal="84" workbookViewId="0">
      <selection activeCell="B8" sqref="B8:G2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5">
        <v>144740163.23579499</v>
      </c>
      <c r="D10" s="235">
        <v>42947490.453594998</v>
      </c>
      <c r="E10" s="235">
        <v>203025937.43701801</v>
      </c>
      <c r="F10" s="235">
        <v>167020820.35991901</v>
      </c>
      <c r="G10" s="23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5673423.4199980004</v>
      </c>
      <c r="D11" s="235">
        <v>42317826.700000003</v>
      </c>
      <c r="E11" s="235">
        <v>294873875.35879999</v>
      </c>
      <c r="F11" s="235" t="s">
        <v>164</v>
      </c>
      <c r="G11" s="23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5">
        <v>184342048.20793799</v>
      </c>
      <c r="D12" s="235">
        <v>73221834.879611</v>
      </c>
      <c r="E12" s="235">
        <v>179141986.31949699</v>
      </c>
      <c r="F12" s="235">
        <v>73537256.650000006</v>
      </c>
      <c r="G12" s="23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34096172.366747998</v>
      </c>
      <c r="D13" s="235">
        <v>24478710.189963002</v>
      </c>
      <c r="E13" s="235">
        <v>220912974.83954</v>
      </c>
      <c r="F13" s="235">
        <v>92206408.069999993</v>
      </c>
      <c r="G13" s="23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519605596.399562</v>
      </c>
      <c r="D14" s="235">
        <v>46985541.356622003</v>
      </c>
      <c r="E14" s="235">
        <v>154687892.139853</v>
      </c>
      <c r="F14" s="235">
        <v>435182498.96969998</v>
      </c>
      <c r="G14" s="23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1671930373.3399069</v>
      </c>
      <c r="D15" s="235">
        <v>12877002.040921999</v>
      </c>
      <c r="E15" s="235">
        <v>95420197.059935004</v>
      </c>
      <c r="F15" s="235">
        <v>18848648.969999999</v>
      </c>
      <c r="G15" s="23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521089786.50765902</v>
      </c>
      <c r="D16" s="235">
        <v>57488125.779923998</v>
      </c>
      <c r="E16" s="235">
        <v>331550587.10936803</v>
      </c>
      <c r="F16" s="235">
        <v>1085995754.9499691</v>
      </c>
      <c r="G16" s="23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109815225.42588399</v>
      </c>
      <c r="D17" s="235">
        <v>13122554.039898001</v>
      </c>
      <c r="E17" s="235">
        <v>111572926.73874199</v>
      </c>
      <c r="F17" s="235">
        <v>50871892.898000002</v>
      </c>
      <c r="G17" s="23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15069697.589996999</v>
      </c>
      <c r="D18" s="235">
        <v>159433424.38816899</v>
      </c>
      <c r="E18" s="235">
        <v>64345106.100000001</v>
      </c>
      <c r="F18" s="235">
        <v>109416218.59999999</v>
      </c>
      <c r="G18" s="23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48019875.460000001</v>
      </c>
      <c r="D19" s="235" t="s">
        <v>164</v>
      </c>
      <c r="E19" s="235" t="s">
        <v>164</v>
      </c>
      <c r="F19" s="235">
        <v>9945945.6799999997</v>
      </c>
      <c r="G19" s="23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228406676.46000001</v>
      </c>
      <c r="D20" s="235" t="s">
        <v>164</v>
      </c>
      <c r="E20" s="235" t="s">
        <v>164</v>
      </c>
      <c r="F20" s="235">
        <v>13579549.18</v>
      </c>
      <c r="G20" s="23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293251949.48080099</v>
      </c>
      <c r="D21" s="235">
        <v>52174490.493436001</v>
      </c>
      <c r="E21" s="235">
        <v>160692167.65973499</v>
      </c>
      <c r="F21" s="235">
        <v>440958537.05983001</v>
      </c>
      <c r="G21" s="23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235">
        <v>203254368.21468899</v>
      </c>
      <c r="D22" s="235">
        <v>64276669.089911997</v>
      </c>
      <c r="E22" s="235">
        <v>164086145.60814101</v>
      </c>
      <c r="F22" s="235">
        <v>65793423.229999997</v>
      </c>
      <c r="G22" s="23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282011574.08168399</v>
      </c>
      <c r="D23" s="235">
        <v>74809273.259940997</v>
      </c>
      <c r="E23" s="235">
        <v>193650083.903642</v>
      </c>
      <c r="F23" s="235">
        <v>347098526.07937998</v>
      </c>
      <c r="G23" s="23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473358692.59722602</v>
      </c>
      <c r="D24" s="235">
        <v>68355376.974876001</v>
      </c>
      <c r="E24" s="235">
        <v>214221011.39987901</v>
      </c>
      <c r="F24" s="235">
        <v>637076364.45931995</v>
      </c>
      <c r="G24" s="23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350127609.35823399</v>
      </c>
      <c r="D25" s="235">
        <v>90343081.166443005</v>
      </c>
      <c r="E25" s="235">
        <v>104230158.082516</v>
      </c>
      <c r="F25" s="235">
        <v>50324325.43</v>
      </c>
      <c r="G25" s="23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547959392.77456105</v>
      </c>
      <c r="D26" s="235">
        <v>290879574.89086801</v>
      </c>
      <c r="E26" s="235">
        <v>286513427.54513299</v>
      </c>
      <c r="F26" s="235">
        <v>21926703.130399998</v>
      </c>
      <c r="G26" s="23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6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23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23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23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23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5" t="s">
        <v>226</v>
      </c>
      <c r="C40" s="276"/>
      <c r="D40" s="277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8" t="s">
        <v>212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95%</v>
      </c>
      <c r="N49" s="269" t="str">
        <f>"PER HARI"&amp;CHAR(10)&amp;TEXT($H$40,"0%")</f>
        <v>PER HARI
95%</v>
      </c>
      <c r="O49" s="271" t="str">
        <f>"SELISIH"&amp;CHAR(10)&amp;TEXT($J$40,"0%")</f>
        <v>SELISIH
100%</v>
      </c>
      <c r="P49" s="271" t="str">
        <f>"PER HARI"&amp;CHAR(10)&amp;TEXT($J$40,"0%")</f>
        <v>PER HARI
100%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7.100000000000001" customHeight="1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9"/>
      <c r="G67" s="266" t="s">
        <v>185</v>
      </c>
      <c r="H67" s="267"/>
      <c r="I67" s="267"/>
      <c r="J67" s="267"/>
      <c r="K67" s="267"/>
      <c r="L67" s="268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65" t="s">
        <v>41</v>
      </c>
      <c r="C78" s="265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B48:L48"/>
    <mergeCell ref="G67:L67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zoomScale="73" zoomScaleNormal="73" workbookViewId="0">
      <selection activeCell="F20" sqref="F20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5" width="16.42578125" customWidth="1"/>
    <col min="6" max="6" width="18" bestFit="1" customWidth="1"/>
    <col min="7" max="7" width="18.42578125" customWidth="1"/>
    <col min="8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17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35">
        <v>70700026.686804995</v>
      </c>
      <c r="D10" s="235">
        <v>27491004.269499999</v>
      </c>
      <c r="E10" s="235">
        <v>87848465.446052998</v>
      </c>
      <c r="F10" s="235">
        <v>74865959.999960005</v>
      </c>
      <c r="G10" s="235">
        <v>260905456.402318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2020270.259994</v>
      </c>
      <c r="D11" s="235">
        <v>11321748</v>
      </c>
      <c r="E11" s="235">
        <v>150472975.47999999</v>
      </c>
      <c r="F11" s="235" t="s">
        <v>164</v>
      </c>
      <c r="G11" s="235">
        <v>163814993.73999399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70</v>
      </c>
      <c r="C12" s="235">
        <v>75487452.684224993</v>
      </c>
      <c r="D12" s="235">
        <v>31435914.044450998</v>
      </c>
      <c r="E12" s="235">
        <v>77813432.719808996</v>
      </c>
      <c r="F12" s="235">
        <v>67551219.819999993</v>
      </c>
      <c r="G12" s="235">
        <v>252288019.26848501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11371946.246142</v>
      </c>
      <c r="D13" s="235">
        <v>14182081.359966001</v>
      </c>
      <c r="E13" s="235">
        <v>99503380.059613004</v>
      </c>
      <c r="F13" s="235">
        <v>34875676.869999997</v>
      </c>
      <c r="G13" s="235">
        <v>159933084.535721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197468393.93488199</v>
      </c>
      <c r="D14" s="235">
        <v>14763414.143975001</v>
      </c>
      <c r="E14" s="235">
        <v>78972996.259964004</v>
      </c>
      <c r="F14" s="235">
        <v>160754183.58987501</v>
      </c>
      <c r="G14" s="235">
        <v>451958987.92869598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145959028.00092</v>
      </c>
      <c r="D15" s="235">
        <v>3147531.5399989998</v>
      </c>
      <c r="E15" s="235">
        <v>7936615.0799329998</v>
      </c>
      <c r="F15" s="235">
        <v>7846486.6150000002</v>
      </c>
      <c r="G15" s="235">
        <v>164889661.235852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244651166.22833499</v>
      </c>
      <c r="D16" s="235">
        <v>38497699.759773001</v>
      </c>
      <c r="E16" s="235">
        <v>157830946.80970901</v>
      </c>
      <c r="F16" s="235">
        <v>599703511.93986905</v>
      </c>
      <c r="G16" s="235">
        <v>1040683324.737686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46801833.759374999</v>
      </c>
      <c r="D17" s="235">
        <v>16153476.114955001</v>
      </c>
      <c r="E17" s="235">
        <v>33708292.689280003</v>
      </c>
      <c r="F17" s="235">
        <v>6116216.3099999996</v>
      </c>
      <c r="G17" s="235">
        <v>102779818.87361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8268380</v>
      </c>
      <c r="D18" s="235">
        <v>43546967.899829999</v>
      </c>
      <c r="E18" s="235">
        <v>13406840.5</v>
      </c>
      <c r="F18" s="235">
        <v>53297298.399999999</v>
      </c>
      <c r="G18" s="235">
        <v>118519486.79983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16684521.08</v>
      </c>
      <c r="D19" s="235" t="s">
        <v>164</v>
      </c>
      <c r="E19" s="235" t="s">
        <v>164</v>
      </c>
      <c r="F19" s="235">
        <v>9650450.2799999993</v>
      </c>
      <c r="G19" s="235">
        <v>26334971.359999999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72734778.079999998</v>
      </c>
      <c r="D20" s="235" t="s">
        <v>164</v>
      </c>
      <c r="E20" s="235" t="s">
        <v>164</v>
      </c>
      <c r="F20" s="235">
        <v>6144143.9800000004</v>
      </c>
      <c r="G20" s="235">
        <v>78878922.060000002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142821596.83284</v>
      </c>
      <c r="D21" s="235">
        <v>20743768.528473001</v>
      </c>
      <c r="E21" s="235">
        <v>65007702.959904</v>
      </c>
      <c r="F21" s="235">
        <v>262370998.83989</v>
      </c>
      <c r="G21" s="235">
        <v>490944067.161107</v>
      </c>
      <c r="H21" s="111"/>
      <c r="I21" s="111"/>
      <c r="J21" s="111"/>
      <c r="M21" s="14">
        <f>SUM(C33,C34)+M20</f>
        <v>356044141.28303796</v>
      </c>
      <c r="N21" s="10" t="s">
        <v>223</v>
      </c>
    </row>
    <row r="22" spans="2:15" ht="15" customHeight="1" x14ac:dyDescent="0.25">
      <c r="B22" s="72" t="s">
        <v>224</v>
      </c>
      <c r="C22" s="235">
        <v>90286701.394003004</v>
      </c>
      <c r="D22" s="235">
        <v>32955470.594113</v>
      </c>
      <c r="E22" s="235">
        <v>60487090.499939002</v>
      </c>
      <c r="F22" s="235">
        <v>76186126.399987996</v>
      </c>
      <c r="G22" s="235">
        <v>259915388.88804299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145576185.84315601</v>
      </c>
      <c r="D23" s="235">
        <v>32106042.549929</v>
      </c>
      <c r="E23" s="235">
        <v>79342434.464504004</v>
      </c>
      <c r="F23" s="235">
        <v>141055584.46975499</v>
      </c>
      <c r="G23" s="235">
        <v>398080247.327344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215390889.937837</v>
      </c>
      <c r="D24" s="235">
        <v>29588770.299982999</v>
      </c>
      <c r="E24" s="235">
        <v>86423379.049968004</v>
      </c>
      <c r="F24" s="235">
        <v>333479186.14950001</v>
      </c>
      <c r="G24" s="235">
        <v>664882225.43728805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125701367.921895</v>
      </c>
      <c r="D25" s="235">
        <v>40640468.024245001</v>
      </c>
      <c r="E25" s="235">
        <v>52451139.751858003</v>
      </c>
      <c r="F25" s="235">
        <v>7432432.6699999999</v>
      </c>
      <c r="G25" s="235">
        <v>226225408.367998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177404089.50141001</v>
      </c>
      <c r="D26" s="235">
        <v>88829952.398875996</v>
      </c>
      <c r="E26" s="235">
        <v>101752383.10879</v>
      </c>
      <c r="F26" s="235">
        <v>10503351.5802</v>
      </c>
      <c r="G26" s="235">
        <v>378489776.58927602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237"/>
      <c r="G30" s="111"/>
      <c r="H30" s="111"/>
      <c r="I30" s="111"/>
    </row>
    <row r="31" spans="2:15" ht="15" customHeight="1" x14ac:dyDescent="0.25">
      <c r="B31" s="81" t="s">
        <v>131</v>
      </c>
      <c r="C31" s="239">
        <v>96261250.719666004</v>
      </c>
      <c r="G31" s="111"/>
      <c r="H31" s="111"/>
      <c r="I31" s="111"/>
    </row>
    <row r="32" spans="2:15" ht="15" customHeight="1" x14ac:dyDescent="0.25">
      <c r="B32" s="81" t="s">
        <v>132</v>
      </c>
      <c r="C32" s="239">
        <v>74881887.607215002</v>
      </c>
      <c r="G32" s="111"/>
      <c r="H32" s="111"/>
      <c r="I32" s="111"/>
    </row>
    <row r="33" spans="2:19" ht="15" customHeight="1" x14ac:dyDescent="0.25">
      <c r="B33" s="81" t="s">
        <v>133</v>
      </c>
      <c r="C33" s="240">
        <v>76162352.880906001</v>
      </c>
      <c r="G33" s="111"/>
      <c r="H33" s="111"/>
      <c r="I33" s="111"/>
    </row>
    <row r="34" spans="2:19" ht="15" customHeight="1" x14ac:dyDescent="0.25">
      <c r="B34" s="81" t="s">
        <v>134</v>
      </c>
      <c r="C34" s="240">
        <v>279881788.40213197</v>
      </c>
      <c r="G34" s="111"/>
      <c r="H34" s="111"/>
      <c r="I34" s="111"/>
    </row>
    <row r="35" spans="2:19" ht="15" customHeight="1" x14ac:dyDescent="0.25">
      <c r="B35" s="81" t="s">
        <v>135</v>
      </c>
      <c r="C35" s="238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5" t="s">
        <v>227</v>
      </c>
      <c r="C40" s="276"/>
      <c r="D40" s="277"/>
      <c r="E40" s="66" t="s">
        <v>137</v>
      </c>
      <c r="F40" s="174">
        <f ca="1">IF(MONTH(TODAY())=10,DAY(TODAY())/DAY(EOMONTH(TODAY(),0)),IF(MONTH(TODAY())&gt;10,1,0))</f>
        <v>0.41935483870967744</v>
      </c>
      <c r="G40" s="192" t="s">
        <v>186</v>
      </c>
      <c r="H40" s="198">
        <v>1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4464586688.6595287</v>
      </c>
      <c r="E42" s="46">
        <f>H65</f>
        <v>1643369600.3908989</v>
      </c>
      <c r="F42" s="176">
        <f>IFERROR(E42/D42,0)</f>
        <v>0.36808997450205472</v>
      </c>
      <c r="G42" s="184">
        <f>D42*$H$40-E42</f>
        <v>2821217088.26863</v>
      </c>
      <c r="H42" s="184">
        <f ca="1">IFERROR(G42/$C$3,0)</f>
        <v>165953946.36874294</v>
      </c>
      <c r="I42" s="204">
        <f>D42*$J$40-E42</f>
        <v>2821217088.26863</v>
      </c>
      <c r="J42" s="204">
        <f ca="1">IFERROR(I42/$C$3,0)</f>
        <v>165953946.36874294</v>
      </c>
      <c r="K42" s="185">
        <f>D42*$L$40-E42</f>
        <v>2821217088.26863</v>
      </c>
      <c r="L42" s="185">
        <f ca="1">IFERROR(K42/$C$3,0)</f>
        <v>165953946.36874294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1279908063.1092303</v>
      </c>
      <c r="E43" s="46">
        <f>I65</f>
        <v>442256777.988069</v>
      </c>
      <c r="F43" s="176">
        <f>IFERROR(E43/D43,0)</f>
        <v>0.34553792630520042</v>
      </c>
      <c r="G43" s="184">
        <f>D43*$H$40-E43</f>
        <v>837651285.12116122</v>
      </c>
      <c r="H43" s="184">
        <f ca="1">IFERROR(G43/$C$3,0)</f>
        <v>49273605.007127129</v>
      </c>
      <c r="I43" s="204">
        <f>D43*$J$40-E43</f>
        <v>837651285.12116122</v>
      </c>
      <c r="J43" s="204">
        <f ca="1">IFERROR(I43/$C$3,0)</f>
        <v>49273605.007127129</v>
      </c>
      <c r="K43" s="185">
        <f>D43*$L$40-E43</f>
        <v>837651285.12116122</v>
      </c>
      <c r="L43" s="185">
        <f ca="1">IFERROR(K43/$C$3,0)</f>
        <v>49273605.007127129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SUM(TARGETS!AG5:AG18)</f>
        <v>2914007482.4702153</v>
      </c>
      <c r="E44" s="46">
        <f>J65</f>
        <v>1145021459.799391</v>
      </c>
      <c r="F44" s="176">
        <f>IFERROR(E44/D44,0)</f>
        <v>0.39293703488666126</v>
      </c>
      <c r="G44" s="184">
        <f>IF(D44=0,0,D44*$H$40-E44)</f>
        <v>1768986022.6708243</v>
      </c>
      <c r="H44" s="184">
        <f ca="1">IFERROR(G44/$C$3,0)</f>
        <v>104058001.3335779</v>
      </c>
      <c r="I44" s="204">
        <f>IF(D44=0,0,D44*$J$40-E44)</f>
        <v>1768986022.6708243</v>
      </c>
      <c r="J44" s="204">
        <f ca="1">IFERROR(I44/$C$3,0)</f>
        <v>104058001.3335779</v>
      </c>
      <c r="K44" s="185">
        <f>IF(D44=0,0,D44*$L$40-E44)</f>
        <v>1768986022.6708243</v>
      </c>
      <c r="L44" s="185">
        <f ca="1">IFERROR(K44/$C$3,0)</f>
        <v>104058001.3335779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1779787234.0425532</v>
      </c>
      <c r="E45" s="46">
        <f>E74</f>
        <v>527187279.60991895</v>
      </c>
      <c r="F45" s="176">
        <f>IFERROR(E45/D45,0)</f>
        <v>0.29620803516636213</v>
      </c>
      <c r="G45" s="184">
        <f>D45*$H$40-E45</f>
        <v>1252599954.4326344</v>
      </c>
      <c r="H45" s="184">
        <f ca="1">IFERROR(G45/$C$3,0)</f>
        <v>73682350.260743201</v>
      </c>
      <c r="I45" s="204">
        <f>D45*$J$40-E45</f>
        <v>1252599954.4326344</v>
      </c>
      <c r="J45" s="204">
        <f ca="1">IFERROR(I45/$C$3,0)</f>
        <v>73682350.260743201</v>
      </c>
      <c r="K45" s="185">
        <f>D45*$L$40-E45</f>
        <v>1252599954.4326344</v>
      </c>
      <c r="L45" s="185">
        <f ca="1">IFERROR(K45/$C$3,0)</f>
        <v>73682350.260743201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10438289468.281527</v>
      </c>
      <c r="E46" s="47">
        <f>SUM(E42:E45)</f>
        <v>3757835117.7882781</v>
      </c>
      <c r="F46" s="177">
        <f>IFERROR(E46/D46,0)</f>
        <v>0.36000487715991047</v>
      </c>
      <c r="G46" s="181">
        <f>SUM(G42:G45)</f>
        <v>6680454350.4932499</v>
      </c>
      <c r="H46" s="181">
        <f ca="1">IFERROR(G46/$C$3,0)</f>
        <v>392967902.97019118</v>
      </c>
      <c r="I46" s="186">
        <f>SUM(I42:I45)</f>
        <v>6680454350.4932499</v>
      </c>
      <c r="J46" s="186">
        <f ca="1">IFERROR(I46/$C$3,0)</f>
        <v>392967902.97019118</v>
      </c>
      <c r="K46" s="186">
        <f>SUM(K42:K45)</f>
        <v>6680454350.4932499</v>
      </c>
      <c r="L46" s="186">
        <f ca="1">IFERROR(K46/$C$3,0)</f>
        <v>392967902.97019118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8" t="s">
        <v>212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100%</v>
      </c>
      <c r="N49" s="269" t="str">
        <f>"PER HARI"&amp;CHAR(10)&amp;TEXT($H$40,"0%")</f>
        <v>PER HARI
100%</v>
      </c>
      <c r="O49" s="271" t="str">
        <f>"SELISIH"&amp;CHAR(10)&amp;TEXT($J$40,"0%")</f>
        <v>SELISIH
100%</v>
      </c>
      <c r="P49" s="271" t="str">
        <f>"PER HARI"&amp;CHAR(10)&amp;TEXT($J$40,"0%")</f>
        <v>PER HARI
100%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7.100000000000001" customHeight="1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264756949.64136907</v>
      </c>
      <c r="E51" s="118">
        <f>TARGETS!AF5</f>
        <v>58508748.413354225</v>
      </c>
      <c r="F51" s="118">
        <f>TARGETS!AG5</f>
        <v>172968793.98622558</v>
      </c>
      <c r="G51" s="118">
        <f t="shared" ref="G51:G64" si="0">SUM(D51:F51)</f>
        <v>496234492.04094887</v>
      </c>
      <c r="H51" s="114">
        <f>SUMIF($B$10:$B$26,$T51,C$10:C$26)+SUMIF($B$10:$B$26,$U51,C$10:C$26)</f>
        <v>142821596.83284</v>
      </c>
      <c r="I51" s="114">
        <f t="shared" ref="I51:I64" si="1">SUMIF($B$10:$B$26,$T51,D$10:D$26)+SUMIF($B$10:$B$26,$U51,D$10:D$26)</f>
        <v>20743768.528473001</v>
      </c>
      <c r="J51" s="114">
        <f t="shared" ref="J51:J64" si="2">SUMIF($B$10:$B$26,$T51,E$10:E$26)+SUMIF($B$10:$B$26,$U51,E$10:E$26)</f>
        <v>65007702.959904</v>
      </c>
      <c r="K51" s="114">
        <f t="shared" ref="K51:K64" si="3">SUM(H51:J51)</f>
        <v>228573068.321217</v>
      </c>
      <c r="L51" s="187">
        <f t="shared" ref="L51:L65" si="4">IFERROR(K51/G51,0)</f>
        <v>0.46061503580923058</v>
      </c>
      <c r="M51" s="184">
        <f t="shared" ref="M51:M64" si="5">G51*$H$40-K51</f>
        <v>267661423.71973187</v>
      </c>
      <c r="N51" s="184">
        <f t="shared" ref="N51:N65" ca="1" si="6">IFERROR(M51/$C$3,0)</f>
        <v>15744789.630572462</v>
      </c>
      <c r="O51" s="180">
        <f t="shared" ref="O51:O64" si="7">G51*$J$40-K51</f>
        <v>267661423.71973187</v>
      </c>
      <c r="P51" s="180">
        <f t="shared" ref="P51:P65" ca="1" si="8">IFERROR(O51/$C$3,0)</f>
        <v>15744789.630572462</v>
      </c>
      <c r="Q51" s="185">
        <f t="shared" ref="Q51:Q64" si="9">G51*$L$40-K51</f>
        <v>267661423.71973187</v>
      </c>
      <c r="R51" s="185">
        <f t="shared" ref="R51:R65" ca="1" si="10">IFERROR(Q51/$C$3,0)</f>
        <v>15744789.630572462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180052976.96171179</v>
      </c>
      <c r="E52" s="119">
        <f>TARGETS!AF6</f>
        <v>163445127.22039506</v>
      </c>
      <c r="F52" s="119">
        <f>TARGETS!AG6</f>
        <v>423892749.39216906</v>
      </c>
      <c r="G52" s="119">
        <f t="shared" si="0"/>
        <v>767390853.57427597</v>
      </c>
      <c r="H52" s="114">
        <f t="shared" ref="H52:H64" si="11">SUMIF($B$10:$B$26,$T52,C$10:C$26)+SUMIF($B$10:$B$26,$U52,C$10:C$26)</f>
        <v>86859398.930366993</v>
      </c>
      <c r="I52" s="114">
        <f t="shared" si="1"/>
        <v>45617995.404417001</v>
      </c>
      <c r="J52" s="114">
        <f t="shared" si="2"/>
        <v>177316812.77942199</v>
      </c>
      <c r="K52" s="114">
        <f t="shared" si="3"/>
        <v>309794207.11420596</v>
      </c>
      <c r="L52" s="187">
        <f t="shared" si="4"/>
        <v>0.40369807076964448</v>
      </c>
      <c r="M52" s="184">
        <f t="shared" si="5"/>
        <v>457596646.46007001</v>
      </c>
      <c r="N52" s="184">
        <f t="shared" ca="1" si="6"/>
        <v>26917449.791768823</v>
      </c>
      <c r="O52" s="180">
        <f t="shared" si="7"/>
        <v>457596646.46007001</v>
      </c>
      <c r="P52" s="180">
        <f t="shared" ca="1" si="8"/>
        <v>26917449.791768823</v>
      </c>
      <c r="Q52" s="185">
        <f t="shared" si="9"/>
        <v>457596646.46007001</v>
      </c>
      <c r="R52" s="185">
        <f t="shared" ca="1" si="10"/>
        <v>26917449.791768823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TARGETS!AE7</f>
        <v>262953105.06301075</v>
      </c>
      <c r="E53" s="138">
        <f>TARGETS!AF7</f>
        <v>0</v>
      </c>
      <c r="F53" s="138">
        <f>TARGETS!AG7</f>
        <v>0</v>
      </c>
      <c r="G53" s="138">
        <f t="shared" si="0"/>
        <v>262953105.06301075</v>
      </c>
      <c r="H53" s="114">
        <f t="shared" si="11"/>
        <v>16684521.08</v>
      </c>
      <c r="I53" s="114">
        <f t="shared" si="1"/>
        <v>0</v>
      </c>
      <c r="J53" s="114">
        <f t="shared" si="2"/>
        <v>0</v>
      </c>
      <c r="K53" s="114">
        <f t="shared" si="3"/>
        <v>16684521.08</v>
      </c>
      <c r="L53" s="187">
        <f t="shared" si="4"/>
        <v>6.345055737600791E-2</v>
      </c>
      <c r="M53" s="184">
        <f t="shared" si="5"/>
        <v>246268583.98301074</v>
      </c>
      <c r="N53" s="184">
        <f t="shared" ca="1" si="6"/>
        <v>14486387.293118279</v>
      </c>
      <c r="O53" s="180">
        <f t="shared" si="7"/>
        <v>246268583.98301074</v>
      </c>
      <c r="P53" s="180">
        <f t="shared" ca="1" si="8"/>
        <v>14486387.293118279</v>
      </c>
      <c r="Q53" s="185">
        <f t="shared" si="9"/>
        <v>246268583.98301074</v>
      </c>
      <c r="R53" s="185">
        <f t="shared" ca="1" si="10"/>
        <v>14486387.293118279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590954252.3415246</v>
      </c>
      <c r="E54" s="119">
        <f>TARGETS!AF8</f>
        <v>33662936.863966122</v>
      </c>
      <c r="F54" s="119">
        <f>TARGETS!AG8</f>
        <v>83921591.734509259</v>
      </c>
      <c r="G54" s="119">
        <f t="shared" si="0"/>
        <v>708538780.93999994</v>
      </c>
      <c r="H54" s="114">
        <f t="shared" si="11"/>
        <v>197468393.93488199</v>
      </c>
      <c r="I54" s="114">
        <f t="shared" si="1"/>
        <v>14763414.143975001</v>
      </c>
      <c r="J54" s="114">
        <f t="shared" si="2"/>
        <v>78972996.259964004</v>
      </c>
      <c r="K54" s="114">
        <f t="shared" si="3"/>
        <v>291204804.33882099</v>
      </c>
      <c r="L54" s="187">
        <f t="shared" si="4"/>
        <v>0.41099345889365035</v>
      </c>
      <c r="M54" s="184">
        <f t="shared" si="5"/>
        <v>417333976.60117894</v>
      </c>
      <c r="N54" s="184">
        <f t="shared" ca="1" si="6"/>
        <v>24549057.447128173</v>
      </c>
      <c r="O54" s="180">
        <f t="shared" si="7"/>
        <v>417333976.60117894</v>
      </c>
      <c r="P54" s="180">
        <f t="shared" ca="1" si="8"/>
        <v>24549057.447128173</v>
      </c>
      <c r="Q54" s="185">
        <f t="shared" si="9"/>
        <v>417333976.60117894</v>
      </c>
      <c r="R54" s="185">
        <f t="shared" ca="1" si="10"/>
        <v>24549057.447128173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TARGETS!AE9</f>
        <v>5575801.9517222047</v>
      </c>
      <c r="E55" s="118">
        <f>TARGETS!AF9</f>
        <v>63507750.38497854</v>
      </c>
      <c r="F55" s="118">
        <f>TARGETS!AG9</f>
        <v>468117447.23398483</v>
      </c>
      <c r="G55" s="118">
        <f t="shared" si="0"/>
        <v>537200999.57068563</v>
      </c>
      <c r="H55" s="114">
        <f t="shared" si="11"/>
        <v>2020270.259994</v>
      </c>
      <c r="I55" s="114">
        <f t="shared" si="1"/>
        <v>11321748</v>
      </c>
      <c r="J55" s="114">
        <f t="shared" si="2"/>
        <v>150472975.47999999</v>
      </c>
      <c r="K55" s="114">
        <f t="shared" si="3"/>
        <v>163814993.73999399</v>
      </c>
      <c r="L55" s="187">
        <f t="shared" si="4"/>
        <v>0.304941714313469</v>
      </c>
      <c r="M55" s="184">
        <f t="shared" si="5"/>
        <v>373386005.83069164</v>
      </c>
      <c r="N55" s="184">
        <f t="shared" ca="1" si="6"/>
        <v>21963882.695923038</v>
      </c>
      <c r="O55" s="180">
        <f t="shared" si="7"/>
        <v>373386005.83069164</v>
      </c>
      <c r="P55" s="180">
        <f t="shared" ca="1" si="8"/>
        <v>21963882.695923038</v>
      </c>
      <c r="Q55" s="185">
        <f t="shared" si="9"/>
        <v>373386005.83069164</v>
      </c>
      <c r="R55" s="185">
        <f t="shared" ca="1" si="10"/>
        <v>21963882.695923038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TARGETS!AE10</f>
        <v>267520870.86594501</v>
      </c>
      <c r="E56" s="119">
        <f>TARGETS!AF10</f>
        <v>105132391.14913487</v>
      </c>
      <c r="F56" s="119">
        <f>TARGETS!AG10</f>
        <v>184159698.63927278</v>
      </c>
      <c r="G56" s="119">
        <f t="shared" si="0"/>
        <v>556812960.65435266</v>
      </c>
      <c r="H56" s="114">
        <f t="shared" si="11"/>
        <v>90286701.394003004</v>
      </c>
      <c r="I56" s="114">
        <f t="shared" si="1"/>
        <v>32955470.594113</v>
      </c>
      <c r="J56" s="114">
        <f t="shared" si="2"/>
        <v>60487090.499939002</v>
      </c>
      <c r="K56" s="114">
        <f t="shared" si="3"/>
        <v>183729262.48805499</v>
      </c>
      <c r="L56" s="187">
        <f t="shared" si="4"/>
        <v>0.32996585113992488</v>
      </c>
      <c r="M56" s="184">
        <f t="shared" si="5"/>
        <v>373083698.16629767</v>
      </c>
      <c r="N56" s="184">
        <f t="shared" ca="1" si="6"/>
        <v>21946099.892135158</v>
      </c>
      <c r="O56" s="180">
        <f t="shared" si="7"/>
        <v>373083698.16629767</v>
      </c>
      <c r="P56" s="180">
        <f t="shared" ca="1" si="8"/>
        <v>21946099.892135158</v>
      </c>
      <c r="Q56" s="185">
        <f t="shared" si="9"/>
        <v>373083698.16629767</v>
      </c>
      <c r="R56" s="185">
        <f t="shared" ca="1" si="10"/>
        <v>21946099.892135158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664600150.5441153</v>
      </c>
      <c r="E57" s="118">
        <f>TARGETS!AF11</f>
        <v>83317068.128031164</v>
      </c>
      <c r="F57" s="118">
        <f>TARGETS!AG11</f>
        <v>343133819.00673455</v>
      </c>
      <c r="G57" s="118">
        <f t="shared" si="0"/>
        <v>1091051037.6788809</v>
      </c>
      <c r="H57" s="114">
        <f t="shared" si="11"/>
        <v>244651166.22833499</v>
      </c>
      <c r="I57" s="114">
        <f t="shared" si="1"/>
        <v>38497699.759773001</v>
      </c>
      <c r="J57" s="114">
        <f t="shared" si="2"/>
        <v>157830946.80970901</v>
      </c>
      <c r="K57" s="114">
        <f t="shared" si="3"/>
        <v>440979812.79781699</v>
      </c>
      <c r="L57" s="187">
        <f t="shared" si="4"/>
        <v>0.40417890416562396</v>
      </c>
      <c r="M57" s="184">
        <f t="shared" si="5"/>
        <v>650071224.88106394</v>
      </c>
      <c r="N57" s="184">
        <f t="shared" ca="1" si="6"/>
        <v>38239483.816533171</v>
      </c>
      <c r="O57" s="180">
        <f t="shared" si="7"/>
        <v>650071224.88106394</v>
      </c>
      <c r="P57" s="180">
        <f t="shared" ca="1" si="8"/>
        <v>38239483.816533171</v>
      </c>
      <c r="Q57" s="185">
        <f t="shared" si="9"/>
        <v>650071224.88106394</v>
      </c>
      <c r="R57" s="185">
        <f t="shared" ca="1" si="10"/>
        <v>38239483.816533171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259993077.39884707</v>
      </c>
      <c r="E58" s="119">
        <f>TARGETS!AF12</f>
        <v>86845105.094943255</v>
      </c>
      <c r="F58" s="119">
        <f>TARGETS!AG12</f>
        <v>249609659.83737293</v>
      </c>
      <c r="G58" s="119">
        <f t="shared" si="0"/>
        <v>596447842.33116329</v>
      </c>
      <c r="H58" s="114">
        <f t="shared" si="11"/>
        <v>145576185.84315601</v>
      </c>
      <c r="I58" s="114">
        <f t="shared" si="1"/>
        <v>32106042.549929</v>
      </c>
      <c r="J58" s="114">
        <f t="shared" si="2"/>
        <v>79342434.464504004</v>
      </c>
      <c r="K58" s="114">
        <f t="shared" si="3"/>
        <v>257024662.85758901</v>
      </c>
      <c r="L58" s="187">
        <f t="shared" si="4"/>
        <v>0.43092563107116122</v>
      </c>
      <c r="M58" s="184">
        <f t="shared" si="5"/>
        <v>339423179.47357428</v>
      </c>
      <c r="N58" s="184">
        <f t="shared" ca="1" si="6"/>
        <v>19966069.380798489</v>
      </c>
      <c r="O58" s="180">
        <f t="shared" si="7"/>
        <v>339423179.47357428</v>
      </c>
      <c r="P58" s="180">
        <f t="shared" ca="1" si="8"/>
        <v>19966069.380798489</v>
      </c>
      <c r="Q58" s="185">
        <f t="shared" si="9"/>
        <v>339423179.47357428</v>
      </c>
      <c r="R58" s="185">
        <f t="shared" ca="1" si="10"/>
        <v>19966069.380798489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TARGETS!AE13</f>
        <v>443846715.57642001</v>
      </c>
      <c r="E59" s="138">
        <f>TARGETS!AF13</f>
        <v>0</v>
      </c>
      <c r="F59" s="138">
        <f>TARGETS!AG13</f>
        <v>0</v>
      </c>
      <c r="G59" s="138">
        <f t="shared" si="0"/>
        <v>443846715.57642001</v>
      </c>
      <c r="H59" s="114">
        <f t="shared" si="11"/>
        <v>72734778.079999998</v>
      </c>
      <c r="I59" s="114">
        <f t="shared" si="1"/>
        <v>0</v>
      </c>
      <c r="J59" s="114">
        <f t="shared" si="2"/>
        <v>0</v>
      </c>
      <c r="K59" s="114">
        <f t="shared" si="3"/>
        <v>72734778.079999998</v>
      </c>
      <c r="L59" s="187">
        <f t="shared" si="4"/>
        <v>0.16387364269563187</v>
      </c>
      <c r="M59" s="184">
        <f t="shared" si="5"/>
        <v>371111937.49642003</v>
      </c>
      <c r="N59" s="184">
        <f t="shared" ca="1" si="6"/>
        <v>21830113.97037765</v>
      </c>
      <c r="O59" s="180">
        <f t="shared" si="7"/>
        <v>371111937.49642003</v>
      </c>
      <c r="P59" s="180">
        <f t="shared" ca="1" si="8"/>
        <v>21830113.97037765</v>
      </c>
      <c r="Q59" s="185">
        <f t="shared" si="9"/>
        <v>371111937.49642003</v>
      </c>
      <c r="R59" s="185">
        <f t="shared" ca="1" si="10"/>
        <v>21830113.97037765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TARGETS!AE14</f>
        <v>345737237.66667807</v>
      </c>
      <c r="E60" s="119">
        <f>TARGETS!AF14</f>
        <v>99843502.42153886</v>
      </c>
      <c r="F60" s="119">
        <f>TARGETS!AG14</f>
        <v>115472440.26230113</v>
      </c>
      <c r="G60" s="119">
        <f t="shared" si="0"/>
        <v>561053180.35051799</v>
      </c>
      <c r="H60" s="114">
        <f t="shared" si="11"/>
        <v>125701367.921895</v>
      </c>
      <c r="I60" s="114">
        <f t="shared" si="1"/>
        <v>40640468.024245001</v>
      </c>
      <c r="J60" s="114">
        <f t="shared" si="2"/>
        <v>52451139.751858003</v>
      </c>
      <c r="K60" s="114">
        <f t="shared" si="3"/>
        <v>218792975.69799799</v>
      </c>
      <c r="L60" s="187">
        <f t="shared" si="4"/>
        <v>0.38996833697887084</v>
      </c>
      <c r="M60" s="184">
        <f t="shared" si="5"/>
        <v>342260204.65252</v>
      </c>
      <c r="N60" s="184">
        <f t="shared" ca="1" si="6"/>
        <v>20132953.214854117</v>
      </c>
      <c r="O60" s="180">
        <f t="shared" si="7"/>
        <v>342260204.65252</v>
      </c>
      <c r="P60" s="180">
        <f t="shared" ca="1" si="8"/>
        <v>20132953.214854117</v>
      </c>
      <c r="Q60" s="185">
        <f t="shared" si="9"/>
        <v>342260204.65252</v>
      </c>
      <c r="R60" s="185">
        <f t="shared" ca="1" si="10"/>
        <v>20132953.214854117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476796144.98316145</v>
      </c>
      <c r="E61" s="118">
        <f>TARGETS!AF15</f>
        <v>53126030.965583593</v>
      </c>
      <c r="F61" s="118">
        <f>TARGETS!AG15</f>
        <v>168537597.75857076</v>
      </c>
      <c r="G61" s="118">
        <f t="shared" si="0"/>
        <v>698459773.7073158</v>
      </c>
      <c r="H61" s="114">
        <f t="shared" si="11"/>
        <v>215390889.937837</v>
      </c>
      <c r="I61" s="114">
        <f t="shared" si="1"/>
        <v>29588770.299982999</v>
      </c>
      <c r="J61" s="114">
        <f t="shared" si="2"/>
        <v>86423379.049968004</v>
      </c>
      <c r="K61" s="114">
        <f t="shared" si="3"/>
        <v>331403039.28778803</v>
      </c>
      <c r="L61" s="187">
        <f t="shared" si="4"/>
        <v>0.47447691586983209</v>
      </c>
      <c r="M61" s="184">
        <f t="shared" si="5"/>
        <v>367056734.41952777</v>
      </c>
      <c r="N61" s="184">
        <f t="shared" ca="1" si="6"/>
        <v>21591572.6129134</v>
      </c>
      <c r="O61" s="180">
        <f t="shared" si="7"/>
        <v>367056734.41952777</v>
      </c>
      <c r="P61" s="180">
        <f t="shared" ca="1" si="8"/>
        <v>21591572.6129134</v>
      </c>
      <c r="Q61" s="185">
        <f t="shared" si="9"/>
        <v>367056734.41952777</v>
      </c>
      <c r="R61" s="185">
        <f t="shared" ca="1" si="10"/>
        <v>21591572.6129134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168507149.83198008</v>
      </c>
      <c r="E62" s="119">
        <f>TARGETS!AF16</f>
        <v>30531298.995438561</v>
      </c>
      <c r="F62" s="119">
        <f>TARGETS!AG16</f>
        <v>259851780.88751724</v>
      </c>
      <c r="G62" s="119">
        <f t="shared" si="0"/>
        <v>458890229.7149359</v>
      </c>
      <c r="H62" s="114">
        <f t="shared" si="11"/>
        <v>70700026.686804995</v>
      </c>
      <c r="I62" s="114">
        <f t="shared" si="1"/>
        <v>27491004.269499999</v>
      </c>
      <c r="J62" s="114">
        <f t="shared" si="2"/>
        <v>87848465.446052998</v>
      </c>
      <c r="K62" s="114">
        <f t="shared" si="3"/>
        <v>186039496.402358</v>
      </c>
      <c r="L62" s="187">
        <f t="shared" si="4"/>
        <v>0.40541176158386799</v>
      </c>
      <c r="M62" s="184">
        <f t="shared" si="5"/>
        <v>272850733.3125779</v>
      </c>
      <c r="N62" s="184">
        <f t="shared" ca="1" si="6"/>
        <v>16050043.136033995</v>
      </c>
      <c r="O62" s="180">
        <f t="shared" si="7"/>
        <v>272850733.3125779</v>
      </c>
      <c r="P62" s="180">
        <f t="shared" ca="1" si="8"/>
        <v>16050043.136033995</v>
      </c>
      <c r="Q62" s="185">
        <f t="shared" si="9"/>
        <v>272850733.3125779</v>
      </c>
      <c r="R62" s="185">
        <f t="shared" ca="1" si="10"/>
        <v>16050043.136033995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409968842.36459517</v>
      </c>
      <c r="E63" s="118">
        <f>TARGETS!AF17</f>
        <v>308297473.95300913</v>
      </c>
      <c r="F63" s="118">
        <f>TARGETS!AG17</f>
        <v>242574653.13033652</v>
      </c>
      <c r="G63" s="118">
        <f t="shared" si="0"/>
        <v>960840969.44794083</v>
      </c>
      <c r="H63" s="114">
        <f t="shared" si="11"/>
        <v>177404089.50141001</v>
      </c>
      <c r="I63" s="114">
        <f t="shared" si="1"/>
        <v>88829952.398875996</v>
      </c>
      <c r="J63" s="114">
        <f t="shared" si="2"/>
        <v>101752383.10879</v>
      </c>
      <c r="K63" s="114">
        <f t="shared" si="3"/>
        <v>367986425.009076</v>
      </c>
      <c r="L63" s="187">
        <f t="shared" si="4"/>
        <v>0.38298369523159037</v>
      </c>
      <c r="M63" s="184">
        <f t="shared" si="5"/>
        <v>592854544.43886483</v>
      </c>
      <c r="N63" s="184">
        <f t="shared" ca="1" si="6"/>
        <v>34873796.731697932</v>
      </c>
      <c r="O63" s="180">
        <f t="shared" si="7"/>
        <v>592854544.43886483</v>
      </c>
      <c r="P63" s="180">
        <f t="shared" ca="1" si="8"/>
        <v>34873796.731697932</v>
      </c>
      <c r="Q63" s="185">
        <f t="shared" si="9"/>
        <v>592854544.43886483</v>
      </c>
      <c r="R63" s="185">
        <f t="shared" ca="1" si="10"/>
        <v>34873796.731697932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123323413.46844758</v>
      </c>
      <c r="E64" s="119">
        <f>TARGETS!AF18</f>
        <v>193690629.51885673</v>
      </c>
      <c r="F64" s="119">
        <f>TARGETS!AG18</f>
        <v>201767250.60122082</v>
      </c>
      <c r="G64" s="119">
        <f t="shared" si="0"/>
        <v>518781293.58852518</v>
      </c>
      <c r="H64" s="114">
        <f t="shared" si="11"/>
        <v>55070213.759374999</v>
      </c>
      <c r="I64" s="114">
        <f t="shared" si="1"/>
        <v>59700444.014784999</v>
      </c>
      <c r="J64" s="114">
        <f t="shared" si="2"/>
        <v>47115133.189280003</v>
      </c>
      <c r="K64" s="114">
        <f t="shared" si="3"/>
        <v>161885790.96344</v>
      </c>
      <c r="L64" s="187">
        <f t="shared" si="4"/>
        <v>0.31205017020494341</v>
      </c>
      <c r="M64" s="184">
        <f t="shared" si="5"/>
        <v>356895502.62508518</v>
      </c>
      <c r="N64" s="184">
        <f t="shared" ca="1" si="6"/>
        <v>20993853.095593244</v>
      </c>
      <c r="O64" s="180">
        <f t="shared" si="7"/>
        <v>356895502.62508518</v>
      </c>
      <c r="P64" s="180">
        <f t="shared" ca="1" si="8"/>
        <v>20993853.095593244</v>
      </c>
      <c r="Q64" s="185">
        <f t="shared" si="9"/>
        <v>356895502.62508518</v>
      </c>
      <c r="R64" s="185">
        <f t="shared" ca="1" si="10"/>
        <v>20993853.095593244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4464586688.6595287</v>
      </c>
      <c r="E65" s="134">
        <f t="shared" si="12"/>
        <v>1279908063.1092303</v>
      </c>
      <c r="F65" s="134">
        <f t="shared" si="12"/>
        <v>2914007482.4702153</v>
      </c>
      <c r="G65" s="134">
        <f t="shared" si="12"/>
        <v>8658502234.2389736</v>
      </c>
      <c r="H65" s="135">
        <f t="shared" si="12"/>
        <v>1643369600.3908989</v>
      </c>
      <c r="I65" s="135">
        <f t="shared" si="12"/>
        <v>442256777.988069</v>
      </c>
      <c r="J65" s="135">
        <f t="shared" si="12"/>
        <v>1145021459.799391</v>
      </c>
      <c r="K65" s="135">
        <f t="shared" si="12"/>
        <v>3230647838.178359</v>
      </c>
      <c r="L65" s="189">
        <f t="shared" si="4"/>
        <v>0.37311855454667003</v>
      </c>
      <c r="M65" s="181">
        <f>SUM(M51:M64)</f>
        <v>5427854396.0606146</v>
      </c>
      <c r="N65" s="181">
        <f t="shared" ca="1" si="6"/>
        <v>319285552.70944792</v>
      </c>
      <c r="O65" s="181">
        <f>SUM(O51:O64)</f>
        <v>5427854396.0606146</v>
      </c>
      <c r="P65" s="181">
        <f t="shared" ca="1" si="8"/>
        <v>319285552.70944792</v>
      </c>
      <c r="Q65" s="186">
        <f>SUM(Q51:Q64)</f>
        <v>5427854396.0606146</v>
      </c>
      <c r="R65" s="186">
        <f t="shared" ca="1" si="10"/>
        <v>319285552.70944792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9"/>
      <c r="G67" s="266" t="s">
        <v>185</v>
      </c>
      <c r="H67" s="267"/>
      <c r="I67" s="267"/>
      <c r="J67" s="267"/>
      <c r="K67" s="267"/>
      <c r="L67" s="268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269378070.68085116</v>
      </c>
      <c r="E69" s="114">
        <f>IFERROR($C$31,0)</f>
        <v>96261250.719666004</v>
      </c>
      <c r="F69" s="187">
        <f t="shared" ref="F69:F74" si="13">IFERROR(E69/D69,0)</f>
        <v>0.35734627720944906</v>
      </c>
      <c r="G69" s="184">
        <f>D69*$H$40-E69</f>
        <v>173116819.96118516</v>
      </c>
      <c r="H69" s="184">
        <f t="shared" ref="H69:H74" ca="1" si="14">IFERROR(G69/$C$3,0)</f>
        <v>10183342.350657951</v>
      </c>
      <c r="I69" s="204">
        <f>D69*$J$40-E69</f>
        <v>173116819.96118516</v>
      </c>
      <c r="J69" s="204">
        <f t="shared" ref="J69:J74" ca="1" si="15">IFERROR(I69/$C$3,0)</f>
        <v>10183342.350657951</v>
      </c>
      <c r="K69" s="185">
        <f>D69*$L$40-E69</f>
        <v>173116819.96118516</v>
      </c>
      <c r="L69" s="185">
        <f t="shared" ref="L69:L74" ca="1" si="16">IFERROR(K69/$C$3,0)</f>
        <v>10183342.350657951</v>
      </c>
    </row>
    <row r="70" spans="2:21" ht="15.95" customHeight="1" x14ac:dyDescent="0.25">
      <c r="B70" s="53" t="s">
        <v>94</v>
      </c>
      <c r="C70" s="56" t="s">
        <v>99</v>
      </c>
      <c r="D70" s="117">
        <f>TARGETS!M23</f>
        <v>412678979.6808511</v>
      </c>
      <c r="E70" s="114">
        <f>IFERROR($C$32,0)</f>
        <v>74881887.607215002</v>
      </c>
      <c r="F70" s="187">
        <f t="shared" si="13"/>
        <v>0.18145311802681485</v>
      </c>
      <c r="G70" s="184">
        <f>D70*$H$40-E70</f>
        <v>337797092.07363611</v>
      </c>
      <c r="H70" s="184">
        <f t="shared" ca="1" si="14"/>
        <v>19870417.180802125</v>
      </c>
      <c r="I70" s="204">
        <f>D70*$J$40-E70</f>
        <v>337797092.07363611</v>
      </c>
      <c r="J70" s="204">
        <f t="shared" ca="1" si="15"/>
        <v>19870417.180802125</v>
      </c>
      <c r="K70" s="185">
        <f>D70*$L$40-E70</f>
        <v>337797092.07363611</v>
      </c>
      <c r="L70" s="185">
        <f t="shared" ca="1" si="16"/>
        <v>19870417.180802125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1097730183.680851</v>
      </c>
      <c r="E71" s="114">
        <f>M21</f>
        <v>356044141.28303796</v>
      </c>
      <c r="F71" s="187">
        <f t="shared" si="13"/>
        <v>0.32434576964001255</v>
      </c>
      <c r="G71" s="184">
        <f>D71*$H$40-E71</f>
        <v>741686042.39781308</v>
      </c>
      <c r="H71" s="184">
        <f t="shared" ca="1" si="14"/>
        <v>43628590.729283124</v>
      </c>
      <c r="I71" s="204">
        <f>D71*$J$40-E71</f>
        <v>741686042.39781308</v>
      </c>
      <c r="J71" s="204">
        <f t="shared" ca="1" si="15"/>
        <v>43628590.729283124</v>
      </c>
      <c r="K71" s="185">
        <f>D71*$L$40-E71</f>
        <v>741686042.39781308</v>
      </c>
      <c r="L71" s="185">
        <f t="shared" ca="1" si="16"/>
        <v>43628590.729283124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ht="15.95" customHeight="1" x14ac:dyDescent="0.25">
      <c r="B74" s="57" t="s">
        <v>151</v>
      </c>
      <c r="C74" s="58"/>
      <c r="D74" s="115">
        <f>SUM(D69:D73)</f>
        <v>1779787234.0425532</v>
      </c>
      <c r="E74" s="115">
        <f>SUM(E69:E73)</f>
        <v>527187279.60991895</v>
      </c>
      <c r="F74" s="177">
        <f t="shared" si="13"/>
        <v>0.29620803516636213</v>
      </c>
      <c r="G74" s="181">
        <f>SUM(G69:G73)</f>
        <v>1252599954.4326344</v>
      </c>
      <c r="H74" s="181">
        <f t="shared" ca="1" si="14"/>
        <v>73682350.260743201</v>
      </c>
      <c r="I74" s="186">
        <f>SUM(I69:I73)</f>
        <v>1252599954.4326344</v>
      </c>
      <c r="J74" s="186">
        <f t="shared" ca="1" si="15"/>
        <v>73682350.260743201</v>
      </c>
      <c r="K74" s="186">
        <f>SUM(K69:K73)</f>
        <v>1252599954.4326344</v>
      </c>
      <c r="L74" s="186">
        <f t="shared" ca="1" si="16"/>
        <v>73682350.260743201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65" t="s">
        <v>41</v>
      </c>
      <c r="C78" s="265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262370998.83989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102426896.69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8"/>
        <v>9650450.2799999993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160754183.58987501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8"/>
        <v>76186126.399987996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599703511.93986905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141055584.46975499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8"/>
        <v>6144143.9800000004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7432432.6699999999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333479186.14950001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74865959.999960005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10503351.5802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59413514.710000001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1843986341.2990372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38" fitToHeight="1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D90" sqref="D90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5" t="s">
        <v>174</v>
      </c>
      <c r="C40" s="276"/>
      <c r="D40" s="277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90%</v>
      </c>
      <c r="N49" s="269" t="str">
        <f>"PER HARI"&amp;CHAR(10)&amp;TEXT($H$40,"0%")</f>
        <v>PER HARI
90%</v>
      </c>
      <c r="O49" s="271" t="str">
        <f>"SELISIH"&amp;CHAR(10)&amp;TEXT($J$40,"0%")</f>
        <v>SELISIH
95%</v>
      </c>
      <c r="P49" s="271" t="str">
        <f>"PER HARI"&amp;CHAR(10)&amp;TEXT($J$40,"0%")</f>
        <v>PER HARI
95%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7.100000000000001" customHeight="1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9"/>
      <c r="G67" s="266" t="s">
        <v>185</v>
      </c>
      <c r="H67" s="267"/>
      <c r="I67" s="267"/>
      <c r="J67" s="267"/>
      <c r="K67" s="267"/>
      <c r="L67" s="268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65" t="s">
        <v>41</v>
      </c>
      <c r="C78" s="265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A56" zoomScaleNormal="100" workbookViewId="0">
      <selection activeCell="E86" sqref="E8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5" t="s">
        <v>176</v>
      </c>
      <c r="C40" s="276"/>
      <c r="D40" s="277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90%</v>
      </c>
      <c r="N49" s="269" t="str">
        <f>"PER HARI"&amp;CHAR(10)&amp;TEXT($H$40,"0%")</f>
        <v>PER HARI
90%</v>
      </c>
      <c r="O49" s="271" t="str">
        <f>"SELISIH"&amp;CHAR(10)&amp;TEXT($J$40,"0%")</f>
        <v>SELISIH
95%</v>
      </c>
      <c r="P49" s="271" t="str">
        <f>"PER HARI"&amp;CHAR(10)&amp;TEXT($J$40,"0%")</f>
        <v>PER HARI
95%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7.100000000000001" customHeight="1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9"/>
      <c r="G67" s="266" t="s">
        <v>185</v>
      </c>
      <c r="H67" s="267"/>
      <c r="I67" s="267"/>
      <c r="J67" s="267"/>
      <c r="K67" s="267"/>
      <c r="L67" s="268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65" t="s">
        <v>41</v>
      </c>
      <c r="C78" s="265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2026-10-02T08:01:49Z</cp:lastPrinted>
  <dcterms:created xsi:type="dcterms:W3CDTF">2026-03-24T08:59:20Z</dcterms:created>
  <dcterms:modified xsi:type="dcterms:W3CDTF">2026-10-13T00:46:58Z</dcterms:modified>
  <dc:language>en-US</dc:language>
</cp:coreProperties>
</file>