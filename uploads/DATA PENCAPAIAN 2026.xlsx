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-105" yWindow="-105" windowWidth="19425" windowHeight="10305" tabRatio="500" firstSheet="1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9" l="1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84" i="9" l="1"/>
  <c r="D74" i="8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4" i="13" s="1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94" i="12" s="1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D54" i="10"/>
  <c r="F54" i="10" s="1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F52" i="9" s="1"/>
  <c r="E51" i="9"/>
  <c r="E65" i="9" s="1"/>
  <c r="D64" i="9"/>
  <c r="D63" i="9"/>
  <c r="D62" i="9"/>
  <c r="D61" i="9"/>
  <c r="D60" i="9"/>
  <c r="F60" i="9" s="1"/>
  <c r="D59" i="9"/>
  <c r="F59" i="9" s="1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F64" i="8" s="1"/>
  <c r="D63" i="8"/>
  <c r="F63" i="8" s="1"/>
  <c r="D62" i="8"/>
  <c r="F62" i="8" s="1"/>
  <c r="D61" i="8"/>
  <c r="D60" i="8"/>
  <c r="F60" i="8" s="1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G92" i="7" s="1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F64" i="14"/>
  <c r="F63" i="14"/>
  <c r="F62" i="14"/>
  <c r="F61" i="14"/>
  <c r="F60" i="14"/>
  <c r="H59" i="14"/>
  <c r="L59" i="14" s="1"/>
  <c r="G59" i="14"/>
  <c r="K59" i="14" s="1"/>
  <c r="F59" i="14"/>
  <c r="F57" i="14"/>
  <c r="F55" i="14"/>
  <c r="F54" i="14"/>
  <c r="H53" i="14"/>
  <c r="L53" i="14" s="1"/>
  <c r="G53" i="14"/>
  <c r="K53" i="14" s="1"/>
  <c r="F53" i="14"/>
  <c r="F52" i="14"/>
  <c r="F51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0" i="13"/>
  <c r="H59" i="13"/>
  <c r="L59" i="13" s="1"/>
  <c r="G59" i="13"/>
  <c r="F59" i="13"/>
  <c r="F58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1" i="12"/>
  <c r="H59" i="12"/>
  <c r="L59" i="12" s="1"/>
  <c r="G59" i="12"/>
  <c r="F59" i="12"/>
  <c r="F57" i="12"/>
  <c r="F56" i="12"/>
  <c r="F55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M15" i="12"/>
  <c r="G60" i="12" s="1"/>
  <c r="N14" i="12"/>
  <c r="H58" i="12" s="1"/>
  <c r="M14" i="12"/>
  <c r="G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5" i="11"/>
  <c r="F64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H59" i="10"/>
  <c r="L59" i="10" s="1"/>
  <c r="G59" i="10"/>
  <c r="F59" i="10"/>
  <c r="F58" i="10"/>
  <c r="F55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F64" i="9"/>
  <c r="F63" i="9"/>
  <c r="H59" i="9"/>
  <c r="G59" i="9"/>
  <c r="K59" i="9" s="1"/>
  <c r="F58" i="9"/>
  <c r="F56" i="9"/>
  <c r="F55" i="9"/>
  <c r="F54" i="9"/>
  <c r="H53" i="9"/>
  <c r="L53" i="9" s="1"/>
  <c r="G53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M8" i="9"/>
  <c r="G51" i="9" s="1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9" l="1"/>
  <c r="F90" i="7"/>
  <c r="K62" i="8"/>
  <c r="E65" i="11"/>
  <c r="D65" i="14"/>
  <c r="F61" i="7"/>
  <c r="F51" i="9"/>
  <c r="F65" i="9" s="1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E65" i="13"/>
  <c r="F54" i="12"/>
  <c r="F59" i="8"/>
  <c r="D94" i="8"/>
  <c r="L56" i="10"/>
  <c r="L60" i="12"/>
  <c r="L55" i="13"/>
  <c r="F63" i="13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F65" i="8" s="1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F65" i="12" s="1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J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H45" i="10" s="1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I52" i="12"/>
  <c r="K52" i="12"/>
  <c r="G65" i="12"/>
  <c r="E43" i="12" s="1"/>
  <c r="L51" i="8"/>
  <c r="I62" i="8"/>
  <c r="I58" i="9"/>
  <c r="J58" i="9" s="1"/>
  <c r="K61" i="10"/>
  <c r="I61" i="10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M61" i="9"/>
  <c r="N61" i="9" s="1"/>
  <c r="G89" i="9"/>
  <c r="K57" i="12"/>
  <c r="I57" i="12"/>
  <c r="F93" i="7"/>
  <c r="I58" i="8"/>
  <c r="J58" i="8" s="1"/>
  <c r="M56" i="9"/>
  <c r="N56" i="9" s="1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J63" i="11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46" i="9" s="1"/>
  <c r="E91" i="10"/>
  <c r="E94" i="10" s="1"/>
  <c r="F94" i="10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9" i="9" l="1"/>
  <c r="N59" i="9" s="1"/>
  <c r="J62" i="9"/>
  <c r="F44" i="10"/>
  <c r="M57" i="10"/>
  <c r="N57" i="10" s="1"/>
  <c r="J52" i="12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F46" i="9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12" l="1"/>
  <c r="J65" i="12" s="1"/>
  <c r="G70" i="3"/>
  <c r="H70" i="3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<sst xmlns="http://schemas.openxmlformats.org/spreadsheetml/2006/main" count="1878" uniqueCount="186">
  <si>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</si>
  <si>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</si>
  <si>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</si>
  <si>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</si>
  <si>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</si>
  <si>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</si>
  <si>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</si>
  <si>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</si>
  <si>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</si>
  <si>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</si>
  <si>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</si>
  <si>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</si>
  <si>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</si>
  <si>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</si>
  <si>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</si>
  <si>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</si>
  <si>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</si>
  <si>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</si>
  <si>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</si>
  <si>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</si>
  <si>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</si>
  <si>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</si>
  <si>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</si>
  <si>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</si>
  <si>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</si>
  <si>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</si>
  <si>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</si>
  <si>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</si>
  <si>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</si>
  <si>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</si>
  <si>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</si>
  <si>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</si>
  <si>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</si>
  <si>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</si>
  <si>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</si>
  <si>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</si>
  <si>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</si>
  <si>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</si>
  <si>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</si>
  <si>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</si>
  <si>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</si>
  <si>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</si>
  <si>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</si>
  <si>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</si>
  <si>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</si>
  <si>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</si>
  <si>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</si>
  <si>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</si>
  <si>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</si>
  <si>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</si>
  <si>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</si>
  <si>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</si>
  <si>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</si>
  <si>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</si>
  <si>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</si>
  <si>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</si>
  <si>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</si>
  <si>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</si>
  <si>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</si>
  <si>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</si>
  <si>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</si>
  <si>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</si>
  <si>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</si>
  <si>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</si>
  <si>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</si>
  <si>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</si>
  <si>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</si>
  <si>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</si>
  <si>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</si>
  <si>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</si>
  <si>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</si>
  <si>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</si>
  <si>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</si>
  <si>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</si>
  <si>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</si>
  <si>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</si>
  <si>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</si>
  <si>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</si>
  <si>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</si>
  <si>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</si>
  <si>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</si>
  <si>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</si>
  <si>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</si>
  <si>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</si>
  <si>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</si>
  <si>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</si>
  <si>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</si>
  <si>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</si>
  <si>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</si>
  <si>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</si>
  <si>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</si>
  <si>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</si>
  <si>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</si>
  <si>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</si>
  <si>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</si>
  <si>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</si>
  <si>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</si>
  <si>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</si>
  <si>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</si>
  <si>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</si>
  <si>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</si>
  <si>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</si>
  <si>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</si>
  <si>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</si>
  <si>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</si>
  <si>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</si>
  <si>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</si>
  <si>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</si>
  <si>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</si>
  <si>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</si>
  <si>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</si>
  <si>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</si>
  <si>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</si>
  <si>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</si>
  <si>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</si>
  <si>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</si>
  <si>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</si>
  <si>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</si>
  <si>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</si>
  <si>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</si>
  <si>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</si>
  <si>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</si>
  <si>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</si>
  <si>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</si>
  <si>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</si>
  <si>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</si>
  <si>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</si>
  <si>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</si>
  <si>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</si>
  <si>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</si>
  <si>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</si>
  <si>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</si>
  <si>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</si>
  <si>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</si>
  <si>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</si>
  <si>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</si>
  <si>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</si>
  <si>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</si>
  <si>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</si>
  <si>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</si>
  <si>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</si>
  <si>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</si>
  <si>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</si>
  <si>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</si>
  <si>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</si>
  <si>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</si>
  <si>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</si>
  <si>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</si>
  <si>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</si>
  <si>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</si>
  <si>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</si>
  <si>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</si>
  <si>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</si>
  <si>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</si>
  <si>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</si>
  <si>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</si>
  <si>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</si>
  <si>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</si>
  <si>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</si>
  <si>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</si>
  <si>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</si>
  <si>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</si>
  <si>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</si>
  <si>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</si>
  <si>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</si>
  <si>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</si>
  <si>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</si>
  <si>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</si>
  <si>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</si>
  <si>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</si>
  <si>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</si>
  <si>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</si>
  <si>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</si>
  <si>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</si>
  <si>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</si>
  <si>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</si>
  <si>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</si>
  <si>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</si>
  <si>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</si>
  <si>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</si>
  <si>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</si>
  <si>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</si>
  <si>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</si>
  <si>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</si>
  <si>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</si>
  <si>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DATA PENCAPAIAN — GLOBAL —  11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</si>
</sst>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8" width="9.5703125" customWidth="1"/>
    <col min="9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5703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18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182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35155226.678422607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30865962.762038376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6098473.0410951506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72119662.481556132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8441340.1848090719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7552757.4992927779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2439190.1222222215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-2241594.8603348401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7266354.3117514513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4482639.1363857584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-1395396.4260410864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6156357.1241827803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5756230.009445833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4200663.7587377988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9846453.1892154589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6576351.5645651584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1922537.942388634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5017305.8838400207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66021189.44046104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-742387.6620151368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-1029415.7076601353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7870276.4107704293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6098473.0410951572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33" zoomScaleNormal="100" workbookViewId="0">
      <selection activeCell="E89" sqref="E89:E91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5703125" customWidth="1"/>
    <col min="4" max="4" width="17.42578125" customWidth="1"/>
    <col min="5" max="5" width="14.7109375" customWidth="1"/>
    <col min="6" max="6" width="14.5703125" customWidth="1"/>
    <col min="7" max="7" width="16.85546875" customWidth="1"/>
    <col min="8" max="8" width="12.5703125" bestFit="1" customWidth="1"/>
    <col min="9" max="9" width="14.28515625" bestFit="1" customWidth="1"/>
    <col min="10" max="10" width="10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18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152934638.88179901</v>
      </c>
      <c r="N8" s="11">
        <f>D24</f>
        <v>21853890.209982999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230636173.117971</v>
      </c>
      <c r="N9" s="11">
        <f>D12+D13</f>
        <v>88718378.215607002</v>
      </c>
    </row>
    <row r="10" spans="2:14" x14ac:dyDescent="0.25">
      <c r="B10" s="74" t="s">
        <v>113</v>
      </c>
      <c r="C10" s="206">
        <v>123324762.58091199</v>
      </c>
      <c r="D10" s="206">
        <v>15793075.389698001</v>
      </c>
      <c r="E10" s="206">
        <v>63531394.460000001</v>
      </c>
      <c r="F10" s="206">
        <v>202649232.43061</v>
      </c>
      <c r="H10" s="116"/>
      <c r="I10" s="116"/>
      <c r="J10" s="116"/>
      <c r="M10" s="11">
        <f>C14</f>
        <v>336455707.65683597</v>
      </c>
      <c r="N10" s="11">
        <f>D14</f>
        <v>4944927.9799870001</v>
      </c>
    </row>
    <row r="11" spans="2:14" x14ac:dyDescent="0.25">
      <c r="B11" s="74" t="s">
        <v>114</v>
      </c>
      <c r="C11" s="206">
        <v>132153080.645321</v>
      </c>
      <c r="D11" s="206">
        <v>31680803.53788</v>
      </c>
      <c r="E11" s="206">
        <v>32258641.620000001</v>
      </c>
      <c r="F11" s="206">
        <v>196092525.80320099</v>
      </c>
      <c r="H11" s="116"/>
      <c r="I11" s="116"/>
      <c r="J11" s="116"/>
      <c r="M11" s="11">
        <f>C17</f>
        <v>180220721.619268</v>
      </c>
      <c r="N11" s="11">
        <f>D17</f>
        <v>20186105.800000001</v>
      </c>
    </row>
    <row r="12" spans="2:14" x14ac:dyDescent="0.25">
      <c r="B12" s="74" t="s">
        <v>70</v>
      </c>
      <c r="C12" s="206">
        <v>128221023.60151599</v>
      </c>
      <c r="D12" s="206">
        <v>68572076.725736007</v>
      </c>
      <c r="E12" s="206">
        <v>19128819.359999999</v>
      </c>
      <c r="F12" s="206">
        <v>215921919.68725201</v>
      </c>
      <c r="H12" s="116"/>
      <c r="I12" s="116"/>
      <c r="J12" s="116"/>
      <c r="M12" s="11">
        <f>C16</f>
        <v>131179191.667529</v>
      </c>
      <c r="N12" s="11">
        <f>D16</f>
        <v>48545343.527390003</v>
      </c>
    </row>
    <row r="13" spans="2:14" x14ac:dyDescent="0.25">
      <c r="B13" s="74" t="s">
        <v>115</v>
      </c>
      <c r="C13" s="206">
        <v>102415149.51645499</v>
      </c>
      <c r="D13" s="206">
        <v>20146301.489870999</v>
      </c>
      <c r="E13" s="206">
        <v>13655945.720000001</v>
      </c>
      <c r="F13" s="206">
        <v>136217396.72632599</v>
      </c>
      <c r="H13" s="116"/>
      <c r="I13" s="116"/>
      <c r="J13" s="116"/>
      <c r="M13" s="11">
        <f>C19</f>
        <v>574202021.72309697</v>
      </c>
      <c r="N13" s="11">
        <f>D19</f>
        <v>61398758.439654998</v>
      </c>
    </row>
    <row r="14" spans="2:14" x14ac:dyDescent="0.25">
      <c r="B14" s="74" t="s">
        <v>116</v>
      </c>
      <c r="C14" s="206">
        <v>336455707.65683597</v>
      </c>
      <c r="D14" s="206">
        <v>4944927.9799870001</v>
      </c>
      <c r="E14" s="206">
        <v>135269030.69</v>
      </c>
      <c r="F14" s="206">
        <v>476669666.326823</v>
      </c>
      <c r="H14" s="116"/>
      <c r="I14" s="116"/>
      <c r="J14" s="116"/>
      <c r="M14" s="11">
        <f>C25</f>
        <v>174880858.89565599</v>
      </c>
      <c r="N14" s="11">
        <f>D25</f>
        <v>29358828.049947001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132153080.645321</v>
      </c>
      <c r="N15" s="11">
        <f>D11</f>
        <v>31680803.53788</v>
      </c>
    </row>
    <row r="16" spans="2:14" x14ac:dyDescent="0.25">
      <c r="B16" s="74" t="s">
        <v>74</v>
      </c>
      <c r="C16" s="206">
        <v>131179191.667529</v>
      </c>
      <c r="D16" s="206">
        <v>48545343.527390003</v>
      </c>
      <c r="E16" s="206">
        <v>23893333.100000001</v>
      </c>
      <c r="F16" s="206">
        <v>203617868.29491901</v>
      </c>
      <c r="H16" s="116"/>
      <c r="I16" s="116"/>
      <c r="J16" s="116"/>
      <c r="M16" s="11">
        <f>C26</f>
        <v>226928890.17846999</v>
      </c>
      <c r="N16" s="11">
        <f>D26</f>
        <v>19440018.969992001</v>
      </c>
    </row>
    <row r="17" spans="2:14" x14ac:dyDescent="0.25">
      <c r="B17" s="74" t="s">
        <v>118</v>
      </c>
      <c r="C17" s="206">
        <v>180220721.619268</v>
      </c>
      <c r="D17" s="206">
        <v>20186105.800000001</v>
      </c>
      <c r="E17" s="206" t="s">
        <v>168</v>
      </c>
      <c r="F17" s="206">
        <v>200406827.41926801</v>
      </c>
      <c r="H17" s="116"/>
      <c r="I17" s="116"/>
      <c r="J17" s="116"/>
      <c r="M17" s="11">
        <f>C10</f>
        <v>123324762.58091199</v>
      </c>
      <c r="N17" s="11">
        <f>D10</f>
        <v>15793075.389698001</v>
      </c>
    </row>
    <row r="18" spans="2:14" x14ac:dyDescent="0.25">
      <c r="B18" s="74" t="s">
        <v>119</v>
      </c>
      <c r="C18" s="206">
        <v>642062346.92383504</v>
      </c>
      <c r="D18" s="206">
        <v>3351063.3339979998</v>
      </c>
      <c r="E18" s="206">
        <v>1686486.48</v>
      </c>
      <c r="F18" s="206">
        <v>647099896.73783302</v>
      </c>
      <c r="H18" s="116"/>
      <c r="I18" s="116"/>
      <c r="J18" s="116"/>
      <c r="M18" s="11">
        <f>C27</f>
        <v>322278385.04749101</v>
      </c>
      <c r="N18" s="11">
        <f>D27</f>
        <v>91172517.719753996</v>
      </c>
    </row>
    <row r="19" spans="2:14" x14ac:dyDescent="0.25">
      <c r="B19" s="74" t="s">
        <v>121</v>
      </c>
      <c r="C19" s="206">
        <v>574202021.72309697</v>
      </c>
      <c r="D19" s="206">
        <v>61398758.439654998</v>
      </c>
      <c r="E19" s="206">
        <v>547601657.74997902</v>
      </c>
      <c r="F19" s="206">
        <v>1183202437.9127309</v>
      </c>
      <c r="H19" s="116"/>
      <c r="I19" s="116"/>
      <c r="J19" s="116"/>
      <c r="M19" s="11">
        <f>C20+C21</f>
        <v>105293425.68730399</v>
      </c>
      <c r="N19" s="11">
        <f>D20+D21</f>
        <v>28627295.939789999</v>
      </c>
    </row>
    <row r="20" spans="2:14" x14ac:dyDescent="0.25">
      <c r="B20" s="74" t="s">
        <v>123</v>
      </c>
      <c r="C20" s="206">
        <v>83051116.987308994</v>
      </c>
      <c r="D20" s="206">
        <v>5596960.339989</v>
      </c>
      <c r="E20" s="206">
        <v>972973</v>
      </c>
      <c r="F20" s="206">
        <v>89621050.327298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6">
        <v>22242308.699995</v>
      </c>
      <c r="D21" s="206">
        <v>23030335.599801</v>
      </c>
      <c r="E21" s="206">
        <v>13481081.380000001</v>
      </c>
      <c r="F21" s="206">
        <v>58753725.679796003</v>
      </c>
      <c r="H21" s="116"/>
      <c r="I21" s="116"/>
      <c r="J21" s="116"/>
      <c r="M21" s="14">
        <f>IFERROR(C34,0)+IFERROR(C35,0)+M20</f>
        <v>91068242.202832997</v>
      </c>
      <c r="N21" s="10" t="s">
        <v>122</v>
      </c>
    </row>
    <row r="22" spans="2:14" x14ac:dyDescent="0.25">
      <c r="B22" s="74" t="s">
        <v>172</v>
      </c>
      <c r="C22" s="206">
        <v>110486470.40000001</v>
      </c>
      <c r="D22" s="206" t="s">
        <v>168</v>
      </c>
      <c r="E22" s="206">
        <v>3783783.68</v>
      </c>
      <c r="F22" s="206">
        <v>114270254.08</v>
      </c>
      <c r="H22" s="116"/>
      <c r="I22" s="116"/>
      <c r="J22" s="116"/>
    </row>
    <row r="23" spans="2:14" x14ac:dyDescent="0.25">
      <c r="B23" s="74" t="s">
        <v>173</v>
      </c>
      <c r="C23" s="206">
        <v>157058366.74000001</v>
      </c>
      <c r="D23" s="206" t="s">
        <v>168</v>
      </c>
      <c r="E23" s="206">
        <v>5495495.3399999999</v>
      </c>
      <c r="F23" s="206">
        <v>162553862.08000001</v>
      </c>
      <c r="H23" s="116"/>
      <c r="I23" s="116"/>
      <c r="J23" s="116"/>
    </row>
    <row r="24" spans="2:14" x14ac:dyDescent="0.25">
      <c r="B24" s="74" t="s">
        <v>125</v>
      </c>
      <c r="C24" s="206">
        <v>152934638.88179901</v>
      </c>
      <c r="D24" s="206">
        <v>21853890.209982999</v>
      </c>
      <c r="E24" s="206">
        <v>197945310.79995</v>
      </c>
      <c r="F24" s="206">
        <v>372733839.89173198</v>
      </c>
      <c r="H24" s="116"/>
      <c r="I24" s="116"/>
      <c r="J24" s="116"/>
    </row>
    <row r="25" spans="2:14" x14ac:dyDescent="0.25">
      <c r="B25" s="74" t="s">
        <v>126</v>
      </c>
      <c r="C25" s="206">
        <v>174880858.89565599</v>
      </c>
      <c r="D25" s="206">
        <v>29358828.049947001</v>
      </c>
      <c r="E25" s="206">
        <v>99243699.209776998</v>
      </c>
      <c r="F25" s="206">
        <v>303483386.15538001</v>
      </c>
      <c r="H25" s="116"/>
      <c r="I25" s="116"/>
      <c r="J25" s="116"/>
    </row>
    <row r="26" spans="2:14" x14ac:dyDescent="0.25">
      <c r="B26" s="74" t="s">
        <v>127</v>
      </c>
      <c r="C26" s="206">
        <v>226928890.17846999</v>
      </c>
      <c r="D26" s="206">
        <v>19440018.969992001</v>
      </c>
      <c r="E26" s="206">
        <v>301878786.05969101</v>
      </c>
      <c r="F26" s="206">
        <v>548247695.20815301</v>
      </c>
      <c r="H26" s="116"/>
      <c r="I26" s="116"/>
      <c r="J26" s="116"/>
    </row>
    <row r="27" spans="2:14" x14ac:dyDescent="0.25">
      <c r="B27" s="74" t="s">
        <v>128</v>
      </c>
      <c r="C27" s="206">
        <v>322278385.04749101</v>
      </c>
      <c r="D27" s="206">
        <v>91172517.719753996</v>
      </c>
      <c r="E27" s="206">
        <v>4739892.0020000003</v>
      </c>
      <c r="F27" s="206">
        <v>418190794.76924503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43382351.184749</v>
      </c>
      <c r="G32" s="116"/>
      <c r="H32" s="116"/>
      <c r="I32" s="116"/>
    </row>
    <row r="33" spans="2:14" x14ac:dyDescent="0.25">
      <c r="B33" s="84" t="s">
        <v>133</v>
      </c>
      <c r="C33" s="206">
        <v>159995061.17893001</v>
      </c>
      <c r="G33" s="116"/>
      <c r="H33" s="116"/>
      <c r="I33" s="116"/>
    </row>
    <row r="34" spans="2:14" x14ac:dyDescent="0.25">
      <c r="B34" s="84" t="s">
        <v>134</v>
      </c>
      <c r="C34" s="205">
        <v>39651937.009414002</v>
      </c>
      <c r="G34" s="116"/>
      <c r="H34" s="116"/>
      <c r="I34" s="116"/>
    </row>
    <row r="35" spans="2:14" x14ac:dyDescent="0.25">
      <c r="B35" s="84" t="s">
        <v>135</v>
      </c>
      <c r="C35" s="206">
        <v>51005305.193419002</v>
      </c>
      <c r="G35" s="116"/>
      <c r="H35" s="116"/>
      <c r="I35" s="116"/>
    </row>
    <row r="36" spans="2:14" x14ac:dyDescent="0.25">
      <c r="B36" s="84" t="s">
        <v>136</v>
      </c>
      <c r="C36" s="206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185</v>
      </c>
      <c r="C41" s="226"/>
      <c r="D41" s="227"/>
      <c r="E41" s="67" t="s">
        <v>138</v>
      </c>
      <c r="F41" s="73">
        <f ca="1">IF(MONTH(TODAY())=7,DAY(TODAY())/DAY(EOMONTH(TODAY(),0)),IF(MONTH(TODAY())&gt;7,1,0))</f>
        <v>0.35483870967741937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2958032694.8416548</v>
      </c>
      <c r="F43" s="44">
        <f>IFERROR(E43/D43,0)</f>
        <v>0.37218052680894009</v>
      </c>
      <c r="G43" s="118">
        <f>D43-E43</f>
        <v>4989811111.5060349</v>
      </c>
      <c r="H43" s="118">
        <f ca="1">IFERROR(G43/C3,0)</f>
        <v>277211728.41700196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461719943.77968305</v>
      </c>
      <c r="F44" s="44">
        <f>IFERROR(E44/D44,0)</f>
        <v>0.31140364470859244</v>
      </c>
      <c r="G44" s="118">
        <f>D44-E44</f>
        <v>1020985707.3110569</v>
      </c>
      <c r="H44" s="118">
        <f ca="1">IFERROR(G44/C3,0)</f>
        <v>56721428.1839476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294445654.56651199</v>
      </c>
      <c r="F45" s="44">
        <f>IFERROR(E45/D45,0)</f>
        <v>0.15906834212213863</v>
      </c>
      <c r="G45" s="118">
        <f>D45-E45</f>
        <v>1556618175.2207222</v>
      </c>
      <c r="H45" s="118">
        <f ca="1">IFERROR(G45/C3,0)</f>
        <v>86478787.512262344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3714198293.18785</v>
      </c>
      <c r="F46" s="43">
        <f>IFERROR(E46/D46,0)</f>
        <v>0.32922581182546751</v>
      </c>
      <c r="G46" s="119">
        <f>G43+G44+G45</f>
        <v>7567414994.0378141</v>
      </c>
      <c r="H46" s="119">
        <f ca="1">IFERROR(G46/C3,0)</f>
        <v>420411944.11321187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152934638.88179901</v>
      </c>
      <c r="H51" s="122">
        <f>N8</f>
        <v>21853890.209982999</v>
      </c>
      <c r="I51" s="122">
        <f t="shared" ref="I51:I64" si="1">G51+H51</f>
        <v>174788529.091782</v>
      </c>
      <c r="J51" s="61">
        <f t="shared" ref="J51:J64" si="2">IFERROR(I51/F51,0)</f>
        <v>0.30796167086260084</v>
      </c>
      <c r="K51" s="51">
        <f t="shared" ref="K51:M64" si="3">D51-G51</f>
        <v>338302538.24366438</v>
      </c>
      <c r="L51" s="51">
        <f t="shared" si="3"/>
        <v>54474787.86399845</v>
      </c>
      <c r="M51" s="51">
        <f t="shared" si="3"/>
        <v>392777326.10766292</v>
      </c>
      <c r="N51" s="51">
        <f ca="1">IFERROR(M51/C3,0)</f>
        <v>21820962.56153683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230636173.117971</v>
      </c>
      <c r="H52" s="122">
        <f>N9</f>
        <v>88718378.215607002</v>
      </c>
      <c r="I52" s="122">
        <f t="shared" si="1"/>
        <v>319354551.33357799</v>
      </c>
      <c r="J52" s="61">
        <f t="shared" si="2"/>
        <v>0.38076319544463499</v>
      </c>
      <c r="K52" s="54">
        <f t="shared" si="3"/>
        <v>426820986.73377866</v>
      </c>
      <c r="L52" s="54">
        <f t="shared" si="3"/>
        <v>92546678.665415302</v>
      </c>
      <c r="M52" s="54">
        <f t="shared" si="3"/>
        <v>519367665.399194</v>
      </c>
      <c r="N52" s="54">
        <f ca="1">IFERROR(M52/C3,0)</f>
        <v>28853759.188844111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C22</f>
        <v>110486470.40000001</v>
      </c>
      <c r="H53" s="122">
        <f>IF(D22="",0,D22)</f>
        <v>0</v>
      </c>
      <c r="I53" s="122">
        <f>G53+H53</f>
        <v>110486470.40000001</v>
      </c>
      <c r="J53" s="61">
        <f>IFERROR(I53/F53,0)</f>
        <v>0.44379994678946516</v>
      </c>
      <c r="K53" s="54">
        <f>D53-G53</f>
        <v>138469103.38787571</v>
      </c>
      <c r="L53" s="54">
        <f>E53-H53</f>
        <v>0</v>
      </c>
      <c r="M53" s="54">
        <f>F53-I53</f>
        <v>138469103.38787571</v>
      </c>
      <c r="N53" s="54">
        <f ca="1">IFERROR(M53/C3,0)</f>
        <v>7692727.9659930952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336455707.65683597</v>
      </c>
      <c r="H54" s="122">
        <f t="shared" ref="H54:H58" si="4">N10</f>
        <v>4944927.9799870001</v>
      </c>
      <c r="I54" s="122">
        <f t="shared" si="1"/>
        <v>341400635.636823</v>
      </c>
      <c r="J54" s="61">
        <f t="shared" si="2"/>
        <v>0.43776600273814914</v>
      </c>
      <c r="K54" s="54">
        <f>D54-G54</f>
        <v>391931569.91706675</v>
      </c>
      <c r="L54" s="54">
        <f t="shared" si="3"/>
        <v>46537938.54460635</v>
      </c>
      <c r="M54" s="54">
        <f t="shared" si="3"/>
        <v>438469508.46167308</v>
      </c>
      <c r="N54" s="54">
        <f ca="1">IFERROR(M54/C3,0)</f>
        <v>24359417.136759616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180220721.619268</v>
      </c>
      <c r="H55" s="122">
        <f t="shared" si="4"/>
        <v>20186105.800000001</v>
      </c>
      <c r="I55" s="122">
        <f t="shared" si="1"/>
        <v>200406827.41926801</v>
      </c>
      <c r="J55" s="61">
        <f t="shared" si="2"/>
        <v>0.36266277119682755</v>
      </c>
      <c r="K55" s="54">
        <f t="shared" si="3"/>
        <v>302091456.85809737</v>
      </c>
      <c r="L55" s="54">
        <f t="shared" si="3"/>
        <v>50100006.299588963</v>
      </c>
      <c r="M55" s="54">
        <f t="shared" si="3"/>
        <v>352191463.15768635</v>
      </c>
      <c r="N55" s="54">
        <f ca="1">IFERROR(M55/C3,0)</f>
        <v>19566192.397649243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131179191.667529</v>
      </c>
      <c r="H56" s="122">
        <f t="shared" si="4"/>
        <v>48545343.527390003</v>
      </c>
      <c r="I56" s="122">
        <f t="shared" si="1"/>
        <v>179724535.19491899</v>
      </c>
      <c r="J56" s="61">
        <f t="shared" si="2"/>
        <v>0.2861198109759035</v>
      </c>
      <c r="K56" s="54">
        <f t="shared" si="3"/>
        <v>374012811.33555758</v>
      </c>
      <c r="L56" s="54">
        <f t="shared" si="3"/>
        <v>74406977.282372102</v>
      </c>
      <c r="M56" s="54">
        <f t="shared" si="3"/>
        <v>448419788.6179297</v>
      </c>
      <c r="N56" s="54">
        <f ca="1">IFERROR(M56/C3,0)</f>
        <v>24912210.478773873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574202021.72309697</v>
      </c>
      <c r="H57" s="122">
        <f t="shared" si="4"/>
        <v>61398758.439654998</v>
      </c>
      <c r="I57" s="122">
        <f t="shared" si="1"/>
        <v>635600780.16275191</v>
      </c>
      <c r="J57" s="61">
        <f t="shared" si="2"/>
        <v>0.54680867475700501</v>
      </c>
      <c r="K57" s="54">
        <f t="shared" si="3"/>
        <v>487043381.32562172</v>
      </c>
      <c r="L57" s="54">
        <f t="shared" si="3"/>
        <v>39738239.349003397</v>
      </c>
      <c r="M57" s="54">
        <f t="shared" si="3"/>
        <v>526781620.67462516</v>
      </c>
      <c r="N57" s="54">
        <f ca="1">IFERROR(M57/C3,0)</f>
        <v>29265645.593034729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174880858.89565599</v>
      </c>
      <c r="H58" s="122">
        <f t="shared" si="4"/>
        <v>29358828.049947001</v>
      </c>
      <c r="I58" s="122">
        <f>G58+H58</f>
        <v>204239686.94560298</v>
      </c>
      <c r="J58" s="61">
        <f>IFERROR(I58/F58,0)</f>
        <v>0.30584912687696092</v>
      </c>
      <c r="K58" s="54">
        <f t="shared" si="3"/>
        <v>388233311.83843279</v>
      </c>
      <c r="L58" s="54">
        <f t="shared" si="3"/>
        <v>75306206.705623478</v>
      </c>
      <c r="M58" s="54">
        <f t="shared" si="3"/>
        <v>463539518.5440563</v>
      </c>
      <c r="N58" s="54">
        <f ca="1">IFERROR(M58/C3,0)</f>
        <v>25752195.474669795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C23</f>
        <v>157058366.74000001</v>
      </c>
      <c r="H59" s="122">
        <f>IF(D23="",0,D23)</f>
        <v>0</v>
      </c>
      <c r="I59" s="122">
        <f>G59+H59</f>
        <v>157058366.74000001</v>
      </c>
      <c r="J59" s="61">
        <f>IFERROR(I59/F59,0)</f>
        <v>0.36538016698879311</v>
      </c>
      <c r="K59" s="54">
        <f>D59-G59</f>
        <v>272790817.56128496</v>
      </c>
      <c r="L59" s="54">
        <f>E59-H59</f>
        <v>0</v>
      </c>
      <c r="M59" s="54">
        <f>F59-I59</f>
        <v>272790817.56128496</v>
      </c>
      <c r="N59" s="54">
        <f ca="1">IFERROR(M59/C3,0)</f>
        <v>15155045.420071386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132153080.645321</v>
      </c>
      <c r="H60" s="122">
        <f t="shared" ref="H60:H64" si="5">N15</f>
        <v>31680803.53788</v>
      </c>
      <c r="I60" s="122">
        <f t="shared" si="1"/>
        <v>163833884.18320099</v>
      </c>
      <c r="J60" s="61">
        <f t="shared" si="2"/>
        <v>0.2590731950438091</v>
      </c>
      <c r="K60" s="54">
        <f t="shared" si="3"/>
        <v>382568030.78152704</v>
      </c>
      <c r="L60" s="54">
        <f t="shared" si="3"/>
        <v>85982628.544286072</v>
      </c>
      <c r="M60" s="54">
        <f t="shared" si="3"/>
        <v>468550659.32581317</v>
      </c>
      <c r="N60" s="54">
        <f ca="1">IFERROR(M60/C3,0)</f>
        <v>26030592.184767399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226928890.17846999</v>
      </c>
      <c r="H61" s="122">
        <f t="shared" si="5"/>
        <v>19440018.969992001</v>
      </c>
      <c r="I61" s="122">
        <f t="shared" si="1"/>
        <v>246368909.148462</v>
      </c>
      <c r="J61" s="61">
        <f t="shared" si="2"/>
        <v>0.32004643512985581</v>
      </c>
      <c r="K61" s="54">
        <f t="shared" si="3"/>
        <v>471916286.061131</v>
      </c>
      <c r="L61" s="54">
        <f t="shared" si="3"/>
        <v>51505941.656218827</v>
      </c>
      <c r="M61" s="54">
        <f t="shared" si="3"/>
        <v>523422227.71734983</v>
      </c>
      <c r="N61" s="54">
        <f ca="1">IFERROR(M61/C3,0)</f>
        <v>29079012.65096388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123324762.58091199</v>
      </c>
      <c r="H62" s="122">
        <f t="shared" si="5"/>
        <v>15793075.389698001</v>
      </c>
      <c r="I62" s="122">
        <f t="shared" si="1"/>
        <v>139117837.97060999</v>
      </c>
      <c r="J62" s="61">
        <f t="shared" si="2"/>
        <v>0.26237678706498574</v>
      </c>
      <c r="K62" s="54">
        <f t="shared" si="3"/>
        <v>358545601.63645411</v>
      </c>
      <c r="L62" s="54">
        <f t="shared" si="3"/>
        <v>32558153.266367793</v>
      </c>
      <c r="M62" s="54">
        <f t="shared" si="3"/>
        <v>391103754.9028219</v>
      </c>
      <c r="N62" s="54">
        <f ca="1">IFERROR(M62/C3,0)</f>
        <v>21727986.383490104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322278385.04749101</v>
      </c>
      <c r="H63" s="122">
        <f t="shared" si="5"/>
        <v>91172517.719753996</v>
      </c>
      <c r="I63" s="122">
        <f t="shared" si="1"/>
        <v>413450902.76724499</v>
      </c>
      <c r="J63" s="61">
        <f t="shared" si="2"/>
        <v>0.40056382999842743</v>
      </c>
      <c r="K63" s="54">
        <f t="shared" si="3"/>
        <v>383776543.94530946</v>
      </c>
      <c r="L63" s="54">
        <f t="shared" si="3"/>
        <v>234944885.89388233</v>
      </c>
      <c r="M63" s="54">
        <f t="shared" si="3"/>
        <v>618721429.83919168</v>
      </c>
      <c r="N63" s="54">
        <f ca="1">IFERROR(M63/C3,0)</f>
        <v>34373412.768843979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105293425.68730399</v>
      </c>
      <c r="H64" s="122">
        <f t="shared" si="5"/>
        <v>28627295.939789999</v>
      </c>
      <c r="I64" s="122">
        <f t="shared" si="1"/>
        <v>133920721.62709399</v>
      </c>
      <c r="J64" s="61">
        <f t="shared" si="2"/>
        <v>0.22694094101510728</v>
      </c>
      <c r="K64" s="54">
        <f t="shared" si="3"/>
        <v>273308671.88023317</v>
      </c>
      <c r="L64" s="54">
        <f t="shared" si="3"/>
        <v>182883263.23969397</v>
      </c>
      <c r="M64" s="54">
        <f t="shared" si="3"/>
        <v>456191935.11992723</v>
      </c>
      <c r="N64" s="54">
        <f ca="1">IFERROR(M64/C3,0)</f>
        <v>25343996.395551514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2958032694.8416548</v>
      </c>
      <c r="H65" s="152">
        <f>SUM(H51:H64)</f>
        <v>461719943.77968305</v>
      </c>
      <c r="I65" s="152">
        <f>SUM(I51:I64)</f>
        <v>3419752638.6213369</v>
      </c>
      <c r="J65" s="153">
        <f>IFERROR(I65/F65,0)</f>
        <v>0.36262496199773148</v>
      </c>
      <c r="K65" s="154">
        <f>SUM(K51:K64)</f>
        <v>4989811111.5060349</v>
      </c>
      <c r="L65" s="154">
        <f>SUM(L51:L64)</f>
        <v>1020985707.311057</v>
      </c>
      <c r="M65" s="154">
        <f>SUM(M51:M64)</f>
        <v>6010796818.8170919</v>
      </c>
      <c r="N65" s="154">
        <f ca="1">IFERROR(M65/C3,0)</f>
        <v>333933156.60094953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197945310.79995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IF(E12="",0,E12)+IF(E13="",0,E13)</f>
        <v>32784765.079999998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IF(E22="",0,E22)</f>
        <v>3783783.68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135269030.69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IF(E16="",0,E16)</f>
        <v>23893333.100000001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IF(E19="",0,E19)</f>
        <v>547601657.74997902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99243699.209776998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IF(E23="",0,E23)</f>
        <v>5495495.3399999999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32258641.620000001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301878786.05969101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63531394.460000001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4739892.0020000003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IF(E20="",0,E20)+IF(E21="",0,E21)</f>
        <v>14454054.380000001</v>
      </c>
    </row>
    <row r="84" spans="2:9" ht="20.100000000000001" customHeight="1" x14ac:dyDescent="0.25">
      <c r="B84" s="57" t="s">
        <v>152</v>
      </c>
      <c r="C84" s="58"/>
      <c r="D84" s="129">
        <f>SUM(D70:D83)</f>
        <v>1462879844.1713972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43382351.184749</v>
      </c>
      <c r="F89" s="61">
        <f t="shared" ref="F89:F94" si="7">IFERROR(E89/D89,0)</f>
        <v>0.147993466099724</v>
      </c>
      <c r="G89" s="125">
        <f>D89-E89</f>
        <v>249754584.70886815</v>
      </c>
      <c r="H89" s="125">
        <f ca="1">IFERROR(G89/C3,0)</f>
        <v>13875254.70604823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159995061.17893001</v>
      </c>
      <c r="F90" s="61">
        <f t="shared" si="7"/>
        <v>0.36659300528332783</v>
      </c>
      <c r="G90" s="126">
        <f>D90-E90</f>
        <v>276442783.71468711</v>
      </c>
      <c r="H90" s="126">
        <f ca="1">IFERROR(G90/C3,0)</f>
        <v>15357932.428593729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91068242.202832997</v>
      </c>
      <c r="F91" s="61">
        <f t="shared" si="7"/>
        <v>8.120297053639175E-2</v>
      </c>
      <c r="G91" s="125">
        <f>D91-E91</f>
        <v>1030420806.7971671</v>
      </c>
      <c r="H91" s="125">
        <f ca="1">IFERROR(G91/C3,0)</f>
        <v>57245600.377620392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294445654.56651199</v>
      </c>
      <c r="F94" s="43">
        <f t="shared" si="7"/>
        <v>0.15906834212213863</v>
      </c>
      <c r="G94" s="119">
        <f>SUM(G89:G93)</f>
        <v>1556618175.2207222</v>
      </c>
      <c r="H94" s="119">
        <f ca="1">IFERROR(G94/C3,0)</f>
        <v>86478787.512262344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2026-07-11T01:07:27Z</dcterms:modified>
  <dc:language>en-US</dc:language>
</cp:coreProperties>
</file>