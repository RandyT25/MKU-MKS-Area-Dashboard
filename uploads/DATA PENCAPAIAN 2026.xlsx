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<sst xmlns="http://schemas.openxmlformats.org/spreadsheetml/2006/main" count="1843" uniqueCount="193">
  <si>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</si>
  <si>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</si>
  <si>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</si>
  <si>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</si>
  <si>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</si>
  <si>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</si>
  <si>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</si>
  <si>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</si>
  <si>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</si>
  <si>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</si>
  <si>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</si>
  <si>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</si>
  <si>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</si>
  <si>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</si>
  <si>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</si>
  <si>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</si>
  <si>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</si>
  <si>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</si>
  <si>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</si>
  <si>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</si>
  <si>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</si>
  <si>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</si>
  <si>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</si>
  <si>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</si>
  <si>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</si>
  <si>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</si>
  <si>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</si>
  <si>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</si>
  <si>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</si>
  <si>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</si>
  <si>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</si>
  <si>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</si>
  <si>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</si>
  <si>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</si>
  <si>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</si>
  <si>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</si>
  <si>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</si>
  <si>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</si>
  <si>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</si>
  <si>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</si>
  <si>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</si>
  <si>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</si>
  <si>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</si>
  <si>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</si>
  <si>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</si>
  <si>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</si>
  <si>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</si>
  <si>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</si>
  <si>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</si>
  <si>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</si>
  <si>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</si>
  <si>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</si>
  <si>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</si>
  <si>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</si>
  <si>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</si>
  <si>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</si>
  <si>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</si>
  <si>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</si>
  <si>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</si>
  <si>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</si>
  <si>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</si>
  <si>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</si>
  <si>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</si>
  <si>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</si>
  <si>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</si>
  <si>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</si>
  <si>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</si>
  <si>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</si>
  <si>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</si>
  <si>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</si>
  <si>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</si>
  <si>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</si>
  <si>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</si>
  <si>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</si>
  <si>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</si>
  <si>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</si>
  <si>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</si>
  <si>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</si>
  <si>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</si>
  <si>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</si>
  <si>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</si>
  <si>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</si>
  <si>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</si>
  <si>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</si>
  <si>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</si>
  <si>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</si>
  <si>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</si>
  <si>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</si>
  <si>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</si>
  <si>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</si>
  <si>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</si>
  <si>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</si>
  <si>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</si>
  <si>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</si>
  <si>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</si>
  <si>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</si>
  <si>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</si>
  <si>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</si>
  <si>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</si>
  <si>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</si>
  <si>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</si>
  <si>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</si>
  <si>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</si>
  <si>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</si>
  <si>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</si>
  <si>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</si>
  <si>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</si>
  <si>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</si>
  <si>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</si>
  <si>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</si>
  <si>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</si>
  <si>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</si>
  <si>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</si>
  <si>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</si>
  <si>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</si>
  <si>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</si>
  <si>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</si>
  <si>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</si>
  <si>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</si>
  <si>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</si>
  <si>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</si>
  <si>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</si>
  <si>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</si>
  <si>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</si>
  <si>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</si>
  <si>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</si>
  <si>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</si>
  <si>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</si>
  <si>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</si>
  <si>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</si>
  <si>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</si>
  <si>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</si>
  <si>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</si>
  <si>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</si>
  <si>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</si>
  <si>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</si>
  <si>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</si>
  <si>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</si>
  <si>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</si>
  <si>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</si>
  <si>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</si>
  <si>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</si>
  <si>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</si>
  <si>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</si>
  <si>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</si>
  <si>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</si>
  <si>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</si>
  <si>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</si>
  <si>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</si>
  <si>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</si>
  <si>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</si>
  <si>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</si>
  <si>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</si>
  <si>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</si>
  <si>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</si>
  <si>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</si>
  <si>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</si>
  <si>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</si>
  <si>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</si>
  <si>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</si>
  <si>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</si>
  <si>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</si>
  <si>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</si>
  <si>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</si>
  <si>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</si>
  <si>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</si>
  <si>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</si>
  <si>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</si>
  <si>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</si>
  <si>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</si>
  <si>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</si>
  <si>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</si>
  <si>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</si>
  <si>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</si>
  <si>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</si>
  <si>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</si>
  <si>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</si>
  <si>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</si>
  <si>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</si>
  <si>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</si>
  <si>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</si>
  <si>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</si>
  <si>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</si>
  <si>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</si>
  <si>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</si>
  <si>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</si>
  <si>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</si>
  <si>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</si>
  <si>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</si>
  <si>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</si>
  <si>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</si>
  <si>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</si>
  <si>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6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</si>
</sst>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61" t="s">
        <v>180</v>
      </c>
      <c r="C41" s="262"/>
      <c r="D41" s="263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  <c r="Q48"/>
      <c r="R48"/>
    </row>
    <row r="49" spans="2:18" s="148" customFormat="1" ht="33.950000000000003" customHeight="1" x14ac:dyDescent="0.25">
      <c r="B49" s="269" t="s">
        <v>41</v>
      </c>
      <c r="C49" s="269" t="s">
        <v>42</v>
      </c>
      <c r="D49" s="266" t="s">
        <v>138</v>
      </c>
      <c r="E49" s="267"/>
      <c r="F49" s="268"/>
      <c r="G49" s="149" t="s">
        <v>139</v>
      </c>
      <c r="H49" s="149"/>
      <c r="I49" s="149"/>
      <c r="J49" s="26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59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9"/>
      <c r="C50" s="269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66"/>
      <c r="K50" s="256"/>
      <c r="L50" s="256"/>
      <c r="M50" s="258"/>
      <c r="N50" s="202"/>
      <c r="O50" s="196"/>
      <c r="P50" s="260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64" t="s">
        <v>145</v>
      </c>
      <c r="C67" s="265"/>
      <c r="D67" s="265"/>
      <c r="E67" s="265"/>
      <c r="F67" s="265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22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2" t="s">
        <v>181</v>
      </c>
      <c r="C41" s="273"/>
      <c r="D41" s="274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-2324266.044926947</v>
      </c>
      <c r="I43" s="218">
        <f>D43*$J$41-E43</f>
        <v>290830113.6116066</v>
      </c>
      <c r="J43" s="218">
        <f ca="1">IFERROR(I43/$C$3,0)</f>
        <v>13219550.618709391</v>
      </c>
      <c r="K43" s="198">
        <f>D43*$L$41-E43</f>
        <v>632794080.21160698</v>
      </c>
      <c r="L43" s="198">
        <f ca="1">IFERROR(K43/$C$3,0)</f>
        <v>28763367.282345772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18548220.331575211</v>
      </c>
      <c r="I44" s="218">
        <f>D44*$J$41-E44</f>
        <v>481824088.50567269</v>
      </c>
      <c r="J44" s="218">
        <f ca="1">IFERROR(I44/$C$3,0)</f>
        <v>21901094.932076033</v>
      </c>
      <c r="K44" s="198">
        <f>D44*$L$41-E44</f>
        <v>555587329.71669078</v>
      </c>
      <c r="L44" s="198">
        <f ca="1">IFERROR(K44/$C$3,0)</f>
        <v>25253969.532576855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-3114788.9818505808</v>
      </c>
      <c r="I45" s="218">
        <f>D45*$J$41-E45</f>
        <v>20623578.569499731</v>
      </c>
      <c r="J45" s="218">
        <f ca="1">IFERROR(I45/$C$3,0)</f>
        <v>937435.38952271501</v>
      </c>
      <c r="K45" s="198">
        <f>D45*$L$41-E45</f>
        <v>109772514.73971272</v>
      </c>
      <c r="L45" s="198">
        <f ca="1">IFERROR(K45/$C$3,0)</f>
        <v>4989659.7608960327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13109165.304797681</v>
      </c>
      <c r="I46" s="199">
        <f>I43+I44+I45</f>
        <v>793277780.68677902</v>
      </c>
      <c r="J46" s="199">
        <f ca="1">IFERROR(I46/$C$3,0)</f>
        <v>36058080.940308139</v>
      </c>
      <c r="K46" s="199">
        <f>K43+K44+K45</f>
        <v>1298153924.6680105</v>
      </c>
      <c r="L46" s="199">
        <f ca="1">IFERROR(K46/$C$3,0)</f>
        <v>59006996.575818658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4702215.2456589937</v>
      </c>
      <c r="M51" s="193">
        <f t="shared" ref="M51:M64" si="5">F51*$J$41-I51</f>
        <v>127696429.36553055</v>
      </c>
      <c r="N51" s="193">
        <f t="shared" ref="N51:N65" ca="1" si="6">IFERROR(M51/$C$3,0)</f>
        <v>5804383.1529786615</v>
      </c>
      <c r="O51" s="198">
        <f t="shared" ref="O51:O64" si="7">F51*$L$41-I51</f>
        <v>151944123.3265633</v>
      </c>
      <c r="P51" s="198">
        <f t="shared" ref="P51:P65" ca="1" si="8">IFERROR(O51/$C$3,0)</f>
        <v>6906551.060298332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2785305.4312395453</v>
      </c>
      <c r="M52" s="193">
        <f t="shared" si="5"/>
        <v>98613177.237269998</v>
      </c>
      <c r="N52" s="193">
        <f t="shared" ca="1" si="6"/>
        <v>4482417.1471486362</v>
      </c>
      <c r="O52" s="198">
        <f t="shared" si="7"/>
        <v>135949634.98727</v>
      </c>
      <c r="P52" s="198">
        <f t="shared" ca="1" si="8"/>
        <v>6179528.863057727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898095.24545454571</v>
      </c>
      <c r="M53" s="193">
        <f t="shared" si="5"/>
        <v>31831758.799999982</v>
      </c>
      <c r="N53" s="193">
        <f t="shared" ca="1" si="6"/>
        <v>1446898.1272727265</v>
      </c>
      <c r="O53" s="198">
        <f t="shared" si="7"/>
        <v>43905422.199999988</v>
      </c>
      <c r="P53" s="198">
        <f t="shared" ca="1" si="8"/>
        <v>1995701.0090909086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-4823097.1530800248</v>
      </c>
      <c r="M54" s="193">
        <f t="shared" si="5"/>
        <v>-73228422.42689395</v>
      </c>
      <c r="N54" s="193">
        <f t="shared" ca="1" si="6"/>
        <v>-3328564.6557679069</v>
      </c>
      <c r="O54" s="198">
        <f t="shared" si="7"/>
        <v>-40348707.486027122</v>
      </c>
      <c r="P54" s="198">
        <f t="shared" ca="1" si="8"/>
        <v>-1834032.1584557781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3727323.5314715342</v>
      </c>
      <c r="M55" s="193">
        <f t="shared" si="5"/>
        <v>106397747.65194988</v>
      </c>
      <c r="N55" s="193">
        <f t="shared" ca="1" si="6"/>
        <v>4836261.256906813</v>
      </c>
      <c r="O55" s="198">
        <f t="shared" si="7"/>
        <v>130794377.61152613</v>
      </c>
      <c r="P55" s="198">
        <f t="shared" ca="1" si="8"/>
        <v>5945198.982342097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1144167.3564853778</v>
      </c>
      <c r="M56" s="193">
        <f t="shared" si="5"/>
        <v>52929593.148810923</v>
      </c>
      <c r="N56" s="193">
        <f t="shared" ca="1" si="6"/>
        <v>2405890.5976732238</v>
      </c>
      <c r="O56" s="198">
        <f t="shared" si="7"/>
        <v>80687504.454943657</v>
      </c>
      <c r="P56" s="198">
        <f t="shared" ca="1" si="8"/>
        <v>3667613.8388610752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-5931173.9910297832</v>
      </c>
      <c r="M57" s="193">
        <f t="shared" si="5"/>
        <v>-77801481.735697389</v>
      </c>
      <c r="N57" s="193">
        <f t="shared" ca="1" si="6"/>
        <v>-3536430.9879862447</v>
      </c>
      <c r="O57" s="198">
        <f t="shared" si="7"/>
        <v>-25117135.668739557</v>
      </c>
      <c r="P57" s="198">
        <f t="shared" ca="1" si="8"/>
        <v>-1141687.9849427072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2450344.6334222746</v>
      </c>
      <c r="M58" s="193">
        <f t="shared" si="5"/>
        <v>82361005.085290074</v>
      </c>
      <c r="N58" s="193">
        <f t="shared" ca="1" si="6"/>
        <v>3743682.049331367</v>
      </c>
      <c r="O58" s="198">
        <f t="shared" si="7"/>
        <v>110814428.23529005</v>
      </c>
      <c r="P58" s="198">
        <f t="shared" ca="1" si="8"/>
        <v>5037019.4652404571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2872671.5350011368</v>
      </c>
      <c r="M59" s="193">
        <f t="shared" si="5"/>
        <v>83405456.970024943</v>
      </c>
      <c r="N59" s="193">
        <f t="shared" ca="1" si="6"/>
        <v>3791157.1350011337</v>
      </c>
      <c r="O59" s="198">
        <f t="shared" si="7"/>
        <v>103612140.17002499</v>
      </c>
      <c r="P59" s="198">
        <f t="shared" ca="1" si="8"/>
        <v>4709642.7350011356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971080.80615822028</v>
      </c>
      <c r="M60" s="193">
        <f t="shared" si="5"/>
        <v>48487862.696380615</v>
      </c>
      <c r="N60" s="193">
        <f t="shared" ca="1" si="6"/>
        <v>2203993.7589263916</v>
      </c>
      <c r="O60" s="198">
        <f t="shared" si="7"/>
        <v>75611947.657280385</v>
      </c>
      <c r="P60" s="198">
        <f t="shared" ca="1" si="8"/>
        <v>3436906.7116945628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4918138.0793098072</v>
      </c>
      <c r="M61" s="193">
        <f t="shared" si="5"/>
        <v>142717597.57534701</v>
      </c>
      <c r="N61" s="193">
        <f t="shared" ca="1" si="6"/>
        <v>6487163.5261521367</v>
      </c>
      <c r="O61" s="198">
        <f t="shared" si="7"/>
        <v>177236157.40587825</v>
      </c>
      <c r="P61" s="198">
        <f t="shared" ca="1" si="8"/>
        <v>8056188.9729944654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3333800.4719177946</v>
      </c>
      <c r="M62" s="193">
        <f t="shared" si="5"/>
        <v>95858969.272182167</v>
      </c>
      <c r="N62" s="193">
        <f t="shared" ca="1" si="6"/>
        <v>4357225.8760082806</v>
      </c>
      <c r="O62" s="198">
        <f t="shared" si="7"/>
        <v>118374328.16217285</v>
      </c>
      <c r="P62" s="198">
        <f t="shared" ca="1" si="8"/>
        <v>5380651.2800987661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-2577732.0789216487</v>
      </c>
      <c r="M63" s="193">
        <f t="shared" si="5"/>
        <v>-11052211.386640549</v>
      </c>
      <c r="N63" s="193">
        <f t="shared" ca="1" si="6"/>
        <v>-502373.24484729767</v>
      </c>
      <c r="O63" s="198">
        <f t="shared" si="7"/>
        <v>34605682.96299541</v>
      </c>
      <c r="P63" s="198">
        <f t="shared" ca="1" si="8"/>
        <v>1572985.589227064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1752815.1735605353</v>
      </c>
      <c r="M64" s="193">
        <f t="shared" si="5"/>
        <v>64436719.86372602</v>
      </c>
      <c r="N64" s="193">
        <f t="shared" ca="1" si="6"/>
        <v>2928941.8119875463</v>
      </c>
      <c r="O64" s="198">
        <f t="shared" si="7"/>
        <v>90311505.909120381</v>
      </c>
      <c r="P64" s="198">
        <f t="shared" ca="1" si="8"/>
        <v>4105068.4504145626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16223954.286648311</v>
      </c>
      <c r="M65" s="194">
        <f>SUM(M51:M64)</f>
        <v>772654202.11728036</v>
      </c>
      <c r="N65" s="194">
        <f t="shared" ca="1" si="6"/>
        <v>35120645.550785474</v>
      </c>
      <c r="O65" s="199">
        <f>SUM(O51:O64)</f>
        <v>1188381409.9282987</v>
      </c>
      <c r="P65" s="199">
        <f t="shared" ca="1" si="8"/>
        <v>54017336.814922668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-1871338.1684860641</v>
      </c>
      <c r="I69" s="218">
        <f>D69*$J$41-E69</f>
        <v>-27266208.811482966</v>
      </c>
      <c r="J69" s="218">
        <f t="shared" ref="J69:J74" ca="1" si="14">IFERROR(I69/$C$3,0)</f>
        <v>-1239373.1277946802</v>
      </c>
      <c r="K69" s="198">
        <f>D69*$L$41-E69</f>
        <v>-13362977.916272461</v>
      </c>
      <c r="L69" s="198">
        <f t="shared" ref="L69:L74" ca="1" si="15">IFERROR(K69/$C$3,0)</f>
        <v>-607408.08710329374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-2740515.3662061174</v>
      </c>
      <c r="I70" s="218">
        <f>D70*$J$41-E70</f>
        <v>-39410410.397208512</v>
      </c>
      <c r="J70" s="218">
        <f t="shared" ca="1" si="14"/>
        <v>-1791382.2907822051</v>
      </c>
      <c r="K70" s="198">
        <f>D70*$L$41-E70</f>
        <v>-18529482.737882435</v>
      </c>
      <c r="L70" s="198">
        <f t="shared" ca="1" si="15"/>
        <v>-842249.21535829257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1497064.5528416038</v>
      </c>
      <c r="I71" s="218">
        <f>D71*$J$41-E71</f>
        <v>87300197.778191447</v>
      </c>
      <c r="J71" s="218">
        <f t="shared" ca="1" si="14"/>
        <v>3968190.8080996112</v>
      </c>
      <c r="K71" s="198">
        <f>D71*$L$41-E71</f>
        <v>141664975.39386773</v>
      </c>
      <c r="L71" s="198">
        <f t="shared" ca="1" si="15"/>
        <v>6439317.0633576242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-3114788.981850578</v>
      </c>
      <c r="I74" s="199">
        <f>SUM(I69:I73)</f>
        <v>20623578.569499969</v>
      </c>
      <c r="J74" s="199">
        <f t="shared" ca="1" si="14"/>
        <v>937435.38952272583</v>
      </c>
      <c r="K74" s="199">
        <f>SUM(K69:K73)</f>
        <v>109772514.73971283</v>
      </c>
      <c r="L74" s="199">
        <f t="shared" ca="1" si="15"/>
        <v>4989659.7608960383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182</v>
      </c>
      <c r="C41" s="262"/>
      <c r="D41" s="263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233">
        <v>393617269.45962203</v>
      </c>
      <c r="D10" s="233">
        <v>52106885.865496002</v>
      </c>
      <c r="E10" s="233">
        <v>178626089.13999999</v>
      </c>
      <c r="F10" s="233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233">
        <v>324688224.63140702</v>
      </c>
      <c r="D11" s="233">
        <v>130969678.577117</v>
      </c>
      <c r="E11" s="233">
        <v>123485070.23999999</v>
      </c>
      <c r="F11" s="233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233">
        <v>341819821.47863901</v>
      </c>
      <c r="D12" s="233">
        <v>43800016.100000001</v>
      </c>
      <c r="E12" s="233" t="s">
        <v>167</v>
      </c>
      <c r="F12" s="233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233">
        <v>335783257.01891601</v>
      </c>
      <c r="D13" s="233">
        <v>116240171.81246901</v>
      </c>
      <c r="E13" s="233">
        <v>62660260.079999998</v>
      </c>
      <c r="F13" s="233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233">
        <v>309974778.642878</v>
      </c>
      <c r="D14" s="233">
        <v>38873783.709844001</v>
      </c>
      <c r="E14" s="233">
        <v>61782485.780000001</v>
      </c>
      <c r="F14" s="233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233">
        <v>1054671906.6945471</v>
      </c>
      <c r="D15" s="233">
        <v>29495978.518279999</v>
      </c>
      <c r="E15" s="233">
        <v>410218259.94994998</v>
      </c>
      <c r="F15" s="233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233">
        <v>1554416407.7220271</v>
      </c>
      <c r="D16" s="233">
        <v>10384914.213416999</v>
      </c>
      <c r="E16" s="233">
        <v>8032432.3600000003</v>
      </c>
      <c r="F16" s="233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233">
        <v>1425026257.5066569</v>
      </c>
      <c r="D17" s="233">
        <v>87442239.299614996</v>
      </c>
      <c r="E17" s="233">
        <v>1305012954.6799581</v>
      </c>
      <c r="F17" s="233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233">
        <v>269119168.26818502</v>
      </c>
      <c r="D18" s="233">
        <v>21889933.159789</v>
      </c>
      <c r="E18" s="233">
        <v>7372973.1399999997</v>
      </c>
      <c r="F18" s="233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233">
        <v>72833049.799989</v>
      </c>
      <c r="D19" s="233">
        <v>128966591.851889</v>
      </c>
      <c r="E19" s="233">
        <v>85016217.859999999</v>
      </c>
      <c r="F19" s="233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448510399.46910501</v>
      </c>
      <c r="D22" s="233">
        <v>63011769.152930997</v>
      </c>
      <c r="E22" s="233">
        <v>503698656.98984998</v>
      </c>
      <c r="F22" s="233">
        <v>1015220825.611886</v>
      </c>
      <c r="H22" s="116"/>
      <c r="I22" s="116"/>
      <c r="J22" s="116"/>
    </row>
    <row r="23" spans="2:14" x14ac:dyDescent="0.25">
      <c r="B23" s="74" t="s">
        <v>126</v>
      </c>
      <c r="C23" s="233">
        <v>537624961.29726696</v>
      </c>
      <c r="D23" s="233">
        <v>72473352.539875999</v>
      </c>
      <c r="E23" s="233">
        <v>310958467.80928099</v>
      </c>
      <c r="F23" s="233">
        <v>921056781.64642406</v>
      </c>
      <c r="H23" s="116"/>
      <c r="I23" s="116"/>
      <c r="J23" s="116"/>
    </row>
    <row r="24" spans="2:14" x14ac:dyDescent="0.25">
      <c r="B24" s="74" t="s">
        <v>127</v>
      </c>
      <c r="C24" s="233">
        <v>687182241.108935</v>
      </c>
      <c r="D24" s="233">
        <v>61286832.419910997</v>
      </c>
      <c r="E24" s="233">
        <v>792137124.23901403</v>
      </c>
      <c r="F24" s="233">
        <v>1540606197.7678599</v>
      </c>
      <c r="H24" s="116"/>
      <c r="I24" s="116"/>
      <c r="J24" s="116"/>
    </row>
    <row r="25" spans="2:14" x14ac:dyDescent="0.25">
      <c r="B25" s="74" t="s">
        <v>185</v>
      </c>
      <c r="C25" s="233">
        <v>267316450.13510299</v>
      </c>
      <c r="D25" s="233">
        <v>6945068.9099909998</v>
      </c>
      <c r="E25" s="233">
        <v>65202431.659999996</v>
      </c>
      <c r="F25" s="233">
        <v>339463950.70509398</v>
      </c>
      <c r="H25" s="116"/>
      <c r="I25" s="116"/>
      <c r="J25" s="116"/>
    </row>
    <row r="26" spans="2:14" x14ac:dyDescent="0.25">
      <c r="B26" s="74" t="s">
        <v>186</v>
      </c>
      <c r="C26" s="233">
        <v>138084633.55645701</v>
      </c>
      <c r="D26" s="233">
        <v>103844000.433377</v>
      </c>
      <c r="E26" s="233" t="s">
        <v>167</v>
      </c>
      <c r="F26" s="233">
        <v>241928633.98983401</v>
      </c>
      <c r="H26" s="116"/>
      <c r="I26" s="116"/>
      <c r="J26" s="116"/>
    </row>
    <row r="27" spans="2:14" x14ac:dyDescent="0.25">
      <c r="B27" s="74" t="s">
        <v>128</v>
      </c>
      <c r="C27" s="233">
        <v>887123024.85446894</v>
      </c>
      <c r="D27" s="233">
        <v>267781372.49532399</v>
      </c>
      <c r="E27" s="233">
        <v>17830594.9778</v>
      </c>
      <c r="F27" s="233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61" t="s">
        <v>191</v>
      </c>
      <c r="C41" s="262"/>
      <c r="D41" s="263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47" zoomScaleNormal="100" workbookViewId="0">
      <selection activeCell="F83" sqref="F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22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89849249.628101006</v>
      </c>
      <c r="N8" s="11">
        <f>D22</f>
        <v>10954237.839993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150413634.80439001</v>
      </c>
      <c r="N9" s="11">
        <f>D13+D14</f>
        <v>28872216.809921</v>
      </c>
    </row>
    <row r="10" spans="2:14" x14ac:dyDescent="0.25">
      <c r="B10" s="74" t="s">
        <v>113</v>
      </c>
      <c r="C10" s="233">
        <v>79991180.067151994</v>
      </c>
      <c r="D10" s="233">
        <v>10674453.783195</v>
      </c>
      <c r="E10" s="233">
        <v>39107386.329999998</v>
      </c>
      <c r="F10" s="233">
        <v>129773020.180347</v>
      </c>
      <c r="H10" s="116"/>
      <c r="I10" s="116"/>
      <c r="J10" s="116"/>
      <c r="M10" s="11">
        <f>C15</f>
        <v>252352452.271905</v>
      </c>
      <c r="N10" s="11">
        <f>D15</f>
        <v>10516873.799939999</v>
      </c>
    </row>
    <row r="11" spans="2:14" x14ac:dyDescent="0.25">
      <c r="B11" s="74" t="s">
        <v>114</v>
      </c>
      <c r="C11" s="233">
        <v>74879907.483807996</v>
      </c>
      <c r="D11" s="233">
        <v>14267311.029944999</v>
      </c>
      <c r="E11" s="233">
        <v>16021621.9</v>
      </c>
      <c r="F11" s="233">
        <v>105168840.413753</v>
      </c>
      <c r="H11" s="116"/>
      <c r="I11" s="116"/>
      <c r="J11" s="116"/>
      <c r="M11" s="11">
        <f>C12</f>
        <v>63091892.199749999</v>
      </c>
      <c r="N11" s="11">
        <f>D12</f>
        <v>2448696</v>
      </c>
    </row>
    <row r="12" spans="2:14" x14ac:dyDescent="0.25">
      <c r="B12" s="74" t="s">
        <v>184</v>
      </c>
      <c r="C12" s="233">
        <v>63091892.199749999</v>
      </c>
      <c r="D12" s="233">
        <v>2448696</v>
      </c>
      <c r="E12" s="233">
        <v>0</v>
      </c>
      <c r="F12" s="233">
        <v>65540588.199749999</v>
      </c>
      <c r="H12" s="116"/>
      <c r="I12" s="116"/>
      <c r="J12" s="116"/>
      <c r="M12" s="11">
        <f>C25+C26</f>
        <v>72332056.050844997</v>
      </c>
      <c r="N12" s="11">
        <f>D25+D26</f>
        <v>25792993.699937001</v>
      </c>
    </row>
    <row r="13" spans="2:14" x14ac:dyDescent="0.25">
      <c r="B13" s="74" t="s">
        <v>70</v>
      </c>
      <c r="C13" s="233">
        <v>83532332.741614997</v>
      </c>
      <c r="D13" s="233">
        <v>21992135.549938001</v>
      </c>
      <c r="E13" s="233">
        <v>28686778.719999999</v>
      </c>
      <c r="F13" s="233">
        <v>134211247.011553</v>
      </c>
      <c r="H13" s="116"/>
      <c r="I13" s="116"/>
      <c r="J13" s="116"/>
      <c r="M13" s="11">
        <f>C17</f>
        <v>202159128.529953</v>
      </c>
      <c r="N13" s="11">
        <f>D17</f>
        <v>16706535.969986999</v>
      </c>
    </row>
    <row r="14" spans="2:14" x14ac:dyDescent="0.25">
      <c r="B14" s="74" t="s">
        <v>115</v>
      </c>
      <c r="C14" s="233">
        <v>66881302.062775001</v>
      </c>
      <c r="D14" s="233">
        <v>6880081.2599830003</v>
      </c>
      <c r="E14" s="233">
        <v>14013918.76</v>
      </c>
      <c r="F14" s="233">
        <v>87775302.082757995</v>
      </c>
      <c r="H14" s="116"/>
      <c r="I14" s="116"/>
      <c r="J14" s="116"/>
      <c r="M14" s="11">
        <f>C23</f>
        <v>138260722.368063</v>
      </c>
      <c r="N14" s="11">
        <f>D23</f>
        <v>24363392.039944001</v>
      </c>
    </row>
    <row r="15" spans="2:14" x14ac:dyDescent="0.25">
      <c r="B15" s="84" t="s">
        <v>116</v>
      </c>
      <c r="C15" s="233">
        <v>252352452.271905</v>
      </c>
      <c r="D15" s="233">
        <v>10516873.799939999</v>
      </c>
      <c r="E15" s="233">
        <v>83590090.379965007</v>
      </c>
      <c r="F15" s="233">
        <v>346459416.45181</v>
      </c>
      <c r="H15" s="116"/>
      <c r="I15" s="116"/>
      <c r="J15" s="116"/>
      <c r="M15" s="11">
        <f>C11</f>
        <v>74879907.483807996</v>
      </c>
      <c r="N15" s="11">
        <f>D11</f>
        <v>14267311.029944999</v>
      </c>
    </row>
    <row r="16" spans="2:14" x14ac:dyDescent="0.25">
      <c r="B16" s="74" t="s">
        <v>119</v>
      </c>
      <c r="C16" s="233">
        <v>107984059.979919</v>
      </c>
      <c r="D16" s="233">
        <v>463972.97499900003</v>
      </c>
      <c r="E16" s="233">
        <v>1394594.58</v>
      </c>
      <c r="F16" s="233">
        <v>109842627.534918</v>
      </c>
      <c r="H16" s="116"/>
      <c r="I16" s="116"/>
      <c r="J16" s="116"/>
      <c r="M16" s="11">
        <f>C24</f>
        <v>146588701.998658</v>
      </c>
      <c r="N16" s="11">
        <f>D24</f>
        <v>12980500</v>
      </c>
    </row>
    <row r="17" spans="2:14" x14ac:dyDescent="0.25">
      <c r="B17" s="74" t="s">
        <v>121</v>
      </c>
      <c r="C17" s="233">
        <v>202159128.529953</v>
      </c>
      <c r="D17" s="233">
        <v>16706535.969986999</v>
      </c>
      <c r="E17" s="233">
        <v>261821440.079974</v>
      </c>
      <c r="F17" s="233">
        <v>480687104.57991397</v>
      </c>
      <c r="H17" s="116"/>
      <c r="I17" s="116"/>
      <c r="J17" s="116"/>
      <c r="M17" s="11">
        <f>C10</f>
        <v>79991180.067151994</v>
      </c>
      <c r="N17" s="11">
        <f>D10</f>
        <v>10674453.783195</v>
      </c>
    </row>
    <row r="18" spans="2:14" x14ac:dyDescent="0.25">
      <c r="B18" s="74" t="s">
        <v>123</v>
      </c>
      <c r="C18" s="233">
        <v>48583245.749581002</v>
      </c>
      <c r="D18" s="233">
        <v>0</v>
      </c>
      <c r="E18" s="233">
        <v>7167567.7000000002</v>
      </c>
      <c r="F18" s="233">
        <v>55750813.449580997</v>
      </c>
      <c r="H18" s="116"/>
      <c r="I18" s="116"/>
      <c r="J18" s="116"/>
      <c r="M18" s="11">
        <f>C27</f>
        <v>144436089.441199</v>
      </c>
      <c r="N18" s="11">
        <f>D27</f>
        <v>45559296.945519999</v>
      </c>
    </row>
    <row r="19" spans="2:14" x14ac:dyDescent="0.25">
      <c r="B19" s="74" t="s">
        <v>124</v>
      </c>
      <c r="C19" s="233">
        <v>10392130</v>
      </c>
      <c r="D19" s="233">
        <v>33042180.311643001</v>
      </c>
      <c r="E19" s="233">
        <v>21881081.52</v>
      </c>
      <c r="F19" s="233">
        <v>65315391.831643</v>
      </c>
      <c r="H19" s="116"/>
      <c r="I19" s="116"/>
      <c r="J19" s="116"/>
      <c r="M19" s="11">
        <f>C18+C19</f>
        <v>58975375.749581002</v>
      </c>
      <c r="N19" s="11">
        <f>D18+D19</f>
        <v>33042180.311643001</v>
      </c>
    </row>
    <row r="20" spans="2:14" x14ac:dyDescent="0.25">
      <c r="B20" s="74" t="s">
        <v>171</v>
      </c>
      <c r="C20" s="233">
        <v>26874206.399999999</v>
      </c>
      <c r="D20" s="233">
        <v>0</v>
      </c>
      <c r="E20" s="233">
        <v>2882882.8</v>
      </c>
      <c r="F20" s="233">
        <v>29757089.199999999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>
        <v>83468237.540000007</v>
      </c>
      <c r="D21" s="233">
        <v>0</v>
      </c>
      <c r="E21" s="233">
        <v>3783783.68</v>
      </c>
      <c r="F21" s="233">
        <v>87252021.219999999</v>
      </c>
      <c r="H21" s="116"/>
      <c r="I21" s="116"/>
      <c r="J21" s="116"/>
      <c r="M21" s="14">
        <f>IFERROR(C34,0)+IFERROR(C35,0)+M20</f>
        <v>201852277.740953</v>
      </c>
      <c r="N21" s="10" t="s">
        <v>122</v>
      </c>
    </row>
    <row r="22" spans="2:14" x14ac:dyDescent="0.25">
      <c r="B22" s="74" t="s">
        <v>125</v>
      </c>
      <c r="C22" s="233">
        <v>89849249.628101006</v>
      </c>
      <c r="D22" s="233">
        <v>10954237.839993</v>
      </c>
      <c r="E22" s="233">
        <v>141753153.27994999</v>
      </c>
      <c r="F22" s="233">
        <v>242556640.74804401</v>
      </c>
      <c r="H22" s="116"/>
      <c r="I22" s="116"/>
      <c r="J22" s="116"/>
    </row>
    <row r="23" spans="2:14" x14ac:dyDescent="0.25">
      <c r="B23" s="74" t="s">
        <v>126</v>
      </c>
      <c r="C23" s="233">
        <v>138260722.368063</v>
      </c>
      <c r="D23" s="233">
        <v>24363392.039944001</v>
      </c>
      <c r="E23" s="233">
        <v>97645946.509829</v>
      </c>
      <c r="F23" s="233">
        <v>260270060.91783601</v>
      </c>
      <c r="H23" s="116"/>
      <c r="I23" s="116"/>
      <c r="J23" s="116"/>
    </row>
    <row r="24" spans="2:14" x14ac:dyDescent="0.25">
      <c r="B24" s="74" t="s">
        <v>127</v>
      </c>
      <c r="C24" s="233">
        <v>146588701.998658</v>
      </c>
      <c r="D24" s="233">
        <v>12980500</v>
      </c>
      <c r="E24" s="233">
        <v>112538649.23986299</v>
      </c>
      <c r="F24" s="233">
        <v>272107851.23852098</v>
      </c>
      <c r="H24" s="116"/>
      <c r="I24" s="116"/>
      <c r="J24" s="116"/>
    </row>
    <row r="25" spans="2:14" x14ac:dyDescent="0.25">
      <c r="B25" s="74" t="s">
        <v>185</v>
      </c>
      <c r="C25" s="233">
        <v>47449546.064966001</v>
      </c>
      <c r="D25" s="233">
        <v>668973</v>
      </c>
      <c r="E25" s="233">
        <v>10529729.6</v>
      </c>
      <c r="F25" s="233">
        <v>58648248.664966002</v>
      </c>
      <c r="H25" s="116"/>
      <c r="I25" s="116"/>
      <c r="J25" s="116"/>
    </row>
    <row r="26" spans="2:14" x14ac:dyDescent="0.25">
      <c r="B26" s="74" t="s">
        <v>186</v>
      </c>
      <c r="C26" s="233">
        <v>24882509.985879</v>
      </c>
      <c r="D26" s="233">
        <v>25124020.699937001</v>
      </c>
      <c r="E26" s="233">
        <v>0</v>
      </c>
      <c r="F26" s="233">
        <v>50006530.685815997</v>
      </c>
      <c r="H26" s="116"/>
      <c r="I26" s="116"/>
      <c r="J26" s="116"/>
    </row>
    <row r="27" spans="2:14" x14ac:dyDescent="0.25">
      <c r="B27" s="74" t="s">
        <v>128</v>
      </c>
      <c r="C27" s="233">
        <v>144436089.441199</v>
      </c>
      <c r="D27" s="233">
        <v>45559296.945519999</v>
      </c>
      <c r="E27" s="233">
        <v>2770810.8769999999</v>
      </c>
      <c r="F27" s="233">
        <v>192766197.26371899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41236788.499780998</v>
      </c>
      <c r="G32" s="116"/>
      <c r="H32" s="116"/>
      <c r="I32" s="116"/>
    </row>
    <row r="33" spans="2:19" x14ac:dyDescent="0.25">
      <c r="B33" s="84" t="s">
        <v>133</v>
      </c>
      <c r="C33" s="233">
        <v>116352589.026491</v>
      </c>
      <c r="G33" s="116"/>
      <c r="H33" s="116"/>
      <c r="I33" s="116"/>
    </row>
    <row r="34" spans="2:19" x14ac:dyDescent="0.25">
      <c r="B34" s="84" t="s">
        <v>134</v>
      </c>
      <c r="C34" s="181">
        <v>41365185.020691</v>
      </c>
      <c r="G34" s="116"/>
      <c r="H34" s="116"/>
      <c r="I34" s="116"/>
    </row>
    <row r="35" spans="2:19" x14ac:dyDescent="0.25">
      <c r="B35" s="84" t="s">
        <v>135</v>
      </c>
      <c r="C35" s="233">
        <v>160487092.72026199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1" t="s">
        <v>192</v>
      </c>
      <c r="C41" s="262"/>
      <c r="D41" s="263"/>
      <c r="E41" s="67" t="s">
        <v>138</v>
      </c>
      <c r="F41" s="185">
        <f ca="1">IF(MONTH(TODAY())=8,DAY(TODAY())/DAY(EOMONTH(TODAY(),0)),IF(MONTH(TODAY())&gt;8,1,0))</f>
        <v>0.19354838709677419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1583672834.5334051</v>
      </c>
      <c r="F43" s="187">
        <f>IFERROR(E43/D43,0)</f>
        <v>0.19446339999446505</v>
      </c>
      <c r="G43" s="197">
        <f>D43*$H$41-E43</f>
        <v>5745755485.2462168</v>
      </c>
      <c r="H43" s="197">
        <f ca="1">IFERROR(G43/$C$3,0)</f>
        <v>261170703.87482804</v>
      </c>
      <c r="I43" s="218">
        <f>D43*$J$41-E43</f>
        <v>6152945947.4561958</v>
      </c>
      <c r="J43" s="218">
        <f ca="1">IFERROR(I43/$C$3,0)</f>
        <v>279679361.24800891</v>
      </c>
      <c r="K43" s="198">
        <f>D43*$L$41-E43</f>
        <v>6560136409.6661749</v>
      </c>
      <c r="L43" s="198">
        <f ca="1">IFERROR(K43/$C$3,0)</f>
        <v>298188018.62118977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236178688.23002499</v>
      </c>
      <c r="F44" s="187">
        <f>IFERROR(E44/D44,0)</f>
        <v>0.18245584293196312</v>
      </c>
      <c r="G44" s="197">
        <f>D44*$H$41-E44</f>
        <v>928820009.48932052</v>
      </c>
      <c r="H44" s="197">
        <f ca="1">IFERROR(G44/$C$3,0)</f>
        <v>42219091.340423658</v>
      </c>
      <c r="I44" s="218">
        <f>D44*$J$41-E44</f>
        <v>993542159.36261749</v>
      </c>
      <c r="J44" s="218">
        <f ca="1">IFERROR(I44/$C$3,0)</f>
        <v>45161007.243755341</v>
      </c>
      <c r="K44" s="198">
        <f>D44*$L$41-E44</f>
        <v>1058264309.2359145</v>
      </c>
      <c r="L44" s="198">
        <f ca="1">IFERROR(K44/$C$3,0)</f>
        <v>48102923.147087023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359441655.26722503</v>
      </c>
      <c r="F45" s="187">
        <f>IFERROR(E45/D45,0)</f>
        <v>0.19263121776008638</v>
      </c>
      <c r="G45" s="197">
        <f>D45*$H$41-E45</f>
        <v>1319920046.8604348</v>
      </c>
      <c r="H45" s="197">
        <f ca="1">IFERROR(G45/$C$3,0)</f>
        <v>59996365.766383402</v>
      </c>
      <c r="I45" s="218">
        <f>D45*$J$41-E45</f>
        <v>1413217919.20086</v>
      </c>
      <c r="J45" s="218">
        <f ca="1">IFERROR(I45/$C$3,0)</f>
        <v>64237178.145493634</v>
      </c>
      <c r="K45" s="198">
        <f>D45*$L$41-E45</f>
        <v>1506515791.5412858</v>
      </c>
      <c r="L45" s="198">
        <f ca="1">IFERROR(K45/$C$3,0)</f>
        <v>68477990.524603903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>
        <f>E43+E44+E45</f>
        <v>2179293178.0306549</v>
      </c>
      <c r="F46" s="188">
        <f>IFERROR(E46/D46,0)</f>
        <v>0.19278598310616094</v>
      </c>
      <c r="G46" s="194">
        <f>G43+G44+G45</f>
        <v>7994495541.5959721</v>
      </c>
      <c r="H46" s="194">
        <f ca="1">IFERROR(G46/$C$3,0)</f>
        <v>363386160.98163509</v>
      </c>
      <c r="I46" s="199">
        <f>I43+I44+I45</f>
        <v>8559706026.0196733</v>
      </c>
      <c r="J46" s="199">
        <f ca="1">IFERROR(I46/$C$3,0)</f>
        <v>389077546.63725787</v>
      </c>
      <c r="K46" s="199">
        <f>K43+K44+K45</f>
        <v>9124916510.4433746</v>
      </c>
      <c r="L46" s="199">
        <f ca="1">IFERROR(K46/$C$3,0)</f>
        <v>414768932.29288065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89849249.628101006</v>
      </c>
      <c r="H51" s="119">
        <f>N8</f>
        <v>10954237.839993</v>
      </c>
      <c r="I51" s="119">
        <f t="shared" ref="I51:I64" si="1">G51+H51</f>
        <v>100803487.46809401</v>
      </c>
      <c r="J51" s="200">
        <f t="shared" ref="J51:J64" si="2">IFERROR(I51/F51,0)</f>
        <v>0.17813742857369652</v>
      </c>
      <c r="K51" s="197">
        <f t="shared" ref="K51:K64" si="3">F51*$H$41-I51</f>
        <v>408483861.33716786</v>
      </c>
      <c r="L51" s="197">
        <f t="shared" ref="L51:L65" ca="1" si="4">IFERROR(K51/$C$3,0)</f>
        <v>18567448.242598537</v>
      </c>
      <c r="M51" s="193">
        <f t="shared" ref="M51:M64" si="5">F51*$J$41-I51</f>
        <v>436777602.93746018</v>
      </c>
      <c r="N51" s="193">
        <f t="shared" ref="N51:N65" ca="1" si="6">IFERROR(M51/$C$3,0)</f>
        <v>19853527.40624819</v>
      </c>
      <c r="O51" s="198">
        <f t="shared" ref="O51:O64" si="7">F51*$L$41-I51</f>
        <v>465071344.53775251</v>
      </c>
      <c r="P51" s="198">
        <f t="shared" ref="P51:P65" ca="1" si="8">IFERROR(O51/$C$3,0)</f>
        <v>21139606.569897842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150413634.80439001</v>
      </c>
      <c r="H52" s="119">
        <f>N9</f>
        <v>28872216.809921</v>
      </c>
      <c r="I52" s="119">
        <f t="shared" si="1"/>
        <v>179285851.61431101</v>
      </c>
      <c r="J52" s="200">
        <f t="shared" si="2"/>
        <v>0.21419255697777087</v>
      </c>
      <c r="K52" s="197">
        <f t="shared" si="3"/>
        <v>574042222.57094526</v>
      </c>
      <c r="L52" s="197">
        <f t="shared" ca="1" si="4"/>
        <v>26092828.298679329</v>
      </c>
      <c r="M52" s="193">
        <f t="shared" si="5"/>
        <v>615893782.24790394</v>
      </c>
      <c r="N52" s="193">
        <f t="shared" ca="1" si="6"/>
        <v>27995171.920359269</v>
      </c>
      <c r="O52" s="198">
        <f t="shared" si="7"/>
        <v>657745341.92486262</v>
      </c>
      <c r="P52" s="198">
        <f t="shared" ca="1" si="8"/>
        <v>29897515.542039212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26874206.399999999</v>
      </c>
      <c r="H53" s="119">
        <f>IF(D20="",0,D20)</f>
        <v>0</v>
      </c>
      <c r="I53" s="119">
        <f>G53+H53</f>
        <v>26874206.399999999</v>
      </c>
      <c r="J53" s="200">
        <f>IFERROR(I53/F53,0)</f>
        <v>0.1022015176187412</v>
      </c>
      <c r="K53" s="197">
        <f t="shared" si="3"/>
        <v>209783588.15670967</v>
      </c>
      <c r="L53" s="197">
        <f t="shared" ca="1" si="4"/>
        <v>9535617.6434868034</v>
      </c>
      <c r="M53" s="193">
        <f t="shared" si="5"/>
        <v>222931243.40986019</v>
      </c>
      <c r="N53" s="193">
        <f t="shared" ca="1" si="6"/>
        <v>10133238.336811827</v>
      </c>
      <c r="O53" s="198">
        <f t="shared" si="7"/>
        <v>236078898.66301075</v>
      </c>
      <c r="P53" s="198">
        <f t="shared" ca="1" si="8"/>
        <v>10730859.030136852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252352452.271905</v>
      </c>
      <c r="H54" s="119">
        <f t="shared" ref="H54:H58" si="9">N10</f>
        <v>10516873.799939999</v>
      </c>
      <c r="I54" s="119">
        <f t="shared" si="1"/>
        <v>262869326.071845</v>
      </c>
      <c r="J54" s="200">
        <f t="shared" si="2"/>
        <v>0.33780053847521646</v>
      </c>
      <c r="K54" s="197">
        <f t="shared" si="3"/>
        <v>437491882.74256295</v>
      </c>
      <c r="L54" s="197">
        <f t="shared" ca="1" si="4"/>
        <v>19885994.670116499</v>
      </c>
      <c r="M54" s="193">
        <f t="shared" si="5"/>
        <v>476400838.78780776</v>
      </c>
      <c r="N54" s="193">
        <f t="shared" ca="1" si="6"/>
        <v>21654583.581263989</v>
      </c>
      <c r="O54" s="198">
        <f t="shared" si="7"/>
        <v>515309794.83305269</v>
      </c>
      <c r="P54" s="198">
        <f t="shared" ca="1" si="8"/>
        <v>23423172.492411487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63091892.199749999</v>
      </c>
      <c r="H55" s="119">
        <f t="shared" si="9"/>
        <v>2448696</v>
      </c>
      <c r="I55" s="119">
        <f t="shared" si="1"/>
        <v>65540588.199749999</v>
      </c>
      <c r="J55" s="200">
        <f t="shared" si="2"/>
        <v>0.11896845817817599</v>
      </c>
      <c r="K55" s="197">
        <f t="shared" si="3"/>
        <v>430275952.44527036</v>
      </c>
      <c r="L55" s="197">
        <f t="shared" ca="1" si="4"/>
        <v>19557997.838421378</v>
      </c>
      <c r="M55" s="193">
        <f t="shared" si="5"/>
        <v>457821315.81443816</v>
      </c>
      <c r="N55" s="193">
        <f t="shared" ca="1" si="6"/>
        <v>20810059.809747189</v>
      </c>
      <c r="O55" s="198">
        <f t="shared" si="7"/>
        <v>485366679.18360597</v>
      </c>
      <c r="P55" s="198">
        <f t="shared" ca="1" si="8"/>
        <v>22062121.781073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72332056.050844997</v>
      </c>
      <c r="H56" s="119">
        <f t="shared" si="9"/>
        <v>25792993.699937001</v>
      </c>
      <c r="I56" s="119">
        <f t="shared" si="1"/>
        <v>98125049.750781998</v>
      </c>
      <c r="J56" s="200">
        <f t="shared" si="2"/>
        <v>0.15663585721997983</v>
      </c>
      <c r="K56" s="197">
        <f t="shared" si="3"/>
        <v>465682920.80654323</v>
      </c>
      <c r="L56" s="197">
        <f t="shared" ca="1" si="4"/>
        <v>21167405.491206512</v>
      </c>
      <c r="M56" s="193">
        <f t="shared" si="5"/>
        <v>497005585.8375057</v>
      </c>
      <c r="N56" s="193">
        <f t="shared" ca="1" si="6"/>
        <v>22591162.992613897</v>
      </c>
      <c r="O56" s="198">
        <f t="shared" si="7"/>
        <v>528328250.86846828</v>
      </c>
      <c r="P56" s="198">
        <f t="shared" ca="1" si="8"/>
        <v>24014920.494021285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202159128.529953</v>
      </c>
      <c r="H57" s="119">
        <f t="shared" si="9"/>
        <v>16706535.969986999</v>
      </c>
      <c r="I57" s="119">
        <f t="shared" si="1"/>
        <v>218865664.49994001</v>
      </c>
      <c r="J57" s="200">
        <f t="shared" si="2"/>
        <v>0.18856490942858614</v>
      </c>
      <c r="K57" s="197">
        <f t="shared" si="3"/>
        <v>825756575.37946093</v>
      </c>
      <c r="L57" s="197">
        <f t="shared" ca="1" si="4"/>
        <v>37534389.789975494</v>
      </c>
      <c r="M57" s="193">
        <f t="shared" si="5"/>
        <v>883791144.26164973</v>
      </c>
      <c r="N57" s="193">
        <f t="shared" ca="1" si="6"/>
        <v>40172324.739165895</v>
      </c>
      <c r="O57" s="198">
        <f t="shared" si="7"/>
        <v>941825713.14383876</v>
      </c>
      <c r="P57" s="198">
        <f t="shared" ca="1" si="8"/>
        <v>42810259.68835631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138260722.368063</v>
      </c>
      <c r="H58" s="119">
        <f t="shared" si="9"/>
        <v>24363392.039944001</v>
      </c>
      <c r="I58" s="119">
        <f>G58+H58</f>
        <v>162624114.408007</v>
      </c>
      <c r="J58" s="200">
        <f>IFERROR(I58/F58,0)</f>
        <v>0.2441480253371682</v>
      </c>
      <c r="K58" s="197">
        <f t="shared" si="3"/>
        <v>436855249.65844786</v>
      </c>
      <c r="L58" s="197">
        <f t="shared" ca="1" si="4"/>
        <v>19857056.802656721</v>
      </c>
      <c r="M58" s="193">
        <f t="shared" si="5"/>
        <v>470159658.77325082</v>
      </c>
      <c r="N58" s="193">
        <f t="shared" ca="1" si="6"/>
        <v>21370893.580602311</v>
      </c>
      <c r="O58" s="198">
        <f t="shared" si="7"/>
        <v>503464067.88805389</v>
      </c>
      <c r="P58" s="198">
        <f t="shared" ca="1" si="8"/>
        <v>22884730.358547904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83468237.540000007</v>
      </c>
      <c r="H59" s="119">
        <f>IF(D21="",0,D21)</f>
        <v>0</v>
      </c>
      <c r="I59" s="119">
        <f>G59+H59</f>
        <v>83468237.540000007</v>
      </c>
      <c r="J59" s="200">
        <f>IFERROR(I59/F59,0)</f>
        <v>0.18805644969480173</v>
      </c>
      <c r="K59" s="197">
        <f t="shared" si="3"/>
        <v>315993806.478778</v>
      </c>
      <c r="L59" s="197">
        <f t="shared" ca="1" si="4"/>
        <v>14363354.839944454</v>
      </c>
      <c r="M59" s="193">
        <f t="shared" si="5"/>
        <v>338186142.257599</v>
      </c>
      <c r="N59" s="193">
        <f t="shared" ca="1" si="6"/>
        <v>15372097.375345409</v>
      </c>
      <c r="O59" s="198">
        <f t="shared" si="7"/>
        <v>360378478.03641999</v>
      </c>
      <c r="P59" s="198">
        <f t="shared" ca="1" si="8"/>
        <v>16380839.910746364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74879907.483807996</v>
      </c>
      <c r="H60" s="119">
        <f t="shared" ref="H60:H64" si="10">N15</f>
        <v>14267311.029944999</v>
      </c>
      <c r="I60" s="119">
        <f t="shared" si="1"/>
        <v>89147218.513752997</v>
      </c>
      <c r="J60" s="200">
        <f t="shared" si="2"/>
        <v>0.14134792199731119</v>
      </c>
      <c r="K60" s="197">
        <f t="shared" si="3"/>
        <v>478476949.77012128</v>
      </c>
      <c r="L60" s="197">
        <f t="shared" ca="1" si="4"/>
        <v>21748952.26227824</v>
      </c>
      <c r="M60" s="193">
        <f t="shared" si="5"/>
        <v>510011625.78589207</v>
      </c>
      <c r="N60" s="193">
        <f t="shared" ca="1" si="6"/>
        <v>23182346.626631457</v>
      </c>
      <c r="O60" s="198">
        <f t="shared" si="7"/>
        <v>541546301.80166292</v>
      </c>
      <c r="P60" s="198">
        <f t="shared" ca="1" si="8"/>
        <v>24615740.990984678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146588701.998658</v>
      </c>
      <c r="H61" s="119">
        <f t="shared" si="10"/>
        <v>12980500</v>
      </c>
      <c r="I61" s="119">
        <f t="shared" si="1"/>
        <v>159569201.998658</v>
      </c>
      <c r="J61" s="200">
        <f t="shared" si="2"/>
        <v>0.20774531751567232</v>
      </c>
      <c r="K61" s="197">
        <f t="shared" si="3"/>
        <v>531720900.3063342</v>
      </c>
      <c r="L61" s="197">
        <f t="shared" ca="1" si="4"/>
        <v>24169131.832106099</v>
      </c>
      <c r="M61" s="193">
        <f t="shared" si="5"/>
        <v>570125905.98994493</v>
      </c>
      <c r="N61" s="193">
        <f t="shared" ca="1" si="6"/>
        <v>25914813.908633862</v>
      </c>
      <c r="O61" s="198">
        <f t="shared" si="7"/>
        <v>608530911.67355561</v>
      </c>
      <c r="P61" s="198">
        <f t="shared" ca="1" si="8"/>
        <v>27660495.985161617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79991180.067151994</v>
      </c>
      <c r="H62" s="119">
        <f t="shared" si="10"/>
        <v>10674453.783195</v>
      </c>
      <c r="I62" s="119">
        <f t="shared" si="1"/>
        <v>90665633.850346997</v>
      </c>
      <c r="J62" s="200">
        <f t="shared" si="2"/>
        <v>0.17154283791998873</v>
      </c>
      <c r="K62" s="197">
        <f t="shared" si="3"/>
        <v>385011878.86150318</v>
      </c>
      <c r="L62" s="197">
        <f t="shared" ca="1" si="4"/>
        <v>17500539.948250145</v>
      </c>
      <c r="M62" s="193">
        <f t="shared" si="5"/>
        <v>411438407.34549487</v>
      </c>
      <c r="N62" s="193">
        <f t="shared" ca="1" si="6"/>
        <v>18701745.788431585</v>
      </c>
      <c r="O62" s="198">
        <f t="shared" si="7"/>
        <v>437864935.82948655</v>
      </c>
      <c r="P62" s="198">
        <f t="shared" ca="1" si="8"/>
        <v>19902951.628613025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144436089.441199</v>
      </c>
      <c r="H63" s="119">
        <f t="shared" si="10"/>
        <v>45559296.945519999</v>
      </c>
      <c r="I63" s="119">
        <f t="shared" si="1"/>
        <v>189995386.38671899</v>
      </c>
      <c r="J63" s="200">
        <f t="shared" si="2"/>
        <v>0.18437538328082548</v>
      </c>
      <c r="K63" s="197">
        <f t="shared" si="3"/>
        <v>737437792.08483565</v>
      </c>
      <c r="L63" s="197">
        <f t="shared" ca="1" si="4"/>
        <v>33519899.640219804</v>
      </c>
      <c r="M63" s="193">
        <f t="shared" si="5"/>
        <v>788961857.5554775</v>
      </c>
      <c r="N63" s="193">
        <f t="shared" ca="1" si="6"/>
        <v>35861902.616158068</v>
      </c>
      <c r="O63" s="198">
        <f t="shared" si="7"/>
        <v>840485923.02611947</v>
      </c>
      <c r="P63" s="198">
        <f t="shared" ca="1" si="8"/>
        <v>38203905.592096336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58975375.749581002</v>
      </c>
      <c r="H64" s="119">
        <f t="shared" si="10"/>
        <v>33042180.311643001</v>
      </c>
      <c r="I64" s="119">
        <f t="shared" si="1"/>
        <v>92017556.061223999</v>
      </c>
      <c r="J64" s="200">
        <f t="shared" si="2"/>
        <v>0.15638030761299282</v>
      </c>
      <c r="K64" s="197">
        <f t="shared" si="3"/>
        <v>437561914.13685656</v>
      </c>
      <c r="L64" s="197">
        <f t="shared" ca="1" si="4"/>
        <v>19889177.915311661</v>
      </c>
      <c r="M64" s="193">
        <f t="shared" si="5"/>
        <v>466982995.81452763</v>
      </c>
      <c r="N64" s="193">
        <f t="shared" ca="1" si="6"/>
        <v>21226499.809751257</v>
      </c>
      <c r="O64" s="198">
        <f t="shared" si="7"/>
        <v>496404077.49219882</v>
      </c>
      <c r="P64" s="198">
        <f t="shared" ca="1" si="8"/>
        <v>22563821.704190854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1583672834.5334051</v>
      </c>
      <c r="H65" s="144">
        <f>SUM(H51:H64)</f>
        <v>236178688.23002499</v>
      </c>
      <c r="I65" s="144">
        <f>SUM(I51:I64)</f>
        <v>1819851522.7634299</v>
      </c>
      <c r="J65" s="203">
        <f>IFERROR(I65/F65,0)</f>
        <v>0.19281658046069453</v>
      </c>
      <c r="K65" s="194">
        <f>SUM(K51:K64)</f>
        <v>6674575494.7355385</v>
      </c>
      <c r="L65" s="194">
        <f t="shared" ca="1" si="4"/>
        <v>303389795.21525174</v>
      </c>
      <c r="M65" s="194">
        <f>SUM(M51:M64)</f>
        <v>7146488106.8188133</v>
      </c>
      <c r="N65" s="194">
        <f t="shared" ca="1" si="6"/>
        <v>324840368.49176425</v>
      </c>
      <c r="O65" s="199">
        <f>SUM(O51:O64)</f>
        <v>7618400718.9020882</v>
      </c>
      <c r="P65" s="199">
        <f t="shared" ca="1" si="8"/>
        <v>346290941.76827675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41236788.499780998</v>
      </c>
      <c r="F69" s="200">
        <f t="shared" ref="F69:F74" si="12">IFERROR(E69/D69,0)</f>
        <v>0.13833138032448855</v>
      </c>
      <c r="G69" s="197">
        <f>D69*$H$41-E69</f>
        <v>227054538.91085738</v>
      </c>
      <c r="H69" s="197">
        <f t="shared" ref="H69:H74" ca="1" si="13">IFERROR(G69/$C$3,0)</f>
        <v>10320660.859584427</v>
      </c>
      <c r="I69" s="218">
        <f>D69*$J$41-E69</f>
        <v>241959612.65589285</v>
      </c>
      <c r="J69" s="218">
        <f t="shared" ref="J69:J74" ca="1" si="14">IFERROR(I69/$C$3,0)</f>
        <v>10998164.211631494</v>
      </c>
      <c r="K69" s="198">
        <f>D69*$L$41-E69</f>
        <v>256864686.40092832</v>
      </c>
      <c r="L69" s="198">
        <f t="shared" ref="L69:L74" ca="1" si="15">IFERROR(K69/$C$3,0)</f>
        <v>11675667.563678561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116352589.026491</v>
      </c>
      <c r="F70" s="200">
        <f t="shared" si="12"/>
        <v>0.2635975546807735</v>
      </c>
      <c r="G70" s="197">
        <f>D70*$H$41-E70</f>
        <v>280909556.48414743</v>
      </c>
      <c r="H70" s="197">
        <f t="shared" ca="1" si="13"/>
        <v>12768616.203824883</v>
      </c>
      <c r="I70" s="218">
        <f>D70*$J$41-E70</f>
        <v>302979675.67918289</v>
      </c>
      <c r="J70" s="218">
        <f t="shared" ca="1" si="14"/>
        <v>13771803.439962858</v>
      </c>
      <c r="K70" s="198">
        <f>D70*$L$41-E70</f>
        <v>325049794.87421834</v>
      </c>
      <c r="L70" s="198">
        <f t="shared" ca="1" si="15"/>
        <v>14774990.676100833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201852277.740953</v>
      </c>
      <c r="F71" s="200">
        <f t="shared" si="12"/>
        <v>0.17919271587395585</v>
      </c>
      <c r="G71" s="197">
        <f>D71*$H$41-E71</f>
        <v>811955951.46543002</v>
      </c>
      <c r="H71" s="197">
        <f t="shared" ca="1" si="13"/>
        <v>36907088.702974088</v>
      </c>
      <c r="I71" s="218">
        <f>D71*$J$41-E71</f>
        <v>868278630.86578465</v>
      </c>
      <c r="J71" s="218">
        <f t="shared" ca="1" si="14"/>
        <v>39467210.493899301</v>
      </c>
      <c r="K71" s="198">
        <f>D71*$L$41-E71</f>
        <v>924601310.26613927</v>
      </c>
      <c r="L71" s="198">
        <f t="shared" ca="1" si="15"/>
        <v>42027332.284824513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359441655.26722503</v>
      </c>
      <c r="F74" s="188">
        <f t="shared" si="12"/>
        <v>0.19263121776008638</v>
      </c>
      <c r="G74" s="194">
        <f>SUM(G69:G73)</f>
        <v>1319920046.8604348</v>
      </c>
      <c r="H74" s="194">
        <f t="shared" ca="1" si="13"/>
        <v>59996365.766383402</v>
      </c>
      <c r="I74" s="199">
        <f>SUM(I69:I73)</f>
        <v>1413217919.2008605</v>
      </c>
      <c r="J74" s="199">
        <f t="shared" ca="1" si="14"/>
        <v>64237178.145493656</v>
      </c>
      <c r="K74" s="199">
        <f>SUM(K69:K73)</f>
        <v>1506515791.541286</v>
      </c>
      <c r="L74" s="199">
        <f t="shared" ca="1" si="15"/>
        <v>68477990.524603903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141753153.27994999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42700697.479999997</v>
      </c>
    </row>
    <row r="82" spans="2:4" x14ac:dyDescent="0.25">
      <c r="B82" s="53" t="s">
        <v>174</v>
      </c>
      <c r="C82" s="56" t="s">
        <v>175</v>
      </c>
      <c r="D82" s="141">
        <f>IF(E20="",0,E20)</f>
        <v>2882882.8</v>
      </c>
    </row>
    <row r="83" spans="2:4" x14ac:dyDescent="0.25">
      <c r="B83" s="50" t="s">
        <v>71</v>
      </c>
      <c r="C83" s="55" t="s">
        <v>72</v>
      </c>
      <c r="D83" s="140">
        <f>IF(E15="",0,E15)</f>
        <v>83590090.379965007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10529729.6</v>
      </c>
    </row>
    <row r="86" spans="2:4" x14ac:dyDescent="0.25">
      <c r="B86" s="53" t="s">
        <v>76</v>
      </c>
      <c r="C86" s="56" t="s">
        <v>77</v>
      </c>
      <c r="D86" s="141">
        <f>IF(E17="",0,E17)</f>
        <v>261821440.079974</v>
      </c>
    </row>
    <row r="87" spans="2:4" x14ac:dyDescent="0.25">
      <c r="B87" s="50" t="s">
        <v>78</v>
      </c>
      <c r="C87" s="55" t="s">
        <v>79</v>
      </c>
      <c r="D87" s="140">
        <f>IF(E23="",0,E23)</f>
        <v>97645946.509829</v>
      </c>
    </row>
    <row r="88" spans="2:4" x14ac:dyDescent="0.25">
      <c r="B88" s="53" t="s">
        <v>174</v>
      </c>
      <c r="C88" s="56" t="s">
        <v>176</v>
      </c>
      <c r="D88" s="141">
        <f>IF(E21="",0,E21)</f>
        <v>3783783.68</v>
      </c>
    </row>
    <row r="89" spans="2:4" x14ac:dyDescent="0.25">
      <c r="B89" s="53" t="s">
        <v>80</v>
      </c>
      <c r="C89" s="56" t="s">
        <v>81</v>
      </c>
      <c r="D89" s="141">
        <f>IF(E11="",0,E11)</f>
        <v>16021621.9</v>
      </c>
    </row>
    <row r="90" spans="2:4" x14ac:dyDescent="0.25">
      <c r="B90" s="50" t="s">
        <v>82</v>
      </c>
      <c r="C90" s="55" t="s">
        <v>83</v>
      </c>
      <c r="D90" s="140">
        <f>IF(E24="",0,E24)</f>
        <v>112538649.23986299</v>
      </c>
    </row>
    <row r="91" spans="2:4" x14ac:dyDescent="0.25">
      <c r="B91" s="53" t="s">
        <v>84</v>
      </c>
      <c r="C91" s="56" t="s">
        <v>85</v>
      </c>
      <c r="D91" s="141">
        <f>IF(E10="",0,E10)</f>
        <v>39107386.329999998</v>
      </c>
    </row>
    <row r="92" spans="2:4" x14ac:dyDescent="0.25">
      <c r="B92" s="50" t="s">
        <v>86</v>
      </c>
      <c r="C92" s="55" t="s">
        <v>87</v>
      </c>
      <c r="D92" s="140">
        <f>IF(E27="",0,E27)</f>
        <v>2770810.8769999999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29048649.219999999</v>
      </c>
    </row>
    <row r="94" spans="2:4" x14ac:dyDescent="0.25">
      <c r="B94" s="57" t="s">
        <v>152</v>
      </c>
      <c r="C94" s="58"/>
      <c r="D94" s="125">
        <f>SUM(D80:D93)</f>
        <v>844194841.37658107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1" t="s">
        <v>163</v>
      </c>
      <c r="C41" s="262"/>
      <c r="D41" s="263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165</v>
      </c>
      <c r="C41" s="262"/>
      <c r="D41" s="263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177</v>
      </c>
      <c r="C41" s="262"/>
      <c r="D41" s="263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1" t="s">
        <v>179</v>
      </c>
      <c r="C41" s="262"/>
      <c r="D41" s="263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64" t="s">
        <v>147</v>
      </c>
      <c r="C48" s="265"/>
      <c r="D48" s="265"/>
      <c r="E48" s="265"/>
      <c r="F48" s="265"/>
      <c r="G48" s="265"/>
      <c r="H48" s="265"/>
      <c r="I48" s="265"/>
      <c r="J48" s="265"/>
      <c r="K48" s="252" t="s">
        <v>188</v>
      </c>
      <c r="L48" s="253"/>
      <c r="M48" s="253"/>
      <c r="N48" s="253"/>
      <c r="O48" s="253"/>
      <c r="P48" s="254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55" t="str">
        <f>"SELISIH"&amp;CHAR(10)&amp;TEXT($H$41,"0%")</f>
        <v>SELISIH
90%</v>
      </c>
      <c r="L49" s="255" t="str">
        <f>"PER HARI"&amp;CHAR(10)&amp;TEXT($H$41,"0%")</f>
        <v>PER HARI
90%</v>
      </c>
      <c r="M49" s="257" t="str">
        <f>"SELISIH"&amp;CHAR(10)&amp;TEXT($J$41,"0%")</f>
        <v>SELISIH
95%</v>
      </c>
      <c r="N49" s="257" t="str">
        <f>"PER HARI"&amp;CHAR(10)&amp;TEXT($J$41,"0%")</f>
        <v>PER HARI
95%</v>
      </c>
      <c r="O49" s="259" t="str">
        <f>"SELISIH"&amp;CHAR(10)&amp;TEXT($L$41,"0%")</f>
        <v>SELISIH
100%</v>
      </c>
      <c r="P49" s="259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56"/>
      <c r="L50" s="256"/>
      <c r="M50" s="258"/>
      <c r="N50" s="258"/>
      <c r="O50" s="260"/>
      <c r="P50" s="260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0" t="s">
        <v>145</v>
      </c>
      <c r="C67" s="271"/>
      <c r="D67" s="271"/>
      <c r="E67" s="271"/>
      <c r="F67" s="271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2026-08-06T00:40:03Z</dcterms:modified>
  <dc:language>en-US</dc:language>
</cp:coreProperties>
</file>