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12000" windowHeight="4335" tabRatio="500" firstSheet="1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D92" i="12" s="1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D93" i="11" s="1"/>
  <c r="U92" i="11"/>
  <c r="T92" i="11"/>
  <c r="U91" i="11"/>
  <c r="T91" i="11"/>
  <c r="U90" i="11"/>
  <c r="T90" i="11"/>
  <c r="D90" i="11" s="1"/>
  <c r="U89" i="11"/>
  <c r="T89" i="11"/>
  <c r="D89" i="11" s="1"/>
  <c r="U88" i="11"/>
  <c r="T88" i="11"/>
  <c r="U87" i="11"/>
  <c r="T87" i="11"/>
  <c r="U86" i="11"/>
  <c r="T86" i="11"/>
  <c r="D86" i="11" s="1"/>
  <c r="U85" i="11"/>
  <c r="T85" i="11"/>
  <c r="D85" i="11" s="1"/>
  <c r="U84" i="11"/>
  <c r="T84" i="11"/>
  <c r="U83" i="11"/>
  <c r="T83" i="11"/>
  <c r="U82" i="11"/>
  <c r="T82" i="11"/>
  <c r="D82" i="11" s="1"/>
  <c r="U81" i="11"/>
  <c r="T81" i="11"/>
  <c r="D81" i="11" s="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G52" i="11" s="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I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D46" i="6" s="1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F59" i="5" s="1"/>
  <c r="E58" i="5"/>
  <c r="D58" i="5"/>
  <c r="E57" i="5"/>
  <c r="D57" i="5"/>
  <c r="E56" i="5"/>
  <c r="D56" i="5"/>
  <c r="E55" i="5"/>
  <c r="D55" i="5"/>
  <c r="F55" i="5" s="1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L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F59" i="3" s="1"/>
  <c r="E58" i="3"/>
  <c r="D58" i="3"/>
  <c r="F58" i="3" s="1"/>
  <c r="E57" i="3"/>
  <c r="D57" i="3"/>
  <c r="F57" i="3" s="1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L57" i="5" l="1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J60" i="6" s="1"/>
  <c r="I53" i="6"/>
  <c r="F57" i="6"/>
  <c r="F60" i="6"/>
  <c r="F64" i="6"/>
  <c r="I55" i="7"/>
  <c r="I60" i="7"/>
  <c r="I64" i="7"/>
  <c r="I53" i="7"/>
  <c r="F57" i="7"/>
  <c r="F60" i="7"/>
  <c r="F64" i="7"/>
  <c r="F69" i="7"/>
  <c r="F53" i="8"/>
  <c r="F56" i="8"/>
  <c r="I59" i="8"/>
  <c r="F63" i="8"/>
  <c r="M63" i="8" s="1"/>
  <c r="N63" i="8" s="1"/>
  <c r="I56" i="9"/>
  <c r="I61" i="9"/>
  <c r="D82" i="10"/>
  <c r="D86" i="10"/>
  <c r="D90" i="10"/>
  <c r="F54" i="9"/>
  <c r="F58" i="9"/>
  <c r="F61" i="9"/>
  <c r="J61" i="9" s="1"/>
  <c r="K70" i="9"/>
  <c r="D83" i="11"/>
  <c r="D87" i="11"/>
  <c r="D91" i="11"/>
  <c r="D82" i="13"/>
  <c r="D86" i="13"/>
  <c r="D90" i="13"/>
  <c r="F53" i="6"/>
  <c r="J53" i="6" s="1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F57" i="9"/>
  <c r="J57" i="9" s="1"/>
  <c r="F60" i="9"/>
  <c r="J60" i="9" s="1"/>
  <c r="F64" i="9"/>
  <c r="J64" i="9" s="1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F59" i="9"/>
  <c r="M59" i="9" s="1"/>
  <c r="N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M53" i="5" s="1"/>
  <c r="N53" i="5" s="1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F62" i="7"/>
  <c r="H65" i="8"/>
  <c r="D46" i="8"/>
  <c r="F54" i="8"/>
  <c r="O54" i="8" s="1"/>
  <c r="P54" i="8" s="1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O61" i="12" s="1"/>
  <c r="P61" i="12" s="1"/>
  <c r="G52" i="13"/>
  <c r="G59" i="13"/>
  <c r="O59" i="13" s="1"/>
  <c r="P59" i="13" s="1"/>
  <c r="G60" i="14"/>
  <c r="F52" i="3"/>
  <c r="F56" i="3"/>
  <c r="F60" i="3"/>
  <c r="F55" i="4"/>
  <c r="F53" i="9"/>
  <c r="O53" i="9" s="1"/>
  <c r="P53" i="9" s="1"/>
  <c r="F56" i="9"/>
  <c r="J56" i="9" s="1"/>
  <c r="I59" i="9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O55" i="12" s="1"/>
  <c r="P55" i="12" s="1"/>
  <c r="D65" i="14"/>
  <c r="I51" i="4"/>
  <c r="L53" i="5"/>
  <c r="L57" i="12"/>
  <c r="G44" i="13"/>
  <c r="D74" i="11"/>
  <c r="K62" i="11"/>
  <c r="K55" i="12"/>
  <c r="K61" i="11"/>
  <c r="Q61" i="11" s="1"/>
  <c r="R61" i="11" s="1"/>
  <c r="K63" i="12"/>
  <c r="K63" i="10"/>
  <c r="Q63" i="10" s="1"/>
  <c r="R63" i="10" s="1"/>
  <c r="K61" i="12"/>
  <c r="I55" i="4"/>
  <c r="J55" i="4" s="1"/>
  <c r="G65" i="4"/>
  <c r="J54" i="8"/>
  <c r="G54" i="10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Q63" i="11" s="1"/>
  <c r="R63" i="11" s="1"/>
  <c r="E61" i="3"/>
  <c r="F51" i="4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L52" i="12" s="1"/>
  <c r="G62" i="12"/>
  <c r="F69" i="12"/>
  <c r="F65" i="13"/>
  <c r="G54" i="13"/>
  <c r="K57" i="13"/>
  <c r="O57" i="13" s="1"/>
  <c r="P57" i="13" s="1"/>
  <c r="K61" i="13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J65" i="14"/>
  <c r="E44" i="14" s="1"/>
  <c r="F44" i="14" s="1"/>
  <c r="K55" i="14"/>
  <c r="M55" i="14" s="1"/>
  <c r="N55" i="14" s="1"/>
  <c r="G58" i="14"/>
  <c r="L58" i="14" s="1"/>
  <c r="K60" i="14"/>
  <c r="L60" i="14" s="1"/>
  <c r="G63" i="14"/>
  <c r="O63" i="14" s="1"/>
  <c r="P63" i="14" s="1"/>
  <c r="G64" i="14"/>
  <c r="I51" i="3"/>
  <c r="J51" i="3" s="1"/>
  <c r="F68" i="3"/>
  <c r="I53" i="4"/>
  <c r="J53" i="4" s="1"/>
  <c r="I57" i="4"/>
  <c r="J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F73" i="13"/>
  <c r="G52" i="14"/>
  <c r="G53" i="14"/>
  <c r="Q53" i="14" s="1"/>
  <c r="K54" i="14"/>
  <c r="O54" i="14" s="1"/>
  <c r="P54" i="14" s="1"/>
  <c r="K59" i="14"/>
  <c r="M59" i="14" s="1"/>
  <c r="N59" i="14" s="1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R53" i="14"/>
  <c r="H69" i="3"/>
  <c r="H69" i="5"/>
  <c r="J44" i="13"/>
  <c r="L50" i="3"/>
  <c r="G61" i="3"/>
  <c r="I49" i="3"/>
  <c r="K50" i="3"/>
  <c r="I50" i="3"/>
  <c r="J50" i="3" s="1"/>
  <c r="K52" i="3"/>
  <c r="I52" i="3"/>
  <c r="J52" i="3" s="1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43" i="3"/>
  <c r="F43" i="3" s="1"/>
  <c r="L52" i="3"/>
  <c r="L54" i="3"/>
  <c r="L56" i="3"/>
  <c r="L58" i="3"/>
  <c r="L60" i="3"/>
  <c r="H61" i="4"/>
  <c r="L50" i="4"/>
  <c r="M53" i="4"/>
  <c r="N53" i="4" s="1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O55" i="6"/>
  <c r="P55" i="6" s="1"/>
  <c r="M55" i="6"/>
  <c r="N55" i="6" s="1"/>
  <c r="K55" i="6"/>
  <c r="L55" i="6" s="1"/>
  <c r="K57" i="6"/>
  <c r="L57" i="6" s="1"/>
  <c r="M58" i="6"/>
  <c r="N58" i="6" s="1"/>
  <c r="K58" i="6"/>
  <c r="L58" i="6" s="1"/>
  <c r="O59" i="6"/>
  <c r="P59" i="6" s="1"/>
  <c r="O60" i="6"/>
  <c r="P60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M51" i="4"/>
  <c r="N51" i="4" s="1"/>
  <c r="L52" i="4"/>
  <c r="M55" i="4"/>
  <c r="N55" i="4" s="1"/>
  <c r="L56" i="4"/>
  <c r="L60" i="4"/>
  <c r="H65" i="4"/>
  <c r="H61" i="5"/>
  <c r="L50" i="5"/>
  <c r="L54" i="5"/>
  <c r="M56" i="5"/>
  <c r="N56" i="5" s="1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70" i="3"/>
  <c r="F70" i="3" s="1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O55" i="8"/>
  <c r="P55" i="8" s="1"/>
  <c r="K55" i="8"/>
  <c r="L55" i="8" s="1"/>
  <c r="O56" i="8"/>
  <c r="P56" i="8" s="1"/>
  <c r="M56" i="8"/>
  <c r="N56" i="8" s="1"/>
  <c r="O57" i="8"/>
  <c r="P57" i="8" s="1"/>
  <c r="M57" i="8"/>
  <c r="N57" i="8" s="1"/>
  <c r="K57" i="8"/>
  <c r="L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M60" i="8"/>
  <c r="N60" i="8" s="1"/>
  <c r="O61" i="8"/>
  <c r="P61" i="8" s="1"/>
  <c r="M61" i="8"/>
  <c r="N61" i="8" s="1"/>
  <c r="O62" i="8"/>
  <c r="P62" i="8" s="1"/>
  <c r="K62" i="8"/>
  <c r="L62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O54" i="10"/>
  <c r="P54" i="10" s="1"/>
  <c r="L54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J59" i="7"/>
  <c r="O60" i="7"/>
  <c r="P60" i="7" s="1"/>
  <c r="M60" i="7"/>
  <c r="N60" i="7" s="1"/>
  <c r="K60" i="7"/>
  <c r="L60" i="7" s="1"/>
  <c r="O61" i="7"/>
  <c r="P61" i="7" s="1"/>
  <c r="M61" i="7"/>
  <c r="N61" i="7" s="1"/>
  <c r="K61" i="7"/>
  <c r="L61" i="7" s="1"/>
  <c r="O62" i="7"/>
  <c r="P62" i="7" s="1"/>
  <c r="M62" i="7"/>
  <c r="N62" i="7" s="1"/>
  <c r="K62" i="7"/>
  <c r="L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M52" i="9"/>
  <c r="N52" i="9" s="1"/>
  <c r="K52" i="9"/>
  <c r="L52" i="9" s="1"/>
  <c r="M53" i="9"/>
  <c r="N53" i="9" s="1"/>
  <c r="K53" i="9"/>
  <c r="L53" i="9" s="1"/>
  <c r="O54" i="9"/>
  <c r="P54" i="9" s="1"/>
  <c r="M54" i="9"/>
  <c r="N54" i="9" s="1"/>
  <c r="K54" i="9"/>
  <c r="L54" i="9" s="1"/>
  <c r="O55" i="9"/>
  <c r="P55" i="9" s="1"/>
  <c r="M55" i="9"/>
  <c r="N55" i="9" s="1"/>
  <c r="K55" i="9"/>
  <c r="L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M58" i="9"/>
  <c r="N58" i="9" s="1"/>
  <c r="K58" i="9"/>
  <c r="L58" i="9" s="1"/>
  <c r="O59" i="9"/>
  <c r="P59" i="9" s="1"/>
  <c r="K59" i="9"/>
  <c r="L59" i="9" s="1"/>
  <c r="J59" i="9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I71" i="9"/>
  <c r="J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M62" i="10"/>
  <c r="N62" i="10" s="1"/>
  <c r="L63" i="10"/>
  <c r="F71" i="11"/>
  <c r="H65" i="11"/>
  <c r="E42" i="11" s="1"/>
  <c r="K51" i="11"/>
  <c r="K52" i="11"/>
  <c r="L52" i="11" s="1"/>
  <c r="K53" i="11"/>
  <c r="L53" i="11" s="1"/>
  <c r="K54" i="11"/>
  <c r="L54" i="11" s="1"/>
  <c r="K55" i="11"/>
  <c r="K56" i="11"/>
  <c r="K57" i="11"/>
  <c r="L57" i="11" s="1"/>
  <c r="K58" i="11"/>
  <c r="L58" i="11" s="1"/>
  <c r="K59" i="11"/>
  <c r="Q60" i="11"/>
  <c r="R60" i="11" s="1"/>
  <c r="M60" i="11"/>
  <c r="N60" i="11" s="1"/>
  <c r="L61" i="11"/>
  <c r="L63" i="1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O63" i="11"/>
  <c r="P63" i="11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G43" i="12"/>
  <c r="H43" i="12" s="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D94" i="12"/>
  <c r="Q52" i="13"/>
  <c r="R52" i="13" s="1"/>
  <c r="M52" i="13"/>
  <c r="N52" i="13" s="1"/>
  <c r="O53" i="13"/>
  <c r="P53" i="13" s="1"/>
  <c r="M53" i="13"/>
  <c r="N53" i="13" s="1"/>
  <c r="M54" i="13"/>
  <c r="N54" i="13" s="1"/>
  <c r="Q55" i="13"/>
  <c r="R55" i="13" s="1"/>
  <c r="M55" i="13"/>
  <c r="N55" i="13" s="1"/>
  <c r="L56" i="13"/>
  <c r="L57" i="13"/>
  <c r="M57" i="13"/>
  <c r="N57" i="13" s="1"/>
  <c r="M58" i="13"/>
  <c r="N58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M58" i="12"/>
  <c r="N58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M56" i="13"/>
  <c r="N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Q60" i="13"/>
  <c r="R60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61" i="13"/>
  <c r="R61" i="13" s="1"/>
  <c r="Q54" i="14"/>
  <c r="R54" i="14" s="1"/>
  <c r="M54" i="14"/>
  <c r="N54" i="14" s="1"/>
  <c r="L54" i="14"/>
  <c r="Q62" i="13"/>
  <c r="R62" i="13" s="1"/>
  <c r="M63" i="13"/>
  <c r="N63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G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H69" i="13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3" i="14"/>
  <c r="R63" i="14" s="1"/>
  <c r="M63" i="14"/>
  <c r="N63" i="14" s="1"/>
  <c r="L63" i="14"/>
  <c r="Q60" i="14"/>
  <c r="R60" i="14" s="1"/>
  <c r="M62" i="14"/>
  <c r="N62" i="14" s="1"/>
  <c r="Q62" i="14"/>
  <c r="R62" i="14" s="1"/>
  <c r="M64" i="14"/>
  <c r="N64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3" i="11" l="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G74" i="7"/>
  <c r="H74" i="7" s="1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46" i="7" l="1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<sst xmlns="http://schemas.openxmlformats.org/spreadsheetml/2006/main" count="2117" uniqueCount="228">
  <si>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</si>
  <si>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</si>
  <si>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</si>
  <si>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</si>
  <si>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</si>
  <si>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</si>
  <si>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</si>
  <si>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</si>
  <si>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</si>
  <si>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</si>
  <si>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</si>
  <si>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</si>
  <si>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</si>
  <si>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</si>
  <si>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</si>
  <si>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</si>
  <si>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</si>
  <si>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</si>
  <si>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</si>
  <si>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</si>
  <si>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</si>
  <si>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</si>
  <si>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</si>
  <si>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</si>
  <si>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</si>
  <si>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</si>
  <si>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</si>
  <si>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</si>
  <si>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</si>
  <si>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</si>
  <si>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</si>
  <si>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</si>
  <si>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</si>
  <si>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</si>
  <si>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</si>
  <si>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</si>
  <si>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</si>
  <si>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</si>
  <si>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</si>
  <si>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</si>
  <si>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</si>
  <si>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</si>
  <si>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</si>
  <si>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</si>
  <si>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</si>
  <si>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</si>
  <si>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</si>
  <si>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</si>
  <si>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</si>
  <si>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</si>
  <si>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</si>
  <si>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</si>
  <si>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</si>
  <si>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</si>
  <si>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</si>
  <si>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</si>
  <si>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</si>
  <si>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</si>
  <si>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</si>
  <si>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</si>
  <si>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</si>
  <si>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</si>
  <si>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</si>
  <si>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</si>
  <si>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</si>
  <si>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</si>
  <si>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</si>
  <si>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</si>
  <si>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</si>
  <si>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</si>
  <si>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</si>
  <si>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</si>
  <si>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</si>
  <si>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</si>
  <si>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</si>
  <si>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</si>
  <si>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</si>
  <si>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</si>
  <si>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</si>
  <si>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</si>
  <si>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</si>
  <si>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</si>
  <si>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</si>
  <si>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</si>
  <si>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</si>
  <si>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</si>
  <si>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</si>
  <si>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</si>
  <si>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</si>
  <si>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</si>
  <si>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</si>
  <si>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</si>
  <si>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</si>
  <si>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</si>
  <si>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</si>
  <si>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</si>
  <si>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</si>
  <si>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</si>
  <si>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</si>
  <si>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</si>
  <si>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</si>
  <si>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</si>
  <si>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</si>
  <si>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</si>
  <si>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</si>
  <si>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</si>
  <si>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</si>
  <si>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</si>
  <si>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</si>
  <si>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</si>
  <si>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</si>
  <si>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</si>
  <si>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</si>
  <si>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</si>
  <si>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</si>
  <si>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</si>
  <si>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</si>
  <si>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</si>
  <si>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</si>
  <si>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</si>
  <si>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</si>
  <si>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</si>
  <si>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</si>
  <si>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</si>
  <si>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</si>
  <si>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</si>
  <si>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</si>
  <si>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</si>
  <si>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</si>
  <si>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</si>
  <si>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</si>
  <si>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</si>
  <si>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</si>
  <si>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</si>
  <si>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</si>
  <si>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</si>
  <si>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</si>
  <si>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</si>
  <si>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</si>
  <si>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</si>
  <si>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</si>
  <si>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</si>
  <si>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</si>
  <si>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</si>
  <si>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</si>
  <si>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</si>
  <si>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</si>
  <si>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</si>
  <si>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</si>
  <si>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</si>
  <si>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</si>
  <si>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</si>
  <si>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</si>
  <si>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</si>
  <si>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</si>
  <si>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</si>
  <si>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</si>
  <si>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</si>
  <si>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</si>
  <si>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</si>
  <si>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</si>
  <si>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</si>
  <si>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</si>
  <si>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</si>
  <si>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</si>
  <si>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</si>
  <si>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</si>
  <si>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</si>
  <si>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</si>
  <si>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</si>
  <si>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</si>
  <si>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</si>
  <si>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</si>
  <si>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</si>
  <si>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</si>
  <si>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</si>
  <si>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</si>
  <si>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</si>
  <si>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</si>
  <si>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</si>
  <si>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</si>
  <si>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</si>
  <si>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</si>
  <si>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</si>
  <si>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</si>
  <si>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</si>
  <si>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</si>
  <si>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</si>
  <si>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</si>
  <si>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</si>
  <si>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</si>
  <si>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</si>
  <si>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</si>
  <si>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</si>
  <si>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</si>
  <si>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</si>
  <si>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</si>
  <si>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</si>
  <si>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</si>
  <si>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</si>
  <si>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</si>
  <si>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</si>
  <si>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</si>
  <si>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</si>
  <si>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</si>
  <si>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</si>
  <si>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</si>
  <si>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</si>
  <si>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</si>
  <si>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</si>
  <si>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</si>
  <si>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</si>
  <si>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</si>
  <si>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</si>
  <si>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</si>
  <si>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</si>
  <si>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</si>
  <si>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</si>
  <si>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</si>
  <si>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</si>
  <si>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</si>
  <si>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</si>
  <si>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</si>
  <si>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</si>
  <si>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</si>
  <si>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</si>
  <si>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</si>
  <si>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22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</si>
</sst>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zoomScale="86" zoomScaleNormal="86" workbookViewId="0">
      <selection activeCell="C11" sqref="C11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226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69" t="s">
        <v>178</v>
      </c>
      <c r="C41" s="270"/>
      <c r="D41" s="271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  <c r="Q48"/>
      <c r="R48"/>
    </row>
    <row r="49" spans="2:18" s="139" customFormat="1" ht="33.950000000000003" customHeight="1" x14ac:dyDescent="0.25">
      <c r="B49" s="277" t="s">
        <v>41</v>
      </c>
      <c r="C49" s="277" t="s">
        <v>42</v>
      </c>
      <c r="D49" s="274" t="s">
        <v>137</v>
      </c>
      <c r="E49" s="275"/>
      <c r="F49" s="276"/>
      <c r="G49" s="140" t="s">
        <v>138</v>
      </c>
      <c r="H49" s="140"/>
      <c r="I49" s="140"/>
      <c r="J49" s="274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67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7"/>
      <c r="C50" s="27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4"/>
      <c r="K50" s="264"/>
      <c r="L50" s="264"/>
      <c r="M50" s="266"/>
      <c r="N50" s="188"/>
      <c r="O50" s="183"/>
      <c r="P50" s="268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171</v>
      </c>
      <c r="C77" s="250"/>
      <c r="D77" s="251"/>
      <c r="G77"/>
      <c r="H77"/>
      <c r="I77"/>
    </row>
    <row r="78" spans="1:19" ht="20.100000000000001" customHeight="1" x14ac:dyDescent="0.25">
      <c r="B78" s="259" t="s">
        <v>41</v>
      </c>
      <c r="C78" s="259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78" t="s">
        <v>179</v>
      </c>
      <c r="C41" s="279"/>
      <c r="D41" s="280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8.75" customHeight="1" x14ac:dyDescent="0.25">
      <c r="B78" s="259" t="s">
        <v>41</v>
      </c>
      <c r="C78" s="259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69" t="s">
        <v>180</v>
      </c>
      <c r="C41" s="270"/>
      <c r="D41" s="271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69" t="s">
        <v>189</v>
      </c>
      <c r="C41" s="270"/>
      <c r="D41" s="271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55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69" t="s">
        <v>219</v>
      </c>
      <c r="C40" s="270"/>
      <c r="D40" s="271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2" t="s">
        <v>213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5.75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2"/>
      <c r="G67" s="260" t="s">
        <v>186</v>
      </c>
      <c r="H67" s="261"/>
      <c r="I67" s="261"/>
      <c r="J67" s="261"/>
      <c r="K67" s="261"/>
      <c r="L67" s="262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49" t="s">
        <v>171</v>
      </c>
      <c r="C77" s="250"/>
      <c r="D77" s="251"/>
    </row>
    <row r="78" spans="2:21" ht="15.75" x14ac:dyDescent="0.25">
      <c r="B78" s="259" t="s">
        <v>41</v>
      </c>
      <c r="C78" s="259" t="s">
        <v>42</v>
      </c>
      <c r="D78" s="231" t="s">
        <v>138</v>
      </c>
    </row>
    <row r="79" spans="2:21" ht="15.75" x14ac:dyDescent="0.25">
      <c r="B79" s="258"/>
      <c r="C79" s="258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28" zoomScale="73" zoomScaleNormal="73" workbookViewId="0">
      <selection activeCell="F34" sqref="F34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6" width="16.42578125" customWidth="1"/>
    <col min="7" max="7" width="18.5703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8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4">
        <v>117222800.908739</v>
      </c>
      <c r="D10" s="234">
        <v>31388455.192899998</v>
      </c>
      <c r="E10" s="234">
        <v>173196225.567045</v>
      </c>
      <c r="F10" s="234">
        <v>122621117.86994299</v>
      </c>
      <c r="G10" s="234">
        <v>444428599.53862703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4">
        <v>4173423.4199979999</v>
      </c>
      <c r="D11" s="234">
        <v>16503315.6</v>
      </c>
      <c r="E11" s="234">
        <v>199157658.6392</v>
      </c>
      <c r="F11" s="234" t="s">
        <v>165</v>
      </c>
      <c r="G11" s="234">
        <v>219834397.65919799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4">
        <v>136887903.46735299</v>
      </c>
      <c r="D12" s="234">
        <v>64137847.651524998</v>
      </c>
      <c r="E12" s="234">
        <v>133871985.199589</v>
      </c>
      <c r="F12" s="234">
        <v>63360769.850000001</v>
      </c>
      <c r="G12" s="234">
        <v>398258506.16846699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4">
        <v>28415976.749961998</v>
      </c>
      <c r="D13" s="234">
        <v>18071800.219973002</v>
      </c>
      <c r="E13" s="234">
        <v>156752028.56966901</v>
      </c>
      <c r="F13" s="234">
        <v>64030191.060000002</v>
      </c>
      <c r="G13" s="234">
        <v>267269996.59960401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4">
        <v>396973429.52460003</v>
      </c>
      <c r="D14" s="234">
        <v>37481186.411467001</v>
      </c>
      <c r="E14" s="234">
        <v>117286536.1999</v>
      </c>
      <c r="F14" s="234">
        <v>320372564.56976998</v>
      </c>
      <c r="G14" s="234">
        <v>872113716.70573699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4">
        <v>1089786700.000098</v>
      </c>
      <c r="D15" s="234">
        <v>8915041.3269239999</v>
      </c>
      <c r="E15" s="234">
        <v>59318395.269938998</v>
      </c>
      <c r="F15" s="234">
        <v>13983784.08</v>
      </c>
      <c r="G15" s="234">
        <v>1172003920.6769609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4">
        <v>371501562.66268098</v>
      </c>
      <c r="D16" s="234">
        <v>36300643.119926997</v>
      </c>
      <c r="E16" s="234">
        <v>255160812.04951999</v>
      </c>
      <c r="F16" s="234">
        <v>760950711.77996898</v>
      </c>
      <c r="G16" s="234">
        <v>1423913729.612097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4">
        <v>91170215.815028995</v>
      </c>
      <c r="D17" s="234">
        <v>12915436.9209</v>
      </c>
      <c r="E17" s="234">
        <v>70679078.968842</v>
      </c>
      <c r="F17" s="234">
        <v>36655676.498000003</v>
      </c>
      <c r="G17" s="234">
        <v>211420408.20277101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4">
        <v>13080047.589996999</v>
      </c>
      <c r="D18" s="234">
        <v>129663009.171675</v>
      </c>
      <c r="E18" s="234">
        <v>46995546.100000001</v>
      </c>
      <c r="F18" s="234">
        <v>89016218.120000005</v>
      </c>
      <c r="G18" s="234">
        <v>278754820.98167199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4">
        <v>57858708.960000001</v>
      </c>
      <c r="D19" s="234" t="s">
        <v>165</v>
      </c>
      <c r="E19" s="234" t="s">
        <v>165</v>
      </c>
      <c r="F19" s="234">
        <v>7027026.8399999999</v>
      </c>
      <c r="G19" s="234">
        <v>64885735.799999997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4">
        <v>188527227.16</v>
      </c>
      <c r="D20" s="234" t="s">
        <v>165</v>
      </c>
      <c r="E20" s="234" t="s">
        <v>165</v>
      </c>
      <c r="F20" s="234">
        <v>9813783.5199999996</v>
      </c>
      <c r="G20" s="234">
        <v>198341010.68000001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124</v>
      </c>
      <c r="C21" s="234">
        <v>212724104.35944599</v>
      </c>
      <c r="D21" s="234">
        <v>41095408.883458003</v>
      </c>
      <c r="E21" s="234">
        <v>121013203.27980299</v>
      </c>
      <c r="F21" s="234">
        <v>305992102.95987999</v>
      </c>
      <c r="G21" s="234">
        <v>680824819.48258698</v>
      </c>
      <c r="H21" s="111"/>
      <c r="I21" s="111"/>
      <c r="J21" s="111"/>
      <c r="M21" s="14">
        <f>SUM(C33,C34)+M20</f>
        <v>543057028.79973006</v>
      </c>
      <c r="N21" s="10" t="s">
        <v>224</v>
      </c>
    </row>
    <row r="22" spans="2:15" ht="15" customHeight="1" x14ac:dyDescent="0.25">
      <c r="B22" s="72" t="s">
        <v>125</v>
      </c>
      <c r="C22" s="234">
        <v>201386818.38223299</v>
      </c>
      <c r="D22" s="234">
        <v>54608591.209964</v>
      </c>
      <c r="E22" s="234">
        <v>150961804.00620899</v>
      </c>
      <c r="F22" s="234">
        <v>246882618.74950501</v>
      </c>
      <c r="G22" s="234">
        <v>653839832.347911</v>
      </c>
      <c r="H22" s="111"/>
      <c r="I22" s="111"/>
      <c r="J22" s="111"/>
    </row>
    <row r="23" spans="2:15" ht="15" customHeight="1" x14ac:dyDescent="0.25">
      <c r="B23" s="72" t="s">
        <v>126</v>
      </c>
      <c r="C23" s="234">
        <v>357807886.12938398</v>
      </c>
      <c r="D23" s="234">
        <v>53379470.924923003</v>
      </c>
      <c r="E23" s="234">
        <v>159507956.34990701</v>
      </c>
      <c r="F23" s="234">
        <v>468670407.23952502</v>
      </c>
      <c r="G23" s="234">
        <v>1039365720.643739</v>
      </c>
      <c r="H23" s="111"/>
      <c r="I23" s="111"/>
      <c r="J23" s="111"/>
    </row>
    <row r="24" spans="2:15" ht="15" customHeight="1" x14ac:dyDescent="0.25">
      <c r="B24" s="72" t="s">
        <v>225</v>
      </c>
      <c r="C24" s="234">
        <v>148754687.584483</v>
      </c>
      <c r="D24" s="234">
        <v>42615344.709941</v>
      </c>
      <c r="E24" s="234">
        <v>126094298.448173</v>
      </c>
      <c r="F24" s="234">
        <v>40335405.060000002</v>
      </c>
      <c r="G24" s="234">
        <v>357799735.80259699</v>
      </c>
      <c r="H24" s="111"/>
      <c r="I24" s="111"/>
      <c r="J24" s="111"/>
    </row>
    <row r="25" spans="2:15" ht="15" customHeight="1" x14ac:dyDescent="0.25">
      <c r="B25" s="72" t="s">
        <v>220</v>
      </c>
      <c r="C25" s="234">
        <v>233723045.560087</v>
      </c>
      <c r="D25" s="234">
        <v>75195779.136546999</v>
      </c>
      <c r="E25" s="234">
        <v>77460806.632578999</v>
      </c>
      <c r="F25" s="234">
        <v>39783784.579999998</v>
      </c>
      <c r="G25" s="234">
        <v>426163415.90921301</v>
      </c>
      <c r="H25" s="111"/>
      <c r="I25" s="111"/>
      <c r="J25" s="111"/>
    </row>
    <row r="26" spans="2:15" ht="15" customHeight="1" x14ac:dyDescent="0.25">
      <c r="B26" s="72" t="s">
        <v>127</v>
      </c>
      <c r="C26" s="234">
        <v>398672594.47329497</v>
      </c>
      <c r="D26" s="234">
        <v>225332673.160541</v>
      </c>
      <c r="E26" s="234">
        <v>227840944.82587299</v>
      </c>
      <c r="F26" s="234">
        <v>18013297.6536</v>
      </c>
      <c r="G26" s="234">
        <v>869859510.11330903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71">
        <v>202988607.005263</v>
      </c>
      <c r="G31" s="111"/>
      <c r="H31" s="111"/>
      <c r="I31" s="111"/>
    </row>
    <row r="32" spans="2:15" ht="15" customHeight="1" x14ac:dyDescent="0.25">
      <c r="B32" s="81" t="s">
        <v>132</v>
      </c>
      <c r="C32" s="234">
        <v>408029398.87102902</v>
      </c>
      <c r="G32" s="111"/>
      <c r="H32" s="111"/>
      <c r="I32" s="111"/>
    </row>
    <row r="33" spans="2:19" ht="15" customHeight="1" x14ac:dyDescent="0.25">
      <c r="B33" s="81" t="s">
        <v>133</v>
      </c>
      <c r="C33" s="234">
        <v>108960185.688379</v>
      </c>
      <c r="G33" s="111"/>
      <c r="H33" s="111"/>
      <c r="I33" s="111"/>
    </row>
    <row r="34" spans="2:19" ht="15" customHeight="1" x14ac:dyDescent="0.25">
      <c r="B34" s="81" t="s">
        <v>134</v>
      </c>
      <c r="C34" s="234">
        <v>434096843.11135101</v>
      </c>
      <c r="G34" s="111"/>
      <c r="H34" s="111"/>
      <c r="I34" s="111"/>
    </row>
    <row r="35" spans="2:19" ht="15" customHeight="1" x14ac:dyDescent="0.25">
      <c r="B35" s="81" t="s">
        <v>135</v>
      </c>
      <c r="C35" s="234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227</v>
      </c>
      <c r="C40" s="270"/>
      <c r="D40" s="271"/>
      <c r="E40" s="66" t="s">
        <v>137</v>
      </c>
      <c r="F40" s="174">
        <f ca="1">IF(MONTH(TODAY())=9,DAY(TODAY())/DAY(EOMONTH(TODAY(),0)),IF(MONTH(TODAY())&gt;9,1,0))</f>
        <v>0.73333333333333328</v>
      </c>
      <c r="G40" s="192" t="s">
        <v>187</v>
      </c>
      <c r="H40" s="198">
        <v>0.95</v>
      </c>
      <c r="I40" s="201" t="s">
        <v>187</v>
      </c>
      <c r="J40" s="199">
        <v>1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2958880432.7472873</v>
      </c>
      <c r="F42" s="176">
        <f>IFERROR(E42/D42,0)</f>
        <v>0.65581133738320951</v>
      </c>
      <c r="G42" s="184">
        <f>D42*$H$40-E42</f>
        <v>1327316299.267139</v>
      </c>
      <c r="H42" s="184">
        <f ca="1">IFERROR(G42/$C$3,0)</f>
        <v>165914537.40839237</v>
      </c>
      <c r="I42" s="204">
        <f>D42*$J$40-E42</f>
        <v>1552905600.9521089</v>
      </c>
      <c r="J42" s="204">
        <f ca="1">IFERROR(I42/$C$3,0)</f>
        <v>194113200.11901361</v>
      </c>
      <c r="K42" s="185">
        <f>D42*$L$40-E42</f>
        <v>1552905600.9521089</v>
      </c>
      <c r="L42" s="185">
        <f ca="1">IFERROR(K42/$C$3,0)</f>
        <v>194113200.11901361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838688962.31374085</v>
      </c>
      <c r="F43" s="176">
        <f>IFERROR(E43/D43,0)</f>
        <v>0.59847989387240885</v>
      </c>
      <c r="G43" s="184">
        <f>D43*$H$40-E43</f>
        <v>492608082.6759032</v>
      </c>
      <c r="H43" s="184">
        <f ca="1">IFERROR(G43/$C$3,0)</f>
        <v>61576010.3344879</v>
      </c>
      <c r="I43" s="204">
        <f>D43*$J$40-E43</f>
        <v>562676348.2016741</v>
      </c>
      <c r="J43" s="204">
        <f ca="1">IFERROR(I43/$C$3,0)</f>
        <v>70334543.525209263</v>
      </c>
      <c r="K43" s="185">
        <f>D43*$L$40-E43</f>
        <v>562676348.2016741</v>
      </c>
      <c r="L43" s="185">
        <f ca="1">IFERROR(K43/$C$3,0)</f>
        <v>70334543.525209263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2015978884.8363087</v>
      </c>
      <c r="F44" s="176">
        <f>IFERROR(E44/D44,0)</f>
        <v>0.68458610643402895</v>
      </c>
      <c r="G44" s="184">
        <f>IF(D44=0,0,D44*$H$40-E44)</f>
        <v>781594601.67594218</v>
      </c>
      <c r="H44" s="184">
        <f ca="1">IFERROR(G44/$C$3,0)</f>
        <v>97699325.209492773</v>
      </c>
      <c r="I44" s="204">
        <f>IF(D44=0,0,D44*$J$40-E44)</f>
        <v>928835311.49237657</v>
      </c>
      <c r="J44" s="204">
        <f ca="1">IFERROR(I44/$C$3,0)</f>
        <v>116104413.93654707</v>
      </c>
      <c r="K44" s="185">
        <f>IF(D44=0,0,D44*$L$40-E44)</f>
        <v>928835311.49237657</v>
      </c>
      <c r="L44" s="185">
        <f ca="1">IFERROR(K44/$C$3,0)</f>
        <v>116104413.93654707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1154075034.6760221</v>
      </c>
      <c r="F45" s="176">
        <f>IFERROR(E45/D45,0)</f>
        <v>0.66309934755223765</v>
      </c>
      <c r="G45" s="184">
        <f>D45*$H$40-E45</f>
        <v>499329220.64312673</v>
      </c>
      <c r="H45" s="184">
        <f ca="1">IFERROR(G45/$C$3,0)</f>
        <v>62416152.580390841</v>
      </c>
      <c r="I45" s="204">
        <f>D45*$J$40-E45</f>
        <v>586350497.23887157</v>
      </c>
      <c r="J45" s="204">
        <f ca="1">IFERROR(I45/$C$3,0)</f>
        <v>73293812.154858947</v>
      </c>
      <c r="K45" s="185">
        <f>D45*$L$40-E45</f>
        <v>586350497.23887157</v>
      </c>
      <c r="L45" s="185">
        <f ca="1">IFERROR(K45/$C$3,0)</f>
        <v>73293812.154858947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10598391072.458391</v>
      </c>
      <c r="E46" s="47">
        <f>SUM(E42:E45)</f>
        <v>6967623314.5733585</v>
      </c>
      <c r="F46" s="177">
        <f>IFERROR(E46/D46,0)</f>
        <v>0.65742274152157287</v>
      </c>
      <c r="G46" s="181">
        <f>SUM(G42:G45)</f>
        <v>3100848204.2621107</v>
      </c>
      <c r="H46" s="181">
        <f ca="1">IFERROR(G46/$C$3,0)</f>
        <v>387606025.53276384</v>
      </c>
      <c r="I46" s="186">
        <f>SUM(I42:I45)</f>
        <v>3630767757.8850307</v>
      </c>
      <c r="J46" s="186">
        <f ca="1">IFERROR(I46/$C$3,0)</f>
        <v>453845969.73562884</v>
      </c>
      <c r="K46" s="186">
        <f>SUM(K42:K45)</f>
        <v>3630767757.8850307</v>
      </c>
      <c r="L46" s="186">
        <f ca="1">IFERROR(K46/$C$3,0)</f>
        <v>453845969.73562884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213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95%</v>
      </c>
      <c r="N49" s="263" t="str">
        <f>"PER HARI"&amp;CHAR(10)&amp;TEXT($H$40,"0%")</f>
        <v>PER HARI
95%</v>
      </c>
      <c r="O49" s="265" t="str">
        <f>"SELISIH"&amp;CHAR(10)&amp;TEXT($J$40,"0%")</f>
        <v>SELISIH
100%</v>
      </c>
      <c r="P49" s="265" t="str">
        <f>"PER HARI"&amp;CHAR(10)&amp;TEXT($J$40,"0%")</f>
        <v>PER HARI
100%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>SUMIF($B$10:$B$26,$T51,C$10:C$26)+SUMIF($B$10:$B$26,$U51,C$10:C$26)</f>
        <v>212724104.35944599</v>
      </c>
      <c r="I51" s="114">
        <f t="shared" ref="I51:I64" si="1">SUMIF($B$10:$B$26,$T51,D$10:D$26)+SUMIF($B$10:$B$26,$U51,D$10:D$26)</f>
        <v>41095408.883458003</v>
      </c>
      <c r="J51" s="114">
        <f t="shared" ref="J51:J64" si="2">SUMIF($B$10:$B$26,$T51,E$10:E$26)+SUMIF($B$10:$B$26,$U51,E$10:E$26)</f>
        <v>121013203.27980299</v>
      </c>
      <c r="K51" s="114">
        <f t="shared" ref="K51:K64" si="3">SUM(H51:J51)</f>
        <v>374832716.52270699</v>
      </c>
      <c r="L51" s="187">
        <f t="shared" ref="L51:L65" si="4">IFERROR(K51/G51,0)</f>
        <v>0.72872547746636118</v>
      </c>
      <c r="M51" s="184">
        <f t="shared" ref="M51:M64" si="5">G51*$H$40-K51</f>
        <v>113816427.36976683</v>
      </c>
      <c r="N51" s="184">
        <f t="shared" ref="N51:N65" ca="1" si="6">IFERROR(M51/$C$3,0)</f>
        <v>14227053.421220854</v>
      </c>
      <c r="O51" s="180">
        <f t="shared" ref="O51:O64" si="7">G51*$J$40-K51</f>
        <v>139534803.36410761</v>
      </c>
      <c r="P51" s="180">
        <f t="shared" ref="P51:P65" ca="1" si="8">IFERROR(O51/$C$3,0)</f>
        <v>17441850.420513451</v>
      </c>
      <c r="Q51" s="185">
        <f t="shared" ref="Q51:Q64" si="9">G51*$L$40-K51</f>
        <v>139534803.36410761</v>
      </c>
      <c r="R51" s="185">
        <f t="shared" ref="R51:R65" ca="1" si="10">IFERROR(Q51/$C$3,0)</f>
        <v>17441850.420513451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ref="H52:H64" si="11">SUMIF($B$10:$B$26,$T52,C$10:C$26)+SUMIF($B$10:$B$26,$U52,C$10:C$26)</f>
        <v>165303880.21731499</v>
      </c>
      <c r="I52" s="114">
        <f t="shared" si="1"/>
        <v>82209647.871498004</v>
      </c>
      <c r="J52" s="114">
        <f t="shared" si="2"/>
        <v>290624013.76925802</v>
      </c>
      <c r="K52" s="114">
        <f t="shared" si="3"/>
        <v>538137541.85807109</v>
      </c>
      <c r="L52" s="187">
        <f t="shared" si="4"/>
        <v>0.68506834048785004</v>
      </c>
      <c r="M52" s="184">
        <f t="shared" si="5"/>
        <v>208110145.49106336</v>
      </c>
      <c r="N52" s="184">
        <f t="shared" ca="1" si="6"/>
        <v>26013768.18638292</v>
      </c>
      <c r="O52" s="180">
        <f t="shared" si="7"/>
        <v>247386339.56207049</v>
      </c>
      <c r="P52" s="180">
        <f t="shared" ca="1" si="8"/>
        <v>30923292.445258811</v>
      </c>
      <c r="Q52" s="185">
        <f t="shared" si="9"/>
        <v>247386339.56207049</v>
      </c>
      <c r="R52" s="185">
        <f t="shared" ca="1" si="10"/>
        <v>30923292.445258811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1"/>
        <v>57858708.960000001</v>
      </c>
      <c r="I53" s="114">
        <f t="shared" si="1"/>
        <v>0</v>
      </c>
      <c r="J53" s="114">
        <f t="shared" si="2"/>
        <v>0</v>
      </c>
      <c r="K53" s="114">
        <f t="shared" si="3"/>
        <v>57858708.960000001</v>
      </c>
      <c r="L53" s="187">
        <f t="shared" si="4"/>
        <v>0.22003432492700731</v>
      </c>
      <c r="M53" s="184">
        <f t="shared" si="5"/>
        <v>191946740.84986019</v>
      </c>
      <c r="N53" s="184">
        <f t="shared" ca="1" si="6"/>
        <v>23993342.606232524</v>
      </c>
      <c r="O53" s="180">
        <f t="shared" si="7"/>
        <v>205094396.10301074</v>
      </c>
      <c r="P53" s="180">
        <f t="shared" ca="1" si="8"/>
        <v>25636799.512876343</v>
      </c>
      <c r="Q53" s="185">
        <f t="shared" si="9"/>
        <v>205094396.10301074</v>
      </c>
      <c r="R53" s="185">
        <f t="shared" ca="1" si="10"/>
        <v>25636799.512876343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1"/>
        <v>396973429.52460003</v>
      </c>
      <c r="I54" s="114">
        <f t="shared" si="1"/>
        <v>37481186.411467001</v>
      </c>
      <c r="J54" s="114">
        <f t="shared" si="2"/>
        <v>117286536.1999</v>
      </c>
      <c r="K54" s="114">
        <f t="shared" si="3"/>
        <v>551741152.13596702</v>
      </c>
      <c r="L54" s="187">
        <f t="shared" si="4"/>
        <v>0.75927144202528596</v>
      </c>
      <c r="M54" s="184">
        <f t="shared" si="5"/>
        <v>138597066.21060526</v>
      </c>
      <c r="N54" s="184">
        <f t="shared" ca="1" si="6"/>
        <v>17324633.276325658</v>
      </c>
      <c r="O54" s="180">
        <f t="shared" si="7"/>
        <v>174930656.64989853</v>
      </c>
      <c r="P54" s="180">
        <f t="shared" ca="1" si="8"/>
        <v>21866332.081237316</v>
      </c>
      <c r="Q54" s="185">
        <f t="shared" si="9"/>
        <v>174930656.64989853</v>
      </c>
      <c r="R54" s="185">
        <f t="shared" ca="1" si="10"/>
        <v>21866332.081237316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1"/>
        <v>4173423.4199979999</v>
      </c>
      <c r="I55" s="114">
        <f t="shared" si="1"/>
        <v>16503315.6</v>
      </c>
      <c r="J55" s="114">
        <f t="shared" si="2"/>
        <v>199157658.6392</v>
      </c>
      <c r="K55" s="114">
        <f t="shared" si="3"/>
        <v>219834397.65919799</v>
      </c>
      <c r="L55" s="187">
        <f t="shared" si="4"/>
        <v>0.40922187009123739</v>
      </c>
      <c r="M55" s="184">
        <f t="shared" si="5"/>
        <v>290506551.93295336</v>
      </c>
      <c r="N55" s="184">
        <f t="shared" ca="1" si="6"/>
        <v>36313318.99161917</v>
      </c>
      <c r="O55" s="180">
        <f t="shared" si="7"/>
        <v>317366601.91148764</v>
      </c>
      <c r="P55" s="180">
        <f t="shared" ca="1" si="8"/>
        <v>39670825.238935955</v>
      </c>
      <c r="Q55" s="185">
        <f t="shared" si="9"/>
        <v>317366601.91148764</v>
      </c>
      <c r="R55" s="185">
        <f t="shared" ca="1" si="10"/>
        <v>39670825.238935955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226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1"/>
        <v>148754687.584483</v>
      </c>
      <c r="I56" s="114">
        <f t="shared" si="1"/>
        <v>42615344.709941</v>
      </c>
      <c r="J56" s="114">
        <f t="shared" si="2"/>
        <v>126094298.448173</v>
      </c>
      <c r="K56" s="114">
        <f t="shared" si="3"/>
        <v>317464330.74259698</v>
      </c>
      <c r="L56" s="187">
        <f t="shared" si="4"/>
        <v>0.55216374597329054</v>
      </c>
      <c r="M56" s="184">
        <f t="shared" si="5"/>
        <v>228734358.33261049</v>
      </c>
      <c r="N56" s="184">
        <f t="shared" ca="1" si="6"/>
        <v>28591794.791576311</v>
      </c>
      <c r="O56" s="180">
        <f t="shared" si="7"/>
        <v>257481657.75762141</v>
      </c>
      <c r="P56" s="180">
        <f t="shared" ca="1" si="8"/>
        <v>32185207.219702676</v>
      </c>
      <c r="Q56" s="185">
        <f t="shared" si="9"/>
        <v>257481657.75762141</v>
      </c>
      <c r="R56" s="185">
        <f t="shared" ca="1" si="10"/>
        <v>32185207.219702676</v>
      </c>
      <c r="T56" t="s">
        <v>225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1"/>
        <v>371501562.66268098</v>
      </c>
      <c r="I57" s="114">
        <f t="shared" si="1"/>
        <v>36300643.119926997</v>
      </c>
      <c r="J57" s="114">
        <f t="shared" si="2"/>
        <v>255160812.04951999</v>
      </c>
      <c r="K57" s="114">
        <f t="shared" si="3"/>
        <v>662963017.83212793</v>
      </c>
      <c r="L57" s="187">
        <f t="shared" si="4"/>
        <v>0.59770333746949844</v>
      </c>
      <c r="M57" s="184">
        <f t="shared" si="5"/>
        <v>390761844.41638136</v>
      </c>
      <c r="N57" s="184">
        <f t="shared" ca="1" si="6"/>
        <v>48845230.55204767</v>
      </c>
      <c r="O57" s="180">
        <f t="shared" si="7"/>
        <v>446221047.69261873</v>
      </c>
      <c r="P57" s="180">
        <f t="shared" ca="1" si="8"/>
        <v>55777630.961577341</v>
      </c>
      <c r="Q57" s="185">
        <f t="shared" si="9"/>
        <v>446221047.69261873</v>
      </c>
      <c r="R57" s="185">
        <f t="shared" ca="1" si="10"/>
        <v>55777630.961577341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1"/>
        <v>201386818.38223299</v>
      </c>
      <c r="I58" s="114">
        <f t="shared" si="1"/>
        <v>54608591.209964</v>
      </c>
      <c r="J58" s="114">
        <f t="shared" si="2"/>
        <v>150961804.00620899</v>
      </c>
      <c r="K58" s="114">
        <f t="shared" si="3"/>
        <v>406957213.59840596</v>
      </c>
      <c r="L58" s="187">
        <f t="shared" si="4"/>
        <v>0.66217032346155302</v>
      </c>
      <c r="M58" s="184">
        <f t="shared" si="5"/>
        <v>176894613.06977141</v>
      </c>
      <c r="N58" s="184">
        <f t="shared" ca="1" si="6"/>
        <v>22111826.633721426</v>
      </c>
      <c r="O58" s="180">
        <f t="shared" si="7"/>
        <v>207623656.57862294</v>
      </c>
      <c r="P58" s="180">
        <f t="shared" ca="1" si="8"/>
        <v>25952957.072327867</v>
      </c>
      <c r="Q58" s="185">
        <f t="shared" si="9"/>
        <v>207623656.57862294</v>
      </c>
      <c r="R58" s="185">
        <f t="shared" ca="1" si="10"/>
        <v>25952957.072327867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1"/>
        <v>188527227.16</v>
      </c>
      <c r="I59" s="114">
        <f t="shared" si="1"/>
        <v>0</v>
      </c>
      <c r="J59" s="114">
        <f t="shared" si="2"/>
        <v>0</v>
      </c>
      <c r="K59" s="114">
        <f t="shared" si="3"/>
        <v>188527227.16</v>
      </c>
      <c r="L59" s="187">
        <f t="shared" si="4"/>
        <v>0.42475751322201688</v>
      </c>
      <c r="M59" s="184">
        <f t="shared" si="5"/>
        <v>233127152.63759902</v>
      </c>
      <c r="N59" s="184">
        <f t="shared" ca="1" si="6"/>
        <v>29140894.079699878</v>
      </c>
      <c r="O59" s="180">
        <f t="shared" si="7"/>
        <v>255319488.41642001</v>
      </c>
      <c r="P59" s="180">
        <f t="shared" ca="1" si="8"/>
        <v>31914936.052052502</v>
      </c>
      <c r="Q59" s="185">
        <f t="shared" si="9"/>
        <v>255319488.41642001</v>
      </c>
      <c r="R59" s="185">
        <f t="shared" ca="1" si="10"/>
        <v>31914936.052052502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1"/>
        <v>233723045.560087</v>
      </c>
      <c r="I60" s="114">
        <f t="shared" si="1"/>
        <v>75195779.136546999</v>
      </c>
      <c r="J60" s="114">
        <f t="shared" si="2"/>
        <v>77460806.632578999</v>
      </c>
      <c r="K60" s="114">
        <f t="shared" si="3"/>
        <v>386379631.32921302</v>
      </c>
      <c r="L60" s="187">
        <f t="shared" si="4"/>
        <v>0.66710778996692532</v>
      </c>
      <c r="M60" s="184">
        <f t="shared" si="5"/>
        <v>163847266.45735145</v>
      </c>
      <c r="N60" s="184">
        <f t="shared" ca="1" si="6"/>
        <v>20480908.307168931</v>
      </c>
      <c r="O60" s="180">
        <f t="shared" si="7"/>
        <v>192806576.86717069</v>
      </c>
      <c r="P60" s="180">
        <f t="shared" ca="1" si="8"/>
        <v>24100822.108396336</v>
      </c>
      <c r="Q60" s="185">
        <f t="shared" si="9"/>
        <v>192806576.86717069</v>
      </c>
      <c r="R60" s="185">
        <f t="shared" ca="1" si="10"/>
        <v>24100822.108396336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1"/>
        <v>357807886.12938398</v>
      </c>
      <c r="I61" s="114">
        <f t="shared" si="1"/>
        <v>53379470.924923003</v>
      </c>
      <c r="J61" s="114">
        <f t="shared" si="2"/>
        <v>159507956.34990701</v>
      </c>
      <c r="K61" s="114">
        <f t="shared" si="3"/>
        <v>570695313.40421402</v>
      </c>
      <c r="L61" s="187">
        <f t="shared" si="4"/>
        <v>0.79640112511213967</v>
      </c>
      <c r="M61" s="184">
        <f t="shared" si="5"/>
        <v>110067848.07130837</v>
      </c>
      <c r="N61" s="184">
        <f t="shared" ca="1" si="6"/>
        <v>13758481.008913547</v>
      </c>
      <c r="O61" s="180">
        <f t="shared" si="7"/>
        <v>145897488.1489675</v>
      </c>
      <c r="P61" s="180">
        <f t="shared" ca="1" si="8"/>
        <v>18237186.018620938</v>
      </c>
      <c r="Q61" s="185">
        <f t="shared" si="9"/>
        <v>145897488.1489675</v>
      </c>
      <c r="R61" s="185">
        <f t="shared" ca="1" si="10"/>
        <v>18237186.018620938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1"/>
        <v>117222800.908739</v>
      </c>
      <c r="I62" s="114">
        <f t="shared" si="1"/>
        <v>31388455.192899998</v>
      </c>
      <c r="J62" s="114">
        <f t="shared" si="2"/>
        <v>173196225.567045</v>
      </c>
      <c r="K62" s="114">
        <f t="shared" si="3"/>
        <v>321807481.66868401</v>
      </c>
      <c r="L62" s="187">
        <f t="shared" si="4"/>
        <v>0.67461591561427448</v>
      </c>
      <c r="M62" s="184">
        <f t="shared" si="5"/>
        <v>131364613.01407743</v>
      </c>
      <c r="N62" s="184">
        <f t="shared" ca="1" si="6"/>
        <v>16420576.626759678</v>
      </c>
      <c r="O62" s="180">
        <f t="shared" si="7"/>
        <v>155215775.8921175</v>
      </c>
      <c r="P62" s="180">
        <f t="shared" ca="1" si="8"/>
        <v>19401971.986514688</v>
      </c>
      <c r="Q62" s="185">
        <f t="shared" si="9"/>
        <v>155215775.8921175</v>
      </c>
      <c r="R62" s="185">
        <f t="shared" ca="1" si="10"/>
        <v>19401971.986514688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1"/>
        <v>398672594.47329497</v>
      </c>
      <c r="I63" s="114">
        <f t="shared" si="1"/>
        <v>225332673.160541</v>
      </c>
      <c r="J63" s="114">
        <f t="shared" si="2"/>
        <v>227840944.82587299</v>
      </c>
      <c r="K63" s="114">
        <f t="shared" si="3"/>
        <v>851846212.45970905</v>
      </c>
      <c r="L63" s="187">
        <f t="shared" si="4"/>
        <v>0.87014181665139334</v>
      </c>
      <c r="M63" s="184">
        <f t="shared" si="5"/>
        <v>78179084.969407082</v>
      </c>
      <c r="N63" s="184">
        <f t="shared" ca="1" si="6"/>
        <v>9772385.6211758852</v>
      </c>
      <c r="O63" s="180">
        <f t="shared" si="7"/>
        <v>127127784.8340975</v>
      </c>
      <c r="P63" s="180">
        <f t="shared" ca="1" si="8"/>
        <v>15890973.104262188</v>
      </c>
      <c r="Q63" s="185">
        <f t="shared" si="9"/>
        <v>127127784.8340975</v>
      </c>
      <c r="R63" s="185">
        <f t="shared" ca="1" si="10"/>
        <v>15890973.104262188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1"/>
        <v>104250263.40502599</v>
      </c>
      <c r="I64" s="114">
        <f t="shared" si="1"/>
        <v>142578446.09257498</v>
      </c>
      <c r="J64" s="114">
        <f t="shared" si="2"/>
        <v>117674625.06884199</v>
      </c>
      <c r="K64" s="114">
        <f t="shared" si="3"/>
        <v>364503334.56644297</v>
      </c>
      <c r="L64" s="187">
        <f t="shared" si="4"/>
        <v>0.67888547579184677</v>
      </c>
      <c r="M64" s="184">
        <f t="shared" si="5"/>
        <v>145565270.79622823</v>
      </c>
      <c r="N64" s="184">
        <f t="shared" ca="1" si="6"/>
        <v>18195658.849528529</v>
      </c>
      <c r="O64" s="180">
        <f t="shared" si="7"/>
        <v>172410986.86794782</v>
      </c>
      <c r="P64" s="180">
        <f t="shared" ca="1" si="8"/>
        <v>21551373.358493477</v>
      </c>
      <c r="Q64" s="185">
        <f t="shared" si="9"/>
        <v>172410986.86794782</v>
      </c>
      <c r="R64" s="185">
        <f t="shared" ca="1" si="10"/>
        <v>21551373.358493477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2958880432.7472873</v>
      </c>
      <c r="I65" s="135">
        <f t="shared" si="12"/>
        <v>838688962.31374085</v>
      </c>
      <c r="J65" s="135">
        <f t="shared" si="12"/>
        <v>2015978884.8363087</v>
      </c>
      <c r="K65" s="135">
        <f t="shared" si="12"/>
        <v>5813548279.897337</v>
      </c>
      <c r="L65" s="189">
        <f t="shared" si="4"/>
        <v>0.65630739398209903</v>
      </c>
      <c r="M65" s="181">
        <f>SUM(M51:M64)</f>
        <v>2601518983.6189842</v>
      </c>
      <c r="N65" s="181">
        <f t="shared" ca="1" si="6"/>
        <v>325189872.95237303</v>
      </c>
      <c r="O65" s="181">
        <f>SUM(O51:O64)</f>
        <v>3044417260.6461592</v>
      </c>
      <c r="P65" s="181">
        <f t="shared" ca="1" si="8"/>
        <v>380552157.5807699</v>
      </c>
      <c r="Q65" s="186">
        <f>SUM(Q51:Q64)</f>
        <v>3044417260.6461592</v>
      </c>
      <c r="R65" s="186">
        <f t="shared" ca="1" si="10"/>
        <v>380552157.5807699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202988607.005263</v>
      </c>
      <c r="F69" s="187">
        <f t="shared" ref="F69:F74" si="13">IFERROR(E69/D69,0)</f>
        <v>0.79212746704900239</v>
      </c>
      <c r="G69" s="184">
        <f>D69*$H$40-E69</f>
        <v>40456021.134453386</v>
      </c>
      <c r="H69" s="184">
        <f t="shared" ref="H69:H74" ca="1" si="14">IFERROR(G69/$C$3,0)</f>
        <v>5057002.6418066733</v>
      </c>
      <c r="I69" s="204">
        <f>D69*$J$40-E69</f>
        <v>53268896.299701631</v>
      </c>
      <c r="J69" s="204">
        <f t="shared" ref="J69:J74" ca="1" si="15">IFERROR(I69/$C$3,0)</f>
        <v>6658612.0374627039</v>
      </c>
      <c r="K69" s="185">
        <f>D69*$L$40-E69</f>
        <v>53268896.299701631</v>
      </c>
      <c r="L69" s="185">
        <f t="shared" ref="L69:L74" ca="1" si="16">IFERROR(K69/$C$3,0)</f>
        <v>6658612.0374627039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408029398.87102902</v>
      </c>
      <c r="F70" s="187">
        <f t="shared" si="13"/>
        <v>1.0212008715251348</v>
      </c>
      <c r="G70" s="184">
        <f>D70*$H$40-E70</f>
        <v>-28448907.18131268</v>
      </c>
      <c r="H70" s="184">
        <f t="shared" ca="1" si="14"/>
        <v>-3556113.397664085</v>
      </c>
      <c r="I70" s="204">
        <f>D70*$J$40-E70</f>
        <v>-8470986.5660644174</v>
      </c>
      <c r="J70" s="204">
        <f t="shared" ca="1" si="15"/>
        <v>-1058873.3207580522</v>
      </c>
      <c r="K70" s="185">
        <f>D70*$L$40-E70</f>
        <v>-8470986.5660644174</v>
      </c>
      <c r="L70" s="185">
        <f t="shared" ca="1" si="16"/>
        <v>-1058873.3207580522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543057028.79973006</v>
      </c>
      <c r="F71" s="187">
        <f t="shared" si="13"/>
        <v>0.50069354045542247</v>
      </c>
      <c r="G71" s="184">
        <f>D71*$H$40-E71</f>
        <v>487322106.68998623</v>
      </c>
      <c r="H71" s="184">
        <f t="shared" ca="1" si="14"/>
        <v>60915263.336248279</v>
      </c>
      <c r="I71" s="204">
        <f>D71*$J$40-E71</f>
        <v>541552587.50523448</v>
      </c>
      <c r="J71" s="204">
        <f t="shared" ca="1" si="15"/>
        <v>67694073.43815431</v>
      </c>
      <c r="K71" s="185">
        <f>D71*$L$40-E71</f>
        <v>541552587.50523448</v>
      </c>
      <c r="L71" s="185">
        <f t="shared" ca="1" si="16"/>
        <v>67694073.43815431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1154075034.6760221</v>
      </c>
      <c r="F74" s="177">
        <f t="shared" si="13"/>
        <v>0.66309934755223765</v>
      </c>
      <c r="G74" s="181">
        <f>SUM(G69:G73)</f>
        <v>499329220.64312696</v>
      </c>
      <c r="H74" s="181">
        <f t="shared" ca="1" si="14"/>
        <v>62416152.580390871</v>
      </c>
      <c r="I74" s="186">
        <f>SUM(I69:I73)</f>
        <v>586350497.23887169</v>
      </c>
      <c r="J74" s="186">
        <f t="shared" ca="1" si="15"/>
        <v>73293812.154858962</v>
      </c>
      <c r="K74" s="186">
        <f>SUM(K69:K73)</f>
        <v>586350497.23887169</v>
      </c>
      <c r="L74" s="186">
        <f t="shared" ca="1" si="16"/>
        <v>73293812.154858962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305992102.95987999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127390960.91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8"/>
        <v>7027026.8399999999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320372564.56976998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8"/>
        <v>40335405.060000002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760950711.77996898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246882618.74950501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8"/>
        <v>9813783.5199999996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39783784.579999998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468670407.23952502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122621117.86994299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18013297.6536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125671894.618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2593525676.3501921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163</v>
      </c>
      <c r="C40" s="270"/>
      <c r="D40" s="271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175</v>
      </c>
      <c r="C40" s="270"/>
      <c r="D40" s="271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177</v>
      </c>
      <c r="C40" s="270"/>
      <c r="D40" s="271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2026-09-19T00:41:51Z</cp:lastPrinted>
  <dcterms:created xsi:type="dcterms:W3CDTF">2026-03-24T08:59:20Z</dcterms:created>
  <dcterms:modified xsi:type="dcterms:W3CDTF">2026-09-22T00:49:05Z</dcterms:modified>
  <dc:language>en-US</dc:language>
</cp:coreProperties>
</file>