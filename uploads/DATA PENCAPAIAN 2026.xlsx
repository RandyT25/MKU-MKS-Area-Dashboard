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<sst xmlns="http://schemas.openxmlformats.org/spreadsheetml/2006/main" count="2122" uniqueCount="228">
  <si>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</si>
  <si>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</si>
  <si>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</si>
  <si>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</si>
  <si>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</si>
  <si>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</si>
  <si>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</si>
  <si>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</si>
  <si>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</si>
  <si>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</si>
  <si>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</si>
  <si>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</si>
  <si>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</si>
  <si>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</si>
  <si>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</si>
  <si>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</si>
  <si>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</si>
  <si>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</si>
  <si>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</si>
  <si>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</si>
  <si>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</si>
  <si>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</si>
  <si>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</si>
  <si>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</si>
  <si>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</si>
  <si>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</si>
  <si>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</si>
  <si>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</si>
  <si>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</si>
  <si>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</si>
  <si>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</si>
  <si>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</si>
  <si>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</si>
  <si>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</si>
  <si>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</si>
  <si>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</si>
  <si>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</si>
  <si>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</si>
  <si>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</si>
  <si>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</si>
  <si>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</si>
  <si>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</si>
  <si>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</si>
  <si>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</si>
  <si>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</si>
  <si>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</si>
  <si>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</si>
  <si>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</si>
  <si>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</si>
  <si>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</si>
  <si>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</si>
  <si>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</si>
  <si>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</si>
  <si>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</si>
  <si>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</si>
  <si>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</si>
  <si>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</si>
  <si>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</si>
  <si>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</si>
  <si>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</si>
  <si>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</si>
  <si>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</si>
  <si>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</si>
  <si>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</si>
  <si>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</si>
  <si>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</si>
  <si>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</si>
  <si>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</si>
  <si>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</si>
  <si>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</si>
  <si>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</si>
  <si>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</si>
  <si>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</si>
  <si>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</si>
  <si>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</si>
  <si>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</si>
  <si>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</si>
  <si>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</si>
  <si>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</si>
  <si>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</si>
  <si>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</si>
  <si>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</si>
  <si>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</si>
  <si>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</si>
  <si>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</si>
  <si>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</si>
  <si>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</si>
  <si>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</si>
  <si>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</si>
  <si>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</si>
  <si>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</si>
  <si>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</si>
  <si>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</si>
  <si>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</si>
  <si>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</si>
  <si>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</si>
  <si>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</si>
  <si>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</si>
  <si>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</si>
  <si>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</si>
  <si>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</si>
  <si>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</si>
  <si>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</si>
  <si>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</si>
  <si>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</si>
  <si>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</si>
  <si>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</si>
  <si>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</si>
  <si>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</si>
  <si>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</si>
  <si>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</si>
  <si>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</si>
  <si>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</si>
  <si>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</si>
  <si>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</si>
  <si>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</si>
  <si>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</si>
  <si>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</si>
  <si>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</si>
  <si>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</si>
  <si>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</si>
  <si>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</si>
  <si>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</si>
  <si>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</si>
  <si>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</si>
  <si>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</si>
  <si>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</si>
  <si>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</si>
  <si>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</si>
  <si>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</si>
  <si>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</si>
  <si>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</si>
  <si>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</si>
  <si>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</si>
  <si>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</si>
  <si>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</si>
  <si>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</si>
  <si>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</si>
  <si>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</si>
  <si>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</si>
  <si>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</si>
  <si>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</si>
  <si>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</si>
  <si>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</si>
  <si>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</si>
  <si>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</si>
  <si>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</si>
  <si>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</si>
  <si>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</si>
  <si>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</si>
  <si>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</si>
  <si>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</si>
  <si>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</si>
  <si>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</si>
  <si>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</si>
  <si>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</si>
  <si>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</si>
  <si>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</si>
  <si>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</si>
  <si>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</si>
  <si>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</si>
  <si>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</si>
  <si>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</si>
  <si>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</si>
  <si>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</si>
  <si>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</si>
  <si>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</si>
  <si>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</si>
  <si>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</si>
  <si>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</si>
  <si>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</si>
  <si>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</si>
  <si>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</si>
  <si>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</si>
  <si>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</si>
  <si>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</si>
  <si>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</si>
  <si>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</si>
  <si>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</si>
  <si>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</si>
  <si>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</si>
  <si>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</si>
  <si>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</si>
  <si>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</si>
  <si>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</si>
  <si>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</si>
  <si>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</si>
  <si>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</si>
  <si>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</si>
  <si>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</si>
  <si>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</si>
  <si>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</si>
  <si>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</si>
  <si>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</si>
  <si>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</si>
  <si>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</si>
  <si>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</si>
  <si>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</si>
  <si>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</si>
  <si>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</si>
  <si>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</si>
  <si>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</si>
  <si>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</si>
  <si>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</si>
  <si>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</si>
  <si>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</si>
  <si>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</si>
  <si>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</si>
  <si>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</si>
  <si>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</si>
  <si>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</si>
  <si>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</si>
  <si>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</si>
  <si>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</si>
  <si>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</si>
  <si>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</si>
  <si>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</si>
  <si>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</si>
  <si>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</si>
  <si>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</si>
  <si>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</si>
  <si>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</si>
  <si>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</si>
  <si>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</si>
  <si>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</si>
  <si>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</si>
  <si>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</si>
  <si>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7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</si>
</sst>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6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7" t="s">
        <v>0</v>
      </c>
      <c r="C1" s="237"/>
    </row>
    <row r="3" spans="2:3" x14ac:dyDescent="0.25">
      <c r="B3" s="238" t="s">
        <v>1</v>
      </c>
      <c r="C3" s="23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9" t="s">
        <v>14</v>
      </c>
      <c r="C11" s="23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8" t="s">
        <v>28</v>
      </c>
      <c r="C3" s="238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0" t="s">
        <v>102</v>
      </c>
      <c r="C29" s="240"/>
      <c r="D29" s="240"/>
      <c r="E29" s="240"/>
      <c r="F29" s="240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145</v>
      </c>
      <c r="C44" s="246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7" t="s">
        <v>41</v>
      </c>
      <c r="C47" s="247" t="s">
        <v>42</v>
      </c>
      <c r="D47" s="248" t="s">
        <v>137</v>
      </c>
      <c r="E47" s="249"/>
      <c r="F47" s="250"/>
      <c r="G47" s="98" t="s">
        <v>138</v>
      </c>
      <c r="H47" s="98"/>
      <c r="I47" s="98"/>
      <c r="J47" s="247" t="s">
        <v>139</v>
      </c>
      <c r="K47" s="99" t="s">
        <v>147</v>
      </c>
      <c r="L47" s="99"/>
      <c r="M47" s="99"/>
      <c r="N47" s="244" t="s">
        <v>148</v>
      </c>
    </row>
    <row r="48" spans="2:14" ht="15.75" x14ac:dyDescent="0.25">
      <c r="B48" s="247"/>
      <c r="C48" s="247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7"/>
      <c r="K48" s="101" t="s">
        <v>142</v>
      </c>
      <c r="L48" s="101" t="s">
        <v>110</v>
      </c>
      <c r="M48" s="101" t="s">
        <v>145</v>
      </c>
      <c r="N48" s="244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1" t="s">
        <v>144</v>
      </c>
      <c r="C63" s="242"/>
      <c r="D63" s="242"/>
      <c r="E63" s="242"/>
      <c r="F63" s="242"/>
      <c r="G63" s="242"/>
      <c r="H63" s="243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8" t="s">
        <v>145</v>
      </c>
      <c r="C44" s="259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0" t="s">
        <v>41</v>
      </c>
      <c r="C47" s="260" t="s">
        <v>42</v>
      </c>
      <c r="D47" s="255" t="s">
        <v>137</v>
      </c>
      <c r="E47" s="256"/>
      <c r="F47" s="257"/>
      <c r="G47" s="69" t="s">
        <v>138</v>
      </c>
      <c r="H47" s="69"/>
      <c r="I47" s="69"/>
      <c r="J47" s="260" t="s">
        <v>139</v>
      </c>
      <c r="K47" s="35" t="s">
        <v>147</v>
      </c>
      <c r="L47" s="35"/>
      <c r="M47" s="35"/>
      <c r="N47" s="254" t="s">
        <v>148</v>
      </c>
    </row>
    <row r="48" spans="2:17" ht="15.75" x14ac:dyDescent="0.25">
      <c r="B48" s="260"/>
      <c r="C48" s="260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0"/>
      <c r="K48" s="34" t="s">
        <v>142</v>
      </c>
      <c r="L48" s="34" t="s">
        <v>110</v>
      </c>
      <c r="M48" s="34" t="s">
        <v>145</v>
      </c>
      <c r="N48" s="254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1" t="s">
        <v>144</v>
      </c>
      <c r="C63" s="252"/>
      <c r="D63" s="252"/>
      <c r="E63" s="252"/>
      <c r="F63" s="252"/>
      <c r="G63" s="252"/>
      <c r="H63" s="253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1" t="s">
        <v>177</v>
      </c>
      <c r="C41" s="262"/>
      <c r="D41" s="263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8" t="s">
        <v>145</v>
      </c>
      <c r="C46" s="259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  <c r="Q48"/>
      <c r="R48"/>
    </row>
    <row r="49" spans="2:18" s="139" customFormat="1" ht="33.950000000000003" customHeight="1" x14ac:dyDescent="0.25">
      <c r="B49" s="269" t="s">
        <v>41</v>
      </c>
      <c r="C49" s="269" t="s">
        <v>42</v>
      </c>
      <c r="D49" s="266" t="s">
        <v>137</v>
      </c>
      <c r="E49" s="267"/>
      <c r="F49" s="268"/>
      <c r="G49" s="140" t="s">
        <v>138</v>
      </c>
      <c r="H49" s="140"/>
      <c r="I49" s="140"/>
      <c r="J49" s="266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8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9"/>
      <c r="C50" s="269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6"/>
      <c r="K50" s="275"/>
      <c r="L50" s="275"/>
      <c r="M50" s="277"/>
      <c r="N50" s="188"/>
      <c r="O50" s="183"/>
      <c r="P50" s="279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1" t="s">
        <v>170</v>
      </c>
      <c r="C77" s="252"/>
      <c r="D77" s="253"/>
      <c r="G77"/>
      <c r="H77"/>
      <c r="I77"/>
    </row>
    <row r="78" spans="1:19" ht="20.100000000000001" customHeight="1" x14ac:dyDescent="0.25">
      <c r="B78" s="270" t="s">
        <v>41</v>
      </c>
      <c r="C78" s="270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0"/>
      <c r="C79" s="260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0" t="s">
        <v>178</v>
      </c>
      <c r="C41" s="281"/>
      <c r="D41" s="282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22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8.75" customHeight="1" x14ac:dyDescent="0.25">
      <c r="B78" s="270" t="s">
        <v>41</v>
      </c>
      <c r="C78" s="270" t="s">
        <v>42</v>
      </c>
      <c r="D78" s="231" t="s">
        <v>138</v>
      </c>
    </row>
    <row r="79" spans="2:16" ht="18" customHeight="1" x14ac:dyDescent="0.25">
      <c r="B79" s="260"/>
      <c r="C79" s="260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1" t="s">
        <v>179</v>
      </c>
      <c r="C41" s="262"/>
      <c r="D41" s="263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8" t="s">
        <v>145</v>
      </c>
      <c r="C46" s="259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33.950000000000003" customHeight="1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78" t="str">
        <f>"SELISIH"&amp;CHAR(10)&amp;TEXT($L$41,"0%")</f>
        <v>SELISIH
100%</v>
      </c>
      <c r="P49" s="278" t="str">
        <f>"PER HARI"&amp;CHAR(10)&amp;TEXT($L$41,"0%")</f>
        <v>PER HARI
100%</v>
      </c>
    </row>
    <row r="50" spans="2:16" ht="19.5" customHeight="1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79"/>
      <c r="P50" s="279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1" t="s">
        <v>188</v>
      </c>
      <c r="C41" s="262"/>
      <c r="D41" s="263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8" t="s">
        <v>145</v>
      </c>
      <c r="C46" s="259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71" t="s">
        <v>185</v>
      </c>
      <c r="L48" s="272"/>
      <c r="M48" s="272"/>
      <c r="N48" s="272"/>
      <c r="O48" s="272"/>
      <c r="P48" s="273"/>
    </row>
    <row r="49" spans="2:16" ht="15.75" x14ac:dyDescent="0.25">
      <c r="B49" s="260" t="s">
        <v>41</v>
      </c>
      <c r="C49" s="260" t="s">
        <v>42</v>
      </c>
      <c r="D49" s="255" t="s">
        <v>137</v>
      </c>
      <c r="E49" s="256"/>
      <c r="F49" s="257"/>
      <c r="G49" s="112" t="s">
        <v>138</v>
      </c>
      <c r="H49" s="112"/>
      <c r="I49" s="112"/>
      <c r="J49" s="255" t="s">
        <v>139</v>
      </c>
      <c r="K49" s="274" t="str">
        <f>"SELISIH"&amp;CHAR(10)&amp;TEXT($H$41,"0%")</f>
        <v>SELISIH
90%</v>
      </c>
      <c r="L49" s="274" t="str">
        <f>"PER HARI"&amp;CHAR(10)&amp;TEXT($H$41,"0%")</f>
        <v>PER HARI
90%</v>
      </c>
      <c r="M49" s="276" t="str">
        <f>"SELISIH"&amp;CHAR(10)&amp;TEXT($J$41,"0%")</f>
        <v>SELISIH
95%</v>
      </c>
      <c r="N49" s="276" t="str">
        <f>"PER HARI"&amp;CHAR(10)&amp;TEXT($J$41,"0%")</f>
        <v>PER HARI
95%</v>
      </c>
      <c r="O49" s="283" t="str">
        <f>"SELISIH"&amp;CHAR(10)&amp;TEXT($L$41,"0%")</f>
        <v>SELISIH
100%</v>
      </c>
      <c r="P49" s="283" t="str">
        <f>"PER HARI"&amp;CHAR(10)&amp;TEXT($L$41,"0%")</f>
        <v>PER HARI
100%</v>
      </c>
    </row>
    <row r="50" spans="2:16" ht="15.75" x14ac:dyDescent="0.25">
      <c r="B50" s="260"/>
      <c r="C50" s="260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5"/>
      <c r="K50" s="275"/>
      <c r="L50" s="275"/>
      <c r="M50" s="277"/>
      <c r="N50" s="277"/>
      <c r="O50" s="284"/>
      <c r="P50" s="284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1" t="s">
        <v>144</v>
      </c>
      <c r="C67" s="252"/>
      <c r="D67" s="252"/>
      <c r="E67" s="252"/>
      <c r="F67" s="252"/>
      <c r="G67" s="252"/>
      <c r="H67" s="252"/>
      <c r="I67" s="252"/>
      <c r="J67" s="252"/>
      <c r="K67" s="252"/>
      <c r="L67" s="253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1" t="s">
        <v>170</v>
      </c>
      <c r="C77" s="252"/>
      <c r="D77" s="253"/>
    </row>
    <row r="78" spans="2:16" ht="15.75" x14ac:dyDescent="0.25">
      <c r="B78" s="270" t="s">
        <v>41</v>
      </c>
      <c r="C78" s="270" t="s">
        <v>42</v>
      </c>
      <c r="D78" s="231" t="s">
        <v>138</v>
      </c>
    </row>
    <row r="79" spans="2:16" ht="15.75" x14ac:dyDescent="0.25">
      <c r="B79" s="260"/>
      <c r="C79" s="260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1" t="s">
        <v>218</v>
      </c>
      <c r="C40" s="262"/>
      <c r="D40" s="263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8" t="s">
        <v>145</v>
      </c>
      <c r="C46" s="259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5.75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87"/>
      <c r="G67" s="271" t="s">
        <v>185</v>
      </c>
      <c r="H67" s="272"/>
      <c r="I67" s="272"/>
      <c r="J67" s="272"/>
      <c r="K67" s="272"/>
      <c r="L67" s="273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1" t="s">
        <v>170</v>
      </c>
      <c r="C77" s="252"/>
      <c r="D77" s="253"/>
    </row>
    <row r="78" spans="2:21" ht="15.75" x14ac:dyDescent="0.25">
      <c r="B78" s="270" t="s">
        <v>41</v>
      </c>
      <c r="C78" s="270" t="s">
        <v>42</v>
      </c>
      <c r="D78" s="231" t="s">
        <v>138</v>
      </c>
    </row>
    <row r="79" spans="2:21" ht="15.75" x14ac:dyDescent="0.25">
      <c r="B79" s="260"/>
      <c r="C79" s="260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226</v>
      </c>
      <c r="C40" s="262"/>
      <c r="D40" s="263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95%</v>
      </c>
      <c r="N49" s="274" t="str">
        <f>"PER HARI"&amp;CHAR(10)&amp;TEXT($H$40,"0%")</f>
        <v>PER HARI
95%</v>
      </c>
      <c r="O49" s="276" t="str">
        <f>"SELISIH"&amp;CHAR(10)&amp;TEXT($J$40,"0%")</f>
        <v>SELISIH
100%</v>
      </c>
      <c r="P49" s="276" t="str">
        <f>"PER HARI"&amp;CHAR(10)&amp;TEXT($J$40,"0%")</f>
        <v>PER HARI
100%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4" zoomScale="73" zoomScaleNormal="73" workbookViewId="0">
      <selection activeCell="E85" sqref="E8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22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46849675.373369999</v>
      </c>
      <c r="D10" s="235">
        <v>21303806.1855</v>
      </c>
      <c r="E10" s="235">
        <v>54388285.166077003</v>
      </c>
      <c r="F10" s="235">
        <v>46559910.229975</v>
      </c>
      <c r="G10" s="235">
        <v>169101676.95492199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1270270.259994</v>
      </c>
      <c r="D11" s="235">
        <v>4489392</v>
      </c>
      <c r="E11" s="235">
        <v>72283784.840000004</v>
      </c>
      <c r="F11" s="235" t="s">
        <v>164</v>
      </c>
      <c r="G11" s="235">
        <v>78043447.099994004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39813300.374700002</v>
      </c>
      <c r="D12" s="235">
        <v>19023707.107450999</v>
      </c>
      <c r="E12" s="235">
        <v>44638744.559845999</v>
      </c>
      <c r="F12" s="235">
        <v>37806058.060000002</v>
      </c>
      <c r="G12" s="235">
        <v>141281810.10199699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6820837.9001700003</v>
      </c>
      <c r="D13" s="235">
        <v>9036833.5299779996</v>
      </c>
      <c r="E13" s="235">
        <v>63820586.479795001</v>
      </c>
      <c r="F13" s="235">
        <v>18018018.620000001</v>
      </c>
      <c r="G13" s="235">
        <v>97696276.529943004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109035310.194941</v>
      </c>
      <c r="D14" s="235">
        <v>4118202.7739929999</v>
      </c>
      <c r="E14" s="235">
        <v>39943076.799984999</v>
      </c>
      <c r="F14" s="235">
        <v>70988649.999954998</v>
      </c>
      <c r="G14" s="235">
        <v>224085239.76887399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70276784.736959994</v>
      </c>
      <c r="D15" s="235">
        <v>1733315.3199990001</v>
      </c>
      <c r="E15" s="235">
        <v>1619369.269965</v>
      </c>
      <c r="F15" s="235">
        <v>4010810.89</v>
      </c>
      <c r="G15" s="235">
        <v>77640280.216923997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154127123.55388799</v>
      </c>
      <c r="D16" s="235">
        <v>24546145.739774998</v>
      </c>
      <c r="E16" s="235">
        <v>97299640.209823996</v>
      </c>
      <c r="F16" s="235">
        <v>432019638.76995999</v>
      </c>
      <c r="G16" s="235">
        <v>707992548.27344704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32280594.829397</v>
      </c>
      <c r="D17" s="235">
        <v>13017368.40996</v>
      </c>
      <c r="E17" s="235">
        <v>13549099.919500001</v>
      </c>
      <c r="F17" s="235">
        <v>1189189.2</v>
      </c>
      <c r="G17" s="235">
        <v>60036252.358856998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3791250</v>
      </c>
      <c r="D18" s="235">
        <v>20202437.808166001</v>
      </c>
      <c r="E18" s="235">
        <v>8794460.5</v>
      </c>
      <c r="F18" s="235">
        <v>38756757.539999999</v>
      </c>
      <c r="G18" s="235">
        <v>71544905.848166004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8088444.4800000004</v>
      </c>
      <c r="D19" s="235" t="s">
        <v>164</v>
      </c>
      <c r="E19" s="235" t="s">
        <v>164</v>
      </c>
      <c r="F19" s="235">
        <v>1765765.72</v>
      </c>
      <c r="G19" s="235">
        <v>9854210.1999999993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47113934.039999999</v>
      </c>
      <c r="D20" s="235" t="s">
        <v>164</v>
      </c>
      <c r="E20" s="235" t="s">
        <v>164</v>
      </c>
      <c r="F20" s="235">
        <v>4090089.98</v>
      </c>
      <c r="G20" s="235">
        <v>51204024.020000003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80451307.418771997</v>
      </c>
      <c r="D21" s="235">
        <v>12974504.579976</v>
      </c>
      <c r="E21" s="235">
        <v>31954684.809957001</v>
      </c>
      <c r="F21" s="235">
        <v>130252793.89995</v>
      </c>
      <c r="G21" s="235">
        <v>255633290.708655</v>
      </c>
      <c r="H21" s="111"/>
      <c r="I21" s="111"/>
      <c r="J21" s="111"/>
      <c r="M21" s="14">
        <f>SUM(C33,C34)+M20</f>
        <v>217427443.34896499</v>
      </c>
      <c r="N21" s="10" t="s">
        <v>223</v>
      </c>
    </row>
    <row r="22" spans="2:15" ht="15" customHeight="1" x14ac:dyDescent="0.25">
      <c r="B22" s="72" t="s">
        <v>224</v>
      </c>
      <c r="C22" s="235">
        <v>58375200.661250003</v>
      </c>
      <c r="D22" s="235">
        <v>10626173.324191</v>
      </c>
      <c r="E22" s="235">
        <v>35662901.159982003</v>
      </c>
      <c r="F22" s="235">
        <v>50035225.349987999</v>
      </c>
      <c r="G22" s="235">
        <v>154699500.49541101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93062951.452379003</v>
      </c>
      <c r="D23" s="235">
        <v>15069224.419977</v>
      </c>
      <c r="E23" s="235">
        <v>54338650.135530002</v>
      </c>
      <c r="F23" s="235">
        <v>76370763.429849997</v>
      </c>
      <c r="G23" s="235">
        <v>238841589.437736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128059370.694013</v>
      </c>
      <c r="D24" s="235">
        <v>17006436.939989001</v>
      </c>
      <c r="E24" s="235">
        <v>51341486.989990003</v>
      </c>
      <c r="F24" s="235">
        <v>223557122.579503</v>
      </c>
      <c r="G24" s="235">
        <v>419964417.20349503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56355895.708953001</v>
      </c>
      <c r="D25" s="235">
        <v>32345540.885244001</v>
      </c>
      <c r="E25" s="235">
        <v>28608801.895936001</v>
      </c>
      <c r="F25" s="235">
        <v>4175675.78</v>
      </c>
      <c r="G25" s="235">
        <v>121485914.270133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121491482.963829</v>
      </c>
      <c r="D26" s="235">
        <v>68364442.529036999</v>
      </c>
      <c r="E26" s="235">
        <v>86523825.889063001</v>
      </c>
      <c r="F26" s="235">
        <v>5467567.7022000002</v>
      </c>
      <c r="G26" s="235">
        <v>281847319.08412898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44987457.169818997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37794949.667627998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53210212.785618998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164217230.563346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227</v>
      </c>
      <c r="C40" s="262"/>
      <c r="D40" s="263"/>
      <c r="E40" s="66" t="s">
        <v>137</v>
      </c>
      <c r="F40" s="174">
        <f ca="1">IF(MONTH(TODAY())=10,DAY(TODAY())/DAY(EOMONTH(TODAY(),0)),IF(MONTH(TODAY())&gt;10,1,0))</f>
        <v>0.22580645161290322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986986949.90565598</v>
      </c>
      <c r="F42" s="176">
        <f>IFERROR(E42/D42,0)</f>
        <v>0.22107017261255021</v>
      </c>
      <c r="G42" s="184">
        <f>D42*$H$40-E42</f>
        <v>3477599738.7538729</v>
      </c>
      <c r="H42" s="184">
        <f ca="1">IFERROR(G42/$C$3,0)</f>
        <v>158072715.39790332</v>
      </c>
      <c r="I42" s="204">
        <f>D42*$J$40-E42</f>
        <v>3477599738.7538729</v>
      </c>
      <c r="J42" s="204">
        <f ca="1">IFERROR(I42/$C$3,0)</f>
        <v>158072715.39790332</v>
      </c>
      <c r="K42" s="185">
        <f>D42*$L$40-E42</f>
        <v>3477599738.7538729</v>
      </c>
      <c r="L42" s="185">
        <f ca="1">IFERROR(K42/$C$3,0)</f>
        <v>158072715.39790332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272124216.23323703</v>
      </c>
      <c r="F43" s="176">
        <f>IFERROR(E43/D43,0)</f>
        <v>0.21261231495969826</v>
      </c>
      <c r="G43" s="184">
        <f>D43*$H$40-E43</f>
        <v>1007783846.8759933</v>
      </c>
      <c r="H43" s="184">
        <f ca="1">IFERROR(G43/$C$3,0)</f>
        <v>45808356.67618151</v>
      </c>
      <c r="I43" s="204">
        <f>D43*$J$40-E43</f>
        <v>1007783846.8759933</v>
      </c>
      <c r="J43" s="204">
        <f ca="1">IFERROR(I43/$C$3,0)</f>
        <v>45808356.67618151</v>
      </c>
      <c r="K43" s="185">
        <f>D43*$L$40-E43</f>
        <v>1007783846.8759933</v>
      </c>
      <c r="L43" s="185">
        <f ca="1">IFERROR(K43/$C$3,0)</f>
        <v>45808356.67618151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683148029.35548496</v>
      </c>
      <c r="F44" s="176">
        <f>IFERROR(E44/D44,0)</f>
        <v>0.23443592148101752</v>
      </c>
      <c r="G44" s="184">
        <f>IF(D44=0,0,D44*$H$40-E44)</f>
        <v>2230859453.1147304</v>
      </c>
      <c r="H44" s="184">
        <f ca="1">IFERROR(G44/$C$3,0)</f>
        <v>101402702.41430593</v>
      </c>
      <c r="I44" s="204">
        <f>IF(D44=0,0,D44*$J$40-E44)</f>
        <v>2230859453.1147304</v>
      </c>
      <c r="J44" s="204">
        <f ca="1">IFERROR(I44/$C$3,0)</f>
        <v>101402702.41430593</v>
      </c>
      <c r="K44" s="185">
        <f>IF(D44=0,0,D44*$L$40-E44)</f>
        <v>2230859453.1147304</v>
      </c>
      <c r="L44" s="185">
        <f ca="1">IFERROR(K44/$C$3,0)</f>
        <v>101402702.41430593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300209850.18641198</v>
      </c>
      <c r="F45" s="176">
        <f>IFERROR(E45/D45,0)</f>
        <v>0.16867738145560507</v>
      </c>
      <c r="G45" s="184">
        <f>D45*$H$40-E45</f>
        <v>1479577383.8561411</v>
      </c>
      <c r="H45" s="184">
        <f ca="1">IFERROR(G45/$C$3,0)</f>
        <v>67253517.448006406</v>
      </c>
      <c r="I45" s="204">
        <f>D45*$J$40-E45</f>
        <v>1479577383.8561411</v>
      </c>
      <c r="J45" s="204">
        <f ca="1">IFERROR(I45/$C$3,0)</f>
        <v>67253517.448006406</v>
      </c>
      <c r="K45" s="185">
        <f>D45*$L$40-E45</f>
        <v>1479577383.8561411</v>
      </c>
      <c r="L45" s="185">
        <f ca="1">IFERROR(K45/$C$3,0)</f>
        <v>67253517.448006406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10438289468.281527</v>
      </c>
      <c r="E46" s="47">
        <f>SUM(E42:E45)</f>
        <v>2242469045.6807899</v>
      </c>
      <c r="F46" s="177">
        <f>IFERROR(E46/D46,0)</f>
        <v>0.21483108439317611</v>
      </c>
      <c r="G46" s="181">
        <f>SUM(G42:G45)</f>
        <v>8195820422.6007376</v>
      </c>
      <c r="H46" s="181">
        <f ca="1">IFERROR(G46/$C$3,0)</f>
        <v>372537291.93639714</v>
      </c>
      <c r="I46" s="186">
        <f>SUM(I42:I45)</f>
        <v>8195820422.6007376</v>
      </c>
      <c r="J46" s="186">
        <f ca="1">IFERROR(I46/$C$3,0)</f>
        <v>372537291.93639714</v>
      </c>
      <c r="K46" s="186">
        <f>SUM(K42:K45)</f>
        <v>8195820422.6007376</v>
      </c>
      <c r="L46" s="186">
        <f ca="1">IFERROR(K46/$C$3,0)</f>
        <v>372537291.93639714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212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100%</v>
      </c>
      <c r="N49" s="274" t="str">
        <f>"PER HARI"&amp;CHAR(10)&amp;TEXT($H$40,"0%")</f>
        <v>PER HARI
100%</v>
      </c>
      <c r="O49" s="276" t="str">
        <f>"SELISIH"&amp;CHAR(10)&amp;TEXT($J$40,"0%")</f>
        <v>SELISIH
100%</v>
      </c>
      <c r="P49" s="276" t="str">
        <f>"PER HARI"&amp;CHAR(10)&amp;TEXT($J$40,"0%")</f>
        <v>PER HARI
100%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80451307.418771997</v>
      </c>
      <c r="I51" s="114">
        <f t="shared" ref="I51:I64" si="1">SUMIF($B$10:$B$26,$T51,D$10:D$26)+SUMIF($B$10:$B$26,$U51,D$10:D$26)</f>
        <v>12974504.579976</v>
      </c>
      <c r="J51" s="114">
        <f t="shared" ref="J51:J64" si="2">SUMIF($B$10:$B$26,$T51,E$10:E$26)+SUMIF($B$10:$B$26,$U51,E$10:E$26)</f>
        <v>31954684.809957001</v>
      </c>
      <c r="K51" s="114">
        <f t="shared" ref="K51:K64" si="3">SUM(H51:J51)</f>
        <v>125380496.808705</v>
      </c>
      <c r="L51" s="187">
        <f t="shared" ref="L51:L65" si="4">IFERROR(K51/G51,0)</f>
        <v>0.25266380878328526</v>
      </c>
      <c r="M51" s="184">
        <f t="shared" ref="M51:M64" si="5">G51*$H$40-K51</f>
        <v>370853995.2322439</v>
      </c>
      <c r="N51" s="184">
        <f t="shared" ref="N51:N65" ca="1" si="6">IFERROR(M51/$C$3,0)</f>
        <v>16856999.783283815</v>
      </c>
      <c r="O51" s="180">
        <f t="shared" ref="O51:O64" si="7">G51*$J$40-K51</f>
        <v>370853995.2322439</v>
      </c>
      <c r="P51" s="180">
        <f t="shared" ref="P51:P65" ca="1" si="8">IFERROR(O51/$C$3,0)</f>
        <v>16856999.783283815</v>
      </c>
      <c r="Q51" s="185">
        <f t="shared" ref="Q51:Q64" si="9">G51*$L$40-K51</f>
        <v>370853995.2322439</v>
      </c>
      <c r="R51" s="185">
        <f t="shared" ref="R51:R65" ca="1" si="10">IFERROR(Q51/$C$3,0)</f>
        <v>16856999.783283815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46634138.274870001</v>
      </c>
      <c r="I52" s="114">
        <f t="shared" si="1"/>
        <v>28060540.637428999</v>
      </c>
      <c r="J52" s="114">
        <f t="shared" si="2"/>
        <v>108459331.03964099</v>
      </c>
      <c r="K52" s="114">
        <f t="shared" si="3"/>
        <v>183154009.95194</v>
      </c>
      <c r="L52" s="187">
        <f t="shared" si="4"/>
        <v>0.23867108801057982</v>
      </c>
      <c r="M52" s="184">
        <f t="shared" si="5"/>
        <v>584236843.62233591</v>
      </c>
      <c r="N52" s="184">
        <f t="shared" ca="1" si="6"/>
        <v>26556220.164651632</v>
      </c>
      <c r="O52" s="180">
        <f t="shared" si="7"/>
        <v>584236843.62233591</v>
      </c>
      <c r="P52" s="180">
        <f t="shared" ca="1" si="8"/>
        <v>26556220.164651632</v>
      </c>
      <c r="Q52" s="185">
        <f t="shared" si="9"/>
        <v>584236843.62233591</v>
      </c>
      <c r="R52" s="185">
        <f t="shared" ca="1" si="10"/>
        <v>26556220.164651632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8088444.4800000004</v>
      </c>
      <c r="I53" s="114">
        <f t="shared" si="1"/>
        <v>0</v>
      </c>
      <c r="J53" s="114">
        <f t="shared" si="2"/>
        <v>0</v>
      </c>
      <c r="K53" s="114">
        <f t="shared" si="3"/>
        <v>8088444.4800000004</v>
      </c>
      <c r="L53" s="187">
        <f t="shared" si="4"/>
        <v>3.0760026500017135E-2</v>
      </c>
      <c r="M53" s="184">
        <f t="shared" si="5"/>
        <v>254864660.58301076</v>
      </c>
      <c r="N53" s="184">
        <f t="shared" ca="1" si="6"/>
        <v>11584757.299227761</v>
      </c>
      <c r="O53" s="180">
        <f t="shared" si="7"/>
        <v>254864660.58301076</v>
      </c>
      <c r="P53" s="180">
        <f t="shared" ca="1" si="8"/>
        <v>11584757.299227761</v>
      </c>
      <c r="Q53" s="185">
        <f t="shared" si="9"/>
        <v>254864660.58301076</v>
      </c>
      <c r="R53" s="185">
        <f t="shared" ca="1" si="10"/>
        <v>11584757.299227761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109035310.194941</v>
      </c>
      <c r="I54" s="114">
        <f t="shared" si="1"/>
        <v>4118202.7739929999</v>
      </c>
      <c r="J54" s="114">
        <f t="shared" si="2"/>
        <v>39943076.799984999</v>
      </c>
      <c r="K54" s="114">
        <f t="shared" si="3"/>
        <v>153096589.76891899</v>
      </c>
      <c r="L54" s="187">
        <f t="shared" si="4"/>
        <v>0.21607369121815709</v>
      </c>
      <c r="M54" s="184">
        <f t="shared" si="5"/>
        <v>555442191.17108095</v>
      </c>
      <c r="N54" s="184">
        <f t="shared" ca="1" si="6"/>
        <v>25247372.325958226</v>
      </c>
      <c r="O54" s="180">
        <f t="shared" si="7"/>
        <v>555442191.17108095</v>
      </c>
      <c r="P54" s="180">
        <f t="shared" ca="1" si="8"/>
        <v>25247372.325958226</v>
      </c>
      <c r="Q54" s="185">
        <f t="shared" si="9"/>
        <v>555442191.17108095</v>
      </c>
      <c r="R54" s="185">
        <f t="shared" ca="1" si="10"/>
        <v>25247372.325958226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1270270.259994</v>
      </c>
      <c r="I55" s="114">
        <f t="shared" si="1"/>
        <v>4489392</v>
      </c>
      <c r="J55" s="114">
        <f t="shared" si="2"/>
        <v>72283784.840000004</v>
      </c>
      <c r="K55" s="114">
        <f t="shared" si="3"/>
        <v>78043447.099994004</v>
      </c>
      <c r="L55" s="187">
        <f t="shared" si="4"/>
        <v>0.14527792606931839</v>
      </c>
      <c r="M55" s="184">
        <f t="shared" si="5"/>
        <v>459157552.47069162</v>
      </c>
      <c r="N55" s="184">
        <f t="shared" ca="1" si="6"/>
        <v>20870797.839576893</v>
      </c>
      <c r="O55" s="180">
        <f t="shared" si="7"/>
        <v>459157552.47069162</v>
      </c>
      <c r="P55" s="180">
        <f t="shared" ca="1" si="8"/>
        <v>20870797.839576893</v>
      </c>
      <c r="Q55" s="185">
        <f t="shared" si="9"/>
        <v>459157552.47069162</v>
      </c>
      <c r="R55" s="185">
        <f t="shared" ca="1" si="10"/>
        <v>20870797.839576893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58375200.661250003</v>
      </c>
      <c r="I56" s="114">
        <f t="shared" si="1"/>
        <v>10626173.324191</v>
      </c>
      <c r="J56" s="114">
        <f t="shared" si="2"/>
        <v>35662901.159982003</v>
      </c>
      <c r="K56" s="114">
        <f t="shared" si="3"/>
        <v>104664275.145423</v>
      </c>
      <c r="L56" s="187">
        <f t="shared" si="4"/>
        <v>0.187970256695218</v>
      </c>
      <c r="M56" s="184">
        <f t="shared" si="5"/>
        <v>452148685.50892967</v>
      </c>
      <c r="N56" s="184">
        <f t="shared" ca="1" si="6"/>
        <v>20552212.977678623</v>
      </c>
      <c r="O56" s="180">
        <f t="shared" si="7"/>
        <v>452148685.50892967</v>
      </c>
      <c r="P56" s="180">
        <f t="shared" ca="1" si="8"/>
        <v>20552212.977678623</v>
      </c>
      <c r="Q56" s="185">
        <f t="shared" si="9"/>
        <v>452148685.50892967</v>
      </c>
      <c r="R56" s="185">
        <f t="shared" ca="1" si="10"/>
        <v>20552212.977678623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154127123.55388799</v>
      </c>
      <c r="I57" s="114">
        <f t="shared" si="1"/>
        <v>24546145.739774998</v>
      </c>
      <c r="J57" s="114">
        <f t="shared" si="2"/>
        <v>97299640.209823996</v>
      </c>
      <c r="K57" s="114">
        <f t="shared" si="3"/>
        <v>275972909.50348699</v>
      </c>
      <c r="L57" s="187">
        <f t="shared" si="4"/>
        <v>0.25294225473686005</v>
      </c>
      <c r="M57" s="184">
        <f t="shared" si="5"/>
        <v>815078128.17539394</v>
      </c>
      <c r="N57" s="184">
        <f t="shared" ca="1" si="6"/>
        <v>37049005.826154269</v>
      </c>
      <c r="O57" s="180">
        <f t="shared" si="7"/>
        <v>815078128.17539394</v>
      </c>
      <c r="P57" s="180">
        <f t="shared" ca="1" si="8"/>
        <v>37049005.826154269</v>
      </c>
      <c r="Q57" s="185">
        <f t="shared" si="9"/>
        <v>815078128.17539394</v>
      </c>
      <c r="R57" s="185">
        <f t="shared" ca="1" si="10"/>
        <v>37049005.826154269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93062951.452379003</v>
      </c>
      <c r="I58" s="114">
        <f t="shared" si="1"/>
        <v>15069224.419977</v>
      </c>
      <c r="J58" s="114">
        <f t="shared" si="2"/>
        <v>54338650.135530002</v>
      </c>
      <c r="K58" s="114">
        <f t="shared" si="3"/>
        <v>162470826.00788599</v>
      </c>
      <c r="L58" s="187">
        <f t="shared" si="4"/>
        <v>0.27239737404847209</v>
      </c>
      <c r="M58" s="184">
        <f t="shared" si="5"/>
        <v>433977016.32327729</v>
      </c>
      <c r="N58" s="184">
        <f t="shared" ca="1" si="6"/>
        <v>19726228.014694422</v>
      </c>
      <c r="O58" s="180">
        <f t="shared" si="7"/>
        <v>433977016.32327729</v>
      </c>
      <c r="P58" s="180">
        <f t="shared" ca="1" si="8"/>
        <v>19726228.014694422</v>
      </c>
      <c r="Q58" s="185">
        <f t="shared" si="9"/>
        <v>433977016.32327729</v>
      </c>
      <c r="R58" s="185">
        <f t="shared" ca="1" si="10"/>
        <v>19726228.014694422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47113934.039999999</v>
      </c>
      <c r="I59" s="114">
        <f t="shared" si="1"/>
        <v>0</v>
      </c>
      <c r="J59" s="114">
        <f t="shared" si="2"/>
        <v>0</v>
      </c>
      <c r="K59" s="114">
        <f t="shared" si="3"/>
        <v>47113934.039999999</v>
      </c>
      <c r="L59" s="187">
        <f t="shared" si="4"/>
        <v>0.10614911046218632</v>
      </c>
      <c r="M59" s="184">
        <f t="shared" si="5"/>
        <v>396732781.53641999</v>
      </c>
      <c r="N59" s="184">
        <f t="shared" ca="1" si="6"/>
        <v>18033308.251655456</v>
      </c>
      <c r="O59" s="180">
        <f t="shared" si="7"/>
        <v>396732781.53641999</v>
      </c>
      <c r="P59" s="180">
        <f t="shared" ca="1" si="8"/>
        <v>18033308.251655456</v>
      </c>
      <c r="Q59" s="185">
        <f t="shared" si="9"/>
        <v>396732781.53641999</v>
      </c>
      <c r="R59" s="185">
        <f t="shared" ca="1" si="10"/>
        <v>18033308.251655456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56355895.708953001</v>
      </c>
      <c r="I60" s="114">
        <f t="shared" si="1"/>
        <v>32345540.885244001</v>
      </c>
      <c r="J60" s="114">
        <f t="shared" si="2"/>
        <v>28608801.895936001</v>
      </c>
      <c r="K60" s="114">
        <f t="shared" si="3"/>
        <v>117310238.490133</v>
      </c>
      <c r="L60" s="187">
        <f t="shared" si="4"/>
        <v>0.20908933876258118</v>
      </c>
      <c r="M60" s="184">
        <f t="shared" si="5"/>
        <v>443742941.860385</v>
      </c>
      <c r="N60" s="184">
        <f t="shared" ca="1" si="6"/>
        <v>20170133.72092659</v>
      </c>
      <c r="O60" s="180">
        <f t="shared" si="7"/>
        <v>443742941.860385</v>
      </c>
      <c r="P60" s="180">
        <f t="shared" ca="1" si="8"/>
        <v>20170133.72092659</v>
      </c>
      <c r="Q60" s="185">
        <f t="shared" si="9"/>
        <v>443742941.860385</v>
      </c>
      <c r="R60" s="185">
        <f t="shared" ca="1" si="10"/>
        <v>20170133.72092659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128059370.694013</v>
      </c>
      <c r="I61" s="114">
        <f t="shared" si="1"/>
        <v>17006436.939989001</v>
      </c>
      <c r="J61" s="114">
        <f t="shared" si="2"/>
        <v>51341486.989990003</v>
      </c>
      <c r="K61" s="114">
        <f t="shared" si="3"/>
        <v>196407294.623992</v>
      </c>
      <c r="L61" s="187">
        <f t="shared" si="4"/>
        <v>0.2812005816476626</v>
      </c>
      <c r="M61" s="184">
        <f t="shared" si="5"/>
        <v>502052479.08332384</v>
      </c>
      <c r="N61" s="184">
        <f t="shared" ca="1" si="6"/>
        <v>22820567.231060173</v>
      </c>
      <c r="O61" s="180">
        <f t="shared" si="7"/>
        <v>502052479.08332384</v>
      </c>
      <c r="P61" s="180">
        <f t="shared" ca="1" si="8"/>
        <v>22820567.231060173</v>
      </c>
      <c r="Q61" s="185">
        <f t="shared" si="9"/>
        <v>502052479.08332384</v>
      </c>
      <c r="R61" s="185">
        <f t="shared" ca="1" si="10"/>
        <v>22820567.231060173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46849675.373369999</v>
      </c>
      <c r="I62" s="114">
        <f t="shared" si="1"/>
        <v>21303806.1855</v>
      </c>
      <c r="J62" s="114">
        <f t="shared" si="2"/>
        <v>54388285.166077003</v>
      </c>
      <c r="K62" s="114">
        <f t="shared" si="3"/>
        <v>122541766.72494701</v>
      </c>
      <c r="L62" s="187">
        <f t="shared" si="4"/>
        <v>0.26703938935695004</v>
      </c>
      <c r="M62" s="184">
        <f t="shared" si="5"/>
        <v>336348462.98998892</v>
      </c>
      <c r="N62" s="184">
        <f t="shared" ca="1" si="6"/>
        <v>15288566.49954495</v>
      </c>
      <c r="O62" s="180">
        <f t="shared" si="7"/>
        <v>336348462.98998892</v>
      </c>
      <c r="P62" s="180">
        <f t="shared" ca="1" si="8"/>
        <v>15288566.49954495</v>
      </c>
      <c r="Q62" s="185">
        <f t="shared" si="9"/>
        <v>336348462.98998892</v>
      </c>
      <c r="R62" s="185">
        <f t="shared" ca="1" si="10"/>
        <v>15288566.49954495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121491482.963829</v>
      </c>
      <c r="I63" s="114">
        <f t="shared" si="1"/>
        <v>68364442.529036999</v>
      </c>
      <c r="J63" s="114">
        <f t="shared" si="2"/>
        <v>86523825.889063001</v>
      </c>
      <c r="K63" s="114">
        <f t="shared" si="3"/>
        <v>276379751.38192898</v>
      </c>
      <c r="L63" s="187">
        <f t="shared" si="4"/>
        <v>0.28764359573543713</v>
      </c>
      <c r="M63" s="184">
        <f t="shared" si="5"/>
        <v>684461218.06601191</v>
      </c>
      <c r="N63" s="184">
        <f t="shared" ca="1" si="6"/>
        <v>31111873.548455086</v>
      </c>
      <c r="O63" s="180">
        <f t="shared" si="7"/>
        <v>684461218.06601191</v>
      </c>
      <c r="P63" s="180">
        <f t="shared" ca="1" si="8"/>
        <v>31111873.548455086</v>
      </c>
      <c r="Q63" s="185">
        <f t="shared" si="9"/>
        <v>684461218.06601191</v>
      </c>
      <c r="R63" s="185">
        <f t="shared" ca="1" si="10"/>
        <v>31111873.548455086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36071844.829397</v>
      </c>
      <c r="I64" s="114">
        <f t="shared" si="1"/>
        <v>33219806.218125999</v>
      </c>
      <c r="J64" s="114">
        <f t="shared" si="2"/>
        <v>22343560.419500001</v>
      </c>
      <c r="K64" s="114">
        <f t="shared" si="3"/>
        <v>91635211.467022985</v>
      </c>
      <c r="L64" s="187">
        <f t="shared" si="4"/>
        <v>0.17663553524291889</v>
      </c>
      <c r="M64" s="184">
        <f t="shared" si="5"/>
        <v>427146082.12150216</v>
      </c>
      <c r="N64" s="184">
        <f t="shared" ca="1" si="6"/>
        <v>19415731.005522825</v>
      </c>
      <c r="O64" s="180">
        <f t="shared" si="7"/>
        <v>427146082.12150216</v>
      </c>
      <c r="P64" s="180">
        <f t="shared" ca="1" si="8"/>
        <v>19415731.005522825</v>
      </c>
      <c r="Q64" s="185">
        <f t="shared" si="9"/>
        <v>427146082.12150216</v>
      </c>
      <c r="R64" s="185">
        <f t="shared" ca="1" si="10"/>
        <v>19415731.005522825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986986949.90565598</v>
      </c>
      <c r="I65" s="135">
        <f t="shared" si="12"/>
        <v>272124216.23323703</v>
      </c>
      <c r="J65" s="135">
        <f t="shared" si="12"/>
        <v>683148029.35548496</v>
      </c>
      <c r="K65" s="135">
        <f t="shared" si="12"/>
        <v>1942259195.4943779</v>
      </c>
      <c r="L65" s="189">
        <f t="shared" si="4"/>
        <v>0.22431814913830647</v>
      </c>
      <c r="M65" s="181">
        <f>SUM(M51:M64)</f>
        <v>6716243038.7445965</v>
      </c>
      <c r="N65" s="181">
        <f t="shared" ca="1" si="6"/>
        <v>305283774.48839074</v>
      </c>
      <c r="O65" s="181">
        <f>SUM(O51:O64)</f>
        <v>6716243038.7445965</v>
      </c>
      <c r="P65" s="181">
        <f t="shared" ca="1" si="8"/>
        <v>305283774.48839074</v>
      </c>
      <c r="Q65" s="186">
        <f>SUM(Q51:Q64)</f>
        <v>6716243038.7445965</v>
      </c>
      <c r="R65" s="186">
        <f t="shared" ca="1" si="10"/>
        <v>305283774.48839074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44987457.169818997</v>
      </c>
      <c r="F69" s="187">
        <f t="shared" ref="F69:F74" si="13">IFERROR(E69/D69,0)</f>
        <v>0.16700489782302441</v>
      </c>
      <c r="G69" s="184">
        <f>D69*$H$40-E69</f>
        <v>224390613.51103216</v>
      </c>
      <c r="H69" s="184">
        <f t="shared" ref="H69:H74" ca="1" si="14">IFERROR(G69/$C$3,0)</f>
        <v>10199573.341410553</v>
      </c>
      <c r="I69" s="204">
        <f>D69*$J$40-E69</f>
        <v>224390613.51103216</v>
      </c>
      <c r="J69" s="204">
        <f t="shared" ref="J69:J74" ca="1" si="15">IFERROR(I69/$C$3,0)</f>
        <v>10199573.341410553</v>
      </c>
      <c r="K69" s="185">
        <f>D69*$L$40-E69</f>
        <v>224390613.51103216</v>
      </c>
      <c r="L69" s="185">
        <f t="shared" ref="L69:L74" ca="1" si="16">IFERROR(K69/$C$3,0)</f>
        <v>10199573.341410553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37794949.667627998</v>
      </c>
      <c r="F70" s="187">
        <f t="shared" si="13"/>
        <v>9.1584382846097601E-2</v>
      </c>
      <c r="G70" s="184">
        <f>D70*$H$40-E70</f>
        <v>374884030.01322311</v>
      </c>
      <c r="H70" s="184">
        <f t="shared" ca="1" si="14"/>
        <v>17040183.182419233</v>
      </c>
      <c r="I70" s="204">
        <f>D70*$J$40-E70</f>
        <v>374884030.01322311</v>
      </c>
      <c r="J70" s="204">
        <f t="shared" ca="1" si="15"/>
        <v>17040183.182419233</v>
      </c>
      <c r="K70" s="185">
        <f>D70*$L$40-E70</f>
        <v>374884030.01322311</v>
      </c>
      <c r="L70" s="185">
        <f t="shared" ca="1" si="16"/>
        <v>17040183.182419233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217427443.34896499</v>
      </c>
      <c r="F71" s="187">
        <f t="shared" si="13"/>
        <v>0.19807002356435052</v>
      </c>
      <c r="G71" s="184">
        <f>D71*$H$40-E71</f>
        <v>880302740.33188605</v>
      </c>
      <c r="H71" s="184">
        <f t="shared" ca="1" si="14"/>
        <v>40013760.924176641</v>
      </c>
      <c r="I71" s="204">
        <f>D71*$J$40-E71</f>
        <v>880302740.33188605</v>
      </c>
      <c r="J71" s="204">
        <f t="shared" ca="1" si="15"/>
        <v>40013760.924176641</v>
      </c>
      <c r="K71" s="185">
        <f>D71*$L$40-E71</f>
        <v>880302740.33188605</v>
      </c>
      <c r="L71" s="185">
        <f t="shared" ca="1" si="16"/>
        <v>40013760.924176641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300209850.18641198</v>
      </c>
      <c r="F74" s="177">
        <f t="shared" si="13"/>
        <v>0.16867738145560507</v>
      </c>
      <c r="G74" s="181">
        <f>SUM(G69:G73)</f>
        <v>1479577383.8561413</v>
      </c>
      <c r="H74" s="181">
        <f t="shared" ca="1" si="14"/>
        <v>67253517.448006421</v>
      </c>
      <c r="I74" s="186">
        <f>SUM(I69:I73)</f>
        <v>1479577383.8561413</v>
      </c>
      <c r="J74" s="186">
        <f t="shared" ca="1" si="15"/>
        <v>67253517.448006421</v>
      </c>
      <c r="K74" s="186">
        <f>SUM(K69:K73)</f>
        <v>1479577383.8561413</v>
      </c>
      <c r="L74" s="186">
        <f t="shared" ca="1" si="16"/>
        <v>67253517.448006421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130252793.89995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55824076.680000007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1765765.72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70988649.999954998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50035225.349987999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432019638.76995999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76370763.429849997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4090089.98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4175675.78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223557122.579503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46559910.229975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5467567.7022000002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39945946.740000002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1141053226.8613808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174</v>
      </c>
      <c r="C40" s="262"/>
      <c r="D40" s="263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1" t="s">
        <v>176</v>
      </c>
      <c r="C40" s="262"/>
      <c r="D40" s="263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8" t="s">
        <v>145</v>
      </c>
      <c r="C46" s="259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4" t="s">
        <v>146</v>
      </c>
      <c r="C48" s="265"/>
      <c r="D48" s="265"/>
      <c r="E48" s="265"/>
      <c r="F48" s="265"/>
      <c r="G48" s="265"/>
      <c r="H48" s="265"/>
      <c r="I48" s="265"/>
      <c r="J48" s="265"/>
      <c r="K48" s="265"/>
      <c r="L48" s="288"/>
      <c r="M48" s="271" t="s">
        <v>185</v>
      </c>
      <c r="N48" s="272"/>
      <c r="O48" s="272"/>
      <c r="P48" s="272"/>
      <c r="Q48" s="272"/>
      <c r="R48" s="273"/>
    </row>
    <row r="49" spans="2:21" ht="17.100000000000001" customHeight="1" x14ac:dyDescent="0.25">
      <c r="B49" s="289" t="s">
        <v>41</v>
      </c>
      <c r="C49" s="289" t="s">
        <v>42</v>
      </c>
      <c r="D49" s="255" t="s">
        <v>137</v>
      </c>
      <c r="E49" s="256"/>
      <c r="F49" s="256"/>
      <c r="G49" s="257"/>
      <c r="H49" s="290" t="s">
        <v>138</v>
      </c>
      <c r="I49" s="291"/>
      <c r="J49" s="291"/>
      <c r="K49" s="292"/>
      <c r="L49" s="293" t="s">
        <v>139</v>
      </c>
      <c r="M49" s="274" t="str">
        <f>"SELISIH"&amp;CHAR(10)&amp;TEXT($H$40,"0%")</f>
        <v>SELISIH
90%</v>
      </c>
      <c r="N49" s="274" t="str">
        <f>"PER HARI"&amp;CHAR(10)&amp;TEXT($H$40,"0%")</f>
        <v>PER HARI
90%</v>
      </c>
      <c r="O49" s="276" t="str">
        <f>"SELISIH"&amp;CHAR(10)&amp;TEXT($J$40,"0%")</f>
        <v>SELISIH
95%</v>
      </c>
      <c r="P49" s="276" t="str">
        <f>"PER HARI"&amp;CHAR(10)&amp;TEXT($J$40,"0%")</f>
        <v>PER HARI
95%</v>
      </c>
      <c r="Q49" s="278" t="str">
        <f>"SELISIH"&amp;CHAR(10)&amp;TEXT($L$40,"0%")</f>
        <v>SELISIH
100%</v>
      </c>
      <c r="R49" s="278" t="str">
        <f>"PER HARI"&amp;CHAR(10)&amp;TEXT($L$40,"0%")</f>
        <v>PER HARI
100%</v>
      </c>
    </row>
    <row r="50" spans="2:21" ht="17.100000000000001" customHeight="1" x14ac:dyDescent="0.25">
      <c r="B50" s="270"/>
      <c r="C50" s="270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4"/>
      <c r="M50" s="275"/>
      <c r="N50" s="275"/>
      <c r="O50" s="277"/>
      <c r="P50" s="277"/>
      <c r="Q50" s="279"/>
      <c r="R50" s="279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5" t="s">
        <v>144</v>
      </c>
      <c r="C67" s="286"/>
      <c r="D67" s="286"/>
      <c r="E67" s="286"/>
      <c r="F67" s="295"/>
      <c r="G67" s="271" t="s">
        <v>185</v>
      </c>
      <c r="H67" s="272"/>
      <c r="I67" s="272"/>
      <c r="J67" s="272"/>
      <c r="K67" s="272"/>
      <c r="L67" s="273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1" t="s">
        <v>170</v>
      </c>
      <c r="C77" s="252"/>
      <c r="D77" s="253"/>
    </row>
    <row r="78" spans="2:21" ht="17.100000000000001" customHeight="1" x14ac:dyDescent="0.25">
      <c r="B78" s="270" t="s">
        <v>41</v>
      </c>
      <c r="C78" s="270" t="s">
        <v>42</v>
      </c>
      <c r="D78" s="231" t="s">
        <v>138</v>
      </c>
    </row>
    <row r="79" spans="2:21" ht="17.100000000000001" customHeight="1" x14ac:dyDescent="0.25">
      <c r="B79" s="260"/>
      <c r="C79" s="260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2026-10-07T00:47:27Z</dcterms:modified>
  <dc:language>en-US</dc:language>
</cp:coreProperties>
</file>