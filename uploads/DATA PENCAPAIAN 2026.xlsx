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D43" i="12"/>
  <c r="D42" i="12"/>
  <c r="L41" i="12"/>
  <c r="K41" i="12"/>
  <c r="J41" i="12"/>
  <c r="I41" i="12"/>
  <c r="H41" i="12"/>
  <c r="G41" i="12"/>
  <c r="F4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2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L57" i="12" s="1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D65" i="14"/>
  <c r="I51" i="4"/>
  <c r="L53" i="5"/>
  <c r="G44" i="13"/>
  <c r="D74" i="11"/>
  <c r="K62" i="11"/>
  <c r="K55" i="12"/>
  <c r="Q55" i="12" s="1"/>
  <c r="R55" i="12" s="1"/>
  <c r="K61" i="11"/>
  <c r="K63" i="12"/>
  <c r="Q63" i="12" s="1"/>
  <c r="R63" i="12" s="1"/>
  <c r="K63" i="10"/>
  <c r="K61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Q52" i="12" s="1"/>
  <c r="R52" i="12" s="1"/>
  <c r="G62" i="12"/>
  <c r="F69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2" i="12"/>
  <c r="L62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K73" i="6"/>
  <c r="L73" i="6" s="1"/>
  <c r="J55" i="7"/>
  <c r="K72" i="8"/>
  <c r="L72" i="8" s="1"/>
  <c r="F72" i="9"/>
  <c r="G55" i="10"/>
  <c r="K60" i="10"/>
  <c r="D65" i="11"/>
  <c r="G55" i="11"/>
  <c r="D46" i="12"/>
  <c r="G59" i="12"/>
  <c r="L59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2" i="12"/>
  <c r="H42" i="12" s="1"/>
  <c r="K58" i="12"/>
  <c r="L58" i="12" s="1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3" i="12"/>
  <c r="P53" i="12" s="1"/>
  <c r="Q54" i="12"/>
  <c r="R54" i="12" s="1"/>
  <c r="Q57" i="12"/>
  <c r="R57" i="12" s="1"/>
  <c r="O57" i="12"/>
  <c r="P57" i="12" s="1"/>
  <c r="M57" i="12"/>
  <c r="N57" i="12" s="1"/>
  <c r="M59" i="12"/>
  <c r="N59" i="12" s="1"/>
  <c r="L64" i="12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1" i="12"/>
  <c r="D65" i="12"/>
  <c r="K51" i="12"/>
  <c r="Q56" i="12"/>
  <c r="R56" i="12" s="1"/>
  <c r="O56" i="12"/>
  <c r="P56" i="12" s="1"/>
  <c r="M56" i="12"/>
  <c r="N56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4" i="14" l="1"/>
  <c r="N64" i="14" s="1"/>
  <c r="Q64" i="13"/>
  <c r="R64" i="13" s="1"/>
  <c r="L57" i="13"/>
  <c r="O52" i="12"/>
  <c r="P52" i="12" s="1"/>
  <c r="M62" i="12"/>
  <c r="N62" i="12" s="1"/>
  <c r="M61" i="12"/>
  <c r="N61" i="12" s="1"/>
  <c r="M53" i="12"/>
  <c r="N53" i="12" s="1"/>
  <c r="I44" i="12"/>
  <c r="J44" i="12" s="1"/>
  <c r="G44" i="12"/>
  <c r="H44" i="12" s="1"/>
  <c r="Q58" i="12"/>
  <c r="R58" i="12" s="1"/>
  <c r="K44" i="12"/>
  <c r="L44" i="12" s="1"/>
  <c r="Q61" i="12"/>
  <c r="R61" i="12" s="1"/>
  <c r="M55" i="12"/>
  <c r="N55" i="12" s="1"/>
  <c r="Q62" i="12"/>
  <c r="R62" i="12" s="1"/>
  <c r="D94" i="12"/>
  <c r="L57" i="11"/>
  <c r="L54" i="11"/>
  <c r="Q63" i="14"/>
  <c r="R63" i="14" s="1"/>
  <c r="M56" i="5"/>
  <c r="N56" i="5" s="1"/>
  <c r="G42" i="14"/>
  <c r="H42" i="14" s="1"/>
  <c r="M63" i="13"/>
  <c r="N63" i="13" s="1"/>
  <c r="M58" i="12"/>
  <c r="N58" i="12" s="1"/>
  <c r="L56" i="13"/>
  <c r="G43" i="12"/>
  <c r="H43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2" i="12"/>
  <c r="Q61" i="11"/>
  <c r="R61" i="11" s="1"/>
  <c r="J64" i="9"/>
  <c r="O55" i="12"/>
  <c r="P55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1" i="12"/>
  <c r="P61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J42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5" i="12" l="1"/>
  <c r="F74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<sst xmlns="http://schemas.openxmlformats.org/spreadsheetml/2006/main" count="2122" uniqueCount="228">
  <si>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</si>
  <si>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</si>
  <si>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</si>
  <si>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</si>
  <si>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</si>
  <si>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</si>
  <si>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</si>
  <si>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</si>
  <si>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</si>
  <si>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</si>
  <si>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</si>
  <si>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</si>
  <si>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</si>
  <si>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</si>
  <si>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</si>
  <si>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</si>
  <si>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</si>
  <si>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</si>
  <si>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</si>
  <si>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</si>
  <si>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</si>
  <si>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</si>
  <si>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</si>
  <si>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</si>
  <si>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</si>
  <si>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</si>
  <si>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</si>
  <si>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</si>
  <si>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</si>
  <si>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</si>
  <si>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</si>
  <si>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</si>
  <si>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</si>
  <si>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</si>
  <si>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</si>
  <si>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</si>
  <si>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</si>
  <si>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</si>
  <si>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</si>
  <si>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</si>
  <si>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</si>
  <si>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</si>
  <si>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</si>
  <si>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</si>
  <si>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</si>
  <si>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</si>
  <si>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</si>
  <si>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</si>
  <si>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</si>
  <si>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</si>
  <si>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</si>
  <si>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</si>
  <si>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</si>
  <si>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</si>
  <si>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</si>
  <si>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</si>
  <si>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</si>
  <si>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</si>
  <si>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</si>
  <si>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</si>
  <si>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</si>
  <si>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</si>
  <si>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</si>
  <si>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</si>
  <si>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</si>
  <si>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</si>
  <si>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</si>
  <si>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</si>
  <si>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</si>
  <si>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</si>
  <si>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</si>
  <si>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</si>
  <si>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</si>
  <si>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</si>
  <si>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</si>
  <si>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</si>
  <si>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</si>
  <si>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</si>
  <si>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</si>
  <si>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</si>
  <si>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</si>
  <si>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</si>
  <si>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</si>
  <si>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</si>
  <si>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</si>
  <si>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</si>
  <si>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</si>
  <si>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</si>
  <si>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</si>
  <si>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</si>
  <si>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</si>
  <si>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</si>
  <si>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</si>
  <si>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</si>
  <si>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</si>
  <si>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</si>
  <si>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</si>
  <si>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</si>
  <si>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</si>
  <si>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</si>
  <si>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</si>
  <si>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</si>
  <si>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</si>
  <si>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</si>
  <si>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</si>
  <si>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</si>
  <si>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</si>
  <si>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</si>
  <si>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</si>
  <si>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</si>
  <si>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</si>
  <si>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</si>
  <si>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</si>
  <si>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</si>
  <si>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</si>
  <si>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</si>
  <si>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</si>
  <si>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</si>
  <si>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</si>
  <si>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</si>
  <si>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</si>
  <si>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</si>
  <si>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</si>
  <si>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</si>
  <si>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</si>
  <si>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</si>
  <si>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</si>
  <si>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</si>
  <si>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</si>
  <si>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</si>
  <si>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</si>
  <si>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</si>
  <si>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</si>
  <si>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</si>
  <si>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</si>
  <si>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</si>
  <si>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</si>
  <si>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</si>
  <si>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</si>
  <si>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</si>
  <si>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</si>
  <si>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</si>
  <si>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</si>
  <si>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</si>
  <si>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</si>
  <si>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</si>
  <si>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</si>
  <si>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</si>
  <si>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</si>
  <si>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</si>
  <si>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</si>
  <si>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</si>
  <si>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</si>
  <si>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</si>
  <si>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</si>
  <si>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</si>
  <si>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</si>
  <si>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</si>
  <si>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</si>
  <si>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</si>
  <si>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</si>
  <si>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</si>
  <si>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</si>
  <si>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</si>
  <si>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</si>
  <si>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</si>
  <si>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</si>
  <si>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</si>
  <si>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</si>
  <si>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</si>
  <si>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</si>
  <si>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</si>
  <si>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</si>
  <si>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</si>
  <si>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</si>
  <si>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</si>
  <si>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</si>
  <si>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</si>
  <si>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</si>
  <si>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</si>
  <si>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</si>
  <si>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</si>
  <si>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</si>
  <si>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</si>
  <si>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</si>
  <si>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</si>
  <si>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</si>
  <si>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</si>
  <si>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</si>
  <si>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</si>
  <si>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</si>
  <si>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</si>
  <si>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</si>
  <si>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</si>
  <si>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</si>
  <si>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</si>
  <si>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</si>
  <si>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</si>
  <si>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</si>
  <si>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</si>
  <si>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</si>
  <si>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</si>
  <si>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</si>
  <si>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</si>
  <si>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</si>
  <si>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</si>
  <si>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</si>
  <si>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</si>
  <si>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</si>
  <si>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</si>
  <si>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</si>
  <si>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</si>
  <si>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</si>
  <si>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</si>
  <si>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</si>
  <si>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</si>
  <si>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</si>
  <si>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</si>
  <si>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</si>
  <si>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</si>
  <si>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</si>
  <si>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</si>
  <si>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</si>
  <si>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</si>
  <si>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</si>
  <si>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</si>
  <si>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</si>
  <si>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DATA PENCAPAIAN — GLOBAL —  10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</si>
</sst>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5" t="s">
        <v>177</v>
      </c>
      <c r="C41" s="276"/>
      <c r="D41" s="27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  <c r="Q48"/>
      <c r="R48"/>
    </row>
    <row r="49" spans="2:18" s="139" customFormat="1" ht="33.950000000000003" customHeight="1" x14ac:dyDescent="0.25">
      <c r="B49" s="283" t="s">
        <v>41</v>
      </c>
      <c r="C49" s="283" t="s">
        <v>42</v>
      </c>
      <c r="D49" s="280" t="s">
        <v>137</v>
      </c>
      <c r="E49" s="281"/>
      <c r="F49" s="282"/>
      <c r="G49" s="140" t="s">
        <v>138</v>
      </c>
      <c r="H49" s="140"/>
      <c r="I49" s="140"/>
      <c r="J49" s="280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3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3"/>
      <c r="C50" s="28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0"/>
      <c r="K50" s="270"/>
      <c r="L50" s="270"/>
      <c r="M50" s="272"/>
      <c r="N50" s="188"/>
      <c r="O50" s="183"/>
      <c r="P50" s="274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65" t="s">
        <v>41</v>
      </c>
      <c r="C78" s="265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65" t="s">
        <v>41</v>
      </c>
      <c r="C78" s="265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5" t="s">
        <v>179</v>
      </c>
      <c r="C41" s="276"/>
      <c r="D41" s="27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5" t="s">
        <v>188</v>
      </c>
      <c r="C41" s="276"/>
      <c r="D41" s="27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5" t="s">
        <v>218</v>
      </c>
      <c r="C40" s="276"/>
      <c r="D40" s="27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5.75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8"/>
      <c r="G67" s="266" t="s">
        <v>185</v>
      </c>
      <c r="H67" s="267"/>
      <c r="I67" s="267"/>
      <c r="J67" s="267"/>
      <c r="K67" s="267"/>
      <c r="L67" s="268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65" t="s">
        <v>41</v>
      </c>
      <c r="C78" s="265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226</v>
      </c>
      <c r="C40" s="276"/>
      <c r="D40" s="27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95%</v>
      </c>
      <c r="N49" s="269" t="str">
        <f>"PER HARI"&amp;CHAR(10)&amp;TEXT($H$40,"0%")</f>
        <v>PER HARI
95%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29" zoomScale="73" zoomScaleNormal="73" workbookViewId="0">
      <selection activeCell="D49" sqref="D49:G4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19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56353562.904443003</v>
      </c>
      <c r="D10" s="235">
        <v>23487806.1855</v>
      </c>
      <c r="E10" s="235">
        <v>77525447.366071001</v>
      </c>
      <c r="F10" s="235">
        <v>60565869.66996</v>
      </c>
      <c r="G10" s="235">
        <v>217932686.125974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2020270.259994</v>
      </c>
      <c r="D11" s="235">
        <v>4489392</v>
      </c>
      <c r="E11" s="235">
        <v>87094595.980000004</v>
      </c>
      <c r="F11" s="235" t="s">
        <v>164</v>
      </c>
      <c r="G11" s="235">
        <v>93604258.239994004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69683542.319285005</v>
      </c>
      <c r="D12" s="235">
        <v>26942566.256451</v>
      </c>
      <c r="E12" s="235">
        <v>59756856.069829002</v>
      </c>
      <c r="F12" s="235">
        <v>45648098.82</v>
      </c>
      <c r="G12" s="235">
        <v>202031063.465565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9220342.5859440006</v>
      </c>
      <c r="D13" s="235">
        <v>13866766.029967001</v>
      </c>
      <c r="E13" s="235">
        <v>85553019.379690006</v>
      </c>
      <c r="F13" s="235">
        <v>25855856.75</v>
      </c>
      <c r="G13" s="235">
        <v>134495984.745601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177062524.51490599</v>
      </c>
      <c r="D14" s="235">
        <v>11798864.623992</v>
      </c>
      <c r="E14" s="235">
        <v>52040117.319968</v>
      </c>
      <c r="F14" s="235">
        <v>129437660.419875</v>
      </c>
      <c r="G14" s="235">
        <v>370339166.87874103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102824806.36691999</v>
      </c>
      <c r="D15" s="235">
        <v>2820531.5399989998</v>
      </c>
      <c r="E15" s="235">
        <v>3808558.4199430002</v>
      </c>
      <c r="F15" s="235">
        <v>6414054.199</v>
      </c>
      <c r="G15" s="235">
        <v>115867950.52586199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199300472.83985001</v>
      </c>
      <c r="D16" s="235">
        <v>29210078.169775002</v>
      </c>
      <c r="E16" s="235">
        <v>134090271.029764</v>
      </c>
      <c r="F16" s="235">
        <v>572889006.229954</v>
      </c>
      <c r="G16" s="235">
        <v>935489828.26934302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40525392.299377002</v>
      </c>
      <c r="D17" s="235">
        <v>14680026.114955001</v>
      </c>
      <c r="E17" s="235">
        <v>16171802.6195</v>
      </c>
      <c r="F17" s="235">
        <v>4421621.7</v>
      </c>
      <c r="G17" s="235">
        <v>75798842.733832002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3791250</v>
      </c>
      <c r="D18" s="235">
        <v>40734296.719850004</v>
      </c>
      <c r="E18" s="235">
        <v>9196460.5</v>
      </c>
      <c r="F18" s="235">
        <v>51351352.399999999</v>
      </c>
      <c r="G18" s="235">
        <v>105073359.61984999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8678444.4800000004</v>
      </c>
      <c r="D19" s="235" t="s">
        <v>164</v>
      </c>
      <c r="E19" s="235" t="s">
        <v>164</v>
      </c>
      <c r="F19" s="235">
        <v>6450450.2800000003</v>
      </c>
      <c r="G19" s="235">
        <v>15128894.76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47113934.039999999</v>
      </c>
      <c r="D20" s="235" t="s">
        <v>164</v>
      </c>
      <c r="E20" s="235" t="s">
        <v>164</v>
      </c>
      <c r="F20" s="235">
        <v>4090089.98</v>
      </c>
      <c r="G20" s="235">
        <v>51204024.020000003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129046454.484906</v>
      </c>
      <c r="D21" s="235">
        <v>16583462.678476</v>
      </c>
      <c r="E21" s="235">
        <v>39179369.499934003</v>
      </c>
      <c r="F21" s="235">
        <v>198600880.79991999</v>
      </c>
      <c r="G21" s="235">
        <v>383410167.46323597</v>
      </c>
      <c r="H21" s="111"/>
      <c r="I21" s="111"/>
      <c r="J21" s="111"/>
      <c r="M21" s="14">
        <f>SUM(C33,C34)+M20</f>
        <v>300319473.25323302</v>
      </c>
      <c r="N21" s="10" t="s">
        <v>223</v>
      </c>
    </row>
    <row r="22" spans="2:15" ht="15" customHeight="1" x14ac:dyDescent="0.25">
      <c r="B22" s="72" t="s">
        <v>224</v>
      </c>
      <c r="C22" s="235">
        <v>77295652.069432005</v>
      </c>
      <c r="D22" s="235">
        <v>12649000.344187001</v>
      </c>
      <c r="E22" s="235">
        <v>37878937.189981997</v>
      </c>
      <c r="F22" s="235">
        <v>72468018.399987996</v>
      </c>
      <c r="G22" s="235">
        <v>200291608.003589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130857940.76216</v>
      </c>
      <c r="D23" s="235">
        <v>23330488.429928999</v>
      </c>
      <c r="E23" s="235">
        <v>66238920.794523001</v>
      </c>
      <c r="F23" s="235">
        <v>113063737.429755</v>
      </c>
      <c r="G23" s="235">
        <v>333491087.41636699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178284191.172355</v>
      </c>
      <c r="D24" s="235">
        <v>25243094.619984001</v>
      </c>
      <c r="E24" s="235">
        <v>68652433.039980993</v>
      </c>
      <c r="F24" s="235">
        <v>279697653.679546</v>
      </c>
      <c r="G24" s="235">
        <v>551877372.51186597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93274320.181878</v>
      </c>
      <c r="D25" s="235">
        <v>34677891.384259</v>
      </c>
      <c r="E25" s="235">
        <v>36652040.701899998</v>
      </c>
      <c r="F25" s="235">
        <v>5486486.6299999999</v>
      </c>
      <c r="G25" s="235">
        <v>170090738.89803699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164972332.25144801</v>
      </c>
      <c r="D26" s="235">
        <v>84521736.158882007</v>
      </c>
      <c r="E26" s="235">
        <v>74531933.849062994</v>
      </c>
      <c r="F26" s="235">
        <v>6505729.8738000002</v>
      </c>
      <c r="G26" s="235">
        <v>330531732.13319302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237"/>
      <c r="G30" s="111"/>
      <c r="H30" s="111"/>
      <c r="I30" s="111"/>
    </row>
    <row r="31" spans="2:15" ht="15" customHeight="1" x14ac:dyDescent="0.25">
      <c r="B31" s="81" t="s">
        <v>131</v>
      </c>
      <c r="C31" s="239">
        <v>56460802.119796999</v>
      </c>
      <c r="G31" s="111"/>
      <c r="H31" s="111"/>
      <c r="I31" s="111"/>
    </row>
    <row r="32" spans="2:15" ht="15" customHeight="1" x14ac:dyDescent="0.25">
      <c r="B32" s="81" t="s">
        <v>132</v>
      </c>
      <c r="C32" s="239">
        <v>40520625.407622002</v>
      </c>
      <c r="G32" s="111"/>
      <c r="H32" s="111"/>
      <c r="I32" s="111"/>
    </row>
    <row r="33" spans="2:19" ht="15" customHeight="1" x14ac:dyDescent="0.25">
      <c r="B33" s="81" t="s">
        <v>133</v>
      </c>
      <c r="C33" s="240">
        <v>60705487.650531001</v>
      </c>
      <c r="G33" s="111"/>
      <c r="H33" s="111"/>
      <c r="I33" s="111"/>
    </row>
    <row r="34" spans="2:19" ht="15" customHeight="1" x14ac:dyDescent="0.25">
      <c r="B34" s="81" t="s">
        <v>134</v>
      </c>
      <c r="C34" s="240">
        <v>239613985.60270199</v>
      </c>
      <c r="G34" s="111"/>
      <c r="H34" s="111"/>
      <c r="I34" s="111"/>
    </row>
    <row r="35" spans="2:19" ht="15" customHeight="1" x14ac:dyDescent="0.25">
      <c r="B35" s="81" t="s">
        <v>135</v>
      </c>
      <c r="C35" s="238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227</v>
      </c>
      <c r="C40" s="276"/>
      <c r="D40" s="277"/>
      <c r="E40" s="66" t="s">
        <v>137</v>
      </c>
      <c r="F40" s="174">
        <f ca="1">IF(MONTH(TODAY())=10,DAY(TODAY())/DAY(EOMONTH(TODAY(),0)),IF(MONTH(TODAY())&gt;10,1,0))</f>
        <v>0.32258064516129031</v>
      </c>
      <c r="G40" s="192" t="s">
        <v>186</v>
      </c>
      <c r="H40" s="198">
        <v>1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4464586688.6595287</v>
      </c>
      <c r="E42" s="46">
        <f>H65</f>
        <v>1387480627.165978</v>
      </c>
      <c r="F42" s="176">
        <f>IFERROR(E42/D42,0)</f>
        <v>0.3107747085951561</v>
      </c>
      <c r="G42" s="184">
        <f>D42*$H$40-E42</f>
        <v>3077106061.4935508</v>
      </c>
      <c r="H42" s="184">
        <f ca="1">IFERROR(G42/$C$3,0)</f>
        <v>161952950.60492373</v>
      </c>
      <c r="I42" s="204">
        <f>D42*$J$40-E42</f>
        <v>3077106061.4935508</v>
      </c>
      <c r="J42" s="204">
        <f ca="1">IFERROR(I42/$C$3,0)</f>
        <v>161952950.60492373</v>
      </c>
      <c r="K42" s="185">
        <f>D42*$L$40-E42</f>
        <v>3077106061.4935508</v>
      </c>
      <c r="L42" s="185">
        <f ca="1">IFERROR(K42/$C$3,0)</f>
        <v>161952950.60492373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1279908063.1092303</v>
      </c>
      <c r="E43" s="46">
        <f>I65</f>
        <v>362215469.71620703</v>
      </c>
      <c r="F43" s="176">
        <f>IFERROR(E43/D43,0)</f>
        <v>0.28300116247122564</v>
      </c>
      <c r="G43" s="184">
        <f>D43*$H$40-E43</f>
        <v>917692593.39302325</v>
      </c>
      <c r="H43" s="184">
        <f ca="1">IFERROR(G43/$C$3,0)</f>
        <v>48299610.178580172</v>
      </c>
      <c r="I43" s="204">
        <f>D43*$J$40-E43</f>
        <v>917692593.39302325</v>
      </c>
      <c r="J43" s="204">
        <f ca="1">IFERROR(I43/$C$3,0)</f>
        <v>48299610.178580172</v>
      </c>
      <c r="K43" s="185">
        <f>D43*$L$40-E43</f>
        <v>917692593.39302325</v>
      </c>
      <c r="L43" s="185">
        <f ca="1">IFERROR(K43/$C$3,0)</f>
        <v>48299610.178580172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SUM(TARGETS!AG5:AG18)</f>
        <v>2914007482.4702153</v>
      </c>
      <c r="E44" s="46">
        <f>J65</f>
        <v>844562205.34020507</v>
      </c>
      <c r="F44" s="176">
        <f>IFERROR(E44/D44,0)</f>
        <v>0.28982842714743701</v>
      </c>
      <c r="G44" s="184">
        <f>IF(D44=0,0,D44*$H$40-E44)</f>
        <v>2069445277.1300101</v>
      </c>
      <c r="H44" s="184">
        <f ca="1">IFERROR(G44/$C$3,0)</f>
        <v>108918172.48052685</v>
      </c>
      <c r="I44" s="204">
        <f>IF(D44=0,0,D44*$J$40-E44)</f>
        <v>2069445277.1300101</v>
      </c>
      <c r="J44" s="204">
        <f ca="1">IFERROR(I44/$C$3,0)</f>
        <v>108918172.48052685</v>
      </c>
      <c r="K44" s="185">
        <f>IF(D44=0,0,D44*$L$40-E44)</f>
        <v>2069445277.1300101</v>
      </c>
      <c r="L44" s="185">
        <f ca="1">IFERROR(K44/$C$3,0)</f>
        <v>108918172.48052685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1779787234.0425532</v>
      </c>
      <c r="E45" s="46">
        <f>E74</f>
        <v>397300900.78065205</v>
      </c>
      <c r="F45" s="176">
        <f>IFERROR(E45/D45,0)</f>
        <v>0.22322943618279315</v>
      </c>
      <c r="G45" s="184">
        <f>D45*$H$40-E45</f>
        <v>1382486333.2619011</v>
      </c>
      <c r="H45" s="184">
        <f ca="1">IFERROR(G45/$C$3,0)</f>
        <v>72762438.59273164</v>
      </c>
      <c r="I45" s="204">
        <f>D45*$J$40-E45</f>
        <v>1382486333.2619011</v>
      </c>
      <c r="J45" s="204">
        <f ca="1">IFERROR(I45/$C$3,0)</f>
        <v>72762438.59273164</v>
      </c>
      <c r="K45" s="185">
        <f>D45*$L$40-E45</f>
        <v>1382486333.2619011</v>
      </c>
      <c r="L45" s="185">
        <f ca="1">IFERROR(K45/$C$3,0)</f>
        <v>72762438.59273164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10438289468.281527</v>
      </c>
      <c r="E46" s="47">
        <f>SUM(E42:E45)</f>
        <v>2991559203.0030422</v>
      </c>
      <c r="F46" s="177">
        <f>IFERROR(E46/D46,0)</f>
        <v>0.28659477322346644</v>
      </c>
      <c r="G46" s="181">
        <f>SUM(G42:G45)</f>
        <v>7446730265.2784853</v>
      </c>
      <c r="H46" s="181">
        <f ca="1">IFERROR(G46/$C$3,0)</f>
        <v>391933171.85676241</v>
      </c>
      <c r="I46" s="186">
        <f>SUM(I42:I45)</f>
        <v>7446730265.2784853</v>
      </c>
      <c r="J46" s="186">
        <f ca="1">IFERROR(I46/$C$3,0)</f>
        <v>391933171.85676241</v>
      </c>
      <c r="K46" s="186">
        <f>SUM(K42:K45)</f>
        <v>7446730265.2784853</v>
      </c>
      <c r="L46" s="186">
        <f ca="1">IFERROR(K46/$C$3,0)</f>
        <v>391933171.85676241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100%</v>
      </c>
      <c r="N49" s="269" t="str">
        <f>"PER HARI"&amp;CHAR(10)&amp;TEXT($H$40,"0%")</f>
        <v>PER HARI
100%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264756949.64136907</v>
      </c>
      <c r="E51" s="118">
        <f>TARGETS!AF5</f>
        <v>58508748.413354225</v>
      </c>
      <c r="F51" s="118">
        <f>TARGETS!AG5</f>
        <v>172968793.98622558</v>
      </c>
      <c r="G51" s="118">
        <f t="shared" ref="G51:G64" si="0">SUM(D51:F51)</f>
        <v>496234492.04094887</v>
      </c>
      <c r="H51" s="114">
        <f>SUMIF($B$10:$B$26,$T51,C$10:C$26)+SUMIF($B$10:$B$26,$U51,C$10:C$26)</f>
        <v>129046454.484906</v>
      </c>
      <c r="I51" s="114">
        <f t="shared" ref="I51:I64" si="1">SUMIF($B$10:$B$26,$T51,D$10:D$26)+SUMIF($B$10:$B$26,$U51,D$10:D$26)</f>
        <v>16583462.678476</v>
      </c>
      <c r="J51" s="114">
        <f t="shared" ref="J51:J64" si="2">SUMIF($B$10:$B$26,$T51,E$10:E$26)+SUMIF($B$10:$B$26,$U51,E$10:E$26)</f>
        <v>39179369.499934003</v>
      </c>
      <c r="K51" s="114">
        <f t="shared" ref="K51:K64" si="3">SUM(H51:J51)</f>
        <v>184809286.66331601</v>
      </c>
      <c r="L51" s="187">
        <f t="shared" ref="L51:L65" si="4">IFERROR(K51/G51,0)</f>
        <v>0.37242329912058131</v>
      </c>
      <c r="M51" s="184">
        <f t="shared" ref="M51:M64" si="5">G51*$H$40-K51</f>
        <v>311425205.37763286</v>
      </c>
      <c r="N51" s="184">
        <f t="shared" ref="N51:N65" ca="1" si="6">IFERROR(M51/$C$3,0)</f>
        <v>16390800.283033308</v>
      </c>
      <c r="O51" s="180">
        <f t="shared" ref="O51:O64" si="7">G51*$J$40-K51</f>
        <v>311425205.37763286</v>
      </c>
      <c r="P51" s="180">
        <f t="shared" ref="P51:P65" ca="1" si="8">IFERROR(O51/$C$3,0)</f>
        <v>16390800.283033308</v>
      </c>
      <c r="Q51" s="185">
        <f t="shared" ref="Q51:Q64" si="9">G51*$L$40-K51</f>
        <v>311425205.37763286</v>
      </c>
      <c r="R51" s="185">
        <f t="shared" ref="R51:R65" ca="1" si="10">IFERROR(Q51/$C$3,0)</f>
        <v>16390800.283033308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180052976.96171179</v>
      </c>
      <c r="E52" s="119">
        <f>TARGETS!AF6</f>
        <v>163445127.22039506</v>
      </c>
      <c r="F52" s="119">
        <f>TARGETS!AG6</f>
        <v>423892749.39216906</v>
      </c>
      <c r="G52" s="119">
        <f t="shared" si="0"/>
        <v>767390853.57427597</v>
      </c>
      <c r="H52" s="114">
        <f t="shared" ref="H52:H64" si="11">SUMIF($B$10:$B$26,$T52,C$10:C$26)+SUMIF($B$10:$B$26,$U52,C$10:C$26)</f>
        <v>78903884.905229002</v>
      </c>
      <c r="I52" s="114">
        <f t="shared" si="1"/>
        <v>40809332.286417998</v>
      </c>
      <c r="J52" s="114">
        <f t="shared" si="2"/>
        <v>145309875.44951901</v>
      </c>
      <c r="K52" s="114">
        <f t="shared" si="3"/>
        <v>265023092.641166</v>
      </c>
      <c r="L52" s="187">
        <f t="shared" si="4"/>
        <v>0.34535607429612702</v>
      </c>
      <c r="M52" s="184">
        <f t="shared" si="5"/>
        <v>502367760.93311</v>
      </c>
      <c r="N52" s="184">
        <f t="shared" ca="1" si="6"/>
        <v>26440408.470163684</v>
      </c>
      <c r="O52" s="180">
        <f t="shared" si="7"/>
        <v>502367760.93311</v>
      </c>
      <c r="P52" s="180">
        <f t="shared" ca="1" si="8"/>
        <v>26440408.470163684</v>
      </c>
      <c r="Q52" s="185">
        <f t="shared" si="9"/>
        <v>502367760.93311</v>
      </c>
      <c r="R52" s="185">
        <f t="shared" ca="1" si="10"/>
        <v>26440408.470163684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TARGETS!AE7</f>
        <v>262953105.06301075</v>
      </c>
      <c r="E53" s="138">
        <f>TARGETS!AF7</f>
        <v>0</v>
      </c>
      <c r="F53" s="138">
        <f>TARGETS!AG7</f>
        <v>0</v>
      </c>
      <c r="G53" s="138">
        <f t="shared" si="0"/>
        <v>262953105.06301075</v>
      </c>
      <c r="H53" s="114">
        <f t="shared" si="11"/>
        <v>8678444.4800000004</v>
      </c>
      <c r="I53" s="114">
        <f t="shared" si="1"/>
        <v>0</v>
      </c>
      <c r="J53" s="114">
        <f t="shared" si="2"/>
        <v>0</v>
      </c>
      <c r="K53" s="114">
        <f t="shared" si="3"/>
        <v>8678444.4800000004</v>
      </c>
      <c r="L53" s="187">
        <f t="shared" si="4"/>
        <v>3.3003772584926913E-2</v>
      </c>
      <c r="M53" s="184">
        <f t="shared" si="5"/>
        <v>254274660.58301076</v>
      </c>
      <c r="N53" s="184">
        <f t="shared" ca="1" si="6"/>
        <v>13382876.87279004</v>
      </c>
      <c r="O53" s="180">
        <f t="shared" si="7"/>
        <v>254274660.58301076</v>
      </c>
      <c r="P53" s="180">
        <f t="shared" ca="1" si="8"/>
        <v>13382876.87279004</v>
      </c>
      <c r="Q53" s="185">
        <f t="shared" si="9"/>
        <v>254274660.58301076</v>
      </c>
      <c r="R53" s="185">
        <f t="shared" ca="1" si="10"/>
        <v>13382876.87279004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590954252.3415246</v>
      </c>
      <c r="E54" s="119">
        <f>TARGETS!AF8</f>
        <v>33662936.863966122</v>
      </c>
      <c r="F54" s="119">
        <f>TARGETS!AG8</f>
        <v>83921591.734509259</v>
      </c>
      <c r="G54" s="119">
        <f t="shared" si="0"/>
        <v>708538780.93999994</v>
      </c>
      <c r="H54" s="114">
        <f t="shared" si="11"/>
        <v>177062524.51490599</v>
      </c>
      <c r="I54" s="114">
        <f t="shared" si="1"/>
        <v>11798864.623992</v>
      </c>
      <c r="J54" s="114">
        <f t="shared" si="2"/>
        <v>52040117.319968</v>
      </c>
      <c r="K54" s="114">
        <f t="shared" si="3"/>
        <v>240901506.458866</v>
      </c>
      <c r="L54" s="187">
        <f t="shared" si="4"/>
        <v>0.33999763024864815</v>
      </c>
      <c r="M54" s="184">
        <f t="shared" si="5"/>
        <v>467637274.48113394</v>
      </c>
      <c r="N54" s="184">
        <f t="shared" ca="1" si="6"/>
        <v>24612488.130585998</v>
      </c>
      <c r="O54" s="180">
        <f t="shared" si="7"/>
        <v>467637274.48113394</v>
      </c>
      <c r="P54" s="180">
        <f t="shared" ca="1" si="8"/>
        <v>24612488.130585998</v>
      </c>
      <c r="Q54" s="185">
        <f t="shared" si="9"/>
        <v>467637274.48113394</v>
      </c>
      <c r="R54" s="185">
        <f t="shared" ca="1" si="10"/>
        <v>24612488.130585998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TARGETS!AE9</f>
        <v>5575801.9517222047</v>
      </c>
      <c r="E55" s="118">
        <f>TARGETS!AF9</f>
        <v>63507750.38497854</v>
      </c>
      <c r="F55" s="118">
        <f>TARGETS!AG9</f>
        <v>468117447.23398483</v>
      </c>
      <c r="G55" s="118">
        <f t="shared" si="0"/>
        <v>537200999.57068563</v>
      </c>
      <c r="H55" s="114">
        <f t="shared" si="11"/>
        <v>2020270.259994</v>
      </c>
      <c r="I55" s="114">
        <f t="shared" si="1"/>
        <v>4489392</v>
      </c>
      <c r="J55" s="114">
        <f t="shared" si="2"/>
        <v>87094595.980000004</v>
      </c>
      <c r="K55" s="114">
        <f t="shared" si="3"/>
        <v>93604258.239994004</v>
      </c>
      <c r="L55" s="187">
        <f t="shared" si="4"/>
        <v>0.1742443858347241</v>
      </c>
      <c r="M55" s="184">
        <f t="shared" si="5"/>
        <v>443596741.33069164</v>
      </c>
      <c r="N55" s="184">
        <f t="shared" ca="1" si="6"/>
        <v>23347196.912141666</v>
      </c>
      <c r="O55" s="180">
        <f t="shared" si="7"/>
        <v>443596741.33069164</v>
      </c>
      <c r="P55" s="180">
        <f t="shared" ca="1" si="8"/>
        <v>23347196.912141666</v>
      </c>
      <c r="Q55" s="185">
        <f t="shared" si="9"/>
        <v>443596741.33069164</v>
      </c>
      <c r="R55" s="185">
        <f t="shared" ca="1" si="10"/>
        <v>23347196.912141666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TARGETS!AE10</f>
        <v>267520870.86594501</v>
      </c>
      <c r="E56" s="119">
        <f>TARGETS!AF10</f>
        <v>105132391.14913487</v>
      </c>
      <c r="F56" s="119">
        <f>TARGETS!AG10</f>
        <v>184159698.63927278</v>
      </c>
      <c r="G56" s="119">
        <f t="shared" si="0"/>
        <v>556812960.65435266</v>
      </c>
      <c r="H56" s="114">
        <f t="shared" si="11"/>
        <v>77295652.069432005</v>
      </c>
      <c r="I56" s="114">
        <f t="shared" si="1"/>
        <v>12649000.344187001</v>
      </c>
      <c r="J56" s="114">
        <f t="shared" si="2"/>
        <v>37878937.189981997</v>
      </c>
      <c r="K56" s="114">
        <f t="shared" si="3"/>
        <v>127823589.60360101</v>
      </c>
      <c r="L56" s="187">
        <f t="shared" si="4"/>
        <v>0.229562884910915</v>
      </c>
      <c r="M56" s="184">
        <f t="shared" si="5"/>
        <v>428989371.05075169</v>
      </c>
      <c r="N56" s="184">
        <f t="shared" ca="1" si="6"/>
        <v>22578387.950039562</v>
      </c>
      <c r="O56" s="180">
        <f t="shared" si="7"/>
        <v>428989371.05075169</v>
      </c>
      <c r="P56" s="180">
        <f t="shared" ca="1" si="8"/>
        <v>22578387.950039562</v>
      </c>
      <c r="Q56" s="185">
        <f t="shared" si="9"/>
        <v>428989371.05075169</v>
      </c>
      <c r="R56" s="185">
        <f t="shared" ca="1" si="10"/>
        <v>22578387.950039562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664600150.5441153</v>
      </c>
      <c r="E57" s="118">
        <f>TARGETS!AF11</f>
        <v>83317068.128031164</v>
      </c>
      <c r="F57" s="118">
        <f>TARGETS!AG11</f>
        <v>343133819.00673455</v>
      </c>
      <c r="G57" s="118">
        <f t="shared" si="0"/>
        <v>1091051037.6788809</v>
      </c>
      <c r="H57" s="114">
        <f t="shared" si="11"/>
        <v>199300472.83985001</v>
      </c>
      <c r="I57" s="114">
        <f t="shared" si="1"/>
        <v>29210078.169775002</v>
      </c>
      <c r="J57" s="114">
        <f t="shared" si="2"/>
        <v>134090271.029764</v>
      </c>
      <c r="K57" s="114">
        <f t="shared" si="3"/>
        <v>362600822.03938901</v>
      </c>
      <c r="L57" s="187">
        <f t="shared" si="4"/>
        <v>0.33234084338601766</v>
      </c>
      <c r="M57" s="184">
        <f t="shared" si="5"/>
        <v>728450215.63949192</v>
      </c>
      <c r="N57" s="184">
        <f t="shared" ca="1" si="6"/>
        <v>38339485.033657469</v>
      </c>
      <c r="O57" s="180">
        <f t="shared" si="7"/>
        <v>728450215.63949192</v>
      </c>
      <c r="P57" s="180">
        <f t="shared" ca="1" si="8"/>
        <v>38339485.033657469</v>
      </c>
      <c r="Q57" s="185">
        <f t="shared" si="9"/>
        <v>728450215.63949192</v>
      </c>
      <c r="R57" s="185">
        <f t="shared" ca="1" si="10"/>
        <v>38339485.033657469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259993077.39884707</v>
      </c>
      <c r="E58" s="119">
        <f>TARGETS!AF12</f>
        <v>86845105.094943255</v>
      </c>
      <c r="F58" s="119">
        <f>TARGETS!AG12</f>
        <v>249609659.83737293</v>
      </c>
      <c r="G58" s="119">
        <f t="shared" si="0"/>
        <v>596447842.33116329</v>
      </c>
      <c r="H58" s="114">
        <f t="shared" si="11"/>
        <v>130857940.76216</v>
      </c>
      <c r="I58" s="114">
        <f t="shared" si="1"/>
        <v>23330488.429928999</v>
      </c>
      <c r="J58" s="114">
        <f t="shared" si="2"/>
        <v>66238920.794523001</v>
      </c>
      <c r="K58" s="114">
        <f t="shared" si="3"/>
        <v>220427349.98661199</v>
      </c>
      <c r="L58" s="187">
        <f t="shared" si="4"/>
        <v>0.36956684950873714</v>
      </c>
      <c r="M58" s="184">
        <f t="shared" si="5"/>
        <v>376020492.34455132</v>
      </c>
      <c r="N58" s="184">
        <f t="shared" ca="1" si="6"/>
        <v>19790552.228660595</v>
      </c>
      <c r="O58" s="180">
        <f t="shared" si="7"/>
        <v>376020492.34455132</v>
      </c>
      <c r="P58" s="180">
        <f t="shared" ca="1" si="8"/>
        <v>19790552.228660595</v>
      </c>
      <c r="Q58" s="185">
        <f t="shared" si="9"/>
        <v>376020492.34455132</v>
      </c>
      <c r="R58" s="185">
        <f t="shared" ca="1" si="10"/>
        <v>19790552.228660595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TARGETS!AE13</f>
        <v>443846715.57642001</v>
      </c>
      <c r="E59" s="138">
        <f>TARGETS!AF13</f>
        <v>0</v>
      </c>
      <c r="F59" s="138">
        <f>TARGETS!AG13</f>
        <v>0</v>
      </c>
      <c r="G59" s="138">
        <f t="shared" si="0"/>
        <v>443846715.57642001</v>
      </c>
      <c r="H59" s="114">
        <f t="shared" si="11"/>
        <v>47113934.039999999</v>
      </c>
      <c r="I59" s="114">
        <f t="shared" si="1"/>
        <v>0</v>
      </c>
      <c r="J59" s="114">
        <f t="shared" si="2"/>
        <v>0</v>
      </c>
      <c r="K59" s="114">
        <f t="shared" si="3"/>
        <v>47113934.039999999</v>
      </c>
      <c r="L59" s="187">
        <f t="shared" si="4"/>
        <v>0.10614911046218632</v>
      </c>
      <c r="M59" s="184">
        <f t="shared" si="5"/>
        <v>396732781.53641999</v>
      </c>
      <c r="N59" s="184">
        <f t="shared" ca="1" si="6"/>
        <v>20880672.712443158</v>
      </c>
      <c r="O59" s="180">
        <f t="shared" si="7"/>
        <v>396732781.53641999</v>
      </c>
      <c r="P59" s="180">
        <f t="shared" ca="1" si="8"/>
        <v>20880672.712443158</v>
      </c>
      <c r="Q59" s="185">
        <f t="shared" si="9"/>
        <v>396732781.53641999</v>
      </c>
      <c r="R59" s="185">
        <f t="shared" ca="1" si="10"/>
        <v>20880672.712443158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TARGETS!AE14</f>
        <v>345737237.66667807</v>
      </c>
      <c r="E60" s="119">
        <f>TARGETS!AF14</f>
        <v>99843502.42153886</v>
      </c>
      <c r="F60" s="119">
        <f>TARGETS!AG14</f>
        <v>115472440.26230113</v>
      </c>
      <c r="G60" s="119">
        <f t="shared" si="0"/>
        <v>561053180.35051799</v>
      </c>
      <c r="H60" s="114">
        <f t="shared" si="11"/>
        <v>93274320.181878</v>
      </c>
      <c r="I60" s="114">
        <f t="shared" si="1"/>
        <v>34677891.384259</v>
      </c>
      <c r="J60" s="114">
        <f t="shared" si="2"/>
        <v>36652040.701899998</v>
      </c>
      <c r="K60" s="114">
        <f t="shared" si="3"/>
        <v>164604252.26803699</v>
      </c>
      <c r="L60" s="187">
        <f t="shared" si="4"/>
        <v>0.29338440282113804</v>
      </c>
      <c r="M60" s="184">
        <f t="shared" si="5"/>
        <v>396448928.08248103</v>
      </c>
      <c r="N60" s="184">
        <f t="shared" ca="1" si="6"/>
        <v>20865733.056972686</v>
      </c>
      <c r="O60" s="180">
        <f t="shared" si="7"/>
        <v>396448928.08248103</v>
      </c>
      <c r="P60" s="180">
        <f t="shared" ca="1" si="8"/>
        <v>20865733.056972686</v>
      </c>
      <c r="Q60" s="185">
        <f t="shared" si="9"/>
        <v>396448928.08248103</v>
      </c>
      <c r="R60" s="185">
        <f t="shared" ca="1" si="10"/>
        <v>20865733.056972686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476796144.98316145</v>
      </c>
      <c r="E61" s="118">
        <f>TARGETS!AF15</f>
        <v>53126030.965583593</v>
      </c>
      <c r="F61" s="118">
        <f>TARGETS!AG15</f>
        <v>168537597.75857076</v>
      </c>
      <c r="G61" s="118">
        <f t="shared" si="0"/>
        <v>698459773.7073158</v>
      </c>
      <c r="H61" s="114">
        <f t="shared" si="11"/>
        <v>178284191.172355</v>
      </c>
      <c r="I61" s="114">
        <f t="shared" si="1"/>
        <v>25243094.619984001</v>
      </c>
      <c r="J61" s="114">
        <f t="shared" si="2"/>
        <v>68652433.039980993</v>
      </c>
      <c r="K61" s="114">
        <f t="shared" si="3"/>
        <v>272179718.83231997</v>
      </c>
      <c r="L61" s="187">
        <f t="shared" si="4"/>
        <v>0.38968560406511654</v>
      </c>
      <c r="M61" s="184">
        <f t="shared" si="5"/>
        <v>426280054.87499583</v>
      </c>
      <c r="N61" s="184">
        <f t="shared" ca="1" si="6"/>
        <v>22435792.361841887</v>
      </c>
      <c r="O61" s="180">
        <f t="shared" si="7"/>
        <v>426280054.87499583</v>
      </c>
      <c r="P61" s="180">
        <f t="shared" ca="1" si="8"/>
        <v>22435792.361841887</v>
      </c>
      <c r="Q61" s="185">
        <f t="shared" si="9"/>
        <v>426280054.87499583</v>
      </c>
      <c r="R61" s="185">
        <f t="shared" ca="1" si="10"/>
        <v>22435792.361841887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168507149.83198008</v>
      </c>
      <c r="E62" s="119">
        <f>TARGETS!AF16</f>
        <v>30531298.995438561</v>
      </c>
      <c r="F62" s="119">
        <f>TARGETS!AG16</f>
        <v>259851780.88751724</v>
      </c>
      <c r="G62" s="119">
        <f t="shared" si="0"/>
        <v>458890229.7149359</v>
      </c>
      <c r="H62" s="114">
        <f t="shared" si="11"/>
        <v>56353562.904443003</v>
      </c>
      <c r="I62" s="114">
        <f t="shared" si="1"/>
        <v>23487806.1855</v>
      </c>
      <c r="J62" s="114">
        <f t="shared" si="2"/>
        <v>77525447.366071001</v>
      </c>
      <c r="K62" s="114">
        <f t="shared" si="3"/>
        <v>157366816.45601401</v>
      </c>
      <c r="L62" s="187">
        <f t="shared" si="4"/>
        <v>0.34292910649627645</v>
      </c>
      <c r="M62" s="184">
        <f t="shared" si="5"/>
        <v>301523413.25892186</v>
      </c>
      <c r="N62" s="184">
        <f t="shared" ca="1" si="6"/>
        <v>15869653.32941694</v>
      </c>
      <c r="O62" s="180">
        <f t="shared" si="7"/>
        <v>301523413.25892186</v>
      </c>
      <c r="P62" s="180">
        <f t="shared" ca="1" si="8"/>
        <v>15869653.32941694</v>
      </c>
      <c r="Q62" s="185">
        <f t="shared" si="9"/>
        <v>301523413.25892186</v>
      </c>
      <c r="R62" s="185">
        <f t="shared" ca="1" si="10"/>
        <v>15869653.32941694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409968842.36459517</v>
      </c>
      <c r="E63" s="118">
        <f>TARGETS!AF17</f>
        <v>308297473.95300913</v>
      </c>
      <c r="F63" s="118">
        <f>TARGETS!AG17</f>
        <v>242574653.13033652</v>
      </c>
      <c r="G63" s="118">
        <f t="shared" si="0"/>
        <v>960840969.44794083</v>
      </c>
      <c r="H63" s="114">
        <f t="shared" si="11"/>
        <v>164972332.25144801</v>
      </c>
      <c r="I63" s="114">
        <f t="shared" si="1"/>
        <v>84521736.158882007</v>
      </c>
      <c r="J63" s="114">
        <f t="shared" si="2"/>
        <v>74531933.849062994</v>
      </c>
      <c r="K63" s="114">
        <f t="shared" si="3"/>
        <v>324026002.25939298</v>
      </c>
      <c r="L63" s="187">
        <f t="shared" si="4"/>
        <v>0.33723166742730049</v>
      </c>
      <c r="M63" s="184">
        <f t="shared" si="5"/>
        <v>636814967.18854785</v>
      </c>
      <c r="N63" s="184">
        <f t="shared" ca="1" si="6"/>
        <v>33516577.220449887</v>
      </c>
      <c r="O63" s="180">
        <f t="shared" si="7"/>
        <v>636814967.18854785</v>
      </c>
      <c r="P63" s="180">
        <f t="shared" ca="1" si="8"/>
        <v>33516577.220449887</v>
      </c>
      <c r="Q63" s="185">
        <f t="shared" si="9"/>
        <v>636814967.18854785</v>
      </c>
      <c r="R63" s="185">
        <f t="shared" ca="1" si="10"/>
        <v>33516577.220449887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123323413.46844758</v>
      </c>
      <c r="E64" s="119">
        <f>TARGETS!AF18</f>
        <v>193690629.51885673</v>
      </c>
      <c r="F64" s="119">
        <f>TARGETS!AG18</f>
        <v>201767250.60122082</v>
      </c>
      <c r="G64" s="119">
        <f t="shared" si="0"/>
        <v>518781293.58852518</v>
      </c>
      <c r="H64" s="114">
        <f t="shared" si="11"/>
        <v>44316642.299377002</v>
      </c>
      <c r="I64" s="114">
        <f t="shared" si="1"/>
        <v>55414322.834805004</v>
      </c>
      <c r="J64" s="114">
        <f t="shared" si="2"/>
        <v>25368263.1195</v>
      </c>
      <c r="K64" s="114">
        <f t="shared" si="3"/>
        <v>125099228.253682</v>
      </c>
      <c r="L64" s="187">
        <f t="shared" si="4"/>
        <v>0.241140591998495</v>
      </c>
      <c r="M64" s="184">
        <f t="shared" si="5"/>
        <v>393682065.33484316</v>
      </c>
      <c r="N64" s="184">
        <f t="shared" ca="1" si="6"/>
        <v>20720108.701833852</v>
      </c>
      <c r="O64" s="180">
        <f t="shared" si="7"/>
        <v>393682065.33484316</v>
      </c>
      <c r="P64" s="180">
        <f t="shared" ca="1" si="8"/>
        <v>20720108.701833852</v>
      </c>
      <c r="Q64" s="185">
        <f t="shared" si="9"/>
        <v>393682065.33484316</v>
      </c>
      <c r="R64" s="185">
        <f t="shared" ca="1" si="10"/>
        <v>20720108.701833852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4464586688.6595287</v>
      </c>
      <c r="E65" s="134">
        <f t="shared" si="12"/>
        <v>1279908063.1092303</v>
      </c>
      <c r="F65" s="134">
        <f t="shared" si="12"/>
        <v>2914007482.4702153</v>
      </c>
      <c r="G65" s="134">
        <f t="shared" si="12"/>
        <v>8658502234.2389736</v>
      </c>
      <c r="H65" s="135">
        <f t="shared" si="12"/>
        <v>1387480627.165978</v>
      </c>
      <c r="I65" s="135">
        <f t="shared" si="12"/>
        <v>362215469.71620703</v>
      </c>
      <c r="J65" s="135">
        <f t="shared" si="12"/>
        <v>844562205.34020507</v>
      </c>
      <c r="K65" s="135">
        <f t="shared" si="12"/>
        <v>2594258302.2223902</v>
      </c>
      <c r="L65" s="189">
        <f t="shared" si="4"/>
        <v>0.29961975316743783</v>
      </c>
      <c r="M65" s="181">
        <f>SUM(M51:M64)</f>
        <v>6064243932.0165844</v>
      </c>
      <c r="N65" s="181">
        <f t="shared" ca="1" si="6"/>
        <v>319170733.26403075</v>
      </c>
      <c r="O65" s="181">
        <f>SUM(O51:O64)</f>
        <v>6064243932.0165844</v>
      </c>
      <c r="P65" s="181">
        <f t="shared" ca="1" si="8"/>
        <v>319170733.26403075</v>
      </c>
      <c r="Q65" s="186">
        <f>SUM(Q51:Q64)</f>
        <v>6064243932.0165844</v>
      </c>
      <c r="R65" s="186">
        <f t="shared" ca="1" si="10"/>
        <v>319170733.26403075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269378070.68085116</v>
      </c>
      <c r="E69" s="114">
        <f>IFERROR($C$31,0)</f>
        <v>56460802.119796999</v>
      </c>
      <c r="F69" s="187">
        <f t="shared" ref="F69:F74" si="13">IFERROR(E69/D69,0)</f>
        <v>0.20959687615659553</v>
      </c>
      <c r="G69" s="184">
        <f>D69*$H$40-E69</f>
        <v>212917268.56105417</v>
      </c>
      <c r="H69" s="184">
        <f t="shared" ref="H69:H74" ca="1" si="14">IFERROR(G69/$C$3,0)</f>
        <v>11206172.029529167</v>
      </c>
      <c r="I69" s="204">
        <f>D69*$J$40-E69</f>
        <v>212917268.56105417</v>
      </c>
      <c r="J69" s="204">
        <f t="shared" ref="J69:J74" ca="1" si="15">IFERROR(I69/$C$3,0)</f>
        <v>11206172.029529167</v>
      </c>
      <c r="K69" s="185">
        <f>D69*$L$40-E69</f>
        <v>212917268.56105417</v>
      </c>
      <c r="L69" s="185">
        <f t="shared" ref="L69:L74" ca="1" si="16">IFERROR(K69/$C$3,0)</f>
        <v>11206172.029529167</v>
      </c>
    </row>
    <row r="70" spans="2:21" ht="15.95" customHeight="1" x14ac:dyDescent="0.25">
      <c r="B70" s="53" t="s">
        <v>94</v>
      </c>
      <c r="C70" s="56" t="s">
        <v>99</v>
      </c>
      <c r="D70" s="117">
        <f>TARGETS!M23</f>
        <v>412678979.6808511</v>
      </c>
      <c r="E70" s="114">
        <f>IFERROR($C$32,0)</f>
        <v>40520625.407622002</v>
      </c>
      <c r="F70" s="187">
        <f t="shared" si="13"/>
        <v>9.8189215837838364E-2</v>
      </c>
      <c r="G70" s="184">
        <f>D70*$H$40-E70</f>
        <v>372158354.27322912</v>
      </c>
      <c r="H70" s="184">
        <f t="shared" ca="1" si="14"/>
        <v>19587281.803854164</v>
      </c>
      <c r="I70" s="204">
        <f>D70*$J$40-E70</f>
        <v>372158354.27322912</v>
      </c>
      <c r="J70" s="204">
        <f t="shared" ca="1" si="15"/>
        <v>19587281.803854164</v>
      </c>
      <c r="K70" s="185">
        <f>D70*$L$40-E70</f>
        <v>372158354.27322912</v>
      </c>
      <c r="L70" s="185">
        <f t="shared" ca="1" si="16"/>
        <v>19587281.803854164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1097730183.680851</v>
      </c>
      <c r="E71" s="114">
        <f>M21</f>
        <v>300319473.25323302</v>
      </c>
      <c r="F71" s="187">
        <f t="shared" si="13"/>
        <v>0.27358223151541444</v>
      </c>
      <c r="G71" s="184">
        <f>D71*$H$40-E71</f>
        <v>797410710.42761803</v>
      </c>
      <c r="H71" s="184">
        <f t="shared" ca="1" si="14"/>
        <v>41968984.759348318</v>
      </c>
      <c r="I71" s="204">
        <f>D71*$J$40-E71</f>
        <v>797410710.42761803</v>
      </c>
      <c r="J71" s="204">
        <f t="shared" ca="1" si="15"/>
        <v>41968984.759348318</v>
      </c>
      <c r="K71" s="185">
        <f>D71*$L$40-E71</f>
        <v>797410710.42761803</v>
      </c>
      <c r="L71" s="185">
        <f t="shared" ca="1" si="16"/>
        <v>41968984.759348318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ht="15.95" customHeight="1" x14ac:dyDescent="0.25">
      <c r="B74" s="57" t="s">
        <v>151</v>
      </c>
      <c r="C74" s="58"/>
      <c r="D74" s="115">
        <f>SUM(D69:D73)</f>
        <v>1779787234.0425532</v>
      </c>
      <c r="E74" s="115">
        <f>SUM(E69:E73)</f>
        <v>397300900.78065205</v>
      </c>
      <c r="F74" s="177">
        <f t="shared" si="13"/>
        <v>0.22322943618279315</v>
      </c>
      <c r="G74" s="181">
        <f>SUM(G69:G73)</f>
        <v>1382486333.2619014</v>
      </c>
      <c r="H74" s="181">
        <f t="shared" ca="1" si="14"/>
        <v>72762438.592731655</v>
      </c>
      <c r="I74" s="186">
        <f>SUM(I69:I73)</f>
        <v>1382486333.2619014</v>
      </c>
      <c r="J74" s="186">
        <f t="shared" ca="1" si="15"/>
        <v>72762438.592731655</v>
      </c>
      <c r="K74" s="186">
        <f>SUM(K69:K73)</f>
        <v>1382486333.2619014</v>
      </c>
      <c r="L74" s="186">
        <f t="shared" ca="1" si="16"/>
        <v>72762438.592731655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198600880.79991999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71503955.569999993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8"/>
        <v>6450450.2800000003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129437660.419875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8"/>
        <v>72468018.399987996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572889006.229954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113063737.429755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8"/>
        <v>4090089.98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5486486.6299999999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279697653.679546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60565869.66996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6505729.8738000002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55772974.100000001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1576532513.0627983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174</v>
      </c>
      <c r="C40" s="276"/>
      <c r="D40" s="27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176</v>
      </c>
      <c r="C40" s="276"/>
      <c r="D40" s="27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2026-10-10T00:56:48Z</dcterms:modified>
  <dc:language>en-US</dc:language>
</cp:coreProperties>
</file>