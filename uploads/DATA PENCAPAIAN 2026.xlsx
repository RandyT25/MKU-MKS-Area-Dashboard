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<sst xmlns="http://schemas.openxmlformats.org/spreadsheetml/2006/main" count="1875" uniqueCount="185">
  <si>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</si>
  <si>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</si>
  <si>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</si>
  <si>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</si>
  <si>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</si>
  <si>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</si>
  <si>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</si>
  <si>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</si>
  <si>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</si>
  <si>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</si>
  <si>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</si>
  <si>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</si>
  <si>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</si>
  <si>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</si>
  <si>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</si>
  <si>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</si>
  <si>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</si>
  <si>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</si>
  <si>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</si>
  <si>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</si>
  <si>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</si>
  <si>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</si>
  <si>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</si>
  <si>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</si>
  <si>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</si>
  <si>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</si>
  <si>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</si>
  <si>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</si>
  <si>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</si>
  <si>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</si>
  <si>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</si>
  <si>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</si>
  <si>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</si>
  <si>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</si>
  <si>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</si>
  <si>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</si>
  <si>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</si>
  <si>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</si>
  <si>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</si>
  <si>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</si>
  <si>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</si>
  <si>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</si>
  <si>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</si>
  <si>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</si>
  <si>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</si>
  <si>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</si>
  <si>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</si>
  <si>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</si>
  <si>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</si>
  <si>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</si>
  <si>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</si>
  <si>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</si>
  <si>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</si>
  <si>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</si>
  <si>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</si>
  <si>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</si>
  <si>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</si>
  <si>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</si>
  <si>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</si>
  <si>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</si>
  <si>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</si>
  <si>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</si>
  <si>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</si>
  <si>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</si>
  <si>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</si>
  <si>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</si>
  <si>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</si>
  <si>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</si>
  <si>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</si>
  <si>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</si>
  <si>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</si>
  <si>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</si>
  <si>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</si>
  <si>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</si>
  <si>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</si>
  <si>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</si>
  <si>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</si>
  <si>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</si>
  <si>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</si>
  <si>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</si>
  <si>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</si>
  <si>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</si>
  <si>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</si>
  <si>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</si>
  <si>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</si>
  <si>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</si>
  <si>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</si>
  <si>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</si>
  <si>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</si>
  <si>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</si>
  <si>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</si>
  <si>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</si>
  <si>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</si>
  <si>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</si>
  <si>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</si>
  <si>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</si>
  <si>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</si>
  <si>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</si>
  <si>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</si>
  <si>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</si>
  <si>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</si>
  <si>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</si>
  <si>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</si>
  <si>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</si>
  <si>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</si>
  <si>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</si>
  <si>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</si>
  <si>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</si>
  <si>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</si>
  <si>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</si>
  <si>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</si>
  <si>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</si>
  <si>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</si>
  <si>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</si>
  <si>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</si>
  <si>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</si>
  <si>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</si>
  <si>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</si>
  <si>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</si>
  <si>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</si>
  <si>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</si>
  <si>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</si>
  <si>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</si>
  <si>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</si>
  <si>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</si>
  <si>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</si>
  <si>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</si>
  <si>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</si>
  <si>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</si>
  <si>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</si>
  <si>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</si>
  <si>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</si>
  <si>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</si>
  <si>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</si>
  <si>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</si>
  <si>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</si>
  <si>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</si>
  <si>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</si>
  <si>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</si>
  <si>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</si>
  <si>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</si>
  <si>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</si>
  <si>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</si>
  <si>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</si>
  <si>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</si>
  <si>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</si>
  <si>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</si>
  <si>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</si>
  <si>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</si>
  <si>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</si>
  <si>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</si>
  <si>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</si>
  <si>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</si>
  <si>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</si>
  <si>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</si>
  <si>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</si>
  <si>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</si>
  <si>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</si>
  <si>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</si>
  <si>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</si>
  <si>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</si>
  <si>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</si>
  <si>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</si>
  <si>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</si>
  <si>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</si>
  <si>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</si>
  <si>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</si>
  <si>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</si>
  <si>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</si>
  <si>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</si>
  <si>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</si>
  <si>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</si>
  <si>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</si>
  <si>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</si>
  <si>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</si>
  <si>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</si>
  <si>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</si>
  <si>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</si>
  <si>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</si>
  <si>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</si>
  <si>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</si>
  <si>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</si>
  <si>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</si>
  <si>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</si>
  <si>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24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</si>
</sst>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41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8" t="s">
        <v>0</v>
      </c>
      <c r="C1" s="208"/>
    </row>
    <row r="3" spans="2:3" x14ac:dyDescent="0.25">
      <c r="B3" s="209" t="s">
        <v>1</v>
      </c>
      <c r="C3" s="20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10" t="s">
        <v>14</v>
      </c>
      <c r="C11" s="21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9" t="s">
        <v>28</v>
      </c>
      <c r="C3" s="20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1" t="s">
        <v>102</v>
      </c>
      <c r="C29" s="211"/>
      <c r="D29" s="211"/>
      <c r="E29" s="211"/>
      <c r="F29" s="21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3" t="s">
        <v>146</v>
      </c>
      <c r="C44" s="22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5" t="s">
        <v>41</v>
      </c>
      <c r="C47" s="225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25" t="s">
        <v>140</v>
      </c>
      <c r="K47" s="35" t="s">
        <v>148</v>
      </c>
      <c r="L47" s="35"/>
      <c r="M47" s="35"/>
      <c r="N47" s="219" t="s">
        <v>149</v>
      </c>
    </row>
    <row r="48" spans="2:17" ht="15.75" x14ac:dyDescent="0.25">
      <c r="B48" s="225"/>
      <c r="C48" s="22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5"/>
      <c r="K48" s="34" t="s">
        <v>143</v>
      </c>
      <c r="L48" s="34" t="s">
        <v>111</v>
      </c>
      <c r="M48" s="34" t="s">
        <v>146</v>
      </c>
      <c r="N48" s="21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6" t="s">
        <v>182</v>
      </c>
      <c r="C41" s="227"/>
      <c r="D41" s="228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3" t="s">
        <v>146</v>
      </c>
      <c r="C46" s="22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37"/>
      <c r="L48" s="238"/>
      <c r="M48" s="238"/>
      <c r="N48" s="239"/>
    </row>
    <row r="49" spans="2:14" s="158" customFormat="1" ht="20.100000000000001" customHeight="1" x14ac:dyDescent="0.25">
      <c r="B49" s="236" t="s">
        <v>41</v>
      </c>
      <c r="C49" s="236" t="s">
        <v>42</v>
      </c>
      <c r="D49" s="233" t="s">
        <v>138</v>
      </c>
      <c r="E49" s="234"/>
      <c r="F49" s="235"/>
      <c r="G49" s="159" t="s">
        <v>139</v>
      </c>
      <c r="H49" s="159"/>
      <c r="I49" s="159"/>
      <c r="J49" s="236" t="s">
        <v>140</v>
      </c>
      <c r="K49" s="160" t="s">
        <v>148</v>
      </c>
      <c r="L49" s="160"/>
      <c r="M49" s="160"/>
      <c r="N49" s="229" t="s">
        <v>149</v>
      </c>
    </row>
    <row r="50" spans="2:14" s="158" customFormat="1" ht="20.100000000000001" customHeight="1" x14ac:dyDescent="0.25">
      <c r="B50" s="236"/>
      <c r="C50" s="23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6"/>
      <c r="K50" s="163" t="s">
        <v>143</v>
      </c>
      <c r="L50" s="163" t="s">
        <v>111</v>
      </c>
      <c r="M50" s="163" t="s">
        <v>146</v>
      </c>
      <c r="N50" s="22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5" t="s">
        <v>41</v>
      </c>
      <c r="C68" s="22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5"/>
      <c r="C69" s="225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30" t="s">
        <v>145</v>
      </c>
      <c r="C87" s="231"/>
      <c r="D87" s="231"/>
      <c r="E87" s="231"/>
      <c r="F87" s="23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6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0" t="s">
        <v>183</v>
      </c>
      <c r="C41" s="241"/>
      <c r="D41" s="242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105465680.03526783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92597888.286115125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18295419.123285454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216358987.44466841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0.100000000000001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22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25324020.554427218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22658272.497878332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7317570.3666666644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-6724784.5810045199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21799062.935254354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13447917.409157276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-4186189.2781232595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18469071.372548342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17268690.028337497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12601991.276213398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29539359.567646373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19729054.693695474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5767613.8271659017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15051917.651520064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198063568.32138312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5" t="s">
        <v>41</v>
      </c>
      <c r="C68" s="225" t="s">
        <v>42</v>
      </c>
      <c r="D68" s="134" t="s">
        <v>139</v>
      </c>
    </row>
    <row r="69" spans="2:14" ht="18" customHeight="1" x14ac:dyDescent="0.25">
      <c r="B69" s="225"/>
      <c r="C69" s="225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-2227162.9860454104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-3088247.122980406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23610829.23231129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18295419.123285472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283224685.04754502</v>
      </c>
      <c r="N8" s="11">
        <f>D24</f>
        <v>51991479.633472003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470556595.661156</v>
      </c>
      <c r="N9" s="11">
        <f>D12+D13</f>
        <v>118996257.09874301</v>
      </c>
    </row>
    <row r="10" spans="2:14" x14ac:dyDescent="0.25">
      <c r="B10" s="74" t="s">
        <v>113</v>
      </c>
      <c r="C10" s="205">
        <v>263441983.37547901</v>
      </c>
      <c r="D10" s="205">
        <v>31184046.448995002</v>
      </c>
      <c r="E10" s="205">
        <v>130512645.09999999</v>
      </c>
      <c r="F10" s="205">
        <v>425138674.924474</v>
      </c>
      <c r="H10" s="116"/>
      <c r="I10" s="116"/>
      <c r="J10" s="116"/>
      <c r="M10" s="11">
        <f>C14</f>
        <v>807067617.14033198</v>
      </c>
      <c r="N10" s="11">
        <f>D14</f>
        <v>23489396.925105002</v>
      </c>
    </row>
    <row r="11" spans="2:14" x14ac:dyDescent="0.25">
      <c r="B11" s="74" t="s">
        <v>114</v>
      </c>
      <c r="C11" s="205">
        <v>296521225.34049201</v>
      </c>
      <c r="D11" s="205">
        <v>77219728.510130003</v>
      </c>
      <c r="E11" s="205">
        <v>3184684.68</v>
      </c>
      <c r="F11" s="205">
        <v>376925638.53062201</v>
      </c>
      <c r="H11" s="116"/>
      <c r="I11" s="116"/>
      <c r="J11" s="116"/>
      <c r="M11" s="11">
        <f>C17</f>
        <v>275948197.43928999</v>
      </c>
      <c r="N11" s="11">
        <f>D17</f>
        <v>49801992.810000002</v>
      </c>
    </row>
    <row r="12" spans="2:14" x14ac:dyDescent="0.25">
      <c r="B12" s="74" t="s">
        <v>70</v>
      </c>
      <c r="C12" s="205">
        <v>259578586.62232</v>
      </c>
      <c r="D12" s="205">
        <v>72327685.608930007</v>
      </c>
      <c r="E12" s="205">
        <v>44660102.520000003</v>
      </c>
      <c r="F12" s="205">
        <v>376566374.75125003</v>
      </c>
      <c r="H12" s="116"/>
      <c r="I12" s="116"/>
      <c r="J12" s="116"/>
      <c r="M12" s="11">
        <f>C16</f>
        <v>461929828.20271999</v>
      </c>
      <c r="N12" s="11">
        <f>D16</f>
        <v>83071133.272792995</v>
      </c>
    </row>
    <row r="13" spans="2:14" x14ac:dyDescent="0.25">
      <c r="B13" s="74" t="s">
        <v>115</v>
      </c>
      <c r="C13" s="205">
        <v>210978009.038836</v>
      </c>
      <c r="D13" s="205">
        <v>46668571.489813</v>
      </c>
      <c r="E13" s="205">
        <v>29847724.800000001</v>
      </c>
      <c r="F13" s="205">
        <v>287494305.32864898</v>
      </c>
      <c r="H13" s="116"/>
      <c r="I13" s="116"/>
      <c r="J13" s="116"/>
      <c r="M13" s="11">
        <f>C19</f>
        <v>773550501.95899105</v>
      </c>
      <c r="N13" s="11">
        <f>D19</f>
        <v>67497946.929836005</v>
      </c>
    </row>
    <row r="14" spans="2:14" x14ac:dyDescent="0.25">
      <c r="B14" s="74" t="s">
        <v>116</v>
      </c>
      <c r="C14" s="205">
        <v>807067617.14033198</v>
      </c>
      <c r="D14" s="205">
        <v>23489396.925105002</v>
      </c>
      <c r="E14" s="205">
        <v>219837802.21000001</v>
      </c>
      <c r="F14" s="205">
        <v>1050394816.275437</v>
      </c>
      <c r="H14" s="116"/>
      <c r="I14" s="116"/>
      <c r="J14" s="116"/>
      <c r="M14" s="11">
        <f>C25</f>
        <v>380980784.24472702</v>
      </c>
      <c r="N14" s="11">
        <f>D25</f>
        <v>50659108.379927002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296521225.34049201</v>
      </c>
      <c r="N15" s="11">
        <f>D11</f>
        <v>77219728.510130003</v>
      </c>
    </row>
    <row r="16" spans="2:14" x14ac:dyDescent="0.25">
      <c r="B16" s="74" t="s">
        <v>74</v>
      </c>
      <c r="C16" s="205">
        <v>461929828.20271999</v>
      </c>
      <c r="D16" s="205">
        <v>83071133.272792995</v>
      </c>
      <c r="E16" s="205">
        <v>30956603.27</v>
      </c>
      <c r="F16" s="205">
        <v>575957564.74551296</v>
      </c>
      <c r="H16" s="116"/>
      <c r="I16" s="116"/>
      <c r="J16" s="116"/>
      <c r="M16" s="11">
        <f>C26</f>
        <v>436199054.44500101</v>
      </c>
      <c r="N16" s="11">
        <f>D26</f>
        <v>39706137.095458999</v>
      </c>
    </row>
    <row r="17" spans="2:14" x14ac:dyDescent="0.25">
      <c r="B17" s="74" t="s">
        <v>118</v>
      </c>
      <c r="C17" s="205">
        <v>275948197.43928999</v>
      </c>
      <c r="D17" s="205">
        <v>49801992.810000002</v>
      </c>
      <c r="E17" s="205" t="s">
        <v>168</v>
      </c>
      <c r="F17" s="205">
        <v>325750190.24928999</v>
      </c>
      <c r="H17" s="116"/>
      <c r="I17" s="116"/>
      <c r="J17" s="116"/>
      <c r="M17" s="11">
        <f>C10</f>
        <v>263441983.37547901</v>
      </c>
      <c r="N17" s="11">
        <f>D10</f>
        <v>31184046.448995002</v>
      </c>
    </row>
    <row r="18" spans="2:14" x14ac:dyDescent="0.25">
      <c r="B18" s="74" t="s">
        <v>119</v>
      </c>
      <c r="C18" s="205">
        <v>401343449.60298699</v>
      </c>
      <c r="D18" s="205">
        <v>3209277.5299920002</v>
      </c>
      <c r="E18" s="205">
        <v>8770270.1600000001</v>
      </c>
      <c r="F18" s="205">
        <v>413322997.292979</v>
      </c>
      <c r="H18" s="116"/>
      <c r="I18" s="116"/>
      <c r="J18" s="116"/>
      <c r="M18" s="11">
        <f>C27</f>
        <v>637597986.04513395</v>
      </c>
      <c r="N18" s="11">
        <f>D27</f>
        <v>104214483.32795499</v>
      </c>
    </row>
    <row r="19" spans="2:14" x14ac:dyDescent="0.25">
      <c r="B19" s="74" t="s">
        <v>121</v>
      </c>
      <c r="C19" s="205">
        <v>773550501.95899105</v>
      </c>
      <c r="D19" s="205">
        <v>67497946.929836005</v>
      </c>
      <c r="E19" s="205">
        <v>1135702830.3099501</v>
      </c>
      <c r="F19" s="205">
        <v>1976751279.198777</v>
      </c>
      <c r="H19" s="116"/>
      <c r="I19" s="116"/>
      <c r="J19" s="116"/>
      <c r="M19" s="11">
        <f>C20+C21</f>
        <v>150424022.40743202</v>
      </c>
      <c r="N19" s="11">
        <f>D20+D21</f>
        <v>121203268.486872</v>
      </c>
    </row>
    <row r="20" spans="2:14" x14ac:dyDescent="0.25">
      <c r="B20" s="74" t="s">
        <v>123</v>
      </c>
      <c r="C20" s="205">
        <v>101502221.907432</v>
      </c>
      <c r="D20" s="205">
        <v>21291124.199754</v>
      </c>
      <c r="E20" s="205">
        <v>8237838</v>
      </c>
      <c r="F20" s="205">
        <v>131031184.107186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48921800.5</v>
      </c>
      <c r="D21" s="205">
        <v>99912144.287118003</v>
      </c>
      <c r="E21" s="205">
        <v>73005406.799999997</v>
      </c>
      <c r="F21" s="205">
        <v>221839351.587118</v>
      </c>
      <c r="H21" s="116"/>
      <c r="I21" s="116"/>
      <c r="J21" s="116"/>
      <c r="M21" s="14">
        <f>IFERROR(C34,0)+IFERROR(C35,0)+M20</f>
        <v>718529893.468243</v>
      </c>
      <c r="N21" s="10" t="s">
        <v>122</v>
      </c>
    </row>
    <row r="22" spans="2:14" x14ac:dyDescent="0.25">
      <c r="B22" s="74" t="s">
        <v>172</v>
      </c>
      <c r="C22" s="205">
        <v>184864971.30000001</v>
      </c>
      <c r="D22" s="205" t="s">
        <v>168</v>
      </c>
      <c r="E22" s="205">
        <v>7027026.8399999999</v>
      </c>
      <c r="F22" s="205">
        <v>191891998.13999999</v>
      </c>
      <c r="H22" s="116"/>
      <c r="I22" s="116"/>
      <c r="J22" s="116"/>
    </row>
    <row r="23" spans="2:14" x14ac:dyDescent="0.25">
      <c r="B23" s="74" t="s">
        <v>173</v>
      </c>
      <c r="C23" s="205">
        <v>326478829.38</v>
      </c>
      <c r="D23" s="205" t="s">
        <v>168</v>
      </c>
      <c r="E23" s="205">
        <v>12750720.380000001</v>
      </c>
      <c r="F23" s="205">
        <v>339229549.75999999</v>
      </c>
      <c r="H23" s="116"/>
      <c r="I23" s="116"/>
      <c r="J23" s="116"/>
    </row>
    <row r="24" spans="2:14" x14ac:dyDescent="0.25">
      <c r="B24" s="74" t="s">
        <v>125</v>
      </c>
      <c r="C24" s="205">
        <v>283224685.04754502</v>
      </c>
      <c r="D24" s="205">
        <v>51991479.633472003</v>
      </c>
      <c r="E24" s="205">
        <v>294606837.87987</v>
      </c>
      <c r="F24" s="205">
        <v>629823002.56088698</v>
      </c>
      <c r="H24" s="116"/>
      <c r="I24" s="116"/>
      <c r="J24" s="116"/>
    </row>
    <row r="25" spans="2:14" x14ac:dyDescent="0.25">
      <c r="B25" s="74" t="s">
        <v>126</v>
      </c>
      <c r="C25" s="205">
        <v>380980784.24472702</v>
      </c>
      <c r="D25" s="205">
        <v>50659108.379927002</v>
      </c>
      <c r="E25" s="205">
        <v>237765903.78947899</v>
      </c>
      <c r="F25" s="205">
        <v>669405796.41413295</v>
      </c>
      <c r="H25" s="116"/>
      <c r="I25" s="116"/>
      <c r="J25" s="116"/>
    </row>
    <row r="26" spans="2:14" x14ac:dyDescent="0.25">
      <c r="B26" s="74" t="s">
        <v>127</v>
      </c>
      <c r="C26" s="205">
        <v>436199054.44500101</v>
      </c>
      <c r="D26" s="205">
        <v>39706137.095458999</v>
      </c>
      <c r="E26" s="205">
        <v>487518294.9795</v>
      </c>
      <c r="F26" s="205">
        <v>963423486.51996005</v>
      </c>
      <c r="H26" s="116"/>
      <c r="I26" s="116"/>
      <c r="J26" s="116"/>
    </row>
    <row r="27" spans="2:14" x14ac:dyDescent="0.25">
      <c r="B27" s="74" t="s">
        <v>128</v>
      </c>
      <c r="C27" s="205">
        <v>637597986.04513395</v>
      </c>
      <c r="D27" s="205">
        <v>104214483.32795499</v>
      </c>
      <c r="E27" s="205">
        <v>15391027.368000001</v>
      </c>
      <c r="F27" s="205">
        <v>757203496.74108899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170190736.42485401</v>
      </c>
      <c r="G32" s="116"/>
      <c r="H32" s="116"/>
      <c r="I32" s="116"/>
    </row>
    <row r="33" spans="2:14" x14ac:dyDescent="0.25">
      <c r="B33" s="84" t="s">
        <v>133</v>
      </c>
      <c r="C33" s="206">
        <v>236702305.72351599</v>
      </c>
      <c r="G33" s="116"/>
      <c r="H33" s="116"/>
      <c r="I33" s="116"/>
    </row>
    <row r="34" spans="2:14" x14ac:dyDescent="0.25">
      <c r="B34" s="84" t="s">
        <v>134</v>
      </c>
      <c r="C34" s="205">
        <v>141724449.52852201</v>
      </c>
      <c r="G34" s="116"/>
      <c r="H34" s="116"/>
      <c r="I34" s="116"/>
    </row>
    <row r="35" spans="2:14" x14ac:dyDescent="0.25">
      <c r="B35" s="84" t="s">
        <v>135</v>
      </c>
      <c r="C35" s="205">
        <v>576394443.93972099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6" t="s">
        <v>184</v>
      </c>
      <c r="C41" s="227"/>
      <c r="D41" s="228"/>
      <c r="E41" s="67" t="s">
        <v>138</v>
      </c>
      <c r="F41" s="73">
        <f ca="1">IF(MONTH(TODAY())=6,DAY(TODAY())/DAY(EOMONTH(TODAY(),0)),IF(MONTH(TODAY())&gt;6,1,0))</f>
        <v>0.8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5748786281.9882984</v>
      </c>
      <c r="F43" s="44">
        <f>IFERROR(E43/D43,0)</f>
        <v>0.79192245112359572</v>
      </c>
      <c r="G43" s="118">
        <f>D43-E43</f>
        <v>1510493050.0117016</v>
      </c>
      <c r="H43" s="118">
        <f ca="1">IFERROR(G43/C3,0)</f>
        <v>251748841.66861692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819034978.91928697</v>
      </c>
      <c r="F44" s="44">
        <f>IFERROR(E44/D44,0)</f>
        <v>0.45264929588846098</v>
      </c>
      <c r="G44" s="118">
        <f>D44-E44</f>
        <v>990390080.08071303</v>
      </c>
      <c r="H44" s="118">
        <f ca="1">IFERROR(G44/C3,0)</f>
        <v>165065013.34678552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1125422935.6166129</v>
      </c>
      <c r="F45" s="44">
        <f>IFERROR(E45/D45,0)</f>
        <v>0.61469933723490078</v>
      </c>
      <c r="G45" s="118">
        <f>D45-E45</f>
        <v>705428128.38338709</v>
      </c>
      <c r="H45" s="118">
        <f ca="1">IFERROR(G45/C3,0)</f>
        <v>117571354.73056452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10899555455</v>
      </c>
      <c r="E46" s="47">
        <f>E43+E44+E45</f>
        <v>7693244196.5241985</v>
      </c>
      <c r="F46" s="43">
        <f>IFERROR(E46/D46,0)</f>
        <v>0.70583100643751884</v>
      </c>
      <c r="G46" s="119">
        <f>G43+G44+G45</f>
        <v>3206311258.4758019</v>
      </c>
      <c r="H46" s="119">
        <f ca="1">IFERROR(G46/C3,0)</f>
        <v>534385209.74596697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1.75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19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283224685.04754502</v>
      </c>
      <c r="H51" s="122">
        <f>N8</f>
        <v>51991479.633472003</v>
      </c>
      <c r="I51" s="122">
        <f t="shared" ref="I51:I64" si="1">G51+H51</f>
        <v>335216164.68101704</v>
      </c>
      <c r="J51" s="61">
        <f t="shared" ref="J51:J64" si="2">IFERROR(I51/F51,0)</f>
        <v>0.60561471730954242</v>
      </c>
      <c r="K51" s="51">
        <f t="shared" ref="K51:M64" si="3">D51-G51</f>
        <v>168458792.95245498</v>
      </c>
      <c r="L51" s="51">
        <f t="shared" si="3"/>
        <v>49838943.366527997</v>
      </c>
      <c r="M51" s="51">
        <f t="shared" si="3"/>
        <v>218297736.31898296</v>
      </c>
      <c r="N51" s="51">
        <f ca="1">IFERROR(M51/C3,0)</f>
        <v>36382956.053163826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470556595.661156</v>
      </c>
      <c r="H52" s="122">
        <f>N9</f>
        <v>118996257.09874301</v>
      </c>
      <c r="I52" s="122">
        <f t="shared" si="1"/>
        <v>589552852.75989902</v>
      </c>
      <c r="J52" s="61">
        <f t="shared" si="2"/>
        <v>0.72312115675233479</v>
      </c>
      <c r="K52" s="54">
        <f t="shared" si="3"/>
        <v>119625775.338844</v>
      </c>
      <c r="L52" s="54">
        <f t="shared" si="3"/>
        <v>106110548.90125699</v>
      </c>
      <c r="M52" s="54">
        <f t="shared" si="3"/>
        <v>225736324.24010098</v>
      </c>
      <c r="N52" s="54">
        <f ca="1">IFERROR(M52/C3,0)</f>
        <v>37622720.706683494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184864971.30000001</v>
      </c>
      <c r="H53" s="122">
        <f>IF(D22="",0,D22)</f>
        <v>0</v>
      </c>
      <c r="I53" s="122">
        <f>G53+H53</f>
        <v>184864971.30000001</v>
      </c>
      <c r="J53" s="61">
        <f>IFERROR(I53/F53,0)</f>
        <v>0.76557116583190488</v>
      </c>
      <c r="K53" s="54">
        <f>D53-G53</f>
        <v>56608296.699999988</v>
      </c>
      <c r="L53" s="54">
        <f>E53-H53</f>
        <v>0</v>
      </c>
      <c r="M53" s="54">
        <f>F53-I53</f>
        <v>56608296.699999988</v>
      </c>
      <c r="N53" s="54">
        <f ca="1">IFERROR(M53/C3,0)</f>
        <v>9434716.1166666653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807067617.14033198</v>
      </c>
      <c r="H54" s="122">
        <f t="shared" ref="H54:H58" si="4">N10</f>
        <v>23489396.925105002</v>
      </c>
      <c r="I54" s="122">
        <f t="shared" si="1"/>
        <v>830557014.06543696</v>
      </c>
      <c r="J54" s="61">
        <f t="shared" si="2"/>
        <v>1.1437748026692687</v>
      </c>
      <c r="K54" s="54">
        <f>D54-G54</f>
        <v>-161355145.14033198</v>
      </c>
      <c r="L54" s="54">
        <f t="shared" si="3"/>
        <v>56952451.074894994</v>
      </c>
      <c r="M54" s="54">
        <f t="shared" si="3"/>
        <v>-104402694.06543696</v>
      </c>
      <c r="N54" s="54">
        <f ca="1">IFERROR(M54/C3,0)</f>
        <v>-17400449.01090616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275948197.43928999</v>
      </c>
      <c r="H55" s="122">
        <f t="shared" si="4"/>
        <v>49801992.810000002</v>
      </c>
      <c r="I55" s="122">
        <f t="shared" si="1"/>
        <v>325750190.24928999</v>
      </c>
      <c r="J55" s="61">
        <f t="shared" si="2"/>
        <v>0.55264516340146275</v>
      </c>
      <c r="K55" s="54">
        <f t="shared" si="3"/>
        <v>232970634.56071001</v>
      </c>
      <c r="L55" s="54">
        <f t="shared" si="3"/>
        <v>30717411.189999998</v>
      </c>
      <c r="M55" s="54">
        <f t="shared" si="3"/>
        <v>263688045.75071001</v>
      </c>
      <c r="N55" s="54">
        <f ca="1">IFERROR(M55/C3,0)</f>
        <v>43948007.625118338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461929828.20271999</v>
      </c>
      <c r="H56" s="122">
        <f t="shared" si="4"/>
        <v>83071133.272792995</v>
      </c>
      <c r="I56" s="122">
        <f t="shared" si="1"/>
        <v>545000961.47551298</v>
      </c>
      <c r="J56" s="61">
        <f t="shared" si="2"/>
        <v>1.0436380740004556</v>
      </c>
      <c r="K56" s="54">
        <f t="shared" si="3"/>
        <v>-21866544.202719986</v>
      </c>
      <c r="L56" s="54">
        <f t="shared" si="3"/>
        <v>-921808.27279299498</v>
      </c>
      <c r="M56" s="54">
        <f t="shared" si="3"/>
        <v>-22788352.475512981</v>
      </c>
      <c r="N56" s="54">
        <f ca="1">IFERROR(M56/C3,0)</f>
        <v>-3798058.7459188304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773550501.95899105</v>
      </c>
      <c r="H57" s="122">
        <f t="shared" si="4"/>
        <v>67497946.929836005</v>
      </c>
      <c r="I57" s="122">
        <f t="shared" si="1"/>
        <v>841048448.88882709</v>
      </c>
      <c r="J57" s="61">
        <f t="shared" si="2"/>
        <v>0.74943260405818457</v>
      </c>
      <c r="K57" s="54">
        <f t="shared" si="3"/>
        <v>223207843.04100895</v>
      </c>
      <c r="L57" s="54">
        <f t="shared" si="3"/>
        <v>57990651.070163995</v>
      </c>
      <c r="M57" s="54">
        <f t="shared" si="3"/>
        <v>281198494.11117291</v>
      </c>
      <c r="N57" s="54">
        <f ca="1">IFERROR(M57/C3,0)</f>
        <v>46866415.685195483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380980784.24472702</v>
      </c>
      <c r="H58" s="122">
        <f t="shared" si="4"/>
        <v>50659108.379927002</v>
      </c>
      <c r="I58" s="122">
        <f>G58+H58</f>
        <v>431639892.624654</v>
      </c>
      <c r="J58" s="61">
        <f>IFERROR(I58/F58,0)</f>
        <v>0.67694574941182872</v>
      </c>
      <c r="K58" s="54">
        <f t="shared" si="3"/>
        <v>159306274.75527298</v>
      </c>
      <c r="L58" s="54">
        <f t="shared" si="3"/>
        <v>46682317.620072998</v>
      </c>
      <c r="M58" s="54">
        <f t="shared" si="3"/>
        <v>205988592.375346</v>
      </c>
      <c r="N58" s="54">
        <f ca="1">IFERROR(M58/C3,0)</f>
        <v>34331432.062557667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326478829.38</v>
      </c>
      <c r="H59" s="122">
        <f>IF(D23="",0,D23)</f>
        <v>0</v>
      </c>
      <c r="I59" s="122">
        <f>G59+H59</f>
        <v>326478829.38</v>
      </c>
      <c r="J59" s="61">
        <f>IFERROR(I59/F59,0)</f>
        <v>0.80784863638580728</v>
      </c>
      <c r="K59" s="54">
        <f>D59-G59</f>
        <v>77654834.620000005</v>
      </c>
      <c r="L59" s="54">
        <f>E59-H59</f>
        <v>0</v>
      </c>
      <c r="M59" s="54">
        <f>F59-I59</f>
        <v>77654834.620000005</v>
      </c>
      <c r="N59" s="54">
        <f ca="1">IFERROR(M59/C3,0)</f>
        <v>12942472.436666667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296521225.34049201</v>
      </c>
      <c r="H60" s="122">
        <f t="shared" ref="H60:H64" si="5">N15</f>
        <v>77219728.510130003</v>
      </c>
      <c r="I60" s="122">
        <f t="shared" si="1"/>
        <v>373740953.850622</v>
      </c>
      <c r="J60" s="61">
        <f t="shared" si="2"/>
        <v>0.61164555709711022</v>
      </c>
      <c r="K60" s="54">
        <f t="shared" si="3"/>
        <v>142496083.65950799</v>
      </c>
      <c r="L60" s="54">
        <f t="shared" si="3"/>
        <v>94804683.489869997</v>
      </c>
      <c r="M60" s="54">
        <f t="shared" si="3"/>
        <v>237300767.149378</v>
      </c>
      <c r="N60" s="54">
        <f ca="1">IFERROR(M60/C3,0)</f>
        <v>39550127.858229667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436199054.44500101</v>
      </c>
      <c r="H61" s="122">
        <f t="shared" si="5"/>
        <v>39706137.095458999</v>
      </c>
      <c r="I61" s="122">
        <f t="shared" si="1"/>
        <v>475905191.54045999</v>
      </c>
      <c r="J61" s="61">
        <f t="shared" si="2"/>
        <v>0.62707288915404713</v>
      </c>
      <c r="K61" s="54">
        <f t="shared" si="3"/>
        <v>230430541.55499899</v>
      </c>
      <c r="L61" s="54">
        <f t="shared" si="3"/>
        <v>52595484.904541001</v>
      </c>
      <c r="M61" s="54">
        <f t="shared" si="3"/>
        <v>283026026.45954001</v>
      </c>
      <c r="N61" s="54">
        <f ca="1">IFERROR(M61/C3,0)</f>
        <v>47171004.409923337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263441983.37547901</v>
      </c>
      <c r="H62" s="122">
        <f t="shared" si="5"/>
        <v>31184046.448995002</v>
      </c>
      <c r="I62" s="122">
        <f t="shared" si="1"/>
        <v>294626029.82447404</v>
      </c>
      <c r="J62" s="61">
        <f t="shared" si="2"/>
        <v>0.56782550601059301</v>
      </c>
      <c r="K62" s="54">
        <f t="shared" si="3"/>
        <v>158101039.62452099</v>
      </c>
      <c r="L62" s="54">
        <f t="shared" si="3"/>
        <v>66140129.551004998</v>
      </c>
      <c r="M62" s="54">
        <f t="shared" si="3"/>
        <v>224241169.17552596</v>
      </c>
      <c r="N62" s="54">
        <f ca="1">IFERROR(M62/C3,0)</f>
        <v>37373528.195920996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637597986.04513395</v>
      </c>
      <c r="H63" s="122">
        <f t="shared" si="5"/>
        <v>104214483.32795499</v>
      </c>
      <c r="I63" s="122">
        <f t="shared" si="1"/>
        <v>741812469.37308896</v>
      </c>
      <c r="J63" s="61">
        <f t="shared" si="2"/>
        <v>0.75562691006049054</v>
      </c>
      <c r="K63" s="54">
        <f t="shared" si="3"/>
        <v>-19247044.045133948</v>
      </c>
      <c r="L63" s="54">
        <f t="shared" si="3"/>
        <v>259152482.67204499</v>
      </c>
      <c r="M63" s="54">
        <f t="shared" si="3"/>
        <v>239905438.62691104</v>
      </c>
      <c r="N63" s="54">
        <f ca="1">IFERROR(M63/C3,0)</f>
        <v>39984239.771151841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150424022.40743202</v>
      </c>
      <c r="H64" s="122">
        <f t="shared" si="5"/>
        <v>121203268.486872</v>
      </c>
      <c r="I64" s="122">
        <f t="shared" si="1"/>
        <v>271627290.89430404</v>
      </c>
      <c r="J64" s="61">
        <f t="shared" si="2"/>
        <v>0.46348371226145929</v>
      </c>
      <c r="K64" s="54">
        <f t="shared" si="3"/>
        <v>144101666.59256798</v>
      </c>
      <c r="L64" s="54">
        <f t="shared" si="3"/>
        <v>170326784.51312798</v>
      </c>
      <c r="M64" s="54">
        <f t="shared" si="3"/>
        <v>314428451.10569596</v>
      </c>
      <c r="N64" s="54">
        <f ca="1">IFERROR(M64/C3,0)</f>
        <v>52404741.850949325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5748786281.9882984</v>
      </c>
      <c r="H65" s="152">
        <f>SUM(H51:H64)</f>
        <v>819034978.91928697</v>
      </c>
      <c r="I65" s="152">
        <f>SUM(I51:I64)</f>
        <v>6567821260.9075861</v>
      </c>
      <c r="J65" s="153">
        <f>IFERROR(I65/F65,0)</f>
        <v>0.72422928102338957</v>
      </c>
      <c r="K65" s="154">
        <f>SUM(K51:K64)</f>
        <v>1510493050.0117011</v>
      </c>
      <c r="L65" s="154">
        <f>SUM(L51:L64)</f>
        <v>990390080.08071303</v>
      </c>
      <c r="M65" s="154">
        <f>SUM(M51:M64)</f>
        <v>2500883130.0924139</v>
      </c>
      <c r="N65" s="154">
        <f ca="1">IFERROR(M65/C3,0)</f>
        <v>416813855.01540232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07">
        <v>294606837.87987</v>
      </c>
    </row>
    <row r="71" spans="2:14" ht="20.100000000000001" customHeight="1" x14ac:dyDescent="0.25">
      <c r="B71" s="53" t="s">
        <v>69</v>
      </c>
      <c r="C71" s="56" t="s">
        <v>70</v>
      </c>
      <c r="D71" s="192">
        <v>74507827.320000008</v>
      </c>
    </row>
    <row r="72" spans="2:14" ht="20.100000000000001" customHeight="1" x14ac:dyDescent="0.25">
      <c r="B72" s="53" t="s">
        <v>175</v>
      </c>
      <c r="C72" s="56" t="s">
        <v>176</v>
      </c>
      <c r="D72" s="207">
        <v>7027026.8399999999</v>
      </c>
    </row>
    <row r="73" spans="2:14" ht="20.100000000000001" customHeight="1" x14ac:dyDescent="0.25">
      <c r="B73" s="50" t="s">
        <v>71</v>
      </c>
      <c r="C73" s="55" t="s">
        <v>72</v>
      </c>
      <c r="D73" s="207">
        <v>219837802.21000001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07">
        <v>30956603.27</v>
      </c>
    </row>
    <row r="76" spans="2:14" ht="20.100000000000001" customHeight="1" x14ac:dyDescent="0.25">
      <c r="B76" s="53" t="s">
        <v>76</v>
      </c>
      <c r="C76" s="56" t="s">
        <v>77</v>
      </c>
      <c r="D76" s="207">
        <v>1135702830.3099501</v>
      </c>
    </row>
    <row r="77" spans="2:14" ht="20.100000000000001" customHeight="1" x14ac:dyDescent="0.25">
      <c r="B77" s="50" t="s">
        <v>78</v>
      </c>
      <c r="C77" s="55" t="s">
        <v>79</v>
      </c>
      <c r="D77" s="207">
        <v>237765903.78947899</v>
      </c>
    </row>
    <row r="78" spans="2:14" ht="20.100000000000001" customHeight="1" x14ac:dyDescent="0.25">
      <c r="B78" s="53" t="s">
        <v>175</v>
      </c>
      <c r="C78" s="56" t="s">
        <v>177</v>
      </c>
      <c r="D78" s="207">
        <v>12750720.380000001</v>
      </c>
    </row>
    <row r="79" spans="2:14" ht="20.100000000000001" customHeight="1" x14ac:dyDescent="0.25">
      <c r="B79" s="53" t="s">
        <v>80</v>
      </c>
      <c r="C79" s="56" t="s">
        <v>81</v>
      </c>
      <c r="D79" s="207">
        <v>3184684.68</v>
      </c>
    </row>
    <row r="80" spans="2:14" ht="20.100000000000001" customHeight="1" x14ac:dyDescent="0.25">
      <c r="B80" s="50" t="s">
        <v>82</v>
      </c>
      <c r="C80" s="55" t="s">
        <v>83</v>
      </c>
      <c r="D80" s="207">
        <v>487518294.9795</v>
      </c>
    </row>
    <row r="81" spans="2:9" ht="20.100000000000001" customHeight="1" x14ac:dyDescent="0.25">
      <c r="B81" s="53" t="s">
        <v>84</v>
      </c>
      <c r="C81" s="56" t="s">
        <v>85</v>
      </c>
      <c r="D81" s="207">
        <v>130512645.09999999</v>
      </c>
    </row>
    <row r="82" spans="2:9" ht="20.100000000000001" customHeight="1" x14ac:dyDescent="0.25">
      <c r="B82" s="50" t="s">
        <v>86</v>
      </c>
      <c r="C82" s="55" t="s">
        <v>87</v>
      </c>
      <c r="D82" s="207">
        <v>15391027.368000001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81243244.799999997</v>
      </c>
    </row>
    <row r="84" spans="2:9" ht="20.100000000000001" customHeight="1" x14ac:dyDescent="0.25">
      <c r="B84" s="57" t="s">
        <v>152</v>
      </c>
      <c r="C84" s="58"/>
      <c r="D84" s="129">
        <f>SUM(D70:D83)</f>
        <v>2731005448.9267993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170190736.42485401</v>
      </c>
      <c r="F89" s="61">
        <f t="shared" ref="F89:F94" si="7">IFERROR(E89/D89,0)</f>
        <v>0.59605087664595391</v>
      </c>
      <c r="G89" s="125">
        <f>D89-E89</f>
        <v>115339816.57514599</v>
      </c>
      <c r="H89" s="125">
        <f ca="1">IFERROR(G89/C3,0)</f>
        <v>19223302.762524333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236702305.72351599</v>
      </c>
      <c r="F90" s="61">
        <f t="shared" si="7"/>
        <v>0.5519704748797466</v>
      </c>
      <c r="G90" s="126">
        <f>D90-E90</f>
        <v>192129156.27648401</v>
      </c>
      <c r="H90" s="126">
        <f ca="1">IFERROR(G90/C3,0)</f>
        <v>32021526.046080668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718529893.468243</v>
      </c>
      <c r="F91" s="61">
        <f t="shared" si="7"/>
        <v>0.64356197144235761</v>
      </c>
      <c r="G91" s="125">
        <f>D91-E91</f>
        <v>397959155.531757</v>
      </c>
      <c r="H91" s="125">
        <f ca="1">IFERROR(G91/C3,0)</f>
        <v>66326525.921959497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1125422935.6166129</v>
      </c>
      <c r="F94" s="43">
        <f t="shared" si="7"/>
        <v>0.61469933723490078</v>
      </c>
      <c r="G94" s="119">
        <f>SUM(G89:G93)</f>
        <v>705428128.38338697</v>
      </c>
      <c r="H94" s="119">
        <f ca="1">IFERROR(G94/C3,0)</f>
        <v>117571354.73056449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178</v>
      </c>
      <c r="C41" s="227"/>
      <c r="D41" s="22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162</v>
      </c>
      <c r="C41" s="227"/>
      <c r="D41" s="22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164</v>
      </c>
      <c r="C41" s="227"/>
      <c r="D41" s="22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166</v>
      </c>
      <c r="C41" s="227"/>
      <c r="D41" s="22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179</v>
      </c>
      <c r="C41" s="227"/>
      <c r="D41" s="22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181</v>
      </c>
      <c r="C41" s="227"/>
      <c r="D41" s="22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2026-06-24T00:47:32Z</dcterms:modified>
  <dc:language>en-US</dc:language>
</cp:coreProperties>
</file>