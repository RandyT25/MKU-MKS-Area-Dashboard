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2" l="1"/>
  <c r="G12" i="12"/>
  <c r="G20" i="12"/>
  <c r="G21" i="12"/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2" i="12" l="1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<sst xmlns="http://schemas.openxmlformats.org/spreadsheetml/2006/main" count="2117" uniqueCount="228">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</sst>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1" t="s">
        <v>177</v>
      </c>
      <c r="C41" s="272"/>
      <c r="D41" s="27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  <c r="Q48"/>
      <c r="R48"/>
    </row>
    <row r="49" spans="2:18" s="139" customFormat="1" ht="33.950000000000003" customHeight="1" x14ac:dyDescent="0.25">
      <c r="B49" s="279" t="s">
        <v>41</v>
      </c>
      <c r="C49" s="279" t="s">
        <v>42</v>
      </c>
      <c r="D49" s="276" t="s">
        <v>137</v>
      </c>
      <c r="E49" s="277"/>
      <c r="F49" s="278"/>
      <c r="G49" s="140" t="s">
        <v>138</v>
      </c>
      <c r="H49" s="140"/>
      <c r="I49" s="140"/>
      <c r="J49" s="276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9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9"/>
      <c r="C50" s="27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6"/>
      <c r="K50" s="266"/>
      <c r="L50" s="266"/>
      <c r="M50" s="268"/>
      <c r="N50" s="188"/>
      <c r="O50" s="183"/>
      <c r="P50" s="270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61" t="s">
        <v>41</v>
      </c>
      <c r="C78" s="261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69" t="str">
        <f>"SELISIH"&amp;CHAR(10)&amp;TEXT($L$41,"0%")</f>
        <v>SELISIH
100%</v>
      </c>
      <c r="P49" s="269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70"/>
      <c r="P50" s="270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61" t="s">
        <v>41</v>
      </c>
      <c r="C78" s="261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1" t="s">
        <v>179</v>
      </c>
      <c r="C41" s="272"/>
      <c r="D41" s="27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69" t="str">
        <f>"SELISIH"&amp;CHAR(10)&amp;TEXT($L$41,"0%")</f>
        <v>SELISIH
100%</v>
      </c>
      <c r="P49" s="269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70"/>
      <c r="P50" s="270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61" t="s">
        <v>41</v>
      </c>
      <c r="C78" s="261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1" t="s">
        <v>188</v>
      </c>
      <c r="C41" s="272"/>
      <c r="D41" s="27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62" t="s">
        <v>185</v>
      </c>
      <c r="L48" s="263"/>
      <c r="M48" s="263"/>
      <c r="N48" s="263"/>
      <c r="O48" s="263"/>
      <c r="P48" s="264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66"/>
      <c r="L50" s="266"/>
      <c r="M50" s="268"/>
      <c r="N50" s="268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61" t="s">
        <v>41</v>
      </c>
      <c r="C78" s="261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1" t="s">
        <v>218</v>
      </c>
      <c r="C40" s="272"/>
      <c r="D40" s="27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5.75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4"/>
      <c r="G67" s="262" t="s">
        <v>185</v>
      </c>
      <c r="H67" s="263"/>
      <c r="I67" s="263"/>
      <c r="J67" s="263"/>
      <c r="K67" s="263"/>
      <c r="L67" s="264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61" t="s">
        <v>41</v>
      </c>
      <c r="C78" s="261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zoomScale="84" zoomScaleNormal="84" workbookViewId="0">
      <selection activeCell="J18" sqref="J1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226</v>
      </c>
      <c r="C40" s="272"/>
      <c r="D40" s="27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212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95%</v>
      </c>
      <c r="N49" s="265" t="str">
        <f>"PER HARI"&amp;CHAR(10)&amp;TEXT($H$40,"0%")</f>
        <v>PER HARI
95%</v>
      </c>
      <c r="O49" s="267" t="str">
        <f>"SELISIH"&amp;CHAR(10)&amp;TEXT($J$40,"0%")</f>
        <v>SELISIH
100%</v>
      </c>
      <c r="P49" s="267" t="str">
        <f>"PER HARI"&amp;CHAR(10)&amp;TEXT($J$40,"0%")</f>
        <v>PER HARI
100%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abSelected="1" zoomScale="73" zoomScaleNormal="73" workbookViewId="0">
      <selection activeCell="D18" sqref="D1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5099399.1523909997</v>
      </c>
      <c r="D10" s="235">
        <v>3553070.28</v>
      </c>
      <c r="E10" s="235">
        <v>14595495.476</v>
      </c>
      <c r="F10" s="235">
        <v>9891892.1299849991</v>
      </c>
      <c r="G10" s="235">
        <v>33139857.038376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>
        <v>0</v>
      </c>
      <c r="D11" s="15">
        <v>0</v>
      </c>
      <c r="E11" s="15">
        <v>0</v>
      </c>
      <c r="F11" s="15">
        <v>0</v>
      </c>
      <c r="G11" s="15">
        <f t="shared" ref="G10:G26" si="0">SUM(C11:F11)</f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>
        <v>0</v>
      </c>
      <c r="D12" s="15">
        <v>0</v>
      </c>
      <c r="E12" s="15">
        <v>0</v>
      </c>
      <c r="F12" s="15">
        <v>0</v>
      </c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235">
        <v>9534933.6398440003</v>
      </c>
      <c r="D13" s="235">
        <v>3657558.3389989999</v>
      </c>
      <c r="E13" s="235">
        <v>4169594.6</v>
      </c>
      <c r="F13" s="235">
        <v>1621621.7</v>
      </c>
      <c r="G13" s="235">
        <v>18983708.278843001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235">
        <v>0</v>
      </c>
      <c r="D14" s="235">
        <v>0</v>
      </c>
      <c r="E14" s="235">
        <v>5869369.3499999996</v>
      </c>
      <c r="F14" s="235">
        <v>2756756.89</v>
      </c>
      <c r="G14" s="235">
        <v>8626126.2400000002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235">
        <v>17804909.979979999</v>
      </c>
      <c r="D15" s="235">
        <v>1535108.1499989999</v>
      </c>
      <c r="E15" s="235">
        <v>5624603.5700000003</v>
      </c>
      <c r="F15" s="235">
        <v>18467747.989999998</v>
      </c>
      <c r="G15" s="235">
        <v>43432369.689979002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235">
        <v>21599788.68998</v>
      </c>
      <c r="D16" s="235">
        <v>167891.88999900001</v>
      </c>
      <c r="E16" s="235">
        <v>0</v>
      </c>
      <c r="F16" s="235">
        <v>972973.02</v>
      </c>
      <c r="G16" s="235">
        <v>22740653.599978998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235">
        <v>24228400.236997999</v>
      </c>
      <c r="D17" s="235">
        <v>2594594.52</v>
      </c>
      <c r="E17" s="235">
        <v>36828739.059940003</v>
      </c>
      <c r="F17" s="235">
        <v>142163962.83000001</v>
      </c>
      <c r="G17" s="235">
        <v>205815696.646938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235">
        <v>2741711.73</v>
      </c>
      <c r="D18" s="235">
        <v>0</v>
      </c>
      <c r="E18" s="235">
        <v>698198.49994999997</v>
      </c>
      <c r="F18" s="235">
        <v>0</v>
      </c>
      <c r="G18" s="235">
        <v>3439910.2299500001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235">
        <v>2332400</v>
      </c>
      <c r="D19" s="235">
        <v>2838292.3307739999</v>
      </c>
      <c r="E19" s="235">
        <v>3712540.5</v>
      </c>
      <c r="F19" s="235">
        <v>14486486.800000001</v>
      </c>
      <c r="G19" s="235">
        <v>23369719.630773999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>
        <v>0</v>
      </c>
      <c r="D20" s="15">
        <v>0</v>
      </c>
      <c r="E20" s="15">
        <v>0</v>
      </c>
      <c r="F20" s="15">
        <v>0</v>
      </c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>
        <v>0</v>
      </c>
      <c r="D21" s="15">
        <v>0</v>
      </c>
      <c r="E21" s="15">
        <v>0</v>
      </c>
      <c r="F21" s="15">
        <v>0</v>
      </c>
      <c r="G21" s="15">
        <f t="shared" si="0"/>
        <v>0</v>
      </c>
      <c r="H21" s="111"/>
      <c r="I21" s="111"/>
      <c r="J21" s="111"/>
      <c r="M21" s="14">
        <f>SUM(C33,C34)+M20</f>
        <v>23778171.829761002</v>
      </c>
      <c r="N21" s="10" t="s">
        <v>223</v>
      </c>
    </row>
    <row r="22" spans="2:15" ht="15" customHeight="1" x14ac:dyDescent="0.25">
      <c r="B22" s="72" t="s">
        <v>124</v>
      </c>
      <c r="C22" s="235">
        <v>12273347.239848999</v>
      </c>
      <c r="D22" s="235">
        <v>3138986.5099889999</v>
      </c>
      <c r="E22" s="235">
        <v>3614909.9</v>
      </c>
      <c r="F22" s="235">
        <v>972973.02</v>
      </c>
      <c r="G22" s="235">
        <v>20000216.669838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7886135.4645919995</v>
      </c>
      <c r="D23" s="235">
        <v>4799378.3999950001</v>
      </c>
      <c r="E23" s="235">
        <v>9972973.1899980009</v>
      </c>
      <c r="F23" s="235">
        <v>7967567.5999999996</v>
      </c>
      <c r="G23" s="235">
        <v>30626054.654585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17326640.025509998</v>
      </c>
      <c r="D24" s="235">
        <v>3598450.4599979999</v>
      </c>
      <c r="E24" s="235">
        <v>9749459.7300000004</v>
      </c>
      <c r="F24" s="235">
        <v>29344144.359993</v>
      </c>
      <c r="G24" s="235">
        <v>60018694.575501002</v>
      </c>
      <c r="H24" s="111"/>
      <c r="I24" s="111"/>
      <c r="J24" s="111"/>
    </row>
    <row r="25" spans="2:15" ht="15" customHeight="1" x14ac:dyDescent="0.25">
      <c r="B25" s="72" t="s">
        <v>224</v>
      </c>
      <c r="C25" s="235">
        <v>9041895.5201660004</v>
      </c>
      <c r="D25" s="235">
        <v>1793939.1151990001</v>
      </c>
      <c r="E25" s="235">
        <v>6225856.0099980002</v>
      </c>
      <c r="F25" s="235">
        <v>29513694.069988001</v>
      </c>
      <c r="G25" s="235">
        <v>46575384.715351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26521190.528918002</v>
      </c>
      <c r="D26" s="235">
        <v>297297.3</v>
      </c>
      <c r="E26" s="235">
        <v>15905401.999435</v>
      </c>
      <c r="F26" s="235">
        <v>0</v>
      </c>
      <c r="G26" s="235">
        <v>42723889.828353003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4400648.7999700001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9101351.5199759994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5173846.8699930003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18604324.959768001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227</v>
      </c>
      <c r="C40" s="272"/>
      <c r="D40" s="273"/>
      <c r="E40" s="66" t="s">
        <v>137</v>
      </c>
      <c r="F40" s="174">
        <f ca="1">IF(MONTH(TODAY())=10,DAY(TODAY())/DAY(EOMONTH(TODAY(),0)),IF(MONTH(TODAY())&gt;10,1,0))</f>
        <v>3.2258064516129031E-2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134790963.51824799</v>
      </c>
      <c r="F42" s="176">
        <f>IFERROR(E42/D42,0)</f>
        <v>3.0191140393942793E-2</v>
      </c>
      <c r="G42" s="184">
        <f>D42*$H$40-E42</f>
        <v>3883337056.2753277</v>
      </c>
      <c r="H42" s="184">
        <f ca="1">IFERROR(G42/$C$3,0)</f>
        <v>143827298.3805677</v>
      </c>
      <c r="I42" s="204">
        <f>D42*$J$40-E42</f>
        <v>4106566390.7083039</v>
      </c>
      <c r="J42" s="204">
        <f ca="1">IFERROR(I42/$C$3,0)</f>
        <v>152095051.50771496</v>
      </c>
      <c r="K42" s="185">
        <f>D42*$L$40-E42</f>
        <v>4329795725.1412811</v>
      </c>
      <c r="L42" s="185">
        <f ca="1">IFERROR(K42/$C$3,0)</f>
        <v>160362804.63486227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27806675.404953003</v>
      </c>
      <c r="F43" s="176">
        <f>IFERROR(E43/D43,0)</f>
        <v>2.1725525611115647E-2</v>
      </c>
      <c r="G43" s="184">
        <f>D43*$H$40-E43</f>
        <v>1124110581.3933542</v>
      </c>
      <c r="H43" s="184">
        <f ca="1">IFERROR(G43/$C$3,0)</f>
        <v>41633725.236790895</v>
      </c>
      <c r="I43" s="204">
        <f>D43*$J$40-E43</f>
        <v>1188105984.5488157</v>
      </c>
      <c r="J43" s="204">
        <f ca="1">IFERROR(I43/$C$3,0)</f>
        <v>44003925.353659838</v>
      </c>
      <c r="K43" s="185">
        <f>D43*$L$40-E43</f>
        <v>1252101387.7042773</v>
      </c>
      <c r="L43" s="185">
        <f ca="1">IFERROR(K43/$C$3,0)</f>
        <v>46374125.470528789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116967141.88532101</v>
      </c>
      <c r="F44" s="176">
        <f>IFERROR(E44/D44,0)</f>
        <v>4.0139616177707102E-2</v>
      </c>
      <c r="G44" s="184">
        <f>IF(D44=0,0,D44*$H$40-E44)</f>
        <v>2505639592.3378725</v>
      </c>
      <c r="H44" s="184">
        <f ca="1">IFERROR(G44/$C$3,0)</f>
        <v>92801466.38288416</v>
      </c>
      <c r="I44" s="204">
        <f>IF(D44=0,0,D44*$J$40-E44)</f>
        <v>2651339966.4613833</v>
      </c>
      <c r="J44" s="204">
        <f ca="1">IFERROR(I44/$C$3,0)</f>
        <v>98197776.535606787</v>
      </c>
      <c r="K44" s="185">
        <f>IF(D44=0,0,D44*$L$40-E44)</f>
        <v>2797040340.5848942</v>
      </c>
      <c r="L44" s="185">
        <f ca="1">IFERROR(K44/$C$3,0)</f>
        <v>103594086.68832941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37280172.149707004</v>
      </c>
      <c r="F45" s="176">
        <f>IFERROR(E45/D45,0)</f>
        <v>2.0946420693798318E-2</v>
      </c>
      <c r="G45" s="184">
        <f>D45*$H$40-E45</f>
        <v>1564528338.4885907</v>
      </c>
      <c r="H45" s="184">
        <f ca="1">IFERROR(G45/$C$3,0)</f>
        <v>57945494.018095955</v>
      </c>
      <c r="I45" s="204">
        <f>D45*$J$40-E45</f>
        <v>1653517700.1907184</v>
      </c>
      <c r="J45" s="204">
        <f ca="1">IFERROR(I45/$C$3,0)</f>
        <v>61241396.303359941</v>
      </c>
      <c r="K45" s="185">
        <f>D45*$L$40-E45</f>
        <v>1742507061.8928461</v>
      </c>
      <c r="L45" s="185">
        <f ca="1">IFERROR(K45/$C$3,0)</f>
        <v>64537298.588623933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316844952.95822901</v>
      </c>
      <c r="F46" s="177">
        <f>IFERROR(E46/D46,0)</f>
        <v>3.0354106764428686E-2</v>
      </c>
      <c r="G46" s="181">
        <f>SUM(G42:G45)</f>
        <v>9077615568.4951458</v>
      </c>
      <c r="H46" s="181">
        <f ca="1">IFERROR(G46/$C$3,0)</f>
        <v>336207984.01833874</v>
      </c>
      <c r="I46" s="186">
        <f>SUM(I42:I45)</f>
        <v>9599530041.9092216</v>
      </c>
      <c r="J46" s="186">
        <f ca="1">IFERROR(I46/$C$3,0)</f>
        <v>355538149.70034152</v>
      </c>
      <c r="K46" s="186">
        <f>SUM(K42:K45)</f>
        <v>10121444515.323299</v>
      </c>
      <c r="L46" s="186">
        <f ca="1">IFERROR(K46/$C$3,0)</f>
        <v>374868315.38234442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1">SUM(D51:F51)</f>
        <v>496234492.04094887</v>
      </c>
      <c r="H51" s="114">
        <f>SUMIF($B$10:$B$26,$T51,C$10:C$26)+SUMIF($B$10:$B$26,$U51,C$10:C$26)</f>
        <v>12273347.239848999</v>
      </c>
      <c r="I51" s="114">
        <f t="shared" ref="I51:I64" si="2">SUMIF($B$10:$B$26,$T51,D$10:D$26)+SUMIF($B$10:$B$26,$U51,D$10:D$26)</f>
        <v>3138986.5099889999</v>
      </c>
      <c r="J51" s="114">
        <f t="shared" ref="J51:J64" si="3">SUMIF($B$10:$B$26,$T51,E$10:E$26)+SUMIF($B$10:$B$26,$U51,E$10:E$26)</f>
        <v>3614909.9</v>
      </c>
      <c r="K51" s="114">
        <f t="shared" ref="K51:K64" si="4">SUM(H51:J51)</f>
        <v>19027243.649837997</v>
      </c>
      <c r="L51" s="187">
        <f t="shared" ref="L51:L65" si="5">IFERROR(K51/G51,0)</f>
        <v>3.8343250932802719E-2</v>
      </c>
      <c r="M51" s="184">
        <f t="shared" ref="M51:M64" si="6">G51*$H$40-K51</f>
        <v>427583799.18701601</v>
      </c>
      <c r="N51" s="184">
        <f t="shared" ref="N51:N65" ca="1" si="7">IFERROR(M51/$C$3,0)</f>
        <v>15836437.00692652</v>
      </c>
      <c r="O51" s="180">
        <f t="shared" ref="O51:O64" si="8">G51*$J$40-K51</f>
        <v>452395523.78906345</v>
      </c>
      <c r="P51" s="180">
        <f t="shared" ref="P51:P65" ca="1" si="9">IFERROR(O51/$C$3,0)</f>
        <v>16755389.769965313</v>
      </c>
      <c r="Q51" s="185">
        <f t="shared" ref="Q51:Q64" si="10">G51*$L$40-K51</f>
        <v>477207248.3911109</v>
      </c>
      <c r="R51" s="185">
        <f t="shared" ref="R51:R65" ca="1" si="11">IFERROR(Q51/$C$3,0)</f>
        <v>17674342.533004109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1"/>
        <v>767390853.57427597</v>
      </c>
      <c r="H52" s="114">
        <f t="shared" ref="H52:H64" si="12">SUMIF($B$10:$B$26,$T52,C$10:C$26)+SUMIF($B$10:$B$26,$U52,C$10:C$26)</f>
        <v>9534933.6398440003</v>
      </c>
      <c r="I52" s="114">
        <f t="shared" si="2"/>
        <v>3657558.3389989999</v>
      </c>
      <c r="J52" s="114">
        <f t="shared" si="3"/>
        <v>10038963.949999999</v>
      </c>
      <c r="K52" s="114">
        <f t="shared" si="4"/>
        <v>23231455.928842999</v>
      </c>
      <c r="L52" s="187">
        <f t="shared" si="5"/>
        <v>3.0273303129217475E-2</v>
      </c>
      <c r="M52" s="184">
        <f t="shared" si="6"/>
        <v>667420312.28800535</v>
      </c>
      <c r="N52" s="184">
        <f t="shared" ca="1" si="7"/>
        <v>24719270.825481679</v>
      </c>
      <c r="O52" s="180">
        <f t="shared" si="8"/>
        <v>705789854.96671915</v>
      </c>
      <c r="P52" s="180">
        <f t="shared" ca="1" si="9"/>
        <v>26140364.998767376</v>
      </c>
      <c r="Q52" s="185">
        <f t="shared" si="10"/>
        <v>744159397.64543295</v>
      </c>
      <c r="R52" s="185">
        <f t="shared" ca="1" si="11"/>
        <v>27561459.172053073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1"/>
        <v>262953105.06301075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236657794.55670968</v>
      </c>
      <c r="N53" s="184">
        <f t="shared" ca="1" si="7"/>
        <v>8765103.5021003578</v>
      </c>
      <c r="O53" s="180">
        <f t="shared" si="8"/>
        <v>249805449.8098602</v>
      </c>
      <c r="P53" s="180">
        <f t="shared" ca="1" si="9"/>
        <v>9252053.6966614891</v>
      </c>
      <c r="Q53" s="185">
        <f t="shared" si="10"/>
        <v>262953105.06301075</v>
      </c>
      <c r="R53" s="185">
        <f t="shared" ca="1" si="11"/>
        <v>9739003.8912226204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1"/>
        <v>708538780.93999994</v>
      </c>
      <c r="H54" s="114">
        <f t="shared" si="12"/>
        <v>17804909.979979999</v>
      </c>
      <c r="I54" s="114">
        <f t="shared" si="2"/>
        <v>1535108.1499989999</v>
      </c>
      <c r="J54" s="114">
        <f t="shared" si="3"/>
        <v>5624603.5700000003</v>
      </c>
      <c r="K54" s="114">
        <f t="shared" si="4"/>
        <v>24964621.699979</v>
      </c>
      <c r="L54" s="187">
        <f t="shared" si="5"/>
        <v>3.5233952426512331E-2</v>
      </c>
      <c r="M54" s="184">
        <f t="shared" si="6"/>
        <v>612720281.14602101</v>
      </c>
      <c r="N54" s="184">
        <f t="shared" ca="1" si="7"/>
        <v>22693343.746148925</v>
      </c>
      <c r="O54" s="180">
        <f t="shared" si="8"/>
        <v>648147220.19302094</v>
      </c>
      <c r="P54" s="180">
        <f t="shared" ca="1" si="9"/>
        <v>24005452.599741515</v>
      </c>
      <c r="Q54" s="185">
        <f t="shared" si="10"/>
        <v>683574159.24002099</v>
      </c>
      <c r="R54" s="185">
        <f t="shared" ca="1" si="11"/>
        <v>25317561.453334112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1"/>
        <v>537200999.57068563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483480899.61361706</v>
      </c>
      <c r="N55" s="184">
        <f t="shared" ca="1" si="7"/>
        <v>17906699.985689521</v>
      </c>
      <c r="O55" s="180">
        <f t="shared" si="8"/>
        <v>510340949.59215134</v>
      </c>
      <c r="P55" s="180">
        <f t="shared" ca="1" si="9"/>
        <v>18901516.65156116</v>
      </c>
      <c r="Q55" s="185">
        <f t="shared" si="10"/>
        <v>537200999.57068563</v>
      </c>
      <c r="R55" s="185">
        <f t="shared" ca="1" si="11"/>
        <v>19896333.317432802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1"/>
        <v>556812960.65435266</v>
      </c>
      <c r="H56" s="114">
        <f t="shared" si="12"/>
        <v>9041895.5201660004</v>
      </c>
      <c r="I56" s="114">
        <f t="shared" si="2"/>
        <v>1793939.1151990001</v>
      </c>
      <c r="J56" s="114">
        <f t="shared" si="3"/>
        <v>6225856.0099980002</v>
      </c>
      <c r="K56" s="114">
        <f t="shared" si="4"/>
        <v>17061690.645362999</v>
      </c>
      <c r="L56" s="187">
        <f t="shared" si="5"/>
        <v>3.064169092851669E-2</v>
      </c>
      <c r="M56" s="184">
        <f t="shared" si="6"/>
        <v>484069973.94355446</v>
      </c>
      <c r="N56" s="184">
        <f t="shared" ca="1" si="7"/>
        <v>17928517.553464979</v>
      </c>
      <c r="O56" s="180">
        <f t="shared" si="8"/>
        <v>511910621.97627205</v>
      </c>
      <c r="P56" s="180">
        <f t="shared" ca="1" si="9"/>
        <v>18959652.665787853</v>
      </c>
      <c r="Q56" s="185">
        <f t="shared" si="10"/>
        <v>539751270.00898969</v>
      </c>
      <c r="R56" s="185">
        <f t="shared" ca="1" si="11"/>
        <v>19990787.778110728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1"/>
        <v>1091051037.6788809</v>
      </c>
      <c r="H57" s="114">
        <f t="shared" si="12"/>
        <v>24228400.236997999</v>
      </c>
      <c r="I57" s="114">
        <f t="shared" si="2"/>
        <v>2594594.52</v>
      </c>
      <c r="J57" s="114">
        <f t="shared" si="3"/>
        <v>36828739.059940003</v>
      </c>
      <c r="K57" s="114">
        <f t="shared" si="4"/>
        <v>63651733.816937998</v>
      </c>
      <c r="L57" s="187">
        <f t="shared" si="5"/>
        <v>5.8339831610766529E-2</v>
      </c>
      <c r="M57" s="184">
        <f t="shared" si="6"/>
        <v>918294200.09405482</v>
      </c>
      <c r="N57" s="184">
        <f t="shared" ca="1" si="7"/>
        <v>34010896.29977981</v>
      </c>
      <c r="O57" s="180">
        <f t="shared" si="8"/>
        <v>972846751.97799873</v>
      </c>
      <c r="P57" s="180">
        <f t="shared" ca="1" si="9"/>
        <v>36031361.184370324</v>
      </c>
      <c r="Q57" s="185">
        <f t="shared" si="10"/>
        <v>1027399303.8619429</v>
      </c>
      <c r="R57" s="185">
        <f t="shared" ca="1" si="11"/>
        <v>38051826.068960845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1"/>
        <v>596447842.33116329</v>
      </c>
      <c r="H58" s="114">
        <f t="shared" si="12"/>
        <v>7886135.4645919995</v>
      </c>
      <c r="I58" s="114">
        <f t="shared" si="2"/>
        <v>4799378.3999950001</v>
      </c>
      <c r="J58" s="114">
        <f t="shared" si="3"/>
        <v>9972973.1899980009</v>
      </c>
      <c r="K58" s="114">
        <f t="shared" si="4"/>
        <v>22658487.054585002</v>
      </c>
      <c r="L58" s="187">
        <f t="shared" si="5"/>
        <v>3.7989050251278175E-2</v>
      </c>
      <c r="M58" s="184">
        <f t="shared" si="6"/>
        <v>514144571.04346198</v>
      </c>
      <c r="N58" s="184">
        <f t="shared" ca="1" si="7"/>
        <v>19042391.52012822</v>
      </c>
      <c r="O58" s="180">
        <f t="shared" si="8"/>
        <v>543966963.16002011</v>
      </c>
      <c r="P58" s="180">
        <f t="shared" ca="1" si="9"/>
        <v>20146924.561482225</v>
      </c>
      <c r="Q58" s="185">
        <f t="shared" si="10"/>
        <v>573789355.27657831</v>
      </c>
      <c r="R58" s="185">
        <f t="shared" ca="1" si="11"/>
        <v>21251457.602836233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1"/>
        <v>443846715.57642001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399462044.01877803</v>
      </c>
      <c r="N59" s="184">
        <f t="shared" ca="1" si="7"/>
        <v>14794890.519214001</v>
      </c>
      <c r="O59" s="180">
        <f t="shared" si="8"/>
        <v>421654379.79759902</v>
      </c>
      <c r="P59" s="180">
        <f t="shared" ca="1" si="9"/>
        <v>15616828.881392555</v>
      </c>
      <c r="Q59" s="185">
        <f t="shared" si="10"/>
        <v>443846715.57642001</v>
      </c>
      <c r="R59" s="185">
        <f t="shared" ca="1" si="11"/>
        <v>16438767.243571112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1"/>
        <v>561053180.35051799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504947862.31546623</v>
      </c>
      <c r="N60" s="184">
        <f t="shared" ca="1" si="7"/>
        <v>18701772.678350601</v>
      </c>
      <c r="O60" s="180">
        <f t="shared" si="8"/>
        <v>533000521.33299208</v>
      </c>
      <c r="P60" s="180">
        <f t="shared" ca="1" si="9"/>
        <v>19740760.049370077</v>
      </c>
      <c r="Q60" s="185">
        <f t="shared" si="10"/>
        <v>561053180.35051799</v>
      </c>
      <c r="R60" s="185">
        <f t="shared" ca="1" si="11"/>
        <v>20779747.420389555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1"/>
        <v>698459773.7073158</v>
      </c>
      <c r="H61" s="114">
        <f t="shared" si="12"/>
        <v>17326640.025509998</v>
      </c>
      <c r="I61" s="114">
        <f t="shared" si="2"/>
        <v>3598450.4599979999</v>
      </c>
      <c r="J61" s="114">
        <f t="shared" si="3"/>
        <v>9749459.7300000004</v>
      </c>
      <c r="K61" s="114">
        <f t="shared" si="4"/>
        <v>30674550.215507999</v>
      </c>
      <c r="L61" s="187">
        <f t="shared" si="5"/>
        <v>4.3917418540358105E-2</v>
      </c>
      <c r="M61" s="184">
        <f t="shared" si="6"/>
        <v>597939246.12107623</v>
      </c>
      <c r="N61" s="184">
        <f t="shared" ca="1" si="7"/>
        <v>22145898.004484303</v>
      </c>
      <c r="O61" s="180">
        <f t="shared" si="8"/>
        <v>632862234.80644202</v>
      </c>
      <c r="P61" s="180">
        <f t="shared" ca="1" si="9"/>
        <v>23439342.029868223</v>
      </c>
      <c r="Q61" s="185">
        <f t="shared" si="10"/>
        <v>667785223.49180782</v>
      </c>
      <c r="R61" s="185">
        <f t="shared" ca="1" si="11"/>
        <v>24732786.055252142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1"/>
        <v>458890229.7149359</v>
      </c>
      <c r="H62" s="114">
        <f t="shared" si="12"/>
        <v>5099399.1523909997</v>
      </c>
      <c r="I62" s="114">
        <f t="shared" si="2"/>
        <v>3553070.28</v>
      </c>
      <c r="J62" s="114">
        <f t="shared" si="3"/>
        <v>14595495.476</v>
      </c>
      <c r="K62" s="114">
        <f t="shared" si="4"/>
        <v>23247964.908390999</v>
      </c>
      <c r="L62" s="187">
        <f t="shared" si="5"/>
        <v>5.0661276712804959E-2</v>
      </c>
      <c r="M62" s="184">
        <f t="shared" si="6"/>
        <v>389753241.8350513</v>
      </c>
      <c r="N62" s="184">
        <f t="shared" ca="1" si="7"/>
        <v>14435305.253150048</v>
      </c>
      <c r="O62" s="180">
        <f t="shared" si="8"/>
        <v>412697753.3207981</v>
      </c>
      <c r="P62" s="180">
        <f t="shared" ca="1" si="9"/>
        <v>15285101.974844374</v>
      </c>
      <c r="Q62" s="185">
        <f t="shared" si="10"/>
        <v>435642264.8065449</v>
      </c>
      <c r="R62" s="185">
        <f t="shared" ca="1" si="11"/>
        <v>16134898.6965387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1"/>
        <v>960840969.44794083</v>
      </c>
      <c r="H63" s="114">
        <f t="shared" si="12"/>
        <v>26521190.528918002</v>
      </c>
      <c r="I63" s="114">
        <f t="shared" si="2"/>
        <v>297297.3</v>
      </c>
      <c r="J63" s="114">
        <f t="shared" si="3"/>
        <v>15905401.999435</v>
      </c>
      <c r="K63" s="114">
        <f t="shared" si="4"/>
        <v>42723889.828353003</v>
      </c>
      <c r="L63" s="187">
        <f t="shared" si="5"/>
        <v>4.4465100039292008E-2</v>
      </c>
      <c r="M63" s="184">
        <f t="shared" si="6"/>
        <v>822032982.67479372</v>
      </c>
      <c r="N63" s="184">
        <f t="shared" ca="1" si="7"/>
        <v>30445666.024992362</v>
      </c>
      <c r="O63" s="180">
        <f t="shared" si="8"/>
        <v>870075031.14719069</v>
      </c>
      <c r="P63" s="180">
        <f t="shared" ca="1" si="9"/>
        <v>32225001.153599653</v>
      </c>
      <c r="Q63" s="185">
        <f t="shared" si="10"/>
        <v>918117079.61958778</v>
      </c>
      <c r="R63" s="185">
        <f t="shared" ca="1" si="11"/>
        <v>34004336.282206953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1"/>
        <v>518781293.58852518</v>
      </c>
      <c r="H64" s="114">
        <f t="shared" si="12"/>
        <v>5074111.7300000004</v>
      </c>
      <c r="I64" s="114">
        <f t="shared" si="2"/>
        <v>2838292.3307739999</v>
      </c>
      <c r="J64" s="114">
        <f t="shared" si="3"/>
        <v>4410738.9999500001</v>
      </c>
      <c r="K64" s="114">
        <f t="shared" si="4"/>
        <v>12323143.060724001</v>
      </c>
      <c r="L64" s="187">
        <f t="shared" si="5"/>
        <v>2.3754023541369601E-2</v>
      </c>
      <c r="M64" s="184">
        <f t="shared" si="6"/>
        <v>454580021.16894865</v>
      </c>
      <c r="N64" s="184">
        <f t="shared" ca="1" si="7"/>
        <v>16836297.08033143</v>
      </c>
      <c r="O64" s="180">
        <f t="shared" si="8"/>
        <v>480519085.8483749</v>
      </c>
      <c r="P64" s="180">
        <f t="shared" ca="1" si="9"/>
        <v>17797003.179569442</v>
      </c>
      <c r="Q64" s="185">
        <f t="shared" si="10"/>
        <v>506458150.52780116</v>
      </c>
      <c r="R64" s="185">
        <f t="shared" ca="1" si="11"/>
        <v>18757709.27880745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4464586688.6595287</v>
      </c>
      <c r="E65" s="134">
        <f t="shared" si="13"/>
        <v>1279908063.1092303</v>
      </c>
      <c r="F65" s="134">
        <f t="shared" si="13"/>
        <v>2914007482.4702153</v>
      </c>
      <c r="G65" s="134">
        <f t="shared" si="13"/>
        <v>8658502234.2389736</v>
      </c>
      <c r="H65" s="135">
        <f t="shared" si="13"/>
        <v>134790963.51824799</v>
      </c>
      <c r="I65" s="135">
        <f t="shared" si="13"/>
        <v>27806675.404953003</v>
      </c>
      <c r="J65" s="135">
        <f t="shared" si="13"/>
        <v>116967141.88532101</v>
      </c>
      <c r="K65" s="135">
        <f t="shared" si="13"/>
        <v>279564780.80852205</v>
      </c>
      <c r="L65" s="189">
        <f t="shared" si="5"/>
        <v>3.2287891513501928E-2</v>
      </c>
      <c r="M65" s="181">
        <f>SUM(M51:M64)</f>
        <v>7513087230.0065556</v>
      </c>
      <c r="N65" s="181">
        <f t="shared" ca="1" si="7"/>
        <v>278262490.00024277</v>
      </c>
      <c r="O65" s="181">
        <f>SUM(O51:O64)</f>
        <v>7946012341.718504</v>
      </c>
      <c r="P65" s="181">
        <f t="shared" ca="1" si="9"/>
        <v>294296753.39698166</v>
      </c>
      <c r="Q65" s="186">
        <f>SUM(Q51:Q64)</f>
        <v>8378937453.4304523</v>
      </c>
      <c r="R65" s="186">
        <f t="shared" ca="1" si="11"/>
        <v>310331016.79372048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4400648.7999700001</v>
      </c>
      <c r="F69" s="187">
        <f t="shared" ref="F69:F74" si="14">IFERROR(E69/D69,0)</f>
        <v>1.6336329044333086E-2</v>
      </c>
      <c r="G69" s="184">
        <f>D69*$H$40-E69</f>
        <v>238039614.81279606</v>
      </c>
      <c r="H69" s="184">
        <f t="shared" ref="H69:H74" ca="1" si="15">IFERROR(G69/$C$3,0)</f>
        <v>8816282.0301035568</v>
      </c>
      <c r="I69" s="204">
        <f>D69*$J$40-E69</f>
        <v>251508518.34683859</v>
      </c>
      <c r="J69" s="204">
        <f t="shared" ref="J69:J74" ca="1" si="16">IFERROR(I69/$C$3,0)</f>
        <v>9315130.3091421705</v>
      </c>
      <c r="K69" s="185">
        <f>D69*$L$40-E69</f>
        <v>264977421.88088116</v>
      </c>
      <c r="L69" s="185">
        <f t="shared" ref="L69:L74" ca="1" si="17">IFERROR(K69/$C$3,0)</f>
        <v>9813978.5881807841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9101351.5199759994</v>
      </c>
      <c r="F70" s="187">
        <f t="shared" si="14"/>
        <v>2.2054313323675002E-2</v>
      </c>
      <c r="G70" s="184">
        <f>D70*$H$40-E70</f>
        <v>362309730.19278997</v>
      </c>
      <c r="H70" s="184">
        <f t="shared" ca="1" si="15"/>
        <v>13418878.896029258</v>
      </c>
      <c r="I70" s="204">
        <f>D70*$J$40-E70</f>
        <v>382943679.1768325</v>
      </c>
      <c r="J70" s="204">
        <f t="shared" ca="1" si="16"/>
        <v>14183099.228771575</v>
      </c>
      <c r="K70" s="185">
        <f>D70*$L$40-E70</f>
        <v>403577628.16087508</v>
      </c>
      <c r="L70" s="185">
        <f t="shared" ca="1" si="17"/>
        <v>14947319.561513891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23778171.829761002</v>
      </c>
      <c r="F71" s="187">
        <f t="shared" si="14"/>
        <v>2.1661217103486476E-2</v>
      </c>
      <c r="G71" s="184">
        <f>D71*$H$40-E71</f>
        <v>964178993.48300493</v>
      </c>
      <c r="H71" s="184">
        <f t="shared" ca="1" si="15"/>
        <v>35710333.091963142</v>
      </c>
      <c r="I71" s="204">
        <f>D71*$J$40-E71</f>
        <v>1019065502.6670474</v>
      </c>
      <c r="J71" s="204">
        <f t="shared" ca="1" si="16"/>
        <v>37743166.765446201</v>
      </c>
      <c r="K71" s="185">
        <f>D71*$L$40-E71</f>
        <v>1073952011.85109</v>
      </c>
      <c r="L71" s="185">
        <f t="shared" ca="1" si="17"/>
        <v>39776000.43892926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37280172.149707004</v>
      </c>
      <c r="F74" s="177">
        <f t="shared" si="14"/>
        <v>2.0946420693798318E-2</v>
      </c>
      <c r="G74" s="181">
        <f>SUM(G69:G73)</f>
        <v>1564528338.488591</v>
      </c>
      <c r="H74" s="181">
        <f t="shared" ca="1" si="15"/>
        <v>57945494.018095963</v>
      </c>
      <c r="I74" s="186">
        <f>SUM(I69:I73)</f>
        <v>1653517700.1907187</v>
      </c>
      <c r="J74" s="186">
        <f t="shared" ca="1" si="16"/>
        <v>61241396.303359948</v>
      </c>
      <c r="K74" s="186">
        <f>SUM(K69:K73)</f>
        <v>1742507061.8928461</v>
      </c>
      <c r="L74" s="186">
        <f t="shared" ca="1" si="17"/>
        <v>64537298.588623933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972973.02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4378378.59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18467747.989999998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29513694.069988001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142163962.83000001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7967567.5999999996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29344144.359993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9891892.1299849991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14486486.800000001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257186847.38996604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174</v>
      </c>
      <c r="C40" s="272"/>
      <c r="D40" s="27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182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1" t="s">
        <v>176</v>
      </c>
      <c r="C40" s="272"/>
      <c r="D40" s="27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4" t="s">
        <v>146</v>
      </c>
      <c r="C48" s="275"/>
      <c r="D48" s="275"/>
      <c r="E48" s="275"/>
      <c r="F48" s="275"/>
      <c r="G48" s="275"/>
      <c r="H48" s="275"/>
      <c r="I48" s="275"/>
      <c r="J48" s="275"/>
      <c r="K48" s="275"/>
      <c r="L48" s="285"/>
      <c r="M48" s="262" t="s">
        <v>185</v>
      </c>
      <c r="N48" s="263"/>
      <c r="O48" s="263"/>
      <c r="P48" s="263"/>
      <c r="Q48" s="263"/>
      <c r="R48" s="264"/>
    </row>
    <row r="49" spans="2:21" ht="17.100000000000001" customHeight="1" x14ac:dyDescent="0.25">
      <c r="B49" s="286" t="s">
        <v>41</v>
      </c>
      <c r="C49" s="286" t="s">
        <v>42</v>
      </c>
      <c r="D49" s="255" t="s">
        <v>137</v>
      </c>
      <c r="E49" s="256"/>
      <c r="F49" s="256"/>
      <c r="G49" s="257"/>
      <c r="H49" s="287" t="s">
        <v>138</v>
      </c>
      <c r="I49" s="288"/>
      <c r="J49" s="288"/>
      <c r="K49" s="289"/>
      <c r="L49" s="290" t="s">
        <v>139</v>
      </c>
      <c r="M49" s="265" t="str">
        <f>"SELISIH"&amp;CHAR(10)&amp;TEXT($H$40,"0%")</f>
        <v>SELISIH
90%</v>
      </c>
      <c r="N49" s="265" t="str">
        <f>"PER HARI"&amp;CHAR(10)&amp;TEXT($H$40,"0%")</f>
        <v>PER HARI
90%</v>
      </c>
      <c r="O49" s="267" t="str">
        <f>"SELISIH"&amp;CHAR(10)&amp;TEXT($J$40,"0%")</f>
        <v>SELISIH
95%</v>
      </c>
      <c r="P49" s="267" t="str">
        <f>"PER HARI"&amp;CHAR(10)&amp;TEXT($J$40,"0%")</f>
        <v>PER HARI
95%</v>
      </c>
      <c r="Q49" s="269" t="str">
        <f>"SELISIH"&amp;CHAR(10)&amp;TEXT($L$40,"0%")</f>
        <v>SELISIH
100%</v>
      </c>
      <c r="R49" s="269" t="str">
        <f>"PER HARI"&amp;CHAR(10)&amp;TEXT($L$40,"0%")</f>
        <v>PER HARI
100%</v>
      </c>
    </row>
    <row r="50" spans="2:21" ht="17.100000000000001" customHeight="1" x14ac:dyDescent="0.25">
      <c r="B50" s="261"/>
      <c r="C50" s="261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1"/>
      <c r="M50" s="266"/>
      <c r="N50" s="266"/>
      <c r="O50" s="268"/>
      <c r="P50" s="268"/>
      <c r="Q50" s="270"/>
      <c r="R50" s="270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182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2" t="s">
        <v>144</v>
      </c>
      <c r="C67" s="293"/>
      <c r="D67" s="293"/>
      <c r="E67" s="293"/>
      <c r="F67" s="295"/>
      <c r="G67" s="262" t="s">
        <v>185</v>
      </c>
      <c r="H67" s="263"/>
      <c r="I67" s="263"/>
      <c r="J67" s="263"/>
      <c r="K67" s="263"/>
      <c r="L67" s="264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61" t="s">
        <v>41</v>
      </c>
      <c r="C78" s="261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2026-10-01T01:07:13Z</dcterms:modified>
  <dc:language>en-US</dc:language>
</cp:coreProperties>
</file>