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65" i="10"/>
  <c r="K51" i="10"/>
  <c r="M51" i="10"/>
  <c r="M65" i="10" s="1"/>
  <c r="O51" i="10"/>
  <c r="K52" i="10"/>
  <c r="M52" i="10"/>
  <c r="O52" i="10"/>
  <c r="K53" i="10"/>
  <c r="M53" i="10"/>
  <c r="O53" i="10"/>
  <c r="K54" i="10"/>
  <c r="M54" i="10"/>
  <c r="O54" i="10"/>
  <c r="K55" i="10"/>
  <c r="M55" i="10"/>
  <c r="O55" i="10"/>
  <c r="K56" i="10"/>
  <c r="M56" i="10"/>
  <c r="O56" i="10"/>
  <c r="K57" i="10"/>
  <c r="M57" i="10"/>
  <c r="O57" i="10"/>
  <c r="K58" i="10"/>
  <c r="M58" i="10"/>
  <c r="O58" i="10"/>
  <c r="K59" i="10"/>
  <c r="M59" i="10"/>
  <c r="O59" i="10"/>
  <c r="K60" i="10"/>
  <c r="M60" i="10"/>
  <c r="O60" i="10"/>
  <c r="K61" i="10"/>
  <c r="M61" i="10"/>
  <c r="O61" i="10"/>
  <c r="K62" i="10"/>
  <c r="M62" i="10"/>
  <c r="O62" i="10"/>
  <c r="K63" i="10"/>
  <c r="M63" i="10"/>
  <c r="O63" i="10"/>
  <c r="K64" i="10"/>
  <c r="M64" i="10"/>
  <c r="O64" i="10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69" i="10"/>
  <c r="I69" i="10"/>
  <c r="K69" i="10"/>
  <c r="G70" i="10"/>
  <c r="G74" i="10" s="1"/>
  <c r="I70" i="10"/>
  <c r="K70" i="10"/>
  <c r="G71" i="10"/>
  <c r="I71" i="10"/>
  <c r="K71" i="10"/>
  <c r="G72" i="10"/>
  <c r="I72" i="10"/>
  <c r="K72" i="10"/>
  <c r="K74" i="10" s="1"/>
  <c r="G73" i="10"/>
  <c r="I73" i="10"/>
  <c r="K73" i="10"/>
  <c r="G68" i="10"/>
  <c r="H68" i="10"/>
  <c r="I68" i="10"/>
  <c r="J68" i="10"/>
  <c r="K68" i="10"/>
  <c r="L68" i="10"/>
  <c r="I46" i="10"/>
  <c r="G43" i="10"/>
  <c r="I43" i="10"/>
  <c r="K43" i="10"/>
  <c r="G44" i="10"/>
  <c r="I44" i="10"/>
  <c r="K44" i="10"/>
  <c r="G45" i="10"/>
  <c r="I45" i="10"/>
  <c r="K45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M17" i="10"/>
  <c r="G62" i="10" s="1"/>
  <c r="I62" i="10" s="1"/>
  <c r="N16" i="10"/>
  <c r="M16" i="10"/>
  <c r="G61" i="10" s="1"/>
  <c r="N15" i="10"/>
  <c r="H60" i="10" s="1"/>
  <c r="M15" i="10"/>
  <c r="G60" i="10" s="1"/>
  <c r="I60" i="10" s="1"/>
  <c r="N14" i="10"/>
  <c r="H58" i="10" s="1"/>
  <c r="M14" i="10"/>
  <c r="N13" i="10"/>
  <c r="M13" i="10"/>
  <c r="G57" i="10" s="1"/>
  <c r="I57" i="10" s="1"/>
  <c r="N12" i="10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I52" i="10" s="1"/>
  <c r="N8" i="10"/>
  <c r="M8" i="10"/>
  <c r="G51" i="10" s="1"/>
  <c r="N7" i="10"/>
  <c r="M7" i="10"/>
  <c r="H63" i="10"/>
  <c r="H62" i="10"/>
  <c r="H61" i="10"/>
  <c r="H59" i="10"/>
  <c r="G59" i="10"/>
  <c r="G58" i="10"/>
  <c r="I58" i="10" s="1"/>
  <c r="H57" i="10"/>
  <c r="H56" i="10"/>
  <c r="H53" i="10"/>
  <c r="G53" i="10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G74" i="6" l="1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0"/>
  <c r="O65" i="11"/>
  <c r="K46" i="10"/>
  <c r="K46" i="11"/>
  <c r="K74" i="11"/>
  <c r="G46" i="10"/>
  <c r="I74" i="10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L52" i="10"/>
  <c r="N53" i="10"/>
  <c r="L56" i="10"/>
  <c r="P58" i="10"/>
  <c r="L60" i="10"/>
  <c r="P62" i="10"/>
  <c r="N55" i="10"/>
  <c r="L62" i="10"/>
  <c r="P54" i="10"/>
  <c r="N57" i="10"/>
  <c r="N61" i="10"/>
  <c r="L64" i="10"/>
  <c r="L54" i="10"/>
  <c r="P64" i="10"/>
  <c r="L51" i="10"/>
  <c r="N52" i="10"/>
  <c r="P53" i="10"/>
  <c r="L55" i="10"/>
  <c r="N56" i="10"/>
  <c r="P57" i="10"/>
  <c r="L59" i="10"/>
  <c r="N60" i="10"/>
  <c r="P61" i="10"/>
  <c r="L63" i="10"/>
  <c r="N64" i="10"/>
  <c r="P52" i="10"/>
  <c r="P56" i="10"/>
  <c r="L58" i="10"/>
  <c r="N59" i="10"/>
  <c r="P60" i="10"/>
  <c r="N63" i="10"/>
  <c r="N51" i="10"/>
  <c r="N62" i="10"/>
  <c r="P59" i="10"/>
  <c r="L65" i="10"/>
  <c r="N54" i="10"/>
  <c r="N65" i="10"/>
  <c r="P63" i="10"/>
  <c r="P51" i="10"/>
  <c r="L61" i="10"/>
  <c r="N58" i="10"/>
  <c r="L57" i="10"/>
  <c r="P55" i="10"/>
  <c r="L53" i="10"/>
  <c r="P65" i="10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L44" i="10"/>
  <c r="J72" i="10"/>
  <c r="H71" i="10"/>
  <c r="H69" i="10"/>
  <c r="J70" i="10"/>
  <c r="L71" i="10"/>
  <c r="H73" i="10"/>
  <c r="H44" i="10"/>
  <c r="J45" i="10"/>
  <c r="L69" i="10"/>
  <c r="J43" i="10"/>
  <c r="J44" i="10"/>
  <c r="L70" i="10"/>
  <c r="H74" i="10"/>
  <c r="J46" i="10"/>
  <c r="L43" i="10"/>
  <c r="L74" i="10"/>
  <c r="J71" i="10"/>
  <c r="J69" i="10"/>
  <c r="J73" i="10"/>
  <c r="H45" i="10"/>
  <c r="H43" i="10"/>
  <c r="L45" i="10"/>
  <c r="H72" i="10"/>
  <c r="L72" i="10"/>
  <c r="H70" i="10"/>
  <c r="L46" i="10"/>
  <c r="H46" i="10"/>
  <c r="J74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D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F51" i="10" s="1"/>
  <c r="J51" i="10" s="1"/>
  <c r="D64" i="10"/>
  <c r="D63" i="10"/>
  <c r="F63" i="10" s="1"/>
  <c r="J63" i="10" s="1"/>
  <c r="D62" i="10"/>
  <c r="D61" i="10"/>
  <c r="D60" i="10"/>
  <c r="D59" i="10"/>
  <c r="D58" i="10"/>
  <c r="D57" i="10"/>
  <c r="D56" i="10"/>
  <c r="D55" i="10"/>
  <c r="F55" i="10" s="1"/>
  <c r="J55" i="10" s="1"/>
  <c r="D54" i="10"/>
  <c r="D53" i="10"/>
  <c r="F53" i="10" s="1"/>
  <c r="J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J61" i="10" s="1"/>
  <c r="F59" i="10"/>
  <c r="J59" i="10" s="1"/>
  <c r="F58" i="10"/>
  <c r="J58" i="10" s="1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J53" i="12" l="1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J60" i="10" s="1"/>
  <c r="F45" i="10"/>
  <c r="F53" i="11"/>
  <c r="J53" i="11" s="1"/>
  <c r="F70" i="11"/>
  <c r="F58" i="11"/>
  <c r="J58" i="11" s="1"/>
  <c r="F56" i="10"/>
  <c r="J56" i="10" s="1"/>
  <c r="F64" i="10"/>
  <c r="J64" i="10" s="1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J54" i="10" s="1"/>
  <c r="L51" i="3"/>
  <c r="L59" i="3"/>
  <c r="D65" i="11"/>
  <c r="D65" i="13"/>
  <c r="F60" i="8"/>
  <c r="D74" i="9"/>
  <c r="F70" i="7"/>
  <c r="E65" i="11"/>
  <c r="D65" i="14"/>
  <c r="F61" i="7"/>
  <c r="F51" i="9"/>
  <c r="F62" i="10"/>
  <c r="J62" i="10" s="1"/>
  <c r="F70" i="14"/>
  <c r="F57" i="10"/>
  <c r="J57" i="10" s="1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H43" i="13" l="1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46" i="9" l="1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<sst xmlns="http://schemas.openxmlformats.org/spreadsheetml/2006/main" count="1843" uniqueCount="193">
  <si>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</si>
  <si>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</si>
  <si>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</si>
  <si>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</si>
  <si>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</si>
  <si>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</si>
  <si>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</si>
  <si>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</si>
  <si>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</si>
  <si>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</si>
  <si>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</si>
  <si>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</si>
  <si>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</si>
  <si>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</si>
  <si>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</si>
  <si>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</si>
  <si>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</si>
  <si>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</si>
  <si>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</si>
  <si>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</si>
  <si>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</si>
  <si>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</si>
  <si>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</si>
  <si>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</si>
  <si>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</si>
  <si>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</si>
  <si>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</si>
  <si>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</si>
  <si>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</si>
  <si>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</si>
  <si>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</si>
  <si>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</si>
  <si>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</si>
  <si>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</si>
  <si>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</si>
  <si>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</si>
  <si>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</si>
  <si>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</si>
  <si>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</si>
  <si>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</si>
  <si>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</si>
  <si>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</si>
  <si>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</si>
  <si>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</si>
  <si>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</si>
  <si>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</si>
  <si>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</si>
  <si>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</si>
  <si>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</si>
  <si>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</si>
  <si>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</si>
  <si>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</si>
  <si>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</si>
  <si>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</si>
  <si>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</si>
  <si>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</si>
  <si>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</si>
  <si>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</si>
  <si>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</si>
  <si>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</si>
  <si>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</si>
  <si>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</si>
  <si>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</si>
  <si>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</si>
  <si>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</si>
  <si>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</si>
  <si>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</si>
  <si>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</si>
  <si>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</si>
  <si>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</si>
  <si>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</si>
  <si>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</si>
  <si>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</si>
  <si>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</si>
  <si>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</si>
  <si>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</si>
  <si>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</si>
  <si>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</si>
  <si>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</si>
  <si>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</si>
  <si>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</si>
  <si>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</si>
  <si>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</si>
  <si>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</si>
  <si>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</si>
  <si>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</si>
  <si>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</si>
  <si>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</si>
  <si>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</si>
  <si>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</si>
  <si>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</si>
  <si>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</si>
  <si>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</si>
  <si>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</si>
  <si>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</si>
  <si>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</si>
  <si>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</si>
  <si>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</si>
  <si>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</si>
  <si>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</si>
  <si>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</si>
  <si>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</si>
  <si>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</si>
  <si>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</si>
  <si>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</si>
  <si>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</si>
  <si>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</si>
  <si>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</si>
  <si>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</si>
  <si>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</si>
  <si>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</si>
  <si>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</si>
  <si>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</si>
  <si>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</si>
  <si>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</si>
  <si>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</si>
  <si>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</si>
  <si>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</si>
  <si>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</si>
  <si>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</si>
  <si>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</si>
  <si>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</si>
  <si>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</si>
  <si>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</si>
  <si>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</si>
  <si>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</si>
  <si>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</si>
  <si>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</si>
  <si>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</si>
  <si>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</si>
  <si>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</si>
  <si>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</si>
  <si>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</si>
  <si>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</si>
  <si>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</si>
  <si>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</si>
  <si>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</si>
  <si>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</si>
  <si>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</si>
  <si>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</si>
  <si>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</si>
  <si>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</si>
  <si>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</si>
  <si>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</si>
  <si>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</si>
  <si>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</si>
  <si>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</si>
  <si>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</si>
  <si>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</si>
  <si>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</si>
  <si>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</si>
  <si>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</si>
  <si>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</si>
  <si>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</si>
  <si>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</si>
  <si>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</si>
  <si>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</si>
  <si>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</si>
  <si>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</si>
  <si>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</si>
  <si>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</si>
  <si>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</si>
  <si>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</si>
  <si>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</si>
  <si>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</si>
  <si>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</si>
  <si>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</si>
  <si>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</si>
  <si>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</si>
  <si>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</si>
  <si>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</si>
  <si>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</si>
  <si>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</si>
  <si>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</si>
  <si>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</si>
  <si>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</si>
  <si>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</si>
  <si>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</si>
  <si>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</si>
  <si>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</si>
  <si>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</si>
  <si>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</si>
  <si>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</si>
  <si>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</si>
  <si>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</si>
  <si>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</si>
  <si>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</si>
  <si>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</si>
  <si>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</si>
  <si>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</si>
  <si>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</si>
  <si>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</si>
  <si>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30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</si>
</sst>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175</v>
      </c>
      <c r="C7" s="138" t="s">
        <v>176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175</v>
      </c>
      <c r="C13" s="138" t="s">
        <v>177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168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188</v>
      </c>
    </row>
    <row r="41" spans="2:19" ht="27.95" customHeight="1" x14ac:dyDescent="0.25">
      <c r="B41" s="261" t="s">
        <v>181</v>
      </c>
      <c r="C41" s="262"/>
      <c r="D41" s="263"/>
      <c r="E41" s="67" t="s">
        <v>138</v>
      </c>
      <c r="F41" s="185"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  <c r="Q48"/>
      <c r="R48"/>
    </row>
    <row r="49" spans="2:18" s="148" customFormat="1" ht="33.950000000000003" customHeight="1" x14ac:dyDescent="0.25">
      <c r="B49" s="269" t="s">
        <v>41</v>
      </c>
      <c r="C49" s="269" t="s">
        <v>42</v>
      </c>
      <c r="D49" s="266" t="s">
        <v>138</v>
      </c>
      <c r="E49" s="267"/>
      <c r="F49" s="268"/>
      <c r="G49" s="149" t="s">
        <v>139</v>
      </c>
      <c r="H49" s="149"/>
      <c r="I49" s="149"/>
      <c r="J49" s="26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9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9"/>
      <c r="C50" s="269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6"/>
      <c r="K50" s="256"/>
      <c r="L50" s="256"/>
      <c r="M50" s="258"/>
      <c r="N50" s="202"/>
      <c r="O50" s="196"/>
      <c r="P50" s="260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175</v>
      </c>
      <c r="C53" s="164" t="s">
        <v>176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175</v>
      </c>
      <c r="C59" s="164" t="s">
        <v>177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64" t="s">
        <v>145</v>
      </c>
      <c r="C67" s="265"/>
      <c r="D67" s="265"/>
      <c r="E67" s="265"/>
      <c r="F67" s="265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174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171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175</v>
      </c>
      <c r="C82" s="162" t="s">
        <v>176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175</v>
      </c>
      <c r="C88" s="162" t="s">
        <v>177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72" t="s">
        <v>182</v>
      </c>
      <c r="C41" s="273"/>
      <c r="D41" s="274"/>
      <c r="E41" s="67" t="s">
        <v>138</v>
      </c>
      <c r="F41" s="185">
        <v>0.97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-25566926.494196415</v>
      </c>
      <c r="I43" s="218">
        <f>D43*$J$41-E43</f>
        <v>290830113.6116066</v>
      </c>
      <c r="J43" s="218">
        <f ca="1">IFERROR(I43/$C$3,0)</f>
        <v>145415056.8058033</v>
      </c>
      <c r="K43" s="198">
        <f>D43*$L$41-E43</f>
        <v>632794080.21160698</v>
      </c>
      <c r="L43" s="198">
        <f ca="1">IFERROR(K43/$C$3,0)</f>
        <v>316397040.10580349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204030423.6473273</v>
      </c>
      <c r="I44" s="218">
        <f>D44*$J$41-E44</f>
        <v>481824088.50567269</v>
      </c>
      <c r="J44" s="218">
        <f ca="1">IFERROR(I44/$C$3,0)</f>
        <v>240912044.25283635</v>
      </c>
      <c r="K44" s="198">
        <f>D44*$L$41-E44</f>
        <v>555587329.71669078</v>
      </c>
      <c r="L44" s="198">
        <f ca="1">IFERROR(K44/$C$3,0)</f>
        <v>277793664.85834539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-34262678.800356388</v>
      </c>
      <c r="I45" s="218">
        <f>D45*$J$41-E45</f>
        <v>20623578.569499731</v>
      </c>
      <c r="J45" s="218">
        <f ca="1">IFERROR(I45/$C$3,0)</f>
        <v>10311789.284749866</v>
      </c>
      <c r="K45" s="198">
        <f>D45*$L$41-E45</f>
        <v>109772514.73971272</v>
      </c>
      <c r="L45" s="198">
        <f ca="1">IFERROR(K45/$C$3,0)</f>
        <v>54886257.369856358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144200818.3527745</v>
      </c>
      <c r="I46" s="199">
        <f>I43+I44+I45</f>
        <v>793277780.68677902</v>
      </c>
      <c r="J46" s="199">
        <f ca="1">IFERROR(I46/$C$3,0)</f>
        <v>396638890.34338951</v>
      </c>
      <c r="K46" s="199">
        <f>K43+K44+K45</f>
        <v>1298153924.6680105</v>
      </c>
      <c r="L46" s="199">
        <f ca="1">IFERROR(K46/$C$3,0)</f>
        <v>649076962.33400524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51724367.702248931</v>
      </c>
      <c r="M51" s="193">
        <f t="shared" ref="M51:M64" si="5">F51*$J$41-I51</f>
        <v>127696429.36553055</v>
      </c>
      <c r="N51" s="193">
        <f t="shared" ref="N51:N65" ca="1" si="6">IFERROR(M51/$C$3,0)</f>
        <v>63848214.682765275</v>
      </c>
      <c r="O51" s="198">
        <f t="shared" ref="O51:O64" si="7">F51*$L$41-I51</f>
        <v>151944123.3265633</v>
      </c>
      <c r="P51" s="198">
        <f t="shared" ref="P51:P65" ca="1" si="8">IFERROR(O51/$C$3,0)</f>
        <v>75972061.663281649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30638359.743634999</v>
      </c>
      <c r="M52" s="193">
        <f t="shared" si="5"/>
        <v>98613177.237269998</v>
      </c>
      <c r="N52" s="193">
        <f t="shared" ca="1" si="6"/>
        <v>49306588.618634999</v>
      </c>
      <c r="O52" s="198">
        <f t="shared" si="7"/>
        <v>135949634.98727</v>
      </c>
      <c r="P52" s="198">
        <f t="shared" ca="1" si="8"/>
        <v>67974817.493634999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9879047.700000003</v>
      </c>
      <c r="M53" s="193">
        <f t="shared" si="5"/>
        <v>31831758.799999982</v>
      </c>
      <c r="N53" s="193">
        <f t="shared" ca="1" si="6"/>
        <v>15915879.399999991</v>
      </c>
      <c r="O53" s="198">
        <f t="shared" si="7"/>
        <v>43905422.199999988</v>
      </c>
      <c r="P53" s="198">
        <f t="shared" ca="1" si="8"/>
        <v>21952711.099999994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-53054068.68388027</v>
      </c>
      <c r="M54" s="193">
        <f t="shared" si="5"/>
        <v>-73228422.42689395</v>
      </c>
      <c r="N54" s="193">
        <f t="shared" ca="1" si="6"/>
        <v>-36614211.213446975</v>
      </c>
      <c r="O54" s="198">
        <f t="shared" si="7"/>
        <v>-40348707.486027122</v>
      </c>
      <c r="P54" s="198">
        <f t="shared" ca="1" si="8"/>
        <v>-20174353.743013561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41000558.846186876</v>
      </c>
      <c r="M55" s="193">
        <f t="shared" si="5"/>
        <v>106397747.65194988</v>
      </c>
      <c r="N55" s="193">
        <f t="shared" ca="1" si="6"/>
        <v>53198873.825974941</v>
      </c>
      <c r="O55" s="198">
        <f t="shared" si="7"/>
        <v>130794377.61152613</v>
      </c>
      <c r="P55" s="198">
        <f t="shared" ca="1" si="8"/>
        <v>65397188.805763066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12585840.921339154</v>
      </c>
      <c r="M56" s="193">
        <f t="shared" si="5"/>
        <v>52929593.148810923</v>
      </c>
      <c r="N56" s="193">
        <f t="shared" ca="1" si="6"/>
        <v>26464796.574405462</v>
      </c>
      <c r="O56" s="198">
        <f t="shared" si="7"/>
        <v>80687504.454943657</v>
      </c>
      <c r="P56" s="198">
        <f t="shared" ca="1" si="8"/>
        <v>40343752.227471828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-65242913.90132761</v>
      </c>
      <c r="M57" s="193">
        <f t="shared" si="5"/>
        <v>-77801481.735697389</v>
      </c>
      <c r="N57" s="193">
        <f t="shared" ca="1" si="6"/>
        <v>-38900740.867848694</v>
      </c>
      <c r="O57" s="198">
        <f t="shared" si="7"/>
        <v>-25117135.668739557</v>
      </c>
      <c r="P57" s="198">
        <f t="shared" ca="1" si="8"/>
        <v>-12558567.834369779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26953790.967645019</v>
      </c>
      <c r="M58" s="193">
        <f t="shared" si="5"/>
        <v>82361005.085290074</v>
      </c>
      <c r="N58" s="193">
        <f t="shared" ca="1" si="6"/>
        <v>41180502.542645037</v>
      </c>
      <c r="O58" s="198">
        <f t="shared" si="7"/>
        <v>110814428.23529005</v>
      </c>
      <c r="P58" s="198">
        <f t="shared" ca="1" si="8"/>
        <v>55407214.117645025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31599386.885012507</v>
      </c>
      <c r="M59" s="193">
        <f t="shared" si="5"/>
        <v>83405456.970024943</v>
      </c>
      <c r="N59" s="193">
        <f t="shared" ca="1" si="6"/>
        <v>41702728.485012472</v>
      </c>
      <c r="O59" s="198">
        <f t="shared" si="7"/>
        <v>103612140.17002499</v>
      </c>
      <c r="P59" s="198">
        <f t="shared" ca="1" si="8"/>
        <v>51806070.085012496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10681888.867740422</v>
      </c>
      <c r="M60" s="193">
        <f t="shared" si="5"/>
        <v>48487862.696380615</v>
      </c>
      <c r="N60" s="193">
        <f t="shared" ca="1" si="6"/>
        <v>24243931.348190308</v>
      </c>
      <c r="O60" s="198">
        <f t="shared" si="7"/>
        <v>75611947.657280385</v>
      </c>
      <c r="P60" s="198">
        <f t="shared" ca="1" si="8"/>
        <v>37805973.828640193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54099518.872407883</v>
      </c>
      <c r="M61" s="193">
        <f t="shared" si="5"/>
        <v>142717597.57534701</v>
      </c>
      <c r="N61" s="193">
        <f t="shared" ca="1" si="6"/>
        <v>71358798.787673503</v>
      </c>
      <c r="O61" s="198">
        <f t="shared" si="7"/>
        <v>177236157.40587825</v>
      </c>
      <c r="P61" s="198">
        <f t="shared" ca="1" si="8"/>
        <v>88618078.702939123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36671805.19109574</v>
      </c>
      <c r="M62" s="193">
        <f t="shared" si="5"/>
        <v>95858969.272182167</v>
      </c>
      <c r="N62" s="193">
        <f t="shared" ca="1" si="6"/>
        <v>47929484.636091083</v>
      </c>
      <c r="O62" s="198">
        <f t="shared" si="7"/>
        <v>118374328.16217285</v>
      </c>
      <c r="P62" s="198">
        <f t="shared" ca="1" si="8"/>
        <v>59187164.081086427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-28355052.868138134</v>
      </c>
      <c r="M63" s="193">
        <f t="shared" si="5"/>
        <v>-11052211.386640549</v>
      </c>
      <c r="N63" s="193">
        <f t="shared" ca="1" si="6"/>
        <v>-5526105.6933202744</v>
      </c>
      <c r="O63" s="198">
        <f t="shared" si="7"/>
        <v>34605682.96299541</v>
      </c>
      <c r="P63" s="198">
        <f t="shared" ca="1" si="8"/>
        <v>17302841.481497705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19280966.909165889</v>
      </c>
      <c r="M64" s="193">
        <f t="shared" si="5"/>
        <v>64436719.86372602</v>
      </c>
      <c r="N64" s="193">
        <f t="shared" ca="1" si="6"/>
        <v>32218359.93186301</v>
      </c>
      <c r="O64" s="198">
        <f t="shared" si="7"/>
        <v>90311505.909120381</v>
      </c>
      <c r="P64" s="198">
        <f t="shared" ca="1" si="8"/>
        <v>45155752.95456019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178463497.15313143</v>
      </c>
      <c r="M65" s="194">
        <f>SUM(M51:M64)</f>
        <v>772654202.11728036</v>
      </c>
      <c r="N65" s="194">
        <f t="shared" ca="1" si="6"/>
        <v>386327101.05864018</v>
      </c>
      <c r="O65" s="199">
        <f>SUM(O51:O64)</f>
        <v>1188381409.9282987</v>
      </c>
      <c r="P65" s="199">
        <f t="shared" ca="1" si="8"/>
        <v>594190704.96414936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-20584719.853346705</v>
      </c>
      <c r="I69" s="218">
        <f>D69*$J$41-E69</f>
        <v>-27266208.811482966</v>
      </c>
      <c r="J69" s="218">
        <f t="shared" ref="J69:J74" ca="1" si="14">IFERROR(I69/$C$3,0)</f>
        <v>-13633104.405741483</v>
      </c>
      <c r="K69" s="198">
        <f>D69*$L$41-E69</f>
        <v>-13362977.916272461</v>
      </c>
      <c r="L69" s="198">
        <f t="shared" ref="L69:L74" ca="1" si="15">IFERROR(K69/$C$3,0)</f>
        <v>-6681488.9581362307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-30145669.028267294</v>
      </c>
      <c r="I70" s="218">
        <f>D70*$J$41-E70</f>
        <v>-39410410.397208512</v>
      </c>
      <c r="J70" s="218">
        <f t="shared" ca="1" si="14"/>
        <v>-19705205.198604256</v>
      </c>
      <c r="K70" s="198">
        <f>D70*$L$41-E70</f>
        <v>-18529482.737882435</v>
      </c>
      <c r="L70" s="198">
        <f t="shared" ca="1" si="15"/>
        <v>-9264741.3689412177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16467710.081257641</v>
      </c>
      <c r="I71" s="218">
        <f>D71*$J$41-E71</f>
        <v>87300197.778191447</v>
      </c>
      <c r="J71" s="218">
        <f t="shared" ca="1" si="14"/>
        <v>43650098.889095724</v>
      </c>
      <c r="K71" s="198">
        <f>D71*$L$41-E71</f>
        <v>141664975.39386773</v>
      </c>
      <c r="L71" s="198">
        <f t="shared" ca="1" si="15"/>
        <v>70832487.696933866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-34262678.800356358</v>
      </c>
      <c r="I74" s="199">
        <f>SUM(I69:I73)</f>
        <v>20623578.569499969</v>
      </c>
      <c r="J74" s="199">
        <f t="shared" ca="1" si="14"/>
        <v>10311789.284749985</v>
      </c>
      <c r="K74" s="199">
        <f>SUM(K69:K73)</f>
        <v>109772514.73971283</v>
      </c>
      <c r="L74" s="199">
        <f t="shared" ca="1" si="15"/>
        <v>54886257.369856417</v>
      </c>
    </row>
    <row r="77" spans="2:16" ht="18.75" x14ac:dyDescent="0.25">
      <c r="B77" s="127" t="s">
        <v>174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171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175</v>
      </c>
      <c r="C82" s="178" t="s">
        <v>176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175</v>
      </c>
      <c r="C88" s="178" t="s">
        <v>177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B29" zoomScaleNormal="100" workbookViewId="0">
      <selection activeCell="B48" sqref="B48:J4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183</v>
      </c>
      <c r="C41" s="262"/>
      <c r="D41" s="263"/>
      <c r="E41" s="67" t="s">
        <v>138</v>
      </c>
      <c r="F41" s="185">
        <f ca="1">IF(MONTH(TODAY())=6,DAY(TODAY())/DAY(EOMONTH(TODAY(),0)),IF(MONTH(TODAY())&gt;6,1,0))</f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175</v>
      </c>
      <c r="C82" s="56" t="s">
        <v>176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175</v>
      </c>
      <c r="C88" s="56" t="s">
        <v>177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94"/>
  <sheetViews>
    <sheetView showGridLines="0" tabSelected="1" topLeftCell="A77" zoomScaleNormal="100" workbookViewId="0">
      <selection activeCell="D85" sqref="D85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426631361.727741</v>
      </c>
      <c r="N8" s="11">
        <f>D22</f>
        <v>61236842.113931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596321621.47587895</v>
      </c>
      <c r="N9" s="11">
        <f>D13+D14</f>
        <v>148973432.712318</v>
      </c>
    </row>
    <row r="10" spans="2:14" x14ac:dyDescent="0.25">
      <c r="B10" s="74" t="s">
        <v>113</v>
      </c>
      <c r="C10" s="233">
        <v>370485388.74988401</v>
      </c>
      <c r="D10" s="233">
        <v>45923885.865496002</v>
      </c>
      <c r="E10" s="233">
        <v>163965368.86000001</v>
      </c>
      <c r="F10" s="233">
        <v>580374643.47537994</v>
      </c>
      <c r="H10" s="116"/>
      <c r="I10" s="116"/>
      <c r="J10" s="116"/>
      <c r="M10" s="11">
        <f>C15</f>
        <v>968096444.02455294</v>
      </c>
      <c r="N10" s="11">
        <f>D15</f>
        <v>28245077.618280001</v>
      </c>
    </row>
    <row r="11" spans="2:14" x14ac:dyDescent="0.25">
      <c r="B11" s="74" t="s">
        <v>114</v>
      </c>
      <c r="C11" s="233">
        <v>300076431.13648599</v>
      </c>
      <c r="D11" s="233">
        <v>123816037.777675</v>
      </c>
      <c r="E11" s="233">
        <v>69701885.439999998</v>
      </c>
      <c r="F11" s="233">
        <v>493594354.35416102</v>
      </c>
      <c r="H11" s="116"/>
      <c r="I11" s="116"/>
      <c r="J11" s="116"/>
      <c r="M11" s="11">
        <f>C12</f>
        <v>317945947.47873902</v>
      </c>
      <c r="N11" s="11">
        <f>D12</f>
        <v>43800016.100000001</v>
      </c>
    </row>
    <row r="12" spans="2:14" x14ac:dyDescent="0.25">
      <c r="B12" s="74" t="s">
        <v>185</v>
      </c>
      <c r="C12" s="233">
        <v>317945947.47873902</v>
      </c>
      <c r="D12" s="233">
        <v>43800016.100000001</v>
      </c>
      <c r="E12" s="233" t="s">
        <v>168</v>
      </c>
      <c r="F12" s="233">
        <v>361745963.57873899</v>
      </c>
      <c r="H12" s="116"/>
      <c r="I12" s="116"/>
      <c r="J12" s="116"/>
      <c r="M12" s="11">
        <f>C25+C26</f>
        <v>391871744.14337397</v>
      </c>
      <c r="N12" s="11">
        <f>D25+D26</f>
        <v>105093835.063372</v>
      </c>
    </row>
    <row r="13" spans="2:14" x14ac:dyDescent="0.25">
      <c r="B13" s="74" t="s">
        <v>70</v>
      </c>
      <c r="C13" s="233">
        <v>321092896.70908099</v>
      </c>
      <c r="D13" s="233">
        <v>111523671.57247099</v>
      </c>
      <c r="E13" s="233">
        <v>58768368.240000002</v>
      </c>
      <c r="F13" s="233">
        <v>491384936.52155203</v>
      </c>
      <c r="H13" s="116"/>
      <c r="I13" s="116"/>
      <c r="J13" s="116"/>
      <c r="M13" s="11">
        <f>C17</f>
        <v>1325488191.249764</v>
      </c>
      <c r="N13" s="11">
        <f>D17</f>
        <v>82730239.299614996</v>
      </c>
    </row>
    <row r="14" spans="2:14" x14ac:dyDescent="0.25">
      <c r="B14" s="74" t="s">
        <v>115</v>
      </c>
      <c r="C14" s="233">
        <v>275228724.76679802</v>
      </c>
      <c r="D14" s="233">
        <v>37449761.139847003</v>
      </c>
      <c r="E14" s="233">
        <v>57060323.659999996</v>
      </c>
      <c r="F14" s="233">
        <v>369738809.56664503</v>
      </c>
      <c r="H14" s="116"/>
      <c r="I14" s="116"/>
      <c r="J14" s="116"/>
      <c r="M14" s="11">
        <f>C23</f>
        <v>480311254.83577001</v>
      </c>
      <c r="N14" s="11">
        <f>D23</f>
        <v>61362753.489921004</v>
      </c>
    </row>
    <row r="15" spans="2:14" x14ac:dyDescent="0.25">
      <c r="B15" s="84" t="s">
        <v>116</v>
      </c>
      <c r="C15" s="233">
        <v>968096444.02455294</v>
      </c>
      <c r="D15" s="233">
        <v>28245077.618280001</v>
      </c>
      <c r="E15" s="233">
        <v>387520422.36995</v>
      </c>
      <c r="F15" s="233">
        <v>1383861944.0127831</v>
      </c>
      <c r="H15" s="116"/>
      <c r="I15" s="116"/>
      <c r="J15" s="116"/>
      <c r="M15" s="11">
        <f>C11</f>
        <v>300076431.13648599</v>
      </c>
      <c r="N15" s="11">
        <f>D11</f>
        <v>123816037.777675</v>
      </c>
    </row>
    <row r="16" spans="2:14" x14ac:dyDescent="0.25">
      <c r="B16" s="74" t="s">
        <v>119</v>
      </c>
      <c r="C16" s="233">
        <v>1157638398.962065</v>
      </c>
      <c r="D16" s="233">
        <v>8838942.0474410001</v>
      </c>
      <c r="E16" s="233">
        <v>7870270.2000000002</v>
      </c>
      <c r="F16" s="233">
        <v>1174347611.209506</v>
      </c>
      <c r="H16" s="116"/>
      <c r="I16" s="116"/>
      <c r="J16" s="116"/>
      <c r="M16" s="11">
        <f>C24</f>
        <v>645395786.18242502</v>
      </c>
      <c r="N16" s="11">
        <f>D24</f>
        <v>59890697.279913001</v>
      </c>
    </row>
    <row r="17" spans="2:14" x14ac:dyDescent="0.25">
      <c r="B17" s="74" t="s">
        <v>121</v>
      </c>
      <c r="C17" s="233">
        <v>1325488191.249764</v>
      </c>
      <c r="D17" s="233">
        <v>82730239.299614996</v>
      </c>
      <c r="E17" s="233">
        <v>1265679352.089958</v>
      </c>
      <c r="F17" s="233">
        <v>2673897782.6393371</v>
      </c>
      <c r="H17" s="116"/>
      <c r="I17" s="116"/>
      <c r="J17" s="116"/>
      <c r="M17" s="11">
        <f>C10</f>
        <v>370485388.74988401</v>
      </c>
      <c r="N17" s="11">
        <f>D10</f>
        <v>45923885.865496002</v>
      </c>
    </row>
    <row r="18" spans="2:14" x14ac:dyDescent="0.25">
      <c r="B18" s="74" t="s">
        <v>123</v>
      </c>
      <c r="C18" s="233">
        <v>228368550.918237</v>
      </c>
      <c r="D18" s="233">
        <v>21889933.159789</v>
      </c>
      <c r="E18" s="233">
        <v>7372973.1399999997</v>
      </c>
      <c r="F18" s="233">
        <v>257631457.21802601</v>
      </c>
      <c r="H18" s="116"/>
      <c r="I18" s="116"/>
      <c r="J18" s="116"/>
      <c r="M18" s="11">
        <f>C27</f>
        <v>833855390.43261194</v>
      </c>
      <c r="N18" s="11">
        <f>D27</f>
        <v>243779102.69563201</v>
      </c>
    </row>
    <row r="19" spans="2:14" x14ac:dyDescent="0.25">
      <c r="B19" s="74" t="s">
        <v>124</v>
      </c>
      <c r="C19" s="233">
        <v>70965363.799989</v>
      </c>
      <c r="D19" s="233">
        <v>123390243.031891</v>
      </c>
      <c r="E19" s="233">
        <v>84032434.060000002</v>
      </c>
      <c r="F19" s="233">
        <v>278388040.89187998</v>
      </c>
      <c r="H19" s="116"/>
      <c r="I19" s="116"/>
      <c r="J19" s="116"/>
      <c r="M19" s="11">
        <f>C18+C19</f>
        <v>299333914.71822602</v>
      </c>
      <c r="N19" s="11">
        <f>D18+D19</f>
        <v>145280176.19168001</v>
      </c>
    </row>
    <row r="20" spans="2:14" x14ac:dyDescent="0.25">
      <c r="B20" s="74" t="s">
        <v>172</v>
      </c>
      <c r="C20" s="233">
        <v>195476199.69999999</v>
      </c>
      <c r="D20" s="233" t="s">
        <v>168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173</v>
      </c>
      <c r="C21" s="233">
        <v>288524887.39999998</v>
      </c>
      <c r="D21" s="233" t="s">
        <v>168</v>
      </c>
      <c r="E21" s="233">
        <v>15585585.16</v>
      </c>
      <c r="F21" s="233">
        <v>304110472.56</v>
      </c>
      <c r="H21" s="116"/>
      <c r="I21" s="116"/>
      <c r="J21" s="116"/>
      <c r="M21" s="14">
        <f>IFERROR(C34,0)+IFERROR(C35,0)+M20</f>
        <v>668473726.65183699</v>
      </c>
      <c r="N21" s="10" t="s">
        <v>122</v>
      </c>
    </row>
    <row r="22" spans="2:14" x14ac:dyDescent="0.25">
      <c r="B22" s="74" t="s">
        <v>125</v>
      </c>
      <c r="C22" s="233">
        <v>426631361.727741</v>
      </c>
      <c r="D22" s="233">
        <v>61236842.113931</v>
      </c>
      <c r="E22" s="233">
        <v>456382440.72987002</v>
      </c>
      <c r="F22" s="233">
        <v>944250644.57154202</v>
      </c>
      <c r="H22" s="116"/>
      <c r="I22" s="116"/>
      <c r="J22" s="116"/>
    </row>
    <row r="23" spans="2:14" x14ac:dyDescent="0.25">
      <c r="B23" s="74" t="s">
        <v>126</v>
      </c>
      <c r="C23" s="233">
        <v>480311254.83577001</v>
      </c>
      <c r="D23" s="233">
        <v>61362753.489921004</v>
      </c>
      <c r="E23" s="233">
        <v>289691260.21934199</v>
      </c>
      <c r="F23" s="233">
        <v>831365268.54503298</v>
      </c>
      <c r="H23" s="116"/>
      <c r="I23" s="116"/>
      <c r="J23" s="116"/>
    </row>
    <row r="24" spans="2:14" x14ac:dyDescent="0.25">
      <c r="B24" s="74" t="s">
        <v>127</v>
      </c>
      <c r="C24" s="233">
        <v>645395786.18242502</v>
      </c>
      <c r="D24" s="233">
        <v>59890697.279913001</v>
      </c>
      <c r="E24" s="233">
        <v>725116762.66918695</v>
      </c>
      <c r="F24" s="233">
        <v>1430403246.131525</v>
      </c>
      <c r="H24" s="116"/>
      <c r="I24" s="116"/>
      <c r="J24" s="116"/>
    </row>
    <row r="25" spans="2:14" x14ac:dyDescent="0.25">
      <c r="B25" s="74" t="s">
        <v>186</v>
      </c>
      <c r="C25" s="233">
        <v>261860204.178105</v>
      </c>
      <c r="D25" s="233">
        <v>6126068.9099909998</v>
      </c>
      <c r="E25" s="233">
        <v>59197566.859999999</v>
      </c>
      <c r="F25" s="233">
        <v>327183839.94809598</v>
      </c>
      <c r="H25" s="116"/>
      <c r="I25" s="116"/>
      <c r="J25" s="116"/>
    </row>
    <row r="26" spans="2:14" x14ac:dyDescent="0.25">
      <c r="B26" s="74" t="s">
        <v>187</v>
      </c>
      <c r="C26" s="233">
        <v>130011539.965269</v>
      </c>
      <c r="D26" s="233">
        <v>98967766.153381005</v>
      </c>
      <c r="E26" s="233" t="s">
        <v>168</v>
      </c>
      <c r="F26" s="233">
        <v>228979306.11864999</v>
      </c>
      <c r="H26" s="116"/>
      <c r="I26" s="116"/>
      <c r="J26" s="116"/>
    </row>
    <row r="27" spans="2:14" x14ac:dyDescent="0.25">
      <c r="B27" s="74" t="s">
        <v>128</v>
      </c>
      <c r="C27" s="233">
        <v>833855390.43261194</v>
      </c>
      <c r="D27" s="233">
        <v>243779102.69563201</v>
      </c>
      <c r="E27" s="233">
        <v>17636000.377799999</v>
      </c>
      <c r="F27" s="233">
        <v>1095270493.5060439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238219578.483152</v>
      </c>
      <c r="G32" s="116"/>
      <c r="H32" s="116"/>
      <c r="I32" s="116"/>
    </row>
    <row r="33" spans="2:19" x14ac:dyDescent="0.25">
      <c r="B33" s="84" t="s">
        <v>133</v>
      </c>
      <c r="C33" s="233">
        <v>602401765.260198</v>
      </c>
      <c r="G33" s="116"/>
      <c r="H33" s="116"/>
      <c r="I33" s="116"/>
    </row>
    <row r="34" spans="2:19" x14ac:dyDescent="0.25">
      <c r="B34" s="84" t="s">
        <v>134</v>
      </c>
      <c r="C34" s="233">
        <v>130489111.231069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s="205" customFormat="1" ht="27.95" customHeight="1" x14ac:dyDescent="0.25">
      <c r="B41" s="261" t="s">
        <v>192</v>
      </c>
      <c r="C41" s="262"/>
      <c r="D41" s="263"/>
      <c r="E41" s="67" t="s">
        <v>138</v>
      </c>
      <c r="F41" s="185">
        <f ca="1">IF(MONTH(TODAY())=7,DAY(TODAY())/DAY(EOMONTH(TODAY(),0)),IF(MONTH(TODAY())&gt;7,1,0))</f>
        <v>0.967741935483871</v>
      </c>
      <c r="G41" s="206" t="s">
        <v>190</v>
      </c>
      <c r="H41" s="212">
        <v>0.9</v>
      </c>
      <c r="I41" s="207" t="s">
        <v>190</v>
      </c>
      <c r="J41" s="213">
        <v>0.95</v>
      </c>
      <c r="K41" s="208" t="s">
        <v>191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7439814563.2554522</v>
      </c>
      <c r="F43" s="187">
        <f>IFERROR(E43/D43,0)</f>
        <v>0.93607961411037155</v>
      </c>
      <c r="G43" s="209">
        <f>D43*$H$41-E43</f>
        <v>-286755137.54253101</v>
      </c>
      <c r="H43" s="209">
        <f ca="1">IFERROR(G43/C3,0)</f>
        <v>-143377568.77126551</v>
      </c>
      <c r="I43" s="210">
        <f>D43*$J$41-E43</f>
        <v>110637052.77485275</v>
      </c>
      <c r="J43" s="210">
        <f ca="1">IFERROR(I43/$C$3,0)</f>
        <v>55318526.387426376</v>
      </c>
      <c r="K43" s="211">
        <f>D43*$L$41-E43</f>
        <v>508029243.09223747</v>
      </c>
      <c r="L43" s="211">
        <f ca="1">IFERROR(K43/$C$3,0)</f>
        <v>254014621.54611874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1150132096.2078331</v>
      </c>
      <c r="F44" s="187">
        <f>IFERROR(E44/D44,0)</f>
        <v>0.77569819428539177</v>
      </c>
      <c r="G44" s="197">
        <f>D44*$H$41-E44</f>
        <v>184302989.77383304</v>
      </c>
      <c r="H44" s="197">
        <f ca="1">IFERROR(G44/C3,0)</f>
        <v>92151494.886916518</v>
      </c>
      <c r="I44" s="193">
        <f>D44*$J$41-E44</f>
        <v>258438272.32836986</v>
      </c>
      <c r="J44" s="193">
        <f ca="1">IFERROR(I44/$C$3,0)</f>
        <v>129219136.16418493</v>
      </c>
      <c r="K44" s="198">
        <f>D44*$L$41-E44</f>
        <v>332573554.88290691</v>
      </c>
      <c r="L44" s="198">
        <f ca="1">IFERROR(K44/$C$3,0)</f>
        <v>166286777.44145346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1509095070.3951869</v>
      </c>
      <c r="F45" s="187">
        <f>IFERROR(E45/D45,0)</f>
        <v>0.81525825642038818</v>
      </c>
      <c r="G45" s="197">
        <f>D45*$H$41-E45</f>
        <v>156862376.41332412</v>
      </c>
      <c r="H45" s="197">
        <f ca="1">IFERROR(G45/C3,0)</f>
        <v>78431188.206662059</v>
      </c>
      <c r="I45" s="193">
        <f>D45*$J$41-E45</f>
        <v>249415567.90268564</v>
      </c>
      <c r="J45" s="193">
        <f ca="1">IFERROR(I45/$C$3,0)</f>
        <v>124707783.95134282</v>
      </c>
      <c r="K45" s="198">
        <f>D45*$L$41-E45</f>
        <v>341968759.39204741</v>
      </c>
      <c r="L45" s="198">
        <f ca="1">IFERROR(K45/$C$3,0)</f>
        <v>170984379.6960237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10099041729.858473</v>
      </c>
      <c r="F46" s="188">
        <f>IFERROR(E46/D46,0)</f>
        <v>0.89517708795193041</v>
      </c>
      <c r="G46" s="194">
        <f>G43+G44+G45</f>
        <v>54410228.644626141</v>
      </c>
      <c r="H46" s="194">
        <f ca="1">IFERROR(G46/C3,0)</f>
        <v>27205114.32231307</v>
      </c>
      <c r="I46" s="194">
        <f>I43+I44+I45</f>
        <v>618490893.00590825</v>
      </c>
      <c r="J46" s="194">
        <f ca="1">IFERROR(I46/$C$3,0)</f>
        <v>309245446.50295413</v>
      </c>
      <c r="K46" s="199">
        <f>K43+K44+K45</f>
        <v>1182571557.3671918</v>
      </c>
      <c r="L46" s="199">
        <f ca="1">IFERROR(K46/$C$3,0)</f>
        <v>591285778.6835959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426631361.727741</v>
      </c>
      <c r="H51" s="119">
        <f>N8</f>
        <v>61236842.113931</v>
      </c>
      <c r="I51" s="119">
        <f t="shared" ref="I51:I64" si="1">G51+H51</f>
        <v>487868203.841672</v>
      </c>
      <c r="J51" s="200">
        <f t="shared" ref="J51:J64" si="2">IFERROR(I51/F51,0)</f>
        <v>0.85957990490853819</v>
      </c>
      <c r="K51" s="197">
        <f>F51*$H$41-I51</f>
        <v>22941065.837828398</v>
      </c>
      <c r="L51" s="197">
        <f ca="1">IFERROR(K51/$C$3,0)</f>
        <v>11470532.918914199</v>
      </c>
      <c r="M51" s="193">
        <f>F51*$J$41-I51</f>
        <v>51319358.597800672</v>
      </c>
      <c r="N51" s="193">
        <f ca="1">IFERROR(M51/$C$3,0)</f>
        <v>25659679.298900336</v>
      </c>
      <c r="O51" s="232">
        <f>F51*$L$41-I51</f>
        <v>79697651.357772887</v>
      </c>
      <c r="P51" s="232">
        <f ca="1">IFERROR(O51/$C$3,0)</f>
        <v>39848825.678886443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596321621.47587895</v>
      </c>
      <c r="H52" s="119">
        <f>N9</f>
        <v>148973432.712318</v>
      </c>
      <c r="I52" s="119">
        <f t="shared" si="1"/>
        <v>745295054.1881969</v>
      </c>
      <c r="J52" s="200">
        <f t="shared" si="2"/>
        <v>0.88860774082208172</v>
      </c>
      <c r="K52" s="197">
        <f t="shared" ref="K52:K64" si="3">F52*$H$41-I52</f>
        <v>9554940.8712979555</v>
      </c>
      <c r="L52" s="197">
        <f t="shared" ref="L52:L64" ca="1" si="4">IFERROR(K52/$C$3,0)</f>
        <v>4777470.4356489778</v>
      </c>
      <c r="M52" s="193">
        <f t="shared" ref="M52:M64" si="5">F52*$J$41-I52</f>
        <v>51491051.707936406</v>
      </c>
      <c r="N52" s="193">
        <f t="shared" ref="N52:N64" ca="1" si="6">IFERROR(M52/$C$3,0)</f>
        <v>25745525.853968203</v>
      </c>
      <c r="O52" s="232">
        <f t="shared" ref="O52:O64" si="7">F52*$L$41-I52</f>
        <v>93427162.544575095</v>
      </c>
      <c r="P52" s="232">
        <f t="shared" ref="P52:P64" ca="1" si="8">IFERROR(O52/$C$3,0)</f>
        <v>46713581.272287548</v>
      </c>
    </row>
    <row r="53" spans="2:16" x14ac:dyDescent="0.25">
      <c r="B53" s="145" t="s">
        <v>175</v>
      </c>
      <c r="C53" s="146" t="s">
        <v>176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14291908.354544073</v>
      </c>
      <c r="M53" s="193">
        <f t="shared" si="5"/>
        <v>41031595.398481935</v>
      </c>
      <c r="N53" s="193">
        <f t="shared" ca="1" si="6"/>
        <v>20515797.699240968</v>
      </c>
      <c r="O53" s="232">
        <f t="shared" si="7"/>
        <v>53479374.087875724</v>
      </c>
      <c r="P53" s="232">
        <f t="shared" ca="1" si="8"/>
        <v>26739687.043937862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968096444.02455294</v>
      </c>
      <c r="H54" s="119">
        <f t="shared" ref="H54:H58" si="9">N10</f>
        <v>28245077.618280001</v>
      </c>
      <c r="I54" s="119">
        <f t="shared" si="1"/>
        <v>996341521.64283299</v>
      </c>
      <c r="J54" s="200">
        <f t="shared" si="2"/>
        <v>1.2775736180983959</v>
      </c>
      <c r="K54" s="197">
        <f t="shared" si="3"/>
        <v>-294458391.95418656</v>
      </c>
      <c r="L54" s="197">
        <f t="shared" ca="1" si="4"/>
        <v>-147229195.97709328</v>
      </c>
      <c r="M54" s="193">
        <f t="shared" si="5"/>
        <v>-255464884.74926174</v>
      </c>
      <c r="N54" s="193">
        <f t="shared" ca="1" si="6"/>
        <v>-127732442.37463087</v>
      </c>
      <c r="O54" s="232">
        <f t="shared" si="7"/>
        <v>-216471377.54433692</v>
      </c>
      <c r="P54" s="232">
        <f t="shared" ca="1" si="8"/>
        <v>-108235688.77216846</v>
      </c>
    </row>
    <row r="55" spans="2:16" x14ac:dyDescent="0.25">
      <c r="B55" s="50" t="s">
        <v>73</v>
      </c>
      <c r="C55" s="55" t="s">
        <v>184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317945947.47873902</v>
      </c>
      <c r="H55" s="119">
        <f t="shared" si="9"/>
        <v>43800016.100000001</v>
      </c>
      <c r="I55" s="119">
        <f t="shared" si="1"/>
        <v>361745963.57873905</v>
      </c>
      <c r="J55" s="200">
        <f t="shared" si="2"/>
        <v>0.65462736629360352</v>
      </c>
      <c r="K55" s="197">
        <f t="shared" si="3"/>
        <v>135592497.94051987</v>
      </c>
      <c r="L55" s="197">
        <f t="shared" ca="1" si="4"/>
        <v>67796248.970259935</v>
      </c>
      <c r="M55" s="193">
        <f t="shared" si="5"/>
        <v>163222412.46936756</v>
      </c>
      <c r="N55" s="193">
        <f t="shared" ca="1" si="6"/>
        <v>81611206.234683782</v>
      </c>
      <c r="O55" s="232">
        <f t="shared" si="7"/>
        <v>190852326.99821532</v>
      </c>
      <c r="P55" s="232">
        <f t="shared" ca="1" si="8"/>
        <v>95426163.499107659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391871744.14337397</v>
      </c>
      <c r="H56" s="119">
        <f t="shared" si="9"/>
        <v>105093835.063372</v>
      </c>
      <c r="I56" s="119">
        <f t="shared" si="1"/>
        <v>496965579.20674598</v>
      </c>
      <c r="J56" s="200">
        <f t="shared" si="2"/>
        <v>0.79116464221176896</v>
      </c>
      <c r="K56" s="197">
        <f t="shared" si="3"/>
        <v>68364312.224817872</v>
      </c>
      <c r="L56" s="197">
        <f t="shared" ca="1" si="4"/>
        <v>34182156.112408936</v>
      </c>
      <c r="M56" s="193">
        <f t="shared" si="5"/>
        <v>99771528.415460229</v>
      </c>
      <c r="N56" s="193">
        <f t="shared" ca="1" si="6"/>
        <v>49885764.207730114</v>
      </c>
      <c r="O56" s="232">
        <f t="shared" si="7"/>
        <v>131178744.60610271</v>
      </c>
      <c r="P56" s="232">
        <f t="shared" ca="1" si="8"/>
        <v>65589372.303051353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1325488191.249764</v>
      </c>
      <c r="H57" s="119">
        <f t="shared" si="9"/>
        <v>82730239.299614996</v>
      </c>
      <c r="I57" s="119">
        <f t="shared" si="1"/>
        <v>1408218430.5493789</v>
      </c>
      <c r="J57" s="200">
        <f t="shared" si="2"/>
        <v>1.2114932482932486</v>
      </c>
      <c r="K57" s="197">
        <f t="shared" si="3"/>
        <v>-362074269.79573953</v>
      </c>
      <c r="L57" s="197">
        <f t="shared" ca="1" si="4"/>
        <v>-181037134.89786977</v>
      </c>
      <c r="M57" s="193">
        <f t="shared" si="5"/>
        <v>-303955149.75387073</v>
      </c>
      <c r="N57" s="193">
        <f t="shared" ca="1" si="6"/>
        <v>-151977574.87693536</v>
      </c>
      <c r="O57" s="232">
        <f t="shared" si="7"/>
        <v>-245836029.7120018</v>
      </c>
      <c r="P57" s="232">
        <f t="shared" ca="1" si="8"/>
        <v>-122918014.8560009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480311254.83577001</v>
      </c>
      <c r="H58" s="119">
        <f t="shared" si="9"/>
        <v>61362753.489921004</v>
      </c>
      <c r="I58" s="119">
        <f>G58+H58</f>
        <v>541674008.32569098</v>
      </c>
      <c r="J58" s="200">
        <f>IFERROR(I58/F58,0)</f>
        <v>0.811157346429349</v>
      </c>
      <c r="K58" s="197">
        <f t="shared" si="3"/>
        <v>59327276.615002394</v>
      </c>
      <c r="L58" s="197">
        <f t="shared" ca="1" si="4"/>
        <v>29663638.307501197</v>
      </c>
      <c r="M58" s="193">
        <f t="shared" si="5"/>
        <v>92716236.889485359</v>
      </c>
      <c r="N58" s="193">
        <f t="shared" ca="1" si="6"/>
        <v>46358118.44474268</v>
      </c>
      <c r="O58" s="232">
        <f t="shared" si="7"/>
        <v>126105197.16396832</v>
      </c>
      <c r="P58" s="232">
        <f t="shared" ca="1" si="8"/>
        <v>63052598.581984162</v>
      </c>
    </row>
    <row r="59" spans="2:16" x14ac:dyDescent="0.25">
      <c r="B59" s="145" t="s">
        <v>175</v>
      </c>
      <c r="C59" s="146" t="s">
        <v>177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49169689.235578239</v>
      </c>
      <c r="M59" s="193">
        <f t="shared" si="5"/>
        <v>119831837.68622071</v>
      </c>
      <c r="N59" s="193">
        <f t="shared" ca="1" si="6"/>
        <v>59915918.843110353</v>
      </c>
      <c r="O59" s="232">
        <f t="shared" si="7"/>
        <v>141324296.90128499</v>
      </c>
      <c r="P59" s="232">
        <f t="shared" ca="1" si="8"/>
        <v>70662148.450642496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300076431.13648599</v>
      </c>
      <c r="H60" s="119">
        <f t="shared" ref="H60:H64" si="10">N15</f>
        <v>123816037.777675</v>
      </c>
      <c r="I60" s="119">
        <f t="shared" si="1"/>
        <v>423892468.91416097</v>
      </c>
      <c r="J60" s="200">
        <f t="shared" si="2"/>
        <v>0.67030807957772098</v>
      </c>
      <c r="K60" s="197">
        <f t="shared" si="3"/>
        <v>145253620.2439518</v>
      </c>
      <c r="L60" s="197">
        <f t="shared" ca="1" si="4"/>
        <v>72626810.121975899</v>
      </c>
      <c r="M60" s="193">
        <f t="shared" si="5"/>
        <v>176872847.41940248</v>
      </c>
      <c r="N60" s="193">
        <f t="shared" ca="1" si="6"/>
        <v>88436423.70970124</v>
      </c>
      <c r="O60" s="232">
        <f t="shared" si="7"/>
        <v>208492074.59485316</v>
      </c>
      <c r="P60" s="232">
        <f t="shared" ca="1" si="8"/>
        <v>104246037.29742658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645395786.18242502</v>
      </c>
      <c r="H61" s="119">
        <f t="shared" si="10"/>
        <v>59890697.279913001</v>
      </c>
      <c r="I61" s="119">
        <f t="shared" si="1"/>
        <v>705286483.46233797</v>
      </c>
      <c r="J61" s="200">
        <f t="shared" si="2"/>
        <v>0.9162049933880726</v>
      </c>
      <c r="K61" s="197">
        <f t="shared" si="3"/>
        <v>-12474460.283107281</v>
      </c>
      <c r="L61" s="197">
        <f t="shared" ca="1" si="4"/>
        <v>-6237230.1415536404</v>
      </c>
      <c r="M61" s="193">
        <f t="shared" si="5"/>
        <v>26015096.560183287</v>
      </c>
      <c r="N61" s="193">
        <f t="shared" ca="1" si="6"/>
        <v>13007548.280091643</v>
      </c>
      <c r="O61" s="232">
        <f t="shared" si="7"/>
        <v>64504653.403473854</v>
      </c>
      <c r="P61" s="232">
        <f t="shared" ca="1" si="8"/>
        <v>32252326.701736927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370485388.74988401</v>
      </c>
      <c r="H62" s="119">
        <f t="shared" si="10"/>
        <v>45923885.865496002</v>
      </c>
      <c r="I62" s="119">
        <f t="shared" si="1"/>
        <v>416409274.61537999</v>
      </c>
      <c r="J62" s="200">
        <f t="shared" si="2"/>
        <v>0.78534952218511433</v>
      </c>
      <c r="K62" s="197">
        <f t="shared" si="3"/>
        <v>60790158.970708728</v>
      </c>
      <c r="L62" s="197">
        <f t="shared" ca="1" si="4"/>
        <v>30395079.485354364</v>
      </c>
      <c r="M62" s="193">
        <f t="shared" si="5"/>
        <v>87301238.6143803</v>
      </c>
      <c r="N62" s="193">
        <f t="shared" ca="1" si="6"/>
        <v>43650619.30719015</v>
      </c>
      <c r="O62" s="232">
        <f t="shared" si="7"/>
        <v>113812318.25805193</v>
      </c>
      <c r="P62" s="232">
        <f t="shared" ca="1" si="8"/>
        <v>56906159.129025966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833855390.43261194</v>
      </c>
      <c r="H63" s="119">
        <f t="shared" si="10"/>
        <v>243779102.69563201</v>
      </c>
      <c r="I63" s="119">
        <f t="shared" si="1"/>
        <v>1077634493.1282439</v>
      </c>
      <c r="J63" s="200">
        <f t="shared" si="2"/>
        <v>1.0440451260759978</v>
      </c>
      <c r="K63" s="197">
        <f t="shared" si="3"/>
        <v>-148679393.7824508</v>
      </c>
      <c r="L63" s="197">
        <f t="shared" ca="1" si="4"/>
        <v>-74339696.891225398</v>
      </c>
      <c r="M63" s="193">
        <f t="shared" si="5"/>
        <v>-97070777.152129054</v>
      </c>
      <c r="N63" s="193">
        <f t="shared" ca="1" si="6"/>
        <v>-48535388.576064527</v>
      </c>
      <c r="O63" s="232">
        <f t="shared" si="7"/>
        <v>-45462160.521807194</v>
      </c>
      <c r="P63" s="232">
        <f t="shared" ca="1" si="8"/>
        <v>-22731080.260903597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299333914.71822602</v>
      </c>
      <c r="H64" s="119">
        <f t="shared" si="10"/>
        <v>145280176.19168001</v>
      </c>
      <c r="I64" s="119">
        <f t="shared" si="1"/>
        <v>444614090.90990603</v>
      </c>
      <c r="J64" s="200">
        <f t="shared" si="2"/>
        <v>0.75343934048259231</v>
      </c>
      <c r="K64" s="197">
        <f t="shared" si="3"/>
        <v>86487300.162413061</v>
      </c>
      <c r="L64" s="197">
        <f t="shared" ca="1" si="4"/>
        <v>43243650.08120653</v>
      </c>
      <c r="M64" s="193">
        <f t="shared" si="5"/>
        <v>115992932.99976408</v>
      </c>
      <c r="N64" s="193">
        <f t="shared" ca="1" si="6"/>
        <v>57996466.499882042</v>
      </c>
      <c r="O64" s="232">
        <f t="shared" si="7"/>
        <v>145498565.83711517</v>
      </c>
      <c r="P64" s="232">
        <f t="shared" ca="1" si="8"/>
        <v>72749282.918557584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7439814563.2554522</v>
      </c>
      <c r="H65" s="144">
        <f>SUM(H51:H64)</f>
        <v>1150132096.2078331</v>
      </c>
      <c r="I65" s="144">
        <f>SUM(I51:I64)</f>
        <v>8589946659.4632854</v>
      </c>
      <c r="J65" s="203">
        <f>IFERROR(I65/F65,0)</f>
        <v>0.91086385774562595</v>
      </c>
      <c r="K65" s="194">
        <f>SUM(K51:K64)</f>
        <v>-102452147.76869947</v>
      </c>
      <c r="L65" s="194">
        <f ca="1">IFERROR(K65/$C$3,0)</f>
        <v>-51226073.884349734</v>
      </c>
      <c r="M65" s="194">
        <f>SUM(M51:M64)</f>
        <v>369075325.10322154</v>
      </c>
      <c r="N65" s="194">
        <f ca="1">IFERROR(M65/$C$3,0)</f>
        <v>184537662.55161077</v>
      </c>
      <c r="O65" s="194">
        <f>SUM(O51:O64)</f>
        <v>840602797.97514331</v>
      </c>
      <c r="P65" s="194">
        <f ca="1">IFERROR(O65/$C$3,0)</f>
        <v>420301398.98757166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238219578.483152</v>
      </c>
      <c r="F69" s="200">
        <f t="shared" ref="F69:F74" si="12">IFERROR(E69/D69,0)</f>
        <v>0.81265630261484578</v>
      </c>
      <c r="G69" s="197">
        <f>D69*$H$41-E69</f>
        <v>25603663.821103454</v>
      </c>
      <c r="H69" s="197">
        <f ca="1">IFERROR(G69/C3,0)</f>
        <v>12801831.910551727</v>
      </c>
      <c r="I69" s="193">
        <f>D69*$J$41-E69</f>
        <v>40260510.615784258</v>
      </c>
      <c r="J69" s="193">
        <f t="shared" ref="J69:J74" ca="1" si="13">IFERROR(I69/$C$3,0)</f>
        <v>20130255.307892129</v>
      </c>
      <c r="K69" s="198">
        <f>D69*$L$41-E69</f>
        <v>54917357.410465151</v>
      </c>
      <c r="L69" s="198">
        <f t="shared" ref="L69:L74" ca="1" si="14">IFERROR(K69/$C$3,0)</f>
        <v>27458678.705232576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602401765.260198</v>
      </c>
      <c r="F70" s="200">
        <f t="shared" si="12"/>
        <v>1.3802693151118346</v>
      </c>
      <c r="G70" s="197">
        <f>D70*$H$41-E70</f>
        <v>-209607704.85594255</v>
      </c>
      <c r="H70" s="197">
        <f ca="1">IFERROR(G70/C3,0)</f>
        <v>-104803852.42797127</v>
      </c>
      <c r="I70" s="193">
        <f>D70*$J$41-E70</f>
        <v>-187785812.61126173</v>
      </c>
      <c r="J70" s="193">
        <f t="shared" ca="1" si="13"/>
        <v>-93892906.305630863</v>
      </c>
      <c r="K70" s="198">
        <f>D70*$L$41-E70</f>
        <v>-165963920.36658084</v>
      </c>
      <c r="L70" s="198">
        <f t="shared" ca="1" si="14"/>
        <v>-82981960.183290422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668473726.65183699</v>
      </c>
      <c r="F71" s="200">
        <f t="shared" si="12"/>
        <v>0.59605907632169575</v>
      </c>
      <c r="G71" s="197">
        <f>D71*$H$41-E71</f>
        <v>340866417.44816303</v>
      </c>
      <c r="H71" s="197">
        <f ca="1">IFERROR(G71/C3,0)</f>
        <v>170433208.72408152</v>
      </c>
      <c r="I71" s="193">
        <f>D71*$J$41-E71</f>
        <v>396940869.89816296</v>
      </c>
      <c r="J71" s="193">
        <f t="shared" ca="1" si="13"/>
        <v>198470434.94908148</v>
      </c>
      <c r="K71" s="198">
        <f>D71*$L$41-E71</f>
        <v>453015322.34816301</v>
      </c>
      <c r="L71" s="198">
        <f t="shared" ca="1" si="14"/>
        <v>226507661.1740815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1509095070.3951869</v>
      </c>
      <c r="F74" s="188">
        <f t="shared" si="12"/>
        <v>0.81525825642038818</v>
      </c>
      <c r="G74" s="194">
        <f>SUM(G69:G73)</f>
        <v>156862376.41332394</v>
      </c>
      <c r="H74" s="194">
        <f ca="1">IFERROR(G74/C3,0)</f>
        <v>78431188.206661969</v>
      </c>
      <c r="I74" s="194">
        <f>SUM(I69:I73)</f>
        <v>249415567.90268549</v>
      </c>
      <c r="J74" s="194">
        <f t="shared" ca="1" si="13"/>
        <v>124707783.95134275</v>
      </c>
      <c r="K74" s="199">
        <f>SUM(K69:K73)</f>
        <v>341968759.39204729</v>
      </c>
      <c r="L74" s="199">
        <f t="shared" ca="1" si="14"/>
        <v>170984379.69602364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456382440.72987002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115828691.90000001</v>
      </c>
    </row>
    <row r="82" spans="2:4" x14ac:dyDescent="0.25">
      <c r="B82" s="53" t="s">
        <v>175</v>
      </c>
      <c r="C82" s="56" t="s">
        <v>176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387520422.36995</v>
      </c>
    </row>
    <row r="84" spans="2:4" x14ac:dyDescent="0.25">
      <c r="B84" s="53" t="s">
        <v>73</v>
      </c>
      <c r="C84" s="56" t="s">
        <v>184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59197566.859999999</v>
      </c>
    </row>
    <row r="86" spans="2:4" x14ac:dyDescent="0.25">
      <c r="B86" s="53" t="s">
        <v>76</v>
      </c>
      <c r="C86" s="56" t="s">
        <v>77</v>
      </c>
      <c r="D86" s="140">
        <f>IF(E17="",0,E17)</f>
        <v>1265679352.089958</v>
      </c>
    </row>
    <row r="87" spans="2:4" x14ac:dyDescent="0.25">
      <c r="B87" s="50" t="s">
        <v>78</v>
      </c>
      <c r="C87" s="55" t="s">
        <v>79</v>
      </c>
      <c r="D87" s="140">
        <f>IF(E23="",0,E23)</f>
        <v>289691260.21934199</v>
      </c>
    </row>
    <row r="88" spans="2:4" x14ac:dyDescent="0.25">
      <c r="B88" s="53" t="s">
        <v>175</v>
      </c>
      <c r="C88" s="56" t="s">
        <v>177</v>
      </c>
      <c r="D88" s="140">
        <f>IF(E21="",0,E21)</f>
        <v>15585585.16</v>
      </c>
    </row>
    <row r="89" spans="2:4" x14ac:dyDescent="0.25">
      <c r="B89" s="53" t="s">
        <v>80</v>
      </c>
      <c r="C89" s="56" t="s">
        <v>81</v>
      </c>
      <c r="D89" s="140">
        <f>IF(E11="",0,E11)</f>
        <v>69701885.439999998</v>
      </c>
    </row>
    <row r="90" spans="2:4" x14ac:dyDescent="0.25">
      <c r="B90" s="50" t="s">
        <v>82</v>
      </c>
      <c r="C90" s="55" t="s">
        <v>83</v>
      </c>
      <c r="D90" s="140">
        <f>IF(E24="",0,E24)</f>
        <v>725116762.66918695</v>
      </c>
    </row>
    <row r="91" spans="2:4" x14ac:dyDescent="0.25">
      <c r="B91" s="53" t="s">
        <v>84</v>
      </c>
      <c r="C91" s="56" t="s">
        <v>85</v>
      </c>
      <c r="D91" s="140">
        <f>IF(E10="",0,E10)</f>
        <v>163965368.86000001</v>
      </c>
    </row>
    <row r="92" spans="2:4" x14ac:dyDescent="0.25">
      <c r="B92" s="50" t="s">
        <v>86</v>
      </c>
      <c r="C92" s="55" t="s">
        <v>87</v>
      </c>
      <c r="D92" s="140">
        <f>IF(E27="",0,E27)</f>
        <v>17636000.377799999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91405407.200000003</v>
      </c>
    </row>
    <row r="94" spans="2:4" x14ac:dyDescent="0.25">
      <c r="B94" s="57" t="s">
        <v>152</v>
      </c>
      <c r="C94" s="58"/>
      <c r="D94" s="125">
        <f>SUM(D80:D93)</f>
        <v>3669098130.9561067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H38" sqref="H3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61" t="s">
        <v>162</v>
      </c>
      <c r="C41" s="262"/>
      <c r="D41" s="263"/>
      <c r="E41" s="67" t="s">
        <v>138</v>
      </c>
      <c r="F41" s="185">
        <f ca="1">IF(MONTH(TODAY())=8,DAY(TODAY())/DAY(EOMONTH(TODAY(),0)),IF(MONTH(TODAY())&gt;8,1,0))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TARGETS!R5</f>
        <v>0</v>
      </c>
      <c r="E51" s="123">
        <f>TARGETS!S5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0</v>
      </c>
      <c r="E52" s="124">
        <f>TARGETS!S6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x14ac:dyDescent="0.25">
      <c r="B53" s="145" t="s">
        <v>175</v>
      </c>
      <c r="C53" s="146" t="s">
        <v>176</v>
      </c>
      <c r="D53" s="147">
        <f>TARGETS!R7</f>
        <v>0</v>
      </c>
      <c r="E53" s="147">
        <f>TARGETS!S7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TARGETS!R8</f>
        <v>0</v>
      </c>
      <c r="E54" s="124">
        <f>TARGETS!S8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TARGETS!R9</f>
        <v>0</v>
      </c>
      <c r="E55" s="123">
        <f>TARGETS!S9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0</v>
      </c>
      <c r="E56" s="124">
        <f>TARGETS!S10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TARGETS!R11</f>
        <v>0</v>
      </c>
      <c r="E57" s="123">
        <f>TARGETS!S11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TARGETS!R12</f>
        <v>0</v>
      </c>
      <c r="E58" s="124">
        <f>TARGETS!S12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TARGETS!R13</f>
        <v>0</v>
      </c>
      <c r="E59" s="147">
        <f>TARGETS!S13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TARGETS!R14</f>
        <v>0</v>
      </c>
      <c r="E60" s="124">
        <f>TARGETS!S14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TARGETS!R15</f>
        <v>0</v>
      </c>
      <c r="E61" s="123">
        <f>TARGETS!S15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x14ac:dyDescent="0.25">
      <c r="B62" s="53" t="s">
        <v>84</v>
      </c>
      <c r="C62" s="56" t="s">
        <v>85</v>
      </c>
      <c r="D62" s="124">
        <f>TARGETS!R16</f>
        <v>0</v>
      </c>
      <c r="E62" s="124">
        <f>TARGETS!S16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TARGETS!R17</f>
        <v>0</v>
      </c>
      <c r="E63" s="123">
        <f>TARGETS!S17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TARGETS!R18</f>
        <v>0</v>
      </c>
      <c r="E64" s="124">
        <f>TARGETS!S18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TARGETS!K23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TARGETS!K24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61" t="s">
        <v>164</v>
      </c>
      <c r="C41" s="262"/>
      <c r="D41" s="263"/>
      <c r="E41" s="67" t="s">
        <v>138</v>
      </c>
      <c r="F41" s="185">
        <f ca="1">IF(MONTH(TODAY())=9,DAY(TODAY())/DAY(EOMONTH(TODAY(),0)),IF(MONTH(TODAY())&gt;9,1,0))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166</v>
      </c>
      <c r="C41" s="262"/>
      <c r="D41" s="263"/>
      <c r="E41" s="67" t="s">
        <v>138</v>
      </c>
      <c r="F41" s="185">
        <f ca="1">IF(MONTH(TODAY())=10,DAY(TODAY())/DAY(EOMONTH(TODAY(),0)),IF(MONTH(TODAY())&gt;10,1,0))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178</v>
      </c>
      <c r="C41" s="262"/>
      <c r="D41" s="263"/>
      <c r="E41" s="67" t="s">
        <v>138</v>
      </c>
      <c r="F41" s="185">
        <f ca="1">IF(MONTH(TODAY())=11,DAY(TODAY())/DAY(EOMONTH(TODAY(),0)),IF(MONTH(TODAY())&gt;11,1,0))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1" t="s">
        <v>180</v>
      </c>
      <c r="C41" s="262"/>
      <c r="D41" s="263"/>
      <c r="E41" s="67" t="s">
        <v>138</v>
      </c>
      <c r="F41" s="185">
        <f ca="1">IF(MONTH(TODAY())=12,DAY(TODAY())/DAY(EOMONTH(TODAY(),0)),IF(MONTH(TODAY())&gt;12,1,0))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189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2026-07-30T00:42:36Z</dcterms:modified>
  <dc:language>en-US</dc:language>
</cp:coreProperties>
</file>