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600" windowWidth="12000" windowHeight="4335" tabRatio="500" firstSheet="1" activeTab="10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D92" i="12" s="1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K44" i="12" s="1"/>
  <c r="D43" i="12"/>
  <c r="D42" i="12"/>
  <c r="L41" i="12"/>
  <c r="K41" i="12"/>
  <c r="J41" i="12"/>
  <c r="I41" i="12"/>
  <c r="H41" i="12"/>
  <c r="G41" i="12"/>
  <c r="F40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D93" i="11" s="1"/>
  <c r="U92" i="11"/>
  <c r="T92" i="11"/>
  <c r="U91" i="11"/>
  <c r="T91" i="11"/>
  <c r="U90" i="11"/>
  <c r="T90" i="11"/>
  <c r="D90" i="11" s="1"/>
  <c r="U89" i="11"/>
  <c r="T89" i="11"/>
  <c r="D89" i="11" s="1"/>
  <c r="U88" i="11"/>
  <c r="T88" i="11"/>
  <c r="U87" i="11"/>
  <c r="T87" i="11"/>
  <c r="U86" i="11"/>
  <c r="T86" i="11"/>
  <c r="D86" i="11" s="1"/>
  <c r="U85" i="11"/>
  <c r="T85" i="11"/>
  <c r="D85" i="11" s="1"/>
  <c r="U84" i="11"/>
  <c r="T84" i="11"/>
  <c r="U83" i="11"/>
  <c r="T83" i="11"/>
  <c r="U82" i="11"/>
  <c r="T82" i="11"/>
  <c r="D82" i="11" s="1"/>
  <c r="U81" i="11"/>
  <c r="T81" i="11"/>
  <c r="D81" i="11" s="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G52" i="11" s="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I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D46" i="6" s="1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F59" i="5" s="1"/>
  <c r="E58" i="5"/>
  <c r="D58" i="5"/>
  <c r="E57" i="5"/>
  <c r="D57" i="5"/>
  <c r="E56" i="5"/>
  <c r="D56" i="5"/>
  <c r="E55" i="5"/>
  <c r="D55" i="5"/>
  <c r="F55" i="5" s="1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L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F59" i="3" s="1"/>
  <c r="E58" i="3"/>
  <c r="D58" i="3"/>
  <c r="F58" i="3" s="1"/>
  <c r="E57" i="3"/>
  <c r="D57" i="3"/>
  <c r="F57" i="3" s="1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L57" i="5" l="1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J60" i="6" s="1"/>
  <c r="I53" i="6"/>
  <c r="F57" i="6"/>
  <c r="F60" i="6"/>
  <c r="F64" i="6"/>
  <c r="I55" i="7"/>
  <c r="I60" i="7"/>
  <c r="I64" i="7"/>
  <c r="I53" i="7"/>
  <c r="F57" i="7"/>
  <c r="F60" i="7"/>
  <c r="F64" i="7"/>
  <c r="F69" i="7"/>
  <c r="F53" i="8"/>
  <c r="F56" i="8"/>
  <c r="I59" i="8"/>
  <c r="F63" i="8"/>
  <c r="M63" i="8" s="1"/>
  <c r="N63" i="8" s="1"/>
  <c r="I56" i="9"/>
  <c r="I61" i="9"/>
  <c r="D82" i="10"/>
  <c r="D86" i="10"/>
  <c r="D90" i="10"/>
  <c r="F54" i="9"/>
  <c r="F58" i="9"/>
  <c r="F61" i="9"/>
  <c r="J61" i="9" s="1"/>
  <c r="K70" i="9"/>
  <c r="D83" i="11"/>
  <c r="D87" i="11"/>
  <c r="D91" i="11"/>
  <c r="D82" i="13"/>
  <c r="D86" i="13"/>
  <c r="D90" i="13"/>
  <c r="F53" i="6"/>
  <c r="J53" i="6" s="1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F57" i="9"/>
  <c r="J57" i="9" s="1"/>
  <c r="F60" i="9"/>
  <c r="J60" i="9" s="1"/>
  <c r="F64" i="9"/>
  <c r="J64" i="9" s="1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F59" i="9"/>
  <c r="M59" i="9" s="1"/>
  <c r="N59" i="9" s="1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M53" i="5" s="1"/>
  <c r="N53" i="5" s="1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F62" i="7"/>
  <c r="H65" i="8"/>
  <c r="D46" i="8"/>
  <c r="F54" i="8"/>
  <c r="O54" i="8" s="1"/>
  <c r="P54" i="8" s="1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O61" i="12" s="1"/>
  <c r="P61" i="12" s="1"/>
  <c r="G52" i="13"/>
  <c r="G59" i="13"/>
  <c r="O59" i="13" s="1"/>
  <c r="P59" i="13" s="1"/>
  <c r="G60" i="14"/>
  <c r="F52" i="3"/>
  <c r="F56" i="3"/>
  <c r="F60" i="3"/>
  <c r="F55" i="4"/>
  <c r="F53" i="9"/>
  <c r="O53" i="9" s="1"/>
  <c r="P53" i="9" s="1"/>
  <c r="F56" i="9"/>
  <c r="J56" i="9" s="1"/>
  <c r="I59" i="9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O55" i="12" s="1"/>
  <c r="P55" i="12" s="1"/>
  <c r="D65" i="14"/>
  <c r="I51" i="4"/>
  <c r="L53" i="5"/>
  <c r="L57" i="12"/>
  <c r="G44" i="13"/>
  <c r="D74" i="11"/>
  <c r="K62" i="11"/>
  <c r="K55" i="12"/>
  <c r="K61" i="11"/>
  <c r="Q61" i="11" s="1"/>
  <c r="R61" i="11" s="1"/>
  <c r="K63" i="12"/>
  <c r="K63" i="10"/>
  <c r="Q63" i="10" s="1"/>
  <c r="R63" i="10" s="1"/>
  <c r="K61" i="12"/>
  <c r="I55" i="4"/>
  <c r="J55" i="4" s="1"/>
  <c r="G65" i="4"/>
  <c r="J54" i="8"/>
  <c r="G54" i="10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Q63" i="11" s="1"/>
  <c r="R63" i="11" s="1"/>
  <c r="E61" i="3"/>
  <c r="F51" i="4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L52" i="12" s="1"/>
  <c r="G62" i="12"/>
  <c r="F69" i="12"/>
  <c r="F65" i="13"/>
  <c r="G54" i="13"/>
  <c r="K57" i="13"/>
  <c r="O57" i="13" s="1"/>
  <c r="P57" i="13" s="1"/>
  <c r="K61" i="13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G63" i="13"/>
  <c r="O63" i="13" s="1"/>
  <c r="F65" i="14"/>
  <c r="K62" i="12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Q58" i="12" s="1"/>
  <c r="R58" i="12" s="1"/>
  <c r="K73" i="6"/>
  <c r="L73" i="6" s="1"/>
  <c r="J55" i="7"/>
  <c r="K72" i="8"/>
  <c r="L72" i="8" s="1"/>
  <c r="F72" i="9"/>
  <c r="G55" i="10"/>
  <c r="K60" i="10"/>
  <c r="D65" i="11"/>
  <c r="G55" i="11"/>
  <c r="D46" i="12"/>
  <c r="G44" i="12"/>
  <c r="H44" i="12" s="1"/>
  <c r="G59" i="12"/>
  <c r="L59" i="12" s="1"/>
  <c r="G56" i="13"/>
  <c r="J65" i="14"/>
  <c r="E44" i="14" s="1"/>
  <c r="F44" i="14" s="1"/>
  <c r="K55" i="14"/>
  <c r="M55" i="14" s="1"/>
  <c r="N55" i="14" s="1"/>
  <c r="G58" i="14"/>
  <c r="L58" i="14" s="1"/>
  <c r="K60" i="14"/>
  <c r="L60" i="14" s="1"/>
  <c r="G63" i="14"/>
  <c r="O63" i="14" s="1"/>
  <c r="P63" i="14" s="1"/>
  <c r="G64" i="14"/>
  <c r="I51" i="3"/>
  <c r="J51" i="3" s="1"/>
  <c r="F68" i="3"/>
  <c r="I53" i="4"/>
  <c r="J53" i="4" s="1"/>
  <c r="I57" i="4"/>
  <c r="J57" i="4" s="1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I44" i="12"/>
  <c r="J44" i="12" s="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F73" i="13"/>
  <c r="G52" i="14"/>
  <c r="G53" i="14"/>
  <c r="Q53" i="14" s="1"/>
  <c r="K54" i="14"/>
  <c r="O54" i="14" s="1"/>
  <c r="P54" i="14" s="1"/>
  <c r="K59" i="14"/>
  <c r="M59" i="14" s="1"/>
  <c r="N59" i="14" s="1"/>
  <c r="E42" i="4"/>
  <c r="G42" i="4" s="1"/>
  <c r="H42" i="4" s="1"/>
  <c r="E42" i="5"/>
  <c r="G42" i="5" s="1"/>
  <c r="H42" i="5" s="1"/>
  <c r="D65" i="8"/>
  <c r="G42" i="12"/>
  <c r="H42" i="12" s="1"/>
  <c r="K58" i="12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R53" i="14"/>
  <c r="H69" i="3"/>
  <c r="H69" i="5"/>
  <c r="J44" i="13"/>
  <c r="L50" i="3"/>
  <c r="G61" i="3"/>
  <c r="I49" i="3"/>
  <c r="K50" i="3"/>
  <c r="I50" i="3"/>
  <c r="J50" i="3" s="1"/>
  <c r="K52" i="3"/>
  <c r="I52" i="3"/>
  <c r="J52" i="3" s="1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43" i="3"/>
  <c r="F43" i="3" s="1"/>
  <c r="L52" i="3"/>
  <c r="L54" i="3"/>
  <c r="L56" i="3"/>
  <c r="L58" i="3"/>
  <c r="L60" i="3"/>
  <c r="H61" i="4"/>
  <c r="L50" i="4"/>
  <c r="M53" i="4"/>
  <c r="N53" i="4" s="1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O55" i="6"/>
  <c r="P55" i="6" s="1"/>
  <c r="M55" i="6"/>
  <c r="N55" i="6" s="1"/>
  <c r="K55" i="6"/>
  <c r="L55" i="6" s="1"/>
  <c r="K57" i="6"/>
  <c r="L57" i="6" s="1"/>
  <c r="M58" i="6"/>
  <c r="N58" i="6" s="1"/>
  <c r="K58" i="6"/>
  <c r="L58" i="6" s="1"/>
  <c r="O59" i="6"/>
  <c r="P59" i="6" s="1"/>
  <c r="O60" i="6"/>
  <c r="P60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M51" i="4"/>
  <c r="N51" i="4" s="1"/>
  <c r="L52" i="4"/>
  <c r="M55" i="4"/>
  <c r="N55" i="4" s="1"/>
  <c r="L56" i="4"/>
  <c r="L60" i="4"/>
  <c r="H65" i="4"/>
  <c r="H61" i="5"/>
  <c r="L50" i="5"/>
  <c r="L54" i="5"/>
  <c r="M56" i="5"/>
  <c r="N56" i="5" s="1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70" i="3"/>
  <c r="F70" i="3" s="1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O55" i="8"/>
  <c r="P55" i="8" s="1"/>
  <c r="K55" i="8"/>
  <c r="L55" i="8" s="1"/>
  <c r="O56" i="8"/>
  <c r="P56" i="8" s="1"/>
  <c r="M56" i="8"/>
  <c r="N56" i="8" s="1"/>
  <c r="O57" i="8"/>
  <c r="P57" i="8" s="1"/>
  <c r="M57" i="8"/>
  <c r="N57" i="8" s="1"/>
  <c r="K57" i="8"/>
  <c r="L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M60" i="8"/>
  <c r="N60" i="8" s="1"/>
  <c r="O61" i="8"/>
  <c r="P61" i="8" s="1"/>
  <c r="M61" i="8"/>
  <c r="N61" i="8" s="1"/>
  <c r="O62" i="8"/>
  <c r="P62" i="8" s="1"/>
  <c r="K62" i="8"/>
  <c r="L62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O54" i="10"/>
  <c r="P54" i="10" s="1"/>
  <c r="L54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J59" i="7"/>
  <c r="O60" i="7"/>
  <c r="P60" i="7" s="1"/>
  <c r="M60" i="7"/>
  <c r="N60" i="7" s="1"/>
  <c r="K60" i="7"/>
  <c r="L60" i="7" s="1"/>
  <c r="O61" i="7"/>
  <c r="P61" i="7" s="1"/>
  <c r="M61" i="7"/>
  <c r="N61" i="7" s="1"/>
  <c r="K61" i="7"/>
  <c r="L61" i="7" s="1"/>
  <c r="O62" i="7"/>
  <c r="P62" i="7" s="1"/>
  <c r="M62" i="7"/>
  <c r="N62" i="7" s="1"/>
  <c r="K62" i="7"/>
  <c r="L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M52" i="9"/>
  <c r="N52" i="9" s="1"/>
  <c r="K52" i="9"/>
  <c r="L52" i="9" s="1"/>
  <c r="M53" i="9"/>
  <c r="N53" i="9" s="1"/>
  <c r="K53" i="9"/>
  <c r="L53" i="9" s="1"/>
  <c r="O54" i="9"/>
  <c r="P54" i="9" s="1"/>
  <c r="M54" i="9"/>
  <c r="N54" i="9" s="1"/>
  <c r="K54" i="9"/>
  <c r="L54" i="9" s="1"/>
  <c r="O55" i="9"/>
  <c r="P55" i="9" s="1"/>
  <c r="M55" i="9"/>
  <c r="N55" i="9" s="1"/>
  <c r="K55" i="9"/>
  <c r="L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M58" i="9"/>
  <c r="N58" i="9" s="1"/>
  <c r="K58" i="9"/>
  <c r="L58" i="9" s="1"/>
  <c r="O59" i="9"/>
  <c r="P59" i="9" s="1"/>
  <c r="K59" i="9"/>
  <c r="L59" i="9" s="1"/>
  <c r="J59" i="9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I71" i="9"/>
  <c r="J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M62" i="10"/>
  <c r="N62" i="10" s="1"/>
  <c r="L63" i="10"/>
  <c r="F71" i="11"/>
  <c r="H65" i="11"/>
  <c r="E42" i="11" s="1"/>
  <c r="K51" i="11"/>
  <c r="K52" i="11"/>
  <c r="L52" i="11" s="1"/>
  <c r="K53" i="11"/>
  <c r="L53" i="11" s="1"/>
  <c r="K54" i="11"/>
  <c r="L54" i="11" s="1"/>
  <c r="K55" i="11"/>
  <c r="K56" i="11"/>
  <c r="K57" i="11"/>
  <c r="L57" i="11" s="1"/>
  <c r="K58" i="11"/>
  <c r="L58" i="11" s="1"/>
  <c r="K59" i="11"/>
  <c r="Q60" i="11"/>
  <c r="R60" i="11" s="1"/>
  <c r="M60" i="11"/>
  <c r="N60" i="11" s="1"/>
  <c r="L61" i="11"/>
  <c r="L63" i="1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O63" i="11"/>
  <c r="P63" i="11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G43" i="12"/>
  <c r="H43" i="12" s="1"/>
  <c r="O53" i="12"/>
  <c r="P53" i="12" s="1"/>
  <c r="M53" i="12"/>
  <c r="N53" i="12" s="1"/>
  <c r="Q54" i="12"/>
  <c r="R54" i="12" s="1"/>
  <c r="Q55" i="12"/>
  <c r="R55" i="12" s="1"/>
  <c r="M55" i="12"/>
  <c r="N55" i="12" s="1"/>
  <c r="Q57" i="12"/>
  <c r="R57" i="12" s="1"/>
  <c r="O57" i="12"/>
  <c r="P57" i="12" s="1"/>
  <c r="M57" i="12"/>
  <c r="N57" i="12" s="1"/>
  <c r="L58" i="12"/>
  <c r="M59" i="12"/>
  <c r="N59" i="12" s="1"/>
  <c r="Q61" i="12"/>
  <c r="R61" i="12" s="1"/>
  <c r="M61" i="12"/>
  <c r="N61" i="12" s="1"/>
  <c r="L62" i="12"/>
  <c r="Q63" i="12"/>
  <c r="R63" i="12" s="1"/>
  <c r="L64" i="12"/>
  <c r="D94" i="12"/>
  <c r="Q52" i="13"/>
  <c r="R52" i="13" s="1"/>
  <c r="M52" i="13"/>
  <c r="N52" i="13" s="1"/>
  <c r="O53" i="13"/>
  <c r="P53" i="13" s="1"/>
  <c r="M53" i="13"/>
  <c r="N53" i="13" s="1"/>
  <c r="M54" i="13"/>
  <c r="N54" i="13" s="1"/>
  <c r="Q55" i="13"/>
  <c r="R55" i="13" s="1"/>
  <c r="M55" i="13"/>
  <c r="N55" i="13" s="1"/>
  <c r="L56" i="13"/>
  <c r="L57" i="13"/>
  <c r="M57" i="13"/>
  <c r="N57" i="13" s="1"/>
  <c r="M58" i="13"/>
  <c r="N58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L44" i="12"/>
  <c r="G51" i="12"/>
  <c r="D65" i="12"/>
  <c r="K51" i="12"/>
  <c r="Q52" i="12"/>
  <c r="R52" i="12" s="1"/>
  <c r="O52" i="12"/>
  <c r="P52" i="12" s="1"/>
  <c r="Q56" i="12"/>
  <c r="R56" i="12" s="1"/>
  <c r="O56" i="12"/>
  <c r="P56" i="12" s="1"/>
  <c r="M56" i="12"/>
  <c r="N56" i="12" s="1"/>
  <c r="M58" i="12"/>
  <c r="N58" i="12" s="1"/>
  <c r="Q62" i="12"/>
  <c r="R62" i="12" s="1"/>
  <c r="M62" i="12"/>
  <c r="N62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M56" i="13"/>
  <c r="N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Q60" i="13"/>
  <c r="R60" i="13" s="1"/>
  <c r="P63" i="13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61" i="13"/>
  <c r="R61" i="13" s="1"/>
  <c r="Q54" i="14"/>
  <c r="R54" i="14" s="1"/>
  <c r="M54" i="14"/>
  <c r="N54" i="14" s="1"/>
  <c r="L54" i="14"/>
  <c r="Q62" i="13"/>
  <c r="R62" i="13" s="1"/>
  <c r="M63" i="13"/>
  <c r="N63" i="13" s="1"/>
  <c r="Q63" i="13"/>
  <c r="R63" i="13" s="1"/>
  <c r="Q64" i="13"/>
  <c r="R64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G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H69" i="13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L59" i="14"/>
  <c r="Q63" i="14"/>
  <c r="R63" i="14" s="1"/>
  <c r="M63" i="14"/>
  <c r="N63" i="14" s="1"/>
  <c r="L63" i="14"/>
  <c r="Q60" i="14"/>
  <c r="R60" i="14" s="1"/>
  <c r="M62" i="14"/>
  <c r="N62" i="14" s="1"/>
  <c r="Q62" i="14"/>
  <c r="R62" i="14" s="1"/>
  <c r="M64" i="14"/>
  <c r="N64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M63" i="11" l="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H42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G74" i="7"/>
  <c r="H74" i="7" s="1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F74" i="12"/>
  <c r="J42" i="12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F45" i="12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I46" i="7" l="1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<sst xmlns="http://schemas.openxmlformats.org/spreadsheetml/2006/main" count="2117" uniqueCount="229">
  <si>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</si>
  <si>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</si>
  <si>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</si>
  <si>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</si>
  <si>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</si>
  <si>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</si>
  <si>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</si>
  <si>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</si>
  <si>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</si>
  <si>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</si>
  <si>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</si>
  <si>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</si>
  <si>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</si>
  <si>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</si>
  <si>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</si>
  <si>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</si>
  <si>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</si>
  <si>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</si>
  <si>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</si>
  <si>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</si>
  <si>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</si>
  <si>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</si>
  <si>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</si>
  <si>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</si>
  <si>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</si>
  <si>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</si>
  <si>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</si>
  <si>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</si>
  <si>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</si>
  <si>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</si>
  <si>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</si>
  <si>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</si>
  <si>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</si>
  <si>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</si>
  <si>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</si>
  <si>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</si>
  <si>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</si>
  <si>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</si>
  <si>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</si>
  <si>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</si>
  <si>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</si>
  <si>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</si>
  <si>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</si>
  <si>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</si>
  <si>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</si>
  <si>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</si>
  <si>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</si>
  <si>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</si>
  <si>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</si>
  <si>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</si>
  <si>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</si>
  <si>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</si>
  <si>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</si>
  <si>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</si>
  <si>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</si>
  <si>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</si>
  <si>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</si>
  <si>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</si>
  <si>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</si>
  <si>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</si>
  <si>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</si>
  <si>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</si>
  <si>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</si>
  <si>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</si>
  <si>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</si>
  <si>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</si>
  <si>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</si>
  <si>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</si>
  <si>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</si>
  <si>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</si>
  <si>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</si>
  <si>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</si>
  <si>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</si>
  <si>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</si>
  <si>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</si>
  <si>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</si>
  <si>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</si>
  <si>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</si>
  <si>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</si>
  <si>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</si>
  <si>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</si>
  <si>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</si>
  <si>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</si>
  <si>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</si>
  <si>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</si>
  <si>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</si>
  <si>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</si>
  <si>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</si>
  <si>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</si>
  <si>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</si>
  <si>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</si>
  <si>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</si>
  <si>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</si>
  <si>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</si>
  <si>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</si>
  <si>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</si>
  <si>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</si>
  <si>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</si>
  <si>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</si>
  <si>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</si>
  <si>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</si>
  <si>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</si>
  <si>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</si>
  <si>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</si>
  <si>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</si>
  <si>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</si>
  <si>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</si>
  <si>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</si>
  <si>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</si>
  <si>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</si>
  <si>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</si>
  <si>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</si>
  <si>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</si>
  <si>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</si>
  <si>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</si>
  <si>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</si>
  <si>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</si>
  <si>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</si>
  <si>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</si>
  <si>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</si>
  <si>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</si>
  <si>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</si>
  <si>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</si>
  <si>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</si>
  <si>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</si>
  <si>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</si>
  <si>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</si>
  <si>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</si>
  <si>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</si>
  <si>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</si>
  <si>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</si>
  <si>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</si>
  <si>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</si>
  <si>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</si>
  <si>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</si>
  <si>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</si>
  <si>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</si>
  <si>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</si>
  <si>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</si>
  <si>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</si>
  <si>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</si>
  <si>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</si>
  <si>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</si>
  <si>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</si>
  <si>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</si>
  <si>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</si>
  <si>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</si>
  <si>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</si>
  <si>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</si>
  <si>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</si>
  <si>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</si>
  <si>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</si>
  <si>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</si>
  <si>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</si>
  <si>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</si>
  <si>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</si>
  <si>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</si>
  <si>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</si>
  <si>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</si>
  <si>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</si>
  <si>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</si>
  <si>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</si>
  <si>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</si>
  <si>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</si>
  <si>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</si>
  <si>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</si>
  <si>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</si>
  <si>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</si>
  <si>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</si>
  <si>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</si>
  <si>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</si>
  <si>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</si>
  <si>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</si>
  <si>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</si>
  <si>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</si>
  <si>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</si>
  <si>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</si>
  <si>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</si>
  <si>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</si>
  <si>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</si>
  <si>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</si>
  <si>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</si>
  <si>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</si>
  <si>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</si>
  <si>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</si>
  <si>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</si>
  <si>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</si>
  <si>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</si>
  <si>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</si>
  <si>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</si>
  <si>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</si>
  <si>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</si>
  <si>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</si>
  <si>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</si>
  <si>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</si>
  <si>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</si>
  <si>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</si>
  <si>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</si>
  <si>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</si>
  <si>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</si>
  <si>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</si>
  <si>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</si>
  <si>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</si>
  <si>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</si>
  <si>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</si>
  <si>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</si>
  <si>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</si>
  <si>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</si>
  <si>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</si>
  <si>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</si>
  <si>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</si>
  <si>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</si>
  <si>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</si>
  <si>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</si>
  <si>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</si>
  <si>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</si>
  <si>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</si>
  <si>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</si>
  <si>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</si>
  <si>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</si>
  <si>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</si>
  <si>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</si>
  <si>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</si>
  <si>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</si>
  <si>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</si>
  <si>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</si>
  <si>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</si>
  <si>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WIDI</t>
  </si>
  <si>
    <t>DATA PENCAPAIAN — GLOBAL —  19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</si>
</sst>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211</v>
      </c>
      <c r="C19" s="2" t="s">
        <v>212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zoomScale="86" zoomScaleNormal="86" workbookViewId="0">
      <selection activeCell="C11" sqref="C11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bestFit="1" customWidth="1"/>
    <col min="6" max="6" width="11.140625" bestFit="1" customWidth="1"/>
    <col min="7" max="12" width="12.85546875" bestFit="1" customWidth="1"/>
    <col min="13" max="14" width="11.140625" bestFit="1" customWidth="1"/>
    <col min="15" max="15" width="8.28515625" bestFit="1" customWidth="1"/>
    <col min="16" max="17" width="11.140625" bestFit="1" customWidth="1"/>
    <col min="18" max="18" width="8.28515625" bestFit="1" customWidth="1"/>
    <col min="19" max="20" width="11.140625" bestFit="1" customWidth="1"/>
    <col min="21" max="21" width="8.28515625" bestFit="1" customWidth="1"/>
    <col min="22" max="22" width="12.85546875" bestFit="1" customWidth="1"/>
    <col min="23" max="23" width="11.140625" bestFit="1" customWidth="1"/>
    <col min="24" max="24" width="8.28515625" bestFit="1" customWidth="1"/>
    <col min="25" max="30" width="11.140625" bestFit="1" customWidth="1"/>
    <col min="31" max="31" width="6.140625" bestFit="1" customWidth="1"/>
    <col min="32" max="32" width="8.85546875" bestFit="1" customWidth="1"/>
    <col min="33" max="33" width="8.28515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196</v>
      </c>
      <c r="G4" s="4" t="s">
        <v>45</v>
      </c>
      <c r="H4" s="4" t="s">
        <v>46</v>
      </c>
      <c r="I4" s="4" t="s">
        <v>197</v>
      </c>
      <c r="J4" s="4" t="s">
        <v>47</v>
      </c>
      <c r="K4" s="4" t="s">
        <v>48</v>
      </c>
      <c r="L4" s="4" t="s">
        <v>198</v>
      </c>
      <c r="M4" s="4" t="s">
        <v>49</v>
      </c>
      <c r="N4" s="4" t="s">
        <v>50</v>
      </c>
      <c r="O4" s="4" t="s">
        <v>199</v>
      </c>
      <c r="P4" s="4" t="s">
        <v>51</v>
      </c>
      <c r="Q4" s="4" t="s">
        <v>52</v>
      </c>
      <c r="R4" s="4" t="s">
        <v>200</v>
      </c>
      <c r="S4" s="4" t="s">
        <v>53</v>
      </c>
      <c r="T4" s="4" t="s">
        <v>54</v>
      </c>
      <c r="U4" s="4" t="s">
        <v>201</v>
      </c>
      <c r="V4" s="4" t="s">
        <v>55</v>
      </c>
      <c r="W4" s="4" t="s">
        <v>56</v>
      </c>
      <c r="X4" s="4" t="s">
        <v>202</v>
      </c>
      <c r="Y4" s="4" t="s">
        <v>57</v>
      </c>
      <c r="Z4" s="4" t="s">
        <v>58</v>
      </c>
      <c r="AA4" s="4" t="s">
        <v>203</v>
      </c>
      <c r="AB4" s="4" t="s">
        <v>59</v>
      </c>
      <c r="AC4" s="4" t="s">
        <v>60</v>
      </c>
      <c r="AD4" s="4" t="s">
        <v>204</v>
      </c>
      <c r="AE4" s="4" t="s">
        <v>61</v>
      </c>
      <c r="AF4" s="4" t="s">
        <v>62</v>
      </c>
      <c r="AG4" s="4" t="s">
        <v>205</v>
      </c>
      <c r="AH4" s="4" t="s">
        <v>63</v>
      </c>
      <c r="AI4" s="4" t="s">
        <v>64</v>
      </c>
      <c r="AJ4" s="4" t="s">
        <v>206</v>
      </c>
      <c r="AK4" s="4" t="s">
        <v>65</v>
      </c>
      <c r="AL4" s="4" t="s">
        <v>66</v>
      </c>
      <c r="AM4" s="4" t="s">
        <v>207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172</v>
      </c>
      <c r="C7" s="129" t="s">
        <v>173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226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172</v>
      </c>
      <c r="C13" s="129" t="s">
        <v>174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191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166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165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165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193</v>
      </c>
      <c r="J3" s="218">
        <v>0</v>
      </c>
    </row>
    <row r="4" spans="2:14" x14ac:dyDescent="0.25">
      <c r="G4" s="221" t="s">
        <v>194</v>
      </c>
      <c r="J4" s="218">
        <v>0</v>
      </c>
    </row>
    <row r="5" spans="2:14" x14ac:dyDescent="0.25">
      <c r="G5" s="221" t="s">
        <v>195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165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165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165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165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169</v>
      </c>
      <c r="C22" s="15">
        <v>38884328.600000001</v>
      </c>
      <c r="D22" s="15" t="s">
        <v>165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170</v>
      </c>
      <c r="C23" s="15">
        <v>120550492.72</v>
      </c>
      <c r="D23" s="15" t="s">
        <v>165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165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185</v>
      </c>
    </row>
    <row r="41" spans="2:19" ht="27.95" customHeight="1" x14ac:dyDescent="0.25">
      <c r="B41" s="269" t="s">
        <v>178</v>
      </c>
      <c r="C41" s="270"/>
      <c r="D41" s="271"/>
      <c r="E41" s="66" t="s">
        <v>137</v>
      </c>
      <c r="F41" s="174"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  <c r="Q48"/>
      <c r="R48"/>
    </row>
    <row r="49" spans="2:18" s="139" customFormat="1" ht="33.950000000000003" customHeight="1" x14ac:dyDescent="0.25">
      <c r="B49" s="277" t="s">
        <v>41</v>
      </c>
      <c r="C49" s="277" t="s">
        <v>42</v>
      </c>
      <c r="D49" s="274" t="s">
        <v>137</v>
      </c>
      <c r="E49" s="275"/>
      <c r="F49" s="276"/>
      <c r="G49" s="140" t="s">
        <v>138</v>
      </c>
      <c r="H49" s="140"/>
      <c r="I49" s="140"/>
      <c r="J49" s="274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67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77"/>
      <c r="C50" s="27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4"/>
      <c r="K50" s="264"/>
      <c r="L50" s="264"/>
      <c r="M50" s="266"/>
      <c r="N50" s="188"/>
      <c r="O50" s="183"/>
      <c r="P50" s="268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172</v>
      </c>
      <c r="C53" s="154" t="s">
        <v>173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172</v>
      </c>
      <c r="C59" s="154" t="s">
        <v>174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171</v>
      </c>
      <c r="C77" s="250"/>
      <c r="D77" s="251"/>
      <c r="G77"/>
      <c r="H77"/>
      <c r="I77"/>
    </row>
    <row r="78" spans="1:19" ht="20.100000000000001" customHeight="1" x14ac:dyDescent="0.25">
      <c r="B78" s="259" t="s">
        <v>41</v>
      </c>
      <c r="C78" s="259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168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172</v>
      </c>
      <c r="C82" s="152" t="s">
        <v>173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172</v>
      </c>
      <c r="C88" s="152" t="s">
        <v>174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165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169</v>
      </c>
      <c r="C22" s="15">
        <v>197567845.80000001</v>
      </c>
      <c r="D22" s="15" t="s">
        <v>165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170</v>
      </c>
      <c r="C23" s="15">
        <v>300521523.82997501</v>
      </c>
      <c r="D23" s="15" t="s">
        <v>165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78" t="s">
        <v>179</v>
      </c>
      <c r="C41" s="279"/>
      <c r="D41" s="280"/>
      <c r="E41" s="66" t="s">
        <v>137</v>
      </c>
      <c r="F41" s="174">
        <v>0.97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8.75" customHeight="1" x14ac:dyDescent="0.25">
      <c r="B78" s="259" t="s">
        <v>41</v>
      </c>
      <c r="C78" s="259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168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172</v>
      </c>
      <c r="C82" s="168" t="s">
        <v>173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172</v>
      </c>
      <c r="C88" s="168" t="s">
        <v>174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165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169</v>
      </c>
      <c r="C22" s="15">
        <v>167671841.09999999</v>
      </c>
      <c r="D22" s="15" t="s">
        <v>165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170</v>
      </c>
      <c r="C23" s="15">
        <v>388937679.18000001</v>
      </c>
      <c r="D23" s="15" t="s">
        <v>165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69" t="s">
        <v>180</v>
      </c>
      <c r="C41" s="270"/>
      <c r="D41" s="271"/>
      <c r="E41" s="66" t="s">
        <v>137</v>
      </c>
      <c r="F41" s="174">
        <f ca="1">IF(MONTH(TODAY())=6,DAY(TODAY())/DAY(EOMONTH(TODAY(),0)),IF(MONTH(TODAY())&gt;6,1,0))</f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172</v>
      </c>
      <c r="C82" s="56" t="s">
        <v>173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172</v>
      </c>
      <c r="C88" s="56" t="s">
        <v>174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G1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182</v>
      </c>
      <c r="C12" s="15">
        <v>341819821.47863901</v>
      </c>
      <c r="D12" s="15">
        <v>43800016.100000001</v>
      </c>
      <c r="E12" s="15" t="s">
        <v>165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169</v>
      </c>
      <c r="C20" s="15">
        <v>195476199.69999999</v>
      </c>
      <c r="D20" s="15" t="s">
        <v>165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170</v>
      </c>
      <c r="C21" s="15">
        <v>288524887.39999998</v>
      </c>
      <c r="D21" s="15" t="s">
        <v>165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183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184</v>
      </c>
      <c r="C26" s="15">
        <v>138084633.55645701</v>
      </c>
      <c r="D26" s="15">
        <v>103844000.433377</v>
      </c>
      <c r="E26" s="15" t="s">
        <v>165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185</v>
      </c>
    </row>
    <row r="41" spans="2:19" s="191" customFormat="1" ht="27.95" customHeight="1" x14ac:dyDescent="0.25">
      <c r="B41" s="269" t="s">
        <v>189</v>
      </c>
      <c r="C41" s="270"/>
      <c r="D41" s="271"/>
      <c r="E41" s="66" t="s">
        <v>137</v>
      </c>
      <c r="F41" s="174">
        <f ca="1">IF(MONTH(TODAY())=7,DAY(TODAY())/DAY(EOMONTH(TODAY(),0)),IF(MONTH(TODAY())&gt;7,1,0))</f>
        <v>1</v>
      </c>
      <c r="G41" s="192" t="s">
        <v>187</v>
      </c>
      <c r="H41" s="198">
        <v>0.9</v>
      </c>
      <c r="I41" s="193" t="s">
        <v>187</v>
      </c>
      <c r="J41" s="199">
        <v>0.95</v>
      </c>
      <c r="K41" s="194" t="s">
        <v>188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172</v>
      </c>
      <c r="C53" s="137" t="s">
        <v>173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181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172</v>
      </c>
      <c r="C59" s="137" t="s">
        <v>174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172</v>
      </c>
      <c r="C82" s="56" t="s">
        <v>173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181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172</v>
      </c>
      <c r="C88" s="56" t="s">
        <v>174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55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192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193</v>
      </c>
      <c r="H3" s="111"/>
      <c r="I3" s="111"/>
      <c r="J3" s="218">
        <v>2</v>
      </c>
    </row>
    <row r="4" spans="2:15" x14ac:dyDescent="0.25">
      <c r="G4" s="221" t="s">
        <v>194</v>
      </c>
      <c r="H4" s="111"/>
      <c r="I4" s="111"/>
      <c r="J4" s="218">
        <v>0</v>
      </c>
    </row>
    <row r="5" spans="2:15" x14ac:dyDescent="0.25">
      <c r="G5" s="221" t="s">
        <v>195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215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214</v>
      </c>
      <c r="C12" s="15">
        <v>3123423.4199979999</v>
      </c>
      <c r="D12" s="15">
        <v>30403216.600000001</v>
      </c>
      <c r="E12" s="15">
        <v>352954956.67859</v>
      </c>
      <c r="F12" s="15" t="s">
        <v>165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169</v>
      </c>
      <c r="C20" s="15">
        <v>186237371.06</v>
      </c>
      <c r="D20" s="15" t="s">
        <v>165</v>
      </c>
      <c r="E20" s="15" t="s">
        <v>165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223</v>
      </c>
    </row>
    <row r="21" spans="2:15" x14ac:dyDescent="0.25">
      <c r="B21" s="72" t="s">
        <v>170</v>
      </c>
      <c r="C21" s="15">
        <v>427491232.60000002</v>
      </c>
      <c r="D21" s="15" t="s">
        <v>165</v>
      </c>
      <c r="E21" s="15" t="s">
        <v>165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224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183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185</v>
      </c>
    </row>
    <row r="40" spans="2:19" ht="18.75" x14ac:dyDescent="0.25">
      <c r="B40" s="269" t="s">
        <v>219</v>
      </c>
      <c r="C40" s="270"/>
      <c r="D40" s="271"/>
      <c r="E40" s="66" t="s">
        <v>137</v>
      </c>
      <c r="F40" s="174">
        <f ca="1">IF(MONTH(TODAY())=8,DAY(TODAY())/DAY(EOMONTH(TODAY(),0)),IF(MONTH(TODAY())&gt;8,1,0))</f>
        <v>1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208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6" t="s">
        <v>145</v>
      </c>
      <c r="C46" s="257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72" t="s">
        <v>213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5.75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2" t="s">
        <v>216</v>
      </c>
      <c r="U50" s="172" t="s">
        <v>217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218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172</v>
      </c>
      <c r="C53" s="137" t="s">
        <v>173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169</v>
      </c>
      <c r="U53" t="s">
        <v>218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218</v>
      </c>
    </row>
    <row r="55" spans="2:21" x14ac:dyDescent="0.25">
      <c r="B55" s="50" t="s">
        <v>73</v>
      </c>
      <c r="C55" s="55" t="s">
        <v>190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214</v>
      </c>
      <c r="U55" t="s">
        <v>218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183</v>
      </c>
      <c r="U56" t="s">
        <v>218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218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218</v>
      </c>
    </row>
    <row r="59" spans="2:21" x14ac:dyDescent="0.25">
      <c r="B59" s="136" t="s">
        <v>172</v>
      </c>
      <c r="C59" s="137" t="s">
        <v>174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170</v>
      </c>
      <c r="U59" t="s">
        <v>218</v>
      </c>
    </row>
    <row r="60" spans="2:21" x14ac:dyDescent="0.25">
      <c r="B60" s="53" t="s">
        <v>80</v>
      </c>
      <c r="C60" s="56" t="s">
        <v>190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215</v>
      </c>
      <c r="U60" t="s">
        <v>218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218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218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218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2"/>
      <c r="G67" s="260" t="s">
        <v>186</v>
      </c>
      <c r="H67" s="261"/>
      <c r="I67" s="261"/>
      <c r="J67" s="261"/>
      <c r="K67" s="261"/>
      <c r="L67" s="262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49" t="s">
        <v>171</v>
      </c>
      <c r="C77" s="250"/>
      <c r="D77" s="251"/>
    </row>
    <row r="78" spans="2:21" ht="15.75" x14ac:dyDescent="0.25">
      <c r="B78" s="259" t="s">
        <v>41</v>
      </c>
      <c r="C78" s="259" t="s">
        <v>42</v>
      </c>
      <c r="D78" s="231" t="s">
        <v>138</v>
      </c>
    </row>
    <row r="79" spans="2:21" ht="15.75" x14ac:dyDescent="0.25">
      <c r="B79" s="258"/>
      <c r="C79" s="258"/>
      <c r="D79" s="70" t="s">
        <v>168</v>
      </c>
      <c r="T79" s="172" t="s">
        <v>216</v>
      </c>
      <c r="U79" s="172" t="s">
        <v>217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172</v>
      </c>
      <c r="C82" s="56" t="s">
        <v>173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190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172</v>
      </c>
      <c r="C88" s="56" t="s">
        <v>174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190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D46" zoomScale="73" zoomScaleNormal="73" workbookViewId="0">
      <selection activeCell="K66" sqref="K6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8" bestFit="1" customWidth="1"/>
    <col min="4" max="6" width="16.42578125" customWidth="1"/>
    <col min="7" max="7" width="18.5703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10</v>
      </c>
      <c r="D3" s="76" t="s">
        <v>104</v>
      </c>
      <c r="E3" s="77">
        <f ca="1">DAY(EOMONTH(DATE(YEAR(TODAY()),9,1),0))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4">
        <v>100376981.08205</v>
      </c>
      <c r="D10" s="234">
        <v>29107735.559999999</v>
      </c>
      <c r="E10" s="234">
        <v>139127171.50706401</v>
      </c>
      <c r="F10" s="234">
        <v>106507045.649948</v>
      </c>
      <c r="G10" s="234">
        <v>375118933.79906201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182</v>
      </c>
      <c r="C11" s="234">
        <v>4173423.4199979999</v>
      </c>
      <c r="D11" s="234">
        <v>16503315.6</v>
      </c>
      <c r="E11" s="234">
        <v>199157658.6392</v>
      </c>
      <c r="F11" s="234" t="s">
        <v>165</v>
      </c>
      <c r="G11" s="234">
        <v>219834397.65919799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4">
        <v>117345624.50743701</v>
      </c>
      <c r="D12" s="234">
        <v>55173988.001571998</v>
      </c>
      <c r="E12" s="234">
        <v>102973209.969696</v>
      </c>
      <c r="F12" s="234">
        <v>41739148.850000001</v>
      </c>
      <c r="G12" s="234">
        <v>317231971.32870501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4">
        <v>24334967.469985999</v>
      </c>
      <c r="D13" s="234">
        <v>16536638.039975001</v>
      </c>
      <c r="E13" s="234">
        <v>139693109.55969399</v>
      </c>
      <c r="F13" s="234">
        <v>52480641.210000001</v>
      </c>
      <c r="G13" s="234">
        <v>233045356.27965501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4">
        <v>347582298.36464101</v>
      </c>
      <c r="D14" s="234">
        <v>30269657.985479001</v>
      </c>
      <c r="E14" s="234">
        <v>108883833.48989999</v>
      </c>
      <c r="F14" s="234">
        <v>279248599.70980501</v>
      </c>
      <c r="G14" s="234">
        <v>765984389.54982495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4">
        <v>1080265998.3800981</v>
      </c>
      <c r="D15" s="234">
        <v>8214253.8869240005</v>
      </c>
      <c r="E15" s="234">
        <v>58176052.949942999</v>
      </c>
      <c r="F15" s="234">
        <v>12372973.210000001</v>
      </c>
      <c r="G15" s="234">
        <v>1159029278.426965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4">
        <v>316453700.88274598</v>
      </c>
      <c r="D16" s="234">
        <v>29437089.039930999</v>
      </c>
      <c r="E16" s="234">
        <v>214955766.96959001</v>
      </c>
      <c r="F16" s="234">
        <v>653436569.67996895</v>
      </c>
      <c r="G16" s="234">
        <v>1214283126.5722361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4">
        <v>77739702.055029005</v>
      </c>
      <c r="D17" s="234">
        <v>11277436.9209</v>
      </c>
      <c r="E17" s="234">
        <v>69347096.478862002</v>
      </c>
      <c r="F17" s="234">
        <v>26050270.798</v>
      </c>
      <c r="G17" s="234">
        <v>184414506.25279099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4">
        <v>9312730</v>
      </c>
      <c r="D18" s="234">
        <v>122949245.96236999</v>
      </c>
      <c r="E18" s="234">
        <v>46851402</v>
      </c>
      <c r="F18" s="234">
        <v>85535136.959999993</v>
      </c>
      <c r="G18" s="234">
        <v>264648514.92236999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169</v>
      </c>
      <c r="C19" s="234">
        <v>57858708.960000001</v>
      </c>
      <c r="D19" s="234" t="s">
        <v>165</v>
      </c>
      <c r="E19" s="234" t="s">
        <v>165</v>
      </c>
      <c r="F19" s="234">
        <v>4684684.5599999996</v>
      </c>
      <c r="G19" s="234">
        <v>62543393.520000003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234">
        <v>127135467.16</v>
      </c>
      <c r="D20" s="234" t="s">
        <v>165</v>
      </c>
      <c r="E20" s="234" t="s">
        <v>165</v>
      </c>
      <c r="F20" s="234">
        <v>7921891.6799999997</v>
      </c>
      <c r="G20" s="234">
        <v>135057358.84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124</v>
      </c>
      <c r="C21" s="234">
        <v>189312108.00953001</v>
      </c>
      <c r="D21" s="234">
        <v>36741053.013470002</v>
      </c>
      <c r="E21" s="234">
        <v>111820905.619865</v>
      </c>
      <c r="F21" s="234">
        <v>297974557.80988503</v>
      </c>
      <c r="G21" s="234">
        <v>635848624.45274997</v>
      </c>
      <c r="H21" s="111"/>
      <c r="I21" s="111"/>
      <c r="J21" s="111"/>
      <c r="M21" s="14">
        <f>SUM(C33,C34)+M20</f>
        <v>463048341.06039</v>
      </c>
      <c r="N21" s="10" t="s">
        <v>224</v>
      </c>
    </row>
    <row r="22" spans="2:15" ht="15" customHeight="1" x14ac:dyDescent="0.25">
      <c r="B22" s="72" t="s">
        <v>125</v>
      </c>
      <c r="C22" s="234">
        <v>184977926.462659</v>
      </c>
      <c r="D22" s="234">
        <v>52554915.529964998</v>
      </c>
      <c r="E22" s="234">
        <v>131137974.866263</v>
      </c>
      <c r="F22" s="234">
        <v>219748464.559596</v>
      </c>
      <c r="G22" s="234">
        <v>588419281.41848302</v>
      </c>
      <c r="H22" s="111"/>
      <c r="I22" s="111"/>
      <c r="J22" s="111"/>
    </row>
    <row r="23" spans="2:15" ht="15" customHeight="1" x14ac:dyDescent="0.25">
      <c r="B23" s="72" t="s">
        <v>126</v>
      </c>
      <c r="C23" s="234">
        <v>332139712.44659901</v>
      </c>
      <c r="D23" s="234">
        <v>44095253.124923997</v>
      </c>
      <c r="E23" s="234">
        <v>146226785.16990799</v>
      </c>
      <c r="F23" s="234">
        <v>418671352.45959097</v>
      </c>
      <c r="G23" s="234">
        <v>941133103.20102203</v>
      </c>
      <c r="H23" s="111"/>
      <c r="I23" s="111"/>
      <c r="J23" s="111"/>
    </row>
    <row r="24" spans="2:15" ht="15" customHeight="1" x14ac:dyDescent="0.25">
      <c r="B24" s="72" t="s">
        <v>225</v>
      </c>
      <c r="C24" s="234">
        <v>139761461.24244899</v>
      </c>
      <c r="D24" s="234">
        <v>35731556.620745003</v>
      </c>
      <c r="E24" s="234">
        <v>116779032.14819901</v>
      </c>
      <c r="F24" s="234">
        <v>36782251.869999997</v>
      </c>
      <c r="G24" s="234">
        <v>329054301.88139302</v>
      </c>
      <c r="H24" s="111"/>
      <c r="I24" s="111"/>
      <c r="J24" s="111"/>
    </row>
    <row r="25" spans="2:15" ht="15" customHeight="1" x14ac:dyDescent="0.25">
      <c r="B25" s="72" t="s">
        <v>220</v>
      </c>
      <c r="C25" s="234">
        <v>217151311.43060201</v>
      </c>
      <c r="D25" s="234">
        <v>71426418.716557994</v>
      </c>
      <c r="E25" s="234">
        <v>74463347.148591995</v>
      </c>
      <c r="F25" s="234">
        <v>38054054.829999998</v>
      </c>
      <c r="G25" s="234">
        <v>401095132.12575197</v>
      </c>
      <c r="H25" s="111"/>
      <c r="I25" s="111"/>
      <c r="J25" s="111"/>
    </row>
    <row r="26" spans="2:15" ht="15" customHeight="1" x14ac:dyDescent="0.25">
      <c r="B26" s="72" t="s">
        <v>127</v>
      </c>
      <c r="C26" s="234">
        <v>377468330.90861797</v>
      </c>
      <c r="D26" s="234">
        <v>179429092.65289399</v>
      </c>
      <c r="E26" s="234">
        <v>223413017.625983</v>
      </c>
      <c r="F26" s="234">
        <v>15098054.3574</v>
      </c>
      <c r="G26" s="234">
        <v>795408495.54489505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71">
        <v>169720423.085361</v>
      </c>
      <c r="G31" s="111"/>
      <c r="H31" s="111"/>
      <c r="I31" s="111"/>
    </row>
    <row r="32" spans="2:15" ht="15" customHeight="1" x14ac:dyDescent="0.25">
      <c r="B32" s="81" t="s">
        <v>132</v>
      </c>
      <c r="C32" s="234">
        <v>390140315.413225</v>
      </c>
      <c r="G32" s="111"/>
      <c r="H32" s="111"/>
      <c r="I32" s="111"/>
    </row>
    <row r="33" spans="2:19" ht="15" customHeight="1" x14ac:dyDescent="0.25">
      <c r="B33" s="81" t="s">
        <v>133</v>
      </c>
      <c r="C33" s="234">
        <v>99344987.568413004</v>
      </c>
      <c r="G33" s="111"/>
      <c r="H33" s="111"/>
      <c r="I33" s="111"/>
    </row>
    <row r="34" spans="2:19" ht="15" customHeight="1" x14ac:dyDescent="0.25">
      <c r="B34" s="81" t="s">
        <v>134</v>
      </c>
      <c r="C34" s="234">
        <v>363703353.49197698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228</v>
      </c>
      <c r="C40" s="270"/>
      <c r="D40" s="271"/>
      <c r="E40" s="66" t="s">
        <v>137</v>
      </c>
      <c r="F40" s="174">
        <f ca="1">IF(MONTH(TODAY())=9,DAY(TODAY())/DAY(EOMONTH(TODAY(),0)),IF(MONTH(TODAY())&gt;9,1,0))</f>
        <v>0.6333333333333333</v>
      </c>
      <c r="G40" s="192" t="s">
        <v>187</v>
      </c>
      <c r="H40" s="198">
        <v>0.95</v>
      </c>
      <c r="I40" s="201" t="s">
        <v>187</v>
      </c>
      <c r="J40" s="199">
        <v>1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2623124454.4023442</v>
      </c>
      <c r="F42" s="176">
        <f>IFERROR(E42/D42,0)</f>
        <v>0.58139380609136249</v>
      </c>
      <c r="G42" s="184">
        <f>D42*$H$40-E42</f>
        <v>1663072277.612082</v>
      </c>
      <c r="H42" s="184">
        <f ca="1">IFERROR(G42/$C$3,0)</f>
        <v>166307227.76120821</v>
      </c>
      <c r="I42" s="204">
        <f>D42*$J$40-E42</f>
        <v>1888661579.2970519</v>
      </c>
      <c r="J42" s="204">
        <f ca="1">IFERROR(I42/$C$3,0)</f>
        <v>188866157.9297052</v>
      </c>
      <c r="K42" s="185">
        <f>D42*$L$40-E42</f>
        <v>1888661579.2970519</v>
      </c>
      <c r="L42" s="185">
        <f ca="1">IFERROR(K42/$C$3,0)</f>
        <v>188866157.9297052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731233396.76878297</v>
      </c>
      <c r="F43" s="176">
        <f>IFERROR(E43/D43,0)</f>
        <v>0.52180069770660953</v>
      </c>
      <c r="G43" s="184">
        <f>D43*$H$40-E43</f>
        <v>600063648.22086108</v>
      </c>
      <c r="H43" s="184">
        <f ca="1">IFERROR(G43/$C$3,0)</f>
        <v>60006364.822086111</v>
      </c>
      <c r="I43" s="204">
        <f>D43*$J$40-E43</f>
        <v>670131913.74663198</v>
      </c>
      <c r="J43" s="204">
        <f ca="1">IFERROR(I43/$C$3,0)</f>
        <v>67013191.374663197</v>
      </c>
      <c r="K43" s="185">
        <f>D43*$L$40-E43</f>
        <v>670131913.74663198</v>
      </c>
      <c r="L43" s="185">
        <f ca="1">IFERROR(K43/$C$3,0)</f>
        <v>67013191.374663197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SUM(TARGETS!AD5:AD18)</f>
        <v>2944814196.3286853</v>
      </c>
      <c r="E44" s="46">
        <f>J65</f>
        <v>1824830311.192816</v>
      </c>
      <c r="F44" s="176">
        <f>IFERROR(E44/D44,0)</f>
        <v>0.61967587410704594</v>
      </c>
      <c r="G44" s="184">
        <f>IF(D44=0,0,D44*$H$40-E44)</f>
        <v>972743175.31943488</v>
      </c>
      <c r="H44" s="184">
        <f ca="1">IFERROR(G44/$C$3,0)</f>
        <v>97274317.531943485</v>
      </c>
      <c r="I44" s="204">
        <f>IF(D44=0,0,D44*$J$40-E44)</f>
        <v>1119983885.1358693</v>
      </c>
      <c r="J44" s="204">
        <f ca="1">IFERROR(I44/$C$3,0)</f>
        <v>111998388.51358692</v>
      </c>
      <c r="K44" s="185">
        <f>IF(D44=0,0,D44*$L$40-E44)</f>
        <v>1119983885.1358693</v>
      </c>
      <c r="L44" s="185">
        <f ca="1">IFERROR(K44/$C$3,0)</f>
        <v>111998388.51358692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1022909079.5589759</v>
      </c>
      <c r="F45" s="176">
        <f>IFERROR(E45/D45,0)</f>
        <v>0.58773504571237001</v>
      </c>
      <c r="G45" s="184">
        <f>D45*$H$40-E45</f>
        <v>630495175.76017284</v>
      </c>
      <c r="H45" s="184">
        <f ca="1">IFERROR(G45/$C$3,0)</f>
        <v>63049517.576017283</v>
      </c>
      <c r="I45" s="204">
        <f>D45*$J$40-E45</f>
        <v>717516452.35591769</v>
      </c>
      <c r="J45" s="204">
        <f ca="1">IFERROR(I45/$C$3,0)</f>
        <v>71751645.235591769</v>
      </c>
      <c r="K45" s="185">
        <f>D45*$L$40-E45</f>
        <v>717516452.35591769</v>
      </c>
      <c r="L45" s="185">
        <f ca="1">IFERROR(K45/$C$3,0)</f>
        <v>71751645.235591769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10598391072.458391</v>
      </c>
      <c r="E46" s="47">
        <f>SUM(E42:E45)</f>
        <v>6202097241.9229193</v>
      </c>
      <c r="F46" s="177">
        <f>IFERROR(E46/D46,0)</f>
        <v>0.58519233716899333</v>
      </c>
      <c r="G46" s="181">
        <f>SUM(G42:G45)</f>
        <v>3866374276.9125509</v>
      </c>
      <c r="H46" s="181">
        <f ca="1">IFERROR(G46/$C$3,0)</f>
        <v>386637427.69125509</v>
      </c>
      <c r="I46" s="186">
        <f>SUM(I42:I45)</f>
        <v>4396293830.535471</v>
      </c>
      <c r="J46" s="186">
        <f ca="1">IFERROR(I46/$C$3,0)</f>
        <v>439629383.05354708</v>
      </c>
      <c r="K46" s="186">
        <f>SUM(K42:K45)</f>
        <v>4396293830.535471</v>
      </c>
      <c r="L46" s="186">
        <f ca="1">IFERROR(K46/$C$3,0)</f>
        <v>439629383.05354708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213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95%</v>
      </c>
      <c r="N49" s="263" t="str">
        <f>"PER HARI"&amp;CHAR(10)&amp;TEXT($H$40,"0%")</f>
        <v>PER HARI
95%</v>
      </c>
      <c r="O49" s="265" t="str">
        <f>"SELISIH"&amp;CHAR(10)&amp;TEXT($J$40,"0%")</f>
        <v>SELISIH
100%</v>
      </c>
      <c r="P49" s="265" t="str">
        <f>"PER HARI"&amp;CHAR(10)&amp;TEXT($J$40,"0%")</f>
        <v>PER HARI
100%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>SUMIF($B$10:$B$26,$T51,C$10:C$26)+SUMIF($B$10:$B$26,$U51,C$10:C$26)</f>
        <v>189312108.00953001</v>
      </c>
      <c r="I51" s="114">
        <f t="shared" ref="I51:I64" si="1">SUMIF($B$10:$B$26,$T51,D$10:D$26)+SUMIF($B$10:$B$26,$U51,D$10:D$26)</f>
        <v>36741053.013470002</v>
      </c>
      <c r="J51" s="114">
        <f t="shared" ref="J51:J64" si="2">SUMIF($B$10:$B$26,$T51,E$10:E$26)+SUMIF($B$10:$B$26,$U51,E$10:E$26)</f>
        <v>111820905.619865</v>
      </c>
      <c r="K51" s="114">
        <f t="shared" ref="K51:K64" si="3">SUM(H51:J51)</f>
        <v>337874066.642865</v>
      </c>
      <c r="L51" s="187">
        <f t="shared" ref="L51:L65" si="4">IFERROR(K51/G51,0)</f>
        <v>0.65687286537301859</v>
      </c>
      <c r="M51" s="184">
        <f t="shared" ref="M51:M64" si="5">G51*$H$40-K51</f>
        <v>150775077.24960881</v>
      </c>
      <c r="N51" s="184">
        <f t="shared" ref="N51:N65" ca="1" si="6">IFERROR(M51/$C$3,0)</f>
        <v>15077507.724960882</v>
      </c>
      <c r="O51" s="180">
        <f t="shared" ref="O51:O64" si="7">G51*$J$40-K51</f>
        <v>176493453.24394959</v>
      </c>
      <c r="P51" s="180">
        <f t="shared" ref="P51:P65" ca="1" si="8">IFERROR(O51/$C$3,0)</f>
        <v>17649345.32439496</v>
      </c>
      <c r="Q51" s="185">
        <f t="shared" ref="Q51:Q64" si="9">G51*$L$40-K51</f>
        <v>176493453.24394959</v>
      </c>
      <c r="R51" s="185">
        <f t="shared" ref="R51:R65" ca="1" si="10">IFERROR(Q51/$C$3,0)</f>
        <v>17649345.32439496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ref="H52:H64" si="11">SUMIF($B$10:$B$26,$T52,C$10:C$26)+SUMIF($B$10:$B$26,$U52,C$10:C$26)</f>
        <v>141680591.97742301</v>
      </c>
      <c r="I52" s="114">
        <f t="shared" si="1"/>
        <v>71710626.041547</v>
      </c>
      <c r="J52" s="114">
        <f t="shared" si="2"/>
        <v>242666319.52938998</v>
      </c>
      <c r="K52" s="114">
        <f t="shared" si="3"/>
        <v>456057537.54835999</v>
      </c>
      <c r="L52" s="187">
        <f t="shared" si="4"/>
        <v>0.58057755892011542</v>
      </c>
      <c r="M52" s="184">
        <f t="shared" si="5"/>
        <v>290190149.80077446</v>
      </c>
      <c r="N52" s="184">
        <f t="shared" ca="1" si="6"/>
        <v>29019014.980077446</v>
      </c>
      <c r="O52" s="180">
        <f t="shared" si="7"/>
        <v>329466343.87178159</v>
      </c>
      <c r="P52" s="180">
        <f t="shared" ca="1" si="8"/>
        <v>32946634.38717816</v>
      </c>
      <c r="Q52" s="185">
        <f t="shared" si="9"/>
        <v>329466343.87178159</v>
      </c>
      <c r="R52" s="185">
        <f t="shared" ca="1" si="10"/>
        <v>32946634.38717816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1"/>
        <v>57858708.960000001</v>
      </c>
      <c r="I53" s="114">
        <f t="shared" si="1"/>
        <v>0</v>
      </c>
      <c r="J53" s="114">
        <f t="shared" si="2"/>
        <v>0</v>
      </c>
      <c r="K53" s="114">
        <f t="shared" si="3"/>
        <v>57858708.960000001</v>
      </c>
      <c r="L53" s="187">
        <f t="shared" si="4"/>
        <v>0.22003432492700731</v>
      </c>
      <c r="M53" s="184">
        <f t="shared" si="5"/>
        <v>191946740.84986019</v>
      </c>
      <c r="N53" s="184">
        <f t="shared" ca="1" si="6"/>
        <v>19194674.08498602</v>
      </c>
      <c r="O53" s="180">
        <f t="shared" si="7"/>
        <v>205094396.10301074</v>
      </c>
      <c r="P53" s="180">
        <f t="shared" ca="1" si="8"/>
        <v>20509439.610301074</v>
      </c>
      <c r="Q53" s="185">
        <f t="shared" si="9"/>
        <v>205094396.10301074</v>
      </c>
      <c r="R53" s="185">
        <f t="shared" ca="1" si="10"/>
        <v>20509439.610301074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1"/>
        <v>347582298.36464101</v>
      </c>
      <c r="I54" s="114">
        <f t="shared" si="1"/>
        <v>30269657.985479001</v>
      </c>
      <c r="J54" s="114">
        <f t="shared" si="2"/>
        <v>108883833.48989999</v>
      </c>
      <c r="K54" s="114">
        <f t="shared" si="3"/>
        <v>486735789.84002</v>
      </c>
      <c r="L54" s="187">
        <f t="shared" si="4"/>
        <v>0.66981515445502926</v>
      </c>
      <c r="M54" s="184">
        <f t="shared" si="5"/>
        <v>203602428.50655228</v>
      </c>
      <c r="N54" s="184">
        <f t="shared" ca="1" si="6"/>
        <v>20360242.850655228</v>
      </c>
      <c r="O54" s="180">
        <f t="shared" si="7"/>
        <v>239936018.94584554</v>
      </c>
      <c r="P54" s="180">
        <f t="shared" ca="1" si="8"/>
        <v>23993601.894584555</v>
      </c>
      <c r="Q54" s="185">
        <f t="shared" si="9"/>
        <v>239936018.94584554</v>
      </c>
      <c r="R54" s="185">
        <f t="shared" ca="1" si="10"/>
        <v>23993601.894584555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1"/>
        <v>4173423.4199979999</v>
      </c>
      <c r="I55" s="114">
        <f t="shared" si="1"/>
        <v>16503315.6</v>
      </c>
      <c r="J55" s="114">
        <f t="shared" si="2"/>
        <v>199157658.6392</v>
      </c>
      <c r="K55" s="114">
        <f t="shared" si="3"/>
        <v>219834397.65919799</v>
      </c>
      <c r="L55" s="187">
        <f t="shared" si="4"/>
        <v>0.40922187009123739</v>
      </c>
      <c r="M55" s="184">
        <f t="shared" si="5"/>
        <v>290506551.93295336</v>
      </c>
      <c r="N55" s="184">
        <f t="shared" ca="1" si="6"/>
        <v>29050655.193295337</v>
      </c>
      <c r="O55" s="180">
        <f t="shared" si="7"/>
        <v>317366601.91148764</v>
      </c>
      <c r="P55" s="180">
        <f t="shared" ca="1" si="8"/>
        <v>31736660.191148765</v>
      </c>
      <c r="Q55" s="185">
        <f t="shared" si="9"/>
        <v>317366601.91148764</v>
      </c>
      <c r="R55" s="185">
        <f t="shared" ca="1" si="10"/>
        <v>31736660.191148765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226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1"/>
        <v>139761461.24244899</v>
      </c>
      <c r="I56" s="114">
        <f t="shared" si="1"/>
        <v>35731556.620745003</v>
      </c>
      <c r="J56" s="114">
        <f t="shared" si="2"/>
        <v>116779032.14819901</v>
      </c>
      <c r="K56" s="114">
        <f t="shared" si="3"/>
        <v>292272050.01139301</v>
      </c>
      <c r="L56" s="187">
        <f t="shared" si="4"/>
        <v>0.50834696798877133</v>
      </c>
      <c r="M56" s="184">
        <f t="shared" si="5"/>
        <v>253926639.06381446</v>
      </c>
      <c r="N56" s="184">
        <f t="shared" ca="1" si="6"/>
        <v>25392663.906381447</v>
      </c>
      <c r="O56" s="180">
        <f t="shared" si="7"/>
        <v>282673938.48882538</v>
      </c>
      <c r="P56" s="180">
        <f t="shared" ca="1" si="8"/>
        <v>28267393.848882537</v>
      </c>
      <c r="Q56" s="185">
        <f t="shared" si="9"/>
        <v>282673938.48882538</v>
      </c>
      <c r="R56" s="185">
        <f t="shared" ca="1" si="10"/>
        <v>28267393.848882537</v>
      </c>
      <c r="T56" t="s">
        <v>225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1"/>
        <v>316453700.88274598</v>
      </c>
      <c r="I57" s="114">
        <f t="shared" si="1"/>
        <v>29437089.039930999</v>
      </c>
      <c r="J57" s="114">
        <f t="shared" si="2"/>
        <v>214955766.96959001</v>
      </c>
      <c r="K57" s="114">
        <f t="shared" si="3"/>
        <v>560846556.89226699</v>
      </c>
      <c r="L57" s="187">
        <f t="shared" si="4"/>
        <v>0.50563885140825093</v>
      </c>
      <c r="M57" s="184">
        <f t="shared" si="5"/>
        <v>492878305.3562423</v>
      </c>
      <c r="N57" s="184">
        <f t="shared" ca="1" si="6"/>
        <v>49287830.535624228</v>
      </c>
      <c r="O57" s="180">
        <f t="shared" si="7"/>
        <v>548337508.63247967</v>
      </c>
      <c r="P57" s="180">
        <f t="shared" ca="1" si="8"/>
        <v>54833750.863247968</v>
      </c>
      <c r="Q57" s="185">
        <f t="shared" si="9"/>
        <v>548337508.63247967</v>
      </c>
      <c r="R57" s="185">
        <f t="shared" ca="1" si="10"/>
        <v>54833750.863247968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1"/>
        <v>184977926.462659</v>
      </c>
      <c r="I58" s="114">
        <f t="shared" si="1"/>
        <v>52554915.529964998</v>
      </c>
      <c r="J58" s="114">
        <f t="shared" si="2"/>
        <v>131137974.866263</v>
      </c>
      <c r="K58" s="114">
        <f t="shared" si="3"/>
        <v>368670816.85888696</v>
      </c>
      <c r="L58" s="187">
        <f t="shared" si="4"/>
        <v>0.59987356383658996</v>
      </c>
      <c r="M58" s="184">
        <f t="shared" si="5"/>
        <v>215181009.80929041</v>
      </c>
      <c r="N58" s="184">
        <f t="shared" ca="1" si="6"/>
        <v>21518100.980929039</v>
      </c>
      <c r="O58" s="180">
        <f t="shared" si="7"/>
        <v>245910053.31814194</v>
      </c>
      <c r="P58" s="180">
        <f t="shared" ca="1" si="8"/>
        <v>24591005.331814192</v>
      </c>
      <c r="Q58" s="185">
        <f t="shared" si="9"/>
        <v>245910053.31814194</v>
      </c>
      <c r="R58" s="185">
        <f t="shared" ca="1" si="10"/>
        <v>24591005.331814192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1"/>
        <v>127135467.16</v>
      </c>
      <c r="I59" s="114">
        <f t="shared" si="1"/>
        <v>0</v>
      </c>
      <c r="J59" s="114">
        <f t="shared" si="2"/>
        <v>0</v>
      </c>
      <c r="K59" s="114">
        <f t="shared" si="3"/>
        <v>127135467.16</v>
      </c>
      <c r="L59" s="187">
        <f t="shared" si="4"/>
        <v>0.28644003143042351</v>
      </c>
      <c r="M59" s="184">
        <f t="shared" si="5"/>
        <v>294518912.63759899</v>
      </c>
      <c r="N59" s="184">
        <f t="shared" ca="1" si="6"/>
        <v>29451891.2637599</v>
      </c>
      <c r="O59" s="180">
        <f t="shared" si="7"/>
        <v>316711248.41641998</v>
      </c>
      <c r="P59" s="180">
        <f t="shared" ca="1" si="8"/>
        <v>31671124.841642</v>
      </c>
      <c r="Q59" s="185">
        <f t="shared" si="9"/>
        <v>316711248.41641998</v>
      </c>
      <c r="R59" s="185">
        <f t="shared" ca="1" si="10"/>
        <v>31671124.841642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1"/>
        <v>217151311.43060201</v>
      </c>
      <c r="I60" s="114">
        <f t="shared" si="1"/>
        <v>71426418.716557994</v>
      </c>
      <c r="J60" s="114">
        <f t="shared" si="2"/>
        <v>74463347.148591995</v>
      </c>
      <c r="K60" s="114">
        <f t="shared" si="3"/>
        <v>363041077.29575199</v>
      </c>
      <c r="L60" s="187">
        <f t="shared" si="4"/>
        <v>0.62681236562293319</v>
      </c>
      <c r="M60" s="184">
        <f t="shared" si="5"/>
        <v>187185820.49081248</v>
      </c>
      <c r="N60" s="184">
        <f t="shared" ca="1" si="6"/>
        <v>18718582.049081247</v>
      </c>
      <c r="O60" s="180">
        <f t="shared" si="7"/>
        <v>216145130.90063173</v>
      </c>
      <c r="P60" s="180">
        <f t="shared" ca="1" si="8"/>
        <v>21614513.090063173</v>
      </c>
      <c r="Q60" s="185">
        <f t="shared" si="9"/>
        <v>216145130.90063173</v>
      </c>
      <c r="R60" s="185">
        <f t="shared" ca="1" si="10"/>
        <v>21614513.090063173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1"/>
        <v>332139712.44659901</v>
      </c>
      <c r="I61" s="114">
        <f t="shared" si="1"/>
        <v>44095253.124923997</v>
      </c>
      <c r="J61" s="114">
        <f t="shared" si="2"/>
        <v>146226785.16990799</v>
      </c>
      <c r="K61" s="114">
        <f t="shared" si="3"/>
        <v>522461750.741431</v>
      </c>
      <c r="L61" s="187">
        <f t="shared" si="4"/>
        <v>0.72909154209897098</v>
      </c>
      <c r="M61" s="184">
        <f t="shared" si="5"/>
        <v>158301410.7340914</v>
      </c>
      <c r="N61" s="184">
        <f t="shared" ca="1" si="6"/>
        <v>15830141.07340914</v>
      </c>
      <c r="O61" s="180">
        <f t="shared" si="7"/>
        <v>194131050.81175053</v>
      </c>
      <c r="P61" s="180">
        <f t="shared" ca="1" si="8"/>
        <v>19413105.081175052</v>
      </c>
      <c r="Q61" s="185">
        <f t="shared" si="9"/>
        <v>194131050.81175053</v>
      </c>
      <c r="R61" s="185">
        <f t="shared" ca="1" si="10"/>
        <v>19413105.081175052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1"/>
        <v>100376981.08205</v>
      </c>
      <c r="I62" s="114">
        <f t="shared" si="1"/>
        <v>29107735.559999999</v>
      </c>
      <c r="J62" s="114">
        <f t="shared" si="2"/>
        <v>139127171.50706401</v>
      </c>
      <c r="K62" s="114">
        <f t="shared" si="3"/>
        <v>268611888.14911401</v>
      </c>
      <c r="L62" s="187">
        <f t="shared" si="4"/>
        <v>0.56310019247830212</v>
      </c>
      <c r="M62" s="184">
        <f t="shared" si="5"/>
        <v>184560206.53364742</v>
      </c>
      <c r="N62" s="184">
        <f t="shared" ca="1" si="6"/>
        <v>18456020.65336474</v>
      </c>
      <c r="O62" s="180">
        <f t="shared" si="7"/>
        <v>208411369.41168749</v>
      </c>
      <c r="P62" s="180">
        <f t="shared" ca="1" si="8"/>
        <v>20841136.941168748</v>
      </c>
      <c r="Q62" s="185">
        <f t="shared" si="9"/>
        <v>208411369.41168749</v>
      </c>
      <c r="R62" s="185">
        <f t="shared" ca="1" si="10"/>
        <v>20841136.941168748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1"/>
        <v>377468330.90861797</v>
      </c>
      <c r="I63" s="114">
        <f t="shared" si="1"/>
        <v>179429092.65289399</v>
      </c>
      <c r="J63" s="114">
        <f t="shared" si="2"/>
        <v>223413017.625983</v>
      </c>
      <c r="K63" s="114">
        <f t="shared" si="3"/>
        <v>780310441.18749499</v>
      </c>
      <c r="L63" s="187">
        <f t="shared" si="4"/>
        <v>0.79706962937168868</v>
      </c>
      <c r="M63" s="184">
        <f t="shared" si="5"/>
        <v>149714856.24162114</v>
      </c>
      <c r="N63" s="184">
        <f t="shared" ca="1" si="6"/>
        <v>14971485.624162113</v>
      </c>
      <c r="O63" s="180">
        <f t="shared" si="7"/>
        <v>198663556.10631156</v>
      </c>
      <c r="P63" s="180">
        <f t="shared" ca="1" si="8"/>
        <v>19866355.610631157</v>
      </c>
      <c r="Q63" s="185">
        <f t="shared" si="9"/>
        <v>198663556.10631156</v>
      </c>
      <c r="R63" s="185">
        <f t="shared" ca="1" si="10"/>
        <v>19866355.610631157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1"/>
        <v>87052432.055029005</v>
      </c>
      <c r="I64" s="114">
        <f t="shared" si="1"/>
        <v>134226682.88327</v>
      </c>
      <c r="J64" s="114">
        <f t="shared" si="2"/>
        <v>116198498.478862</v>
      </c>
      <c r="K64" s="114">
        <f t="shared" si="3"/>
        <v>337477613.41716099</v>
      </c>
      <c r="L64" s="187">
        <f t="shared" si="4"/>
        <v>0.62855021731507243</v>
      </c>
      <c r="M64" s="184">
        <f t="shared" si="5"/>
        <v>172590991.94551021</v>
      </c>
      <c r="N64" s="184">
        <f t="shared" ca="1" si="6"/>
        <v>17259099.194551021</v>
      </c>
      <c r="O64" s="180">
        <f t="shared" si="7"/>
        <v>199436708.0172298</v>
      </c>
      <c r="P64" s="180">
        <f t="shared" ca="1" si="8"/>
        <v>19943670.801722981</v>
      </c>
      <c r="Q64" s="185">
        <f t="shared" si="9"/>
        <v>199436708.0172298</v>
      </c>
      <c r="R64" s="185">
        <f t="shared" ca="1" si="10"/>
        <v>19943670.801722981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2623124454.4023442</v>
      </c>
      <c r="I65" s="135">
        <f t="shared" si="12"/>
        <v>731233396.76878297</v>
      </c>
      <c r="J65" s="135">
        <f t="shared" si="12"/>
        <v>1824830311.192816</v>
      </c>
      <c r="K65" s="135">
        <f t="shared" si="12"/>
        <v>5179188162.3639421</v>
      </c>
      <c r="L65" s="189">
        <f t="shared" si="4"/>
        <v>0.58469274221698597</v>
      </c>
      <c r="M65" s="181">
        <f>SUM(M51:M64)</f>
        <v>3235879101.1523776</v>
      </c>
      <c r="N65" s="181">
        <f t="shared" ca="1" si="6"/>
        <v>323587910.11523777</v>
      </c>
      <c r="O65" s="181">
        <f>SUM(O51:O64)</f>
        <v>3678777378.179553</v>
      </c>
      <c r="P65" s="181">
        <f t="shared" ca="1" si="8"/>
        <v>367877737.81795532</v>
      </c>
      <c r="Q65" s="186">
        <f>SUM(Q51:Q64)</f>
        <v>3678777378.179553</v>
      </c>
      <c r="R65" s="186">
        <f t="shared" ca="1" si="10"/>
        <v>367877737.81795532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169720423.085361</v>
      </c>
      <c r="F69" s="187">
        <f t="shared" ref="F69:F74" si="13">IFERROR(E69/D69,0)</f>
        <v>0.66230420922887723</v>
      </c>
      <c r="G69" s="184">
        <f>D69*$H$40-E69</f>
        <v>73724205.054355383</v>
      </c>
      <c r="H69" s="184">
        <f t="shared" ref="H69:H74" ca="1" si="14">IFERROR(G69/$C$3,0)</f>
        <v>7372420.5054355385</v>
      </c>
      <c r="I69" s="204">
        <f>D69*$J$40-E69</f>
        <v>86537080.219603628</v>
      </c>
      <c r="J69" s="204">
        <f t="shared" ref="J69:J74" ca="1" si="15">IFERROR(I69/$C$3,0)</f>
        <v>8653708.0219603628</v>
      </c>
      <c r="K69" s="185">
        <f>D69*$L$40-E69</f>
        <v>86537080.219603628</v>
      </c>
      <c r="L69" s="185">
        <f t="shared" ref="L69:L74" ca="1" si="16">IFERROR(K69/$C$3,0)</f>
        <v>8653708.0219603628</v>
      </c>
    </row>
    <row r="70" spans="2:21" ht="15.95" customHeight="1" x14ac:dyDescent="0.25">
      <c r="B70" s="53" t="s">
        <v>94</v>
      </c>
      <c r="C70" s="56" t="s">
        <v>227</v>
      </c>
      <c r="D70" s="117">
        <f>TARGETS!L23</f>
        <v>399558412.3049646</v>
      </c>
      <c r="E70" s="114">
        <f>IFERROR($C$32,0)</f>
        <v>390140315.413225</v>
      </c>
      <c r="F70" s="187">
        <f t="shared" si="13"/>
        <v>0.97642873582010525</v>
      </c>
      <c r="G70" s="184">
        <f>D70*$H$40-E70</f>
        <v>-10559823.723508656</v>
      </c>
      <c r="H70" s="184">
        <f t="shared" ca="1" si="14"/>
        <v>-1055982.3723508655</v>
      </c>
      <c r="I70" s="204">
        <f>D70*$J$40-E70</f>
        <v>9418096.8917396069</v>
      </c>
      <c r="J70" s="204">
        <f t="shared" ca="1" si="15"/>
        <v>941809.68917396071</v>
      </c>
      <c r="K70" s="185">
        <f>D70*$L$40-E70</f>
        <v>9418096.8917396069</v>
      </c>
      <c r="L70" s="185">
        <f t="shared" ca="1" si="16"/>
        <v>941809.68917396071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463048341.06039</v>
      </c>
      <c r="F71" s="187">
        <f t="shared" si="13"/>
        <v>0.42692627291826685</v>
      </c>
      <c r="G71" s="184">
        <f>D71*$H$40-E71</f>
        <v>567330794.4293263</v>
      </c>
      <c r="H71" s="184">
        <f t="shared" ca="1" si="14"/>
        <v>56733079.442932628</v>
      </c>
      <c r="I71" s="204">
        <f>D71*$J$40-E71</f>
        <v>621561275.24457455</v>
      </c>
      <c r="J71" s="204">
        <f t="shared" ca="1" si="15"/>
        <v>62156127.524457455</v>
      </c>
      <c r="K71" s="185">
        <f>D71*$L$40-E71</f>
        <v>621561275.24457455</v>
      </c>
      <c r="L71" s="185">
        <f t="shared" ca="1" si="16"/>
        <v>62156127.524457455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1022909079.5589759</v>
      </c>
      <c r="F74" s="177">
        <f t="shared" si="13"/>
        <v>0.58773504571237001</v>
      </c>
      <c r="G74" s="181">
        <f>SUM(G69:G73)</f>
        <v>630495175.76017308</v>
      </c>
      <c r="H74" s="181">
        <f t="shared" ca="1" si="14"/>
        <v>63049517.576017305</v>
      </c>
      <c r="I74" s="186">
        <f>SUM(I69:I73)</f>
        <v>717516452.35591781</v>
      </c>
      <c r="J74" s="186">
        <f t="shared" ca="1" si="15"/>
        <v>71751645.235591784</v>
      </c>
      <c r="K74" s="186">
        <f>SUM(K69:K73)</f>
        <v>717516452.35591781</v>
      </c>
      <c r="L74" s="186">
        <f t="shared" ca="1" si="16"/>
        <v>71751645.235591784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297974557.80988503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94219790.060000002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8"/>
        <v>4684684.5599999996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279248599.70980501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8"/>
        <v>36782251.869999997</v>
      </c>
      <c r="T85" t="str">
        <f t="shared" si="17"/>
        <v>Ronald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653436569.67996895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219748464.559596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8"/>
        <v>7921891.6799999997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38054054.829999998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418671352.45959097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106507045.649948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15098054.3574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111585407.75799999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2283932724.9841938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163</v>
      </c>
      <c r="C40" s="270"/>
      <c r="D40" s="271"/>
      <c r="E40" s="66" t="s">
        <v>137</v>
      </c>
      <c r="F40" s="174">
        <f ca="1">IF(MONTH(TODAY())=10,DAY(TODAY())/DAY(EOMONTH(TODAY(),0)),IF(MONTH(TODAY())&gt;10,1,0))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TARGETS!M23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164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175</v>
      </c>
      <c r="C40" s="270"/>
      <c r="D40" s="271"/>
      <c r="E40" s="66" t="s">
        <v>137</v>
      </c>
      <c r="F40" s="174">
        <f ca="1">IF(MONTH(TODAY())=11,DAY(TODAY())/DAY(EOMONTH(TODAY(),0)),IF(MONTH(TODAY())&gt;11,1,0))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176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177</v>
      </c>
      <c r="C40" s="270"/>
      <c r="D40" s="271"/>
      <c r="E40" s="66" t="s">
        <v>137</v>
      </c>
      <c r="F40" s="174">
        <f ca="1">IF(MONTH(TODAY())=12,DAY(TODAY())/DAY(EOMONTH(TODAY(),0)),IF(MONTH(TODAY())&gt;12,1,0))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2026-09-19T00:41:51Z</cp:lastPrinted>
  <dcterms:created xsi:type="dcterms:W3CDTF">2026-03-24T08:59:20Z</dcterms:created>
  <dcterms:modified xsi:type="dcterms:W3CDTF">2026-09-19T00:44:46Z</dcterms:modified>
  <dc:language>en-US</dc:language>
</cp:coreProperties>
</file>