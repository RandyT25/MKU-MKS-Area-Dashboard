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80" tabRatio="500" firstSheet="6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14" l="1"/>
  <c r="J2" i="14" s="1"/>
  <c r="C3" i="14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K49" i="14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K49" i="11"/>
  <c r="L49" i="11"/>
  <c r="M49" i="11"/>
  <c r="N49" i="11"/>
  <c r="O49" i="11"/>
  <c r="P49" i="11"/>
  <c r="K49" i="10"/>
  <c r="L49" i="10"/>
  <c r="M49" i="10"/>
  <c r="N49" i="10"/>
  <c r="O49" i="10"/>
  <c r="P49" i="10"/>
  <c r="G68" i="11"/>
  <c r="H68" i="11"/>
  <c r="I68" i="11"/>
  <c r="J68" i="11"/>
  <c r="K68" i="11"/>
  <c r="L68" i="11"/>
  <c r="G42" i="11"/>
  <c r="H42" i="11"/>
  <c r="I42" i="11"/>
  <c r="J42" i="11"/>
  <c r="K42" i="11"/>
  <c r="L42" i="11"/>
  <c r="G68" i="10"/>
  <c r="H68" i="10"/>
  <c r="I68" i="10"/>
  <c r="J68" i="10"/>
  <c r="K68" i="10"/>
  <c r="L68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H62" i="14" s="1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G58" i="14" s="1"/>
  <c r="N13" i="14"/>
  <c r="H57" i="14" s="1"/>
  <c r="M13" i="14"/>
  <c r="G57" i="14" s="1"/>
  <c r="N12" i="14"/>
  <c r="H56" i="14" s="1"/>
  <c r="M12" i="14"/>
  <c r="G56" i="14" s="1"/>
  <c r="N11" i="14"/>
  <c r="H55" i="14" s="1"/>
  <c r="M11" i="14"/>
  <c r="G55" i="14" s="1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59" i="14"/>
  <c r="G59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N17" i="13"/>
  <c r="H62" i="13" s="1"/>
  <c r="M17" i="13"/>
  <c r="G62" i="13" s="1"/>
  <c r="N16" i="13"/>
  <c r="H61" i="13" s="1"/>
  <c r="M16" i="13"/>
  <c r="G61" i="13" s="1"/>
  <c r="N15" i="13"/>
  <c r="H60" i="13" s="1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G55" i="13" s="1"/>
  <c r="N10" i="13"/>
  <c r="H54" i="13" s="1"/>
  <c r="M10" i="13"/>
  <c r="G54" i="13" s="1"/>
  <c r="N9" i="13"/>
  <c r="H52" i="13" s="1"/>
  <c r="M9" i="13"/>
  <c r="G52" i="13" s="1"/>
  <c r="N8" i="13"/>
  <c r="H51" i="13" s="1"/>
  <c r="M8" i="13"/>
  <c r="G51" i="13" s="1"/>
  <c r="N7" i="13"/>
  <c r="M7" i="13"/>
  <c r="H63" i="13"/>
  <c r="H59" i="13"/>
  <c r="G59" i="13"/>
  <c r="H53" i="13"/>
  <c r="G53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G64" i="12" s="1"/>
  <c r="N18" i="12"/>
  <c r="H63" i="12" s="1"/>
  <c r="M18" i="12"/>
  <c r="G63" i="12" s="1"/>
  <c r="N17" i="12"/>
  <c r="H62" i="12" s="1"/>
  <c r="M17" i="12"/>
  <c r="G62" i="12" s="1"/>
  <c r="N16" i="12"/>
  <c r="H61" i="12" s="1"/>
  <c r="M16" i="12"/>
  <c r="G61" i="12" s="1"/>
  <c r="N15" i="12"/>
  <c r="H60" i="12" s="1"/>
  <c r="M15" i="12"/>
  <c r="G60" i="12" s="1"/>
  <c r="N14" i="12"/>
  <c r="H58" i="12" s="1"/>
  <c r="M14" i="12"/>
  <c r="G58" i="12" s="1"/>
  <c r="N13" i="12"/>
  <c r="M13" i="12"/>
  <c r="G57" i="12" s="1"/>
  <c r="N12" i="12"/>
  <c r="H56" i="12" s="1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H52" i="12" s="1"/>
  <c r="M9" i="12"/>
  <c r="G52" i="12" s="1"/>
  <c r="N8" i="12"/>
  <c r="H51" i="12" s="1"/>
  <c r="M8" i="12"/>
  <c r="G51" i="12" s="1"/>
  <c r="N7" i="12"/>
  <c r="M7" i="12"/>
  <c r="H59" i="12"/>
  <c r="G59" i="12"/>
  <c r="H57" i="12"/>
  <c r="H53" i="12"/>
  <c r="G53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G63" i="11" s="1"/>
  <c r="N17" i="11"/>
  <c r="H62" i="11" s="1"/>
  <c r="M17" i="11"/>
  <c r="G62" i="11" s="1"/>
  <c r="N16" i="11"/>
  <c r="H61" i="11" s="1"/>
  <c r="M16" i="11"/>
  <c r="G61" i="11" s="1"/>
  <c r="N15" i="11"/>
  <c r="M15" i="11"/>
  <c r="G60" i="11" s="1"/>
  <c r="N14" i="11"/>
  <c r="H58" i="11" s="1"/>
  <c r="M14" i="11"/>
  <c r="G58" i="11" s="1"/>
  <c r="N13" i="11"/>
  <c r="H57" i="11" s="1"/>
  <c r="M13" i="11"/>
  <c r="G57" i="11" s="1"/>
  <c r="N12" i="11"/>
  <c r="H56" i="11" s="1"/>
  <c r="M12" i="11"/>
  <c r="G56" i="11" s="1"/>
  <c r="N11" i="11"/>
  <c r="H55" i="11" s="1"/>
  <c r="M11" i="11"/>
  <c r="G55" i="11" s="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N7" i="11"/>
  <c r="M7" i="11"/>
  <c r="H60" i="11"/>
  <c r="H59" i="11"/>
  <c r="G59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H63" i="10" s="1"/>
  <c r="M18" i="10"/>
  <c r="G63" i="10" s="1"/>
  <c r="N17" i="10"/>
  <c r="H62" i="10" s="1"/>
  <c r="M17" i="10"/>
  <c r="G62" i="10" s="1"/>
  <c r="N16" i="10"/>
  <c r="H61" i="10" s="1"/>
  <c r="M16" i="10"/>
  <c r="G61" i="10" s="1"/>
  <c r="N15" i="10"/>
  <c r="H60" i="10" s="1"/>
  <c r="M15" i="10"/>
  <c r="G60" i="10" s="1"/>
  <c r="N14" i="10"/>
  <c r="H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H51" i="10" s="1"/>
  <c r="M8" i="10"/>
  <c r="G51" i="10" s="1"/>
  <c r="N7" i="10"/>
  <c r="M7" i="10"/>
  <c r="H59" i="10"/>
  <c r="G59" i="10"/>
  <c r="H53" i="10"/>
  <c r="G53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I60" i="12" l="1"/>
  <c r="I62" i="12"/>
  <c r="I59" i="11"/>
  <c r="I56" i="14"/>
  <c r="I51" i="11"/>
  <c r="I61" i="11"/>
  <c r="I63" i="13"/>
  <c r="I58" i="12"/>
  <c r="I58" i="10"/>
  <c r="I52" i="10"/>
  <c r="I57" i="10"/>
  <c r="I60" i="10"/>
  <c r="I62" i="10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3" i="14" l="1"/>
  <c r="D72" i="14"/>
  <c r="D71" i="14"/>
  <c r="D70" i="14"/>
  <c r="D69" i="14"/>
  <c r="D45" i="14"/>
  <c r="D43" i="14"/>
  <c r="D64" i="14"/>
  <c r="D63" i="14"/>
  <c r="D62" i="14"/>
  <c r="F62" i="14" s="1"/>
  <c r="D61" i="14"/>
  <c r="F61" i="14" s="1"/>
  <c r="D60" i="14"/>
  <c r="F60" i="14" s="1"/>
  <c r="D59" i="14"/>
  <c r="F59" i="14" s="1"/>
  <c r="D58" i="14"/>
  <c r="F58" i="14" s="1"/>
  <c r="D57" i="14"/>
  <c r="D56" i="14"/>
  <c r="F56" i="14" s="1"/>
  <c r="D55" i="14"/>
  <c r="D54" i="14"/>
  <c r="D53" i="14"/>
  <c r="D52" i="14"/>
  <c r="F52" i="14" s="1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F60" i="13" s="1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F57" i="12" s="1"/>
  <c r="E56" i="12"/>
  <c r="E55" i="12"/>
  <c r="F55" i="12" s="1"/>
  <c r="E54" i="12"/>
  <c r="E53" i="12"/>
  <c r="E52" i="12"/>
  <c r="E51" i="12"/>
  <c r="D64" i="12"/>
  <c r="D63" i="12"/>
  <c r="D62" i="12"/>
  <c r="D61" i="12"/>
  <c r="F61" i="12" s="1"/>
  <c r="D60" i="12"/>
  <c r="F60" i="12" s="1"/>
  <c r="D59" i="12"/>
  <c r="D58" i="12"/>
  <c r="D57" i="12"/>
  <c r="D56" i="12"/>
  <c r="D55" i="12"/>
  <c r="D54" i="12"/>
  <c r="D53" i="12"/>
  <c r="F53" i="12" s="1"/>
  <c r="D52" i="12"/>
  <c r="D51" i="12"/>
  <c r="F41" i="12"/>
  <c r="D73" i="11"/>
  <c r="D72" i="11"/>
  <c r="D71" i="11"/>
  <c r="D70" i="11"/>
  <c r="D69" i="11"/>
  <c r="D45" i="11"/>
  <c r="D44" i="11"/>
  <c r="D43" i="11"/>
  <c r="E64" i="11"/>
  <c r="E63" i="11"/>
  <c r="E62" i="11"/>
  <c r="F62" i="11" s="1"/>
  <c r="E61" i="11"/>
  <c r="F61" i="11" s="1"/>
  <c r="E60" i="11"/>
  <c r="E59" i="11"/>
  <c r="E58" i="11"/>
  <c r="E57" i="11"/>
  <c r="E56" i="11"/>
  <c r="E55" i="11"/>
  <c r="E54" i="11"/>
  <c r="F54" i="11" s="1"/>
  <c r="E53" i="11"/>
  <c r="E52" i="11"/>
  <c r="F52" i="11" s="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E64" i="10"/>
  <c r="E63" i="10"/>
  <c r="E62" i="10"/>
  <c r="E61" i="10"/>
  <c r="E60" i="10"/>
  <c r="E59" i="10"/>
  <c r="F59" i="10" s="1"/>
  <c r="E58" i="10"/>
  <c r="F58" i="10" s="1"/>
  <c r="E57" i="10"/>
  <c r="E56" i="10"/>
  <c r="E55" i="10"/>
  <c r="E54" i="10"/>
  <c r="E53" i="10"/>
  <c r="E52" i="10"/>
  <c r="E51" i="10"/>
  <c r="D64" i="10"/>
  <c r="D63" i="10"/>
  <c r="F63" i="10" s="1"/>
  <c r="D62" i="10"/>
  <c r="D61" i="10"/>
  <c r="D60" i="10"/>
  <c r="D59" i="10"/>
  <c r="D58" i="10"/>
  <c r="D57" i="10"/>
  <c r="D56" i="10"/>
  <c r="D55" i="10"/>
  <c r="F55" i="10" s="1"/>
  <c r="D54" i="10"/>
  <c r="D53" i="10"/>
  <c r="D52" i="10"/>
  <c r="D51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E65" i="14"/>
  <c r="F64" i="14"/>
  <c r="F63" i="14"/>
  <c r="F57" i="14"/>
  <c r="F55" i="14"/>
  <c r="F54" i="14"/>
  <c r="F53" i="14"/>
  <c r="E73" i="13"/>
  <c r="E72" i="13"/>
  <c r="E70" i="13"/>
  <c r="E69" i="13"/>
  <c r="F69" i="13" s="1"/>
  <c r="F59" i="13"/>
  <c r="F54" i="13"/>
  <c r="F52" i="13"/>
  <c r="E45" i="13"/>
  <c r="E73" i="12"/>
  <c r="F73" i="12" s="1"/>
  <c r="E72" i="12"/>
  <c r="E70" i="12"/>
  <c r="E69" i="12"/>
  <c r="F59" i="12"/>
  <c r="F56" i="12"/>
  <c r="D46" i="12"/>
  <c r="E73" i="11"/>
  <c r="E72" i="11"/>
  <c r="E70" i="11"/>
  <c r="E69" i="11"/>
  <c r="F64" i="11"/>
  <c r="F56" i="11"/>
  <c r="E73" i="10"/>
  <c r="E72" i="10"/>
  <c r="E70" i="10"/>
  <c r="E69" i="10"/>
  <c r="F61" i="10"/>
  <c r="E45" i="10"/>
  <c r="E73" i="9"/>
  <c r="E72" i="9"/>
  <c r="E70" i="9"/>
  <c r="E69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3" i="12" l="1"/>
  <c r="F56" i="13"/>
  <c r="F64" i="13"/>
  <c r="F55" i="11"/>
  <c r="M55" i="11" s="1"/>
  <c r="N55" i="11" s="1"/>
  <c r="F63" i="11"/>
  <c r="D74" i="14"/>
  <c r="F64" i="12"/>
  <c r="J64" i="12" s="1"/>
  <c r="F51" i="13"/>
  <c r="J51" i="13" s="1"/>
  <c r="F51" i="12"/>
  <c r="J51" i="12" s="1"/>
  <c r="G72" i="7"/>
  <c r="H72" i="7" s="1"/>
  <c r="I72" i="7"/>
  <c r="J72" i="7" s="1"/>
  <c r="K72" i="7"/>
  <c r="L72" i="7" s="1"/>
  <c r="G73" i="10"/>
  <c r="H73" i="10" s="1"/>
  <c r="I73" i="10"/>
  <c r="J73" i="10" s="1"/>
  <c r="K73" i="10"/>
  <c r="L73" i="10" s="1"/>
  <c r="D65" i="12"/>
  <c r="E65" i="12"/>
  <c r="K69" i="8"/>
  <c r="L69" i="8" s="1"/>
  <c r="G69" i="8"/>
  <c r="I69" i="8"/>
  <c r="J69" i="8" s="1"/>
  <c r="G70" i="11"/>
  <c r="I70" i="11"/>
  <c r="J70" i="11" s="1"/>
  <c r="K70" i="11"/>
  <c r="L70" i="11" s="1"/>
  <c r="F69" i="14"/>
  <c r="J62" i="11"/>
  <c r="K62" i="11"/>
  <c r="L62" i="11" s="1"/>
  <c r="M62" i="11"/>
  <c r="N62" i="11" s="1"/>
  <c r="O62" i="11"/>
  <c r="P62" i="11" s="1"/>
  <c r="G70" i="8"/>
  <c r="H70" i="8" s="1"/>
  <c r="I70" i="8"/>
  <c r="J70" i="8" s="1"/>
  <c r="K70" i="8"/>
  <c r="L70" i="8" s="1"/>
  <c r="J54" i="11"/>
  <c r="K54" i="11"/>
  <c r="L54" i="11" s="1"/>
  <c r="M54" i="11"/>
  <c r="N54" i="11" s="1"/>
  <c r="O54" i="11"/>
  <c r="P54" i="11" s="1"/>
  <c r="K72" i="11"/>
  <c r="L72" i="11" s="1"/>
  <c r="G72" i="11"/>
  <c r="H72" i="11" s="1"/>
  <c r="I72" i="11"/>
  <c r="J72" i="11" s="1"/>
  <c r="J64" i="11"/>
  <c r="O64" i="11"/>
  <c r="P64" i="11" s="1"/>
  <c r="K64" i="11"/>
  <c r="L64" i="11" s="1"/>
  <c r="M64" i="11"/>
  <c r="N64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3" i="11"/>
  <c r="H73" i="11" s="1"/>
  <c r="I73" i="11"/>
  <c r="J73" i="11" s="1"/>
  <c r="K73" i="11"/>
  <c r="L73" i="11" s="1"/>
  <c r="J61" i="11"/>
  <c r="K61" i="11"/>
  <c r="L61" i="11" s="1"/>
  <c r="M61" i="11"/>
  <c r="N61" i="11" s="1"/>
  <c r="O61" i="11"/>
  <c r="P61" i="11" s="1"/>
  <c r="F58" i="12"/>
  <c r="F53" i="13"/>
  <c r="J53" i="13" s="1"/>
  <c r="F61" i="13"/>
  <c r="O61" i="13" s="1"/>
  <c r="P61" i="13" s="1"/>
  <c r="J56" i="11"/>
  <c r="O56" i="11"/>
  <c r="P56" i="11" s="1"/>
  <c r="K56" i="11"/>
  <c r="L56" i="11" s="1"/>
  <c r="M56" i="11"/>
  <c r="N56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J52" i="11"/>
  <c r="K52" i="11"/>
  <c r="L52" i="11" s="1"/>
  <c r="M52" i="11"/>
  <c r="N52" i="11" s="1"/>
  <c r="O52" i="11"/>
  <c r="P52" i="11" s="1"/>
  <c r="D74" i="11"/>
  <c r="G69" i="11"/>
  <c r="H69" i="11" s="1"/>
  <c r="I69" i="11"/>
  <c r="K69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J55" i="11"/>
  <c r="K55" i="11"/>
  <c r="L55" i="11" s="1"/>
  <c r="O55" i="11"/>
  <c r="P55" i="11" s="1"/>
  <c r="J63" i="11"/>
  <c r="K63" i="11"/>
  <c r="L63" i="11" s="1"/>
  <c r="M63" i="11"/>
  <c r="N63" i="11" s="1"/>
  <c r="O63" i="11"/>
  <c r="P63" i="11" s="1"/>
  <c r="F58" i="9"/>
  <c r="F53" i="10"/>
  <c r="K53" i="10" s="1"/>
  <c r="L53" i="10" s="1"/>
  <c r="G72" i="10"/>
  <c r="H72" i="10" s="1"/>
  <c r="I72" i="10"/>
  <c r="J72" i="10" s="1"/>
  <c r="K72" i="10"/>
  <c r="L72" i="10" s="1"/>
  <c r="I70" i="10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M53" i="10"/>
  <c r="N53" i="10" s="1"/>
  <c r="J59" i="10"/>
  <c r="M59" i="10"/>
  <c r="N59" i="10" s="1"/>
  <c r="K59" i="10"/>
  <c r="L59" i="10" s="1"/>
  <c r="O59" i="10"/>
  <c r="P59" i="10" s="1"/>
  <c r="F51" i="10"/>
  <c r="J55" i="10"/>
  <c r="M55" i="10"/>
  <c r="N55" i="10" s="1"/>
  <c r="K55" i="10"/>
  <c r="L55" i="10" s="1"/>
  <c r="O55" i="10"/>
  <c r="P55" i="10" s="1"/>
  <c r="J58" i="10"/>
  <c r="K58" i="10"/>
  <c r="L58" i="10" s="1"/>
  <c r="O58" i="10"/>
  <c r="P58" i="10" s="1"/>
  <c r="M58" i="10"/>
  <c r="N58" i="10" s="1"/>
  <c r="J61" i="10"/>
  <c r="K61" i="10"/>
  <c r="L61" i="10" s="1"/>
  <c r="O61" i="10"/>
  <c r="P61" i="10" s="1"/>
  <c r="M61" i="10"/>
  <c r="N61" i="10" s="1"/>
  <c r="J63" i="10"/>
  <c r="M63" i="10"/>
  <c r="N63" i="10" s="1"/>
  <c r="K63" i="10"/>
  <c r="L63" i="10" s="1"/>
  <c r="O63" i="10"/>
  <c r="P63" i="10" s="1"/>
  <c r="D46" i="10"/>
  <c r="J53" i="12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K53" i="13"/>
  <c r="L53" i="13" s="1"/>
  <c r="O53" i="13"/>
  <c r="P53" i="13" s="1"/>
  <c r="M53" i="13"/>
  <c r="N53" i="13" s="1"/>
  <c r="J61" i="13"/>
  <c r="K61" i="13"/>
  <c r="L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F45" i="10"/>
  <c r="F53" i="11"/>
  <c r="F70" i="11"/>
  <c r="F58" i="11"/>
  <c r="F56" i="10"/>
  <c r="F64" i="10"/>
  <c r="F51" i="11"/>
  <c r="F59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L51" i="3"/>
  <c r="L59" i="3"/>
  <c r="D65" i="11"/>
  <c r="D65" i="13"/>
  <c r="F60" i="8"/>
  <c r="D74" i="9"/>
  <c r="F70" i="7"/>
  <c r="E65" i="11"/>
  <c r="D65" i="14"/>
  <c r="F61" i="7"/>
  <c r="F51" i="9"/>
  <c r="F62" i="10"/>
  <c r="F70" i="14"/>
  <c r="F57" i="10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I43" i="7" s="1"/>
  <c r="F73" i="9"/>
  <c r="F69" i="8"/>
  <c r="F54" i="7"/>
  <c r="L52" i="3"/>
  <c r="F52" i="10"/>
  <c r="K58" i="3"/>
  <c r="F54" i="3"/>
  <c r="F57" i="7"/>
  <c r="I54" i="9"/>
  <c r="I63" i="9"/>
  <c r="F68" i="3"/>
  <c r="F60" i="3"/>
  <c r="G66" i="3"/>
  <c r="H66" i="3" s="1"/>
  <c r="I62" i="9"/>
  <c r="F65" i="14"/>
  <c r="E65" i="7"/>
  <c r="D74" i="7"/>
  <c r="I55" i="8"/>
  <c r="K55" i="8" s="1"/>
  <c r="L55" i="8" s="1"/>
  <c r="F72" i="12"/>
  <c r="F70" i="8"/>
  <c r="I56" i="9"/>
  <c r="J56" i="9" s="1"/>
  <c r="F72" i="11"/>
  <c r="E44" i="10"/>
  <c r="G44" i="10" s="1"/>
  <c r="H44" i="10" s="1"/>
  <c r="E44" i="14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E44" i="13"/>
  <c r="K44" i="13" s="1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I57" i="9"/>
  <c r="I57" i="7"/>
  <c r="I59" i="7"/>
  <c r="I61" i="9"/>
  <c r="G65" i="12"/>
  <c r="E43" i="12" s="1"/>
  <c r="K43" i="12" s="1"/>
  <c r="I62" i="8"/>
  <c r="I58" i="9"/>
  <c r="J58" i="9" s="1"/>
  <c r="E44" i="11"/>
  <c r="K44" i="11" s="1"/>
  <c r="L44" i="11" s="1"/>
  <c r="E45" i="11"/>
  <c r="I45" i="11" s="1"/>
  <c r="J45" i="11" s="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69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G65" i="10"/>
  <c r="E43" i="10" s="1"/>
  <c r="K43" i="10" s="1"/>
  <c r="F72" i="10"/>
  <c r="G65" i="13"/>
  <c r="E43" i="13" s="1"/>
  <c r="G43" i="13" s="1"/>
  <c r="F72" i="13"/>
  <c r="F73" i="11"/>
  <c r="G65" i="11"/>
  <c r="E43" i="11" s="1"/>
  <c r="G43" i="11" s="1"/>
  <c r="G65" i="9"/>
  <c r="E43" i="9" s="1"/>
  <c r="F43" i="9" s="1"/>
  <c r="E71" i="10"/>
  <c r="E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H65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J57" i="9" l="1"/>
  <c r="O53" i="10"/>
  <c r="P53" i="10" s="1"/>
  <c r="O64" i="12"/>
  <c r="P64" i="12" s="1"/>
  <c r="J53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J58" i="11"/>
  <c r="K58" i="11"/>
  <c r="L58" i="11" s="1"/>
  <c r="M58" i="11"/>
  <c r="N58" i="11" s="1"/>
  <c r="O58" i="11"/>
  <c r="P58" i="11" s="1"/>
  <c r="O63" i="8"/>
  <c r="P63" i="8" s="1"/>
  <c r="G71" i="7"/>
  <c r="H71" i="7" s="1"/>
  <c r="O51" i="8"/>
  <c r="G43" i="7"/>
  <c r="G71" i="8"/>
  <c r="H71" i="8" s="1"/>
  <c r="G44" i="7"/>
  <c r="H44" i="7" s="1"/>
  <c r="H70" i="11"/>
  <c r="G45" i="11"/>
  <c r="H45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J53" i="11"/>
  <c r="K53" i="11"/>
  <c r="L53" i="11" s="1"/>
  <c r="M53" i="11"/>
  <c r="N53" i="11" s="1"/>
  <c r="O53" i="11"/>
  <c r="P53" i="11" s="1"/>
  <c r="I43" i="12"/>
  <c r="K63" i="8"/>
  <c r="L63" i="8" s="1"/>
  <c r="K60" i="7"/>
  <c r="L60" i="7" s="1"/>
  <c r="K43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H43" i="12" s="1"/>
  <c r="O55" i="8"/>
  <c r="P55" i="8" s="1"/>
  <c r="I43" i="11"/>
  <c r="L69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J59" i="11"/>
  <c r="M59" i="11"/>
  <c r="N59" i="11" s="1"/>
  <c r="O59" i="11"/>
  <c r="P59" i="11" s="1"/>
  <c r="K59" i="11"/>
  <c r="L59" i="11" s="1"/>
  <c r="I45" i="14"/>
  <c r="J45" i="14" s="1"/>
  <c r="M55" i="8"/>
  <c r="N55" i="8" s="1"/>
  <c r="J69" i="11"/>
  <c r="J69" i="7"/>
  <c r="K71" i="11"/>
  <c r="L71" i="11" s="1"/>
  <c r="G44" i="8"/>
  <c r="H44" i="8" s="1"/>
  <c r="I44" i="11"/>
  <c r="J44" i="11" s="1"/>
  <c r="K43" i="8"/>
  <c r="K52" i="7"/>
  <c r="L52" i="7" s="1"/>
  <c r="H45" i="8"/>
  <c r="H69" i="7"/>
  <c r="I71" i="11"/>
  <c r="J71" i="11" s="1"/>
  <c r="K44" i="8"/>
  <c r="L44" i="8" s="1"/>
  <c r="O58" i="7"/>
  <c r="P58" i="7" s="1"/>
  <c r="K56" i="7"/>
  <c r="L56" i="7" s="1"/>
  <c r="M56" i="7"/>
  <c r="N56" i="7" s="1"/>
  <c r="O56" i="7"/>
  <c r="P56" i="7" s="1"/>
  <c r="J51" i="11"/>
  <c r="M51" i="11"/>
  <c r="O51" i="11"/>
  <c r="K51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1" i="11"/>
  <c r="H71" i="11" s="1"/>
  <c r="K44" i="7"/>
  <c r="L44" i="7" s="1"/>
  <c r="K45" i="11"/>
  <c r="L45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K57" i="11"/>
  <c r="L57" i="11" s="1"/>
  <c r="M57" i="11"/>
  <c r="N57" i="11" s="1"/>
  <c r="O57" i="11"/>
  <c r="P57" i="11" s="1"/>
  <c r="K61" i="7"/>
  <c r="L61" i="7" s="1"/>
  <c r="M61" i="7"/>
  <c r="N61" i="7" s="1"/>
  <c r="O61" i="7"/>
  <c r="P61" i="7" s="1"/>
  <c r="J60" i="11"/>
  <c r="K60" i="11"/>
  <c r="L60" i="11" s="1"/>
  <c r="M60" i="11"/>
  <c r="N60" i="11" s="1"/>
  <c r="O60" i="11"/>
  <c r="P60" i="11" s="1"/>
  <c r="I71" i="7"/>
  <c r="J71" i="7" s="1"/>
  <c r="I71" i="8"/>
  <c r="G71" i="10"/>
  <c r="H71" i="10" s="1"/>
  <c r="K71" i="10"/>
  <c r="L71" i="10" s="1"/>
  <c r="I71" i="10"/>
  <c r="J71" i="10" s="1"/>
  <c r="I43" i="10"/>
  <c r="J43" i="10" s="1"/>
  <c r="G43" i="10"/>
  <c r="G46" i="10" s="1"/>
  <c r="H46" i="10" s="1"/>
  <c r="K44" i="10"/>
  <c r="L44" i="10" s="1"/>
  <c r="I44" i="10"/>
  <c r="J44" i="10" s="1"/>
  <c r="F74" i="10"/>
  <c r="J69" i="10"/>
  <c r="H69" i="10"/>
  <c r="L69" i="10"/>
  <c r="J64" i="10"/>
  <c r="K64" i="10"/>
  <c r="L64" i="10" s="1"/>
  <c r="O64" i="10"/>
  <c r="P64" i="10" s="1"/>
  <c r="M64" i="10"/>
  <c r="N64" i="10" s="1"/>
  <c r="J62" i="10"/>
  <c r="K62" i="10"/>
  <c r="L62" i="10" s="1"/>
  <c r="O62" i="10"/>
  <c r="P62" i="10" s="1"/>
  <c r="M62" i="10"/>
  <c r="N62" i="10" s="1"/>
  <c r="K52" i="10"/>
  <c r="L52" i="10" s="1"/>
  <c r="O52" i="10"/>
  <c r="P52" i="10" s="1"/>
  <c r="M52" i="10"/>
  <c r="N52" i="10" s="1"/>
  <c r="J51" i="10"/>
  <c r="M51" i="10"/>
  <c r="N51" i="10" s="1"/>
  <c r="K51" i="10"/>
  <c r="L51" i="10" s="1"/>
  <c r="O51" i="10"/>
  <c r="P51" i="10" s="1"/>
  <c r="J60" i="10"/>
  <c r="K60" i="10"/>
  <c r="L60" i="10" s="1"/>
  <c r="O60" i="10"/>
  <c r="P60" i="10" s="1"/>
  <c r="M60" i="10"/>
  <c r="N60" i="10" s="1"/>
  <c r="J56" i="10"/>
  <c r="K56" i="10"/>
  <c r="L56" i="10" s="1"/>
  <c r="O56" i="10"/>
  <c r="P56" i="10" s="1"/>
  <c r="M56" i="10"/>
  <c r="N56" i="10" s="1"/>
  <c r="J54" i="10"/>
  <c r="M54" i="10"/>
  <c r="N54" i="10" s="1"/>
  <c r="K54" i="10"/>
  <c r="L54" i="10" s="1"/>
  <c r="O54" i="10"/>
  <c r="P54" i="10" s="1"/>
  <c r="H43" i="10"/>
  <c r="J57" i="10"/>
  <c r="M57" i="10"/>
  <c r="K57" i="10"/>
  <c r="O57" i="10"/>
  <c r="L43" i="10"/>
  <c r="H43" i="13"/>
  <c r="G46" i="13"/>
  <c r="H46" i="13" s="1"/>
  <c r="L43" i="12"/>
  <c r="K46" i="12"/>
  <c r="L46" i="12" s="1"/>
  <c r="H43" i="14"/>
  <c r="K43" i="13"/>
  <c r="J69" i="13"/>
  <c r="M63" i="13"/>
  <c r="N63" i="13" s="1"/>
  <c r="O63" i="13"/>
  <c r="P63" i="13" s="1"/>
  <c r="K63" i="13"/>
  <c r="L63" i="13" s="1"/>
  <c r="L69" i="13"/>
  <c r="G45" i="14"/>
  <c r="H45" i="14" s="1"/>
  <c r="H69" i="14"/>
  <c r="I43" i="13"/>
  <c r="G74" i="12"/>
  <c r="H74" i="12" s="1"/>
  <c r="H69" i="12"/>
  <c r="L69" i="14"/>
  <c r="I71" i="13"/>
  <c r="J71" i="13" s="1"/>
  <c r="J54" i="12"/>
  <c r="K54" i="12"/>
  <c r="L54" i="12" s="1"/>
  <c r="M54" i="12"/>
  <c r="N54" i="12" s="1"/>
  <c r="O54" i="12"/>
  <c r="P54" i="12" s="1"/>
  <c r="J43" i="12"/>
  <c r="J62" i="13"/>
  <c r="K62" i="13"/>
  <c r="L62" i="13" s="1"/>
  <c r="M62" i="13"/>
  <c r="N62" i="13" s="1"/>
  <c r="O62" i="13"/>
  <c r="P62" i="13" s="1"/>
  <c r="L69" i="12"/>
  <c r="J69" i="14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I74" i="10" l="1"/>
  <c r="J74" i="10" s="1"/>
  <c r="I74" i="9"/>
  <c r="J74" i="9" s="1"/>
  <c r="I74" i="11"/>
  <c r="J74" i="11" s="1"/>
  <c r="G46" i="8"/>
  <c r="H46" i="8" s="1"/>
  <c r="K74" i="14"/>
  <c r="L74" i="14" s="1"/>
  <c r="K74" i="7"/>
  <c r="L74" i="7" s="1"/>
  <c r="G46" i="12"/>
  <c r="H46" i="12" s="1"/>
  <c r="G74" i="14"/>
  <c r="H74" i="14" s="1"/>
  <c r="K46" i="10"/>
  <c r="L46" i="10" s="1"/>
  <c r="I74" i="7"/>
  <c r="J74" i="7" s="1"/>
  <c r="K74" i="12"/>
  <c r="L74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K65" i="11"/>
  <c r="L65" i="11" s="1"/>
  <c r="L51" i="11"/>
  <c r="K46" i="11"/>
  <c r="L46" i="11" s="1"/>
  <c r="L43" i="11"/>
  <c r="L51" i="7"/>
  <c r="O65" i="11"/>
  <c r="P65" i="11" s="1"/>
  <c r="P51" i="11"/>
  <c r="N53" i="7"/>
  <c r="O52" i="8"/>
  <c r="P52" i="8" s="1"/>
  <c r="G46" i="11"/>
  <c r="H46" i="11" s="1"/>
  <c r="I74" i="12"/>
  <c r="J74" i="12" s="1"/>
  <c r="M65" i="12"/>
  <c r="N65" i="12" s="1"/>
  <c r="M65" i="11"/>
  <c r="N65" i="11" s="1"/>
  <c r="N51" i="11"/>
  <c r="K46" i="8"/>
  <c r="L46" i="8" s="1"/>
  <c r="L43" i="8"/>
  <c r="P54" i="7"/>
  <c r="M52" i="8"/>
  <c r="G74" i="11"/>
  <c r="H74" i="11" s="1"/>
  <c r="G46" i="14"/>
  <c r="H46" i="14" s="1"/>
  <c r="I46" i="8"/>
  <c r="J46" i="8" s="1"/>
  <c r="J43" i="8"/>
  <c r="K74" i="11"/>
  <c r="L74" i="11" s="1"/>
  <c r="K52" i="8"/>
  <c r="J65" i="10"/>
  <c r="I74" i="14"/>
  <c r="J74" i="14" s="1"/>
  <c r="I46" i="12"/>
  <c r="J46" i="12" s="1"/>
  <c r="K55" i="7"/>
  <c r="L55" i="7" s="1"/>
  <c r="I46" i="11"/>
  <c r="J46" i="11" s="1"/>
  <c r="J43" i="11"/>
  <c r="G74" i="10"/>
  <c r="H74" i="10" s="1"/>
  <c r="O55" i="7"/>
  <c r="P55" i="7" s="1"/>
  <c r="K74" i="8"/>
  <c r="L74" i="8" s="1"/>
  <c r="G46" i="7"/>
  <c r="H46" i="7" s="1"/>
  <c r="H43" i="7"/>
  <c r="K74" i="10"/>
  <c r="L74" i="10" s="1"/>
  <c r="I46" i="10"/>
  <c r="J46" i="10" s="1"/>
  <c r="O65" i="10"/>
  <c r="P65" i="10" s="1"/>
  <c r="P57" i="10"/>
  <c r="M65" i="10"/>
  <c r="N65" i="10" s="1"/>
  <c r="N57" i="10"/>
  <c r="K65" i="10"/>
  <c r="L65" i="10" s="1"/>
  <c r="L57" i="10"/>
  <c r="I46" i="9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H68" i="4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I74" i="6" l="1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<sst xmlns="http://schemas.openxmlformats.org/spreadsheetml/2006/main" count="1903" uniqueCount="200">
  <si>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</si>
  <si>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</si>
  <si>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</si>
  <si>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</si>
  <si>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</si>
  <si>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</si>
  <si>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</si>
  <si>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</si>
  <si>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</si>
  <si>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</si>
  <si>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</si>
  <si>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</si>
  <si>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</si>
  <si>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</si>
  <si>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</si>
  <si>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</si>
  <si>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</si>
  <si>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</si>
  <si>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</si>
  <si>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</si>
  <si>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</si>
  <si>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</si>
  <si>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</si>
  <si>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</si>
  <si>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</si>
  <si>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</si>
  <si>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</si>
  <si>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</si>
  <si>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</si>
  <si>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</si>
  <si>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</si>
  <si>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</si>
  <si>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</si>
  <si>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</si>
  <si>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</si>
  <si>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</si>
  <si>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</si>
  <si>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</si>
  <si>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</si>
  <si>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</si>
  <si>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</si>
  <si>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</si>
  <si>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</si>
  <si>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</si>
  <si>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</si>
  <si>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</si>
  <si>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</si>
  <si>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</si>
  <si>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</si>
  <si>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</si>
  <si>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</si>
  <si>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</si>
  <si>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</si>
  <si>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</si>
  <si>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</si>
  <si>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</si>
  <si>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</si>
  <si>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</si>
  <si>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</si>
  <si>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</si>
  <si>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</si>
  <si>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</si>
  <si>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</si>
  <si>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</si>
  <si>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</si>
  <si>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</si>
  <si>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</si>
  <si>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</si>
  <si>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</si>
  <si>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</si>
  <si>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</si>
  <si>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</si>
  <si>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</si>
  <si>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</si>
  <si>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</si>
  <si>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</si>
  <si>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</si>
  <si>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</si>
  <si>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</si>
  <si>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</si>
  <si>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</si>
  <si>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</si>
  <si>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</si>
  <si>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</si>
  <si>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</si>
  <si>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</si>
  <si>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</si>
  <si>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</si>
  <si>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</si>
  <si>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</si>
  <si>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</si>
  <si>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</si>
  <si>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</si>
  <si>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</si>
  <si>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</si>
  <si>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</si>
  <si>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</si>
  <si>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</si>
  <si>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</si>
  <si>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</si>
  <si>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</si>
  <si>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</si>
  <si>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</si>
  <si>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</si>
  <si>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</si>
  <si>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</si>
  <si>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</si>
  <si>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</si>
  <si>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</si>
  <si>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</si>
  <si>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</si>
  <si>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</si>
  <si>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</si>
  <si>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</si>
  <si>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</si>
  <si>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</si>
  <si>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</si>
  <si>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</si>
  <si>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</si>
  <si>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</si>
  <si>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</si>
  <si>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</si>
  <si>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</si>
  <si>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</si>
  <si>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</si>
  <si>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</si>
  <si>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</si>
  <si>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</si>
  <si>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</si>
  <si>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</si>
  <si>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</si>
  <si>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</si>
  <si>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</si>
  <si>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</si>
  <si>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</si>
  <si>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</si>
  <si>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</si>
  <si>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</si>
  <si>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</si>
  <si>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</si>
  <si>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</si>
  <si>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</si>
  <si>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</si>
  <si>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</si>
  <si>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</si>
  <si>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</si>
  <si>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</si>
  <si>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</si>
  <si>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</si>
  <si>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</si>
  <si>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</si>
  <si>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</si>
  <si>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</si>
  <si>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</si>
  <si>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</si>
  <si>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</si>
  <si>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</si>
  <si>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</si>
  <si>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</si>
  <si>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</si>
  <si>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</si>
  <si>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</si>
  <si>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</si>
  <si>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</si>
  <si>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</si>
  <si>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</si>
  <si>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</si>
  <si>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</si>
  <si>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</si>
  <si>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</si>
  <si>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</si>
  <si>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</si>
  <si>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</si>
  <si>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</si>
  <si>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</si>
  <si>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</si>
  <si>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</si>
  <si>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</si>
  <si>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</si>
  <si>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</si>
  <si>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</si>
  <si>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</si>
  <si>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</si>
  <si>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</si>
  <si>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</si>
  <si>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</si>
  <si>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</si>
  <si>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</si>
  <si>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</si>
  <si>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</si>
  <si>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</si>
  <si>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</si>
  <si>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</si>
  <si>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</si>
  <si>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</si>
  <si>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</si>
  <si>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</si>
  <si>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</si>
  <si>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</si>
  <si>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DATA PENCAPAIAN — GLOBAL — 12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</si>
</sst>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85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A29"/>
  <sheetViews>
    <sheetView showGridLines="0" topLeftCell="F4" zoomScale="110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12.85546875" bestFit="1" customWidth="1"/>
    <col min="19" max="19" width="11.2851562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42" t="s">
        <v>28</v>
      </c>
      <c r="C3" s="242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505234708.40059847</v>
      </c>
      <c r="S5" s="7">
        <v>60640123.605248079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671454691.1268847</v>
      </c>
      <c r="S6" s="7">
        <v>165576502.41228893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174</v>
      </c>
      <c r="C7" s="138" t="s">
        <v>175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>
        <v>262953105.06301075</v>
      </c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742384808.84903777</v>
      </c>
      <c r="S8" s="7">
        <v>35794312.055859983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183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496309709.75250041</v>
      </c>
      <c r="S9" s="7">
        <v>54597557.63085559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519189534.27822161</v>
      </c>
      <c r="S10" s="7">
        <v>107263766.34102874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1075242934.3238537</v>
      </c>
      <c r="S11" s="7">
        <v>85448443.319925025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577111702.00922382</v>
      </c>
      <c r="S12" s="7">
        <v>88976480.286837116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174</v>
      </c>
      <c r="C13" s="138" t="s">
        <v>176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>
        <v>443846715.57642001</v>
      </c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528718642.70198309</v>
      </c>
      <c r="S14" s="7">
        <v>101974877.61343271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712842707.51473606</v>
      </c>
      <c r="S15" s="7">
        <v>55257406.157477453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495867895.49250114</v>
      </c>
      <c r="S16" s="7">
        <v>32662674.187332422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720052460.26793551</v>
      </c>
      <c r="S17" s="7">
        <v>310428849.14490294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392599628.84267223</v>
      </c>
      <c r="S18" s="7">
        <v>195822004.71075061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233" t="s">
        <v>194</v>
      </c>
      <c r="H1" s="86"/>
      <c r="I1" s="86"/>
      <c r="J1" s="86"/>
      <c r="K1" s="86"/>
      <c r="L1" s="86"/>
      <c r="M1" s="86"/>
      <c r="N1" s="86"/>
    </row>
    <row r="2" spans="2:17" x14ac:dyDescent="0.25">
      <c r="G2" s="234" t="s">
        <v>195</v>
      </c>
      <c r="J2" s="235">
        <f ca="1">E3</f>
        <v>31</v>
      </c>
    </row>
    <row r="3" spans="2:17" ht="15.75" x14ac:dyDescent="0.25">
      <c r="B3" s="77" t="s">
        <v>103</v>
      </c>
      <c r="C3" s="78">
        <f ca="1">IF($J$5&lt;&gt;"",$J$5,MAX(0,NETWORKDAYS.INTL(MAX(TODAY(),DATE(YEAR(TODAY()),1,1)),EOMONTH(DATE(YEAR(TODAY()),1,1),0),11)-MAX(0,$J$3-$J$4)))</f>
        <v>0</v>
      </c>
      <c r="D3" s="79" t="s">
        <v>104</v>
      </c>
      <c r="E3" s="80">
        <f ca="1">DAY(EOMONTH(DATE(YEAR(TODAY()),1,1),0))</f>
        <v>31</v>
      </c>
      <c r="G3" s="234" t="s">
        <v>196</v>
      </c>
      <c r="J3" s="236">
        <v>0</v>
      </c>
    </row>
    <row r="4" spans="2:17" x14ac:dyDescent="0.25">
      <c r="G4" s="234" t="s">
        <v>197</v>
      </c>
      <c r="J4" s="236">
        <v>0</v>
      </c>
    </row>
    <row r="5" spans="2:17" x14ac:dyDescent="0.25">
      <c r="G5" s="234" t="s">
        <v>198</v>
      </c>
      <c r="J5" s="236"/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6" t="s">
        <v>146</v>
      </c>
      <c r="C44" s="247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8" t="s">
        <v>41</v>
      </c>
      <c r="C47" s="248" t="s">
        <v>42</v>
      </c>
      <c r="D47" s="249" t="s">
        <v>138</v>
      </c>
      <c r="E47" s="250"/>
      <c r="F47" s="251"/>
      <c r="G47" s="101" t="s">
        <v>139</v>
      </c>
      <c r="H47" s="101"/>
      <c r="I47" s="101"/>
      <c r="J47" s="248" t="s">
        <v>140</v>
      </c>
      <c r="K47" s="102" t="s">
        <v>148</v>
      </c>
      <c r="L47" s="102"/>
      <c r="M47" s="102"/>
      <c r="N47" s="245" t="s">
        <v>149</v>
      </c>
    </row>
    <row r="48" spans="2:14" ht="15.75" x14ac:dyDescent="0.25">
      <c r="B48" s="248"/>
      <c r="C48" s="248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8"/>
      <c r="K48" s="104" t="s">
        <v>143</v>
      </c>
      <c r="L48" s="104" t="s">
        <v>111</v>
      </c>
      <c r="M48" s="104" t="s">
        <v>146</v>
      </c>
      <c r="N48" s="245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233" t="s">
        <v>194</v>
      </c>
      <c r="H1" s="86"/>
      <c r="I1" s="86"/>
      <c r="J1" s="86"/>
      <c r="K1" s="86"/>
      <c r="L1" s="86"/>
      <c r="M1" s="86"/>
      <c r="N1" s="86"/>
    </row>
    <row r="2" spans="2:17" x14ac:dyDescent="0.25">
      <c r="G2" s="234" t="s">
        <v>195</v>
      </c>
      <c r="J2" s="235">
        <f ca="1">E3</f>
        <v>28</v>
      </c>
    </row>
    <row r="3" spans="2:17" ht="15.75" x14ac:dyDescent="0.25">
      <c r="B3" s="77" t="s">
        <v>103</v>
      </c>
      <c r="C3" s="78">
        <f ca="1">IF($J$5&lt;&gt;"",$J$5,MAX(0,NETWORKDAYS.INTL(MAX(TODAY(),DATE(YEAR(TODAY()),2,1)),EOMONTH(DATE(YEAR(TODAY()),2,1),0),11)-MAX(0,$J$3-$J$4)))</f>
        <v>0</v>
      </c>
      <c r="D3" s="79" t="s">
        <v>104</v>
      </c>
      <c r="E3" s="80">
        <f ca="1">DAY(EOMONTH(DATE(YEAR(TODAY()),2,1),0))</f>
        <v>28</v>
      </c>
      <c r="G3" s="234" t="s">
        <v>196</v>
      </c>
      <c r="J3" s="236">
        <v>0</v>
      </c>
    </row>
    <row r="4" spans="2:17" x14ac:dyDescent="0.25">
      <c r="G4" s="234" t="s">
        <v>197</v>
      </c>
      <c r="J4" s="236">
        <v>0</v>
      </c>
    </row>
    <row r="5" spans="2:17" x14ac:dyDescent="0.25">
      <c r="G5" s="234" t="s">
        <v>198</v>
      </c>
      <c r="J5" s="236"/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6" t="s">
        <v>146</v>
      </c>
      <c r="C44" s="247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8" t="s">
        <v>41</v>
      </c>
      <c r="C47" s="248" t="s">
        <v>42</v>
      </c>
      <c r="D47" s="249" t="s">
        <v>138</v>
      </c>
      <c r="E47" s="250"/>
      <c r="F47" s="251"/>
      <c r="G47" s="101" t="s">
        <v>139</v>
      </c>
      <c r="H47" s="101"/>
      <c r="I47" s="101"/>
      <c r="J47" s="248" t="s">
        <v>140</v>
      </c>
      <c r="K47" s="102" t="s">
        <v>148</v>
      </c>
      <c r="L47" s="102"/>
      <c r="M47" s="102"/>
      <c r="N47" s="245" t="s">
        <v>149</v>
      </c>
    </row>
    <row r="48" spans="2:14" ht="15.75" x14ac:dyDescent="0.25">
      <c r="B48" s="248"/>
      <c r="C48" s="248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8"/>
      <c r="K48" s="104" t="s">
        <v>143</v>
      </c>
      <c r="L48" s="104" t="s">
        <v>111</v>
      </c>
      <c r="M48" s="104" t="s">
        <v>146</v>
      </c>
      <c r="N48" s="245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37" t="s">
        <v>194</v>
      </c>
      <c r="H1" s="21"/>
      <c r="I1" s="21"/>
      <c r="J1" s="21"/>
      <c r="K1" s="21"/>
      <c r="L1" s="21"/>
      <c r="M1" s="21"/>
      <c r="N1" s="21"/>
    </row>
    <row r="2" spans="2:17" x14ac:dyDescent="0.25">
      <c r="G2" s="234" t="s">
        <v>195</v>
      </c>
      <c r="J2" s="235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34" t="s">
        <v>196</v>
      </c>
      <c r="J3" s="236">
        <v>0</v>
      </c>
    </row>
    <row r="4" spans="2:17" x14ac:dyDescent="0.25">
      <c r="G4" s="234" t="s">
        <v>197</v>
      </c>
      <c r="J4" s="236">
        <v>0</v>
      </c>
    </row>
    <row r="5" spans="2:17" x14ac:dyDescent="0.25">
      <c r="G5" s="234" t="s">
        <v>198</v>
      </c>
      <c r="J5" s="236"/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168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167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167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146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138</v>
      </c>
      <c r="E47" s="254"/>
      <c r="F47" s="255"/>
      <c r="G47" s="70" t="s">
        <v>139</v>
      </c>
      <c r="H47" s="70"/>
      <c r="I47" s="70"/>
      <c r="J47" s="258" t="s">
        <v>140</v>
      </c>
      <c r="K47" s="35" t="s">
        <v>148</v>
      </c>
      <c r="L47" s="35"/>
      <c r="M47" s="35"/>
      <c r="N47" s="252" t="s">
        <v>149</v>
      </c>
    </row>
    <row r="48" spans="2:17" ht="15.75" x14ac:dyDescent="0.25">
      <c r="B48" s="258"/>
      <c r="C48" s="258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8"/>
      <c r="K48" s="34" t="s">
        <v>143</v>
      </c>
      <c r="L48" s="34" t="s">
        <v>111</v>
      </c>
      <c r="M48" s="34" t="s">
        <v>146</v>
      </c>
      <c r="N48" s="252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IF($J$5&lt;&gt;"",$J$5,MAX(0,NETWORKDAYS.INTL(MAX(TODAY(),DATE(YEAR(TODAY()),4,1)),EOMONTH(DATE(YEAR(TODAY()),4,1),0),11)-MAX(0,$J$3-$J$4)))</f>
        <v>0</v>
      </c>
      <c r="D3" s="79" t="s">
        <v>104</v>
      </c>
      <c r="E3" s="80">
        <f ca="1">DAY(EOMONTH(DATE(YEAR(TODAY()),4,1),0))</f>
        <v>30</v>
      </c>
      <c r="G3" s="239" t="s">
        <v>196</v>
      </c>
      <c r="J3" s="236">
        <v>0</v>
      </c>
    </row>
    <row r="4" spans="2:14" x14ac:dyDescent="0.25">
      <c r="G4" s="239" t="s">
        <v>197</v>
      </c>
      <c r="J4" s="236">
        <v>0</v>
      </c>
    </row>
    <row r="5" spans="2:14" x14ac:dyDescent="0.25">
      <c r="G5" s="239" t="s">
        <v>198</v>
      </c>
      <c r="J5" s="236"/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167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167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167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167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171</v>
      </c>
      <c r="C22" s="15">
        <v>38884328.600000001</v>
      </c>
      <c r="D22" s="15" t="s">
        <v>167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172</v>
      </c>
      <c r="C23" s="15">
        <v>120550492.72</v>
      </c>
      <c r="D23" s="15" t="s">
        <v>167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167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187</v>
      </c>
    </row>
    <row r="41" spans="2:19" ht="27.95" customHeight="1" x14ac:dyDescent="0.25">
      <c r="B41" s="268" t="s">
        <v>180</v>
      </c>
      <c r="C41" s="269"/>
      <c r="D41" s="270"/>
      <c r="E41" s="67" t="s">
        <v>138</v>
      </c>
      <c r="F41" s="185"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56" t="s">
        <v>146</v>
      </c>
      <c r="C46" s="257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71" t="s">
        <v>147</v>
      </c>
      <c r="C48" s="272"/>
      <c r="D48" s="272"/>
      <c r="E48" s="272"/>
      <c r="F48" s="272"/>
      <c r="G48" s="272"/>
      <c r="H48" s="272"/>
      <c r="I48" s="272"/>
      <c r="J48" s="272"/>
      <c r="K48" s="259" t="s">
        <v>188</v>
      </c>
      <c r="L48" s="260"/>
      <c r="M48" s="260"/>
      <c r="N48" s="260"/>
      <c r="O48" s="260"/>
      <c r="P48" s="261"/>
      <c r="Q48"/>
      <c r="R48"/>
    </row>
    <row r="49" spans="2:18" s="148" customFormat="1" ht="33.950000000000003" customHeight="1" x14ac:dyDescent="0.25">
      <c r="B49" s="276" t="s">
        <v>41</v>
      </c>
      <c r="C49" s="276" t="s">
        <v>42</v>
      </c>
      <c r="D49" s="273" t="s">
        <v>138</v>
      </c>
      <c r="E49" s="274"/>
      <c r="F49" s="275"/>
      <c r="G49" s="149" t="s">
        <v>139</v>
      </c>
      <c r="H49" s="149"/>
      <c r="I49" s="149"/>
      <c r="J49" s="273" t="s">
        <v>140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66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76"/>
      <c r="C50" s="276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73"/>
      <c r="K50" s="263"/>
      <c r="L50" s="263"/>
      <c r="M50" s="265"/>
      <c r="N50" s="202"/>
      <c r="O50" s="196"/>
      <c r="P50" s="267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174</v>
      </c>
      <c r="C53" s="164" t="s">
        <v>175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174</v>
      </c>
      <c r="C59" s="164" t="s">
        <v>176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71" t="s">
        <v>145</v>
      </c>
      <c r="C67" s="272"/>
      <c r="D67" s="272"/>
      <c r="E67" s="272"/>
      <c r="F67" s="272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173</v>
      </c>
      <c r="C77" s="128"/>
      <c r="D77" s="129"/>
      <c r="G77"/>
      <c r="H77"/>
      <c r="I77"/>
    </row>
    <row r="78" spans="1:19" ht="20.100000000000001" customHeight="1" x14ac:dyDescent="0.25">
      <c r="B78" s="258" t="s">
        <v>41</v>
      </c>
      <c r="C78" s="258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8"/>
      <c r="C79" s="258"/>
      <c r="D79" s="71" t="s">
        <v>170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174</v>
      </c>
      <c r="C82" s="162" t="s">
        <v>175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174</v>
      </c>
      <c r="C88" s="162" t="s">
        <v>176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41:D41"/>
    <mergeCell ref="B48:J48"/>
    <mergeCell ref="B67:F67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IF($J$5&lt;&gt;"",$J$5,MAX(0,NETWORKDAYS.INTL(MAX(TODAY(),DATE(YEAR(TODAY()),5,1)),EOMONTH(DATE(YEAR(TODAY()),5,1),0),11)-MAX(0,$J$3-$J$4)))</f>
        <v>0</v>
      </c>
      <c r="D3" s="79" t="s">
        <v>104</v>
      </c>
      <c r="E3" s="80">
        <f ca="1">DAY(EOMONTH(DATE(YEAR(TODAY()),5,1),0))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167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171</v>
      </c>
      <c r="C22" s="15">
        <v>197567845.80000001</v>
      </c>
      <c r="D22" s="15" t="s">
        <v>167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172</v>
      </c>
      <c r="C23" s="15">
        <v>300521523.82997501</v>
      </c>
      <c r="D23" s="15" t="s">
        <v>167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79" t="s">
        <v>181</v>
      </c>
      <c r="C41" s="280"/>
      <c r="D41" s="281"/>
      <c r="E41" s="67" t="s">
        <v>138</v>
      </c>
      <c r="F41" s="185">
        <v>0.97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0</v>
      </c>
      <c r="I43" s="218">
        <f>D43*$J$41-E43</f>
        <v>290830113.6116066</v>
      </c>
      <c r="J43" s="218">
        <f ca="1">IFERROR(I43/$C$3,0)</f>
        <v>0</v>
      </c>
      <c r="K43" s="198">
        <f>D43*$L$41-E43</f>
        <v>632794080.21160698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0</v>
      </c>
      <c r="I44" s="218">
        <f>D44*$J$41-E44</f>
        <v>481824088.50567269</v>
      </c>
      <c r="J44" s="218">
        <f ca="1">IFERROR(I44/$C$3,0)</f>
        <v>0</v>
      </c>
      <c r="K44" s="198">
        <f>D44*$L$41-E44</f>
        <v>555587329.71669078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0</v>
      </c>
      <c r="I45" s="218">
        <f>D45*$J$41-E45</f>
        <v>20623578.569499731</v>
      </c>
      <c r="J45" s="218">
        <f ca="1">IFERROR(I45/$C$3,0)</f>
        <v>0</v>
      </c>
      <c r="K45" s="198">
        <f>D45*$L$41-E45</f>
        <v>109772514.73971272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56" t="s">
        <v>146</v>
      </c>
      <c r="C46" s="257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0</v>
      </c>
      <c r="I46" s="199">
        <f>I43+I44+I45</f>
        <v>793277780.68677902</v>
      </c>
      <c r="J46" s="199">
        <f ca="1">IFERROR(I46/$C$3,0)</f>
        <v>0</v>
      </c>
      <c r="K46" s="199">
        <f>K43+K44+K45</f>
        <v>1298153924.6680105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71" t="s">
        <v>147</v>
      </c>
      <c r="C48" s="272"/>
      <c r="D48" s="272"/>
      <c r="E48" s="272"/>
      <c r="F48" s="272"/>
      <c r="G48" s="272"/>
      <c r="H48" s="272"/>
      <c r="I48" s="272"/>
      <c r="J48" s="272"/>
      <c r="K48" s="259" t="s">
        <v>188</v>
      </c>
      <c r="L48" s="260"/>
      <c r="M48" s="260"/>
      <c r="N48" s="260"/>
      <c r="O48" s="260"/>
      <c r="P48" s="261"/>
    </row>
    <row r="49" spans="2:16" ht="33.950000000000003" customHeight="1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64" t="str">
        <f>"PER HARI"&amp;CHAR(10)&amp;TEXT($J$41,"0%")</f>
        <v>PER HARI
95%</v>
      </c>
      <c r="O49" s="266" t="str">
        <f>"SELISIH"&amp;CHAR(10)&amp;TEXT($L$41,"0%")</f>
        <v>SELISIH
100%</v>
      </c>
      <c r="P49" s="266" t="str">
        <f>"PER HARI"&amp;CHAR(10)&amp;TEXT($L$41,"0%")</f>
        <v>PER HARI
100%</v>
      </c>
    </row>
    <row r="50" spans="2:16" ht="22.5" customHeight="1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63"/>
      <c r="L50" s="263"/>
      <c r="M50" s="265"/>
      <c r="N50" s="265"/>
      <c r="O50" s="267"/>
      <c r="P50" s="267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0</v>
      </c>
      <c r="M51" s="193">
        <f t="shared" ref="M51:M64" si="5">F51*$J$41-I51</f>
        <v>127696429.36553055</v>
      </c>
      <c r="N51" s="193">
        <f t="shared" ref="N51:N65" ca="1" si="6">IFERROR(M51/$C$3,0)</f>
        <v>0</v>
      </c>
      <c r="O51" s="198">
        <f t="shared" ref="O51:O64" si="7">F51*$L$41-I51</f>
        <v>151944123.3265633</v>
      </c>
      <c r="P51" s="198">
        <f t="shared" ref="P51:P65" ca="1" si="8">IFERROR(O51/$C$3,0)</f>
        <v>0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0</v>
      </c>
      <c r="M52" s="193">
        <f t="shared" si="5"/>
        <v>98613177.237269998</v>
      </c>
      <c r="N52" s="193">
        <f t="shared" ca="1" si="6"/>
        <v>0</v>
      </c>
      <c r="O52" s="198">
        <f t="shared" si="7"/>
        <v>135949634.98727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0</v>
      </c>
      <c r="M53" s="193">
        <f t="shared" si="5"/>
        <v>31831758.799999982</v>
      </c>
      <c r="N53" s="193">
        <f t="shared" ca="1" si="6"/>
        <v>0</v>
      </c>
      <c r="O53" s="198">
        <f t="shared" si="7"/>
        <v>43905422.199999988</v>
      </c>
      <c r="P53" s="198">
        <f t="shared" ca="1" si="8"/>
        <v>0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0</v>
      </c>
      <c r="M54" s="193">
        <f t="shared" si="5"/>
        <v>-73228422.42689395</v>
      </c>
      <c r="N54" s="193">
        <f t="shared" ca="1" si="6"/>
        <v>0</v>
      </c>
      <c r="O54" s="198">
        <f t="shared" si="7"/>
        <v>-40348707.486027122</v>
      </c>
      <c r="P54" s="198">
        <f t="shared" ca="1" si="8"/>
        <v>0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0</v>
      </c>
      <c r="M55" s="193">
        <f t="shared" si="5"/>
        <v>106397747.65194988</v>
      </c>
      <c r="N55" s="193">
        <f t="shared" ca="1" si="6"/>
        <v>0</v>
      </c>
      <c r="O55" s="198">
        <f t="shared" si="7"/>
        <v>130794377.61152613</v>
      </c>
      <c r="P55" s="198">
        <f t="shared" ca="1" si="8"/>
        <v>0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0</v>
      </c>
      <c r="M56" s="193">
        <f t="shared" si="5"/>
        <v>52929593.148810923</v>
      </c>
      <c r="N56" s="193">
        <f t="shared" ca="1" si="6"/>
        <v>0</v>
      </c>
      <c r="O56" s="198">
        <f t="shared" si="7"/>
        <v>80687504.454943657</v>
      </c>
      <c r="P56" s="198">
        <f t="shared" ca="1" si="8"/>
        <v>0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0</v>
      </c>
      <c r="M57" s="193">
        <f t="shared" si="5"/>
        <v>-77801481.735697389</v>
      </c>
      <c r="N57" s="193">
        <f t="shared" ca="1" si="6"/>
        <v>0</v>
      </c>
      <c r="O57" s="198">
        <f t="shared" si="7"/>
        <v>-25117135.668739557</v>
      </c>
      <c r="P57" s="198">
        <f t="shared" ca="1" si="8"/>
        <v>0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0</v>
      </c>
      <c r="M58" s="193">
        <f t="shared" si="5"/>
        <v>82361005.085290074</v>
      </c>
      <c r="N58" s="193">
        <f t="shared" ca="1" si="6"/>
        <v>0</v>
      </c>
      <c r="O58" s="198">
        <f t="shared" si="7"/>
        <v>110814428.23529005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0</v>
      </c>
      <c r="M59" s="193">
        <f t="shared" si="5"/>
        <v>83405456.970024943</v>
      </c>
      <c r="N59" s="193">
        <f t="shared" ca="1" si="6"/>
        <v>0</v>
      </c>
      <c r="O59" s="198">
        <f t="shared" si="7"/>
        <v>103612140.17002499</v>
      </c>
      <c r="P59" s="198">
        <f t="shared" ca="1" si="8"/>
        <v>0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0</v>
      </c>
      <c r="M60" s="193">
        <f t="shared" si="5"/>
        <v>48487862.696380615</v>
      </c>
      <c r="N60" s="193">
        <f t="shared" ca="1" si="6"/>
        <v>0</v>
      </c>
      <c r="O60" s="198">
        <f t="shared" si="7"/>
        <v>75611947.657280385</v>
      </c>
      <c r="P60" s="198">
        <f t="shared" ca="1" si="8"/>
        <v>0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0</v>
      </c>
      <c r="M61" s="193">
        <f t="shared" si="5"/>
        <v>142717597.57534701</v>
      </c>
      <c r="N61" s="193">
        <f t="shared" ca="1" si="6"/>
        <v>0</v>
      </c>
      <c r="O61" s="198">
        <f t="shared" si="7"/>
        <v>177236157.40587825</v>
      </c>
      <c r="P61" s="198">
        <f t="shared" ca="1" si="8"/>
        <v>0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0</v>
      </c>
      <c r="M62" s="193">
        <f t="shared" si="5"/>
        <v>95858969.272182167</v>
      </c>
      <c r="N62" s="193">
        <f t="shared" ca="1" si="6"/>
        <v>0</v>
      </c>
      <c r="O62" s="198">
        <f t="shared" si="7"/>
        <v>118374328.16217285</v>
      </c>
      <c r="P62" s="198">
        <f t="shared" ca="1" si="8"/>
        <v>0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0</v>
      </c>
      <c r="M63" s="193">
        <f t="shared" si="5"/>
        <v>-11052211.386640549</v>
      </c>
      <c r="N63" s="193">
        <f t="shared" ca="1" si="6"/>
        <v>0</v>
      </c>
      <c r="O63" s="198">
        <f t="shared" si="7"/>
        <v>34605682.96299541</v>
      </c>
      <c r="P63" s="198">
        <f t="shared" ca="1" si="8"/>
        <v>0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0</v>
      </c>
      <c r="M64" s="193">
        <f t="shared" si="5"/>
        <v>64436719.86372602</v>
      </c>
      <c r="N64" s="193">
        <f t="shared" ca="1" si="6"/>
        <v>0</v>
      </c>
      <c r="O64" s="198">
        <f t="shared" si="7"/>
        <v>90311505.909120381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0</v>
      </c>
      <c r="M65" s="194">
        <f>SUM(M51:M64)</f>
        <v>772654202.11728036</v>
      </c>
      <c r="N65" s="194">
        <f t="shared" ca="1" si="6"/>
        <v>0</v>
      </c>
      <c r="O65" s="199">
        <f>SUM(O51:O64)</f>
        <v>1188381409.9282987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7" t="s">
        <v>145</v>
      </c>
      <c r="C67" s="278"/>
      <c r="D67" s="278"/>
      <c r="E67" s="278"/>
      <c r="F67" s="278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0</v>
      </c>
      <c r="I69" s="218">
        <f>D69*$J$41-E69</f>
        <v>-27266208.811482966</v>
      </c>
      <c r="J69" s="218">
        <f t="shared" ref="J69:J74" ca="1" si="14">IFERROR(I69/$C$3,0)</f>
        <v>0</v>
      </c>
      <c r="K69" s="198">
        <f>D69*$L$41-E69</f>
        <v>-13362977.916272461</v>
      </c>
      <c r="L69" s="198">
        <f t="shared" ref="L69:L74" ca="1" si="15">IFERROR(K69/$C$3,0)</f>
        <v>0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0</v>
      </c>
      <c r="I70" s="218">
        <f>D70*$J$41-E70</f>
        <v>-39410410.397208512</v>
      </c>
      <c r="J70" s="218">
        <f t="shared" ca="1" si="14"/>
        <v>0</v>
      </c>
      <c r="K70" s="198">
        <f>D70*$L$41-E70</f>
        <v>-18529482.737882435</v>
      </c>
      <c r="L70" s="198">
        <f t="shared" ca="1" si="15"/>
        <v>0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0</v>
      </c>
      <c r="I71" s="218">
        <f>D71*$J$41-E71</f>
        <v>87300197.778191447</v>
      </c>
      <c r="J71" s="218">
        <f t="shared" ca="1" si="14"/>
        <v>0</v>
      </c>
      <c r="K71" s="198">
        <f>D71*$L$41-E71</f>
        <v>141664975.39386773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0</v>
      </c>
      <c r="I74" s="199">
        <f>SUM(I69:I73)</f>
        <v>20623578.569499969</v>
      </c>
      <c r="J74" s="199">
        <f t="shared" ca="1" si="14"/>
        <v>0</v>
      </c>
      <c r="K74" s="199">
        <f>SUM(K69:K73)</f>
        <v>109772514.73971283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8.75" customHeight="1" x14ac:dyDescent="0.25">
      <c r="B78" s="258" t="s">
        <v>41</v>
      </c>
      <c r="C78" s="258" t="s">
        <v>42</v>
      </c>
      <c r="D78" s="126" t="s">
        <v>139</v>
      </c>
    </row>
    <row r="79" spans="2:16" ht="18" customHeight="1" x14ac:dyDescent="0.25">
      <c r="B79" s="258"/>
      <c r="C79" s="258"/>
      <c r="D79" s="71" t="s">
        <v>170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174</v>
      </c>
      <c r="C82" s="178" t="s">
        <v>175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174</v>
      </c>
      <c r="C88" s="178" t="s">
        <v>176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D69" sqref="D69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IF($J$5&lt;&gt;"",$J$5,MAX(0,NETWORKDAYS.INTL(MAX(TODAY(),DATE(YEAR(TODAY()),6,1)),EOMONTH(DATE(YEAR(TODAY()),6,1),0),11)-MAX(0,$J$3-$J$4)))</f>
        <v>0</v>
      </c>
      <c r="D3" s="79" t="s">
        <v>104</v>
      </c>
      <c r="E3" s="80">
        <f ca="1">DAY(EOMONTH(DATE(YEAR(TODAY()),6,1),0))</f>
        <v>30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167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171</v>
      </c>
      <c r="C22" s="15">
        <v>167671841.09999999</v>
      </c>
      <c r="D22" s="15" t="s">
        <v>167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172</v>
      </c>
      <c r="C23" s="15">
        <v>388937679.18000001</v>
      </c>
      <c r="D23" s="15" t="s">
        <v>167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8" t="s">
        <v>182</v>
      </c>
      <c r="C41" s="269"/>
      <c r="D41" s="270"/>
      <c r="E41" s="67" t="s">
        <v>138</v>
      </c>
      <c r="F41" s="185">
        <f ca="1">IF(MONTH(TODAY())=6,DAY(TODAY())/DAY(EOMONTH(TODAY(),0)),IF(MONTH(TODAY())&gt;6,1,0))</f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56" t="s">
        <v>146</v>
      </c>
      <c r="C46" s="257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71" t="s">
        <v>147</v>
      </c>
      <c r="C48" s="272"/>
      <c r="D48" s="272"/>
      <c r="E48" s="272"/>
      <c r="F48" s="272"/>
      <c r="G48" s="272"/>
      <c r="H48" s="272"/>
      <c r="I48" s="272"/>
      <c r="J48" s="272"/>
      <c r="K48" s="259" t="s">
        <v>188</v>
      </c>
      <c r="L48" s="260"/>
      <c r="M48" s="260"/>
      <c r="N48" s="260"/>
      <c r="O48" s="260"/>
      <c r="P48" s="261"/>
    </row>
    <row r="49" spans="2:16" ht="33.950000000000003" customHeight="1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64" t="str">
        <f>"PER HARI"&amp;CHAR(10)&amp;TEXT($J$41,"0%")</f>
        <v>PER HARI
95%</v>
      </c>
      <c r="O49" s="266" t="str">
        <f>"SELISIH"&amp;CHAR(10)&amp;TEXT($L$41,"0%")</f>
        <v>SELISIH
100%</v>
      </c>
      <c r="P49" s="266" t="str">
        <f>"PER HARI"&amp;CHAR(10)&amp;TEXT($L$41,"0%")</f>
        <v>PER HARI
100%</v>
      </c>
    </row>
    <row r="50" spans="2:16" ht="19.5" customHeight="1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63"/>
      <c r="L50" s="263"/>
      <c r="M50" s="265"/>
      <c r="N50" s="265"/>
      <c r="O50" s="267"/>
      <c r="P50" s="267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7" t="s">
        <v>145</v>
      </c>
      <c r="C67" s="278"/>
      <c r="D67" s="278"/>
      <c r="E67" s="278"/>
      <c r="F67" s="278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174</v>
      </c>
      <c r="C82" s="56" t="s">
        <v>175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174</v>
      </c>
      <c r="C88" s="56" t="s">
        <v>176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zoomScale="91" zoomScaleNormal="91" workbookViewId="0">
      <selection activeCell="C10" sqref="C10:F27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IF($J$5&lt;&gt;"",$J$5,MAX(0,NETWORKDAYS.INTL(MAX(TODAY(),DATE(YEAR(TODAY()),7,1)),EOMONTH(DATE(YEAR(TODAY()),7,1),0),11)-MAX(0,$J$3-$J$4)))</f>
        <v>0</v>
      </c>
      <c r="D3" s="79" t="s">
        <v>104</v>
      </c>
      <c r="E3" s="80">
        <f ca="1">DAY(EOMONTH(DATE(YEAR(TODAY()),7,1),0))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448510399.46910501</v>
      </c>
      <c r="N8" s="11">
        <f>D22</f>
        <v>63011769.152930997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645758035.66179395</v>
      </c>
      <c r="N9" s="11">
        <f>D13+D14</f>
        <v>155113955.522313</v>
      </c>
    </row>
    <row r="10" spans="2:14" x14ac:dyDescent="0.25">
      <c r="B10" s="74" t="s">
        <v>113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6"/>
      <c r="I10" s="116"/>
      <c r="J10" s="116"/>
      <c r="M10" s="11">
        <f>C15</f>
        <v>1054671906.6945471</v>
      </c>
      <c r="N10" s="11">
        <f>D15</f>
        <v>29495978.518279999</v>
      </c>
    </row>
    <row r="11" spans="2:14" x14ac:dyDescent="0.25">
      <c r="B11" s="74" t="s">
        <v>114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6"/>
      <c r="I11" s="116"/>
      <c r="J11" s="116"/>
      <c r="M11" s="11">
        <f>C12</f>
        <v>341819821.47863901</v>
      </c>
      <c r="N11" s="11">
        <f>D12</f>
        <v>43800016.100000001</v>
      </c>
    </row>
    <row r="12" spans="2:14" x14ac:dyDescent="0.25">
      <c r="B12" s="74" t="s">
        <v>184</v>
      </c>
      <c r="C12" s="15">
        <v>341819821.47863901</v>
      </c>
      <c r="D12" s="15">
        <v>43800016.100000001</v>
      </c>
      <c r="E12" s="15" t="s">
        <v>167</v>
      </c>
      <c r="F12" s="15">
        <v>385619837.57863897</v>
      </c>
      <c r="H12" s="116"/>
      <c r="I12" s="116"/>
      <c r="J12" s="116"/>
      <c r="M12" s="11">
        <f>C25+C26</f>
        <v>405401083.69156003</v>
      </c>
      <c r="N12" s="11">
        <f>D25+D26</f>
        <v>110789069.34336799</v>
      </c>
    </row>
    <row r="13" spans="2:14" x14ac:dyDescent="0.25">
      <c r="B13" s="74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6"/>
      <c r="I13" s="116"/>
      <c r="J13" s="116"/>
      <c r="M13" s="11">
        <f>C17</f>
        <v>1425026257.5066569</v>
      </c>
      <c r="N13" s="11">
        <f>D17</f>
        <v>87442239.299614996</v>
      </c>
    </row>
    <row r="14" spans="2:14" x14ac:dyDescent="0.25">
      <c r="B14" s="74" t="s">
        <v>115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6"/>
      <c r="I14" s="116"/>
      <c r="J14" s="116"/>
      <c r="M14" s="11">
        <f>C23</f>
        <v>537624961.29726696</v>
      </c>
      <c r="N14" s="11">
        <f>D23</f>
        <v>72473352.539875999</v>
      </c>
    </row>
    <row r="15" spans="2:14" x14ac:dyDescent="0.25">
      <c r="B15" s="84" t="s">
        <v>116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6"/>
      <c r="I15" s="116"/>
      <c r="J15" s="116"/>
      <c r="M15" s="11">
        <f>C11</f>
        <v>324688224.63140702</v>
      </c>
      <c r="N15" s="11">
        <f>D11</f>
        <v>130969678.577117</v>
      </c>
    </row>
    <row r="16" spans="2:14" x14ac:dyDescent="0.25">
      <c r="B16" s="74" t="s">
        <v>119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6"/>
      <c r="I16" s="116"/>
      <c r="J16" s="116"/>
      <c r="M16" s="11">
        <f>C24</f>
        <v>687182241.108935</v>
      </c>
      <c r="N16" s="11">
        <f>D24</f>
        <v>61286832.419910997</v>
      </c>
    </row>
    <row r="17" spans="2:14" x14ac:dyDescent="0.25">
      <c r="B17" s="74" t="s">
        <v>121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6"/>
      <c r="I17" s="116"/>
      <c r="J17" s="116"/>
      <c r="M17" s="11">
        <f>C10</f>
        <v>393617269.45962203</v>
      </c>
      <c r="N17" s="11">
        <f>D10</f>
        <v>52106885.865496002</v>
      </c>
    </row>
    <row r="18" spans="2:14" x14ac:dyDescent="0.25">
      <c r="B18" s="74" t="s">
        <v>123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6"/>
      <c r="I18" s="116"/>
      <c r="J18" s="116"/>
      <c r="M18" s="11">
        <f>C27</f>
        <v>887123024.85446894</v>
      </c>
      <c r="N18" s="11">
        <f>D27</f>
        <v>267781372.49532399</v>
      </c>
    </row>
    <row r="19" spans="2:14" x14ac:dyDescent="0.25">
      <c r="B19" s="74" t="s">
        <v>124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6"/>
      <c r="I19" s="116"/>
      <c r="J19" s="116"/>
      <c r="M19" s="11">
        <f>C18+C19</f>
        <v>341952218.068174</v>
      </c>
      <c r="N19" s="11">
        <f>D18+D19</f>
        <v>150856525.01167801</v>
      </c>
    </row>
    <row r="20" spans="2:14" x14ac:dyDescent="0.25">
      <c r="B20" s="74" t="s">
        <v>171</v>
      </c>
      <c r="C20" s="15">
        <v>195476199.69999999</v>
      </c>
      <c r="D20" s="15" t="s">
        <v>167</v>
      </c>
      <c r="E20" s="15">
        <v>11387387.08</v>
      </c>
      <c r="F20" s="15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172</v>
      </c>
      <c r="C21" s="15">
        <v>288524887.39999998</v>
      </c>
      <c r="D21" s="15" t="s">
        <v>167</v>
      </c>
      <c r="E21" s="15">
        <v>15855585.16</v>
      </c>
      <c r="F21" s="15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5">
      <c r="B22" s="74" t="s">
        <v>125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6"/>
      <c r="I22" s="116"/>
      <c r="J22" s="116"/>
    </row>
    <row r="23" spans="2:14" x14ac:dyDescent="0.25">
      <c r="B23" s="74" t="s">
        <v>126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6"/>
      <c r="I23" s="116"/>
      <c r="J23" s="116"/>
    </row>
    <row r="24" spans="2:14" x14ac:dyDescent="0.25">
      <c r="B24" s="74" t="s">
        <v>127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6"/>
      <c r="I24" s="116"/>
      <c r="J24" s="116"/>
    </row>
    <row r="25" spans="2:14" x14ac:dyDescent="0.25">
      <c r="B25" s="74" t="s">
        <v>185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6"/>
      <c r="I25" s="116"/>
      <c r="J25" s="116"/>
    </row>
    <row r="26" spans="2:14" x14ac:dyDescent="0.25">
      <c r="B26" s="74" t="s">
        <v>186</v>
      </c>
      <c r="C26" s="15">
        <v>138084633.55645701</v>
      </c>
      <c r="D26" s="15">
        <v>103844000.433377</v>
      </c>
      <c r="E26" s="15" t="s">
        <v>167</v>
      </c>
      <c r="F26" s="15">
        <v>241928633.98983401</v>
      </c>
      <c r="H26" s="116"/>
      <c r="I26" s="116"/>
      <c r="J26" s="116"/>
    </row>
    <row r="27" spans="2:14" x14ac:dyDescent="0.25">
      <c r="B27" s="74" t="s">
        <v>128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247017208.86305001</v>
      </c>
      <c r="G32" s="116"/>
      <c r="H32" s="116"/>
      <c r="I32" s="116"/>
    </row>
    <row r="33" spans="2:19" x14ac:dyDescent="0.25">
      <c r="B33" s="84" t="s">
        <v>133</v>
      </c>
      <c r="C33" s="15">
        <v>603527981.52019799</v>
      </c>
      <c r="G33" s="116"/>
      <c r="H33" s="116"/>
      <c r="I33" s="116"/>
    </row>
    <row r="34" spans="2:19" x14ac:dyDescent="0.25">
      <c r="B34" s="84" t="s">
        <v>134</v>
      </c>
      <c r="C34" s="15">
        <v>132378030.09105299</v>
      </c>
      <c r="G34" s="116"/>
      <c r="H34" s="116"/>
      <c r="I34" s="116"/>
    </row>
    <row r="35" spans="2:19" x14ac:dyDescent="0.25">
      <c r="B35" s="84" t="s">
        <v>135</v>
      </c>
      <c r="C35" s="15">
        <v>506220615.42076802</v>
      </c>
      <c r="G35" s="116"/>
      <c r="H35" s="116"/>
      <c r="I35" s="116"/>
    </row>
    <row r="36" spans="2:19" x14ac:dyDescent="0.25">
      <c r="B36" s="84" t="s">
        <v>136</v>
      </c>
      <c r="C36" s="15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s="205" customFormat="1" ht="27.95" customHeight="1" x14ac:dyDescent="0.25">
      <c r="B41" s="268" t="s">
        <v>191</v>
      </c>
      <c r="C41" s="269"/>
      <c r="D41" s="270"/>
      <c r="E41" s="67" t="s">
        <v>138</v>
      </c>
      <c r="F41" s="185">
        <f ca="1">IF(MONTH(TODAY())=7,DAY(TODAY())/DAY(EOMONTH(TODAY(),0)),IF(MONTH(TODAY())&gt;7,1,0))</f>
        <v>1</v>
      </c>
      <c r="G41" s="206" t="s">
        <v>189</v>
      </c>
      <c r="H41" s="212">
        <v>0.9</v>
      </c>
      <c r="I41" s="207" t="s">
        <v>189</v>
      </c>
      <c r="J41" s="213">
        <v>0.95</v>
      </c>
      <c r="K41" s="208" t="s">
        <v>190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7977376531.0221767</v>
      </c>
      <c r="F43" s="187">
        <f>IFERROR(E43/D43,0)</f>
        <v>1.0037158159362543</v>
      </c>
      <c r="G43" s="209">
        <f>D43*$H$41-E43</f>
        <v>-824317105.3092556</v>
      </c>
      <c r="H43" s="209">
        <f ca="1">IFERROR(G43/C3,0)</f>
        <v>0</v>
      </c>
      <c r="I43" s="210">
        <f>D43*$J$41-E43</f>
        <v>-426924914.99187183</v>
      </c>
      <c r="J43" s="210">
        <f ca="1">IFERROR(I43/$C$3,0)</f>
        <v>0</v>
      </c>
      <c r="K43" s="211">
        <f>D43*$L$41-E43</f>
        <v>-29532724.674487114</v>
      </c>
      <c r="L43" s="211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1225127674.8459089</v>
      </c>
      <c r="F44" s="187">
        <f>IFERROR(E44/D44,0)</f>
        <v>0.82627841469724894</v>
      </c>
      <c r="G44" s="197">
        <f>D44*$H$41-E44</f>
        <v>109307411.13575721</v>
      </c>
      <c r="H44" s="197">
        <f ca="1">IFERROR(G44/C3,0)</f>
        <v>0</v>
      </c>
      <c r="I44" s="193">
        <f>D44*$J$41-E44</f>
        <v>183442693.69029403</v>
      </c>
      <c r="J44" s="193">
        <f ca="1">IFERROR(I44/$C$3,0)</f>
        <v>0</v>
      </c>
      <c r="K44" s="198">
        <f>D44*$L$41-E44</f>
        <v>257577976.24483109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0</v>
      </c>
      <c r="I45" s="193">
        <f>D45*$J$41-E45</f>
        <v>237602802.40280342</v>
      </c>
      <c r="J45" s="193">
        <f ca="1">IFERROR(I45/$C$3,0)</f>
        <v>0</v>
      </c>
      <c r="K45" s="198">
        <f>D45*$L$41-E45</f>
        <v>330155993.89216518</v>
      </c>
      <c r="L45" s="198">
        <f ca="1">IFERROR(K45/$C$3,0)</f>
        <v>0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11281613287.225662</v>
      </c>
      <c r="E46" s="47">
        <f>E43+E44+E45</f>
        <v>10723412041.763155</v>
      </c>
      <c r="F46" s="188">
        <f>IFERROR(E46/D46,0)</f>
        <v>0.95052115054372877</v>
      </c>
      <c r="G46" s="194">
        <f>G43+G44+G45</f>
        <v>-569960083.2600565</v>
      </c>
      <c r="H46" s="194">
        <f ca="1">IFERROR(G46/C3,0)</f>
        <v>0</v>
      </c>
      <c r="I46" s="194">
        <f>I43+I44+I45</f>
        <v>-5879418.8987743855</v>
      </c>
      <c r="J46" s="194">
        <f ca="1">IFERROR(I46/$C$3,0)</f>
        <v>0</v>
      </c>
      <c r="K46" s="199">
        <f>K43+K44+K45</f>
        <v>558201245.46250916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71" t="s">
        <v>147</v>
      </c>
      <c r="C48" s="272"/>
      <c r="D48" s="272"/>
      <c r="E48" s="272"/>
      <c r="F48" s="272"/>
      <c r="G48" s="272"/>
      <c r="H48" s="272"/>
      <c r="I48" s="272"/>
      <c r="J48" s="272"/>
      <c r="K48" s="259" t="s">
        <v>188</v>
      </c>
      <c r="L48" s="260"/>
      <c r="M48" s="260"/>
      <c r="N48" s="260"/>
      <c r="O48" s="260"/>
      <c r="P48" s="261"/>
    </row>
    <row r="49" spans="2:16" ht="15.75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64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5.75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63"/>
      <c r="L50" s="263"/>
      <c r="M50" s="265"/>
      <c r="N50" s="265"/>
      <c r="O50" s="284"/>
      <c r="P50" s="284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448510399.46910501</v>
      </c>
      <c r="H51" s="119">
        <f>N8</f>
        <v>63011769.152930997</v>
      </c>
      <c r="I51" s="119">
        <f t="shared" ref="I51:I64" si="1">G51+H51</f>
        <v>511522168.62203598</v>
      </c>
      <c r="J51" s="200">
        <f t="shared" ref="J51:J64" si="2">IFERROR(I51/F51,0)</f>
        <v>0.90125606383119206</v>
      </c>
      <c r="K51" s="197">
        <f>F51*$H$41-I51</f>
        <v>-712898.9425355792</v>
      </c>
      <c r="L51" s="197">
        <f ca="1">IFERROR(K51/$C$3,0)</f>
        <v>0</v>
      </c>
      <c r="M51" s="193">
        <f>F51*$J$41-I51</f>
        <v>27665393.817436695</v>
      </c>
      <c r="N51" s="193">
        <f ca="1">IFERROR(M51/$C$3,0)</f>
        <v>0</v>
      </c>
      <c r="O51" s="232">
        <f>F51*$L$41-I51</f>
        <v>56043686.57740891</v>
      </c>
      <c r="P51" s="232">
        <f ca="1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645758035.66179395</v>
      </c>
      <c r="H52" s="119">
        <f>N9</f>
        <v>155113955.522313</v>
      </c>
      <c r="I52" s="119">
        <f t="shared" si="1"/>
        <v>800871991.18410695</v>
      </c>
      <c r="J52" s="200">
        <f t="shared" si="2"/>
        <v>0.95487155962541459</v>
      </c>
      <c r="K52" s="197">
        <f t="shared" ref="K52:K64" si="3">F52*$H$41-I52</f>
        <v>-46021996.124612093</v>
      </c>
      <c r="L52" s="197">
        <f t="shared" ref="L52:L64" ca="1" si="4">IFERROR(K52/$C$3,0)</f>
        <v>0</v>
      </c>
      <c r="M52" s="193">
        <f t="shared" ref="M52:M64" si="5">F52*$J$41-I52</f>
        <v>-4085885.2879736423</v>
      </c>
      <c r="N52" s="193">
        <f t="shared" ref="N52:N64" ca="1" si="6">IFERROR(M52/$C$3,0)</f>
        <v>0</v>
      </c>
      <c r="O52" s="232">
        <f t="shared" ref="O52:O64" si="7">F52*$L$41-I52</f>
        <v>37850225.548665047</v>
      </c>
      <c r="P52" s="232">
        <f t="shared" ref="P52:P64" ca="1" si="8">IFERROR(O52/$C$3,0)</f>
        <v>0</v>
      </c>
    </row>
    <row r="53" spans="2:16" x14ac:dyDescent="0.25">
      <c r="B53" s="145" t="s">
        <v>174</v>
      </c>
      <c r="C53" s="146" t="s">
        <v>175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0</v>
      </c>
      <c r="M53" s="193">
        <f t="shared" si="5"/>
        <v>41031595.398481935</v>
      </c>
      <c r="N53" s="193">
        <f t="shared" ca="1" si="6"/>
        <v>0</v>
      </c>
      <c r="O53" s="232">
        <f t="shared" si="7"/>
        <v>53479374.087875724</v>
      </c>
      <c r="P53" s="232">
        <f t="shared" ca="1" si="8"/>
        <v>0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1054671906.6945471</v>
      </c>
      <c r="H54" s="119">
        <f t="shared" ref="H54:H58" si="9">N10</f>
        <v>29495978.518279999</v>
      </c>
      <c r="I54" s="119">
        <f t="shared" si="1"/>
        <v>1084167885.212827</v>
      </c>
      <c r="J54" s="200">
        <f t="shared" si="2"/>
        <v>1.3901902687479963</v>
      </c>
      <c r="K54" s="197">
        <f t="shared" si="3"/>
        <v>-382284755.52418053</v>
      </c>
      <c r="L54" s="197">
        <f t="shared" ca="1" si="4"/>
        <v>0</v>
      </c>
      <c r="M54" s="193">
        <f t="shared" si="5"/>
        <v>-343291248.31925571</v>
      </c>
      <c r="N54" s="193">
        <f t="shared" ca="1" si="6"/>
        <v>0</v>
      </c>
      <c r="O54" s="232">
        <f t="shared" si="7"/>
        <v>-304297741.11433089</v>
      </c>
      <c r="P54" s="232">
        <f t="shared" ca="1" si="8"/>
        <v>0</v>
      </c>
    </row>
    <row r="55" spans="2:16" x14ac:dyDescent="0.25">
      <c r="B55" s="50" t="s">
        <v>73</v>
      </c>
      <c r="C55" s="55" t="s">
        <v>183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341819821.47863901</v>
      </c>
      <c r="H55" s="119">
        <f t="shared" si="9"/>
        <v>43800016.100000001</v>
      </c>
      <c r="I55" s="119">
        <f t="shared" si="1"/>
        <v>385619837.57863903</v>
      </c>
      <c r="J55" s="200">
        <f t="shared" si="2"/>
        <v>0.69783031209890789</v>
      </c>
      <c r="K55" s="197">
        <f t="shared" si="3"/>
        <v>111718623.94061989</v>
      </c>
      <c r="L55" s="197">
        <f t="shared" ca="1" si="4"/>
        <v>0</v>
      </c>
      <c r="M55" s="193">
        <f t="shared" si="5"/>
        <v>139348538.46946758</v>
      </c>
      <c r="N55" s="193">
        <f t="shared" ca="1" si="6"/>
        <v>0</v>
      </c>
      <c r="O55" s="232">
        <f t="shared" si="7"/>
        <v>166978452.99831533</v>
      </c>
      <c r="P55" s="232">
        <f t="shared" ca="1" si="8"/>
        <v>0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405401083.69156003</v>
      </c>
      <c r="H56" s="119">
        <f t="shared" si="9"/>
        <v>110789069.34336799</v>
      </c>
      <c r="I56" s="119">
        <f t="shared" si="1"/>
        <v>516190153.03492802</v>
      </c>
      <c r="J56" s="200">
        <f t="shared" si="2"/>
        <v>0.82176998735202034</v>
      </c>
      <c r="K56" s="197">
        <f t="shared" si="3"/>
        <v>49139738.39663583</v>
      </c>
      <c r="L56" s="197">
        <f t="shared" ca="1" si="4"/>
        <v>0</v>
      </c>
      <c r="M56" s="193">
        <f t="shared" si="5"/>
        <v>80546954.587278187</v>
      </c>
      <c r="N56" s="193">
        <f t="shared" ca="1" si="6"/>
        <v>0</v>
      </c>
      <c r="O56" s="232">
        <f t="shared" si="7"/>
        <v>111954170.77792066</v>
      </c>
      <c r="P56" s="232">
        <f t="shared" ca="1" si="8"/>
        <v>0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1425026257.5066569</v>
      </c>
      <c r="H57" s="119">
        <f t="shared" si="9"/>
        <v>87442239.299614996</v>
      </c>
      <c r="I57" s="119">
        <f t="shared" si="1"/>
        <v>1512468496.8062718</v>
      </c>
      <c r="J57" s="200">
        <f t="shared" si="2"/>
        <v>1.3011797973856913</v>
      </c>
      <c r="K57" s="197">
        <f t="shared" si="3"/>
        <v>-466324336.05263245</v>
      </c>
      <c r="L57" s="197">
        <f t="shared" ca="1" si="4"/>
        <v>0</v>
      </c>
      <c r="M57" s="193">
        <f t="shared" si="5"/>
        <v>-408205216.01076365</v>
      </c>
      <c r="N57" s="193">
        <f t="shared" ca="1" si="6"/>
        <v>0</v>
      </c>
      <c r="O57" s="232">
        <f t="shared" si="7"/>
        <v>-350086095.96889472</v>
      </c>
      <c r="P57" s="232">
        <f t="shared" ca="1" si="8"/>
        <v>0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537624961.29726696</v>
      </c>
      <c r="H58" s="119">
        <f t="shared" si="9"/>
        <v>72473352.539875999</v>
      </c>
      <c r="I58" s="119">
        <f>G58+H58</f>
        <v>610098313.83714294</v>
      </c>
      <c r="J58" s="200">
        <f>IFERROR(I58/F58,0)</f>
        <v>0.91362280948802388</v>
      </c>
      <c r="K58" s="197">
        <f t="shared" si="3"/>
        <v>-9097028.8964495659</v>
      </c>
      <c r="L58" s="197">
        <f t="shared" ca="1" si="4"/>
        <v>0</v>
      </c>
      <c r="M58" s="193">
        <f t="shared" si="5"/>
        <v>24291931.3780334</v>
      </c>
      <c r="N58" s="193">
        <f t="shared" ca="1" si="6"/>
        <v>0</v>
      </c>
      <c r="O58" s="232">
        <f t="shared" si="7"/>
        <v>57680891.652516365</v>
      </c>
      <c r="P58" s="232">
        <f t="shared" ca="1" si="8"/>
        <v>0</v>
      </c>
    </row>
    <row r="59" spans="2:16" x14ac:dyDescent="0.25">
      <c r="B59" s="145" t="s">
        <v>174</v>
      </c>
      <c r="C59" s="146" t="s">
        <v>176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0</v>
      </c>
      <c r="M59" s="193">
        <f t="shared" si="5"/>
        <v>119831837.68622071</v>
      </c>
      <c r="N59" s="193">
        <f t="shared" ca="1" si="6"/>
        <v>0</v>
      </c>
      <c r="O59" s="232">
        <f t="shared" si="7"/>
        <v>141324296.90128499</v>
      </c>
      <c r="P59" s="232">
        <f t="shared" ca="1" si="8"/>
        <v>0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324688224.63140702</v>
      </c>
      <c r="H60" s="119">
        <f t="shared" ref="H60:H64" si="10">N15</f>
        <v>130969678.577117</v>
      </c>
      <c r="I60" s="119">
        <f t="shared" si="1"/>
        <v>455657903.20852399</v>
      </c>
      <c r="J60" s="200">
        <f t="shared" si="2"/>
        <v>0.7205392792811498</v>
      </c>
      <c r="K60" s="197">
        <f t="shared" si="3"/>
        <v>113488185.94958878</v>
      </c>
      <c r="L60" s="197">
        <f t="shared" ca="1" si="4"/>
        <v>0</v>
      </c>
      <c r="M60" s="193">
        <f t="shared" si="5"/>
        <v>145107413.12503946</v>
      </c>
      <c r="N60" s="193">
        <f t="shared" ca="1" si="6"/>
        <v>0</v>
      </c>
      <c r="O60" s="232">
        <f t="shared" si="7"/>
        <v>176726640.30049014</v>
      </c>
      <c r="P60" s="232">
        <f t="shared" ca="1" si="8"/>
        <v>0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687182241.108935</v>
      </c>
      <c r="H61" s="119">
        <f t="shared" si="10"/>
        <v>61286832.419910997</v>
      </c>
      <c r="I61" s="119">
        <f t="shared" si="1"/>
        <v>748469073.52884603</v>
      </c>
      <c r="J61" s="200">
        <f t="shared" si="2"/>
        <v>0.97230149541110833</v>
      </c>
      <c r="K61" s="197">
        <f t="shared" si="3"/>
        <v>-55657050.349615335</v>
      </c>
      <c r="L61" s="197">
        <f t="shared" ca="1" si="4"/>
        <v>0</v>
      </c>
      <c r="M61" s="193">
        <f t="shared" si="5"/>
        <v>-17167493.506324768</v>
      </c>
      <c r="N61" s="193">
        <f t="shared" ca="1" si="6"/>
        <v>0</v>
      </c>
      <c r="O61" s="232">
        <f t="shared" si="7"/>
        <v>21322063.336965799</v>
      </c>
      <c r="P61" s="232">
        <f t="shared" ca="1" si="8"/>
        <v>0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393617269.45962203</v>
      </c>
      <c r="H62" s="119">
        <f t="shared" si="10"/>
        <v>52106885.865496002</v>
      </c>
      <c r="I62" s="119">
        <f t="shared" si="1"/>
        <v>445724155.32511801</v>
      </c>
      <c r="J62" s="200">
        <f t="shared" si="2"/>
        <v>0.84063750197271936</v>
      </c>
      <c r="K62" s="197">
        <f t="shared" si="3"/>
        <v>31475278.260970712</v>
      </c>
      <c r="L62" s="197">
        <f t="shared" ca="1" si="4"/>
        <v>0</v>
      </c>
      <c r="M62" s="193">
        <f t="shared" si="5"/>
        <v>57986357.904642284</v>
      </c>
      <c r="N62" s="193">
        <f t="shared" ca="1" si="6"/>
        <v>0</v>
      </c>
      <c r="O62" s="232">
        <f t="shared" si="7"/>
        <v>84497437.548313916</v>
      </c>
      <c r="P62" s="232">
        <f t="shared" ca="1" si="8"/>
        <v>0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887123024.85446894</v>
      </c>
      <c r="H63" s="119">
        <f t="shared" si="10"/>
        <v>267781372.49532399</v>
      </c>
      <c r="I63" s="119">
        <f t="shared" si="1"/>
        <v>1154904397.349793</v>
      </c>
      <c r="J63" s="200">
        <f t="shared" si="2"/>
        <v>1.1189065632416573</v>
      </c>
      <c r="K63" s="197">
        <f t="shared" si="3"/>
        <v>-225949298.00399983</v>
      </c>
      <c r="L63" s="197">
        <f t="shared" ca="1" si="4"/>
        <v>0</v>
      </c>
      <c r="M63" s="193">
        <f t="shared" si="5"/>
        <v>-174340681.37367809</v>
      </c>
      <c r="N63" s="193">
        <f t="shared" ca="1" si="6"/>
        <v>0</v>
      </c>
      <c r="O63" s="232">
        <f t="shared" si="7"/>
        <v>-122732064.74335623</v>
      </c>
      <c r="P63" s="232">
        <f t="shared" ca="1" si="8"/>
        <v>0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341952218.068174</v>
      </c>
      <c r="H64" s="119">
        <f t="shared" si="10"/>
        <v>150856525.01167801</v>
      </c>
      <c r="I64" s="119">
        <f t="shared" si="1"/>
        <v>492808743.07985198</v>
      </c>
      <c r="J64" s="200">
        <f t="shared" si="2"/>
        <v>0.83510959720207634</v>
      </c>
      <c r="K64" s="197">
        <f t="shared" si="3"/>
        <v>38292647.992467105</v>
      </c>
      <c r="L64" s="197">
        <f t="shared" ca="1" si="4"/>
        <v>0</v>
      </c>
      <c r="M64" s="193">
        <f t="shared" si="5"/>
        <v>67798280.82981813</v>
      </c>
      <c r="N64" s="193">
        <f t="shared" ca="1" si="6"/>
        <v>0</v>
      </c>
      <c r="O64" s="232">
        <f t="shared" si="7"/>
        <v>97303913.667169213</v>
      </c>
      <c r="P64" s="232">
        <f t="shared" ca="1" si="8"/>
        <v>0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7977376531.0221767</v>
      </c>
      <c r="H65" s="144">
        <f>SUM(H51:H64)</f>
        <v>1225127674.8459089</v>
      </c>
      <c r="I65" s="144">
        <f>SUM(I51:I64)</f>
        <v>9202504205.868082</v>
      </c>
      <c r="J65" s="203">
        <f>IFERROR(I65/F65,0)</f>
        <v>0.97581845547817236</v>
      </c>
      <c r="K65" s="194">
        <f>SUM(K51:K64)</f>
        <v>-715009694.17349839</v>
      </c>
      <c r="L65" s="194">
        <f ca="1">IFERROR(K65/$C$3,0)</f>
        <v>0</v>
      </c>
      <c r="M65" s="194">
        <f>SUM(M51:M64)</f>
        <v>-243482221.30157745</v>
      </c>
      <c r="N65" s="194">
        <f ca="1">IFERROR(M65/$C$3,0)</f>
        <v>0</v>
      </c>
      <c r="O65" s="194">
        <f>SUM(O51:O64)</f>
        <v>228045251.57034427</v>
      </c>
      <c r="P65" s="194">
        <f ca="1">IFERROR(O65/$C$3,0)</f>
        <v>0</v>
      </c>
    </row>
    <row r="66" spans="2:16" x14ac:dyDescent="0.25">
      <c r="G66" s="116"/>
      <c r="H66" s="116"/>
      <c r="I66" s="116"/>
    </row>
    <row r="67" spans="2:16" ht="18.75" x14ac:dyDescent="0.25">
      <c r="B67" s="277" t="s">
        <v>145</v>
      </c>
      <c r="C67" s="278"/>
      <c r="D67" s="278"/>
      <c r="E67" s="278"/>
      <c r="F67" s="282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0</v>
      </c>
      <c r="I69" s="193">
        <f>D69*$J$41-E69</f>
        <v>31462880.235886246</v>
      </c>
      <c r="J69" s="193">
        <f t="shared" ref="J69:J74" ca="1" si="13">IFERROR(I69/$C$3,0)</f>
        <v>0</v>
      </c>
      <c r="K69" s="198">
        <f>D69*$L$41-E69</f>
        <v>46119727.030567139</v>
      </c>
      <c r="L69" s="198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0</v>
      </c>
      <c r="I70" s="193">
        <f>D70*$J$41-E70</f>
        <v>-188912028.87126172</v>
      </c>
      <c r="J70" s="193">
        <f t="shared" ca="1" si="13"/>
        <v>0</v>
      </c>
      <c r="K70" s="198">
        <f>D70*$L$41-E70</f>
        <v>-167090136.62658083</v>
      </c>
      <c r="L70" s="198">
        <f t="shared" ca="1" si="14"/>
        <v>0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0</v>
      </c>
      <c r="I71" s="193">
        <f>D71*$J$41-E71</f>
        <v>395051951.03817892</v>
      </c>
      <c r="J71" s="193">
        <f t="shared" ca="1" si="13"/>
        <v>0</v>
      </c>
      <c r="K71" s="198">
        <f>D71*$L$41-E71</f>
        <v>451126403.48817897</v>
      </c>
      <c r="L71" s="198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0</v>
      </c>
      <c r="I74" s="194">
        <f>SUM(I69:I73)</f>
        <v>237602802.40280345</v>
      </c>
      <c r="J74" s="194">
        <f t="shared" ca="1" si="13"/>
        <v>0</v>
      </c>
      <c r="K74" s="199">
        <f>SUM(K69:K73)</f>
        <v>330155993.8921653</v>
      </c>
      <c r="L74" s="199">
        <f t="shared" ca="1" si="14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124442745.86</v>
      </c>
    </row>
    <row r="82" spans="2:4" x14ac:dyDescent="0.25">
      <c r="B82" s="53" t="s">
        <v>174</v>
      </c>
      <c r="C82" s="56" t="s">
        <v>175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410218259.94994998</v>
      </c>
    </row>
    <row r="84" spans="2:4" x14ac:dyDescent="0.25">
      <c r="B84" s="53" t="s">
        <v>73</v>
      </c>
      <c r="C84" s="56" t="s">
        <v>183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40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40">
        <f>IF(E23="",0,E23)</f>
        <v>310958467.80928099</v>
      </c>
    </row>
    <row r="88" spans="2:4" x14ac:dyDescent="0.25">
      <c r="B88" s="53" t="s">
        <v>174</v>
      </c>
      <c r="C88" s="56" t="s">
        <v>176</v>
      </c>
      <c r="D88" s="140">
        <f>IF(E21="",0,E21)</f>
        <v>15855585.16</v>
      </c>
    </row>
    <row r="89" spans="2:4" x14ac:dyDescent="0.25">
      <c r="B89" s="53" t="s">
        <v>80</v>
      </c>
      <c r="C89" s="56" t="s">
        <v>81</v>
      </c>
      <c r="D89" s="140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40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40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40">
        <f>IF(E27="",0,E27)</f>
        <v>17830594.9778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92389191</v>
      </c>
    </row>
    <row r="94" spans="2:4" x14ac:dyDescent="0.25">
      <c r="B94" s="57" t="s">
        <v>152</v>
      </c>
      <c r="C94" s="58"/>
      <c r="D94" s="125">
        <f>SUM(D80:D93)</f>
        <v>3951244558.7858524</v>
      </c>
    </row>
  </sheetData>
  <mergeCells count="17">
    <mergeCell ref="B41:D41"/>
    <mergeCell ref="B48:J48"/>
    <mergeCell ref="B46:C46"/>
    <mergeCell ref="B49:B50"/>
    <mergeCell ref="C49:C50"/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abSelected="1" topLeftCell="A32" zoomScale="99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IF($J$5&lt;&gt;"",$J$5,MAX(0,NETWORKDAYS.INTL(MAX(TODAY(),DATE(YEAR(TODAY()),8,1)),EOMONTH(DATE(YEAR(TODAY()),8,1),0),11)-MAX(0,$J$3-$J$4)))</f>
        <v>15</v>
      </c>
      <c r="D3" s="79" t="s">
        <v>104</v>
      </c>
      <c r="E3" s="80">
        <f ca="1">DAY(EOMONTH(DATE(YEAR(TODAY()),8,1),0))</f>
        <v>31</v>
      </c>
      <c r="G3" s="239" t="s">
        <v>196</v>
      </c>
      <c r="H3" s="116"/>
      <c r="I3" s="116"/>
      <c r="J3" s="236">
        <v>2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180008429.11602399</v>
      </c>
      <c r="N8" s="11">
        <f>D22</f>
        <v>19446128.434489001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269041733.13860601</v>
      </c>
      <c r="N9" s="11">
        <f>D13+D14</f>
        <v>51364619.359665997</v>
      </c>
    </row>
    <row r="10" spans="2:14" x14ac:dyDescent="0.25">
      <c r="B10" s="74" t="s">
        <v>113</v>
      </c>
      <c r="C10" s="240">
        <v>154563855.808606</v>
      </c>
      <c r="D10" s="240">
        <v>17060003.349192999</v>
      </c>
      <c r="E10" s="240">
        <v>79991102.230000004</v>
      </c>
      <c r="F10" s="240">
        <v>251614961.38779899</v>
      </c>
      <c r="H10" s="116"/>
      <c r="I10" s="116"/>
      <c r="J10" s="116"/>
      <c r="M10" s="11">
        <f>C15</f>
        <v>479483743.84560901</v>
      </c>
      <c r="N10" s="11">
        <f>D15</f>
        <v>17561951.689929001</v>
      </c>
    </row>
    <row r="11" spans="2:14" x14ac:dyDescent="0.25">
      <c r="B11" s="74" t="s">
        <v>192</v>
      </c>
      <c r="C11" s="240">
        <v>175986155.811088</v>
      </c>
      <c r="D11" s="240">
        <v>39022987.501790002</v>
      </c>
      <c r="E11" s="240">
        <v>35027027.719999999</v>
      </c>
      <c r="F11" s="240">
        <v>250036171.03287801</v>
      </c>
      <c r="H11" s="116"/>
      <c r="I11" s="116"/>
      <c r="J11" s="116"/>
      <c r="M11" s="11">
        <f>C12</f>
        <v>115254054.59954999</v>
      </c>
      <c r="N11" s="11">
        <f>D12</f>
        <v>8122463</v>
      </c>
    </row>
    <row r="12" spans="2:14" x14ac:dyDescent="0.25">
      <c r="B12" s="74" t="s">
        <v>192</v>
      </c>
      <c r="C12" s="240">
        <v>115254054.59954999</v>
      </c>
      <c r="D12" s="240">
        <v>8122463</v>
      </c>
      <c r="E12" s="240">
        <v>0</v>
      </c>
      <c r="F12" s="240">
        <v>123376517.59954999</v>
      </c>
      <c r="H12" s="116"/>
      <c r="I12" s="116"/>
      <c r="J12" s="116"/>
      <c r="M12" s="11">
        <f>C25+C26</f>
        <v>148494512.86356598</v>
      </c>
      <c r="N12" s="11">
        <f>D25+D26</f>
        <v>50653867.356348999</v>
      </c>
    </row>
    <row r="13" spans="2:14" x14ac:dyDescent="0.25">
      <c r="B13" s="74" t="s">
        <v>70</v>
      </c>
      <c r="C13" s="240">
        <v>141111926.26139399</v>
      </c>
      <c r="D13" s="240">
        <v>36956447.939692996</v>
      </c>
      <c r="E13" s="240">
        <v>40924346.75</v>
      </c>
      <c r="F13" s="240">
        <v>218992720.951087</v>
      </c>
      <c r="H13" s="116"/>
      <c r="I13" s="116"/>
      <c r="J13" s="116"/>
      <c r="M13" s="11">
        <f>C17</f>
        <v>414378492.91257101</v>
      </c>
      <c r="N13" s="11">
        <f>D17</f>
        <v>29982427.769977</v>
      </c>
    </row>
    <row r="14" spans="2:14" x14ac:dyDescent="0.25">
      <c r="B14" s="74" t="s">
        <v>115</v>
      </c>
      <c r="C14" s="240">
        <v>127929806.877212</v>
      </c>
      <c r="D14" s="240">
        <v>14408171.419973001</v>
      </c>
      <c r="E14" s="240">
        <v>25952927.920000002</v>
      </c>
      <c r="F14" s="240">
        <v>168290906.21718499</v>
      </c>
      <c r="H14" s="116"/>
      <c r="I14" s="116"/>
      <c r="J14" s="116"/>
      <c r="M14" s="11">
        <f>C23</f>
        <v>243482030.69435501</v>
      </c>
      <c r="N14" s="11">
        <f>D23</f>
        <v>40162708.209918998</v>
      </c>
    </row>
    <row r="15" spans="2:14" x14ac:dyDescent="0.25">
      <c r="B15" s="84" t="s">
        <v>116</v>
      </c>
      <c r="C15" s="240">
        <v>479483743.84560901</v>
      </c>
      <c r="D15" s="240">
        <v>17561951.689929001</v>
      </c>
      <c r="E15" s="240">
        <v>173572073.56990001</v>
      </c>
      <c r="F15" s="240">
        <v>670617769.10543799</v>
      </c>
      <c r="H15" s="116"/>
      <c r="I15" s="116"/>
      <c r="J15" s="116"/>
      <c r="M15" s="11">
        <f>C11</f>
        <v>175986155.811088</v>
      </c>
      <c r="N15" s="11">
        <f>D11</f>
        <v>39022987.501790002</v>
      </c>
    </row>
    <row r="16" spans="2:14" x14ac:dyDescent="0.25">
      <c r="B16" s="74" t="s">
        <v>119</v>
      </c>
      <c r="C16" s="240">
        <v>259416630.737822</v>
      </c>
      <c r="D16" s="240">
        <v>1135216.2149980001</v>
      </c>
      <c r="E16" s="240">
        <v>4151351.37</v>
      </c>
      <c r="F16" s="240">
        <v>264703198.32282001</v>
      </c>
      <c r="H16" s="116"/>
      <c r="I16" s="116"/>
      <c r="J16" s="116"/>
      <c r="M16" s="11">
        <f>C24</f>
        <v>274691067.02537298</v>
      </c>
      <c r="N16" s="11">
        <f>D24</f>
        <v>27649049.549996998</v>
      </c>
    </row>
    <row r="17" spans="2:14" x14ac:dyDescent="0.25">
      <c r="B17" s="74" t="s">
        <v>121</v>
      </c>
      <c r="C17" s="240">
        <v>414378492.91257101</v>
      </c>
      <c r="D17" s="240">
        <v>29982427.769977</v>
      </c>
      <c r="E17" s="240">
        <v>620768825.28996503</v>
      </c>
      <c r="F17" s="240">
        <v>1065129745.972513</v>
      </c>
      <c r="H17" s="116"/>
      <c r="I17" s="116"/>
      <c r="J17" s="116"/>
      <c r="M17" s="11">
        <f>C10</f>
        <v>154563855.808606</v>
      </c>
      <c r="N17" s="11">
        <f>D10</f>
        <v>17060003.349192999</v>
      </c>
    </row>
    <row r="18" spans="2:14" x14ac:dyDescent="0.25">
      <c r="B18" s="74" t="s">
        <v>123</v>
      </c>
      <c r="C18" s="240">
        <v>93316910.203216001</v>
      </c>
      <c r="D18" s="240">
        <v>3008554.05</v>
      </c>
      <c r="E18" s="240">
        <v>27897297.899999999</v>
      </c>
      <c r="F18" s="240">
        <v>124222762.153216</v>
      </c>
      <c r="H18" s="116"/>
      <c r="I18" s="116"/>
      <c r="J18" s="116"/>
      <c r="M18" s="11">
        <f>C27</f>
        <v>248416813.82227001</v>
      </c>
      <c r="N18" s="11">
        <f>D27</f>
        <v>125475548.524428</v>
      </c>
    </row>
    <row r="19" spans="2:14" x14ac:dyDescent="0.25">
      <c r="B19" s="74" t="s">
        <v>124</v>
      </c>
      <c r="C19" s="240">
        <v>23285991</v>
      </c>
      <c r="D19" s="240">
        <v>54236011.731468998</v>
      </c>
      <c r="E19" s="240">
        <v>40097298.119999997</v>
      </c>
      <c r="F19" s="240">
        <v>117619300.851469</v>
      </c>
      <c r="H19" s="116"/>
      <c r="I19" s="116"/>
      <c r="J19" s="116"/>
      <c r="M19" s="11">
        <f>C18+C19</f>
        <v>116602901.203216</v>
      </c>
      <c r="N19" s="11">
        <f>D18+D19</f>
        <v>57244565.781468995</v>
      </c>
    </row>
    <row r="20" spans="2:14" x14ac:dyDescent="0.25">
      <c r="B20" s="74" t="s">
        <v>171</v>
      </c>
      <c r="C20" s="240">
        <v>57988266.100000001</v>
      </c>
      <c r="D20" s="240">
        <v>0</v>
      </c>
      <c r="E20" s="240">
        <v>5225225.08</v>
      </c>
      <c r="F20" s="240">
        <v>63213491.18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240">
        <v>105651277.54000001</v>
      </c>
      <c r="D21" s="240">
        <v>0</v>
      </c>
      <c r="E21" s="240">
        <v>7603603.4000000004</v>
      </c>
      <c r="F21" s="240">
        <v>113254880.94</v>
      </c>
      <c r="H21" s="116"/>
      <c r="I21" s="116"/>
      <c r="J21" s="116"/>
      <c r="M21" s="14">
        <f>IFERROR(C34,0)+IFERROR(C35,0)+M20</f>
        <v>410325069.74504501</v>
      </c>
      <c r="N21" s="10" t="s">
        <v>122</v>
      </c>
    </row>
    <row r="22" spans="2:14" x14ac:dyDescent="0.25">
      <c r="B22" s="74" t="s">
        <v>125</v>
      </c>
      <c r="C22" s="240">
        <v>180008429.11602399</v>
      </c>
      <c r="D22" s="240">
        <v>19446128.434489001</v>
      </c>
      <c r="E22" s="240">
        <v>270404289.03992498</v>
      </c>
      <c r="F22" s="240">
        <v>469858846.59043801</v>
      </c>
      <c r="H22" s="116"/>
      <c r="I22" s="116"/>
      <c r="J22" s="116"/>
    </row>
    <row r="23" spans="2:14" x14ac:dyDescent="0.25">
      <c r="B23" s="74" t="s">
        <v>126</v>
      </c>
      <c r="C23" s="240">
        <v>243482030.69435501</v>
      </c>
      <c r="D23" s="240">
        <v>40162708.209918998</v>
      </c>
      <c r="E23" s="240">
        <v>162158705.28965899</v>
      </c>
      <c r="F23" s="240">
        <v>445803444.19393301</v>
      </c>
      <c r="H23" s="116"/>
      <c r="I23" s="116"/>
      <c r="J23" s="116"/>
    </row>
    <row r="24" spans="2:14" x14ac:dyDescent="0.25">
      <c r="B24" s="74" t="s">
        <v>127</v>
      </c>
      <c r="C24" s="240">
        <v>274691067.02537298</v>
      </c>
      <c r="D24" s="240">
        <v>27649049.549996998</v>
      </c>
      <c r="E24" s="240">
        <v>258252218.009734</v>
      </c>
      <c r="F24" s="240">
        <v>560592334.58510399</v>
      </c>
      <c r="H24" s="116"/>
      <c r="I24" s="116"/>
      <c r="J24" s="116"/>
    </row>
    <row r="25" spans="2:14" x14ac:dyDescent="0.25">
      <c r="B25" s="74" t="s">
        <v>185</v>
      </c>
      <c r="C25" s="240">
        <v>99918555.652707994</v>
      </c>
      <c r="D25" s="240">
        <v>2989473</v>
      </c>
      <c r="E25" s="240">
        <v>30556675.350000001</v>
      </c>
      <c r="F25" s="240">
        <v>133464704.002708</v>
      </c>
      <c r="H25" s="116"/>
      <c r="I25" s="116"/>
      <c r="J25" s="116"/>
    </row>
    <row r="26" spans="2:14" x14ac:dyDescent="0.25">
      <c r="B26" s="74" t="s">
        <v>186</v>
      </c>
      <c r="C26" s="240">
        <v>48575957.210858002</v>
      </c>
      <c r="D26" s="240">
        <v>47664394.356348999</v>
      </c>
      <c r="E26" s="240">
        <v>0</v>
      </c>
      <c r="F26" s="240">
        <v>96240351.567206994</v>
      </c>
      <c r="H26" s="116"/>
      <c r="I26" s="116"/>
      <c r="J26" s="116"/>
    </row>
    <row r="27" spans="2:14" x14ac:dyDescent="0.25">
      <c r="B27" s="74" t="s">
        <v>128</v>
      </c>
      <c r="C27" s="240">
        <v>248416813.82227001</v>
      </c>
      <c r="D27" s="240">
        <v>125475548.524428</v>
      </c>
      <c r="E27" s="240">
        <v>6850054.2120000003</v>
      </c>
      <c r="F27" s="240">
        <v>380742416.558698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40">
        <v>76248680.789563999</v>
      </c>
      <c r="G32" s="116"/>
      <c r="H32" s="116"/>
      <c r="I32" s="116"/>
    </row>
    <row r="33" spans="2:19" x14ac:dyDescent="0.25">
      <c r="B33" s="84" t="s">
        <v>133</v>
      </c>
      <c r="C33" s="240">
        <v>154455188.845431</v>
      </c>
      <c r="G33" s="116"/>
      <c r="H33" s="116"/>
      <c r="I33" s="116"/>
    </row>
    <row r="34" spans="2:19" x14ac:dyDescent="0.25">
      <c r="B34" s="84" t="s">
        <v>134</v>
      </c>
      <c r="C34" s="240">
        <v>61741118.963113002</v>
      </c>
      <c r="G34" s="116"/>
      <c r="H34" s="116"/>
      <c r="I34" s="116"/>
    </row>
    <row r="35" spans="2:19" x14ac:dyDescent="0.25">
      <c r="B35" s="84" t="s">
        <v>135</v>
      </c>
      <c r="C35" s="240">
        <v>348583950.781932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68" t="s">
        <v>199</v>
      </c>
      <c r="C41" s="269"/>
      <c r="D41" s="270"/>
      <c r="E41" s="67" t="s">
        <v>138</v>
      </c>
      <c r="F41" s="185">
        <f ca="1">IF(MONTH(TODAY())=8,DAY(TODAY())/DAY(EOMONTH(TODAY(),0)),IF(MONTH(TODAY())&gt;8,1,0))</f>
        <v>0.38709677419354838</v>
      </c>
      <c r="G41" s="206" t="s">
        <v>189</v>
      </c>
      <c r="H41" s="212">
        <v>1</v>
      </c>
      <c r="I41" s="215" t="s">
        <v>189</v>
      </c>
      <c r="J41" s="213">
        <v>1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100%</v>
      </c>
      <c r="H42" s="195" t="str">
        <f>"PER HARI"&amp;CHAR(10)&amp;TEXT($H$41,"0%")</f>
        <v>PER HARI
100%</v>
      </c>
      <c r="I42" s="216" t="str">
        <f>"SELISIH"&amp;CHAR(10)&amp;TEXT($J$41,"0%")</f>
        <v>SELISIH
100%</v>
      </c>
      <c r="J42" s="217" t="str">
        <f>"PER HARI"&amp;CHAR(10)&amp;TEXT($J$41,"0%")</f>
        <v>PER HARI
100%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8143809244.1995802</v>
      </c>
      <c r="E43" s="46">
        <f>G65</f>
        <v>2984043334.480834</v>
      </c>
      <c r="F43" s="187">
        <f>IFERROR(E43/D43,0)</f>
        <v>0.36641861873253179</v>
      </c>
      <c r="G43" s="197">
        <f>D43*$H$41-E43</f>
        <v>5159765909.7187462</v>
      </c>
      <c r="H43" s="197">
        <f ca="1">IFERROR(G43/$C$3,0)</f>
        <v>343984393.98124975</v>
      </c>
      <c r="I43" s="218">
        <f>D43*$J$41-E43</f>
        <v>5159765909.7187462</v>
      </c>
      <c r="J43" s="218">
        <f ca="1">IFERROR(I43/$C$3,0)</f>
        <v>343984393.98124975</v>
      </c>
      <c r="K43" s="198">
        <f>D43*$L$41-E43</f>
        <v>5159765909.7187462</v>
      </c>
      <c r="L43" s="198">
        <f ca="1">IFERROR(K43/$C$3,0)</f>
        <v>343984393.98124975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1294442997.4659395</v>
      </c>
      <c r="E44" s="46">
        <f>N8+N9+N10+N11+N12+N13+N14+N15+N16+N17+N18+N19</f>
        <v>483746320.52720594</v>
      </c>
      <c r="F44" s="187">
        <f>IFERROR(E44/D44,0)</f>
        <v>0.37371002158782562</v>
      </c>
      <c r="G44" s="197">
        <f>D44*$H$41-E44</f>
        <v>810696676.93873358</v>
      </c>
      <c r="H44" s="197">
        <f ca="1">IFERROR(G44/$C$3,0)</f>
        <v>54046445.129248902</v>
      </c>
      <c r="I44" s="218">
        <f>D44*$J$41-E44</f>
        <v>810696676.93873358</v>
      </c>
      <c r="J44" s="218">
        <f ca="1">IFERROR(I44/$C$3,0)</f>
        <v>54046445.129248902</v>
      </c>
      <c r="K44" s="198">
        <f>D44*$L$41-E44</f>
        <v>810696676.93873358</v>
      </c>
      <c r="L44" s="198">
        <f ca="1">IFERROR(K44/$C$3,0)</f>
        <v>54046445.129248902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1865957446.8085108</v>
      </c>
      <c r="E45" s="46">
        <f>IFERROR(C32,0)+IFERROR(C33,0)+M21+F9</f>
        <v>641028939.38003993</v>
      </c>
      <c r="F45" s="187">
        <f>IFERROR(E45/D45,0)</f>
        <v>0.34353888427436574</v>
      </c>
      <c r="G45" s="197">
        <f>D45*$H$41-E45</f>
        <v>1224928507.4284708</v>
      </c>
      <c r="H45" s="197">
        <f ca="1">IFERROR(G45/$C$3,0)</f>
        <v>81661900.49523139</v>
      </c>
      <c r="I45" s="218">
        <f>D45*$J$41-E45</f>
        <v>1224928507.4284708</v>
      </c>
      <c r="J45" s="218">
        <f ca="1">IFERROR(I45/$C$3,0)</f>
        <v>81661900.49523139</v>
      </c>
      <c r="K45" s="198">
        <f>D45*$L$41-E45</f>
        <v>1224928507.4284708</v>
      </c>
      <c r="L45" s="198">
        <f ca="1">IFERROR(K45/$C$3,0)</f>
        <v>81661900.49523139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11304209688.47403</v>
      </c>
      <c r="E46" s="47">
        <f>E43+E44+E45</f>
        <v>4108818594.3880796</v>
      </c>
      <c r="F46" s="188">
        <f>IFERROR(E46/D46,0)</f>
        <v>0.36347685575732935</v>
      </c>
      <c r="G46" s="194">
        <f>G43+G44+G45</f>
        <v>7195391094.0859509</v>
      </c>
      <c r="H46" s="194">
        <f ca="1">IFERROR(G46/$C$3,0)</f>
        <v>479692739.60573006</v>
      </c>
      <c r="I46" s="199">
        <f>I43+I44+I45</f>
        <v>7195391094.0859509</v>
      </c>
      <c r="J46" s="199">
        <f ca="1">IFERROR(I46/$C$3,0)</f>
        <v>479692739.60573006</v>
      </c>
      <c r="K46" s="199">
        <f>K43+K44+K45</f>
        <v>7195391094.0859509</v>
      </c>
      <c r="L46" s="199">
        <f ca="1">IFERROR(K46/$C$3,0)</f>
        <v>479692739.60573006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71" t="s">
        <v>147</v>
      </c>
      <c r="C48" s="272"/>
      <c r="D48" s="272"/>
      <c r="E48" s="272"/>
      <c r="F48" s="272"/>
      <c r="G48" s="272"/>
      <c r="H48" s="272"/>
      <c r="I48" s="272"/>
      <c r="J48" s="272"/>
      <c r="K48" s="259" t="s">
        <v>188</v>
      </c>
      <c r="L48" s="260"/>
      <c r="M48" s="260"/>
      <c r="N48" s="260"/>
      <c r="O48" s="260"/>
      <c r="P48" s="261"/>
    </row>
    <row r="49" spans="2:16" ht="15.75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62" t="str">
        <f>"SELISIH"&amp;CHAR(10)&amp;TEXT($H$41,"0%")</f>
        <v>SELISIH
100%</v>
      </c>
      <c r="L49" s="262" t="str">
        <f>"PER HARI"&amp;CHAR(10)&amp;TEXT($H$41,"0%")</f>
        <v>PER HARI
100%</v>
      </c>
      <c r="M49" s="264" t="str">
        <f>"SELISIH"&amp;CHAR(10)&amp;TEXT($J$41,"0%")</f>
        <v>SELISIH
100%</v>
      </c>
      <c r="N49" s="264" t="str">
        <f>"PER HARI"&amp;CHAR(10)&amp;TEXT($J$41,"0%")</f>
        <v>PER HARI
100%</v>
      </c>
      <c r="O49" s="266" t="str">
        <f>"SELISIH"&amp;CHAR(10)&amp;TEXT($L$41,"0%")</f>
        <v>SELISIH
100%</v>
      </c>
      <c r="P49" s="266" t="str">
        <f>"PER HARI"&amp;CHAR(10)&amp;TEXT($L$41,"0%")</f>
        <v>PER HARI
100%</v>
      </c>
    </row>
    <row r="50" spans="2:16" ht="15.75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63"/>
      <c r="L50" s="263"/>
      <c r="M50" s="265"/>
      <c r="N50" s="265"/>
      <c r="O50" s="267"/>
      <c r="P50" s="267"/>
    </row>
    <row r="51" spans="2:16" x14ac:dyDescent="0.25">
      <c r="B51" s="50" t="s">
        <v>67</v>
      </c>
      <c r="C51" s="55" t="s">
        <v>68</v>
      </c>
      <c r="D51" s="123">
        <f>TARGETS!R5</f>
        <v>505234708.40059847</v>
      </c>
      <c r="E51" s="123">
        <f>TARGETS!S5</f>
        <v>60640123.605248079</v>
      </c>
      <c r="F51" s="123">
        <f t="shared" ref="F51:F64" si="0">D51+E51</f>
        <v>565874832.0058465</v>
      </c>
      <c r="G51" s="119">
        <f>M8</f>
        <v>180008429.11602399</v>
      </c>
      <c r="H51" s="119">
        <f>N8</f>
        <v>19446128.434489001</v>
      </c>
      <c r="I51" s="119">
        <f t="shared" ref="I51:I64" si="1">G51+H51</f>
        <v>199454557.550513</v>
      </c>
      <c r="J51" s="200">
        <f t="shared" ref="J51:J64" si="2">IFERROR(I51/F51,0)</f>
        <v>0.35247115840708088</v>
      </c>
      <c r="K51" s="197">
        <f t="shared" ref="K51:K64" si="3">F51*$H$41-I51</f>
        <v>366420274.45533347</v>
      </c>
      <c r="L51" s="197">
        <f t="shared" ref="L51:L65" ca="1" si="4">IFERROR(K51/$C$3,0)</f>
        <v>24428018.297022231</v>
      </c>
      <c r="M51" s="193">
        <f t="shared" ref="M51:M64" si="5">F51*$J$41-I51</f>
        <v>366420274.45533347</v>
      </c>
      <c r="N51" s="193">
        <f t="shared" ref="N51:N65" ca="1" si="6">IFERROR(M51/$C$3,0)</f>
        <v>24428018.297022231</v>
      </c>
      <c r="O51" s="198">
        <f t="shared" ref="O51:O64" si="7">F51*$L$41-I51</f>
        <v>366420274.45533347</v>
      </c>
      <c r="P51" s="198">
        <f t="shared" ref="P51:P65" ca="1" si="8">IFERROR(O51/$C$3,0)</f>
        <v>24428018.297022231</v>
      </c>
    </row>
    <row r="52" spans="2:16" x14ac:dyDescent="0.25">
      <c r="B52" s="53" t="s">
        <v>69</v>
      </c>
      <c r="C52" s="56" t="s">
        <v>70</v>
      </c>
      <c r="D52" s="124">
        <f>TARGETS!R6</f>
        <v>671454691.1268847</v>
      </c>
      <c r="E52" s="124">
        <f>TARGETS!S6</f>
        <v>165576502.41228893</v>
      </c>
      <c r="F52" s="124">
        <f t="shared" si="0"/>
        <v>837031193.5391736</v>
      </c>
      <c r="G52" s="119">
        <f>M9</f>
        <v>269041733.13860601</v>
      </c>
      <c r="H52" s="119">
        <f>N9</f>
        <v>51364619.359665997</v>
      </c>
      <c r="I52" s="119">
        <f t="shared" si="1"/>
        <v>320406352.498272</v>
      </c>
      <c r="J52" s="200">
        <f t="shared" si="2"/>
        <v>0.3827890226450405</v>
      </c>
      <c r="K52" s="197">
        <f t="shared" si="3"/>
        <v>516624841.0409016</v>
      </c>
      <c r="L52" s="197">
        <f t="shared" ca="1" si="4"/>
        <v>34441656.069393441</v>
      </c>
      <c r="M52" s="193">
        <f t="shared" si="5"/>
        <v>516624841.0409016</v>
      </c>
      <c r="N52" s="193">
        <f t="shared" ca="1" si="6"/>
        <v>34441656.069393441</v>
      </c>
      <c r="O52" s="198">
        <f t="shared" si="7"/>
        <v>516624841.0409016</v>
      </c>
      <c r="P52" s="198">
        <f t="shared" ca="1" si="8"/>
        <v>34441656.069393441</v>
      </c>
    </row>
    <row r="53" spans="2:16" x14ac:dyDescent="0.25">
      <c r="B53" s="145" t="s">
        <v>174</v>
      </c>
      <c r="C53" s="146" t="s">
        <v>175</v>
      </c>
      <c r="D53" s="147">
        <f>TARGETS!R7</f>
        <v>262953105.06301075</v>
      </c>
      <c r="E53" s="147">
        <f>TARGETS!S7</f>
        <v>0</v>
      </c>
      <c r="F53" s="147">
        <f>D53+E53</f>
        <v>262953105.06301075</v>
      </c>
      <c r="G53" s="119">
        <f>C20</f>
        <v>57988266.100000001</v>
      </c>
      <c r="H53" s="119">
        <f>IF(D20="",0,D20)</f>
        <v>0</v>
      </c>
      <c r="I53" s="119">
        <f>G53+H53</f>
        <v>57988266.100000001</v>
      </c>
      <c r="J53" s="200">
        <f>IFERROR(I53/F53,0)</f>
        <v>0.22052702547895156</v>
      </c>
      <c r="K53" s="197">
        <f t="shared" si="3"/>
        <v>204964838.96301076</v>
      </c>
      <c r="L53" s="197">
        <f t="shared" ca="1" si="4"/>
        <v>13664322.597534051</v>
      </c>
      <c r="M53" s="193">
        <f t="shared" si="5"/>
        <v>204964838.96301076</v>
      </c>
      <c r="N53" s="193">
        <f t="shared" ca="1" si="6"/>
        <v>13664322.597534051</v>
      </c>
      <c r="O53" s="198">
        <f t="shared" si="7"/>
        <v>204964838.96301076</v>
      </c>
      <c r="P53" s="198">
        <f t="shared" ca="1" si="8"/>
        <v>13664322.597534051</v>
      </c>
    </row>
    <row r="54" spans="2:16" x14ac:dyDescent="0.25">
      <c r="B54" s="53" t="s">
        <v>71</v>
      </c>
      <c r="C54" s="56" t="s">
        <v>72</v>
      </c>
      <c r="D54" s="124">
        <f>TARGETS!R8</f>
        <v>742384808.84903777</v>
      </c>
      <c r="E54" s="124">
        <f>TARGETS!S8</f>
        <v>35794312.055859983</v>
      </c>
      <c r="F54" s="124">
        <f t="shared" si="0"/>
        <v>778179120.90489769</v>
      </c>
      <c r="G54" s="119">
        <f>M10</f>
        <v>479483743.84560901</v>
      </c>
      <c r="H54" s="119">
        <f t="shared" ref="H54:H58" si="9">N10</f>
        <v>17561951.689929001</v>
      </c>
      <c r="I54" s="119">
        <f t="shared" si="1"/>
        <v>497045695.53553802</v>
      </c>
      <c r="J54" s="200">
        <f t="shared" si="2"/>
        <v>0.63872915911384709</v>
      </c>
      <c r="K54" s="197">
        <f t="shared" si="3"/>
        <v>281133425.36935967</v>
      </c>
      <c r="L54" s="197">
        <f t="shared" ca="1" si="4"/>
        <v>18742228.357957311</v>
      </c>
      <c r="M54" s="193">
        <f t="shared" si="5"/>
        <v>281133425.36935967</v>
      </c>
      <c r="N54" s="193">
        <f t="shared" ca="1" si="6"/>
        <v>18742228.357957311</v>
      </c>
      <c r="O54" s="198">
        <f t="shared" si="7"/>
        <v>281133425.36935967</v>
      </c>
      <c r="P54" s="198">
        <f t="shared" ca="1" si="8"/>
        <v>18742228.357957311</v>
      </c>
    </row>
    <row r="55" spans="2:16" x14ac:dyDescent="0.25">
      <c r="B55" s="50" t="s">
        <v>73</v>
      </c>
      <c r="C55" s="55" t="s">
        <v>193</v>
      </c>
      <c r="D55" s="123">
        <f>TARGETS!R9</f>
        <v>496309709.75250041</v>
      </c>
      <c r="E55" s="123">
        <f>TARGETS!S9</f>
        <v>54597557.63085559</v>
      </c>
      <c r="F55" s="123">
        <f t="shared" si="0"/>
        <v>550907267.38335598</v>
      </c>
      <c r="G55" s="119">
        <f>M11</f>
        <v>115254054.59954999</v>
      </c>
      <c r="H55" s="119">
        <f t="shared" si="9"/>
        <v>8122463</v>
      </c>
      <c r="I55" s="119">
        <f t="shared" si="1"/>
        <v>123376517.59954999</v>
      </c>
      <c r="J55" s="200">
        <f t="shared" si="2"/>
        <v>0.22395151580691863</v>
      </c>
      <c r="K55" s="197">
        <f t="shared" si="3"/>
        <v>427530749.78380597</v>
      </c>
      <c r="L55" s="197">
        <f t="shared" ca="1" si="4"/>
        <v>28502049.985587064</v>
      </c>
      <c r="M55" s="193">
        <f t="shared" si="5"/>
        <v>427530749.78380597</v>
      </c>
      <c r="N55" s="193">
        <f t="shared" ca="1" si="6"/>
        <v>28502049.985587064</v>
      </c>
      <c r="O55" s="198">
        <f t="shared" si="7"/>
        <v>427530749.78380597</v>
      </c>
      <c r="P55" s="198">
        <f t="shared" ca="1" si="8"/>
        <v>28502049.985587064</v>
      </c>
    </row>
    <row r="56" spans="2:16" x14ac:dyDescent="0.25">
      <c r="B56" s="53" t="s">
        <v>75</v>
      </c>
      <c r="C56" s="56" t="s">
        <v>99</v>
      </c>
      <c r="D56" s="124">
        <f>TARGETS!R10</f>
        <v>519189534.27822161</v>
      </c>
      <c r="E56" s="124">
        <f>TARGETS!S10</f>
        <v>107263766.34102874</v>
      </c>
      <c r="F56" s="124">
        <f t="shared" si="0"/>
        <v>626453300.6192503</v>
      </c>
      <c r="G56" s="119">
        <f>M12</f>
        <v>148494512.86356598</v>
      </c>
      <c r="H56" s="119">
        <f t="shared" si="9"/>
        <v>50653867.356348999</v>
      </c>
      <c r="I56" s="119">
        <f t="shared" si="1"/>
        <v>199148380.21991497</v>
      </c>
      <c r="J56" s="200">
        <f t="shared" si="2"/>
        <v>0.31789820569714677</v>
      </c>
      <c r="K56" s="197">
        <f t="shared" si="3"/>
        <v>427304920.39933532</v>
      </c>
      <c r="L56" s="197">
        <f t="shared" ca="1" si="4"/>
        <v>28486994.693289023</v>
      </c>
      <c r="M56" s="193">
        <f t="shared" si="5"/>
        <v>427304920.39933532</v>
      </c>
      <c r="N56" s="193">
        <f t="shared" ca="1" si="6"/>
        <v>28486994.693289023</v>
      </c>
      <c r="O56" s="198">
        <f t="shared" si="7"/>
        <v>427304920.39933532</v>
      </c>
      <c r="P56" s="198">
        <f t="shared" ca="1" si="8"/>
        <v>28486994.693289023</v>
      </c>
    </row>
    <row r="57" spans="2:16" x14ac:dyDescent="0.25">
      <c r="B57" s="50" t="s">
        <v>76</v>
      </c>
      <c r="C57" s="55" t="s">
        <v>77</v>
      </c>
      <c r="D57" s="123">
        <f>TARGETS!R11</f>
        <v>1075242934.3238537</v>
      </c>
      <c r="E57" s="123">
        <f>TARGETS!S11</f>
        <v>85448443.319925025</v>
      </c>
      <c r="F57" s="123">
        <f t="shared" si="0"/>
        <v>1160691377.6437788</v>
      </c>
      <c r="G57" s="119">
        <f>M13</f>
        <v>414378492.91257101</v>
      </c>
      <c r="H57" s="119">
        <f t="shared" si="9"/>
        <v>29982427.769977</v>
      </c>
      <c r="I57" s="119">
        <f t="shared" si="1"/>
        <v>444360920.68254799</v>
      </c>
      <c r="J57" s="200">
        <f t="shared" si="2"/>
        <v>0.38284157980445022</v>
      </c>
      <c r="K57" s="197">
        <f t="shared" si="3"/>
        <v>716330456.96123075</v>
      </c>
      <c r="L57" s="197">
        <f t="shared" ca="1" si="4"/>
        <v>47755363.797415383</v>
      </c>
      <c r="M57" s="193">
        <f t="shared" si="5"/>
        <v>716330456.96123075</v>
      </c>
      <c r="N57" s="193">
        <f t="shared" ca="1" si="6"/>
        <v>47755363.797415383</v>
      </c>
      <c r="O57" s="198">
        <f t="shared" si="7"/>
        <v>716330456.96123075</v>
      </c>
      <c r="P57" s="198">
        <f t="shared" ca="1" si="8"/>
        <v>47755363.797415383</v>
      </c>
    </row>
    <row r="58" spans="2:16" x14ac:dyDescent="0.25">
      <c r="B58" s="53" t="s">
        <v>78</v>
      </c>
      <c r="C58" s="56" t="s">
        <v>79</v>
      </c>
      <c r="D58" s="124">
        <f>TARGETS!R12</f>
        <v>577111702.00922382</v>
      </c>
      <c r="E58" s="124">
        <f>TARGETS!S12</f>
        <v>88976480.286837116</v>
      </c>
      <c r="F58" s="124">
        <f t="shared" si="0"/>
        <v>666088182.29606092</v>
      </c>
      <c r="G58" s="119">
        <f>M14</f>
        <v>243482030.69435501</v>
      </c>
      <c r="H58" s="119">
        <f t="shared" si="9"/>
        <v>40162708.209918998</v>
      </c>
      <c r="I58" s="119">
        <f>G58+H58</f>
        <v>283644738.90427399</v>
      </c>
      <c r="J58" s="200">
        <f>IFERROR(I58/F58,0)</f>
        <v>0.42583661809841328</v>
      </c>
      <c r="K58" s="197">
        <f t="shared" si="3"/>
        <v>382443443.39178693</v>
      </c>
      <c r="L58" s="197">
        <f t="shared" ca="1" si="4"/>
        <v>25496229.559452463</v>
      </c>
      <c r="M58" s="193">
        <f t="shared" si="5"/>
        <v>382443443.39178693</v>
      </c>
      <c r="N58" s="193">
        <f t="shared" ca="1" si="6"/>
        <v>25496229.559452463</v>
      </c>
      <c r="O58" s="198">
        <f t="shared" si="7"/>
        <v>382443443.39178693</v>
      </c>
      <c r="P58" s="198">
        <f t="shared" ca="1" si="8"/>
        <v>25496229.559452463</v>
      </c>
    </row>
    <row r="59" spans="2:16" x14ac:dyDescent="0.25">
      <c r="B59" s="145" t="s">
        <v>174</v>
      </c>
      <c r="C59" s="146" t="s">
        <v>176</v>
      </c>
      <c r="D59" s="147">
        <f>TARGETS!R13</f>
        <v>443846715.57642001</v>
      </c>
      <c r="E59" s="147">
        <f>TARGETS!S13</f>
        <v>0</v>
      </c>
      <c r="F59" s="147">
        <f>D59+E59</f>
        <v>443846715.57642001</v>
      </c>
      <c r="G59" s="119">
        <f>C21</f>
        <v>105651277.54000001</v>
      </c>
      <c r="H59" s="119">
        <f>IF(D21="",0,D21)</f>
        <v>0</v>
      </c>
      <c r="I59" s="119">
        <f>G59+H59</f>
        <v>105651277.54000001</v>
      </c>
      <c r="J59" s="200">
        <f>IFERROR(I59/F59,0)</f>
        <v>0.23803550602552409</v>
      </c>
      <c r="K59" s="197">
        <f t="shared" si="3"/>
        <v>338195438.03641999</v>
      </c>
      <c r="L59" s="197">
        <f t="shared" ca="1" si="4"/>
        <v>22546362.535761334</v>
      </c>
      <c r="M59" s="193">
        <f t="shared" si="5"/>
        <v>338195438.03641999</v>
      </c>
      <c r="N59" s="193">
        <f t="shared" ca="1" si="6"/>
        <v>22546362.535761334</v>
      </c>
      <c r="O59" s="198">
        <f t="shared" si="7"/>
        <v>338195438.03641999</v>
      </c>
      <c r="P59" s="198">
        <f t="shared" ca="1" si="8"/>
        <v>22546362.535761334</v>
      </c>
    </row>
    <row r="60" spans="2:16" x14ac:dyDescent="0.25">
      <c r="B60" s="53" t="s">
        <v>80</v>
      </c>
      <c r="C60" s="56" t="s">
        <v>193</v>
      </c>
      <c r="D60" s="124">
        <f>TARGETS!R14</f>
        <v>528718642.70198309</v>
      </c>
      <c r="E60" s="124">
        <f>TARGETS!S14</f>
        <v>101974877.61343271</v>
      </c>
      <c r="F60" s="124">
        <f t="shared" si="0"/>
        <v>630693520.31541586</v>
      </c>
      <c r="G60" s="119">
        <f>M15</f>
        <v>175986155.811088</v>
      </c>
      <c r="H60" s="119">
        <f t="shared" ref="H60:H64" si="10">N15</f>
        <v>39022987.501790002</v>
      </c>
      <c r="I60" s="119">
        <f t="shared" si="1"/>
        <v>215009143.31287801</v>
      </c>
      <c r="J60" s="200">
        <f t="shared" si="2"/>
        <v>0.34090907292871803</v>
      </c>
      <c r="K60" s="197">
        <f t="shared" si="3"/>
        <v>415684377.00253785</v>
      </c>
      <c r="L60" s="197">
        <f t="shared" ca="1" si="4"/>
        <v>27712291.800169189</v>
      </c>
      <c r="M60" s="193">
        <f t="shared" si="5"/>
        <v>415684377.00253785</v>
      </c>
      <c r="N60" s="193">
        <f t="shared" ca="1" si="6"/>
        <v>27712291.800169189</v>
      </c>
      <c r="O60" s="198">
        <f t="shared" si="7"/>
        <v>415684377.00253785</v>
      </c>
      <c r="P60" s="198">
        <f t="shared" ca="1" si="8"/>
        <v>27712291.800169189</v>
      </c>
    </row>
    <row r="61" spans="2:16" x14ac:dyDescent="0.25">
      <c r="B61" s="50" t="s">
        <v>82</v>
      </c>
      <c r="C61" s="55" t="s">
        <v>83</v>
      </c>
      <c r="D61" s="123">
        <f>TARGETS!R15</f>
        <v>712842707.51473606</v>
      </c>
      <c r="E61" s="123">
        <f>TARGETS!S15</f>
        <v>55257406.157477453</v>
      </c>
      <c r="F61" s="123">
        <f t="shared" si="0"/>
        <v>768100113.67221355</v>
      </c>
      <c r="G61" s="119">
        <f>M16</f>
        <v>274691067.02537298</v>
      </c>
      <c r="H61" s="119">
        <f t="shared" si="10"/>
        <v>27649049.549996998</v>
      </c>
      <c r="I61" s="119">
        <f t="shared" si="1"/>
        <v>302340116.57536995</v>
      </c>
      <c r="J61" s="200">
        <f t="shared" si="2"/>
        <v>0.39362071583339653</v>
      </c>
      <c r="K61" s="197">
        <f t="shared" si="3"/>
        <v>465759997.0968436</v>
      </c>
      <c r="L61" s="197">
        <f t="shared" ca="1" si="4"/>
        <v>31050666.473122906</v>
      </c>
      <c r="M61" s="193">
        <f t="shared" si="5"/>
        <v>465759997.0968436</v>
      </c>
      <c r="N61" s="193">
        <f t="shared" ca="1" si="6"/>
        <v>31050666.473122906</v>
      </c>
      <c r="O61" s="198">
        <f t="shared" si="7"/>
        <v>465759997.0968436</v>
      </c>
      <c r="P61" s="198">
        <f t="shared" ca="1" si="8"/>
        <v>31050666.473122906</v>
      </c>
    </row>
    <row r="62" spans="2:16" x14ac:dyDescent="0.25">
      <c r="B62" s="53" t="s">
        <v>84</v>
      </c>
      <c r="C62" s="56" t="s">
        <v>85</v>
      </c>
      <c r="D62" s="124">
        <f>TARGETS!R16</f>
        <v>495867895.49250114</v>
      </c>
      <c r="E62" s="124">
        <f>TARGETS!S16</f>
        <v>32662674.187332422</v>
      </c>
      <c r="F62" s="124">
        <f t="shared" si="0"/>
        <v>528530569.67983353</v>
      </c>
      <c r="G62" s="119">
        <f>M17</f>
        <v>154563855.808606</v>
      </c>
      <c r="H62" s="119">
        <f t="shared" si="10"/>
        <v>17060003.349192999</v>
      </c>
      <c r="I62" s="119">
        <f t="shared" si="1"/>
        <v>171623859.15779901</v>
      </c>
      <c r="J62" s="200">
        <f t="shared" si="2"/>
        <v>0.32471888856261066</v>
      </c>
      <c r="K62" s="197">
        <f t="shared" si="3"/>
        <v>356906710.52203453</v>
      </c>
      <c r="L62" s="197">
        <f t="shared" ca="1" si="4"/>
        <v>23793780.701468967</v>
      </c>
      <c r="M62" s="193">
        <f t="shared" si="5"/>
        <v>356906710.52203453</v>
      </c>
      <c r="N62" s="193">
        <f t="shared" ca="1" si="6"/>
        <v>23793780.701468967</v>
      </c>
      <c r="O62" s="198">
        <f t="shared" si="7"/>
        <v>356906710.52203453</v>
      </c>
      <c r="P62" s="198">
        <f t="shared" ca="1" si="8"/>
        <v>23793780.701468967</v>
      </c>
    </row>
    <row r="63" spans="2:16" x14ac:dyDescent="0.25">
      <c r="B63" s="50" t="s">
        <v>86</v>
      </c>
      <c r="C63" s="55" t="s">
        <v>87</v>
      </c>
      <c r="D63" s="123">
        <f>TARGETS!R17</f>
        <v>720052460.26793551</v>
      </c>
      <c r="E63" s="123">
        <f>TARGETS!S17</f>
        <v>310428849.14490294</v>
      </c>
      <c r="F63" s="123">
        <f t="shared" si="0"/>
        <v>1030481309.4128385</v>
      </c>
      <c r="G63" s="119">
        <f>M18</f>
        <v>248416813.82227001</v>
      </c>
      <c r="H63" s="119">
        <f t="shared" si="10"/>
        <v>125475548.524428</v>
      </c>
      <c r="I63" s="119">
        <f t="shared" si="1"/>
        <v>373892362.34669799</v>
      </c>
      <c r="J63" s="200">
        <f t="shared" si="2"/>
        <v>0.36283274517588232</v>
      </c>
      <c r="K63" s="197">
        <f t="shared" si="3"/>
        <v>656588947.06614041</v>
      </c>
      <c r="L63" s="197">
        <f t="shared" ca="1" si="4"/>
        <v>43772596.471076027</v>
      </c>
      <c r="M63" s="193">
        <f t="shared" si="5"/>
        <v>656588947.06614041</v>
      </c>
      <c r="N63" s="193">
        <f t="shared" ca="1" si="6"/>
        <v>43772596.471076027</v>
      </c>
      <c r="O63" s="198">
        <f t="shared" si="7"/>
        <v>656588947.06614041</v>
      </c>
      <c r="P63" s="198">
        <f t="shared" ca="1" si="8"/>
        <v>43772596.471076027</v>
      </c>
    </row>
    <row r="64" spans="2:16" x14ac:dyDescent="0.25">
      <c r="B64" s="53" t="s">
        <v>88</v>
      </c>
      <c r="C64" s="56" t="s">
        <v>89</v>
      </c>
      <c r="D64" s="124">
        <f>TARGETS!R18</f>
        <v>392599628.84267223</v>
      </c>
      <c r="E64" s="124">
        <f>TARGETS!S18</f>
        <v>195822004.71075061</v>
      </c>
      <c r="F64" s="124">
        <f t="shared" si="0"/>
        <v>588421633.55342281</v>
      </c>
      <c r="G64" s="119">
        <f>M19</f>
        <v>116602901.203216</v>
      </c>
      <c r="H64" s="119">
        <f t="shared" si="10"/>
        <v>57244565.781468995</v>
      </c>
      <c r="I64" s="119">
        <f t="shared" si="1"/>
        <v>173847466.984685</v>
      </c>
      <c r="J64" s="200">
        <f t="shared" si="2"/>
        <v>0.29544710301495297</v>
      </c>
      <c r="K64" s="197">
        <f t="shared" si="3"/>
        <v>414574166.5687378</v>
      </c>
      <c r="L64" s="197">
        <f t="shared" ca="1" si="4"/>
        <v>27638277.771249186</v>
      </c>
      <c r="M64" s="193">
        <f t="shared" si="5"/>
        <v>414574166.5687378</v>
      </c>
      <c r="N64" s="193">
        <f t="shared" ca="1" si="6"/>
        <v>27638277.771249186</v>
      </c>
      <c r="O64" s="198">
        <f t="shared" si="7"/>
        <v>414574166.5687378</v>
      </c>
      <c r="P64" s="198">
        <f t="shared" ca="1" si="8"/>
        <v>27638277.771249186</v>
      </c>
    </row>
    <row r="65" spans="2:16" x14ac:dyDescent="0.25">
      <c r="B65" s="57" t="s">
        <v>152</v>
      </c>
      <c r="C65" s="58"/>
      <c r="D65" s="143">
        <f>SUM(D51:D64)</f>
        <v>8143809244.1995802</v>
      </c>
      <c r="E65" s="143">
        <f t="shared" ref="E65" si="11">SUM(E51:E52,E54:E58,E60:E64)</f>
        <v>1294442997.4659395</v>
      </c>
      <c r="F65" s="143">
        <f>SUM(F51:F64)</f>
        <v>9438252241.6655178</v>
      </c>
      <c r="G65" s="144">
        <f>SUM(G51:G64)</f>
        <v>2984043334.480834</v>
      </c>
      <c r="H65" s="144">
        <f>SUM(H51:H64)</f>
        <v>483746320.52720594</v>
      </c>
      <c r="I65" s="144">
        <f>SUM(I51:I64)</f>
        <v>3467789655.0080395</v>
      </c>
      <c r="J65" s="203">
        <f>IFERROR(I65/F65,0)</f>
        <v>0.36741862436133593</v>
      </c>
      <c r="K65" s="194">
        <f>SUM(K51:K64)</f>
        <v>5970462586.6574783</v>
      </c>
      <c r="L65" s="194">
        <f t="shared" ca="1" si="4"/>
        <v>398030839.11049855</v>
      </c>
      <c r="M65" s="194">
        <f>SUM(M51:M64)</f>
        <v>5970462586.6574783</v>
      </c>
      <c r="N65" s="194">
        <f t="shared" ca="1" si="6"/>
        <v>398030839.11049855</v>
      </c>
      <c r="O65" s="199">
        <f>SUM(O51:O64)</f>
        <v>5970462586.6574783</v>
      </c>
      <c r="P65" s="199">
        <f t="shared" ca="1" si="8"/>
        <v>398030839.11049855</v>
      </c>
    </row>
    <row r="66" spans="2:16" x14ac:dyDescent="0.25">
      <c r="G66" s="116"/>
      <c r="H66" s="116"/>
      <c r="I66" s="116"/>
    </row>
    <row r="67" spans="2:16" ht="18.75" x14ac:dyDescent="0.25">
      <c r="B67" s="277" t="s">
        <v>145</v>
      </c>
      <c r="C67" s="278"/>
      <c r="D67" s="278"/>
      <c r="E67" s="278"/>
      <c r="F67" s="278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100%</v>
      </c>
      <c r="H68" s="195" t="str">
        <f>"PER HARI"&amp;CHAR(10)&amp;TEXT($H$41,"0%")</f>
        <v>PER HARI
100%</v>
      </c>
      <c r="I68" s="216" t="str">
        <f>"SELISIH"&amp;CHAR(10)&amp;TEXT($J$41,"0%")</f>
        <v>SELISIH
100%</v>
      </c>
      <c r="J68" s="217" t="str">
        <f>"PER HARI"&amp;CHAR(10)&amp;TEXT($J$41,"0%")</f>
        <v>PER HARI
100%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298101474.90070933</v>
      </c>
      <c r="E69" s="119">
        <f>IFERROR(C32,0)</f>
        <v>76248680.789563999</v>
      </c>
      <c r="F69" s="200">
        <f t="shared" ref="F69:F74" si="12">IFERROR(E69/D69,0)</f>
        <v>0.25578095785993898</v>
      </c>
      <c r="G69" s="197">
        <f>D69*$H$41-E69</f>
        <v>221852794.11114532</v>
      </c>
      <c r="H69" s="197">
        <f t="shared" ref="H69:H74" ca="1" si="13">IFERROR(G69/$C$3,0)</f>
        <v>14790186.274076354</v>
      </c>
      <c r="I69" s="218">
        <f>D69*$J$41-E69</f>
        <v>221852794.11114532</v>
      </c>
      <c r="J69" s="218">
        <f t="shared" ref="J69:J74" ca="1" si="14">IFERROR(I69/$C$3,0)</f>
        <v>14790186.274076354</v>
      </c>
      <c r="K69" s="198">
        <f>D69*$L$41-E69</f>
        <v>221852794.11114532</v>
      </c>
      <c r="L69" s="198">
        <f t="shared" ref="L69:L74" ca="1" si="15">IFERROR(K69/$C$3,0)</f>
        <v>14790186.274076354</v>
      </c>
    </row>
    <row r="70" spans="2:16" x14ac:dyDescent="0.25">
      <c r="B70" s="53" t="s">
        <v>94</v>
      </c>
      <c r="C70" s="56" t="s">
        <v>99</v>
      </c>
      <c r="D70" s="122">
        <f>TARGETS!K23</f>
        <v>441402383.90070933</v>
      </c>
      <c r="E70" s="119">
        <f>IFERROR(C33,0)</f>
        <v>154455188.845431</v>
      </c>
      <c r="F70" s="200">
        <f t="shared" si="12"/>
        <v>0.34991924484072273</v>
      </c>
      <c r="G70" s="197">
        <f>D70*$H$41-E70</f>
        <v>286947195.0552783</v>
      </c>
      <c r="H70" s="197">
        <f t="shared" ca="1" si="13"/>
        <v>19129813.003685221</v>
      </c>
      <c r="I70" s="218">
        <f>D70*$J$41-E70</f>
        <v>286947195.0552783</v>
      </c>
      <c r="J70" s="218">
        <f t="shared" ca="1" si="14"/>
        <v>19129813.003685221</v>
      </c>
      <c r="K70" s="198">
        <f>D70*$L$41-E70</f>
        <v>286947195.0552783</v>
      </c>
      <c r="L70" s="198">
        <f t="shared" ca="1" si="15"/>
        <v>19129813.003685221</v>
      </c>
    </row>
    <row r="71" spans="2:16" x14ac:dyDescent="0.25">
      <c r="B71" s="50" t="s">
        <v>96</v>
      </c>
      <c r="C71" s="55" t="s">
        <v>97</v>
      </c>
      <c r="D71" s="121">
        <f>TARGETS!K24</f>
        <v>1126453588.0070922</v>
      </c>
      <c r="E71" s="119">
        <f>M21+M7</f>
        <v>410325069.74504501</v>
      </c>
      <c r="F71" s="200">
        <f t="shared" si="12"/>
        <v>0.36426273937392045</v>
      </c>
      <c r="G71" s="197">
        <f>D71*$H$41-E71</f>
        <v>716128518.26204729</v>
      </c>
      <c r="H71" s="197">
        <f t="shared" ca="1" si="13"/>
        <v>47741901.217469819</v>
      </c>
      <c r="I71" s="218">
        <f>D71*$J$41-E71</f>
        <v>716128518.26204729</v>
      </c>
      <c r="J71" s="218">
        <f t="shared" ca="1" si="14"/>
        <v>47741901.217469819</v>
      </c>
      <c r="K71" s="198">
        <f>D71*$L$41-E71</f>
        <v>716128518.26204729</v>
      </c>
      <c r="L71" s="198">
        <f t="shared" ca="1" si="15"/>
        <v>47741901.217469819</v>
      </c>
    </row>
    <row r="72" spans="2:16" hidden="1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idden="1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1865957446.8085108</v>
      </c>
      <c r="E74" s="120">
        <f>SUM(E69:E73)</f>
        <v>641028939.38003993</v>
      </c>
      <c r="F74" s="188">
        <f t="shared" si="12"/>
        <v>0.34353888427436574</v>
      </c>
      <c r="G74" s="194">
        <f>SUM(G69:G73)</f>
        <v>1224928507.4284708</v>
      </c>
      <c r="H74" s="194">
        <f t="shared" ca="1" si="13"/>
        <v>81661900.49523139</v>
      </c>
      <c r="I74" s="199">
        <f>SUM(I69:I73)</f>
        <v>1224928507.4284708</v>
      </c>
      <c r="J74" s="199">
        <f t="shared" ca="1" si="14"/>
        <v>81661900.49523139</v>
      </c>
      <c r="K74" s="199">
        <f>SUM(K69:K73)</f>
        <v>1224928507.4284708</v>
      </c>
      <c r="L74" s="199">
        <f t="shared" ca="1" si="15"/>
        <v>81661900.49523139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270404289.03992498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66877274.670000002</v>
      </c>
    </row>
    <row r="82" spans="2:4" x14ac:dyDescent="0.25">
      <c r="B82" s="53" t="s">
        <v>174</v>
      </c>
      <c r="C82" s="56" t="s">
        <v>175</v>
      </c>
      <c r="D82" s="141">
        <f>IF(E20="",0,E20)</f>
        <v>5225225.08</v>
      </c>
    </row>
    <row r="83" spans="2:4" x14ac:dyDescent="0.25">
      <c r="B83" s="50" t="s">
        <v>71</v>
      </c>
      <c r="C83" s="55" t="s">
        <v>72</v>
      </c>
      <c r="D83" s="140">
        <f>IF(E15="",0,E15)</f>
        <v>173572073.56990001</v>
      </c>
    </row>
    <row r="84" spans="2:4" x14ac:dyDescent="0.25">
      <c r="B84" s="53" t="s">
        <v>73</v>
      </c>
      <c r="C84" s="56" t="s">
        <v>193</v>
      </c>
      <c r="D84" s="141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30556675.350000001</v>
      </c>
    </row>
    <row r="86" spans="2:4" x14ac:dyDescent="0.25">
      <c r="B86" s="53" t="s">
        <v>76</v>
      </c>
      <c r="C86" s="56" t="s">
        <v>77</v>
      </c>
      <c r="D86" s="141">
        <f>IF(E17="",0,E17)</f>
        <v>620768825.28996503</v>
      </c>
    </row>
    <row r="87" spans="2:4" x14ac:dyDescent="0.25">
      <c r="B87" s="50" t="s">
        <v>78</v>
      </c>
      <c r="C87" s="55" t="s">
        <v>79</v>
      </c>
      <c r="D87" s="140">
        <f>IF(E23="",0,E23)</f>
        <v>162158705.28965899</v>
      </c>
    </row>
    <row r="88" spans="2:4" x14ac:dyDescent="0.25">
      <c r="B88" s="53" t="s">
        <v>174</v>
      </c>
      <c r="C88" s="56" t="s">
        <v>176</v>
      </c>
      <c r="D88" s="141">
        <f>IF(E21="",0,E21)</f>
        <v>7603603.4000000004</v>
      </c>
    </row>
    <row r="89" spans="2:4" x14ac:dyDescent="0.25">
      <c r="B89" s="53" t="s">
        <v>80</v>
      </c>
      <c r="C89" s="56" t="s">
        <v>193</v>
      </c>
      <c r="D89" s="141">
        <f>IF(E11="",0,E11)</f>
        <v>35027027.719999999</v>
      </c>
    </row>
    <row r="90" spans="2:4" x14ac:dyDescent="0.25">
      <c r="B90" s="50" t="s">
        <v>82</v>
      </c>
      <c r="C90" s="55" t="s">
        <v>83</v>
      </c>
      <c r="D90" s="140">
        <f>IF(E24="",0,E24)</f>
        <v>258252218.009734</v>
      </c>
    </row>
    <row r="91" spans="2:4" x14ac:dyDescent="0.25">
      <c r="B91" s="53" t="s">
        <v>84</v>
      </c>
      <c r="C91" s="56" t="s">
        <v>85</v>
      </c>
      <c r="D91" s="141">
        <f>IF(E10="",0,E10)</f>
        <v>79991102.230000004</v>
      </c>
    </row>
    <row r="92" spans="2:4" x14ac:dyDescent="0.25">
      <c r="B92" s="50" t="s">
        <v>86</v>
      </c>
      <c r="C92" s="55" t="s">
        <v>87</v>
      </c>
      <c r="D92" s="140">
        <f>IF(E27="",0,E27)</f>
        <v>6850054.2120000003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67994596.019999996</v>
      </c>
    </row>
    <row r="94" spans="2:4" x14ac:dyDescent="0.25">
      <c r="B94" s="57" t="s">
        <v>152</v>
      </c>
      <c r="C94" s="58"/>
      <c r="D94" s="125">
        <f>SUM(D80:D93)</f>
        <v>1785281669.8811831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IF($J$5&lt;&gt;"",$J$5,MAX(0,NETWORKDAYS.INTL(MAX(TODAY(),DATE(YEAR(TODAY()),9,1)),EOMONTH(DATE(YEAR(TODAY()),9,1),0),11)-MAX(0,$J$3-$J$4)))</f>
        <v>26</v>
      </c>
      <c r="D3" s="79" t="s">
        <v>104</v>
      </c>
      <c r="E3" s="80">
        <f ca="1">DAY(EOMONTH(DATE(YEAR(TODAY()),9,1),0))</f>
        <v>30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68" t="s">
        <v>163</v>
      </c>
      <c r="C41" s="269"/>
      <c r="D41" s="270"/>
      <c r="E41" s="67" t="s">
        <v>138</v>
      </c>
      <c r="F41" s="185">
        <f ca="1">IF(MONTH(TODAY())=9,DAY(TODAY())/DAY(EOMONTH(TODAY(),0)),IF(MONTH(TODAY())&gt;9,1,0))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71" t="s">
        <v>147</v>
      </c>
      <c r="C48" s="272"/>
      <c r="D48" s="272"/>
      <c r="E48" s="272"/>
      <c r="F48" s="272"/>
      <c r="G48" s="272"/>
      <c r="H48" s="272"/>
      <c r="I48" s="272"/>
      <c r="J48" s="272"/>
      <c r="K48" s="259" t="s">
        <v>188</v>
      </c>
      <c r="L48" s="260"/>
      <c r="M48" s="260"/>
      <c r="N48" s="260"/>
      <c r="O48" s="260"/>
      <c r="P48" s="261"/>
    </row>
    <row r="49" spans="2:16" ht="15.75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64" t="str">
        <f>"PER HARI"&amp;CHAR(10)&amp;TEXT($J$41,"0%")</f>
        <v>PER HARI
95%</v>
      </c>
      <c r="O49" s="266" t="str">
        <f>"SELISIH"&amp;CHAR(10)&amp;TEXT($L$41,"0%")</f>
        <v>SELISIH
100%</v>
      </c>
      <c r="P49" s="266" t="str">
        <f>"PER HARI"&amp;CHAR(10)&amp;TEXT($L$41,"0%")</f>
        <v>PER HARI
100%</v>
      </c>
    </row>
    <row r="50" spans="2:16" ht="15.75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63"/>
      <c r="L50" s="263"/>
      <c r="M50" s="265"/>
      <c r="N50" s="265"/>
      <c r="O50" s="267"/>
      <c r="P50" s="267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7" t="s">
        <v>145</v>
      </c>
      <c r="C67" s="278"/>
      <c r="D67" s="278"/>
      <c r="E67" s="278"/>
      <c r="F67" s="278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IF($J$5&lt;&gt;"",$J$5,MAX(0,NETWORKDAYS.INTL(MAX(TODAY(),DATE(YEAR(TODAY()),10,1)),EOMONTH(DATE(YEAR(TODAY()),10,1),0),11)-MAX(0,$J$3-$J$4)))</f>
        <v>27</v>
      </c>
      <c r="D3" s="79" t="s">
        <v>104</v>
      </c>
      <c r="E3" s="80">
        <f ca="1">DAY(EOMONTH(DATE(YEAR(TODAY()),10,1),0))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8" t="s">
        <v>165</v>
      </c>
      <c r="C41" s="269"/>
      <c r="D41" s="270"/>
      <c r="E41" s="67" t="s">
        <v>138</v>
      </c>
      <c r="F41" s="185">
        <f ca="1">IF(MONTH(TODAY())=10,DAY(TODAY())/DAY(EOMONTH(TODAY(),0)),IF(MONTH(TODAY())&gt;10,1,0))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71" t="s">
        <v>147</v>
      </c>
      <c r="C48" s="272"/>
      <c r="D48" s="272"/>
      <c r="E48" s="272"/>
      <c r="F48" s="272"/>
      <c r="G48" s="272"/>
      <c r="H48" s="272"/>
      <c r="I48" s="272"/>
      <c r="J48" s="272"/>
      <c r="K48" s="259" t="s">
        <v>188</v>
      </c>
      <c r="L48" s="260"/>
      <c r="M48" s="260"/>
      <c r="N48" s="260"/>
      <c r="O48" s="260"/>
      <c r="P48" s="261"/>
    </row>
    <row r="49" spans="2:16" ht="33.950000000000003" customHeight="1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64" t="str">
        <f>"PER HARI"&amp;CHAR(10)&amp;TEXT($J$41,"0%")</f>
        <v>PER HARI
95%</v>
      </c>
      <c r="O49" s="266" t="str">
        <f>"SELISIH"&amp;CHAR(10)&amp;TEXT($L$41,"0%")</f>
        <v>SELISIH
100%</v>
      </c>
      <c r="P49" s="266" t="str">
        <f>"PER HARI"&amp;CHAR(10)&amp;TEXT($L$41,"0%")</f>
        <v>PER HARI
100%</v>
      </c>
    </row>
    <row r="50" spans="2:16" ht="51" customHeight="1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63"/>
      <c r="L50" s="263"/>
      <c r="M50" s="265"/>
      <c r="N50" s="265"/>
      <c r="O50" s="267"/>
      <c r="P50" s="267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7" t="s">
        <v>145</v>
      </c>
      <c r="C67" s="278"/>
      <c r="D67" s="278"/>
      <c r="E67" s="278"/>
      <c r="F67" s="278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IF($J$5&lt;&gt;"",$J$5,MAX(0,NETWORKDAYS.INTL(MAX(TODAY(),DATE(YEAR(TODAY()),11,1)),EOMONTH(DATE(YEAR(TODAY()),11,1),0),11)-MAX(0,$J$3-$J$4)))</f>
        <v>25</v>
      </c>
      <c r="D3" s="79" t="s">
        <v>104</v>
      </c>
      <c r="E3" s="80">
        <f ca="1">DAY(EOMONTH(DATE(YEAR(TODAY()),11,1),0))</f>
        <v>30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8" t="s">
        <v>177</v>
      </c>
      <c r="C41" s="269"/>
      <c r="D41" s="270"/>
      <c r="E41" s="67" t="s">
        <v>138</v>
      </c>
      <c r="F41" s="185">
        <f ca="1">IF(MONTH(TODAY())=11,DAY(TODAY())/DAY(EOMONTH(TODAY(),0)),IF(MONTH(TODAY())&gt;11,1,0))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71" t="s">
        <v>147</v>
      </c>
      <c r="C48" s="272"/>
      <c r="D48" s="272"/>
      <c r="E48" s="272"/>
      <c r="F48" s="272"/>
      <c r="G48" s="272"/>
      <c r="H48" s="272"/>
      <c r="I48" s="272"/>
      <c r="J48" s="272"/>
      <c r="K48" s="259" t="s">
        <v>188</v>
      </c>
      <c r="L48" s="260"/>
      <c r="M48" s="260"/>
      <c r="N48" s="260"/>
      <c r="O48" s="260"/>
      <c r="P48" s="261"/>
    </row>
    <row r="49" spans="2:16" ht="33.950000000000003" customHeight="1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64" t="str">
        <f>"PER HARI"&amp;CHAR(10)&amp;TEXT($J$41,"0%")</f>
        <v>PER HARI
95%</v>
      </c>
      <c r="O49" s="266" t="str">
        <f>"SELISIH"&amp;CHAR(10)&amp;TEXT($L$41,"0%")</f>
        <v>SELISIH
100%</v>
      </c>
      <c r="P49" s="266" t="str">
        <f>"PER HARI"&amp;CHAR(10)&amp;TEXT($L$41,"0%")</f>
        <v>PER HARI
100%</v>
      </c>
    </row>
    <row r="50" spans="2:16" ht="51" customHeight="1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63"/>
      <c r="L50" s="263"/>
      <c r="M50" s="265"/>
      <c r="N50" s="265"/>
      <c r="O50" s="267"/>
      <c r="P50" s="267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7" t="s">
        <v>145</v>
      </c>
      <c r="C67" s="278"/>
      <c r="D67" s="278"/>
      <c r="E67" s="278"/>
      <c r="F67" s="278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178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IF($J$5&lt;&gt;"",$J$5,MAX(0,NETWORKDAYS.INTL(MAX(TODAY(),DATE(YEAR(TODAY()),12,1)),EOMONTH(DATE(YEAR(TODAY()),12,1),0),11)-MAX(0,$J$3-$J$4)))</f>
        <v>27</v>
      </c>
      <c r="D3" s="79" t="s">
        <v>104</v>
      </c>
      <c r="E3" s="80">
        <f ca="1">DAY(EOMONTH(DATE(YEAR(TODAY()),12,1),0))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8" t="s">
        <v>179</v>
      </c>
      <c r="C41" s="269"/>
      <c r="D41" s="270"/>
      <c r="E41" s="67" t="s">
        <v>138</v>
      </c>
      <c r="F41" s="185">
        <f ca="1">IF(MONTH(TODAY())=12,DAY(TODAY())/DAY(EOMONTH(TODAY(),0)),IF(MONTH(TODAY())&gt;12,1,0))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6" t="s">
        <v>146</v>
      </c>
      <c r="C46" s="257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71" t="s">
        <v>147</v>
      </c>
      <c r="C48" s="272"/>
      <c r="D48" s="272"/>
      <c r="E48" s="272"/>
      <c r="F48" s="272"/>
      <c r="G48" s="272"/>
      <c r="H48" s="272"/>
      <c r="I48" s="272"/>
      <c r="J48" s="272"/>
      <c r="K48" s="259" t="s">
        <v>188</v>
      </c>
      <c r="L48" s="260"/>
      <c r="M48" s="260"/>
      <c r="N48" s="260"/>
      <c r="O48" s="260"/>
      <c r="P48" s="261"/>
    </row>
    <row r="49" spans="2:16" ht="33.950000000000003" customHeight="1" x14ac:dyDescent="0.25">
      <c r="B49" s="258" t="s">
        <v>41</v>
      </c>
      <c r="C49" s="258" t="s">
        <v>42</v>
      </c>
      <c r="D49" s="253" t="s">
        <v>138</v>
      </c>
      <c r="E49" s="254"/>
      <c r="F49" s="255"/>
      <c r="G49" s="117" t="s">
        <v>139</v>
      </c>
      <c r="H49" s="117"/>
      <c r="I49" s="117"/>
      <c r="J49" s="253" t="s">
        <v>140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4" t="str">
        <f>"SELISIH"&amp;CHAR(10)&amp;TEXT($J$41,"0%")</f>
        <v>SELISIH
95%</v>
      </c>
      <c r="N49" s="264" t="str">
        <f>"PER HARI"&amp;CHAR(10)&amp;TEXT($J$41,"0%")</f>
        <v>PER HARI
95%</v>
      </c>
      <c r="O49" s="266" t="str">
        <f>"SELISIH"&amp;CHAR(10)&amp;TEXT($L$41,"0%")</f>
        <v>SELISIH
100%</v>
      </c>
      <c r="P49" s="266" t="str">
        <f>"PER HARI"&amp;CHAR(10)&amp;TEXT($L$41,"0%")</f>
        <v>PER HARI
100%</v>
      </c>
    </row>
    <row r="50" spans="2:16" ht="51" customHeight="1" x14ac:dyDescent="0.25">
      <c r="B50" s="258"/>
      <c r="C50" s="258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3"/>
      <c r="K50" s="263"/>
      <c r="L50" s="263"/>
      <c r="M50" s="265"/>
      <c r="N50" s="265"/>
      <c r="O50" s="267"/>
      <c r="P50" s="267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7" t="s">
        <v>145</v>
      </c>
      <c r="C67" s="278"/>
      <c r="D67" s="278"/>
      <c r="E67" s="278"/>
      <c r="F67" s="278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8" t="s">
        <v>41</v>
      </c>
      <c r="C78" s="258" t="s">
        <v>42</v>
      </c>
      <c r="D78" s="126" t="s">
        <v>139</v>
      </c>
    </row>
    <row r="79" spans="2:16" ht="15.75" x14ac:dyDescent="0.25">
      <c r="B79" s="258"/>
      <c r="C79" s="258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2026-08-12T00:48:48Z</dcterms:modified>
  <dc:language>en-US</dc:language>
</cp:coreProperties>
</file>