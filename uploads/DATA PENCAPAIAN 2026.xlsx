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<sst xmlns="http://schemas.openxmlformats.org/spreadsheetml/2006/main" count="2122" uniqueCount="228">
  <si>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</si>
  <si>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</si>
  <si>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</si>
  <si>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</si>
  <si>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</si>
  <si>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</si>
  <si>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</si>
  <si>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</si>
  <si>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</si>
  <si>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</si>
  <si>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</si>
  <si>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</si>
  <si>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</si>
  <si>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</si>
  <si>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</si>
  <si>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</si>
  <si>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</si>
  <si>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</si>
  <si>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</si>
  <si>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</si>
  <si>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</si>
  <si>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</si>
  <si>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</si>
  <si>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</si>
  <si>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</si>
  <si>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</si>
  <si>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</si>
  <si>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</si>
  <si>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</si>
  <si>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</si>
  <si>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</si>
  <si>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</si>
  <si>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</si>
  <si>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</si>
  <si>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</si>
  <si>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</si>
  <si>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</si>
  <si>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</si>
  <si>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</si>
  <si>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</si>
  <si>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</si>
  <si>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</si>
  <si>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</si>
  <si>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</si>
  <si>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</si>
  <si>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</si>
  <si>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</si>
  <si>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</si>
  <si>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</si>
  <si>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</si>
  <si>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</si>
  <si>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</si>
  <si>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</si>
  <si>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</si>
  <si>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</si>
  <si>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</si>
  <si>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</si>
  <si>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</si>
  <si>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</si>
  <si>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</si>
  <si>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</si>
  <si>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</si>
  <si>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</si>
  <si>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</si>
  <si>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</si>
  <si>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</si>
  <si>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</si>
  <si>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</si>
  <si>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</si>
  <si>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</si>
  <si>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</si>
  <si>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</si>
  <si>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</si>
  <si>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</si>
  <si>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</si>
  <si>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</si>
  <si>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</si>
  <si>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</si>
  <si>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</si>
  <si>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</si>
  <si>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</si>
  <si>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</si>
  <si>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</si>
  <si>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</si>
  <si>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</si>
  <si>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</si>
  <si>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</si>
  <si>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</si>
  <si>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</si>
  <si>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</si>
  <si>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</si>
  <si>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</si>
  <si>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</si>
  <si>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</si>
  <si>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</si>
  <si>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</si>
  <si>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</si>
  <si>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</si>
  <si>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</si>
  <si>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</si>
  <si>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</si>
  <si>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</si>
  <si>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</si>
  <si>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</si>
  <si>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</si>
  <si>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</si>
  <si>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</si>
  <si>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</si>
  <si>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</si>
  <si>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</si>
  <si>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</si>
  <si>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</si>
  <si>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</si>
  <si>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</si>
  <si>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</si>
  <si>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</si>
  <si>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</si>
  <si>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</si>
  <si>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</si>
  <si>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</si>
  <si>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</si>
  <si>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</si>
  <si>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</si>
  <si>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</si>
  <si>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</si>
  <si>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</si>
  <si>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</si>
  <si>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</si>
  <si>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</si>
  <si>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</si>
  <si>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</si>
  <si>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</si>
  <si>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</si>
  <si>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</si>
  <si>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</si>
  <si>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</si>
  <si>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</si>
  <si>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</si>
  <si>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</si>
  <si>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</si>
  <si>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</si>
  <si>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</si>
  <si>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</si>
  <si>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</si>
  <si>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</si>
  <si>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</si>
  <si>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</si>
  <si>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</si>
  <si>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</si>
  <si>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</si>
  <si>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</si>
  <si>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</si>
  <si>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</si>
  <si>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</si>
  <si>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</si>
  <si>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</si>
  <si>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</si>
  <si>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</si>
  <si>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</si>
  <si>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</si>
  <si>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</si>
  <si>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</si>
  <si>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</si>
  <si>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</si>
  <si>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</si>
  <si>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</si>
  <si>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</si>
  <si>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</si>
  <si>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</si>
  <si>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</si>
  <si>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</si>
  <si>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</si>
  <si>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</si>
  <si>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</si>
  <si>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</si>
  <si>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</si>
  <si>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</si>
  <si>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</si>
  <si>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</si>
  <si>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</si>
  <si>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</si>
  <si>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</si>
  <si>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</si>
  <si>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</si>
  <si>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</si>
  <si>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</si>
  <si>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</si>
  <si>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</si>
  <si>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</si>
  <si>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</si>
  <si>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</si>
  <si>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</si>
  <si>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</si>
  <si>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</si>
  <si>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</si>
  <si>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</si>
  <si>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</si>
  <si>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</si>
  <si>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</si>
  <si>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</si>
  <si>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</si>
  <si>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</si>
  <si>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</si>
  <si>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</si>
  <si>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</si>
  <si>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</si>
  <si>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</si>
  <si>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</si>
  <si>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</si>
  <si>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</si>
  <si>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</si>
  <si>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</si>
  <si>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</si>
  <si>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</si>
  <si>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</si>
  <si>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</si>
  <si>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</si>
  <si>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</si>
  <si>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</si>
  <si>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</si>
  <si>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</si>
  <si>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</si>
  <si>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</si>
  <si>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</si>
  <si>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</si>
  <si>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</si>
  <si>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</si>
  <si>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14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</si>
</sst>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41" fontId="0" fillId="0" borderId="12" xfId="0" applyNumberFormat="1" applyBorder="1" applyAlignment="1">
      <alignment vertical="center"/>
    </xf>
    <xf numFmtId="164" fontId="0" fillId="0" borderId="13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2" t="s">
        <v>28</v>
      </c>
      <c r="C3" s="242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2" t="s">
        <v>145</v>
      </c>
      <c r="C44" s="26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4" t="s">
        <v>41</v>
      </c>
      <c r="C47" s="264" t="s">
        <v>42</v>
      </c>
      <c r="D47" s="259" t="s">
        <v>137</v>
      </c>
      <c r="E47" s="260"/>
      <c r="F47" s="261"/>
      <c r="G47" s="69" t="s">
        <v>138</v>
      </c>
      <c r="H47" s="69"/>
      <c r="I47" s="69"/>
      <c r="J47" s="264" t="s">
        <v>139</v>
      </c>
      <c r="K47" s="35" t="s">
        <v>147</v>
      </c>
      <c r="L47" s="35"/>
      <c r="M47" s="35"/>
      <c r="N47" s="258" t="s">
        <v>148</v>
      </c>
    </row>
    <row r="48" spans="2:17" ht="15.75" x14ac:dyDescent="0.25">
      <c r="B48" s="264"/>
      <c r="C48" s="264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4"/>
      <c r="K48" s="34" t="s">
        <v>142</v>
      </c>
      <c r="L48" s="34" t="s">
        <v>110</v>
      </c>
      <c r="M48" s="34" t="s">
        <v>145</v>
      </c>
      <c r="N48" s="258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5" t="s">
        <v>144</v>
      </c>
      <c r="C63" s="256"/>
      <c r="D63" s="256"/>
      <c r="E63" s="256"/>
      <c r="F63" s="256"/>
      <c r="G63" s="256"/>
      <c r="H63" s="257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5" t="s">
        <v>177</v>
      </c>
      <c r="C41" s="266"/>
      <c r="D41" s="267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2" t="s">
        <v>145</v>
      </c>
      <c r="C46" s="263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  <c r="Q48"/>
      <c r="R48"/>
    </row>
    <row r="49" spans="2:18" s="139" customFormat="1" ht="33.950000000000003" customHeight="1" x14ac:dyDescent="0.25">
      <c r="B49" s="273" t="s">
        <v>41</v>
      </c>
      <c r="C49" s="273" t="s">
        <v>42</v>
      </c>
      <c r="D49" s="270" t="s">
        <v>137</v>
      </c>
      <c r="E49" s="271"/>
      <c r="F49" s="272"/>
      <c r="G49" s="140" t="s">
        <v>138</v>
      </c>
      <c r="H49" s="140"/>
      <c r="I49" s="140"/>
      <c r="J49" s="270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82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3"/>
      <c r="C50" s="273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0"/>
      <c r="K50" s="279"/>
      <c r="L50" s="279"/>
      <c r="M50" s="281"/>
      <c r="N50" s="188"/>
      <c r="O50" s="183"/>
      <c r="P50" s="283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5" t="s">
        <v>170</v>
      </c>
      <c r="C77" s="256"/>
      <c r="D77" s="257"/>
      <c r="G77"/>
      <c r="H77"/>
      <c r="I77"/>
    </row>
    <row r="78" spans="1:19" ht="20.100000000000001" customHeight="1" x14ac:dyDescent="0.25">
      <c r="B78" s="274" t="s">
        <v>41</v>
      </c>
      <c r="C78" s="274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4"/>
      <c r="C79" s="264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4" t="s">
        <v>178</v>
      </c>
      <c r="C41" s="285"/>
      <c r="D41" s="286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2" t="str">
        <f>"SELISIH"&amp;CHAR(10)&amp;TEXT($L$41,"0%")</f>
        <v>SELISIH
100%</v>
      </c>
      <c r="P49" s="282" t="str">
        <f>"PER HARI"&amp;CHAR(10)&amp;TEXT($L$41,"0%")</f>
        <v>PER HARI
100%</v>
      </c>
    </row>
    <row r="50" spans="2:16" ht="22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3"/>
      <c r="P50" s="283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8.75" customHeight="1" x14ac:dyDescent="0.25">
      <c r="B78" s="274" t="s">
        <v>41</v>
      </c>
      <c r="C78" s="274" t="s">
        <v>42</v>
      </c>
      <c r="D78" s="231" t="s">
        <v>138</v>
      </c>
    </row>
    <row r="79" spans="2:16" ht="18" customHeight="1" x14ac:dyDescent="0.25">
      <c r="B79" s="264"/>
      <c r="C79" s="264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5" t="s">
        <v>179</v>
      </c>
      <c r="C41" s="266"/>
      <c r="D41" s="267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2" t="str">
        <f>"SELISIH"&amp;CHAR(10)&amp;TEXT($L$41,"0%")</f>
        <v>SELISIH
100%</v>
      </c>
      <c r="P49" s="282" t="str">
        <f>"PER HARI"&amp;CHAR(10)&amp;TEXT($L$41,"0%")</f>
        <v>PER HARI
100%</v>
      </c>
    </row>
    <row r="50" spans="2:16" ht="19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3"/>
      <c r="P50" s="283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74" t="s">
        <v>41</v>
      </c>
      <c r="C78" s="274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5" t="s">
        <v>188</v>
      </c>
      <c r="C41" s="266"/>
      <c r="D41" s="267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2" t="s">
        <v>145</v>
      </c>
      <c r="C46" s="263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15.75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7" t="str">
        <f>"SELISIH"&amp;CHAR(10)&amp;TEXT($L$41,"0%")</f>
        <v>SELISIH
100%</v>
      </c>
      <c r="P49" s="287" t="str">
        <f>"PER HARI"&amp;CHAR(10)&amp;TEXT($L$41,"0%")</f>
        <v>PER HARI
100%</v>
      </c>
    </row>
    <row r="50" spans="2:16" ht="15.75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8"/>
      <c r="P50" s="288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74" t="s">
        <v>41</v>
      </c>
      <c r="C78" s="274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5" t="s">
        <v>218</v>
      </c>
      <c r="C40" s="266"/>
      <c r="D40" s="267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2" t="s">
        <v>145</v>
      </c>
      <c r="C46" s="263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5.75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1"/>
      <c r="G67" s="275" t="s">
        <v>185</v>
      </c>
      <c r="H67" s="276"/>
      <c r="I67" s="276"/>
      <c r="J67" s="276"/>
      <c r="K67" s="276"/>
      <c r="L67" s="277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5" t="s">
        <v>170</v>
      </c>
      <c r="C77" s="256"/>
      <c r="D77" s="257"/>
    </row>
    <row r="78" spans="2:21" ht="15.75" x14ac:dyDescent="0.25">
      <c r="B78" s="274" t="s">
        <v>41</v>
      </c>
      <c r="C78" s="274" t="s">
        <v>42</v>
      </c>
      <c r="D78" s="231" t="s">
        <v>138</v>
      </c>
    </row>
    <row r="79" spans="2:21" ht="15.75" x14ac:dyDescent="0.25">
      <c r="B79" s="264"/>
      <c r="C79" s="264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226</v>
      </c>
      <c r="C40" s="266"/>
      <c r="D40" s="267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95%</v>
      </c>
      <c r="N49" s="278" t="str">
        <f>"PER HARI"&amp;CHAR(10)&amp;TEXT($H$40,"0%")</f>
        <v>PER HARI
95%</v>
      </c>
      <c r="O49" s="280" t="str">
        <f>"SELISIH"&amp;CHAR(10)&amp;TEXT($J$40,"0%")</f>
        <v>SELISIH
100%</v>
      </c>
      <c r="P49" s="280" t="str">
        <f>"PER HARI"&amp;CHAR(10)&amp;TEXT($J$40,"0%")</f>
        <v>PER HARI
100%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7" zoomScale="73" zoomScaleNormal="73" workbookViewId="0">
      <selection activeCell="E90" sqref="E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16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71870945.673190996</v>
      </c>
      <c r="D10" s="235">
        <v>28994477.252997</v>
      </c>
      <c r="E10" s="235">
        <v>95509510.546053007</v>
      </c>
      <c r="F10" s="235">
        <v>85157851.839955002</v>
      </c>
      <c r="G10" s="235">
        <v>281532785.31219602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2020270.259994</v>
      </c>
      <c r="D11" s="235">
        <v>11321748</v>
      </c>
      <c r="E11" s="235">
        <v>174797300.47999999</v>
      </c>
      <c r="F11" s="235" t="s">
        <v>164</v>
      </c>
      <c r="G11" s="235">
        <v>188139318.73999399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92958743.526795998</v>
      </c>
      <c r="D12" s="235">
        <v>31931409.544450998</v>
      </c>
      <c r="E12" s="235">
        <v>89797054.509801</v>
      </c>
      <c r="F12" s="235">
        <v>72059328.030000001</v>
      </c>
      <c r="G12" s="235">
        <v>286746535.61104798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14623847.166142</v>
      </c>
      <c r="D13" s="235">
        <v>16376081.359966001</v>
      </c>
      <c r="E13" s="235">
        <v>119156533.459563</v>
      </c>
      <c r="F13" s="235">
        <v>37308109.420000002</v>
      </c>
      <c r="G13" s="235">
        <v>187464571.405671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213251470.33488199</v>
      </c>
      <c r="D14" s="235">
        <v>18009589.843951002</v>
      </c>
      <c r="E14" s="235">
        <v>82762590.837564006</v>
      </c>
      <c r="F14" s="235">
        <v>168519048.599875</v>
      </c>
      <c r="G14" s="235">
        <v>482542699.61627197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148728937.78092</v>
      </c>
      <c r="D15" s="235">
        <v>3147531.5399989998</v>
      </c>
      <c r="E15" s="235">
        <v>8017696.1399330003</v>
      </c>
      <c r="F15" s="235">
        <v>8868108.2860000003</v>
      </c>
      <c r="G15" s="235">
        <v>168762273.74685201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262977189.43832701</v>
      </c>
      <c r="D16" s="235">
        <v>39407699.759773001</v>
      </c>
      <c r="E16" s="235">
        <v>176352929.36966401</v>
      </c>
      <c r="F16" s="235">
        <v>721784683.239869</v>
      </c>
      <c r="G16" s="235">
        <v>1200522501.8076329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54340518.810353003</v>
      </c>
      <c r="D17" s="235">
        <v>17516306.756446</v>
      </c>
      <c r="E17" s="235">
        <v>34143292.689280003</v>
      </c>
      <c r="F17" s="235">
        <v>24602703.309999999</v>
      </c>
      <c r="G17" s="235">
        <v>130602821.56607901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8268380</v>
      </c>
      <c r="D18" s="235">
        <v>45979400.299790002</v>
      </c>
      <c r="E18" s="235">
        <v>19504840.5</v>
      </c>
      <c r="F18" s="235">
        <v>57891893.100000001</v>
      </c>
      <c r="G18" s="235">
        <v>131644513.89979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16684521.08</v>
      </c>
      <c r="D19" s="235" t="s">
        <v>164</v>
      </c>
      <c r="E19" s="235" t="s">
        <v>164</v>
      </c>
      <c r="F19" s="235">
        <v>9650450.2799999993</v>
      </c>
      <c r="G19" s="235">
        <v>26334971.359999999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72734778.079999998</v>
      </c>
      <c r="D20" s="235" t="s">
        <v>164</v>
      </c>
      <c r="E20" s="235" t="s">
        <v>164</v>
      </c>
      <c r="F20" s="235">
        <v>6144143.9800000004</v>
      </c>
      <c r="G20" s="235">
        <v>78878922.060000002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157080409.04582199</v>
      </c>
      <c r="D21" s="235">
        <v>24188061.348453</v>
      </c>
      <c r="E21" s="235">
        <v>78325149.979872003</v>
      </c>
      <c r="F21" s="235">
        <v>284697868.06989002</v>
      </c>
      <c r="G21" s="235">
        <v>544291488.44403696</v>
      </c>
      <c r="H21" s="111"/>
      <c r="I21" s="111"/>
      <c r="J21" s="111"/>
      <c r="M21" s="14">
        <f>SUM(C33,C34)+M20</f>
        <v>371607700.08395803</v>
      </c>
      <c r="N21" s="10" t="s">
        <v>223</v>
      </c>
    </row>
    <row r="22" spans="2:15" ht="15" customHeight="1" x14ac:dyDescent="0.25">
      <c r="B22" s="72" t="s">
        <v>224</v>
      </c>
      <c r="C22" s="235">
        <v>93330231.505103007</v>
      </c>
      <c r="D22" s="235">
        <v>35120569.694113001</v>
      </c>
      <c r="E22" s="235">
        <v>66967315.899919003</v>
      </c>
      <c r="F22" s="235">
        <v>76336126.399987996</v>
      </c>
      <c r="G22" s="235">
        <v>271754243.49912298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156303969.67404899</v>
      </c>
      <c r="D23" s="235">
        <v>32837628.139929</v>
      </c>
      <c r="E23" s="235">
        <v>81507299.304502994</v>
      </c>
      <c r="F23" s="235">
        <v>153704233.64971</v>
      </c>
      <c r="G23" s="235">
        <v>424353130.76819098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232655879.645735</v>
      </c>
      <c r="D24" s="235">
        <v>32638770.299982999</v>
      </c>
      <c r="E24" s="235">
        <v>99207162.929967999</v>
      </c>
      <c r="F24" s="235">
        <v>349606303.94942999</v>
      </c>
      <c r="G24" s="235">
        <v>714108116.82511604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136515088.534426</v>
      </c>
      <c r="D25" s="235">
        <v>45352455.054183997</v>
      </c>
      <c r="E25" s="235">
        <v>58305383.009853996</v>
      </c>
      <c r="F25" s="235">
        <v>7432432.6699999999</v>
      </c>
      <c r="G25" s="235">
        <v>247605359.268464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193928522.671307</v>
      </c>
      <c r="D26" s="235">
        <v>90175709.168876007</v>
      </c>
      <c r="E26" s="235">
        <v>118244272.74838001</v>
      </c>
      <c r="F26" s="235">
        <v>10503351.5802</v>
      </c>
      <c r="G26" s="235">
        <v>412851856.16876298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239">
        <v>113522944.84945799</v>
      </c>
      <c r="G31" s="111"/>
      <c r="H31" s="111"/>
      <c r="I31" s="111"/>
    </row>
    <row r="32" spans="2:15" ht="15" customHeight="1" x14ac:dyDescent="0.25">
      <c r="B32" s="81" t="s">
        <v>132</v>
      </c>
      <c r="C32" s="239">
        <v>75417022.757214993</v>
      </c>
      <c r="G32" s="111"/>
      <c r="H32" s="111"/>
      <c r="I32" s="111"/>
    </row>
    <row r="33" spans="2:19" ht="15" customHeight="1" x14ac:dyDescent="0.25">
      <c r="B33" s="81" t="s">
        <v>133</v>
      </c>
      <c r="C33" s="240">
        <v>87080506.081873998</v>
      </c>
      <c r="G33" s="111"/>
      <c r="H33" s="111"/>
      <c r="I33" s="111"/>
    </row>
    <row r="34" spans="2:19" ht="15" customHeight="1" x14ac:dyDescent="0.25">
      <c r="B34" s="81" t="s">
        <v>134</v>
      </c>
      <c r="C34" s="240">
        <v>284527194.00208402</v>
      </c>
      <c r="G34" s="111"/>
      <c r="H34" s="111"/>
      <c r="I34" s="111"/>
    </row>
    <row r="35" spans="2:19" ht="15" customHeight="1" x14ac:dyDescent="0.25">
      <c r="B35" s="81" t="s">
        <v>135</v>
      </c>
      <c r="C35" s="238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227</v>
      </c>
      <c r="C40" s="266"/>
      <c r="D40" s="267"/>
      <c r="E40" s="66" t="s">
        <v>137</v>
      </c>
      <c r="F40" s="174">
        <f ca="1">IF(MONTH(TODAY())=10,DAY(TODAY())/DAY(EOMONTH(TODAY(),0)),IF(MONTH(TODAY())&gt;10,1,0))</f>
        <v>0.45161290322580644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1779544765.4461272</v>
      </c>
      <c r="F42" s="176">
        <f>IFERROR(E42/D42,0)</f>
        <v>0.39859115513790755</v>
      </c>
      <c r="G42" s="184">
        <f>D42*$H$40-E42</f>
        <v>2685041923.2134018</v>
      </c>
      <c r="H42" s="184">
        <f ca="1">IFERROR(G42/$C$3,0)</f>
        <v>167815120.20083761</v>
      </c>
      <c r="I42" s="204">
        <f>D42*$J$40-E42</f>
        <v>2685041923.2134018</v>
      </c>
      <c r="J42" s="204">
        <f ca="1">IFERROR(I42/$C$3,0)</f>
        <v>167815120.20083761</v>
      </c>
      <c r="K42" s="185">
        <f>D42*$L$40-E42</f>
        <v>2685041923.2134018</v>
      </c>
      <c r="L42" s="185">
        <f ca="1">IFERROR(K42/$C$3,0)</f>
        <v>167815120.20083761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469849906.52291191</v>
      </c>
      <c r="F43" s="176">
        <f>IFERROR(E43/D43,0)</f>
        <v>0.36709660644025011</v>
      </c>
      <c r="G43" s="184">
        <f>D43*$H$40-E43</f>
        <v>810058156.58631837</v>
      </c>
      <c r="H43" s="184">
        <f ca="1">IFERROR(G43/$C$3,0)</f>
        <v>50628634.786644898</v>
      </c>
      <c r="I43" s="204">
        <f>D43*$J$40-E43</f>
        <v>810058156.58631837</v>
      </c>
      <c r="J43" s="204">
        <f ca="1">IFERROR(I43/$C$3,0)</f>
        <v>50628634.786644898</v>
      </c>
      <c r="K43" s="185">
        <f>D43*$L$40-E43</f>
        <v>810058156.58631837</v>
      </c>
      <c r="L43" s="185">
        <f ca="1">IFERROR(K43/$C$3,0)</f>
        <v>50628634.786644898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1294580636.2644207</v>
      </c>
      <c r="F44" s="176">
        <f>IFERROR(E44/D44,0)</f>
        <v>0.44426126015537881</v>
      </c>
      <c r="G44" s="184">
        <f>IF(D44=0,0,D44*$H$40-E44)</f>
        <v>1619426846.2057946</v>
      </c>
      <c r="H44" s="184">
        <f ca="1">IFERROR(G44/$C$3,0)</f>
        <v>101214177.88786216</v>
      </c>
      <c r="I44" s="204">
        <f>IF(D44=0,0,D44*$J$40-E44)</f>
        <v>1619426846.2057946</v>
      </c>
      <c r="J44" s="204">
        <f ca="1">IFERROR(I44/$C$3,0)</f>
        <v>101214177.88786216</v>
      </c>
      <c r="K44" s="185">
        <f>IF(D44=0,0,D44*$L$40-E44)</f>
        <v>1619426846.2057946</v>
      </c>
      <c r="L44" s="185">
        <f ca="1">IFERROR(K44/$C$3,0)</f>
        <v>101214177.88786216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560547667.69063103</v>
      </c>
      <c r="F45" s="176">
        <f>IFERROR(E45/D45,0)</f>
        <v>0.31495206672396486</v>
      </c>
      <c r="G45" s="184">
        <f>D45*$H$40-E45</f>
        <v>1219239566.351922</v>
      </c>
      <c r="H45" s="184">
        <f ca="1">IFERROR(G45/$C$3,0)</f>
        <v>76202472.896995127</v>
      </c>
      <c r="I45" s="204">
        <f>D45*$J$40-E45</f>
        <v>1219239566.351922</v>
      </c>
      <c r="J45" s="204">
        <f ca="1">IFERROR(I45/$C$3,0)</f>
        <v>76202472.896995127</v>
      </c>
      <c r="K45" s="185">
        <f>D45*$L$40-E45</f>
        <v>1219239566.351922</v>
      </c>
      <c r="L45" s="185">
        <f ca="1">IFERROR(K45/$C$3,0)</f>
        <v>76202472.896995127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10438289468.281527</v>
      </c>
      <c r="E46" s="47">
        <f>SUM(E42:E45)</f>
        <v>4104522975.9240904</v>
      </c>
      <c r="F46" s="177">
        <f>IFERROR(E46/D46,0)</f>
        <v>0.39321796817346022</v>
      </c>
      <c r="G46" s="181">
        <f>SUM(G42:G45)</f>
        <v>6333766492.3574371</v>
      </c>
      <c r="H46" s="181">
        <f ca="1">IFERROR(G46/$C$3,0)</f>
        <v>395860405.77233982</v>
      </c>
      <c r="I46" s="186">
        <f>SUM(I42:I45)</f>
        <v>6333766492.3574371</v>
      </c>
      <c r="J46" s="186">
        <f ca="1">IFERROR(I46/$C$3,0)</f>
        <v>395860405.77233982</v>
      </c>
      <c r="K46" s="186">
        <f>SUM(K42:K45)</f>
        <v>6333766492.3574371</v>
      </c>
      <c r="L46" s="186">
        <f ca="1">IFERROR(K46/$C$3,0)</f>
        <v>395860405.77233982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100%</v>
      </c>
      <c r="N49" s="278" t="str">
        <f>"PER HARI"&amp;CHAR(10)&amp;TEXT($H$40,"0%")</f>
        <v>PER HARI
100%</v>
      </c>
      <c r="O49" s="280" t="str">
        <f>"SELISIH"&amp;CHAR(10)&amp;TEXT($J$40,"0%")</f>
        <v>SELISIH
100%</v>
      </c>
      <c r="P49" s="280" t="str">
        <f>"PER HARI"&amp;CHAR(10)&amp;TEXT($J$40,"0%")</f>
        <v>PER HARI
100%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157080409.04582199</v>
      </c>
      <c r="I51" s="114">
        <f t="shared" ref="I51:I64" si="1">SUMIF($B$10:$B$26,$T51,D$10:D$26)+SUMIF($B$10:$B$26,$U51,D$10:D$26)</f>
        <v>24188061.348453</v>
      </c>
      <c r="J51" s="114">
        <f t="shared" ref="J51:J64" si="2">SUMIF($B$10:$B$26,$T51,E$10:E$26)+SUMIF($B$10:$B$26,$U51,E$10:E$26)</f>
        <v>78325149.979872003</v>
      </c>
      <c r="K51" s="114">
        <f t="shared" ref="K51:K64" si="3">SUM(H51:J51)</f>
        <v>259593620.374147</v>
      </c>
      <c r="L51" s="187">
        <f t="shared" ref="L51:L65" si="4">IFERROR(K51/G51,0)</f>
        <v>0.52312691789414256</v>
      </c>
      <c r="M51" s="184">
        <f t="shared" ref="M51:M64" si="5">G51*$H$40-K51</f>
        <v>236640871.66680187</v>
      </c>
      <c r="N51" s="184">
        <f t="shared" ref="N51:N65" ca="1" si="6">IFERROR(M51/$C$3,0)</f>
        <v>14790054.479175117</v>
      </c>
      <c r="O51" s="180">
        <f t="shared" ref="O51:O64" si="7">G51*$J$40-K51</f>
        <v>236640871.66680187</v>
      </c>
      <c r="P51" s="180">
        <f t="shared" ref="P51:P65" ca="1" si="8">IFERROR(O51/$C$3,0)</f>
        <v>14790054.479175117</v>
      </c>
      <c r="Q51" s="185">
        <f t="shared" ref="Q51:Q64" si="9">G51*$L$40-K51</f>
        <v>236640871.66680187</v>
      </c>
      <c r="R51" s="185">
        <f t="shared" ref="R51:R65" ca="1" si="10">IFERROR(Q51/$C$3,0)</f>
        <v>14790054.479175117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107582590.692938</v>
      </c>
      <c r="I52" s="114">
        <f t="shared" si="1"/>
        <v>48307490.904417001</v>
      </c>
      <c r="J52" s="114">
        <f t="shared" si="2"/>
        <v>208953587.96936399</v>
      </c>
      <c r="K52" s="114">
        <f t="shared" si="3"/>
        <v>364843669.566719</v>
      </c>
      <c r="L52" s="187">
        <f t="shared" si="4"/>
        <v>0.47543395633058022</v>
      </c>
      <c r="M52" s="184">
        <f t="shared" si="5"/>
        <v>402547184.00755697</v>
      </c>
      <c r="N52" s="184">
        <f t="shared" ca="1" si="6"/>
        <v>25159199.000472311</v>
      </c>
      <c r="O52" s="180">
        <f t="shared" si="7"/>
        <v>402547184.00755697</v>
      </c>
      <c r="P52" s="180">
        <f t="shared" ca="1" si="8"/>
        <v>25159199.000472311</v>
      </c>
      <c r="Q52" s="185">
        <f t="shared" si="9"/>
        <v>402547184.00755697</v>
      </c>
      <c r="R52" s="185">
        <f t="shared" ca="1" si="10"/>
        <v>25159199.000472311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16684521.08</v>
      </c>
      <c r="I53" s="114">
        <f t="shared" si="1"/>
        <v>0</v>
      </c>
      <c r="J53" s="114">
        <f t="shared" si="2"/>
        <v>0</v>
      </c>
      <c r="K53" s="114">
        <f t="shared" si="3"/>
        <v>16684521.08</v>
      </c>
      <c r="L53" s="187">
        <f t="shared" si="4"/>
        <v>6.345055737600791E-2</v>
      </c>
      <c r="M53" s="184">
        <f t="shared" si="5"/>
        <v>246268583.98301074</v>
      </c>
      <c r="N53" s="184">
        <f t="shared" ca="1" si="6"/>
        <v>15391786.498938171</v>
      </c>
      <c r="O53" s="180">
        <f t="shared" si="7"/>
        <v>246268583.98301074</v>
      </c>
      <c r="P53" s="180">
        <f t="shared" ca="1" si="8"/>
        <v>15391786.498938171</v>
      </c>
      <c r="Q53" s="185">
        <f t="shared" si="9"/>
        <v>246268583.98301074</v>
      </c>
      <c r="R53" s="185">
        <f t="shared" ca="1" si="10"/>
        <v>15391786.498938171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213251470.33488199</v>
      </c>
      <c r="I54" s="114">
        <f t="shared" si="1"/>
        <v>18009589.843951002</v>
      </c>
      <c r="J54" s="114">
        <f t="shared" si="2"/>
        <v>82762590.837564006</v>
      </c>
      <c r="K54" s="114">
        <f t="shared" si="3"/>
        <v>314023651.016397</v>
      </c>
      <c r="L54" s="187">
        <f t="shared" si="4"/>
        <v>0.44319896025986044</v>
      </c>
      <c r="M54" s="184">
        <f t="shared" si="5"/>
        <v>394515129.92360294</v>
      </c>
      <c r="N54" s="184">
        <f t="shared" ca="1" si="6"/>
        <v>24657195.620225184</v>
      </c>
      <c r="O54" s="180">
        <f t="shared" si="7"/>
        <v>394515129.92360294</v>
      </c>
      <c r="P54" s="180">
        <f t="shared" ca="1" si="8"/>
        <v>24657195.620225184</v>
      </c>
      <c r="Q54" s="185">
        <f t="shared" si="9"/>
        <v>394515129.92360294</v>
      </c>
      <c r="R54" s="185">
        <f t="shared" ca="1" si="10"/>
        <v>24657195.620225184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2020270.259994</v>
      </c>
      <c r="I55" s="114">
        <f t="shared" si="1"/>
        <v>11321748</v>
      </c>
      <c r="J55" s="114">
        <f t="shared" si="2"/>
        <v>174797300.47999999</v>
      </c>
      <c r="K55" s="114">
        <f t="shared" si="3"/>
        <v>188139318.73999399</v>
      </c>
      <c r="L55" s="187">
        <f t="shared" si="4"/>
        <v>0.35022146066434928</v>
      </c>
      <c r="M55" s="184">
        <f t="shared" si="5"/>
        <v>349061680.83069164</v>
      </c>
      <c r="N55" s="184">
        <f t="shared" ca="1" si="6"/>
        <v>21816355.051918227</v>
      </c>
      <c r="O55" s="180">
        <f t="shared" si="7"/>
        <v>349061680.83069164</v>
      </c>
      <c r="P55" s="180">
        <f t="shared" ca="1" si="8"/>
        <v>21816355.051918227</v>
      </c>
      <c r="Q55" s="185">
        <f t="shared" si="9"/>
        <v>349061680.83069164</v>
      </c>
      <c r="R55" s="185">
        <f t="shared" ca="1" si="10"/>
        <v>21816355.051918227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93330231.505103007</v>
      </c>
      <c r="I56" s="114">
        <f t="shared" si="1"/>
        <v>35120569.694113001</v>
      </c>
      <c r="J56" s="114">
        <f t="shared" si="2"/>
        <v>66967315.899919003</v>
      </c>
      <c r="K56" s="114">
        <f t="shared" si="3"/>
        <v>195418117.09913501</v>
      </c>
      <c r="L56" s="187">
        <f t="shared" si="4"/>
        <v>0.35095827667065171</v>
      </c>
      <c r="M56" s="184">
        <f t="shared" si="5"/>
        <v>361394843.55521762</v>
      </c>
      <c r="N56" s="184">
        <f t="shared" ca="1" si="6"/>
        <v>22587177.722201101</v>
      </c>
      <c r="O56" s="180">
        <f t="shared" si="7"/>
        <v>361394843.55521762</v>
      </c>
      <c r="P56" s="180">
        <f t="shared" ca="1" si="8"/>
        <v>22587177.722201101</v>
      </c>
      <c r="Q56" s="185">
        <f t="shared" si="9"/>
        <v>361394843.55521762</v>
      </c>
      <c r="R56" s="185">
        <f t="shared" ca="1" si="10"/>
        <v>22587177.722201101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262977189.43832701</v>
      </c>
      <c r="I57" s="114">
        <f t="shared" si="1"/>
        <v>39407699.759773001</v>
      </c>
      <c r="J57" s="114">
        <f t="shared" si="2"/>
        <v>176352929.36966401</v>
      </c>
      <c r="K57" s="114">
        <f t="shared" si="3"/>
        <v>478737818.56776404</v>
      </c>
      <c r="L57" s="187">
        <f t="shared" si="4"/>
        <v>0.43878590646523591</v>
      </c>
      <c r="M57" s="184">
        <f t="shared" si="5"/>
        <v>612313219.11111689</v>
      </c>
      <c r="N57" s="184">
        <f t="shared" ca="1" si="6"/>
        <v>38269576.194444805</v>
      </c>
      <c r="O57" s="180">
        <f t="shared" si="7"/>
        <v>612313219.11111689</v>
      </c>
      <c r="P57" s="180">
        <f t="shared" ca="1" si="8"/>
        <v>38269576.194444805</v>
      </c>
      <c r="Q57" s="185">
        <f t="shared" si="9"/>
        <v>612313219.11111689</v>
      </c>
      <c r="R57" s="185">
        <f t="shared" ca="1" si="10"/>
        <v>38269576.194444805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156303969.67404899</v>
      </c>
      <c r="I58" s="114">
        <f t="shared" si="1"/>
        <v>32837628.139929</v>
      </c>
      <c r="J58" s="114">
        <f t="shared" si="2"/>
        <v>81507299.304502994</v>
      </c>
      <c r="K58" s="114">
        <f t="shared" si="3"/>
        <v>270648897.11848098</v>
      </c>
      <c r="L58" s="187">
        <f t="shared" si="4"/>
        <v>0.45376792052876552</v>
      </c>
      <c r="M58" s="184">
        <f t="shared" si="5"/>
        <v>325798945.21268231</v>
      </c>
      <c r="N58" s="184">
        <f t="shared" ca="1" si="6"/>
        <v>20362434.075792644</v>
      </c>
      <c r="O58" s="180">
        <f t="shared" si="7"/>
        <v>325798945.21268231</v>
      </c>
      <c r="P58" s="180">
        <f t="shared" ca="1" si="8"/>
        <v>20362434.075792644</v>
      </c>
      <c r="Q58" s="185">
        <f t="shared" si="9"/>
        <v>325798945.21268231</v>
      </c>
      <c r="R58" s="185">
        <f t="shared" ca="1" si="10"/>
        <v>20362434.075792644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72734778.079999998</v>
      </c>
      <c r="I59" s="114">
        <f t="shared" si="1"/>
        <v>0</v>
      </c>
      <c r="J59" s="114">
        <f t="shared" si="2"/>
        <v>0</v>
      </c>
      <c r="K59" s="114">
        <f t="shared" si="3"/>
        <v>72734778.079999998</v>
      </c>
      <c r="L59" s="187">
        <f t="shared" si="4"/>
        <v>0.16387364269563187</v>
      </c>
      <c r="M59" s="184">
        <f t="shared" si="5"/>
        <v>371111937.49642003</v>
      </c>
      <c r="N59" s="184">
        <f t="shared" ca="1" si="6"/>
        <v>23194496.093526252</v>
      </c>
      <c r="O59" s="180">
        <f t="shared" si="7"/>
        <v>371111937.49642003</v>
      </c>
      <c r="P59" s="180">
        <f t="shared" ca="1" si="8"/>
        <v>23194496.093526252</v>
      </c>
      <c r="Q59" s="185">
        <f t="shared" si="9"/>
        <v>371111937.49642003</v>
      </c>
      <c r="R59" s="185">
        <f t="shared" ca="1" si="10"/>
        <v>23194496.093526252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136515088.534426</v>
      </c>
      <c r="I60" s="114">
        <f t="shared" si="1"/>
        <v>45352455.054183997</v>
      </c>
      <c r="J60" s="114">
        <f t="shared" si="2"/>
        <v>58305383.009853996</v>
      </c>
      <c r="K60" s="114">
        <f t="shared" si="3"/>
        <v>240172926.59846398</v>
      </c>
      <c r="L60" s="187">
        <f t="shared" si="4"/>
        <v>0.42807515403159457</v>
      </c>
      <c r="M60" s="184">
        <f t="shared" si="5"/>
        <v>320880253.75205398</v>
      </c>
      <c r="N60" s="184">
        <f t="shared" ca="1" si="6"/>
        <v>20055015.859503374</v>
      </c>
      <c r="O60" s="180">
        <f t="shared" si="7"/>
        <v>320880253.75205398</v>
      </c>
      <c r="P60" s="180">
        <f t="shared" ca="1" si="8"/>
        <v>20055015.859503374</v>
      </c>
      <c r="Q60" s="185">
        <f t="shared" si="9"/>
        <v>320880253.75205398</v>
      </c>
      <c r="R60" s="185">
        <f t="shared" ca="1" si="10"/>
        <v>20055015.859503374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232655879.645735</v>
      </c>
      <c r="I61" s="114">
        <f t="shared" si="1"/>
        <v>32638770.299982999</v>
      </c>
      <c r="J61" s="114">
        <f t="shared" si="2"/>
        <v>99207162.929967999</v>
      </c>
      <c r="K61" s="114">
        <f t="shared" si="3"/>
        <v>364501812.87568599</v>
      </c>
      <c r="L61" s="187">
        <f t="shared" si="4"/>
        <v>0.52186514756743552</v>
      </c>
      <c r="M61" s="184">
        <f t="shared" si="5"/>
        <v>333957960.83162981</v>
      </c>
      <c r="N61" s="184">
        <f t="shared" ca="1" si="6"/>
        <v>20872372.551976863</v>
      </c>
      <c r="O61" s="180">
        <f t="shared" si="7"/>
        <v>333957960.83162981</v>
      </c>
      <c r="P61" s="180">
        <f t="shared" ca="1" si="8"/>
        <v>20872372.551976863</v>
      </c>
      <c r="Q61" s="185">
        <f t="shared" si="9"/>
        <v>333957960.83162981</v>
      </c>
      <c r="R61" s="185">
        <f t="shared" ca="1" si="10"/>
        <v>20872372.551976863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71870945.673190996</v>
      </c>
      <c r="I62" s="114">
        <f t="shared" si="1"/>
        <v>28994477.252997</v>
      </c>
      <c r="J62" s="114">
        <f t="shared" si="2"/>
        <v>95509510.546053007</v>
      </c>
      <c r="K62" s="114">
        <f t="shared" si="3"/>
        <v>196374933.47224098</v>
      </c>
      <c r="L62" s="187">
        <f t="shared" si="4"/>
        <v>0.42793443999500652</v>
      </c>
      <c r="M62" s="184">
        <f t="shared" si="5"/>
        <v>262515296.24269491</v>
      </c>
      <c r="N62" s="184">
        <f t="shared" ca="1" si="6"/>
        <v>16407206.015168432</v>
      </c>
      <c r="O62" s="180">
        <f t="shared" si="7"/>
        <v>262515296.24269491</v>
      </c>
      <c r="P62" s="180">
        <f t="shared" ca="1" si="8"/>
        <v>16407206.015168432</v>
      </c>
      <c r="Q62" s="185">
        <f t="shared" si="9"/>
        <v>262515296.24269491</v>
      </c>
      <c r="R62" s="185">
        <f t="shared" ca="1" si="10"/>
        <v>16407206.015168432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193928522.671307</v>
      </c>
      <c r="I63" s="114">
        <f t="shared" si="1"/>
        <v>90175709.168876007</v>
      </c>
      <c r="J63" s="114">
        <f t="shared" si="2"/>
        <v>118244272.74838001</v>
      </c>
      <c r="K63" s="114">
        <f t="shared" si="3"/>
        <v>402348504.58856302</v>
      </c>
      <c r="L63" s="187">
        <f t="shared" si="4"/>
        <v>0.41874619982090866</v>
      </c>
      <c r="M63" s="184">
        <f t="shared" si="5"/>
        <v>558492464.85937786</v>
      </c>
      <c r="N63" s="184">
        <f t="shared" ca="1" si="6"/>
        <v>34905779.053711116</v>
      </c>
      <c r="O63" s="180">
        <f t="shared" si="7"/>
        <v>558492464.85937786</v>
      </c>
      <c r="P63" s="180">
        <f t="shared" ca="1" si="8"/>
        <v>34905779.053711116</v>
      </c>
      <c r="Q63" s="185">
        <f t="shared" si="9"/>
        <v>558492464.85937786</v>
      </c>
      <c r="R63" s="185">
        <f t="shared" ca="1" si="10"/>
        <v>34905779.053711116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62608898.810353003</v>
      </c>
      <c r="I64" s="114">
        <f t="shared" si="1"/>
        <v>63495707.056235999</v>
      </c>
      <c r="J64" s="114">
        <f t="shared" si="2"/>
        <v>53648133.189280003</v>
      </c>
      <c r="K64" s="114">
        <f t="shared" si="3"/>
        <v>179752739.05586901</v>
      </c>
      <c r="L64" s="187">
        <f t="shared" si="4"/>
        <v>0.34649040217406352</v>
      </c>
      <c r="M64" s="184">
        <f t="shared" si="5"/>
        <v>339028554.53265619</v>
      </c>
      <c r="N64" s="184">
        <f t="shared" ca="1" si="6"/>
        <v>21189284.658291012</v>
      </c>
      <c r="O64" s="180">
        <f t="shared" si="7"/>
        <v>339028554.53265619</v>
      </c>
      <c r="P64" s="180">
        <f t="shared" ca="1" si="8"/>
        <v>21189284.658291012</v>
      </c>
      <c r="Q64" s="185">
        <f t="shared" si="9"/>
        <v>339028554.53265619</v>
      </c>
      <c r="R64" s="185">
        <f t="shared" ca="1" si="10"/>
        <v>21189284.658291012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1779544765.4461272</v>
      </c>
      <c r="I65" s="135">
        <f t="shared" si="12"/>
        <v>469849906.52291191</v>
      </c>
      <c r="J65" s="135">
        <f t="shared" si="12"/>
        <v>1294580636.2644207</v>
      </c>
      <c r="K65" s="135">
        <f t="shared" si="12"/>
        <v>3543975308.2334599</v>
      </c>
      <c r="L65" s="189">
        <f t="shared" si="4"/>
        <v>0.40930581437275015</v>
      </c>
      <c r="M65" s="181">
        <f>SUM(M51:M64)</f>
        <v>5114526926.0055141</v>
      </c>
      <c r="N65" s="181">
        <f t="shared" ca="1" si="6"/>
        <v>319657932.87534463</v>
      </c>
      <c r="O65" s="181">
        <f>SUM(O51:O64)</f>
        <v>5114526926.0055141</v>
      </c>
      <c r="P65" s="181">
        <f t="shared" ca="1" si="8"/>
        <v>319657932.87534463</v>
      </c>
      <c r="Q65" s="186">
        <f>SUM(Q51:Q64)</f>
        <v>5114526926.0055141</v>
      </c>
      <c r="R65" s="186">
        <f t="shared" ca="1" si="10"/>
        <v>319657932.87534463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113522944.84945799</v>
      </c>
      <c r="F69" s="187">
        <f t="shared" ref="F69:F74" si="13">IFERROR(E69/D69,0)</f>
        <v>0.42142608179845359</v>
      </c>
      <c r="G69" s="184">
        <f>D69*$H$40-E69</f>
        <v>155855125.83139318</v>
      </c>
      <c r="H69" s="184">
        <f t="shared" ref="H69:H74" ca="1" si="14">IFERROR(G69/$C$3,0)</f>
        <v>9740945.3644620739</v>
      </c>
      <c r="I69" s="204">
        <f>D69*$J$40-E69</f>
        <v>155855125.83139318</v>
      </c>
      <c r="J69" s="204">
        <f t="shared" ref="J69:J74" ca="1" si="15">IFERROR(I69/$C$3,0)</f>
        <v>9740945.3644620739</v>
      </c>
      <c r="K69" s="185">
        <f>D69*$L$40-E69</f>
        <v>155855125.83139318</v>
      </c>
      <c r="L69" s="185">
        <f t="shared" ref="L69:L74" ca="1" si="16">IFERROR(K69/$C$3,0)</f>
        <v>9740945.3644620739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75417022.757214993</v>
      </c>
      <c r="F70" s="187">
        <f t="shared" si="13"/>
        <v>0.18274985271975666</v>
      </c>
      <c r="G70" s="184">
        <f>D70*$H$40-E70</f>
        <v>337261956.92363608</v>
      </c>
      <c r="H70" s="184">
        <f t="shared" ca="1" si="14"/>
        <v>21078872.307727255</v>
      </c>
      <c r="I70" s="204">
        <f>D70*$J$40-E70</f>
        <v>337261956.92363608</v>
      </c>
      <c r="J70" s="204">
        <f t="shared" ca="1" si="15"/>
        <v>21078872.307727255</v>
      </c>
      <c r="K70" s="185">
        <f>D70*$L$40-E70</f>
        <v>337261956.92363608</v>
      </c>
      <c r="L70" s="185">
        <f t="shared" ca="1" si="16"/>
        <v>21078872.307727255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371607700.08395803</v>
      </c>
      <c r="F71" s="187">
        <f t="shared" si="13"/>
        <v>0.33852371521561214</v>
      </c>
      <c r="G71" s="184">
        <f>D71*$H$40-E71</f>
        <v>726122483.59689295</v>
      </c>
      <c r="H71" s="184">
        <f t="shared" ca="1" si="14"/>
        <v>45382655.22480581</v>
      </c>
      <c r="I71" s="204">
        <f>D71*$J$40-E71</f>
        <v>726122483.59689295</v>
      </c>
      <c r="J71" s="204">
        <f t="shared" ca="1" si="15"/>
        <v>45382655.22480581</v>
      </c>
      <c r="K71" s="185">
        <f>D71*$L$40-E71</f>
        <v>726122483.59689295</v>
      </c>
      <c r="L71" s="185">
        <f t="shared" ca="1" si="16"/>
        <v>45382655.22480581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560547667.69063103</v>
      </c>
      <c r="F74" s="177">
        <f t="shared" si="13"/>
        <v>0.31495206672396486</v>
      </c>
      <c r="G74" s="181">
        <f>SUM(G69:G73)</f>
        <v>1219239566.3519223</v>
      </c>
      <c r="H74" s="181">
        <f t="shared" ca="1" si="14"/>
        <v>76202472.896995142</v>
      </c>
      <c r="I74" s="186">
        <f>SUM(I69:I73)</f>
        <v>1219239566.3519223</v>
      </c>
      <c r="J74" s="186">
        <f t="shared" ca="1" si="15"/>
        <v>76202472.896995142</v>
      </c>
      <c r="K74" s="186">
        <f>SUM(K69:K73)</f>
        <v>1219239566.3519223</v>
      </c>
      <c r="L74" s="186">
        <f t="shared" ca="1" si="16"/>
        <v>76202472.896995142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284697868.06989002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109367437.45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9650450.2799999993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168519048.599875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76336126.399987996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721784683.239869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153704233.64971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6144143.9800000004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7432432.6699999999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349606303.94942999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85157851.839955002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10503351.5802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82494596.409999996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2065398528.118917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174</v>
      </c>
      <c r="C40" s="266"/>
      <c r="D40" s="267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176</v>
      </c>
      <c r="C40" s="266"/>
      <c r="D40" s="267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2026-10-14T00:55:28Z</dcterms:modified>
  <dc:language>en-US</dc:language>
</cp:coreProperties>
</file>