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M55" i="12" s="1"/>
  <c r="N55" i="12" s="1"/>
  <c r="K61" i="11"/>
  <c r="K63" i="12"/>
  <c r="K63" i="10"/>
  <c r="K61" i="12"/>
  <c r="Q61" i="12" s="1"/>
  <c r="R61" i="12" s="1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M64" i="14" s="1"/>
  <c r="N64" i="14" s="1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M53" i="12"/>
  <c r="N53" i="12" s="1"/>
  <c r="Q54" i="12"/>
  <c r="R54" i="12" s="1"/>
  <c r="Q55" i="12"/>
  <c r="R55" i="12" s="1"/>
  <c r="Q57" i="12"/>
  <c r="R57" i="12" s="1"/>
  <c r="O57" i="12"/>
  <c r="P57" i="12" s="1"/>
  <c r="M57" i="12"/>
  <c r="N57" i="12" s="1"/>
  <c r="L58" i="12"/>
  <c r="M59" i="12"/>
  <c r="N59" i="12" s="1"/>
  <c r="M61" i="12"/>
  <c r="N61" i="12" s="1"/>
  <c r="Q63" i="12"/>
  <c r="R63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L57" i="13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Q62" i="12" l="1"/>
  <c r="R62" i="12" s="1"/>
  <c r="D94" i="12"/>
  <c r="L57" i="11"/>
  <c r="L54" i="11"/>
  <c r="Q63" i="14"/>
  <c r="R63" i="14" s="1"/>
  <c r="M56" i="5"/>
  <c r="N56" i="5" s="1"/>
  <c r="G42" i="14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G74" i="7" l="1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<sst xmlns="http://schemas.openxmlformats.org/spreadsheetml/2006/main" count="2117" uniqueCount="228">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</sst>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7" t="s">
        <v>0</v>
      </c>
      <c r="C1" s="237"/>
    </row>
    <row r="3" spans="2:3" x14ac:dyDescent="0.25">
      <c r="B3" s="238" t="s">
        <v>1</v>
      </c>
      <c r="C3" s="23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9" t="s">
        <v>14</v>
      </c>
      <c r="C11" s="23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8" t="s">
        <v>28</v>
      </c>
      <c r="C3" s="238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0" t="s">
        <v>102</v>
      </c>
      <c r="C29" s="240"/>
      <c r="D29" s="240"/>
      <c r="E29" s="240"/>
      <c r="F29" s="240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8" t="s">
        <v>145</v>
      </c>
      <c r="C44" s="25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0" t="s">
        <v>41</v>
      </c>
      <c r="C47" s="260" t="s">
        <v>42</v>
      </c>
      <c r="D47" s="255" t="s">
        <v>137</v>
      </c>
      <c r="E47" s="256"/>
      <c r="F47" s="257"/>
      <c r="G47" s="69" t="s">
        <v>138</v>
      </c>
      <c r="H47" s="69"/>
      <c r="I47" s="69"/>
      <c r="J47" s="260" t="s">
        <v>139</v>
      </c>
      <c r="K47" s="35" t="s">
        <v>147</v>
      </c>
      <c r="L47" s="35"/>
      <c r="M47" s="35"/>
      <c r="N47" s="254" t="s">
        <v>148</v>
      </c>
    </row>
    <row r="48" spans="2:17" ht="15.75" x14ac:dyDescent="0.25">
      <c r="B48" s="260"/>
      <c r="C48" s="26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0"/>
      <c r="K48" s="34" t="s">
        <v>142</v>
      </c>
      <c r="L48" s="34" t="s">
        <v>110</v>
      </c>
      <c r="M48" s="34" t="s">
        <v>145</v>
      </c>
      <c r="N48" s="254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1" t="s">
        <v>144</v>
      </c>
      <c r="C63" s="252"/>
      <c r="D63" s="252"/>
      <c r="E63" s="252"/>
      <c r="F63" s="252"/>
      <c r="G63" s="252"/>
      <c r="H63" s="253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1" t="s">
        <v>178</v>
      </c>
      <c r="C41" s="262"/>
      <c r="D41" s="263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8" t="s">
        <v>145</v>
      </c>
      <c r="C46" s="259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186</v>
      </c>
      <c r="L48" s="272"/>
      <c r="M48" s="272"/>
      <c r="N48" s="272"/>
      <c r="O48" s="272"/>
      <c r="P48" s="273"/>
      <c r="Q48"/>
      <c r="R48"/>
    </row>
    <row r="49" spans="2:18" s="139" customFormat="1" ht="33.950000000000003" customHeight="1" x14ac:dyDescent="0.25">
      <c r="B49" s="269" t="s">
        <v>41</v>
      </c>
      <c r="C49" s="269" t="s">
        <v>42</v>
      </c>
      <c r="D49" s="266" t="s">
        <v>137</v>
      </c>
      <c r="E49" s="267"/>
      <c r="F49" s="268"/>
      <c r="G49" s="140" t="s">
        <v>138</v>
      </c>
      <c r="H49" s="140"/>
      <c r="I49" s="140"/>
      <c r="J49" s="266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8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9"/>
      <c r="C50" s="269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6"/>
      <c r="K50" s="275"/>
      <c r="L50" s="275"/>
      <c r="M50" s="277"/>
      <c r="N50" s="188"/>
      <c r="O50" s="183"/>
      <c r="P50" s="279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1" t="s">
        <v>171</v>
      </c>
      <c r="C77" s="252"/>
      <c r="D77" s="253"/>
      <c r="G77"/>
      <c r="H77"/>
      <c r="I77"/>
    </row>
    <row r="78" spans="1:19" ht="20.100000000000001" customHeight="1" x14ac:dyDescent="0.25">
      <c r="B78" s="270" t="s">
        <v>41</v>
      </c>
      <c r="C78" s="270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0"/>
      <c r="C79" s="260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80" t="s">
        <v>179</v>
      </c>
      <c r="C41" s="281"/>
      <c r="D41" s="282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186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22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1" t="s">
        <v>171</v>
      </c>
      <c r="C77" s="252"/>
      <c r="D77" s="253"/>
    </row>
    <row r="78" spans="2:16" ht="18.75" customHeight="1" x14ac:dyDescent="0.25">
      <c r="B78" s="270" t="s">
        <v>41</v>
      </c>
      <c r="C78" s="270" t="s">
        <v>42</v>
      </c>
      <c r="D78" s="231" t="s">
        <v>138</v>
      </c>
    </row>
    <row r="79" spans="2:16" ht="18" customHeight="1" x14ac:dyDescent="0.25">
      <c r="B79" s="260"/>
      <c r="C79" s="260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1" t="s">
        <v>180</v>
      </c>
      <c r="C41" s="262"/>
      <c r="D41" s="263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186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19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1" t="s">
        <v>171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1" t="s">
        <v>189</v>
      </c>
      <c r="C41" s="262"/>
      <c r="D41" s="263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8" t="s">
        <v>145</v>
      </c>
      <c r="C46" s="259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186</v>
      </c>
      <c r="L48" s="272"/>
      <c r="M48" s="272"/>
      <c r="N48" s="272"/>
      <c r="O48" s="272"/>
      <c r="P48" s="273"/>
    </row>
    <row r="49" spans="2:16" ht="15.75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84"/>
      <c r="P50" s="284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1" t="s">
        <v>171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1" t="s">
        <v>219</v>
      </c>
      <c r="C40" s="262"/>
      <c r="D40" s="263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8" t="s">
        <v>145</v>
      </c>
      <c r="C46" s="259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4" t="s">
        <v>213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186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5.75" x14ac:dyDescent="0.25">
      <c r="B50" s="270"/>
      <c r="C50" s="270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87"/>
      <c r="G67" s="271" t="s">
        <v>186</v>
      </c>
      <c r="H67" s="272"/>
      <c r="I67" s="272"/>
      <c r="J67" s="272"/>
      <c r="K67" s="272"/>
      <c r="L67" s="273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1" t="s">
        <v>171</v>
      </c>
      <c r="C77" s="252"/>
      <c r="D77" s="253"/>
    </row>
    <row r="78" spans="2:21" ht="15.75" x14ac:dyDescent="0.25">
      <c r="B78" s="270" t="s">
        <v>41</v>
      </c>
      <c r="C78" s="270" t="s">
        <v>42</v>
      </c>
      <c r="D78" s="231" t="s">
        <v>138</v>
      </c>
    </row>
    <row r="79" spans="2:21" ht="15.75" x14ac:dyDescent="0.25">
      <c r="B79" s="260"/>
      <c r="C79" s="260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8" zoomScale="84" zoomScaleNormal="84" workbookViewId="0">
      <selection activeCell="E82" sqref="E82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5">
        <v>5673423.4199980004</v>
      </c>
      <c r="D11" s="235">
        <v>42317826.700000003</v>
      </c>
      <c r="E11" s="235">
        <v>294873875.35879999</v>
      </c>
      <c r="F11" s="235" t="s">
        <v>165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1083995754.9499691</v>
      </c>
      <c r="G16" s="235">
        <v>1994124254.34692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5">
        <v>48019875.460000001</v>
      </c>
      <c r="D19" s="235" t="s">
        <v>165</v>
      </c>
      <c r="E19" s="235" t="s">
        <v>165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5">
        <v>228406676.46000001</v>
      </c>
      <c r="D20" s="235" t="s">
        <v>165</v>
      </c>
      <c r="E20" s="235" t="s">
        <v>165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224</v>
      </c>
    </row>
    <row r="22" spans="2:15" ht="15" customHeight="1" x14ac:dyDescent="0.25">
      <c r="B22" s="72" t="s">
        <v>225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220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71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1" t="s">
        <v>227</v>
      </c>
      <c r="C40" s="262"/>
      <c r="D40" s="263"/>
      <c r="E40" s="66" t="s">
        <v>137</v>
      </c>
      <c r="F40" s="174">
        <f ca="1">IF(MONTH(TODAY())=9,DAY(TODAY())/DAY(EOMONTH(TODAY(),0)),IF(MONTH(TODAY())&gt;9,1,0))</f>
        <v>1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325374480.43365002</v>
      </c>
      <c r="I42" s="204">
        <f>D42*$J$40-E42</f>
        <v>550963782.11861992</v>
      </c>
      <c r="J42" s="204">
        <f ca="1">IFERROR(I42/$C$3,0)</f>
        <v>550963782.11861992</v>
      </c>
      <c r="K42" s="185">
        <f>D42*$L$40-E42</f>
        <v>550963782.11861992</v>
      </c>
      <c r="L42" s="185">
        <f ca="1">IFERROR(K42/$C$3,0)</f>
        <v>550963782.11861992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230463071.32638597</v>
      </c>
      <c r="I43" s="204">
        <f>D43*$J$40-E43</f>
        <v>300531336.85215688</v>
      </c>
      <c r="J43" s="204">
        <f ca="1">IFERROR(I43/$C$3,0)</f>
        <v>300531336.85215688</v>
      </c>
      <c r="K43" s="185">
        <f>D43*$L$40-E43</f>
        <v>300531336.85215688</v>
      </c>
      <c r="L43" s="185">
        <f ca="1">IFERROR(K43/$C$3,0)</f>
        <v>300531336.85215688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114069206.27038717</v>
      </c>
      <c r="I44" s="204">
        <f>IF(D44=0,0,D44*$J$40-E44)</f>
        <v>261309916.08682156</v>
      </c>
      <c r="J44" s="204">
        <f ca="1">IFERROR(I44/$C$3,0)</f>
        <v>261309916.08682156</v>
      </c>
      <c r="K44" s="185">
        <f>IF(D44=0,0,D44*$L$40-E44)</f>
        <v>261309916.08682156</v>
      </c>
      <c r="L44" s="185">
        <f ca="1">IFERROR(K44/$C$3,0)</f>
        <v>261309916.08682156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-149024634.17599225</v>
      </c>
      <c r="I45" s="204">
        <f>D45*$J$40-E45</f>
        <v>-62003357.580247402</v>
      </c>
      <c r="J45" s="204">
        <f ca="1">IFERROR(I45/$C$3,0)</f>
        <v>-62003357.580247402</v>
      </c>
      <c r="K45" s="185">
        <f>D45*$L$40-E45</f>
        <v>-62003357.580247402</v>
      </c>
      <c r="L45" s="185">
        <f ca="1">IFERROR(K45/$C$3,0)</f>
        <v>-62003357.580247402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520882123.85443091</v>
      </c>
      <c r="I46" s="186">
        <f>SUM(I42:I45)</f>
        <v>1050801677.477351</v>
      </c>
      <c r="J46" s="186">
        <f ca="1">IFERROR(I46/$C$3,0)</f>
        <v>1050801677.477351</v>
      </c>
      <c r="K46" s="186">
        <f>SUM(K42:K45)</f>
        <v>1050801677.477351</v>
      </c>
      <c r="L46" s="186">
        <f ca="1">IFERROR(K46/$C$3,0)</f>
        <v>1050801677.477351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213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186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95%</v>
      </c>
      <c r="N49" s="274" t="str">
        <f>"PER HARI"&amp;CHAR(10)&amp;TEXT($H$40,"0%")</f>
        <v>PER HARI
95%</v>
      </c>
      <c r="O49" s="276" t="str">
        <f>"SELISIH"&amp;CHAR(10)&amp;TEXT($J$40,"0%")</f>
        <v>SELISIH
100%</v>
      </c>
      <c r="P49" s="276" t="str">
        <f>"PER HARI"&amp;CHAR(10)&amp;TEXT($J$40,"0%")</f>
        <v>PER HARI
100%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-17469463.741498113</v>
      </c>
      <c r="O51" s="180">
        <f t="shared" ref="O51:O64" si="8">G51*$J$40-K51</f>
        <v>8248912.2528426647</v>
      </c>
      <c r="P51" s="180">
        <f t="shared" ref="P51:P65" ca="1" si="9">IFERROR(O51/$C$3,0)</f>
        <v>8248912.2528426647</v>
      </c>
      <c r="Q51" s="185">
        <f t="shared" ref="Q51:Q64" si="10">G51*$L$40-K51</f>
        <v>8248912.2528426647</v>
      </c>
      <c r="R51" s="185">
        <f t="shared" ref="R51:R65" ca="1" si="11">IFERROR(Q51/$C$3,0)</f>
        <v>8248912.2528426647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30053960.545837402</v>
      </c>
      <c r="O52" s="180">
        <f t="shared" si="8"/>
        <v>69330154.616844535</v>
      </c>
      <c r="P52" s="180">
        <f t="shared" ca="1" si="9"/>
        <v>69330154.616844535</v>
      </c>
      <c r="Q52" s="185">
        <f t="shared" si="10"/>
        <v>69330154.616844535</v>
      </c>
      <c r="R52" s="185">
        <f t="shared" ca="1" si="11"/>
        <v>69330154.616844535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201785574.34986019</v>
      </c>
      <c r="O53" s="180">
        <f t="shared" si="8"/>
        <v>214933229.60301074</v>
      </c>
      <c r="P53" s="180">
        <f t="shared" ca="1" si="9"/>
        <v>214933229.60301074</v>
      </c>
      <c r="Q53" s="185">
        <f t="shared" si="10"/>
        <v>214933229.60301074</v>
      </c>
      <c r="R53" s="185">
        <f t="shared" ca="1" si="11"/>
        <v>214933229.60301074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-30940811.549464703</v>
      </c>
      <c r="O54" s="180">
        <f t="shared" si="8"/>
        <v>5392778.8898285627</v>
      </c>
      <c r="P54" s="180">
        <f t="shared" ca="1" si="9"/>
        <v>5392778.8898285627</v>
      </c>
      <c r="Q54" s="185">
        <f t="shared" si="10"/>
        <v>5392778.8898285627</v>
      </c>
      <c r="R54" s="185">
        <f t="shared" ca="1" si="11"/>
        <v>5392778.8898285627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167475824.11335337</v>
      </c>
      <c r="O55" s="180">
        <f t="shared" si="8"/>
        <v>194335874.09188765</v>
      </c>
      <c r="P55" s="180">
        <f t="shared" ca="1" si="9"/>
        <v>194335874.09188765</v>
      </c>
      <c r="Q55" s="185">
        <f t="shared" si="10"/>
        <v>194335874.09188765</v>
      </c>
      <c r="R55" s="185">
        <f t="shared" ca="1" si="11"/>
        <v>194335874.09188765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114581506.16246545</v>
      </c>
      <c r="O56" s="180">
        <f t="shared" si="8"/>
        <v>143328805.58747637</v>
      </c>
      <c r="P56" s="180">
        <f t="shared" ca="1" si="9"/>
        <v>143328805.58747637</v>
      </c>
      <c r="Q56" s="185">
        <f t="shared" si="10"/>
        <v>143328805.58747637</v>
      </c>
      <c r="R56" s="185">
        <f t="shared" ca="1" si="11"/>
        <v>143328805.58747637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143596362.85155833</v>
      </c>
      <c r="O57" s="180">
        <f t="shared" si="8"/>
        <v>199055566.1277957</v>
      </c>
      <c r="P57" s="180">
        <f t="shared" ca="1" si="9"/>
        <v>199055566.1277957</v>
      </c>
      <c r="Q57" s="185">
        <f t="shared" si="10"/>
        <v>199055566.1277957</v>
      </c>
      <c r="R57" s="185">
        <f t="shared" ca="1" si="11"/>
        <v>199055566.1277957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33380895.422910452</v>
      </c>
      <c r="O58" s="180">
        <f t="shared" si="8"/>
        <v>64109938.93176198</v>
      </c>
      <c r="P58" s="180">
        <f t="shared" ca="1" si="9"/>
        <v>64109938.93176198</v>
      </c>
      <c r="Q58" s="185">
        <f t="shared" si="10"/>
        <v>64109938.93176198</v>
      </c>
      <c r="R58" s="185">
        <f t="shared" ca="1" si="11"/>
        <v>64109938.93176198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193247703.33759901</v>
      </c>
      <c r="O59" s="180">
        <f t="shared" si="8"/>
        <v>215440039.11642</v>
      </c>
      <c r="P59" s="180">
        <f t="shared" ca="1" si="9"/>
        <v>215440039.11642</v>
      </c>
      <c r="Q59" s="185">
        <f t="shared" si="10"/>
        <v>215440039.11642</v>
      </c>
      <c r="R59" s="185">
        <f t="shared" ca="1" si="11"/>
        <v>215440039.11642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5526049.1793714762</v>
      </c>
      <c r="O60" s="180">
        <f t="shared" si="8"/>
        <v>34485359.589190722</v>
      </c>
      <c r="P60" s="180">
        <f t="shared" ca="1" si="9"/>
        <v>34485359.589190722</v>
      </c>
      <c r="Q60" s="185">
        <f t="shared" si="10"/>
        <v>34485359.589190722</v>
      </c>
      <c r="R60" s="185">
        <f t="shared" ca="1" si="11"/>
        <v>34485359.589190722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-75171919.49645865</v>
      </c>
      <c r="O61" s="180">
        <f t="shared" si="8"/>
        <v>-39342279.41879952</v>
      </c>
      <c r="P61" s="180">
        <f t="shared" ca="1" si="9"/>
        <v>-39342279.41879952</v>
      </c>
      <c r="Q61" s="185">
        <f t="shared" si="10"/>
        <v>-39342279.41879952</v>
      </c>
      <c r="R61" s="185">
        <f t="shared" ca="1" si="11"/>
        <v>-39342279.41879952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62458503.55635345</v>
      </c>
      <c r="O62" s="180">
        <f t="shared" si="8"/>
        <v>86309666.434393525</v>
      </c>
      <c r="P62" s="180">
        <f t="shared" ca="1" si="9"/>
        <v>86309666.434393525</v>
      </c>
      <c r="Q62" s="185">
        <f t="shared" si="10"/>
        <v>86309666.434393525</v>
      </c>
      <c r="R62" s="185">
        <f t="shared" ca="1" si="11"/>
        <v>86309666.434393525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-195327097.7814461</v>
      </c>
      <c r="O63" s="180">
        <f t="shared" si="8"/>
        <v>-146378397.91675568</v>
      </c>
      <c r="P63" s="180">
        <f t="shared" ca="1" si="9"/>
        <v>-146378397.91675568</v>
      </c>
      <c r="Q63" s="185">
        <f t="shared" si="10"/>
        <v>-146378397.91675568</v>
      </c>
      <c r="R63" s="185">
        <f t="shared" ca="1" si="11"/>
        <v>-146378397.91675568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36709671.079981267</v>
      </c>
      <c r="O64" s="180">
        <f t="shared" si="8"/>
        <v>63555387.151700854</v>
      </c>
      <c r="P64" s="180">
        <f t="shared" ca="1" si="9"/>
        <v>63555387.151700854</v>
      </c>
      <c r="Q64" s="185">
        <f t="shared" si="10"/>
        <v>63555387.151700854</v>
      </c>
      <c r="R64" s="185">
        <f t="shared" ca="1" si="11"/>
        <v>63555387.151700854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669906758.03042293</v>
      </c>
      <c r="O65" s="181">
        <f>SUM(O51:O64)</f>
        <v>1112805035.0575981</v>
      </c>
      <c r="P65" s="181">
        <f t="shared" ca="1" si="9"/>
        <v>1112805035.0575981</v>
      </c>
      <c r="Q65" s="186">
        <f>SUM(Q51:Q64)</f>
        <v>1112805035.0575981</v>
      </c>
      <c r="R65" s="186">
        <f t="shared" ca="1" si="11"/>
        <v>1112805035.0575981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186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-37090544.052177608</v>
      </c>
      <c r="I69" s="204">
        <f>D69*$J$40-E69</f>
        <v>-24277668.886929363</v>
      </c>
      <c r="J69" s="204">
        <f t="shared" ref="J69:J74" ca="1" si="15">IFERROR(I69/$C$3,0)</f>
        <v>-24277668.886929363</v>
      </c>
      <c r="K69" s="185">
        <f>D69*$L$40-E69</f>
        <v>-24277668.886929363</v>
      </c>
      <c r="L69" s="185">
        <f t="shared" ref="L69:L74" ca="1" si="16">IFERROR(K69/$C$3,0)</f>
        <v>-24277668.886929363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-93912360.002938688</v>
      </c>
      <c r="I70" s="204">
        <f>D70*$J$40-E70</f>
        <v>-73934439.387690425</v>
      </c>
      <c r="J70" s="204">
        <f t="shared" ca="1" si="15"/>
        <v>-73934439.387690425</v>
      </c>
      <c r="K70" s="185">
        <f>D70*$L$40-E70</f>
        <v>-73934439.387690425</v>
      </c>
      <c r="L70" s="185">
        <f t="shared" ca="1" si="16"/>
        <v>-73934439.387690425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-18021730.120875716</v>
      </c>
      <c r="I71" s="204">
        <f>D71*$J$40-E71</f>
        <v>36208750.694372535</v>
      </c>
      <c r="J71" s="204">
        <f t="shared" ca="1" si="15"/>
        <v>36208750.694372535</v>
      </c>
      <c r="K71" s="185">
        <f>D71*$L$40-E71</f>
        <v>36208750.694372535</v>
      </c>
      <c r="L71" s="185">
        <f t="shared" ca="1" si="16"/>
        <v>36208750.694372535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-149024634.17599201</v>
      </c>
      <c r="I74" s="186">
        <f>SUM(I69:I73)</f>
        <v>-62003357.580247253</v>
      </c>
      <c r="J74" s="186">
        <f t="shared" ca="1" si="15"/>
        <v>-62003357.580247253</v>
      </c>
      <c r="K74" s="186">
        <f>SUM(K69:K73)</f>
        <v>-62003357.580247253</v>
      </c>
      <c r="L74" s="186">
        <f t="shared" ca="1" si="16"/>
        <v>-62003357.580247253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171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222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226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1083995754.9499691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3598934224.7465181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46" zoomScaleNormal="100" workbookViewId="0">
      <selection activeCell="C86" sqref="C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225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1" t="s">
        <v>163</v>
      </c>
      <c r="C40" s="262"/>
      <c r="D40" s="263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186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186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171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222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226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1" t="s">
        <v>175</v>
      </c>
      <c r="C40" s="262"/>
      <c r="D40" s="263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186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186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171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1" t="s">
        <v>177</v>
      </c>
      <c r="C40" s="262"/>
      <c r="D40" s="263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186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186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171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2026-09-30T00:53:10Z</dcterms:modified>
  <dc:language>en-US</dc:language>
</cp:coreProperties>
</file>