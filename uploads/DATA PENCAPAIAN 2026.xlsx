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I52" i="8" l="1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<sst xmlns="http://schemas.openxmlformats.org/spreadsheetml/2006/main" count="1875" uniqueCount="185">
  <si>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</si>
  <si>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</si>
  <si>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</si>
  <si>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</si>
  <si>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</si>
  <si>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</si>
  <si>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</si>
  <si>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</si>
  <si>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</si>
  <si>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</si>
  <si>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</si>
  <si>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</si>
  <si>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</si>
  <si>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</si>
  <si>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</si>
  <si>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</si>
  <si>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</si>
  <si>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</si>
  <si>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</si>
  <si>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</si>
  <si>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</si>
  <si>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</si>
  <si>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</si>
  <si>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</si>
  <si>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</si>
  <si>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</si>
  <si>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</si>
  <si>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</si>
  <si>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</si>
  <si>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</si>
  <si>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</si>
  <si>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</si>
  <si>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</si>
  <si>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</si>
  <si>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</si>
  <si>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</si>
  <si>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</si>
  <si>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</si>
  <si>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</si>
  <si>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</si>
  <si>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</si>
  <si>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</si>
  <si>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</si>
  <si>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</si>
  <si>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</si>
  <si>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</si>
  <si>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</si>
  <si>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</si>
  <si>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</si>
  <si>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</si>
  <si>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</si>
  <si>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</si>
  <si>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</si>
  <si>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</si>
  <si>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</si>
  <si>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</si>
  <si>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</si>
  <si>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</si>
  <si>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</si>
  <si>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</si>
  <si>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</si>
  <si>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</si>
  <si>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</si>
  <si>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</si>
  <si>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</si>
  <si>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</si>
  <si>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</si>
  <si>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</si>
  <si>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</si>
  <si>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</si>
  <si>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</si>
  <si>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</si>
  <si>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</si>
  <si>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</si>
  <si>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</si>
  <si>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</si>
  <si>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</si>
  <si>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</si>
  <si>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</si>
  <si>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</si>
  <si>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</si>
  <si>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</si>
  <si>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</si>
  <si>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</si>
  <si>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</si>
  <si>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</si>
  <si>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</si>
  <si>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</si>
  <si>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</si>
  <si>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</si>
  <si>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</si>
  <si>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</si>
  <si>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</si>
  <si>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</si>
  <si>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</si>
  <si>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</si>
  <si>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</si>
  <si>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</si>
  <si>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</si>
  <si>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</si>
  <si>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</si>
  <si>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</si>
  <si>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</si>
  <si>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</si>
  <si>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</si>
  <si>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</si>
  <si>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</si>
  <si>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</si>
  <si>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</si>
  <si>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</si>
  <si>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</si>
  <si>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</si>
  <si>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</si>
  <si>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</si>
  <si>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</si>
  <si>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</si>
  <si>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</si>
  <si>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</si>
  <si>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</si>
  <si>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</si>
  <si>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</si>
  <si>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</si>
  <si>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</si>
  <si>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</si>
  <si>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</si>
  <si>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</si>
  <si>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</si>
  <si>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</si>
  <si>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</si>
  <si>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</si>
  <si>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</si>
  <si>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</si>
  <si>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</si>
  <si>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</si>
  <si>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</si>
  <si>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</si>
  <si>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</si>
  <si>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</si>
  <si>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</si>
  <si>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</si>
  <si>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</si>
  <si>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</si>
  <si>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</si>
  <si>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</si>
  <si>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</si>
  <si>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</si>
  <si>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</si>
  <si>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</si>
  <si>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</si>
  <si>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</si>
  <si>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</si>
  <si>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</si>
  <si>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</si>
  <si>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</si>
  <si>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</si>
  <si>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</si>
  <si>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</si>
  <si>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</si>
  <si>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</si>
  <si>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</si>
  <si>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</si>
  <si>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</si>
  <si>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</si>
  <si>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</si>
  <si>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</si>
  <si>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</si>
  <si>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</si>
  <si>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</si>
  <si>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</si>
  <si>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</si>
  <si>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</si>
  <si>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</si>
  <si>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</si>
  <si>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</si>
  <si>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</si>
  <si>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</si>
  <si>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</si>
  <si>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</si>
  <si>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</si>
  <si>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</si>
  <si>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</si>
  <si>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</si>
  <si>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</si>
  <si>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</si>
  <si>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11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</si>
</sst>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164" fontId="0" fillId="0" borderId="0" xfId="0" applyNumberFormat="1"/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182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17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183</v>
      </c>
      <c r="C41" s="246"/>
      <c r="D41" s="247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37223181.188918054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32681607.630393576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6457206.7493948657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76361995.568706498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8937889.6074448992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7997037.3521923525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2582671.8941176464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-2373453.3815310071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7693786.9183250666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4746323.7914672736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-1477478.5687493857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6518495.7785464739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6094831.7747073527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4447761.6268988466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10425656.317992838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6963195.7742454624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2035628.4095879653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5312441.5240659043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69904788.819311693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-786057.52448661532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-1089969.5728166138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8333233.8466981016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6457206.7493948722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17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135378995.011134</v>
      </c>
      <c r="N8" s="11">
        <f>D24</f>
        <v>32185396.508979999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245043404.90069699</v>
      </c>
      <c r="N9" s="11">
        <f>D12+D13</f>
        <v>67522165.977889001</v>
      </c>
    </row>
    <row r="10" spans="2:14" x14ac:dyDescent="0.25">
      <c r="B10" s="74" t="s">
        <v>113</v>
      </c>
      <c r="C10" s="205">
        <v>119515303.00117099</v>
      </c>
      <c r="D10" s="205">
        <v>21722428.966798998</v>
      </c>
      <c r="E10" s="205">
        <v>58860530</v>
      </c>
      <c r="F10" s="205">
        <v>200098261.96797001</v>
      </c>
      <c r="H10" s="116"/>
      <c r="I10" s="116"/>
      <c r="J10" s="116"/>
      <c r="M10" s="11">
        <f>C14</f>
        <v>406728427.45804399</v>
      </c>
      <c r="N10" s="11">
        <f>D14</f>
        <v>11191243.147555999</v>
      </c>
    </row>
    <row r="11" spans="2:14" x14ac:dyDescent="0.25">
      <c r="B11" s="74" t="s">
        <v>114</v>
      </c>
      <c r="C11" s="205">
        <v>136023172.067651</v>
      </c>
      <c r="D11" s="205">
        <v>35515061.990364</v>
      </c>
      <c r="E11" s="205">
        <v>1783783.8</v>
      </c>
      <c r="F11" s="205">
        <v>173322017.858015</v>
      </c>
      <c r="H11" s="116"/>
      <c r="I11" s="116"/>
      <c r="J11" s="116"/>
      <c r="M11" s="11">
        <f>C17</f>
        <v>124315313.7999</v>
      </c>
      <c r="N11" s="11">
        <f>D17</f>
        <v>46234425.210000001</v>
      </c>
    </row>
    <row r="12" spans="2:14" x14ac:dyDescent="0.25">
      <c r="B12" s="74" t="s">
        <v>70</v>
      </c>
      <c r="C12" s="205">
        <v>128161861.222551</v>
      </c>
      <c r="D12" s="205">
        <v>40638328.768072002</v>
      </c>
      <c r="E12" s="205">
        <v>24940539.879999999</v>
      </c>
      <c r="F12" s="205">
        <v>193740729.87062299</v>
      </c>
      <c r="H12" s="116"/>
      <c r="I12" s="116"/>
      <c r="J12" s="116"/>
      <c r="M12" s="11">
        <f>C16</f>
        <v>201880098.311389</v>
      </c>
      <c r="N12" s="11">
        <f>D16</f>
        <v>44391483.320831999</v>
      </c>
    </row>
    <row r="13" spans="2:14" x14ac:dyDescent="0.25">
      <c r="B13" s="74" t="s">
        <v>115</v>
      </c>
      <c r="C13" s="205">
        <v>116881543.678146</v>
      </c>
      <c r="D13" s="205">
        <v>26883837.209817</v>
      </c>
      <c r="E13" s="205">
        <v>11615405.199999999</v>
      </c>
      <c r="F13" s="205">
        <v>155380786.08796301</v>
      </c>
      <c r="H13" s="116"/>
      <c r="I13" s="116"/>
      <c r="J13" s="116"/>
      <c r="M13" s="11">
        <f>C19</f>
        <v>336029619.6706</v>
      </c>
      <c r="N13" s="11">
        <f>D19</f>
        <v>33785325.679941997</v>
      </c>
    </row>
    <row r="14" spans="2:14" x14ac:dyDescent="0.25">
      <c r="B14" s="74" t="s">
        <v>116</v>
      </c>
      <c r="C14" s="205">
        <v>406728427.45804399</v>
      </c>
      <c r="D14" s="205">
        <v>11191243.147555999</v>
      </c>
      <c r="E14" s="205">
        <v>93474955.230000004</v>
      </c>
      <c r="F14" s="205">
        <v>511394625.83560002</v>
      </c>
      <c r="H14" s="116"/>
      <c r="I14" s="116"/>
      <c r="J14" s="116"/>
      <c r="M14" s="11">
        <f>C25</f>
        <v>191861943.63743401</v>
      </c>
      <c r="N14" s="11">
        <f>D25</f>
        <v>30404159.599975999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136023172.067651</v>
      </c>
      <c r="N15" s="11">
        <f>D11</f>
        <v>35515061.990364</v>
      </c>
    </row>
    <row r="16" spans="2:14" x14ac:dyDescent="0.25">
      <c r="B16" s="74" t="s">
        <v>74</v>
      </c>
      <c r="C16" s="205">
        <v>201880098.311389</v>
      </c>
      <c r="D16" s="205">
        <v>44391483.320831999</v>
      </c>
      <c r="E16" s="205">
        <v>14360089.9</v>
      </c>
      <c r="F16" s="205">
        <v>260631671.53222099</v>
      </c>
      <c r="H16" s="116"/>
      <c r="I16" s="116"/>
      <c r="J16" s="116"/>
      <c r="M16" s="11">
        <f>C26</f>
        <v>233680095.40669799</v>
      </c>
      <c r="N16" s="11">
        <f>D26</f>
        <v>19663021.805468</v>
      </c>
    </row>
    <row r="17" spans="2:14" x14ac:dyDescent="0.25">
      <c r="B17" s="74" t="s">
        <v>118</v>
      </c>
      <c r="C17" s="205">
        <v>124315313.7999</v>
      </c>
      <c r="D17" s="205">
        <v>46234425.210000001</v>
      </c>
      <c r="E17" s="205" t="s">
        <v>168</v>
      </c>
      <c r="F17" s="205">
        <v>170549739.0099</v>
      </c>
      <c r="H17" s="116"/>
      <c r="I17" s="116"/>
      <c r="J17" s="116"/>
      <c r="M17" s="11">
        <f>C10</f>
        <v>119515303.00117099</v>
      </c>
      <c r="N17" s="11">
        <f>D10</f>
        <v>21722428.966798998</v>
      </c>
    </row>
    <row r="18" spans="2:14" x14ac:dyDescent="0.25">
      <c r="B18" s="74" t="s">
        <v>119</v>
      </c>
      <c r="C18" s="205">
        <v>211337932.37909099</v>
      </c>
      <c r="D18" s="205">
        <v>1115504.509997</v>
      </c>
      <c r="E18" s="205">
        <v>6986486.4000000004</v>
      </c>
      <c r="F18" s="205">
        <v>219439923.28908801</v>
      </c>
      <c r="H18" s="116"/>
      <c r="I18" s="116"/>
      <c r="J18" s="116"/>
      <c r="M18" s="11">
        <f>C27</f>
        <v>318172326.70523697</v>
      </c>
      <c r="N18" s="11">
        <f>D27</f>
        <v>45108379.445509002</v>
      </c>
    </row>
    <row r="19" spans="2:14" x14ac:dyDescent="0.25">
      <c r="B19" s="74" t="s">
        <v>121</v>
      </c>
      <c r="C19" s="205">
        <v>336029619.6706</v>
      </c>
      <c r="D19" s="205">
        <v>33785325.679941997</v>
      </c>
      <c r="E19" s="205">
        <v>569969388.88997996</v>
      </c>
      <c r="F19" s="205">
        <v>939784334.24052203</v>
      </c>
      <c r="H19" s="116"/>
      <c r="I19" s="116"/>
      <c r="J19" s="116"/>
      <c r="M19" s="11">
        <f>C20+C21</f>
        <v>75958599.120931</v>
      </c>
      <c r="N19" s="11">
        <f>D20+D21</f>
        <v>72286875.119332001</v>
      </c>
    </row>
    <row r="20" spans="2:14" x14ac:dyDescent="0.25">
      <c r="B20" s="74" t="s">
        <v>123</v>
      </c>
      <c r="C20" s="205">
        <v>48987961.120931</v>
      </c>
      <c r="D20" s="205">
        <v>16073745.839803999</v>
      </c>
      <c r="E20" s="205">
        <v>1945946</v>
      </c>
      <c r="F20" s="205">
        <v>67007652.960735001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26970638</v>
      </c>
      <c r="D21" s="205">
        <v>56213129.279527999</v>
      </c>
      <c r="E21" s="205">
        <v>16627027.34</v>
      </c>
      <c r="F21" s="205">
        <v>99810794.619527996</v>
      </c>
      <c r="H21" s="116"/>
      <c r="I21" s="116"/>
      <c r="J21" s="116"/>
      <c r="M21" s="14">
        <f>IFERROR(C34,0)+IFERROR(C35,0)+M20</f>
        <v>373557754.84487098</v>
      </c>
      <c r="N21" s="10" t="s">
        <v>122</v>
      </c>
    </row>
    <row r="22" spans="2:14" x14ac:dyDescent="0.25">
      <c r="B22" s="74" t="s">
        <v>172</v>
      </c>
      <c r="C22" s="205">
        <v>60385505.920000002</v>
      </c>
      <c r="D22" s="205" t="s">
        <v>168</v>
      </c>
      <c r="E22" s="205">
        <v>4684684.5599999996</v>
      </c>
      <c r="F22" s="205">
        <v>65070190.479999997</v>
      </c>
      <c r="H22" s="116"/>
      <c r="I22" s="116"/>
      <c r="J22" s="116"/>
    </row>
    <row r="23" spans="2:14" x14ac:dyDescent="0.25">
      <c r="B23" s="74" t="s">
        <v>173</v>
      </c>
      <c r="C23" s="205">
        <v>152812172.24000001</v>
      </c>
      <c r="D23" s="205" t="s">
        <v>168</v>
      </c>
      <c r="E23" s="205">
        <v>5129098.96</v>
      </c>
      <c r="F23" s="205">
        <v>157941271.19999999</v>
      </c>
      <c r="H23" s="116"/>
      <c r="I23" s="116"/>
      <c r="J23" s="116"/>
    </row>
    <row r="24" spans="2:14" x14ac:dyDescent="0.25">
      <c r="B24" s="74" t="s">
        <v>125</v>
      </c>
      <c r="C24" s="205">
        <v>135378995.011134</v>
      </c>
      <c r="D24" s="205">
        <v>32185396.508979999</v>
      </c>
      <c r="E24" s="205">
        <v>196175586.27990001</v>
      </c>
      <c r="F24" s="205">
        <v>363739977.80001402</v>
      </c>
      <c r="H24" s="116"/>
      <c r="I24" s="116"/>
      <c r="J24" s="116"/>
    </row>
    <row r="25" spans="2:14" x14ac:dyDescent="0.25">
      <c r="B25" s="74" t="s">
        <v>126</v>
      </c>
      <c r="C25" s="205">
        <v>191861943.63743401</v>
      </c>
      <c r="D25" s="205">
        <v>30404159.599975999</v>
      </c>
      <c r="E25" s="205">
        <v>105378830.049775</v>
      </c>
      <c r="F25" s="205">
        <v>327644933.28718501</v>
      </c>
      <c r="H25" s="116"/>
      <c r="I25" s="116"/>
      <c r="J25" s="116"/>
    </row>
    <row r="26" spans="2:14" x14ac:dyDescent="0.25">
      <c r="B26" s="74" t="s">
        <v>127</v>
      </c>
      <c r="C26" s="205">
        <v>233680095.40669799</v>
      </c>
      <c r="D26" s="205">
        <v>19663021.805468</v>
      </c>
      <c r="E26" s="205">
        <v>263548744.42969999</v>
      </c>
      <c r="F26" s="205">
        <v>516891861.64186603</v>
      </c>
      <c r="H26" s="116"/>
      <c r="I26" s="116"/>
      <c r="J26" s="116"/>
    </row>
    <row r="27" spans="2:14" x14ac:dyDescent="0.25">
      <c r="B27" s="74" t="s">
        <v>128</v>
      </c>
      <c r="C27" s="205">
        <v>318172326.70523697</v>
      </c>
      <c r="D27" s="205">
        <v>45108379.445509002</v>
      </c>
      <c r="E27" s="205">
        <v>1902162.2150000001</v>
      </c>
      <c r="F27" s="205">
        <v>365182868.36574602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83483688.659519002</v>
      </c>
      <c r="G32" s="116"/>
      <c r="H32" s="116"/>
      <c r="I32" s="116"/>
    </row>
    <row r="33" spans="2:14" x14ac:dyDescent="0.25">
      <c r="B33" s="84" t="s">
        <v>133</v>
      </c>
      <c r="C33" s="248">
        <v>153267348.45391101</v>
      </c>
      <c r="G33" s="116"/>
      <c r="H33" s="116"/>
      <c r="I33" s="116"/>
    </row>
    <row r="34" spans="2:14" x14ac:dyDescent="0.25">
      <c r="B34" s="84" t="s">
        <v>134</v>
      </c>
      <c r="C34" s="205">
        <v>67689999.712246999</v>
      </c>
      <c r="G34" s="116"/>
      <c r="H34" s="116"/>
      <c r="I34" s="116"/>
    </row>
    <row r="35" spans="2:14" x14ac:dyDescent="0.25">
      <c r="B35" s="84" t="s">
        <v>135</v>
      </c>
      <c r="C35" s="205">
        <v>305456755.13262397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4" t="s">
        <v>184</v>
      </c>
      <c r="C41" s="225"/>
      <c r="D41" s="226"/>
      <c r="E41" s="67" t="s">
        <v>138</v>
      </c>
      <c r="F41" s="73">
        <f ca="1">IF(MONTH(TODAY())=6,DAY(TODAY())/DAY(EOMONTH(TODAY(),0)),IF(MONTH(TODAY())&gt;6,1,0))</f>
        <v>0.36666666666666664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2737784977.250886</v>
      </c>
      <c r="F43" s="44">
        <f>IFERROR(E43/D43,0)</f>
        <v>0.37714280606097028</v>
      </c>
      <c r="G43" s="118">
        <f>D43-E43</f>
        <v>4521494354.749114</v>
      </c>
      <c r="H43" s="118">
        <f ca="1">IFERROR(G43/C3,0)</f>
        <v>265970256.16171259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460009966.77264714</v>
      </c>
      <c r="F44" s="44">
        <f>IFERROR(E44/D44,0)</f>
        <v>0.25422990827090514</v>
      </c>
      <c r="G44" s="118">
        <f>D44-E44</f>
        <v>1349415092.2273529</v>
      </c>
      <c r="H44" s="118">
        <f ca="1">IFERROR(G44/C3,0)</f>
        <v>79377358.366314873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610308791.95830107</v>
      </c>
      <c r="F45" s="44">
        <f>IFERROR(E45/D45,0)</f>
        <v>0.33334704496657031</v>
      </c>
      <c r="G45" s="118">
        <f>D45-E45</f>
        <v>1220542272.0416989</v>
      </c>
      <c r="H45" s="118">
        <f ca="1">IFERROR(G45/C3,0)</f>
        <v>71796604.237746999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10899555455</v>
      </c>
      <c r="E46" s="47">
        <f>E43+E44+E45</f>
        <v>3808103735.9818339</v>
      </c>
      <c r="F46" s="43">
        <f>IFERROR(E46/D46,0)</f>
        <v>0.34938156438618112</v>
      </c>
      <c r="G46" s="119">
        <f>G43+G44+G45</f>
        <v>7091451719.0181656</v>
      </c>
      <c r="H46" s="119">
        <f ca="1">IFERROR(G46/C3,0)</f>
        <v>417144218.76577443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1.75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19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135378995.011134</v>
      </c>
      <c r="H51" s="122">
        <f>N8</f>
        <v>32185396.508979999</v>
      </c>
      <c r="I51" s="122">
        <f t="shared" ref="I51:I64" si="1">G51+H51</f>
        <v>167564391.520114</v>
      </c>
      <c r="J51" s="61">
        <f t="shared" ref="J51:J64" si="2">IFERROR(I51/F51,0)</f>
        <v>0.30272842509896425</v>
      </c>
      <c r="K51" s="51">
        <f t="shared" ref="K51:M64" si="3">D51-G51</f>
        <v>316304482.98886597</v>
      </c>
      <c r="L51" s="51">
        <f t="shared" si="3"/>
        <v>69645026.491019994</v>
      </c>
      <c r="M51" s="51">
        <f t="shared" si="3"/>
        <v>385949509.479886</v>
      </c>
      <c r="N51" s="51">
        <f ca="1">IFERROR(M51/C3,0)</f>
        <v>22702912.322346237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245043404.90069699</v>
      </c>
      <c r="H52" s="122">
        <f>N9</f>
        <v>67522165.977889001</v>
      </c>
      <c r="I52" s="122">
        <f t="shared" si="1"/>
        <v>312565570.87858599</v>
      </c>
      <c r="J52" s="61">
        <f t="shared" si="2"/>
        <v>0.38338000760506352</v>
      </c>
      <c r="K52" s="54">
        <f t="shared" si="3"/>
        <v>345138966.09930301</v>
      </c>
      <c r="L52" s="54">
        <f t="shared" si="3"/>
        <v>157584640.022111</v>
      </c>
      <c r="M52" s="54">
        <f t="shared" si="3"/>
        <v>502723606.12141401</v>
      </c>
      <c r="N52" s="54">
        <f ca="1">IFERROR(M52/C3,0)</f>
        <v>29571976.830671411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60385505.920000002</v>
      </c>
      <c r="H53" s="122">
        <f>IF(D22="",0,D22)</f>
        <v>0</v>
      </c>
      <c r="I53" s="122">
        <f>G53+H53</f>
        <v>60385505.920000002</v>
      </c>
      <c r="J53" s="61">
        <f>IFERROR(I53/F53,0)</f>
        <v>0.25007118353158664</v>
      </c>
      <c r="K53" s="54">
        <f>D53-G53</f>
        <v>181087762.07999998</v>
      </c>
      <c r="L53" s="54">
        <f>E53-H53</f>
        <v>0</v>
      </c>
      <c r="M53" s="54">
        <f>F53-I53</f>
        <v>181087762.07999998</v>
      </c>
      <c r="N53" s="54">
        <f ca="1">IFERROR(M53/C3,0)</f>
        <v>10652221.298823528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406728427.45804399</v>
      </c>
      <c r="H54" s="122">
        <f t="shared" ref="H54:H58" si="4">N10</f>
        <v>11191243.147555999</v>
      </c>
      <c r="I54" s="122">
        <f t="shared" si="1"/>
        <v>417919670.6056</v>
      </c>
      <c r="J54" s="61">
        <f t="shared" si="2"/>
        <v>0.57552459455945948</v>
      </c>
      <c r="K54" s="54">
        <f>D54-G54</f>
        <v>238984044.54195601</v>
      </c>
      <c r="L54" s="54">
        <f t="shared" si="3"/>
        <v>69250604.852443993</v>
      </c>
      <c r="M54" s="54">
        <f t="shared" si="3"/>
        <v>308234649.3944</v>
      </c>
      <c r="N54" s="54">
        <f ca="1">IFERROR(M54/C3,0)</f>
        <v>18131449.964376472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124315313.7999</v>
      </c>
      <c r="H55" s="122">
        <f t="shared" si="4"/>
        <v>46234425.210000001</v>
      </c>
      <c r="I55" s="122">
        <f t="shared" si="1"/>
        <v>170549739.0099</v>
      </c>
      <c r="J55" s="61">
        <f t="shared" si="2"/>
        <v>0.28934284984169234</v>
      </c>
      <c r="K55" s="54">
        <f t="shared" si="3"/>
        <v>384603518.2001</v>
      </c>
      <c r="L55" s="54">
        <f t="shared" si="3"/>
        <v>34284978.789999999</v>
      </c>
      <c r="M55" s="54">
        <f t="shared" si="3"/>
        <v>418888496.99010003</v>
      </c>
      <c r="N55" s="54">
        <f ca="1">IFERROR(M55/C3,0)</f>
        <v>24640499.822947059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201880098.311389</v>
      </c>
      <c r="H56" s="122">
        <f t="shared" si="4"/>
        <v>44391483.320831999</v>
      </c>
      <c r="I56" s="122">
        <f t="shared" si="1"/>
        <v>246271581.63222098</v>
      </c>
      <c r="J56" s="61">
        <f t="shared" si="2"/>
        <v>0.47159256093761032</v>
      </c>
      <c r="K56" s="54">
        <f t="shared" si="3"/>
        <v>238183185.688611</v>
      </c>
      <c r="L56" s="54">
        <f t="shared" si="3"/>
        <v>37757841.679168001</v>
      </c>
      <c r="M56" s="54">
        <f t="shared" si="3"/>
        <v>275941027.36777902</v>
      </c>
      <c r="N56" s="54">
        <f ca="1">IFERROR(M56/C3,0)</f>
        <v>16231825.139281118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336029619.6706</v>
      </c>
      <c r="H57" s="122">
        <f t="shared" si="4"/>
        <v>33785325.679941997</v>
      </c>
      <c r="I57" s="122">
        <f t="shared" si="1"/>
        <v>369814945.35054201</v>
      </c>
      <c r="J57" s="61">
        <f t="shared" si="2"/>
        <v>0.32953081107260546</v>
      </c>
      <c r="K57" s="54">
        <f t="shared" si="3"/>
        <v>660728725.32940006</v>
      </c>
      <c r="L57" s="54">
        <f t="shared" si="3"/>
        <v>91703272.320058003</v>
      </c>
      <c r="M57" s="54">
        <f t="shared" si="3"/>
        <v>752431997.64945793</v>
      </c>
      <c r="N57" s="54">
        <f ca="1">IFERROR(M57/C3,0)</f>
        <v>44260705.744085759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191861943.63743401</v>
      </c>
      <c r="H58" s="122">
        <f t="shared" si="4"/>
        <v>30404159.599975999</v>
      </c>
      <c r="I58" s="122">
        <f>G58+H58</f>
        <v>222266103.23741001</v>
      </c>
      <c r="J58" s="61">
        <f>IFERROR(I58/F58,0)</f>
        <v>0.34858245587539899</v>
      </c>
      <c r="K58" s="54">
        <f t="shared" si="3"/>
        <v>348425115.36256599</v>
      </c>
      <c r="L58" s="54">
        <f t="shared" si="3"/>
        <v>66937266.400023997</v>
      </c>
      <c r="M58" s="54">
        <f t="shared" si="3"/>
        <v>415362381.76258999</v>
      </c>
      <c r="N58" s="54">
        <f ca="1">IFERROR(M58/C3,0)</f>
        <v>24433081.280152351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152812172.24000001</v>
      </c>
      <c r="H59" s="122">
        <f>IF(D23="",0,D23)</f>
        <v>0</v>
      </c>
      <c r="I59" s="122">
        <f>G59+H59</f>
        <v>152812172.24000001</v>
      </c>
      <c r="J59" s="61">
        <f>IFERROR(I59/F59,0)</f>
        <v>0.37812284858308665</v>
      </c>
      <c r="K59" s="54">
        <f>D59-G59</f>
        <v>251321491.75999999</v>
      </c>
      <c r="L59" s="54">
        <f>E59-H59</f>
        <v>0</v>
      </c>
      <c r="M59" s="54">
        <f>F59-I59</f>
        <v>251321491.75999999</v>
      </c>
      <c r="N59" s="54">
        <f ca="1">IFERROR(M59/C3,0)</f>
        <v>14783617.16235294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136023172.067651</v>
      </c>
      <c r="H60" s="122">
        <f t="shared" ref="H60:H64" si="5">N15</f>
        <v>35515061.990364</v>
      </c>
      <c r="I60" s="122">
        <f t="shared" si="1"/>
        <v>171538234.05801499</v>
      </c>
      <c r="J60" s="61">
        <f t="shared" si="2"/>
        <v>0.28073080472685924</v>
      </c>
      <c r="K60" s="54">
        <f t="shared" si="3"/>
        <v>302994136.93234897</v>
      </c>
      <c r="L60" s="54">
        <f t="shared" si="3"/>
        <v>136509350.00963598</v>
      </c>
      <c r="M60" s="54">
        <f t="shared" si="3"/>
        <v>439503486.94198501</v>
      </c>
      <c r="N60" s="54">
        <f ca="1">IFERROR(M60/C3,0)</f>
        <v>25853146.290704999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233680095.40669799</v>
      </c>
      <c r="H61" s="122">
        <f t="shared" si="5"/>
        <v>19663021.805468</v>
      </c>
      <c r="I61" s="122">
        <f t="shared" si="1"/>
        <v>253343117.21216598</v>
      </c>
      <c r="J61" s="61">
        <f t="shared" si="2"/>
        <v>0.33381564917015444</v>
      </c>
      <c r="K61" s="54">
        <f t="shared" si="3"/>
        <v>432949500.59330201</v>
      </c>
      <c r="L61" s="54">
        <f t="shared" si="3"/>
        <v>72638600.194532007</v>
      </c>
      <c r="M61" s="54">
        <f t="shared" si="3"/>
        <v>505588100.78783405</v>
      </c>
      <c r="N61" s="54">
        <f ca="1">IFERROR(M61/C3,0)</f>
        <v>29740476.516931415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119515303.00117099</v>
      </c>
      <c r="H62" s="122">
        <f t="shared" si="5"/>
        <v>21722428.966798998</v>
      </c>
      <c r="I62" s="122">
        <f t="shared" si="1"/>
        <v>141237731.96796998</v>
      </c>
      <c r="J62" s="61">
        <f t="shared" si="2"/>
        <v>0.27220400950411588</v>
      </c>
      <c r="K62" s="54">
        <f t="shared" si="3"/>
        <v>302027719.99882901</v>
      </c>
      <c r="L62" s="54">
        <f t="shared" si="3"/>
        <v>75601747.033201009</v>
      </c>
      <c r="M62" s="54">
        <f t="shared" si="3"/>
        <v>377629467.03202999</v>
      </c>
      <c r="N62" s="54">
        <f ca="1">IFERROR(M62/C3,0)</f>
        <v>22213498.060707647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318172326.70523697</v>
      </c>
      <c r="H63" s="122">
        <f t="shared" si="5"/>
        <v>45108379.445509002</v>
      </c>
      <c r="I63" s="122">
        <f t="shared" si="1"/>
        <v>363280706.15074599</v>
      </c>
      <c r="J63" s="61">
        <f t="shared" si="2"/>
        <v>0.37004591969890599</v>
      </c>
      <c r="K63" s="54">
        <f t="shared" si="3"/>
        <v>300178615.29476303</v>
      </c>
      <c r="L63" s="54">
        <f t="shared" si="3"/>
        <v>318258586.55449098</v>
      </c>
      <c r="M63" s="54">
        <f t="shared" si="3"/>
        <v>618437201.84925401</v>
      </c>
      <c r="N63" s="54">
        <f ca="1">IFERROR(M63/C3,0)</f>
        <v>36378658.932309061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75958599.120931</v>
      </c>
      <c r="H64" s="122">
        <f t="shared" si="5"/>
        <v>72286875.119332001</v>
      </c>
      <c r="I64" s="122">
        <f t="shared" si="1"/>
        <v>148245474.24026299</v>
      </c>
      <c r="J64" s="61">
        <f t="shared" si="2"/>
        <v>0.25295456322013649</v>
      </c>
      <c r="K64" s="54">
        <f t="shared" si="3"/>
        <v>218567089.879069</v>
      </c>
      <c r="L64" s="54">
        <f t="shared" si="3"/>
        <v>219243177.88066798</v>
      </c>
      <c r="M64" s="54">
        <f t="shared" si="3"/>
        <v>437810267.75973701</v>
      </c>
      <c r="N64" s="54">
        <f ca="1">IFERROR(M64/C3,0)</f>
        <v>25753545.162337471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2737784977.250886</v>
      </c>
      <c r="H65" s="152">
        <f>SUM(H51:H64)</f>
        <v>460009966.77264714</v>
      </c>
      <c r="I65" s="152">
        <f>SUM(I51:I64)</f>
        <v>3197794944.0235329</v>
      </c>
      <c r="J65" s="153">
        <f>IFERROR(I65/F65,0)</f>
        <v>0.35261872105976916</v>
      </c>
      <c r="K65" s="154">
        <f>SUM(K51:K64)</f>
        <v>4521494354.749114</v>
      </c>
      <c r="L65" s="154">
        <f>SUM(L51:L64)</f>
        <v>1349415092.2273529</v>
      </c>
      <c r="M65" s="154">
        <f>SUM(M51:M64)</f>
        <v>5870909446.9764662</v>
      </c>
      <c r="N65" s="154">
        <f ca="1">IFERROR(M65/C3,0)</f>
        <v>345347614.52802742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f>IF(E24="",0,E24)</f>
        <v>196175586.27990001</v>
      </c>
    </row>
    <row r="71" spans="2:14" ht="20.100000000000001" customHeight="1" x14ac:dyDescent="0.25">
      <c r="B71" s="53" t="s">
        <v>69</v>
      </c>
      <c r="C71" s="56" t="s">
        <v>70</v>
      </c>
      <c r="D71" s="192">
        <f>IF(E12="",0,E12)+IF(E13="",0,E13)</f>
        <v>36555945.079999998</v>
      </c>
    </row>
    <row r="72" spans="2:14" ht="20.100000000000001" customHeight="1" x14ac:dyDescent="0.25">
      <c r="B72" s="53" t="s">
        <v>175</v>
      </c>
      <c r="C72" s="56" t="s">
        <v>176</v>
      </c>
      <c r="D72" s="192">
        <f>IF(E22="",0,E22)</f>
        <v>4684684.5599999996</v>
      </c>
    </row>
    <row r="73" spans="2:14" ht="20.100000000000001" customHeight="1" x14ac:dyDescent="0.25">
      <c r="B73" s="50" t="s">
        <v>71</v>
      </c>
      <c r="C73" s="55" t="s">
        <v>72</v>
      </c>
      <c r="D73" s="191">
        <f>IF(E14="",0,E14)</f>
        <v>93474955.230000004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f>IF(E16="",0,E16)</f>
        <v>14360089.9</v>
      </c>
    </row>
    <row r="76" spans="2:14" ht="20.100000000000001" customHeight="1" x14ac:dyDescent="0.25">
      <c r="B76" s="53" t="s">
        <v>76</v>
      </c>
      <c r="C76" s="56" t="s">
        <v>77</v>
      </c>
      <c r="D76" s="192">
        <f>IF(E19="",0,E19)</f>
        <v>569969388.88997996</v>
      </c>
    </row>
    <row r="77" spans="2:14" ht="20.100000000000001" customHeight="1" x14ac:dyDescent="0.25">
      <c r="B77" s="50" t="s">
        <v>78</v>
      </c>
      <c r="C77" s="55" t="s">
        <v>79</v>
      </c>
      <c r="D77" s="191">
        <f>IF(E25="",0,E25)</f>
        <v>105378830.049775</v>
      </c>
    </row>
    <row r="78" spans="2:14" ht="20.100000000000001" customHeight="1" x14ac:dyDescent="0.25">
      <c r="B78" s="53" t="s">
        <v>175</v>
      </c>
      <c r="C78" s="56" t="s">
        <v>177</v>
      </c>
      <c r="D78" s="192">
        <f>IF(E23="",0,E23)</f>
        <v>5129098.96</v>
      </c>
    </row>
    <row r="79" spans="2:14" ht="20.100000000000001" customHeight="1" x14ac:dyDescent="0.25">
      <c r="B79" s="53" t="s">
        <v>80</v>
      </c>
      <c r="C79" s="56" t="s">
        <v>81</v>
      </c>
      <c r="D79" s="192">
        <f>IF(E11="",0,E11)</f>
        <v>1783783.8</v>
      </c>
    </row>
    <row r="80" spans="2:14" ht="20.100000000000001" customHeight="1" x14ac:dyDescent="0.25">
      <c r="B80" s="50" t="s">
        <v>82</v>
      </c>
      <c r="C80" s="55" t="s">
        <v>83</v>
      </c>
      <c r="D80" s="191">
        <f>IF(E26="",0,E26)</f>
        <v>263548744.42969999</v>
      </c>
    </row>
    <row r="81" spans="2:9" ht="20.100000000000001" customHeight="1" x14ac:dyDescent="0.25">
      <c r="B81" s="53" t="s">
        <v>84</v>
      </c>
      <c r="C81" s="56" t="s">
        <v>85</v>
      </c>
      <c r="D81" s="192">
        <f>IF(E10="",0,E10)</f>
        <v>58860530</v>
      </c>
    </row>
    <row r="82" spans="2:9" ht="20.100000000000001" customHeight="1" x14ac:dyDescent="0.25">
      <c r="B82" s="50" t="s">
        <v>86</v>
      </c>
      <c r="C82" s="55" t="s">
        <v>87</v>
      </c>
      <c r="D82" s="192">
        <f>IF(E27="",0,E27)</f>
        <v>1902162.2150000001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f>IF(E20="",0,E20)+IF(E21="",0,E21)</f>
        <v>18572973.34</v>
      </c>
    </row>
    <row r="84" spans="2:9" ht="20.100000000000001" customHeight="1" x14ac:dyDescent="0.25">
      <c r="B84" s="57" t="s">
        <v>152</v>
      </c>
      <c r="C84" s="58"/>
      <c r="D84" s="129">
        <f>SUM(D70:D83)</f>
        <v>1370396772.7343547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83483688.659519002</v>
      </c>
      <c r="F89" s="61">
        <f t="shared" ref="F89:F94" si="7">IFERROR(E89/D89,0)</f>
        <v>0.29238093010494398</v>
      </c>
      <c r="G89" s="125">
        <f>D89-E89</f>
        <v>202046864.34048098</v>
      </c>
      <c r="H89" s="125">
        <f ca="1">IFERROR(G89/C3,0)</f>
        <v>11885109.667087117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153267348.45391101</v>
      </c>
      <c r="F90" s="61">
        <f t="shared" si="7"/>
        <v>0.35740695829335162</v>
      </c>
      <c r="G90" s="126">
        <f>D90-E90</f>
        <v>275564113.54608899</v>
      </c>
      <c r="H90" s="126">
        <f ca="1">IFERROR(G90/C3,0)</f>
        <v>16209653.738005236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373557754.84487098</v>
      </c>
      <c r="F91" s="61">
        <f t="shared" si="7"/>
        <v>0.33458255159730721</v>
      </c>
      <c r="G91" s="125">
        <f>D91-E91</f>
        <v>742931294.15512896</v>
      </c>
      <c r="H91" s="125">
        <f ca="1">IFERROR(G91/C3,0)</f>
        <v>43701840.832654648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610308791.95830107</v>
      </c>
      <c r="F94" s="43">
        <f t="shared" si="7"/>
        <v>0.33334704496657031</v>
      </c>
      <c r="G94" s="119">
        <f>SUM(G89:G93)</f>
        <v>1220542272.0416989</v>
      </c>
      <c r="H94" s="119">
        <f ca="1">IFERROR(G94/C3,0)</f>
        <v>71796604.237746999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178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162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164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166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181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2026-06-11T00:55:54Z</dcterms:modified>
  <dc:language>en-US</dc:language>
</cp:coreProperties>
</file>