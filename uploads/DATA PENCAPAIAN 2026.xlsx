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28800" windowHeight="16380" tabRatio="500" firstSheet="6" activeTab="9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14" l="1"/>
  <c r="J2" i="14" s="1"/>
  <c r="C3" i="14"/>
  <c r="E3" i="13"/>
  <c r="J2" i="13" s="1"/>
  <c r="C3" i="13"/>
  <c r="E3" i="12"/>
  <c r="J2" i="12" s="1"/>
  <c r="C3" i="12"/>
  <c r="E3" i="11"/>
  <c r="J2" i="11" s="1"/>
  <c r="C3" i="11"/>
  <c r="E3" i="10"/>
  <c r="J2" i="10" s="1"/>
  <c r="C3" i="10"/>
  <c r="E3" i="9"/>
  <c r="J2" i="9" s="1"/>
  <c r="C3" i="9"/>
  <c r="E3" i="8"/>
  <c r="J2" i="8" s="1"/>
  <c r="C3" i="8"/>
  <c r="E3" i="7"/>
  <c r="J2" i="7" s="1"/>
  <c r="C3" i="7"/>
  <c r="E3" i="6"/>
  <c r="J2" i="6" s="1"/>
  <c r="C3" i="6"/>
  <c r="E3" i="5"/>
  <c r="J2" i="5" s="1"/>
  <c r="C3" i="5"/>
  <c r="E3" i="4"/>
  <c r="J2" i="4" s="1"/>
  <c r="C3" i="4"/>
  <c r="E3" i="3"/>
  <c r="J2" i="3" s="1"/>
  <c r="C3" i="3"/>
  <c r="K49" i="14"/>
  <c r="L49" i="14"/>
  <c r="M49" i="14"/>
  <c r="N49" i="14"/>
  <c r="O49" i="14"/>
  <c r="P49" i="14"/>
  <c r="G68" i="14"/>
  <c r="H68" i="14"/>
  <c r="I68" i="14"/>
  <c r="J68" i="14"/>
  <c r="K68" i="14"/>
  <c r="L68" i="14"/>
  <c r="G42" i="14"/>
  <c r="H42" i="14"/>
  <c r="I42" i="14"/>
  <c r="J42" i="14"/>
  <c r="K42" i="14"/>
  <c r="L42" i="14"/>
  <c r="K49" i="13"/>
  <c r="L49" i="13"/>
  <c r="M49" i="13"/>
  <c r="N49" i="13"/>
  <c r="O49" i="13"/>
  <c r="P49" i="13"/>
  <c r="G68" i="13"/>
  <c r="H68" i="13"/>
  <c r="I68" i="13"/>
  <c r="J68" i="13"/>
  <c r="K68" i="13"/>
  <c r="L68" i="13"/>
  <c r="G42" i="13"/>
  <c r="H42" i="13"/>
  <c r="I42" i="13"/>
  <c r="J42" i="13"/>
  <c r="K42" i="13"/>
  <c r="L42" i="13"/>
  <c r="K49" i="12"/>
  <c r="L49" i="12"/>
  <c r="M49" i="12"/>
  <c r="N49" i="12"/>
  <c r="O49" i="12"/>
  <c r="P49" i="12"/>
  <c r="G68" i="12"/>
  <c r="H68" i="12"/>
  <c r="I68" i="12"/>
  <c r="J68" i="12"/>
  <c r="K68" i="12"/>
  <c r="L68" i="12"/>
  <c r="G42" i="12"/>
  <c r="H42" i="12"/>
  <c r="I42" i="12"/>
  <c r="J42" i="12"/>
  <c r="K42" i="12"/>
  <c r="L42" i="12"/>
  <c r="K49" i="8"/>
  <c r="L49" i="8"/>
  <c r="M49" i="8"/>
  <c r="N49" i="8"/>
  <c r="O49" i="8"/>
  <c r="P49" i="8"/>
  <c r="G68" i="8"/>
  <c r="H68" i="8"/>
  <c r="I68" i="8"/>
  <c r="J68" i="8"/>
  <c r="K68" i="8"/>
  <c r="L68" i="8"/>
  <c r="G42" i="8"/>
  <c r="H42" i="8"/>
  <c r="I42" i="8"/>
  <c r="J42" i="8"/>
  <c r="K42" i="8"/>
  <c r="L42" i="8"/>
  <c r="K49" i="7"/>
  <c r="L49" i="7"/>
  <c r="M49" i="7"/>
  <c r="N49" i="7"/>
  <c r="O49" i="7"/>
  <c r="P49" i="7"/>
  <c r="G68" i="7"/>
  <c r="H68" i="7"/>
  <c r="I68" i="7"/>
  <c r="J68" i="7"/>
  <c r="K68" i="7"/>
  <c r="L68" i="7"/>
  <c r="G42" i="7"/>
  <c r="H42" i="7"/>
  <c r="I42" i="7"/>
  <c r="J42" i="7"/>
  <c r="K42" i="7"/>
  <c r="L42" i="7"/>
  <c r="K49" i="6"/>
  <c r="L49" i="6"/>
  <c r="M49" i="6"/>
  <c r="N49" i="6"/>
  <c r="O49" i="6"/>
  <c r="P49" i="6"/>
  <c r="G68" i="6"/>
  <c r="H68" i="6"/>
  <c r="I68" i="6"/>
  <c r="J68" i="6"/>
  <c r="K68" i="6"/>
  <c r="L68" i="6"/>
  <c r="G42" i="6"/>
  <c r="H42" i="6"/>
  <c r="I42" i="6"/>
  <c r="J42" i="6"/>
  <c r="K42" i="6"/>
  <c r="L42" i="6"/>
  <c r="K49" i="11"/>
  <c r="L49" i="11"/>
  <c r="M49" i="11"/>
  <c r="N49" i="11"/>
  <c r="O49" i="11"/>
  <c r="P49" i="11"/>
  <c r="K49" i="10"/>
  <c r="L49" i="10"/>
  <c r="M49" i="10"/>
  <c r="N49" i="10"/>
  <c r="O49" i="10"/>
  <c r="P49" i="10"/>
  <c r="G68" i="11"/>
  <c r="H68" i="11"/>
  <c r="I68" i="11"/>
  <c r="J68" i="11"/>
  <c r="K68" i="11"/>
  <c r="L68" i="11"/>
  <c r="G42" i="11"/>
  <c r="H42" i="11"/>
  <c r="I42" i="11"/>
  <c r="J42" i="11"/>
  <c r="K42" i="11"/>
  <c r="L42" i="11"/>
  <c r="G68" i="10"/>
  <c r="H68" i="10"/>
  <c r="I68" i="10"/>
  <c r="J68" i="10"/>
  <c r="K68" i="10"/>
  <c r="L68" i="10"/>
  <c r="G42" i="10"/>
  <c r="H42" i="10"/>
  <c r="I42" i="10"/>
  <c r="J42" i="10"/>
  <c r="K42" i="10"/>
  <c r="L42" i="10"/>
  <c r="P49" i="9"/>
  <c r="O49" i="9"/>
  <c r="N49" i="9"/>
  <c r="M49" i="9"/>
  <c r="L49" i="9"/>
  <c r="K49" i="9"/>
  <c r="L68" i="9"/>
  <c r="K68" i="9"/>
  <c r="J68" i="9"/>
  <c r="I68" i="9"/>
  <c r="H68" i="9"/>
  <c r="G68" i="9"/>
  <c r="L42" i="9"/>
  <c r="K42" i="9"/>
  <c r="J42" i="9"/>
  <c r="I42" i="9"/>
  <c r="H42" i="9"/>
  <c r="G42" i="9"/>
  <c r="D93" i="14"/>
  <c r="D92" i="14"/>
  <c r="D91" i="14"/>
  <c r="D90" i="14"/>
  <c r="D89" i="14"/>
  <c r="D88" i="14"/>
  <c r="D87" i="14"/>
  <c r="D86" i="14"/>
  <c r="D85" i="14"/>
  <c r="D84" i="14"/>
  <c r="D83" i="14"/>
  <c r="D82" i="14"/>
  <c r="D81" i="14"/>
  <c r="D80" i="14"/>
  <c r="M20" i="14"/>
  <c r="M21" i="14" s="1"/>
  <c r="N19" i="14"/>
  <c r="H64" i="14" s="1"/>
  <c r="M19" i="14"/>
  <c r="G64" i="14" s="1"/>
  <c r="N18" i="14"/>
  <c r="M18" i="14"/>
  <c r="G63" i="14" s="1"/>
  <c r="N17" i="14"/>
  <c r="H62" i="14" s="1"/>
  <c r="M17" i="14"/>
  <c r="G62" i="14" s="1"/>
  <c r="N16" i="14"/>
  <c r="H61" i="14" s="1"/>
  <c r="M16" i="14"/>
  <c r="G61" i="14" s="1"/>
  <c r="N15" i="14"/>
  <c r="H60" i="14" s="1"/>
  <c r="M15" i="14"/>
  <c r="G60" i="14" s="1"/>
  <c r="N14" i="14"/>
  <c r="H58" i="14" s="1"/>
  <c r="M14" i="14"/>
  <c r="G58" i="14" s="1"/>
  <c r="N13" i="14"/>
  <c r="H57" i="14" s="1"/>
  <c r="M13" i="14"/>
  <c r="G57" i="14" s="1"/>
  <c r="N12" i="14"/>
  <c r="H56" i="14" s="1"/>
  <c r="M12" i="14"/>
  <c r="G56" i="14" s="1"/>
  <c r="N11" i="14"/>
  <c r="H55" i="14" s="1"/>
  <c r="M11" i="14"/>
  <c r="G55" i="14" s="1"/>
  <c r="N10" i="14"/>
  <c r="H54" i="14" s="1"/>
  <c r="M10" i="14"/>
  <c r="G54" i="14" s="1"/>
  <c r="N9" i="14"/>
  <c r="H52" i="14" s="1"/>
  <c r="M9" i="14"/>
  <c r="G52" i="14" s="1"/>
  <c r="N8" i="14"/>
  <c r="H51" i="14" s="1"/>
  <c r="M8" i="14"/>
  <c r="G51" i="14" s="1"/>
  <c r="N7" i="14"/>
  <c r="M7" i="14"/>
  <c r="H63" i="14"/>
  <c r="H59" i="14"/>
  <c r="G59" i="14"/>
  <c r="H53" i="14"/>
  <c r="G53" i="14"/>
  <c r="F27" i="14"/>
  <c r="F26" i="14"/>
  <c r="F25" i="14"/>
  <c r="F24" i="14"/>
  <c r="F23" i="14"/>
  <c r="F22" i="14"/>
  <c r="F21" i="14"/>
  <c r="F20" i="14"/>
  <c r="F19" i="14"/>
  <c r="F18" i="14"/>
  <c r="F17" i="14"/>
  <c r="F16" i="14"/>
  <c r="F15" i="14"/>
  <c r="F14" i="14"/>
  <c r="F13" i="14"/>
  <c r="F12" i="14"/>
  <c r="F11" i="14"/>
  <c r="F10" i="14"/>
  <c r="D93" i="13"/>
  <c r="D92" i="13"/>
  <c r="D91" i="13"/>
  <c r="D90" i="13"/>
  <c r="D89" i="13"/>
  <c r="D88" i="13"/>
  <c r="D87" i="13"/>
  <c r="D86" i="13"/>
  <c r="D85" i="13"/>
  <c r="D84" i="13"/>
  <c r="D83" i="13"/>
  <c r="D82" i="13"/>
  <c r="D81" i="13"/>
  <c r="D80" i="13"/>
  <c r="M20" i="13"/>
  <c r="M21" i="13" s="1"/>
  <c r="N19" i="13"/>
  <c r="H64" i="13" s="1"/>
  <c r="M19" i="13"/>
  <c r="G64" i="13" s="1"/>
  <c r="N18" i="13"/>
  <c r="M18" i="13"/>
  <c r="G63" i="13" s="1"/>
  <c r="N17" i="13"/>
  <c r="H62" i="13" s="1"/>
  <c r="M17" i="13"/>
  <c r="G62" i="13" s="1"/>
  <c r="N16" i="13"/>
  <c r="H61" i="13" s="1"/>
  <c r="M16" i="13"/>
  <c r="G61" i="13" s="1"/>
  <c r="N15" i="13"/>
  <c r="H60" i="13" s="1"/>
  <c r="M15" i="13"/>
  <c r="G60" i="13" s="1"/>
  <c r="N14" i="13"/>
  <c r="H58" i="13" s="1"/>
  <c r="M14" i="13"/>
  <c r="G58" i="13" s="1"/>
  <c r="N13" i="13"/>
  <c r="H57" i="13" s="1"/>
  <c r="M13" i="13"/>
  <c r="G57" i="13" s="1"/>
  <c r="N12" i="13"/>
  <c r="H56" i="13" s="1"/>
  <c r="M12" i="13"/>
  <c r="G56" i="13" s="1"/>
  <c r="N11" i="13"/>
  <c r="H55" i="13" s="1"/>
  <c r="M11" i="13"/>
  <c r="G55" i="13" s="1"/>
  <c r="N10" i="13"/>
  <c r="H54" i="13" s="1"/>
  <c r="M10" i="13"/>
  <c r="G54" i="13" s="1"/>
  <c r="N9" i="13"/>
  <c r="H52" i="13" s="1"/>
  <c r="M9" i="13"/>
  <c r="G52" i="13" s="1"/>
  <c r="N8" i="13"/>
  <c r="H51" i="13" s="1"/>
  <c r="M8" i="13"/>
  <c r="G51" i="13" s="1"/>
  <c r="N7" i="13"/>
  <c r="M7" i="13"/>
  <c r="H63" i="13"/>
  <c r="H59" i="13"/>
  <c r="G59" i="13"/>
  <c r="H53" i="13"/>
  <c r="G53" i="13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F11" i="13"/>
  <c r="F10" i="13"/>
  <c r="D93" i="12"/>
  <c r="D92" i="12"/>
  <c r="D91" i="12"/>
  <c r="D90" i="12"/>
  <c r="D89" i="12"/>
  <c r="D88" i="12"/>
  <c r="D87" i="12"/>
  <c r="D86" i="12"/>
  <c r="D85" i="12"/>
  <c r="D84" i="12"/>
  <c r="D83" i="12"/>
  <c r="D82" i="12"/>
  <c r="D81" i="12"/>
  <c r="D80" i="12"/>
  <c r="M20" i="12"/>
  <c r="M21" i="12" s="1"/>
  <c r="N19" i="12"/>
  <c r="H64" i="12" s="1"/>
  <c r="M19" i="12"/>
  <c r="G64" i="12" s="1"/>
  <c r="N18" i="12"/>
  <c r="H63" i="12" s="1"/>
  <c r="M18" i="12"/>
  <c r="G63" i="12" s="1"/>
  <c r="N17" i="12"/>
  <c r="H62" i="12" s="1"/>
  <c r="M17" i="12"/>
  <c r="G62" i="12" s="1"/>
  <c r="N16" i="12"/>
  <c r="H61" i="12" s="1"/>
  <c r="M16" i="12"/>
  <c r="G61" i="12" s="1"/>
  <c r="N15" i="12"/>
  <c r="H60" i="12" s="1"/>
  <c r="M15" i="12"/>
  <c r="G60" i="12" s="1"/>
  <c r="N14" i="12"/>
  <c r="H58" i="12" s="1"/>
  <c r="M14" i="12"/>
  <c r="G58" i="12" s="1"/>
  <c r="N13" i="12"/>
  <c r="M13" i="12"/>
  <c r="G57" i="12" s="1"/>
  <c r="N12" i="12"/>
  <c r="H56" i="12" s="1"/>
  <c r="M12" i="12"/>
  <c r="G56" i="12" s="1"/>
  <c r="N11" i="12"/>
  <c r="H55" i="12" s="1"/>
  <c r="M11" i="12"/>
  <c r="G55" i="12" s="1"/>
  <c r="N10" i="12"/>
  <c r="H54" i="12" s="1"/>
  <c r="M10" i="12"/>
  <c r="G54" i="12" s="1"/>
  <c r="N9" i="12"/>
  <c r="H52" i="12" s="1"/>
  <c r="M9" i="12"/>
  <c r="G52" i="12" s="1"/>
  <c r="N8" i="12"/>
  <c r="H51" i="12" s="1"/>
  <c r="M8" i="12"/>
  <c r="G51" i="12" s="1"/>
  <c r="N7" i="12"/>
  <c r="M7" i="12"/>
  <c r="H59" i="12"/>
  <c r="G59" i="12"/>
  <c r="H57" i="12"/>
  <c r="H53" i="12"/>
  <c r="G53" i="12"/>
  <c r="F27" i="12"/>
  <c r="F26" i="12"/>
  <c r="F25" i="12"/>
  <c r="F24" i="12"/>
  <c r="F23" i="12"/>
  <c r="F22" i="12"/>
  <c r="F21" i="12"/>
  <c r="F20" i="12"/>
  <c r="F19" i="12"/>
  <c r="F18" i="12"/>
  <c r="F17" i="12"/>
  <c r="F16" i="12"/>
  <c r="F15" i="12"/>
  <c r="F14" i="12"/>
  <c r="F13" i="12"/>
  <c r="F12" i="12"/>
  <c r="F11" i="12"/>
  <c r="F10" i="12"/>
  <c r="D93" i="11"/>
  <c r="D92" i="11"/>
  <c r="D91" i="11"/>
  <c r="D90" i="11"/>
  <c r="D89" i="11"/>
  <c r="D88" i="11"/>
  <c r="D87" i="11"/>
  <c r="D86" i="11"/>
  <c r="D85" i="11"/>
  <c r="D84" i="11"/>
  <c r="D83" i="11"/>
  <c r="D82" i="11"/>
  <c r="D81" i="11"/>
  <c r="D80" i="11"/>
  <c r="M20" i="11"/>
  <c r="M21" i="11" s="1"/>
  <c r="N19" i="11"/>
  <c r="H64" i="11" s="1"/>
  <c r="M19" i="11"/>
  <c r="G64" i="11" s="1"/>
  <c r="N18" i="11"/>
  <c r="H63" i="11" s="1"/>
  <c r="M18" i="11"/>
  <c r="G63" i="11" s="1"/>
  <c r="N17" i="11"/>
  <c r="H62" i="11" s="1"/>
  <c r="M17" i="11"/>
  <c r="G62" i="11" s="1"/>
  <c r="N16" i="11"/>
  <c r="H61" i="11" s="1"/>
  <c r="M16" i="11"/>
  <c r="G61" i="11" s="1"/>
  <c r="N15" i="11"/>
  <c r="M15" i="11"/>
  <c r="G60" i="11" s="1"/>
  <c r="N14" i="11"/>
  <c r="H58" i="11" s="1"/>
  <c r="M14" i="11"/>
  <c r="G58" i="11" s="1"/>
  <c r="N13" i="11"/>
  <c r="H57" i="11" s="1"/>
  <c r="M13" i="11"/>
  <c r="G57" i="11" s="1"/>
  <c r="N12" i="11"/>
  <c r="H56" i="11" s="1"/>
  <c r="M12" i="11"/>
  <c r="G56" i="11" s="1"/>
  <c r="N11" i="11"/>
  <c r="H55" i="11" s="1"/>
  <c r="M11" i="11"/>
  <c r="G55" i="11" s="1"/>
  <c r="N10" i="11"/>
  <c r="H54" i="11" s="1"/>
  <c r="M10" i="11"/>
  <c r="G54" i="11" s="1"/>
  <c r="N9" i="11"/>
  <c r="H52" i="11" s="1"/>
  <c r="M9" i="11"/>
  <c r="G52" i="11" s="1"/>
  <c r="N8" i="11"/>
  <c r="H51" i="11" s="1"/>
  <c r="M8" i="11"/>
  <c r="G51" i="11" s="1"/>
  <c r="N7" i="11"/>
  <c r="M7" i="11"/>
  <c r="H60" i="11"/>
  <c r="H59" i="11"/>
  <c r="G59" i="11"/>
  <c r="H53" i="11"/>
  <c r="G53" i="11"/>
  <c r="F27" i="11"/>
  <c r="F26" i="11"/>
  <c r="F25" i="11"/>
  <c r="F24" i="11"/>
  <c r="F23" i="11"/>
  <c r="F22" i="11"/>
  <c r="F21" i="11"/>
  <c r="F20" i="11"/>
  <c r="F19" i="11"/>
  <c r="F18" i="11"/>
  <c r="F17" i="11"/>
  <c r="F16" i="11"/>
  <c r="F15" i="11"/>
  <c r="F14" i="11"/>
  <c r="F13" i="11"/>
  <c r="F12" i="11"/>
  <c r="F11" i="11"/>
  <c r="F10" i="11"/>
  <c r="D93" i="10"/>
  <c r="D92" i="10"/>
  <c r="D91" i="10"/>
  <c r="D90" i="10"/>
  <c r="D89" i="10"/>
  <c r="D88" i="10"/>
  <c r="D87" i="10"/>
  <c r="D86" i="10"/>
  <c r="D85" i="10"/>
  <c r="D84" i="10"/>
  <c r="D83" i="10"/>
  <c r="D82" i="10"/>
  <c r="D81" i="10"/>
  <c r="D80" i="10"/>
  <c r="M20" i="10"/>
  <c r="M21" i="10" s="1"/>
  <c r="N19" i="10"/>
  <c r="H64" i="10" s="1"/>
  <c r="M19" i="10"/>
  <c r="G64" i="10" s="1"/>
  <c r="N18" i="10"/>
  <c r="H63" i="10" s="1"/>
  <c r="M18" i="10"/>
  <c r="G63" i="10" s="1"/>
  <c r="N17" i="10"/>
  <c r="H62" i="10" s="1"/>
  <c r="M17" i="10"/>
  <c r="G62" i="10" s="1"/>
  <c r="N16" i="10"/>
  <c r="H61" i="10" s="1"/>
  <c r="M16" i="10"/>
  <c r="G61" i="10" s="1"/>
  <c r="N15" i="10"/>
  <c r="H60" i="10" s="1"/>
  <c r="M15" i="10"/>
  <c r="G60" i="10" s="1"/>
  <c r="N14" i="10"/>
  <c r="H58" i="10" s="1"/>
  <c r="M14" i="10"/>
  <c r="G58" i="10" s="1"/>
  <c r="N13" i="10"/>
  <c r="H57" i="10" s="1"/>
  <c r="M13" i="10"/>
  <c r="G57" i="10" s="1"/>
  <c r="N12" i="10"/>
  <c r="H56" i="10" s="1"/>
  <c r="M12" i="10"/>
  <c r="G56" i="10" s="1"/>
  <c r="N11" i="10"/>
  <c r="H55" i="10" s="1"/>
  <c r="M11" i="10"/>
  <c r="G55" i="10" s="1"/>
  <c r="N10" i="10"/>
  <c r="H54" i="10" s="1"/>
  <c r="M10" i="10"/>
  <c r="G54" i="10" s="1"/>
  <c r="N9" i="10"/>
  <c r="H52" i="10" s="1"/>
  <c r="M9" i="10"/>
  <c r="G52" i="10" s="1"/>
  <c r="N8" i="10"/>
  <c r="H51" i="10" s="1"/>
  <c r="M8" i="10"/>
  <c r="G51" i="10" s="1"/>
  <c r="N7" i="10"/>
  <c r="M7" i="10"/>
  <c r="H59" i="10"/>
  <c r="G59" i="10"/>
  <c r="H53" i="10"/>
  <c r="G53" i="10"/>
  <c r="D93" i="9"/>
  <c r="D90" i="9"/>
  <c r="D88" i="9"/>
  <c r="D87" i="9"/>
  <c r="D86" i="9"/>
  <c r="D85" i="9"/>
  <c r="D83" i="9"/>
  <c r="D82" i="9"/>
  <c r="D81" i="9"/>
  <c r="D80" i="9"/>
  <c r="H59" i="9"/>
  <c r="G59" i="9"/>
  <c r="H53" i="9"/>
  <c r="G53" i="9"/>
  <c r="M20" i="9"/>
  <c r="N19" i="9"/>
  <c r="N18" i="9"/>
  <c r="N17" i="9"/>
  <c r="N16" i="9"/>
  <c r="N15" i="9"/>
  <c r="N14" i="9"/>
  <c r="N13" i="9"/>
  <c r="N12" i="9"/>
  <c r="N11" i="9"/>
  <c r="N10" i="9"/>
  <c r="N9" i="9"/>
  <c r="N8" i="9"/>
  <c r="M19" i="9"/>
  <c r="M18" i="9"/>
  <c r="M17" i="9"/>
  <c r="M16" i="9"/>
  <c r="M15" i="9"/>
  <c r="M14" i="9"/>
  <c r="M13" i="9"/>
  <c r="M12" i="9"/>
  <c r="M11" i="9"/>
  <c r="M10" i="9"/>
  <c r="M9" i="9"/>
  <c r="M8" i="9"/>
  <c r="D92" i="9"/>
  <c r="D91" i="9"/>
  <c r="D89" i="9"/>
  <c r="D84" i="9"/>
  <c r="I60" i="12" l="1"/>
  <c r="I62" i="12"/>
  <c r="I59" i="11"/>
  <c r="I56" i="14"/>
  <c r="I51" i="11"/>
  <c r="I61" i="11"/>
  <c r="I63" i="13"/>
  <c r="I58" i="12"/>
  <c r="I58" i="10"/>
  <c r="I52" i="10"/>
  <c r="I57" i="10"/>
  <c r="I60" i="10"/>
  <c r="I62" i="10"/>
  <c r="I57" i="14"/>
  <c r="I57" i="12"/>
  <c r="I58" i="14"/>
  <c r="I53" i="13"/>
  <c r="I55" i="14"/>
  <c r="I59" i="14"/>
  <c r="I52" i="12"/>
  <c r="I55" i="12"/>
  <c r="I53" i="14"/>
  <c r="I51" i="12"/>
  <c r="I56" i="12"/>
  <c r="I61" i="12"/>
  <c r="I59" i="13"/>
  <c r="I51" i="13"/>
  <c r="I54" i="14"/>
  <c r="I63" i="14"/>
  <c r="I53" i="11"/>
  <c r="I53" i="10"/>
  <c r="I55" i="11"/>
  <c r="I52" i="11"/>
  <c r="I62" i="11"/>
  <c r="I60" i="14"/>
  <c r="I63" i="11"/>
  <c r="I56" i="11"/>
  <c r="I56" i="13"/>
  <c r="I62" i="13"/>
  <c r="I54" i="11"/>
  <c r="I58" i="11"/>
  <c r="I52" i="13"/>
  <c r="I51" i="14"/>
  <c r="I54" i="13"/>
  <c r="I58" i="13"/>
  <c r="I52" i="14"/>
  <c r="I61" i="14"/>
  <c r="I64" i="10"/>
  <c r="I60" i="11"/>
  <c r="I64" i="11"/>
  <c r="I53" i="12"/>
  <c r="I64" i="12"/>
  <c r="I63" i="10"/>
  <c r="I59" i="10"/>
  <c r="I59" i="12"/>
  <c r="I60" i="13"/>
  <c r="I64" i="13"/>
  <c r="I62" i="14"/>
  <c r="I63" i="12"/>
  <c r="I55" i="10"/>
  <c r="I55" i="13"/>
  <c r="I51" i="10"/>
  <c r="I56" i="10"/>
  <c r="I61" i="10"/>
  <c r="I57" i="13"/>
  <c r="I57" i="11"/>
  <c r="I54" i="12"/>
  <c r="I54" i="10"/>
  <c r="I61" i="13"/>
  <c r="I64" i="14"/>
  <c r="D94" i="9"/>
  <c r="D84" i="8"/>
  <c r="D94" i="8" s="1"/>
  <c r="D92" i="7" l="1"/>
  <c r="D93" i="7"/>
  <c r="D85" i="7"/>
  <c r="D91" i="7"/>
  <c r="D90" i="7"/>
  <c r="D89" i="7"/>
  <c r="D88" i="7"/>
  <c r="D87" i="7"/>
  <c r="D86" i="7"/>
  <c r="D84" i="7"/>
  <c r="D83" i="7"/>
  <c r="D82" i="7"/>
  <c r="D81" i="7"/>
  <c r="D80" i="7"/>
  <c r="D80" i="6"/>
  <c r="D89" i="6"/>
  <c r="N19" i="7" l="1"/>
  <c r="D73" i="14" l="1"/>
  <c r="D72" i="14"/>
  <c r="D71" i="14"/>
  <c r="D70" i="14"/>
  <c r="D69" i="14"/>
  <c r="D45" i="14"/>
  <c r="D43" i="14"/>
  <c r="D64" i="14"/>
  <c r="D63" i="14"/>
  <c r="D62" i="14"/>
  <c r="F62" i="14" s="1"/>
  <c r="D61" i="14"/>
  <c r="F61" i="14" s="1"/>
  <c r="D60" i="14"/>
  <c r="F60" i="14" s="1"/>
  <c r="D59" i="14"/>
  <c r="F59" i="14" s="1"/>
  <c r="D58" i="14"/>
  <c r="F58" i="14" s="1"/>
  <c r="D57" i="14"/>
  <c r="D56" i="14"/>
  <c r="F56" i="14" s="1"/>
  <c r="D55" i="14"/>
  <c r="D54" i="14"/>
  <c r="D53" i="14"/>
  <c r="D52" i="14"/>
  <c r="F52" i="14" s="1"/>
  <c r="D51" i="14"/>
  <c r="F51" i="14" s="1"/>
  <c r="F41" i="14"/>
  <c r="D73" i="13"/>
  <c r="D72" i="13"/>
  <c r="D71" i="13"/>
  <c r="D70" i="13"/>
  <c r="D69" i="13"/>
  <c r="D45" i="13"/>
  <c r="D44" i="13"/>
  <c r="D43" i="13"/>
  <c r="E64" i="13"/>
  <c r="E63" i="13"/>
  <c r="E62" i="13"/>
  <c r="E61" i="13"/>
  <c r="E60" i="13"/>
  <c r="F60" i="13" s="1"/>
  <c r="E59" i="13"/>
  <c r="E58" i="13"/>
  <c r="F58" i="13" s="1"/>
  <c r="E57" i="13"/>
  <c r="E56" i="13"/>
  <c r="E55" i="13"/>
  <c r="E54" i="13"/>
  <c r="E53" i="13"/>
  <c r="E52" i="13"/>
  <c r="E51" i="13"/>
  <c r="D64" i="13"/>
  <c r="D63" i="13"/>
  <c r="D62" i="13"/>
  <c r="D61" i="13"/>
  <c r="D60" i="13"/>
  <c r="D59" i="13"/>
  <c r="D58" i="13"/>
  <c r="D57" i="13"/>
  <c r="D56" i="13"/>
  <c r="D55" i="13"/>
  <c r="F55" i="13" s="1"/>
  <c r="D54" i="13"/>
  <c r="D53" i="13"/>
  <c r="D52" i="13"/>
  <c r="D51" i="13"/>
  <c r="F41" i="13"/>
  <c r="D73" i="12"/>
  <c r="D72" i="12"/>
  <c r="D71" i="12"/>
  <c r="D70" i="12"/>
  <c r="D69" i="12"/>
  <c r="D45" i="12"/>
  <c r="D44" i="12"/>
  <c r="D43" i="12"/>
  <c r="E64" i="12"/>
  <c r="E63" i="12"/>
  <c r="E62" i="12"/>
  <c r="F62" i="12" s="1"/>
  <c r="E61" i="12"/>
  <c r="E60" i="12"/>
  <c r="E59" i="12"/>
  <c r="E58" i="12"/>
  <c r="E57" i="12"/>
  <c r="F57" i="12" s="1"/>
  <c r="E56" i="12"/>
  <c r="E55" i="12"/>
  <c r="F55" i="12" s="1"/>
  <c r="E54" i="12"/>
  <c r="E53" i="12"/>
  <c r="E52" i="12"/>
  <c r="E51" i="12"/>
  <c r="D64" i="12"/>
  <c r="D63" i="12"/>
  <c r="D62" i="12"/>
  <c r="D61" i="12"/>
  <c r="F61" i="12" s="1"/>
  <c r="D60" i="12"/>
  <c r="F60" i="12" s="1"/>
  <c r="D59" i="12"/>
  <c r="D58" i="12"/>
  <c r="D57" i="12"/>
  <c r="D56" i="12"/>
  <c r="D55" i="12"/>
  <c r="D54" i="12"/>
  <c r="D53" i="12"/>
  <c r="F53" i="12" s="1"/>
  <c r="D52" i="12"/>
  <c r="D51" i="12"/>
  <c r="F41" i="12"/>
  <c r="D73" i="11"/>
  <c r="D72" i="11"/>
  <c r="D71" i="11"/>
  <c r="D70" i="11"/>
  <c r="D69" i="11"/>
  <c r="D45" i="11"/>
  <c r="D44" i="11"/>
  <c r="D43" i="11"/>
  <c r="E64" i="11"/>
  <c r="E63" i="11"/>
  <c r="E62" i="11"/>
  <c r="F62" i="11" s="1"/>
  <c r="E61" i="11"/>
  <c r="F61" i="11" s="1"/>
  <c r="E60" i="11"/>
  <c r="E59" i="11"/>
  <c r="E58" i="11"/>
  <c r="E57" i="11"/>
  <c r="E56" i="11"/>
  <c r="E55" i="11"/>
  <c r="E54" i="11"/>
  <c r="F54" i="11" s="1"/>
  <c r="E53" i="11"/>
  <c r="E52" i="11"/>
  <c r="F52" i="11" s="1"/>
  <c r="E51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F41" i="11"/>
  <c r="D73" i="10"/>
  <c r="D72" i="10"/>
  <c r="D71" i="10"/>
  <c r="D70" i="10"/>
  <c r="D69" i="10"/>
  <c r="D45" i="10"/>
  <c r="D44" i="10"/>
  <c r="D43" i="10"/>
  <c r="E64" i="10"/>
  <c r="E63" i="10"/>
  <c r="E62" i="10"/>
  <c r="E61" i="10"/>
  <c r="E60" i="10"/>
  <c r="E59" i="10"/>
  <c r="F59" i="10" s="1"/>
  <c r="E58" i="10"/>
  <c r="F58" i="10" s="1"/>
  <c r="E57" i="10"/>
  <c r="E56" i="10"/>
  <c r="E55" i="10"/>
  <c r="E54" i="10"/>
  <c r="E53" i="10"/>
  <c r="E52" i="10"/>
  <c r="E51" i="10"/>
  <c r="D64" i="10"/>
  <c r="D63" i="10"/>
  <c r="F63" i="10" s="1"/>
  <c r="D62" i="10"/>
  <c r="D61" i="10"/>
  <c r="D60" i="10"/>
  <c r="D59" i="10"/>
  <c r="D58" i="10"/>
  <c r="D57" i="10"/>
  <c r="D56" i="10"/>
  <c r="D55" i="10"/>
  <c r="F55" i="10" s="1"/>
  <c r="D54" i="10"/>
  <c r="D53" i="10"/>
  <c r="D52" i="10"/>
  <c r="D51" i="10"/>
  <c r="F41" i="10"/>
  <c r="D73" i="9"/>
  <c r="D72" i="9"/>
  <c r="D71" i="9"/>
  <c r="D70" i="9"/>
  <c r="D69" i="9"/>
  <c r="D45" i="9"/>
  <c r="D44" i="9"/>
  <c r="D43" i="9"/>
  <c r="E64" i="9"/>
  <c r="F64" i="9" s="1"/>
  <c r="E63" i="9"/>
  <c r="E62" i="9"/>
  <c r="E61" i="9"/>
  <c r="E60" i="9"/>
  <c r="E59" i="9"/>
  <c r="E58" i="9"/>
  <c r="E57" i="9"/>
  <c r="E56" i="9"/>
  <c r="F56" i="9" s="1"/>
  <c r="E55" i="9"/>
  <c r="E54" i="9"/>
  <c r="E53" i="9"/>
  <c r="E52" i="9"/>
  <c r="E51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F41" i="9"/>
  <c r="D73" i="8"/>
  <c r="D72" i="8"/>
  <c r="D71" i="8"/>
  <c r="D70" i="8"/>
  <c r="D69" i="8"/>
  <c r="D45" i="8"/>
  <c r="D44" i="8"/>
  <c r="D43" i="8"/>
  <c r="E64" i="8"/>
  <c r="E63" i="8"/>
  <c r="E62" i="8"/>
  <c r="E61" i="8"/>
  <c r="E60" i="8"/>
  <c r="E59" i="8"/>
  <c r="E58" i="8"/>
  <c r="E57" i="8"/>
  <c r="E56" i="8"/>
  <c r="E55" i="8"/>
  <c r="E54" i="8"/>
  <c r="E53" i="8"/>
  <c r="F53" i="8" s="1"/>
  <c r="E52" i="8"/>
  <c r="E51" i="8"/>
  <c r="F51" i="8" s="1"/>
  <c r="D64" i="8"/>
  <c r="D63" i="8"/>
  <c r="F63" i="8" s="1"/>
  <c r="D62" i="8"/>
  <c r="D61" i="8"/>
  <c r="D60" i="8"/>
  <c r="D59" i="8"/>
  <c r="D58" i="8"/>
  <c r="D57" i="8"/>
  <c r="D56" i="8"/>
  <c r="D55" i="8"/>
  <c r="F55" i="8" s="1"/>
  <c r="D54" i="8"/>
  <c r="D53" i="8"/>
  <c r="D52" i="8"/>
  <c r="D51" i="8"/>
  <c r="F41" i="8"/>
  <c r="D73" i="7"/>
  <c r="D72" i="7"/>
  <c r="D71" i="7"/>
  <c r="D70" i="7"/>
  <c r="D69" i="7"/>
  <c r="D45" i="7"/>
  <c r="D44" i="7"/>
  <c r="D43" i="7"/>
  <c r="E64" i="7"/>
  <c r="E63" i="7"/>
  <c r="E62" i="7"/>
  <c r="E61" i="7"/>
  <c r="E60" i="7"/>
  <c r="E59" i="7"/>
  <c r="E58" i="7"/>
  <c r="F58" i="7" s="1"/>
  <c r="E57" i="7"/>
  <c r="E56" i="7"/>
  <c r="E55" i="7"/>
  <c r="E54" i="7"/>
  <c r="E53" i="7"/>
  <c r="E52" i="7"/>
  <c r="E51" i="7"/>
  <c r="D64" i="7"/>
  <c r="D63" i="7"/>
  <c r="D62" i="7"/>
  <c r="D61" i="7"/>
  <c r="D60" i="7"/>
  <c r="F60" i="7" s="1"/>
  <c r="D59" i="7"/>
  <c r="D58" i="7"/>
  <c r="D57" i="7"/>
  <c r="D56" i="7"/>
  <c r="D55" i="7"/>
  <c r="D54" i="7"/>
  <c r="D53" i="7"/>
  <c r="D52" i="7"/>
  <c r="F52" i="7" s="1"/>
  <c r="D51" i="7"/>
  <c r="E73" i="14"/>
  <c r="F73" i="14" s="1"/>
  <c r="E72" i="14"/>
  <c r="F72" i="14" s="1"/>
  <c r="E70" i="14"/>
  <c r="E69" i="14"/>
  <c r="E65" i="14"/>
  <c r="F64" i="14"/>
  <c r="F63" i="14"/>
  <c r="F57" i="14"/>
  <c r="F55" i="14"/>
  <c r="F54" i="14"/>
  <c r="F53" i="14"/>
  <c r="E73" i="13"/>
  <c r="E72" i="13"/>
  <c r="E70" i="13"/>
  <c r="E69" i="13"/>
  <c r="F69" i="13" s="1"/>
  <c r="F59" i="13"/>
  <c r="F54" i="13"/>
  <c r="F52" i="13"/>
  <c r="E45" i="13"/>
  <c r="E73" i="12"/>
  <c r="F73" i="12" s="1"/>
  <c r="E72" i="12"/>
  <c r="E70" i="12"/>
  <c r="E69" i="12"/>
  <c r="F59" i="12"/>
  <c r="F56" i="12"/>
  <c r="D46" i="12"/>
  <c r="E73" i="11"/>
  <c r="E72" i="11"/>
  <c r="E70" i="11"/>
  <c r="E69" i="11"/>
  <c r="F64" i="11"/>
  <c r="F56" i="11"/>
  <c r="E73" i="10"/>
  <c r="E72" i="10"/>
  <c r="E70" i="10"/>
  <c r="E69" i="10"/>
  <c r="F61" i="10"/>
  <c r="E45" i="10"/>
  <c r="E73" i="9"/>
  <c r="E72" i="9"/>
  <c r="E70" i="9"/>
  <c r="E69" i="9"/>
  <c r="F55" i="9"/>
  <c r="M21" i="9"/>
  <c r="E45" i="9" s="1"/>
  <c r="H64" i="9"/>
  <c r="G64" i="9"/>
  <c r="H63" i="9"/>
  <c r="G63" i="9"/>
  <c r="H62" i="9"/>
  <c r="G62" i="9"/>
  <c r="H61" i="9"/>
  <c r="G61" i="9"/>
  <c r="H60" i="9"/>
  <c r="G60" i="9"/>
  <c r="H58" i="9"/>
  <c r="G58" i="9"/>
  <c r="H57" i="9"/>
  <c r="G57" i="9"/>
  <c r="H56" i="9"/>
  <c r="G56" i="9"/>
  <c r="H55" i="9"/>
  <c r="G55" i="9"/>
  <c r="H54" i="9"/>
  <c r="G54" i="9"/>
  <c r="G52" i="9"/>
  <c r="H51" i="9"/>
  <c r="G51" i="9"/>
  <c r="N7" i="9"/>
  <c r="M7" i="9"/>
  <c r="E73" i="8"/>
  <c r="E72" i="8"/>
  <c r="E70" i="8"/>
  <c r="E69" i="8"/>
  <c r="H59" i="8"/>
  <c r="G59" i="8"/>
  <c r="H53" i="8"/>
  <c r="G53" i="8"/>
  <c r="M20" i="8"/>
  <c r="M21" i="8" s="1"/>
  <c r="E45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M9" i="8"/>
  <c r="G52" i="8" s="1"/>
  <c r="N8" i="8"/>
  <c r="H51" i="8" s="1"/>
  <c r="M8" i="8"/>
  <c r="G51" i="8" s="1"/>
  <c r="N7" i="8"/>
  <c r="M7" i="8"/>
  <c r="E73" i="7"/>
  <c r="E72" i="7"/>
  <c r="E70" i="7"/>
  <c r="E69" i="7"/>
  <c r="H59" i="7"/>
  <c r="G59" i="7"/>
  <c r="H53" i="7"/>
  <c r="G53" i="7"/>
  <c r="M20" i="7"/>
  <c r="M21" i="7" s="1"/>
  <c r="E45" i="7" s="1"/>
  <c r="H64" i="7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N11" i="7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G59" i="6"/>
  <c r="G53" i="6"/>
  <c r="D88" i="6"/>
  <c r="D82" i="6"/>
  <c r="H59" i="6"/>
  <c r="H53" i="6"/>
  <c r="D59" i="6"/>
  <c r="D53" i="6"/>
  <c r="D43" i="6"/>
  <c r="D44" i="6"/>
  <c r="D93" i="6"/>
  <c r="D92" i="6"/>
  <c r="D91" i="6"/>
  <c r="D90" i="6"/>
  <c r="D87" i="6"/>
  <c r="D86" i="6"/>
  <c r="D84" i="6"/>
  <c r="D83" i="6"/>
  <c r="D81" i="6"/>
  <c r="E59" i="6"/>
  <c r="E53" i="6"/>
  <c r="D66" i="4"/>
  <c r="D67" i="4"/>
  <c r="D68" i="4"/>
  <c r="D69" i="4"/>
  <c r="D65" i="4"/>
  <c r="D50" i="4"/>
  <c r="E50" i="4"/>
  <c r="D51" i="4"/>
  <c r="E51" i="4"/>
  <c r="D52" i="4"/>
  <c r="E52" i="4"/>
  <c r="D53" i="4"/>
  <c r="E53" i="4"/>
  <c r="D54" i="4"/>
  <c r="E54" i="4"/>
  <c r="D55" i="4"/>
  <c r="E55" i="4"/>
  <c r="D56" i="4"/>
  <c r="E56" i="4"/>
  <c r="D57" i="4"/>
  <c r="E57" i="4"/>
  <c r="D58" i="4"/>
  <c r="E58" i="4"/>
  <c r="D59" i="4"/>
  <c r="E59" i="4"/>
  <c r="D60" i="4"/>
  <c r="E60" i="4"/>
  <c r="E49" i="4"/>
  <c r="D49" i="4"/>
  <c r="D43" i="4"/>
  <c r="D42" i="4"/>
  <c r="D41" i="4"/>
  <c r="D66" i="3"/>
  <c r="D67" i="3"/>
  <c r="D68" i="3"/>
  <c r="D69" i="3"/>
  <c r="D65" i="3"/>
  <c r="D50" i="3"/>
  <c r="E50" i="3"/>
  <c r="D51" i="3"/>
  <c r="E51" i="3"/>
  <c r="D52" i="3"/>
  <c r="E52" i="3"/>
  <c r="D53" i="3"/>
  <c r="E53" i="3"/>
  <c r="D54" i="3"/>
  <c r="E54" i="3"/>
  <c r="D55" i="3"/>
  <c r="E55" i="3"/>
  <c r="D56" i="3"/>
  <c r="E56" i="3"/>
  <c r="D57" i="3"/>
  <c r="E57" i="3"/>
  <c r="D58" i="3"/>
  <c r="E58" i="3"/>
  <c r="D59" i="3"/>
  <c r="E59" i="3"/>
  <c r="D60" i="3"/>
  <c r="E60" i="3"/>
  <c r="E49" i="3"/>
  <c r="D49" i="3"/>
  <c r="D43" i="3"/>
  <c r="D42" i="3"/>
  <c r="D41" i="3"/>
  <c r="E69" i="3"/>
  <c r="E68" i="3"/>
  <c r="E66" i="3"/>
  <c r="E65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F63" i="12" l="1"/>
  <c r="F56" i="13"/>
  <c r="F64" i="13"/>
  <c r="F55" i="11"/>
  <c r="M55" i="11" s="1"/>
  <c r="N55" i="11" s="1"/>
  <c r="F63" i="11"/>
  <c r="D74" i="14"/>
  <c r="F64" i="12"/>
  <c r="J64" i="12" s="1"/>
  <c r="F51" i="13"/>
  <c r="J51" i="13" s="1"/>
  <c r="F51" i="12"/>
  <c r="J51" i="12" s="1"/>
  <c r="G72" i="7"/>
  <c r="H72" i="7" s="1"/>
  <c r="I72" i="7"/>
  <c r="J72" i="7" s="1"/>
  <c r="K72" i="7"/>
  <c r="L72" i="7" s="1"/>
  <c r="G73" i="10"/>
  <c r="H73" i="10" s="1"/>
  <c r="I73" i="10"/>
  <c r="J73" i="10" s="1"/>
  <c r="K73" i="10"/>
  <c r="L73" i="10" s="1"/>
  <c r="D65" i="12"/>
  <c r="E65" i="12"/>
  <c r="K69" i="8"/>
  <c r="L69" i="8" s="1"/>
  <c r="G69" i="8"/>
  <c r="I69" i="8"/>
  <c r="J69" i="8" s="1"/>
  <c r="G70" i="11"/>
  <c r="I70" i="11"/>
  <c r="J70" i="11" s="1"/>
  <c r="K70" i="11"/>
  <c r="L70" i="11" s="1"/>
  <c r="F69" i="14"/>
  <c r="J62" i="11"/>
  <c r="K62" i="11"/>
  <c r="L62" i="11" s="1"/>
  <c r="M62" i="11"/>
  <c r="N62" i="11" s="1"/>
  <c r="O62" i="11"/>
  <c r="P62" i="11" s="1"/>
  <c r="G70" i="8"/>
  <c r="H70" i="8" s="1"/>
  <c r="I70" i="8"/>
  <c r="J70" i="8" s="1"/>
  <c r="K70" i="8"/>
  <c r="L70" i="8" s="1"/>
  <c r="J54" i="11"/>
  <c r="K54" i="11"/>
  <c r="L54" i="11" s="1"/>
  <c r="M54" i="11"/>
  <c r="N54" i="11" s="1"/>
  <c r="O54" i="11"/>
  <c r="P54" i="11" s="1"/>
  <c r="K72" i="11"/>
  <c r="L72" i="11" s="1"/>
  <c r="G72" i="11"/>
  <c r="H72" i="11" s="1"/>
  <c r="I72" i="11"/>
  <c r="J72" i="11" s="1"/>
  <c r="J64" i="11"/>
  <c r="O64" i="11"/>
  <c r="P64" i="11" s="1"/>
  <c r="K64" i="11"/>
  <c r="L64" i="11" s="1"/>
  <c r="M64" i="11"/>
  <c r="N64" i="11" s="1"/>
  <c r="I45" i="7"/>
  <c r="J45" i="7" s="1"/>
  <c r="K45" i="7"/>
  <c r="L45" i="7" s="1"/>
  <c r="G45" i="7"/>
  <c r="H45" i="7" s="1"/>
  <c r="F52" i="8"/>
  <c r="G69" i="7"/>
  <c r="I69" i="7"/>
  <c r="K69" i="7"/>
  <c r="I72" i="8"/>
  <c r="J72" i="8" s="1"/>
  <c r="K72" i="8"/>
  <c r="G72" i="8"/>
  <c r="H72" i="8" s="1"/>
  <c r="G73" i="11"/>
  <c r="H73" i="11" s="1"/>
  <c r="I73" i="11"/>
  <c r="J73" i="11" s="1"/>
  <c r="K73" i="11"/>
  <c r="L73" i="11" s="1"/>
  <c r="J61" i="11"/>
  <c r="K61" i="11"/>
  <c r="L61" i="11" s="1"/>
  <c r="M61" i="11"/>
  <c r="N61" i="11" s="1"/>
  <c r="O61" i="11"/>
  <c r="P61" i="11" s="1"/>
  <c r="F58" i="12"/>
  <c r="F53" i="13"/>
  <c r="J53" i="13" s="1"/>
  <c r="F61" i="13"/>
  <c r="O61" i="13" s="1"/>
  <c r="P61" i="13" s="1"/>
  <c r="J56" i="11"/>
  <c r="O56" i="11"/>
  <c r="P56" i="11" s="1"/>
  <c r="K56" i="11"/>
  <c r="L56" i="11" s="1"/>
  <c r="M56" i="11"/>
  <c r="N56" i="11" s="1"/>
  <c r="I73" i="7"/>
  <c r="J73" i="7" s="1"/>
  <c r="K73" i="7"/>
  <c r="L73" i="7" s="1"/>
  <c r="G73" i="7"/>
  <c r="H73" i="7" s="1"/>
  <c r="G45" i="8"/>
  <c r="I45" i="8"/>
  <c r="J45" i="8" s="1"/>
  <c r="K45" i="8"/>
  <c r="L45" i="8" s="1"/>
  <c r="J52" i="11"/>
  <c r="K52" i="11"/>
  <c r="L52" i="11" s="1"/>
  <c r="M52" i="11"/>
  <c r="N52" i="11" s="1"/>
  <c r="O52" i="11"/>
  <c r="P52" i="11" s="1"/>
  <c r="D74" i="11"/>
  <c r="G69" i="11"/>
  <c r="H69" i="11" s="1"/>
  <c r="I69" i="11"/>
  <c r="K69" i="11"/>
  <c r="K70" i="7"/>
  <c r="L70" i="7" s="1"/>
  <c r="G70" i="7"/>
  <c r="H70" i="7" s="1"/>
  <c r="I70" i="7"/>
  <c r="J70" i="7" s="1"/>
  <c r="G73" i="8"/>
  <c r="H73" i="8" s="1"/>
  <c r="I73" i="8"/>
  <c r="J73" i="8" s="1"/>
  <c r="K73" i="8"/>
  <c r="L73" i="8" s="1"/>
  <c r="J55" i="11"/>
  <c r="K55" i="11"/>
  <c r="L55" i="11" s="1"/>
  <c r="O55" i="11"/>
  <c r="P55" i="11" s="1"/>
  <c r="J63" i="11"/>
  <c r="K63" i="11"/>
  <c r="L63" i="11" s="1"/>
  <c r="M63" i="11"/>
  <c r="N63" i="11" s="1"/>
  <c r="O63" i="11"/>
  <c r="P63" i="11" s="1"/>
  <c r="F58" i="9"/>
  <c r="F53" i="10"/>
  <c r="K53" i="10" s="1"/>
  <c r="L53" i="10" s="1"/>
  <c r="G72" i="10"/>
  <c r="H72" i="10" s="1"/>
  <c r="I72" i="10"/>
  <c r="J72" i="10" s="1"/>
  <c r="K72" i="10"/>
  <c r="L72" i="10" s="1"/>
  <c r="I70" i="10"/>
  <c r="J70" i="10" s="1"/>
  <c r="G70" i="10"/>
  <c r="H70" i="10" s="1"/>
  <c r="K70" i="10"/>
  <c r="L70" i="10" s="1"/>
  <c r="I45" i="10"/>
  <c r="J45" i="10" s="1"/>
  <c r="G45" i="10"/>
  <c r="H45" i="10" s="1"/>
  <c r="K45" i="10"/>
  <c r="L45" i="10" s="1"/>
  <c r="G69" i="10"/>
  <c r="K69" i="10"/>
  <c r="I69" i="10"/>
  <c r="M53" i="10"/>
  <c r="N53" i="10" s="1"/>
  <c r="J59" i="10"/>
  <c r="M59" i="10"/>
  <c r="N59" i="10" s="1"/>
  <c r="K59" i="10"/>
  <c r="L59" i="10" s="1"/>
  <c r="O59" i="10"/>
  <c r="P59" i="10" s="1"/>
  <c r="F51" i="10"/>
  <c r="J55" i="10"/>
  <c r="M55" i="10"/>
  <c r="N55" i="10" s="1"/>
  <c r="K55" i="10"/>
  <c r="L55" i="10" s="1"/>
  <c r="O55" i="10"/>
  <c r="P55" i="10" s="1"/>
  <c r="J58" i="10"/>
  <c r="K58" i="10"/>
  <c r="L58" i="10" s="1"/>
  <c r="O58" i="10"/>
  <c r="P58" i="10" s="1"/>
  <c r="M58" i="10"/>
  <c r="N58" i="10" s="1"/>
  <c r="J61" i="10"/>
  <c r="K61" i="10"/>
  <c r="L61" i="10" s="1"/>
  <c r="O61" i="10"/>
  <c r="P61" i="10" s="1"/>
  <c r="M61" i="10"/>
  <c r="N61" i="10" s="1"/>
  <c r="J63" i="10"/>
  <c r="M63" i="10"/>
  <c r="N63" i="10" s="1"/>
  <c r="K63" i="10"/>
  <c r="L63" i="10" s="1"/>
  <c r="O63" i="10"/>
  <c r="P63" i="10" s="1"/>
  <c r="D46" i="10"/>
  <c r="J53" i="12"/>
  <c r="K53" i="12"/>
  <c r="L53" i="12" s="1"/>
  <c r="O53" i="12"/>
  <c r="P53" i="12" s="1"/>
  <c r="M53" i="12"/>
  <c r="N53" i="12" s="1"/>
  <c r="J58" i="13"/>
  <c r="K58" i="13"/>
  <c r="L58" i="13" s="1"/>
  <c r="M58" i="13"/>
  <c r="N58" i="13" s="1"/>
  <c r="O58" i="13"/>
  <c r="P58" i="13" s="1"/>
  <c r="J51" i="14"/>
  <c r="M51" i="14"/>
  <c r="O51" i="14"/>
  <c r="K51" i="14"/>
  <c r="J59" i="14"/>
  <c r="M59" i="14"/>
  <c r="N59" i="14" s="1"/>
  <c r="O59" i="14"/>
  <c r="P59" i="14" s="1"/>
  <c r="K59" i="14"/>
  <c r="L59" i="14" s="1"/>
  <c r="M51" i="12"/>
  <c r="O51" i="12"/>
  <c r="K51" i="12"/>
  <c r="J55" i="12"/>
  <c r="M55" i="12"/>
  <c r="N55" i="12" s="1"/>
  <c r="O55" i="12"/>
  <c r="P55" i="12" s="1"/>
  <c r="K55" i="12"/>
  <c r="L55" i="12" s="1"/>
  <c r="J56" i="13"/>
  <c r="O56" i="13"/>
  <c r="P56" i="13" s="1"/>
  <c r="K56" i="13"/>
  <c r="L56" i="13" s="1"/>
  <c r="M56" i="13"/>
  <c r="N56" i="13" s="1"/>
  <c r="J59" i="12"/>
  <c r="M59" i="12"/>
  <c r="N59" i="12" s="1"/>
  <c r="O59" i="12"/>
  <c r="P59" i="12" s="1"/>
  <c r="K59" i="12"/>
  <c r="L59" i="12" s="1"/>
  <c r="M51" i="13"/>
  <c r="O51" i="13"/>
  <c r="K51" i="13"/>
  <c r="J55" i="14"/>
  <c r="M55" i="14"/>
  <c r="N55" i="14" s="1"/>
  <c r="O55" i="14"/>
  <c r="P55" i="14" s="1"/>
  <c r="K55" i="14"/>
  <c r="L55" i="14" s="1"/>
  <c r="J60" i="12"/>
  <c r="O60" i="12"/>
  <c r="P60" i="12" s="1"/>
  <c r="M60" i="12"/>
  <c r="N60" i="12" s="1"/>
  <c r="K60" i="12"/>
  <c r="L60" i="12" s="1"/>
  <c r="J62" i="12"/>
  <c r="K62" i="12"/>
  <c r="L62" i="12" s="1"/>
  <c r="M62" i="12"/>
  <c r="N62" i="12" s="1"/>
  <c r="O62" i="12"/>
  <c r="P62" i="12" s="1"/>
  <c r="J55" i="13"/>
  <c r="M55" i="13"/>
  <c r="N55" i="13" s="1"/>
  <c r="O55" i="13"/>
  <c r="P55" i="13" s="1"/>
  <c r="K55" i="13"/>
  <c r="L55" i="13" s="1"/>
  <c r="D46" i="14"/>
  <c r="J57" i="14"/>
  <c r="K57" i="14"/>
  <c r="L57" i="14" s="1"/>
  <c r="M57" i="14"/>
  <c r="N57" i="14" s="1"/>
  <c r="O57" i="14"/>
  <c r="P57" i="14" s="1"/>
  <c r="J61" i="14"/>
  <c r="K61" i="14"/>
  <c r="L61" i="14" s="1"/>
  <c r="M61" i="14"/>
  <c r="N61" i="14" s="1"/>
  <c r="O61" i="14"/>
  <c r="P61" i="14" s="1"/>
  <c r="J56" i="12"/>
  <c r="O56" i="12"/>
  <c r="P56" i="12" s="1"/>
  <c r="M56" i="12"/>
  <c r="N56" i="12" s="1"/>
  <c r="K56" i="12"/>
  <c r="L56" i="12" s="1"/>
  <c r="J59" i="13"/>
  <c r="M59" i="13"/>
  <c r="N59" i="13" s="1"/>
  <c r="O59" i="13"/>
  <c r="P59" i="13" s="1"/>
  <c r="K59" i="13"/>
  <c r="L59" i="13" s="1"/>
  <c r="J52" i="14"/>
  <c r="O52" i="14"/>
  <c r="P52" i="14" s="1"/>
  <c r="K52" i="14"/>
  <c r="L52" i="14" s="1"/>
  <c r="M52" i="14"/>
  <c r="N52" i="14" s="1"/>
  <c r="J62" i="14"/>
  <c r="K62" i="14"/>
  <c r="L62" i="14" s="1"/>
  <c r="M62" i="14"/>
  <c r="N62" i="14" s="1"/>
  <c r="O62" i="14"/>
  <c r="P62" i="14" s="1"/>
  <c r="I73" i="14"/>
  <c r="J73" i="14" s="1"/>
  <c r="K73" i="14"/>
  <c r="L73" i="14" s="1"/>
  <c r="G73" i="14"/>
  <c r="H73" i="14" s="1"/>
  <c r="J63" i="12"/>
  <c r="M63" i="12"/>
  <c r="N63" i="12" s="1"/>
  <c r="O63" i="12"/>
  <c r="P63" i="12" s="1"/>
  <c r="K63" i="12"/>
  <c r="L63" i="12" s="1"/>
  <c r="J52" i="13"/>
  <c r="O52" i="13"/>
  <c r="P52" i="13" s="1"/>
  <c r="M52" i="13"/>
  <c r="N52" i="13" s="1"/>
  <c r="K52" i="13"/>
  <c r="L52" i="13" s="1"/>
  <c r="I69" i="14"/>
  <c r="K69" i="14"/>
  <c r="G69" i="14"/>
  <c r="J57" i="12"/>
  <c r="K57" i="12"/>
  <c r="L57" i="12" s="1"/>
  <c r="O57" i="12"/>
  <c r="P57" i="12" s="1"/>
  <c r="M57" i="12"/>
  <c r="N57" i="12" s="1"/>
  <c r="J60" i="13"/>
  <c r="O60" i="13"/>
  <c r="P60" i="13" s="1"/>
  <c r="M60" i="13"/>
  <c r="N60" i="13" s="1"/>
  <c r="K60" i="13"/>
  <c r="L60" i="13" s="1"/>
  <c r="J53" i="14"/>
  <c r="K53" i="14"/>
  <c r="L53" i="14" s="1"/>
  <c r="M53" i="14"/>
  <c r="N53" i="14" s="1"/>
  <c r="O53" i="14"/>
  <c r="P53" i="14" s="1"/>
  <c r="J63" i="14"/>
  <c r="M63" i="14"/>
  <c r="N63" i="14" s="1"/>
  <c r="O63" i="14"/>
  <c r="P63" i="14" s="1"/>
  <c r="K63" i="14"/>
  <c r="L63" i="14" s="1"/>
  <c r="J58" i="12"/>
  <c r="K58" i="12"/>
  <c r="L58" i="12" s="1"/>
  <c r="M58" i="12"/>
  <c r="N58" i="12" s="1"/>
  <c r="O58" i="12"/>
  <c r="P58" i="12" s="1"/>
  <c r="I69" i="12"/>
  <c r="K69" i="12"/>
  <c r="G69" i="12"/>
  <c r="K53" i="13"/>
  <c r="L53" i="13" s="1"/>
  <c r="O53" i="13"/>
  <c r="P53" i="13" s="1"/>
  <c r="M53" i="13"/>
  <c r="N53" i="13" s="1"/>
  <c r="J61" i="13"/>
  <c r="K61" i="13"/>
  <c r="L61" i="13" s="1"/>
  <c r="M61" i="13"/>
  <c r="N61" i="13" s="1"/>
  <c r="G72" i="13"/>
  <c r="H72" i="13" s="1"/>
  <c r="I72" i="13"/>
  <c r="J72" i="13" s="1"/>
  <c r="K72" i="13"/>
  <c r="L72" i="13" s="1"/>
  <c r="J56" i="14"/>
  <c r="O56" i="14"/>
  <c r="P56" i="14" s="1"/>
  <c r="K56" i="14"/>
  <c r="L56" i="14" s="1"/>
  <c r="M56" i="14"/>
  <c r="N56" i="14" s="1"/>
  <c r="J64" i="13"/>
  <c r="O64" i="13"/>
  <c r="P64" i="13" s="1"/>
  <c r="M64" i="13"/>
  <c r="N64" i="13" s="1"/>
  <c r="K64" i="13"/>
  <c r="L64" i="13" s="1"/>
  <c r="J54" i="14"/>
  <c r="K54" i="14"/>
  <c r="L54" i="14" s="1"/>
  <c r="M54" i="14"/>
  <c r="N54" i="14" s="1"/>
  <c r="O54" i="14"/>
  <c r="P54" i="14" s="1"/>
  <c r="J64" i="14"/>
  <c r="O64" i="14"/>
  <c r="P64" i="14" s="1"/>
  <c r="K64" i="14"/>
  <c r="L64" i="14" s="1"/>
  <c r="M64" i="14"/>
  <c r="N64" i="14" s="1"/>
  <c r="K70" i="12"/>
  <c r="L70" i="12" s="1"/>
  <c r="I70" i="12"/>
  <c r="J70" i="12" s="1"/>
  <c r="G70" i="12"/>
  <c r="H70" i="12" s="1"/>
  <c r="F62" i="13"/>
  <c r="I73" i="13"/>
  <c r="J73" i="13" s="1"/>
  <c r="K73" i="13"/>
  <c r="L73" i="13" s="1"/>
  <c r="G73" i="13"/>
  <c r="H73" i="13" s="1"/>
  <c r="G72" i="12"/>
  <c r="H72" i="12" s="1"/>
  <c r="I72" i="12"/>
  <c r="J72" i="12" s="1"/>
  <c r="K72" i="12"/>
  <c r="L72" i="12" s="1"/>
  <c r="M64" i="12"/>
  <c r="N64" i="12" s="1"/>
  <c r="K64" i="12"/>
  <c r="L64" i="12" s="1"/>
  <c r="J54" i="13"/>
  <c r="K54" i="13"/>
  <c r="L54" i="13" s="1"/>
  <c r="O54" i="13"/>
  <c r="P54" i="13" s="1"/>
  <c r="M54" i="13"/>
  <c r="N54" i="13" s="1"/>
  <c r="I73" i="12"/>
  <c r="J73" i="12" s="1"/>
  <c r="K73" i="12"/>
  <c r="L73" i="12" s="1"/>
  <c r="G73" i="12"/>
  <c r="H73" i="12" s="1"/>
  <c r="K45" i="13"/>
  <c r="L45" i="13" s="1"/>
  <c r="I45" i="13"/>
  <c r="J45" i="13" s="1"/>
  <c r="G45" i="13"/>
  <c r="H45" i="13" s="1"/>
  <c r="K70" i="14"/>
  <c r="L70" i="14" s="1"/>
  <c r="G70" i="14"/>
  <c r="H70" i="14" s="1"/>
  <c r="I70" i="14"/>
  <c r="J70" i="14" s="1"/>
  <c r="J60" i="14"/>
  <c r="O60" i="14"/>
  <c r="P60" i="14" s="1"/>
  <c r="K60" i="14"/>
  <c r="L60" i="14" s="1"/>
  <c r="M60" i="14"/>
  <c r="N60" i="14" s="1"/>
  <c r="I69" i="13"/>
  <c r="K69" i="13"/>
  <c r="G69" i="13"/>
  <c r="J61" i="12"/>
  <c r="K61" i="12"/>
  <c r="L61" i="12" s="1"/>
  <c r="O61" i="12"/>
  <c r="P61" i="12" s="1"/>
  <c r="M61" i="12"/>
  <c r="N61" i="12" s="1"/>
  <c r="D46" i="13"/>
  <c r="J58" i="14"/>
  <c r="K58" i="14"/>
  <c r="L58" i="14" s="1"/>
  <c r="M58" i="14"/>
  <c r="N58" i="14" s="1"/>
  <c r="O58" i="14"/>
  <c r="P58" i="14" s="1"/>
  <c r="K70" i="13"/>
  <c r="L70" i="13" s="1"/>
  <c r="I70" i="13"/>
  <c r="J70" i="13" s="1"/>
  <c r="G70" i="13"/>
  <c r="H70" i="13" s="1"/>
  <c r="G72" i="14"/>
  <c r="H72" i="14" s="1"/>
  <c r="I72" i="14"/>
  <c r="J72" i="14" s="1"/>
  <c r="K72" i="14"/>
  <c r="L72" i="14" s="1"/>
  <c r="F72" i="7"/>
  <c r="F60" i="10"/>
  <c r="F45" i="10"/>
  <c r="F53" i="11"/>
  <c r="F70" i="11"/>
  <c r="F58" i="11"/>
  <c r="F56" i="10"/>
  <c r="F64" i="10"/>
  <c r="F51" i="11"/>
  <c r="F59" i="11"/>
  <c r="K69" i="9"/>
  <c r="G69" i="9"/>
  <c r="I69" i="9"/>
  <c r="F63" i="9"/>
  <c r="K72" i="9"/>
  <c r="L72" i="9" s="1"/>
  <c r="I72" i="9"/>
  <c r="J72" i="9" s="1"/>
  <c r="G72" i="9"/>
  <c r="H72" i="9" s="1"/>
  <c r="I73" i="9"/>
  <c r="J73" i="9" s="1"/>
  <c r="G73" i="9"/>
  <c r="H73" i="9" s="1"/>
  <c r="K73" i="9"/>
  <c r="L73" i="9" s="1"/>
  <c r="F45" i="9"/>
  <c r="I70" i="9"/>
  <c r="J70" i="9" s="1"/>
  <c r="G70" i="9"/>
  <c r="H70" i="9" s="1"/>
  <c r="K70" i="9"/>
  <c r="L70" i="9" s="1"/>
  <c r="I45" i="9"/>
  <c r="J45" i="9" s="1"/>
  <c r="K45" i="9"/>
  <c r="L45" i="9" s="1"/>
  <c r="G45" i="9"/>
  <c r="H45" i="9" s="1"/>
  <c r="F59" i="7"/>
  <c r="F54" i="8"/>
  <c r="F62" i="8"/>
  <c r="F57" i="9"/>
  <c r="E65" i="9"/>
  <c r="D65" i="10"/>
  <c r="E65" i="10"/>
  <c r="D74" i="10"/>
  <c r="D46" i="11"/>
  <c r="F53" i="9"/>
  <c r="F60" i="9"/>
  <c r="F60" i="11"/>
  <c r="F69" i="12"/>
  <c r="F61" i="9"/>
  <c r="D46" i="9"/>
  <c r="F54" i="9"/>
  <c r="F62" i="9"/>
  <c r="D74" i="12"/>
  <c r="D74" i="13"/>
  <c r="G65" i="3"/>
  <c r="F52" i="9"/>
  <c r="F55" i="7"/>
  <c r="F63" i="7"/>
  <c r="F64" i="8"/>
  <c r="F59" i="9"/>
  <c r="F54" i="10"/>
  <c r="L51" i="3"/>
  <c r="L59" i="3"/>
  <c r="D65" i="11"/>
  <c r="D65" i="13"/>
  <c r="F60" i="8"/>
  <c r="D74" i="9"/>
  <c r="F70" i="7"/>
  <c r="E65" i="11"/>
  <c r="D65" i="14"/>
  <c r="F61" i="7"/>
  <c r="F51" i="9"/>
  <c r="F62" i="10"/>
  <c r="F70" i="14"/>
  <c r="F57" i="10"/>
  <c r="F56" i="8"/>
  <c r="D65" i="9"/>
  <c r="F53" i="7"/>
  <c r="F57" i="11"/>
  <c r="E65" i="13"/>
  <c r="F54" i="12"/>
  <c r="F59" i="8"/>
  <c r="D74" i="8"/>
  <c r="F63" i="13"/>
  <c r="F57" i="13"/>
  <c r="F61" i="8"/>
  <c r="F58" i="8"/>
  <c r="F73" i="8"/>
  <c r="F45" i="8"/>
  <c r="F57" i="8"/>
  <c r="E65" i="8"/>
  <c r="D46" i="8"/>
  <c r="D65" i="8"/>
  <c r="F62" i="7"/>
  <c r="F52" i="12"/>
  <c r="G65" i="7"/>
  <c r="E43" i="7" s="1"/>
  <c r="I43" i="7" s="1"/>
  <c r="F73" i="9"/>
  <c r="F69" i="8"/>
  <c r="F54" i="7"/>
  <c r="L52" i="3"/>
  <c r="F52" i="10"/>
  <c r="K58" i="3"/>
  <c r="F54" i="3"/>
  <c r="F57" i="7"/>
  <c r="I54" i="9"/>
  <c r="I63" i="9"/>
  <c r="F68" i="3"/>
  <c r="F60" i="3"/>
  <c r="G66" i="3"/>
  <c r="H66" i="3" s="1"/>
  <c r="I62" i="9"/>
  <c r="F65" i="14"/>
  <c r="E65" i="7"/>
  <c r="D74" i="7"/>
  <c r="I55" i="8"/>
  <c r="K55" i="8" s="1"/>
  <c r="L55" i="8" s="1"/>
  <c r="F72" i="12"/>
  <c r="F70" i="8"/>
  <c r="I56" i="9"/>
  <c r="J56" i="9" s="1"/>
  <c r="F72" i="11"/>
  <c r="E44" i="10"/>
  <c r="G44" i="10" s="1"/>
  <c r="H44" i="10" s="1"/>
  <c r="E44" i="14"/>
  <c r="F56" i="7"/>
  <c r="F64" i="7"/>
  <c r="D94" i="7"/>
  <c r="H55" i="7"/>
  <c r="E44" i="7"/>
  <c r="I44" i="7" s="1"/>
  <c r="J44" i="7" s="1"/>
  <c r="I54" i="7"/>
  <c r="I52" i="7"/>
  <c r="O52" i="7" s="1"/>
  <c r="P52" i="7" s="1"/>
  <c r="I61" i="7"/>
  <c r="F69" i="7"/>
  <c r="D46" i="7"/>
  <c r="D65" i="7"/>
  <c r="F51" i="7"/>
  <c r="I51" i="9"/>
  <c r="I53" i="7"/>
  <c r="E44" i="13"/>
  <c r="K44" i="13" s="1"/>
  <c r="L44" i="13" s="1"/>
  <c r="K50" i="3"/>
  <c r="K49" i="3"/>
  <c r="I62" i="7"/>
  <c r="E44" i="8"/>
  <c r="I44" i="8" s="1"/>
  <c r="J44" i="8" s="1"/>
  <c r="E71" i="9"/>
  <c r="F71" i="9" s="1"/>
  <c r="I55" i="9"/>
  <c r="J55" i="9" s="1"/>
  <c r="I64" i="9"/>
  <c r="K64" i="9" s="1"/>
  <c r="L64" i="9" s="1"/>
  <c r="F73" i="10"/>
  <c r="F66" i="3"/>
  <c r="K57" i="3"/>
  <c r="K53" i="3"/>
  <c r="D94" i="14"/>
  <c r="F72" i="8"/>
  <c r="I59" i="9"/>
  <c r="J59" i="9" s="1"/>
  <c r="D94" i="11"/>
  <c r="F73" i="13"/>
  <c r="I63" i="7"/>
  <c r="F70" i="12"/>
  <c r="I56" i="8"/>
  <c r="H52" i="8"/>
  <c r="E44" i="12"/>
  <c r="G44" i="12" s="1"/>
  <c r="H44" i="12" s="1"/>
  <c r="D94" i="13"/>
  <c r="I53" i="6"/>
  <c r="D94" i="10"/>
  <c r="D94" i="12"/>
  <c r="D94" i="6"/>
  <c r="I57" i="8"/>
  <c r="I56" i="7"/>
  <c r="F45" i="7"/>
  <c r="I60" i="8"/>
  <c r="I57" i="9"/>
  <c r="I57" i="7"/>
  <c r="I59" i="7"/>
  <c r="I61" i="9"/>
  <c r="G65" i="12"/>
  <c r="E43" i="12" s="1"/>
  <c r="K43" i="12" s="1"/>
  <c r="I62" i="8"/>
  <c r="I58" i="9"/>
  <c r="J58" i="9" s="1"/>
  <c r="E44" i="11"/>
  <c r="K44" i="11" s="1"/>
  <c r="L44" i="11" s="1"/>
  <c r="E45" i="11"/>
  <c r="I45" i="11" s="1"/>
  <c r="J45" i="11" s="1"/>
  <c r="E71" i="11"/>
  <c r="E74" i="11" s="1"/>
  <c r="F74" i="11" s="1"/>
  <c r="G65" i="14"/>
  <c r="E43" i="14" s="1"/>
  <c r="G43" i="14" s="1"/>
  <c r="E71" i="14"/>
  <c r="E74" i="14" s="1"/>
  <c r="F74" i="14" s="1"/>
  <c r="E45" i="14"/>
  <c r="K45" i="14" s="1"/>
  <c r="L45" i="14" s="1"/>
  <c r="I64" i="8"/>
  <c r="J64" i="8" s="1"/>
  <c r="I51" i="7"/>
  <c r="I61" i="8"/>
  <c r="I60" i="9"/>
  <c r="J60" i="9" s="1"/>
  <c r="F73" i="7"/>
  <c r="I58" i="8"/>
  <c r="F69" i="9"/>
  <c r="E71" i="7"/>
  <c r="E74" i="7" s="1"/>
  <c r="G65" i="8"/>
  <c r="E43" i="8" s="1"/>
  <c r="G43" i="8" s="1"/>
  <c r="H43" i="8" s="1"/>
  <c r="I63" i="8"/>
  <c r="J63" i="8" s="1"/>
  <c r="I53" i="9"/>
  <c r="J53" i="9" s="1"/>
  <c r="I58" i="7"/>
  <c r="K58" i="7" s="1"/>
  <c r="L58" i="7" s="1"/>
  <c r="E71" i="8"/>
  <c r="E74" i="8" s="1"/>
  <c r="F69" i="10"/>
  <c r="I60" i="7"/>
  <c r="O60" i="7" s="1"/>
  <c r="P60" i="7" s="1"/>
  <c r="I64" i="7"/>
  <c r="I54" i="8"/>
  <c r="I51" i="8"/>
  <c r="K51" i="8" s="1"/>
  <c r="I53" i="8"/>
  <c r="K53" i="8" s="1"/>
  <c r="L53" i="8" s="1"/>
  <c r="I59" i="8"/>
  <c r="E44" i="9"/>
  <c r="F44" i="9" s="1"/>
  <c r="H52" i="9"/>
  <c r="G65" i="10"/>
  <c r="E43" i="10" s="1"/>
  <c r="K43" i="10" s="1"/>
  <c r="F72" i="10"/>
  <c r="G65" i="13"/>
  <c r="E43" i="13" s="1"/>
  <c r="G43" i="13" s="1"/>
  <c r="F72" i="13"/>
  <c r="F73" i="11"/>
  <c r="G65" i="11"/>
  <c r="E43" i="11" s="1"/>
  <c r="G43" i="11" s="1"/>
  <c r="G65" i="9"/>
  <c r="E43" i="9" s="1"/>
  <c r="F43" i="9" s="1"/>
  <c r="E71" i="10"/>
  <c r="E74" i="10" s="1"/>
  <c r="F45" i="13"/>
  <c r="F69" i="11"/>
  <c r="E71" i="12"/>
  <c r="G71" i="12" s="1"/>
  <c r="H71" i="12" s="1"/>
  <c r="E45" i="12"/>
  <c r="K45" i="12" s="1"/>
  <c r="L45" i="12" s="1"/>
  <c r="F70" i="10"/>
  <c r="F70" i="13"/>
  <c r="F70" i="9"/>
  <c r="F72" i="9"/>
  <c r="E71" i="13"/>
  <c r="G71" i="13" s="1"/>
  <c r="H71" i="13" s="1"/>
  <c r="H65" i="13"/>
  <c r="F53" i="6"/>
  <c r="I59" i="6"/>
  <c r="F59" i="6"/>
  <c r="F53" i="3"/>
  <c r="L50" i="3"/>
  <c r="L54" i="3"/>
  <c r="F59" i="3"/>
  <c r="L58" i="3"/>
  <c r="F52" i="3"/>
  <c r="F55" i="3"/>
  <c r="I58" i="3"/>
  <c r="F57" i="3"/>
  <c r="L60" i="3"/>
  <c r="E41" i="3"/>
  <c r="F41" i="3" s="1"/>
  <c r="E67" i="3"/>
  <c r="F67" i="3" s="1"/>
  <c r="G69" i="3"/>
  <c r="H69" i="3" s="1"/>
  <c r="E43" i="3"/>
  <c r="F43" i="3" s="1"/>
  <c r="G68" i="3"/>
  <c r="H68" i="3" s="1"/>
  <c r="E61" i="3"/>
  <c r="F56" i="3"/>
  <c r="I51" i="3"/>
  <c r="I59" i="3"/>
  <c r="F51" i="3"/>
  <c r="F69" i="3"/>
  <c r="L53" i="3"/>
  <c r="L57" i="3"/>
  <c r="D61" i="3"/>
  <c r="D44" i="3"/>
  <c r="I49" i="3"/>
  <c r="I54" i="3"/>
  <c r="K54" i="3"/>
  <c r="I57" i="3"/>
  <c r="G61" i="3"/>
  <c r="H65" i="3"/>
  <c r="I52" i="3"/>
  <c r="K52" i="3"/>
  <c r="K56" i="3"/>
  <c r="I56" i="3"/>
  <c r="I60" i="3"/>
  <c r="K60" i="3"/>
  <c r="H61" i="3"/>
  <c r="L49" i="3"/>
  <c r="I55" i="3"/>
  <c r="K55" i="3"/>
  <c r="I50" i="3"/>
  <c r="F65" i="3"/>
  <c r="F50" i="3"/>
  <c r="K51" i="3"/>
  <c r="L56" i="3"/>
  <c r="F58" i="3"/>
  <c r="K59" i="3"/>
  <c r="D70" i="3"/>
  <c r="I53" i="3"/>
  <c r="E42" i="3"/>
  <c r="F42" i="3" s="1"/>
  <c r="F49" i="3"/>
  <c r="L55" i="3"/>
  <c r="J57" i="9" l="1"/>
  <c r="O53" i="10"/>
  <c r="P53" i="10" s="1"/>
  <c r="O64" i="12"/>
  <c r="P64" i="12" s="1"/>
  <c r="J53" i="10"/>
  <c r="J60" i="3"/>
  <c r="J54" i="3"/>
  <c r="G44" i="13"/>
  <c r="H44" i="13" s="1"/>
  <c r="M52" i="7"/>
  <c r="N52" i="7" s="1"/>
  <c r="J53" i="7"/>
  <c r="J54" i="8"/>
  <c r="J62" i="7"/>
  <c r="J63" i="9"/>
  <c r="K44" i="12"/>
  <c r="L44" i="12" s="1"/>
  <c r="I44" i="12"/>
  <c r="J44" i="12" s="1"/>
  <c r="I46" i="7"/>
  <c r="J46" i="7" s="1"/>
  <c r="J43" i="7"/>
  <c r="L51" i="8"/>
  <c r="H43" i="11"/>
  <c r="M62" i="8"/>
  <c r="N62" i="8" s="1"/>
  <c r="O62" i="8"/>
  <c r="P62" i="8" s="1"/>
  <c r="K62" i="8"/>
  <c r="L62" i="8" s="1"/>
  <c r="J58" i="11"/>
  <c r="K58" i="11"/>
  <c r="L58" i="11" s="1"/>
  <c r="M58" i="11"/>
  <c r="N58" i="11" s="1"/>
  <c r="O58" i="11"/>
  <c r="P58" i="11" s="1"/>
  <c r="O63" i="8"/>
  <c r="P63" i="8" s="1"/>
  <c r="G71" i="7"/>
  <c r="H71" i="7" s="1"/>
  <c r="O51" i="8"/>
  <c r="G43" i="7"/>
  <c r="G71" i="8"/>
  <c r="H71" i="8" s="1"/>
  <c r="G44" i="7"/>
  <c r="H44" i="7" s="1"/>
  <c r="H70" i="11"/>
  <c r="G45" i="11"/>
  <c r="H45" i="11" s="1"/>
  <c r="M63" i="8"/>
  <c r="N63" i="8" s="1"/>
  <c r="M60" i="7"/>
  <c r="N60" i="7" s="1"/>
  <c r="L72" i="8"/>
  <c r="K62" i="7"/>
  <c r="L62" i="7" s="1"/>
  <c r="M62" i="7"/>
  <c r="N62" i="7" s="1"/>
  <c r="O62" i="7"/>
  <c r="P62" i="7" s="1"/>
  <c r="K61" i="8"/>
  <c r="L61" i="8" s="1"/>
  <c r="M61" i="8"/>
  <c r="N61" i="8" s="1"/>
  <c r="O61" i="8"/>
  <c r="P61" i="8" s="1"/>
  <c r="K53" i="7"/>
  <c r="L53" i="7" s="1"/>
  <c r="M53" i="7"/>
  <c r="O53" i="7"/>
  <c r="P53" i="7" s="1"/>
  <c r="K59" i="6"/>
  <c r="L59" i="6" s="1"/>
  <c r="M59" i="6"/>
  <c r="N59" i="6" s="1"/>
  <c r="O59" i="6"/>
  <c r="P59" i="6" s="1"/>
  <c r="J60" i="8"/>
  <c r="M54" i="8"/>
  <c r="N54" i="8" s="1"/>
  <c r="O54" i="8"/>
  <c r="P54" i="8" s="1"/>
  <c r="K54" i="8"/>
  <c r="L54" i="8" s="1"/>
  <c r="K51" i="7"/>
  <c r="M51" i="7"/>
  <c r="N51" i="7" s="1"/>
  <c r="O51" i="7"/>
  <c r="P51" i="7" s="1"/>
  <c r="K56" i="8"/>
  <c r="L56" i="8" s="1"/>
  <c r="M56" i="8"/>
  <c r="N56" i="8" s="1"/>
  <c r="O56" i="8"/>
  <c r="P56" i="8" s="1"/>
  <c r="K59" i="7"/>
  <c r="L59" i="7" s="1"/>
  <c r="M59" i="7"/>
  <c r="N59" i="7" s="1"/>
  <c r="O59" i="7"/>
  <c r="P59" i="7" s="1"/>
  <c r="J53" i="11"/>
  <c r="K53" i="11"/>
  <c r="L53" i="11" s="1"/>
  <c r="M53" i="11"/>
  <c r="N53" i="11" s="1"/>
  <c r="O53" i="11"/>
  <c r="P53" i="11" s="1"/>
  <c r="I43" i="12"/>
  <c r="K63" i="8"/>
  <c r="L63" i="8" s="1"/>
  <c r="K60" i="7"/>
  <c r="L60" i="7" s="1"/>
  <c r="K43" i="11"/>
  <c r="G74" i="8"/>
  <c r="H74" i="8" s="1"/>
  <c r="H69" i="8"/>
  <c r="O53" i="8"/>
  <c r="P53" i="8" s="1"/>
  <c r="K54" i="7"/>
  <c r="L54" i="7" s="1"/>
  <c r="M54" i="7"/>
  <c r="N54" i="7" s="1"/>
  <c r="O54" i="7"/>
  <c r="K64" i="8"/>
  <c r="L64" i="8" s="1"/>
  <c r="M64" i="8"/>
  <c r="N64" i="8" s="1"/>
  <c r="O64" i="8"/>
  <c r="P64" i="8" s="1"/>
  <c r="G43" i="12"/>
  <c r="H43" i="12" s="1"/>
  <c r="O55" i="8"/>
  <c r="P55" i="8" s="1"/>
  <c r="I43" i="11"/>
  <c r="L69" i="11"/>
  <c r="L69" i="7"/>
  <c r="M53" i="8"/>
  <c r="N53" i="8" s="1"/>
  <c r="K64" i="7"/>
  <c r="L64" i="7" s="1"/>
  <c r="M64" i="7"/>
  <c r="N64" i="7" s="1"/>
  <c r="O64" i="7"/>
  <c r="P64" i="7" s="1"/>
  <c r="K57" i="8"/>
  <c r="L57" i="8" s="1"/>
  <c r="M57" i="8"/>
  <c r="N57" i="8" s="1"/>
  <c r="O57" i="8"/>
  <c r="P57" i="8" s="1"/>
  <c r="O59" i="8"/>
  <c r="P59" i="8" s="1"/>
  <c r="K59" i="8"/>
  <c r="L59" i="8" s="1"/>
  <c r="M59" i="8"/>
  <c r="N59" i="8" s="1"/>
  <c r="K60" i="8"/>
  <c r="L60" i="8" s="1"/>
  <c r="M60" i="8"/>
  <c r="N60" i="8" s="1"/>
  <c r="O60" i="8"/>
  <c r="P60" i="8" s="1"/>
  <c r="M63" i="7"/>
  <c r="N63" i="7" s="1"/>
  <c r="O63" i="7"/>
  <c r="P63" i="7" s="1"/>
  <c r="K63" i="7"/>
  <c r="L63" i="7" s="1"/>
  <c r="J59" i="11"/>
  <c r="M59" i="11"/>
  <c r="N59" i="11" s="1"/>
  <c r="O59" i="11"/>
  <c r="P59" i="11" s="1"/>
  <c r="K59" i="11"/>
  <c r="L59" i="11" s="1"/>
  <c r="I45" i="14"/>
  <c r="J45" i="14" s="1"/>
  <c r="M55" i="8"/>
  <c r="N55" i="8" s="1"/>
  <c r="J69" i="11"/>
  <c r="J69" i="7"/>
  <c r="K71" i="11"/>
  <c r="L71" i="11" s="1"/>
  <c r="G44" i="8"/>
  <c r="H44" i="8" s="1"/>
  <c r="I44" i="11"/>
  <c r="J44" i="11" s="1"/>
  <c r="K43" i="8"/>
  <c r="K52" i="7"/>
  <c r="L52" i="7" s="1"/>
  <c r="H45" i="8"/>
  <c r="H69" i="7"/>
  <c r="I71" i="11"/>
  <c r="J71" i="11" s="1"/>
  <c r="K44" i="8"/>
  <c r="L44" i="8" s="1"/>
  <c r="O58" i="7"/>
  <c r="P58" i="7" s="1"/>
  <c r="K56" i="7"/>
  <c r="L56" i="7" s="1"/>
  <c r="M56" i="7"/>
  <c r="N56" i="7" s="1"/>
  <c r="O56" i="7"/>
  <c r="P56" i="7" s="1"/>
  <c r="J51" i="11"/>
  <c r="M51" i="11"/>
  <c r="O51" i="11"/>
  <c r="K51" i="11"/>
  <c r="K57" i="7"/>
  <c r="L57" i="7" s="1"/>
  <c r="M57" i="7"/>
  <c r="N57" i="7" s="1"/>
  <c r="O57" i="7"/>
  <c r="P57" i="7" s="1"/>
  <c r="G44" i="11"/>
  <c r="H44" i="11" s="1"/>
  <c r="I43" i="8"/>
  <c r="K71" i="7"/>
  <c r="L71" i="7" s="1"/>
  <c r="M51" i="8"/>
  <c r="N51" i="8" s="1"/>
  <c r="K43" i="7"/>
  <c r="K71" i="8"/>
  <c r="L71" i="8" s="1"/>
  <c r="G71" i="11"/>
  <c r="H71" i="11" s="1"/>
  <c r="K44" i="7"/>
  <c r="L44" i="7" s="1"/>
  <c r="K45" i="11"/>
  <c r="L45" i="11" s="1"/>
  <c r="M58" i="7"/>
  <c r="N58" i="7" s="1"/>
  <c r="O53" i="6"/>
  <c r="P53" i="6" s="1"/>
  <c r="K53" i="6"/>
  <c r="L53" i="6" s="1"/>
  <c r="M53" i="6"/>
  <c r="N53" i="6" s="1"/>
  <c r="F74" i="8"/>
  <c r="K58" i="8"/>
  <c r="L58" i="8" s="1"/>
  <c r="M58" i="8"/>
  <c r="N58" i="8" s="1"/>
  <c r="O58" i="8"/>
  <c r="P58" i="8" s="1"/>
  <c r="K57" i="11"/>
  <c r="L57" i="11" s="1"/>
  <c r="M57" i="11"/>
  <c r="N57" i="11" s="1"/>
  <c r="O57" i="11"/>
  <c r="P57" i="11" s="1"/>
  <c r="K61" i="7"/>
  <c r="L61" i="7" s="1"/>
  <c r="M61" i="7"/>
  <c r="N61" i="7" s="1"/>
  <c r="O61" i="7"/>
  <c r="P61" i="7" s="1"/>
  <c r="J60" i="11"/>
  <c r="K60" i="11"/>
  <c r="L60" i="11" s="1"/>
  <c r="M60" i="11"/>
  <c r="N60" i="11" s="1"/>
  <c r="O60" i="11"/>
  <c r="P60" i="11" s="1"/>
  <c r="I71" i="7"/>
  <c r="J71" i="7" s="1"/>
  <c r="I71" i="8"/>
  <c r="G71" i="10"/>
  <c r="H71" i="10" s="1"/>
  <c r="K71" i="10"/>
  <c r="L71" i="10" s="1"/>
  <c r="I71" i="10"/>
  <c r="J71" i="10" s="1"/>
  <c r="I43" i="10"/>
  <c r="J43" i="10" s="1"/>
  <c r="G43" i="10"/>
  <c r="G46" i="10" s="1"/>
  <c r="H46" i="10" s="1"/>
  <c r="K44" i="10"/>
  <c r="L44" i="10" s="1"/>
  <c r="I44" i="10"/>
  <c r="J44" i="10" s="1"/>
  <c r="F74" i="10"/>
  <c r="J69" i="10"/>
  <c r="H69" i="10"/>
  <c r="L69" i="10"/>
  <c r="J64" i="10"/>
  <c r="K64" i="10"/>
  <c r="L64" i="10" s="1"/>
  <c r="O64" i="10"/>
  <c r="P64" i="10" s="1"/>
  <c r="M64" i="10"/>
  <c r="N64" i="10" s="1"/>
  <c r="J62" i="10"/>
  <c r="K62" i="10"/>
  <c r="L62" i="10" s="1"/>
  <c r="O62" i="10"/>
  <c r="P62" i="10" s="1"/>
  <c r="M62" i="10"/>
  <c r="N62" i="10" s="1"/>
  <c r="K52" i="10"/>
  <c r="L52" i="10" s="1"/>
  <c r="O52" i="10"/>
  <c r="P52" i="10" s="1"/>
  <c r="M52" i="10"/>
  <c r="N52" i="10" s="1"/>
  <c r="J51" i="10"/>
  <c r="M51" i="10"/>
  <c r="N51" i="10" s="1"/>
  <c r="K51" i="10"/>
  <c r="L51" i="10" s="1"/>
  <c r="O51" i="10"/>
  <c r="P51" i="10" s="1"/>
  <c r="J60" i="10"/>
  <c r="K60" i="10"/>
  <c r="L60" i="10" s="1"/>
  <c r="O60" i="10"/>
  <c r="P60" i="10" s="1"/>
  <c r="M60" i="10"/>
  <c r="N60" i="10" s="1"/>
  <c r="J56" i="10"/>
  <c r="K56" i="10"/>
  <c r="L56" i="10" s="1"/>
  <c r="O56" i="10"/>
  <c r="P56" i="10" s="1"/>
  <c r="M56" i="10"/>
  <c r="N56" i="10" s="1"/>
  <c r="J54" i="10"/>
  <c r="M54" i="10"/>
  <c r="N54" i="10" s="1"/>
  <c r="K54" i="10"/>
  <c r="L54" i="10" s="1"/>
  <c r="O54" i="10"/>
  <c r="P54" i="10" s="1"/>
  <c r="H43" i="10"/>
  <c r="J57" i="10"/>
  <c r="M57" i="10"/>
  <c r="K57" i="10"/>
  <c r="O57" i="10"/>
  <c r="L43" i="10"/>
  <c r="H43" i="13"/>
  <c r="G46" i="13"/>
  <c r="H46" i="13" s="1"/>
  <c r="L43" i="12"/>
  <c r="K46" i="12"/>
  <c r="L46" i="12" s="1"/>
  <c r="H43" i="14"/>
  <c r="K43" i="13"/>
  <c r="J69" i="13"/>
  <c r="M63" i="13"/>
  <c r="N63" i="13" s="1"/>
  <c r="O63" i="13"/>
  <c r="P63" i="13" s="1"/>
  <c r="K63" i="13"/>
  <c r="L63" i="13" s="1"/>
  <c r="L69" i="13"/>
  <c r="G45" i="14"/>
  <c r="H45" i="14" s="1"/>
  <c r="H69" i="14"/>
  <c r="I43" i="13"/>
  <c r="G74" i="12"/>
  <c r="H74" i="12" s="1"/>
  <c r="H69" i="12"/>
  <c r="L69" i="14"/>
  <c r="I71" i="13"/>
  <c r="J71" i="13" s="1"/>
  <c r="J54" i="12"/>
  <c r="K54" i="12"/>
  <c r="L54" i="12" s="1"/>
  <c r="M54" i="12"/>
  <c r="N54" i="12" s="1"/>
  <c r="O54" i="12"/>
  <c r="P54" i="12" s="1"/>
  <c r="J43" i="12"/>
  <c r="J62" i="13"/>
  <c r="K62" i="13"/>
  <c r="L62" i="13" s="1"/>
  <c r="M62" i="13"/>
  <c r="N62" i="13" s="1"/>
  <c r="O62" i="13"/>
  <c r="P62" i="13" s="1"/>
  <c r="L69" i="12"/>
  <c r="J69" i="14"/>
  <c r="K71" i="13"/>
  <c r="L71" i="13" s="1"/>
  <c r="P51" i="13"/>
  <c r="P51" i="12"/>
  <c r="P51" i="14"/>
  <c r="O65" i="14"/>
  <c r="P65" i="14" s="1"/>
  <c r="L51" i="13"/>
  <c r="L51" i="12"/>
  <c r="J52" i="12"/>
  <c r="O52" i="12"/>
  <c r="P52" i="12" s="1"/>
  <c r="M52" i="12"/>
  <c r="N52" i="12" s="1"/>
  <c r="K52" i="12"/>
  <c r="L52" i="12" s="1"/>
  <c r="I71" i="12"/>
  <c r="J71" i="12" s="1"/>
  <c r="K43" i="14"/>
  <c r="I71" i="14"/>
  <c r="J71" i="14" s="1"/>
  <c r="I44" i="13"/>
  <c r="J44" i="13" s="1"/>
  <c r="N51" i="13"/>
  <c r="N51" i="12"/>
  <c r="N51" i="14"/>
  <c r="M65" i="14"/>
  <c r="N65" i="14" s="1"/>
  <c r="I44" i="14"/>
  <c r="J44" i="14" s="1"/>
  <c r="K44" i="14"/>
  <c r="L44" i="14" s="1"/>
  <c r="G44" i="14"/>
  <c r="H44" i="14" s="1"/>
  <c r="K71" i="14"/>
  <c r="L71" i="14" s="1"/>
  <c r="J69" i="12"/>
  <c r="K65" i="14"/>
  <c r="L65" i="14" s="1"/>
  <c r="L51" i="14"/>
  <c r="G71" i="14"/>
  <c r="H71" i="14" s="1"/>
  <c r="G45" i="12"/>
  <c r="H45" i="12" s="1"/>
  <c r="K71" i="12"/>
  <c r="L71" i="12" s="1"/>
  <c r="I43" i="14"/>
  <c r="I45" i="12"/>
  <c r="J45" i="12" s="1"/>
  <c r="J57" i="13"/>
  <c r="M57" i="13"/>
  <c r="N57" i="13" s="1"/>
  <c r="K57" i="13"/>
  <c r="L57" i="13" s="1"/>
  <c r="O57" i="13"/>
  <c r="P57" i="13" s="1"/>
  <c r="G74" i="13"/>
  <c r="H74" i="13" s="1"/>
  <c r="H69" i="13"/>
  <c r="J56" i="8"/>
  <c r="J59" i="7"/>
  <c r="J54" i="7"/>
  <c r="I43" i="9"/>
  <c r="J43" i="9" s="1"/>
  <c r="M64" i="9"/>
  <c r="N64" i="9" s="1"/>
  <c r="G43" i="9"/>
  <c r="O64" i="9"/>
  <c r="P64" i="9" s="1"/>
  <c r="G71" i="9"/>
  <c r="H71" i="9" s="1"/>
  <c r="I71" i="9"/>
  <c r="J71" i="9" s="1"/>
  <c r="K43" i="9"/>
  <c r="L43" i="9" s="1"/>
  <c r="O61" i="9"/>
  <c r="P61" i="9" s="1"/>
  <c r="M61" i="9"/>
  <c r="N61" i="9" s="1"/>
  <c r="K61" i="9"/>
  <c r="L61" i="9" s="1"/>
  <c r="M56" i="9"/>
  <c r="N56" i="9" s="1"/>
  <c r="K62" i="9"/>
  <c r="L62" i="9" s="1"/>
  <c r="O62" i="9"/>
  <c r="P62" i="9" s="1"/>
  <c r="M62" i="9"/>
  <c r="N62" i="9" s="1"/>
  <c r="O53" i="9"/>
  <c r="P53" i="9" s="1"/>
  <c r="M53" i="9"/>
  <c r="N53" i="9" s="1"/>
  <c r="K53" i="9"/>
  <c r="L53" i="9" s="1"/>
  <c r="I44" i="9"/>
  <c r="J44" i="9" s="1"/>
  <c r="O54" i="9"/>
  <c r="P54" i="9" s="1"/>
  <c r="M54" i="9"/>
  <c r="N54" i="9" s="1"/>
  <c r="K54" i="9"/>
  <c r="L54" i="9" s="1"/>
  <c r="M55" i="9"/>
  <c r="N55" i="9" s="1"/>
  <c r="K56" i="9"/>
  <c r="L56" i="9" s="1"/>
  <c r="K58" i="9"/>
  <c r="L58" i="9" s="1"/>
  <c r="O56" i="9"/>
  <c r="P56" i="9" s="1"/>
  <c r="K59" i="9"/>
  <c r="L59" i="9" s="1"/>
  <c r="M59" i="9"/>
  <c r="N59" i="9" s="1"/>
  <c r="O59" i="9"/>
  <c r="P59" i="9" s="1"/>
  <c r="O57" i="9"/>
  <c r="P57" i="9" s="1"/>
  <c r="M57" i="9"/>
  <c r="N57" i="9" s="1"/>
  <c r="K57" i="9"/>
  <c r="L57" i="9" s="1"/>
  <c r="O55" i="9"/>
  <c r="P55" i="9" s="1"/>
  <c r="G44" i="9"/>
  <c r="H44" i="9" s="1"/>
  <c r="K63" i="9"/>
  <c r="L63" i="9" s="1"/>
  <c r="O63" i="9"/>
  <c r="P63" i="9" s="1"/>
  <c r="M63" i="9"/>
  <c r="N63" i="9" s="1"/>
  <c r="M58" i="9"/>
  <c r="N58" i="9" s="1"/>
  <c r="J69" i="9"/>
  <c r="J61" i="9"/>
  <c r="L69" i="9"/>
  <c r="K51" i="9"/>
  <c r="O51" i="9"/>
  <c r="M51" i="9"/>
  <c r="M60" i="9"/>
  <c r="N60" i="9" s="1"/>
  <c r="K60" i="9"/>
  <c r="L60" i="9" s="1"/>
  <c r="O60" i="9"/>
  <c r="P60" i="9" s="1"/>
  <c r="K55" i="9"/>
  <c r="L55" i="9" s="1"/>
  <c r="K44" i="9"/>
  <c r="L44" i="9" s="1"/>
  <c r="K71" i="9"/>
  <c r="L71" i="9" s="1"/>
  <c r="O58" i="9"/>
  <c r="P58" i="9" s="1"/>
  <c r="F65" i="10"/>
  <c r="J52" i="10"/>
  <c r="F65" i="13"/>
  <c r="J63" i="13"/>
  <c r="F65" i="11"/>
  <c r="J57" i="11"/>
  <c r="J54" i="9"/>
  <c r="F65" i="8"/>
  <c r="J58" i="8"/>
  <c r="E46" i="9"/>
  <c r="F46" i="9" s="1"/>
  <c r="J61" i="7"/>
  <c r="M58" i="3"/>
  <c r="N58" i="3" s="1"/>
  <c r="F74" i="7"/>
  <c r="F65" i="12"/>
  <c r="F65" i="9"/>
  <c r="J62" i="9"/>
  <c r="F44" i="10"/>
  <c r="J61" i="8"/>
  <c r="J59" i="8"/>
  <c r="J57" i="7"/>
  <c r="J56" i="7"/>
  <c r="F44" i="8"/>
  <c r="I52" i="8"/>
  <c r="J52" i="8" s="1"/>
  <c r="J52" i="7"/>
  <c r="G42" i="3"/>
  <c r="H42" i="3" s="1"/>
  <c r="F65" i="7"/>
  <c r="H65" i="10"/>
  <c r="M53" i="3"/>
  <c r="N53" i="3" s="1"/>
  <c r="J55" i="8"/>
  <c r="H65" i="8"/>
  <c r="M51" i="3"/>
  <c r="N51" i="3" s="1"/>
  <c r="F44" i="14"/>
  <c r="M59" i="3"/>
  <c r="N59" i="3" s="1"/>
  <c r="F44" i="13"/>
  <c r="J64" i="9"/>
  <c r="H65" i="12"/>
  <c r="E70" i="3"/>
  <c r="F70" i="3" s="1"/>
  <c r="J53" i="3"/>
  <c r="J64" i="7"/>
  <c r="I55" i="7"/>
  <c r="J55" i="7" s="1"/>
  <c r="F43" i="7"/>
  <c r="J63" i="7"/>
  <c r="H65" i="7"/>
  <c r="J51" i="9"/>
  <c r="F44" i="12"/>
  <c r="G41" i="3"/>
  <c r="H41" i="3" s="1"/>
  <c r="M50" i="3"/>
  <c r="N50" i="3" s="1"/>
  <c r="G67" i="3"/>
  <c r="H67" i="3" s="1"/>
  <c r="E74" i="9"/>
  <c r="F74" i="9" s="1"/>
  <c r="I65" i="14"/>
  <c r="J65" i="14" s="1"/>
  <c r="F71" i="13"/>
  <c r="F45" i="12"/>
  <c r="E46" i="8"/>
  <c r="F46" i="8" s="1"/>
  <c r="F43" i="8"/>
  <c r="F71" i="7"/>
  <c r="F44" i="7"/>
  <c r="I65" i="11"/>
  <c r="J58" i="7"/>
  <c r="F43" i="13"/>
  <c r="E46" i="13"/>
  <c r="F46" i="13" s="1"/>
  <c r="I65" i="13"/>
  <c r="E46" i="12"/>
  <c r="F46" i="12" s="1"/>
  <c r="F43" i="12"/>
  <c r="E74" i="13"/>
  <c r="F74" i="13" s="1"/>
  <c r="E46" i="11"/>
  <c r="F46" i="11" s="1"/>
  <c r="F43" i="11"/>
  <c r="I65" i="10"/>
  <c r="F71" i="11"/>
  <c r="H65" i="9"/>
  <c r="J51" i="7"/>
  <c r="H69" i="9"/>
  <c r="F45" i="14"/>
  <c r="F43" i="14"/>
  <c r="E46" i="14"/>
  <c r="F46" i="14" s="1"/>
  <c r="F45" i="11"/>
  <c r="E46" i="7"/>
  <c r="F46" i="7" s="1"/>
  <c r="I52" i="9"/>
  <c r="M52" i="9" s="1"/>
  <c r="N52" i="9" s="1"/>
  <c r="F71" i="10"/>
  <c r="F43" i="10"/>
  <c r="E46" i="10"/>
  <c r="F46" i="10" s="1"/>
  <c r="J53" i="8"/>
  <c r="J60" i="7"/>
  <c r="F71" i="14"/>
  <c r="H65" i="11"/>
  <c r="J62" i="8"/>
  <c r="J57" i="8"/>
  <c r="H65" i="14"/>
  <c r="E74" i="12"/>
  <c r="F74" i="12" s="1"/>
  <c r="F71" i="12"/>
  <c r="J51" i="8"/>
  <c r="F71" i="8"/>
  <c r="F44" i="11"/>
  <c r="J59" i="6"/>
  <c r="J53" i="6"/>
  <c r="J51" i="3"/>
  <c r="J56" i="3"/>
  <c r="J57" i="3"/>
  <c r="J55" i="3"/>
  <c r="J52" i="3"/>
  <c r="G43" i="3"/>
  <c r="H43" i="3" s="1"/>
  <c r="J59" i="3"/>
  <c r="M55" i="3"/>
  <c r="N55" i="3" s="1"/>
  <c r="M57" i="3"/>
  <c r="N57" i="3" s="1"/>
  <c r="M54" i="3"/>
  <c r="N54" i="3" s="1"/>
  <c r="M52" i="3"/>
  <c r="N52" i="3" s="1"/>
  <c r="K61" i="3"/>
  <c r="F61" i="3"/>
  <c r="M49" i="3"/>
  <c r="M60" i="3"/>
  <c r="N60" i="3" s="1"/>
  <c r="J49" i="3"/>
  <c r="I61" i="3"/>
  <c r="J50" i="3"/>
  <c r="L61" i="3"/>
  <c r="M56" i="3"/>
  <c r="N56" i="3" s="1"/>
  <c r="J58" i="3"/>
  <c r="E44" i="3"/>
  <c r="F44" i="3" s="1"/>
  <c r="I74" i="10" l="1"/>
  <c r="J74" i="10" s="1"/>
  <c r="I74" i="9"/>
  <c r="J74" i="9" s="1"/>
  <c r="I74" i="11"/>
  <c r="J74" i="11" s="1"/>
  <c r="G46" i="8"/>
  <c r="H46" i="8" s="1"/>
  <c r="K74" i="14"/>
  <c r="L74" i="14" s="1"/>
  <c r="K74" i="7"/>
  <c r="L74" i="7" s="1"/>
  <c r="G46" i="12"/>
  <c r="H46" i="12" s="1"/>
  <c r="G74" i="14"/>
  <c r="H74" i="14" s="1"/>
  <c r="K46" i="10"/>
  <c r="L46" i="10" s="1"/>
  <c r="I74" i="7"/>
  <c r="J74" i="7" s="1"/>
  <c r="K74" i="12"/>
  <c r="L74" i="12" s="1"/>
  <c r="M55" i="7"/>
  <c r="N55" i="7" s="1"/>
  <c r="G74" i="7"/>
  <c r="H74" i="7" s="1"/>
  <c r="P51" i="8"/>
  <c r="I74" i="8"/>
  <c r="J74" i="8" s="1"/>
  <c r="J71" i="8"/>
  <c r="K46" i="7"/>
  <c r="L46" i="7" s="1"/>
  <c r="L43" i="7"/>
  <c r="K65" i="11"/>
  <c r="L65" i="11" s="1"/>
  <c r="L51" i="11"/>
  <c r="K46" i="11"/>
  <c r="L46" i="11" s="1"/>
  <c r="L43" i="11"/>
  <c r="L51" i="7"/>
  <c r="O65" i="11"/>
  <c r="P65" i="11" s="1"/>
  <c r="P51" i="11"/>
  <c r="N53" i="7"/>
  <c r="O52" i="8"/>
  <c r="P52" i="8" s="1"/>
  <c r="G46" i="11"/>
  <c r="H46" i="11" s="1"/>
  <c r="I74" i="12"/>
  <c r="J74" i="12" s="1"/>
  <c r="M65" i="12"/>
  <c r="N65" i="12" s="1"/>
  <c r="M65" i="11"/>
  <c r="N65" i="11" s="1"/>
  <c r="N51" i="11"/>
  <c r="K46" i="8"/>
  <c r="L46" i="8" s="1"/>
  <c r="L43" i="8"/>
  <c r="P54" i="7"/>
  <c r="M52" i="8"/>
  <c r="G74" i="11"/>
  <c r="H74" i="11" s="1"/>
  <c r="G46" i="14"/>
  <c r="H46" i="14" s="1"/>
  <c r="I46" i="8"/>
  <c r="J46" i="8" s="1"/>
  <c r="J43" i="8"/>
  <c r="K74" i="11"/>
  <c r="L74" i="11" s="1"/>
  <c r="K52" i="8"/>
  <c r="J65" i="10"/>
  <c r="I74" i="14"/>
  <c r="J74" i="14" s="1"/>
  <c r="I46" i="12"/>
  <c r="J46" i="12" s="1"/>
  <c r="K55" i="7"/>
  <c r="L55" i="7" s="1"/>
  <c r="I46" i="11"/>
  <c r="J46" i="11" s="1"/>
  <c r="J43" i="11"/>
  <c r="G74" i="10"/>
  <c r="H74" i="10" s="1"/>
  <c r="O55" i="7"/>
  <c r="P55" i="7" s="1"/>
  <c r="K74" i="8"/>
  <c r="L74" i="8" s="1"/>
  <c r="G46" i="7"/>
  <c r="H46" i="7" s="1"/>
  <c r="H43" i="7"/>
  <c r="K74" i="10"/>
  <c r="L74" i="10" s="1"/>
  <c r="I46" i="10"/>
  <c r="J46" i="10" s="1"/>
  <c r="O65" i="10"/>
  <c r="P65" i="10" s="1"/>
  <c r="P57" i="10"/>
  <c r="M65" i="10"/>
  <c r="N65" i="10" s="1"/>
  <c r="N57" i="10"/>
  <c r="K65" i="10"/>
  <c r="L65" i="10" s="1"/>
  <c r="L57" i="10"/>
  <c r="I46" i="9"/>
  <c r="J46" i="9" s="1"/>
  <c r="L43" i="14"/>
  <c r="K46" i="14"/>
  <c r="L46" i="14" s="1"/>
  <c r="M65" i="13"/>
  <c r="N65" i="13" s="1"/>
  <c r="O65" i="12"/>
  <c r="P65" i="12" s="1"/>
  <c r="J43" i="13"/>
  <c r="I46" i="13"/>
  <c r="J46" i="13" s="1"/>
  <c r="K74" i="13"/>
  <c r="L74" i="13" s="1"/>
  <c r="K65" i="13"/>
  <c r="L65" i="13" s="1"/>
  <c r="L43" i="13"/>
  <c r="K46" i="13"/>
  <c r="L46" i="13" s="1"/>
  <c r="J43" i="14"/>
  <c r="I46" i="14"/>
  <c r="J46" i="14" s="1"/>
  <c r="J65" i="13"/>
  <c r="K65" i="12"/>
  <c r="L65" i="12" s="1"/>
  <c r="O65" i="13"/>
  <c r="P65" i="13" s="1"/>
  <c r="I74" i="13"/>
  <c r="J74" i="13" s="1"/>
  <c r="I65" i="8"/>
  <c r="J65" i="8" s="1"/>
  <c r="J65" i="11"/>
  <c r="O52" i="9"/>
  <c r="P52" i="9" s="1"/>
  <c r="K52" i="9"/>
  <c r="L52" i="9" s="1"/>
  <c r="M65" i="9"/>
  <c r="N65" i="9" s="1"/>
  <c r="N51" i="9"/>
  <c r="P51" i="9"/>
  <c r="L51" i="9"/>
  <c r="K46" i="9"/>
  <c r="L46" i="9" s="1"/>
  <c r="K74" i="9"/>
  <c r="L74" i="9" s="1"/>
  <c r="G74" i="9"/>
  <c r="H74" i="9" s="1"/>
  <c r="I65" i="12"/>
  <c r="J65" i="12" s="1"/>
  <c r="G70" i="3"/>
  <c r="H70" i="3" s="1"/>
  <c r="I65" i="7"/>
  <c r="J65" i="7" s="1"/>
  <c r="G44" i="3"/>
  <c r="H44" i="3" s="1"/>
  <c r="J52" i="9"/>
  <c r="I65" i="9"/>
  <c r="J65" i="9" s="1"/>
  <c r="G46" i="9"/>
  <c r="H46" i="9" s="1"/>
  <c r="H43" i="9"/>
  <c r="J61" i="3"/>
  <c r="N49" i="3"/>
  <c r="M61" i="3"/>
  <c r="N61" i="3" s="1"/>
  <c r="M65" i="7" l="1"/>
  <c r="N65" i="7" s="1"/>
  <c r="O65" i="9"/>
  <c r="P65" i="9" s="1"/>
  <c r="M65" i="8"/>
  <c r="N65" i="8" s="1"/>
  <c r="N52" i="8"/>
  <c r="K65" i="7"/>
  <c r="L65" i="7" s="1"/>
  <c r="L52" i="8"/>
  <c r="K65" i="8"/>
  <c r="L65" i="8" s="1"/>
  <c r="O65" i="7"/>
  <c r="P65" i="7" s="1"/>
  <c r="O65" i="8"/>
  <c r="P65" i="8" s="1"/>
  <c r="K65" i="9"/>
  <c r="L65" i="9" s="1"/>
  <c r="E69" i="4"/>
  <c r="F69" i="4" s="1"/>
  <c r="E68" i="4"/>
  <c r="F68" i="4" s="1"/>
  <c r="E66" i="4"/>
  <c r="F66" i="4" s="1"/>
  <c r="E65" i="4"/>
  <c r="G65" i="4" s="1"/>
  <c r="F60" i="4"/>
  <c r="F59" i="4"/>
  <c r="F58" i="4"/>
  <c r="F57" i="4"/>
  <c r="F56" i="4"/>
  <c r="F55" i="4"/>
  <c r="F54" i="4"/>
  <c r="F53" i="4"/>
  <c r="F52" i="4"/>
  <c r="F51" i="4"/>
  <c r="F50" i="4"/>
  <c r="E61" i="4"/>
  <c r="D61" i="4"/>
  <c r="D44" i="4"/>
  <c r="P20" i="4"/>
  <c r="P21" i="4" s="1"/>
  <c r="Q19" i="4"/>
  <c r="H60" i="4" s="1"/>
  <c r="L60" i="4" s="1"/>
  <c r="P19" i="4"/>
  <c r="G60" i="4" s="1"/>
  <c r="Q18" i="4"/>
  <c r="H59" i="4" s="1"/>
  <c r="L59" i="4" s="1"/>
  <c r="P18" i="4"/>
  <c r="G59" i="4" s="1"/>
  <c r="Q17" i="4"/>
  <c r="H58" i="4" s="1"/>
  <c r="L58" i="4" s="1"/>
  <c r="P17" i="4"/>
  <c r="G58" i="4" s="1"/>
  <c r="Q16" i="4"/>
  <c r="H57" i="4" s="1"/>
  <c r="L57" i="4" s="1"/>
  <c r="P16" i="4"/>
  <c r="G57" i="4" s="1"/>
  <c r="Q15" i="4"/>
  <c r="H56" i="4" s="1"/>
  <c r="P15" i="4"/>
  <c r="G56" i="4" s="1"/>
  <c r="Q14" i="4"/>
  <c r="H55" i="4" s="1"/>
  <c r="L55" i="4" s="1"/>
  <c r="P14" i="4"/>
  <c r="G55" i="4" s="1"/>
  <c r="Q13" i="4"/>
  <c r="H54" i="4" s="1"/>
  <c r="L54" i="4" s="1"/>
  <c r="P13" i="4"/>
  <c r="G54" i="4" s="1"/>
  <c r="Q12" i="4"/>
  <c r="H53" i="4" s="1"/>
  <c r="L53" i="4" s="1"/>
  <c r="P12" i="4"/>
  <c r="G53" i="4" s="1"/>
  <c r="K53" i="4" s="1"/>
  <c r="Q11" i="4"/>
  <c r="H52" i="4" s="1"/>
  <c r="L52" i="4" s="1"/>
  <c r="P11" i="4"/>
  <c r="G52" i="4" s="1"/>
  <c r="Q10" i="4"/>
  <c r="H51" i="4" s="1"/>
  <c r="L51" i="4" s="1"/>
  <c r="P10" i="4"/>
  <c r="G51" i="4" s="1"/>
  <c r="Q9" i="4"/>
  <c r="H50" i="4" s="1"/>
  <c r="L50" i="4" s="1"/>
  <c r="P9" i="4"/>
  <c r="Q8" i="4"/>
  <c r="H49" i="4" s="1"/>
  <c r="P8" i="4"/>
  <c r="G49" i="4" s="1"/>
  <c r="Q7" i="4"/>
  <c r="P7" i="4"/>
  <c r="N7" i="6"/>
  <c r="M7" i="6"/>
  <c r="D45" i="6"/>
  <c r="E72" i="6"/>
  <c r="D72" i="6"/>
  <c r="M8" i="6"/>
  <c r="G51" i="6" s="1"/>
  <c r="N8" i="6"/>
  <c r="H51" i="6" s="1"/>
  <c r="M9" i="6"/>
  <c r="G52" i="6" s="1"/>
  <c r="N9" i="6"/>
  <c r="H52" i="6" s="1"/>
  <c r="M10" i="6"/>
  <c r="G54" i="6" s="1"/>
  <c r="N10" i="6"/>
  <c r="H54" i="6" s="1"/>
  <c r="M11" i="6"/>
  <c r="G55" i="6" s="1"/>
  <c r="N11" i="6"/>
  <c r="H55" i="6" s="1"/>
  <c r="M12" i="6"/>
  <c r="G56" i="6" s="1"/>
  <c r="N12" i="6"/>
  <c r="H56" i="6" s="1"/>
  <c r="M13" i="6"/>
  <c r="G57" i="6" s="1"/>
  <c r="N13" i="6"/>
  <c r="H57" i="6" s="1"/>
  <c r="M14" i="6"/>
  <c r="G58" i="6" s="1"/>
  <c r="N14" i="6"/>
  <c r="H58" i="6" s="1"/>
  <c r="M15" i="6"/>
  <c r="G60" i="6" s="1"/>
  <c r="N15" i="6"/>
  <c r="H60" i="6" s="1"/>
  <c r="M16" i="6"/>
  <c r="G61" i="6" s="1"/>
  <c r="N16" i="6"/>
  <c r="H61" i="6" s="1"/>
  <c r="M17" i="6"/>
  <c r="G62" i="6" s="1"/>
  <c r="N17" i="6"/>
  <c r="H62" i="6" s="1"/>
  <c r="M18" i="6"/>
  <c r="G63" i="6" s="1"/>
  <c r="N18" i="6"/>
  <c r="H63" i="6" s="1"/>
  <c r="M19" i="6"/>
  <c r="G64" i="6" s="1"/>
  <c r="N19" i="6"/>
  <c r="H64" i="6" s="1"/>
  <c r="M20" i="6"/>
  <c r="M21" i="6" s="1"/>
  <c r="E45" i="6" s="1"/>
  <c r="D51" i="6"/>
  <c r="E51" i="6"/>
  <c r="D52" i="6"/>
  <c r="E52" i="6"/>
  <c r="D54" i="6"/>
  <c r="E54" i="6"/>
  <c r="D55" i="6"/>
  <c r="E55" i="6"/>
  <c r="D56" i="6"/>
  <c r="E56" i="6"/>
  <c r="D57" i="6"/>
  <c r="E57" i="6"/>
  <c r="D58" i="6"/>
  <c r="E58" i="6"/>
  <c r="D60" i="6"/>
  <c r="E60" i="6"/>
  <c r="D61" i="6"/>
  <c r="E61" i="6"/>
  <c r="D62" i="6"/>
  <c r="E62" i="6"/>
  <c r="D63" i="6"/>
  <c r="E63" i="6"/>
  <c r="D64" i="6"/>
  <c r="E64" i="6"/>
  <c r="D69" i="6"/>
  <c r="E69" i="6"/>
  <c r="D70" i="6"/>
  <c r="E70" i="6"/>
  <c r="D71" i="6"/>
  <c r="D73" i="6"/>
  <c r="E73" i="6"/>
  <c r="Q8" i="5"/>
  <c r="H49" i="5" s="1"/>
  <c r="Q7" i="5"/>
  <c r="P7" i="5"/>
  <c r="P13" i="5"/>
  <c r="G54" i="5" s="1"/>
  <c r="P12" i="5"/>
  <c r="G53" i="5" s="1"/>
  <c r="P11" i="5"/>
  <c r="G52" i="5" s="1"/>
  <c r="P10" i="5"/>
  <c r="G51" i="5" s="1"/>
  <c r="P9" i="5"/>
  <c r="G50" i="5" s="1"/>
  <c r="P8" i="5"/>
  <c r="P15" i="5"/>
  <c r="Q15" i="5"/>
  <c r="H56" i="5" s="1"/>
  <c r="Q12" i="5"/>
  <c r="H53" i="5" s="1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P18" i="5"/>
  <c r="G59" i="5" s="1"/>
  <c r="Q17" i="5"/>
  <c r="H58" i="5" s="1"/>
  <c r="P17" i="5"/>
  <c r="G58" i="5" s="1"/>
  <c r="Q16" i="5"/>
  <c r="H57" i="5" s="1"/>
  <c r="P16" i="5"/>
  <c r="G57" i="5" s="1"/>
  <c r="G56" i="5"/>
  <c r="Q14" i="5"/>
  <c r="H55" i="5" s="1"/>
  <c r="P14" i="5"/>
  <c r="G55" i="5" s="1"/>
  <c r="Q13" i="5"/>
  <c r="H54" i="5" s="1"/>
  <c r="Q11" i="5"/>
  <c r="H52" i="5" s="1"/>
  <c r="Q10" i="5"/>
  <c r="H51" i="5" s="1"/>
  <c r="Q9" i="5"/>
  <c r="H50" i="5" s="1"/>
  <c r="G68" i="4" l="1"/>
  <c r="G70" i="6"/>
  <c r="H70" i="6" s="1"/>
  <c r="I70" i="6"/>
  <c r="J70" i="6" s="1"/>
  <c r="K70" i="6"/>
  <c r="L70" i="6" s="1"/>
  <c r="G69" i="6"/>
  <c r="I69" i="6"/>
  <c r="K69" i="6"/>
  <c r="G72" i="6"/>
  <c r="H72" i="6" s="1"/>
  <c r="I72" i="6"/>
  <c r="J72" i="6" s="1"/>
  <c r="K72" i="6"/>
  <c r="L72" i="6" s="1"/>
  <c r="G73" i="6"/>
  <c r="H73" i="6" s="1"/>
  <c r="I73" i="6"/>
  <c r="J73" i="6" s="1"/>
  <c r="K73" i="6"/>
  <c r="L73" i="6" s="1"/>
  <c r="D46" i="6"/>
  <c r="G45" i="6"/>
  <c r="H45" i="6" s="1"/>
  <c r="I45" i="6"/>
  <c r="J45" i="6" s="1"/>
  <c r="K45" i="6"/>
  <c r="L45" i="6" s="1"/>
  <c r="I54" i="4"/>
  <c r="J54" i="4" s="1"/>
  <c r="I58" i="4"/>
  <c r="J58" i="4" s="1"/>
  <c r="E67" i="5"/>
  <c r="E70" i="5" s="1"/>
  <c r="E67" i="4"/>
  <c r="F67" i="4" s="1"/>
  <c r="E43" i="5"/>
  <c r="G43" i="5" s="1"/>
  <c r="H43" i="5" s="1"/>
  <c r="E41" i="4"/>
  <c r="F41" i="4" s="1"/>
  <c r="G66" i="4"/>
  <c r="H66" i="4" s="1"/>
  <c r="G50" i="4"/>
  <c r="I50" i="4" s="1"/>
  <c r="J50" i="4" s="1"/>
  <c r="I58" i="6"/>
  <c r="E65" i="6"/>
  <c r="D65" i="6"/>
  <c r="G65" i="6"/>
  <c r="E43" i="6" s="1"/>
  <c r="H65" i="6"/>
  <c r="F58" i="6"/>
  <c r="F52" i="6"/>
  <c r="F73" i="6"/>
  <c r="K58" i="4"/>
  <c r="E41" i="5"/>
  <c r="G41" i="5" s="1"/>
  <c r="E43" i="4"/>
  <c r="I56" i="4"/>
  <c r="J56" i="4" s="1"/>
  <c r="G69" i="4"/>
  <c r="H69" i="4" s="1"/>
  <c r="F69" i="6"/>
  <c r="F70" i="6"/>
  <c r="F62" i="6"/>
  <c r="F61" i="6"/>
  <c r="F56" i="6"/>
  <c r="E71" i="6"/>
  <c r="F71" i="6" s="1"/>
  <c r="H68" i="4"/>
  <c r="I51" i="4"/>
  <c r="J51" i="4" s="1"/>
  <c r="K55" i="4"/>
  <c r="I55" i="4"/>
  <c r="J55" i="4" s="1"/>
  <c r="I59" i="4"/>
  <c r="J59" i="4" s="1"/>
  <c r="K60" i="4"/>
  <c r="I60" i="4"/>
  <c r="J60" i="4" s="1"/>
  <c r="K57" i="4"/>
  <c r="I57" i="4"/>
  <c r="J57" i="4" s="1"/>
  <c r="H65" i="4"/>
  <c r="H61" i="4"/>
  <c r="L49" i="4"/>
  <c r="K52" i="4"/>
  <c r="I52" i="4"/>
  <c r="J52" i="4" s="1"/>
  <c r="K49" i="4"/>
  <c r="I49" i="4"/>
  <c r="K56" i="4"/>
  <c r="K51" i="4"/>
  <c r="L56" i="4"/>
  <c r="K59" i="4"/>
  <c r="K54" i="4"/>
  <c r="D70" i="4"/>
  <c r="I53" i="4"/>
  <c r="J53" i="4" s="1"/>
  <c r="F65" i="4"/>
  <c r="E42" i="4"/>
  <c r="F42" i="4" s="1"/>
  <c r="F49" i="4"/>
  <c r="F55" i="6"/>
  <c r="F51" i="6"/>
  <c r="F72" i="6"/>
  <c r="F64" i="6"/>
  <c r="F57" i="6"/>
  <c r="I61" i="6"/>
  <c r="I64" i="6"/>
  <c r="I51" i="6"/>
  <c r="I63" i="6"/>
  <c r="I62" i="6"/>
  <c r="I55" i="6"/>
  <c r="I54" i="6"/>
  <c r="I60" i="6"/>
  <c r="E44" i="6"/>
  <c r="I56" i="6"/>
  <c r="F45" i="6"/>
  <c r="I57" i="6"/>
  <c r="D74" i="6"/>
  <c r="F63" i="6"/>
  <c r="F54" i="6"/>
  <c r="I52" i="6"/>
  <c r="F60" i="6"/>
  <c r="E42" i="5"/>
  <c r="D70" i="5"/>
  <c r="I57" i="5"/>
  <c r="L57" i="5"/>
  <c r="F58" i="5"/>
  <c r="K59" i="5"/>
  <c r="F69" i="5"/>
  <c r="L52" i="5"/>
  <c r="L60" i="5"/>
  <c r="K60" i="5"/>
  <c r="F51" i="5"/>
  <c r="K51" i="5"/>
  <c r="D44" i="5"/>
  <c r="F59" i="5"/>
  <c r="F66" i="5"/>
  <c r="F52" i="5"/>
  <c r="F56" i="5"/>
  <c r="F60" i="5"/>
  <c r="G68" i="5"/>
  <c r="H68" i="5" s="1"/>
  <c r="I50" i="5"/>
  <c r="I54" i="5"/>
  <c r="I58" i="5"/>
  <c r="I52" i="5"/>
  <c r="L58" i="5"/>
  <c r="K50" i="5"/>
  <c r="H61" i="5"/>
  <c r="L56" i="5"/>
  <c r="I51" i="5"/>
  <c r="K58" i="5"/>
  <c r="L50" i="5"/>
  <c r="K54" i="5"/>
  <c r="F68" i="5"/>
  <c r="L55" i="5"/>
  <c r="L54" i="5"/>
  <c r="F65" i="5"/>
  <c r="G69" i="5"/>
  <c r="H69" i="5" s="1"/>
  <c r="K53" i="5"/>
  <c r="I53" i="5"/>
  <c r="F55" i="5"/>
  <c r="K55" i="5"/>
  <c r="D61" i="5"/>
  <c r="L49" i="5"/>
  <c r="K56" i="5"/>
  <c r="F49" i="5"/>
  <c r="K52" i="5"/>
  <c r="F54" i="5"/>
  <c r="K57" i="5"/>
  <c r="F57" i="5"/>
  <c r="G65" i="5"/>
  <c r="F50" i="5"/>
  <c r="I60" i="5"/>
  <c r="I56" i="5"/>
  <c r="G49" i="5"/>
  <c r="I59" i="5"/>
  <c r="E61" i="5"/>
  <c r="L53" i="5"/>
  <c r="F53" i="5"/>
  <c r="L51" i="5"/>
  <c r="G66" i="5"/>
  <c r="H66" i="5" s="1"/>
  <c r="I55" i="5"/>
  <c r="L59" i="5"/>
  <c r="G41" i="4" l="1"/>
  <c r="K71" i="6"/>
  <c r="L71" i="6" s="1"/>
  <c r="I71" i="6"/>
  <c r="J71" i="6" s="1"/>
  <c r="M56" i="4"/>
  <c r="N56" i="4" s="1"/>
  <c r="M54" i="4"/>
  <c r="N54" i="4" s="1"/>
  <c r="F43" i="5"/>
  <c r="G71" i="6"/>
  <c r="H71" i="6" s="1"/>
  <c r="E70" i="4"/>
  <c r="F70" i="4" s="1"/>
  <c r="K63" i="6"/>
  <c r="L63" i="6" s="1"/>
  <c r="M63" i="6"/>
  <c r="N63" i="6" s="1"/>
  <c r="O63" i="6"/>
  <c r="P63" i="6" s="1"/>
  <c r="K58" i="6"/>
  <c r="L58" i="6" s="1"/>
  <c r="M58" i="6"/>
  <c r="N58" i="6" s="1"/>
  <c r="O58" i="6"/>
  <c r="P58" i="6" s="1"/>
  <c r="M56" i="6"/>
  <c r="N56" i="6" s="1"/>
  <c r="O56" i="6"/>
  <c r="P56" i="6" s="1"/>
  <c r="K56" i="6"/>
  <c r="L56" i="6" s="1"/>
  <c r="M58" i="4"/>
  <c r="N58" i="4" s="1"/>
  <c r="O61" i="6"/>
  <c r="P61" i="6" s="1"/>
  <c r="K61" i="6"/>
  <c r="L61" i="6" s="1"/>
  <c r="M61" i="6"/>
  <c r="N61" i="6" s="1"/>
  <c r="K60" i="6"/>
  <c r="L60" i="6" s="1"/>
  <c r="M60" i="6"/>
  <c r="N60" i="6" s="1"/>
  <c r="O60" i="6"/>
  <c r="P60" i="6" s="1"/>
  <c r="G44" i="6"/>
  <c r="H44" i="6" s="1"/>
  <c r="I44" i="6"/>
  <c r="J44" i="6" s="1"/>
  <c r="K44" i="6"/>
  <c r="L44" i="6" s="1"/>
  <c r="K62" i="6"/>
  <c r="L62" i="6" s="1"/>
  <c r="M62" i="6"/>
  <c r="N62" i="6" s="1"/>
  <c r="O62" i="6"/>
  <c r="P62" i="6" s="1"/>
  <c r="K74" i="6"/>
  <c r="L74" i="6" s="1"/>
  <c r="L69" i="6"/>
  <c r="J69" i="6"/>
  <c r="K54" i="6"/>
  <c r="L54" i="6" s="1"/>
  <c r="M54" i="6"/>
  <c r="N54" i="6" s="1"/>
  <c r="O54" i="6"/>
  <c r="P54" i="6" s="1"/>
  <c r="M64" i="6"/>
  <c r="N64" i="6" s="1"/>
  <c r="O64" i="6"/>
  <c r="P64" i="6" s="1"/>
  <c r="K64" i="6"/>
  <c r="L64" i="6" s="1"/>
  <c r="K52" i="6"/>
  <c r="L52" i="6" s="1"/>
  <c r="M52" i="6"/>
  <c r="N52" i="6" s="1"/>
  <c r="O52" i="6"/>
  <c r="P52" i="6" s="1"/>
  <c r="H69" i="6"/>
  <c r="K51" i="6"/>
  <c r="M51" i="6"/>
  <c r="O51" i="6"/>
  <c r="K57" i="6"/>
  <c r="L57" i="6" s="1"/>
  <c r="M57" i="6"/>
  <c r="N57" i="6" s="1"/>
  <c r="O57" i="6"/>
  <c r="P57" i="6" s="1"/>
  <c r="K55" i="6"/>
  <c r="L55" i="6" s="1"/>
  <c r="M55" i="6"/>
  <c r="N55" i="6" s="1"/>
  <c r="O55" i="6"/>
  <c r="P55" i="6" s="1"/>
  <c r="G43" i="6"/>
  <c r="I43" i="6"/>
  <c r="K43" i="6"/>
  <c r="G67" i="4"/>
  <c r="H67" i="4" s="1"/>
  <c r="M50" i="4"/>
  <c r="N50" i="4" s="1"/>
  <c r="L61" i="4"/>
  <c r="G61" i="4"/>
  <c r="M60" i="4"/>
  <c r="N60" i="4" s="1"/>
  <c r="E44" i="5"/>
  <c r="F44" i="5" s="1"/>
  <c r="G42" i="4"/>
  <c r="H42" i="4" s="1"/>
  <c r="F42" i="5"/>
  <c r="E44" i="4"/>
  <c r="F44" i="4" s="1"/>
  <c r="K50" i="4"/>
  <c r="K61" i="4" s="1"/>
  <c r="M53" i="4"/>
  <c r="N53" i="4" s="1"/>
  <c r="E46" i="6"/>
  <c r="F46" i="6" s="1"/>
  <c r="J52" i="6"/>
  <c r="I65" i="6"/>
  <c r="F65" i="6"/>
  <c r="J58" i="6"/>
  <c r="G70" i="4"/>
  <c r="H70" i="4" s="1"/>
  <c r="J56" i="6"/>
  <c r="J64" i="6"/>
  <c r="J57" i="6"/>
  <c r="F43" i="4"/>
  <c r="G43" i="4"/>
  <c r="H43" i="4" s="1"/>
  <c r="J51" i="6"/>
  <c r="M51" i="4"/>
  <c r="N51" i="4" s="1"/>
  <c r="J55" i="6"/>
  <c r="M55" i="4"/>
  <c r="N55" i="4" s="1"/>
  <c r="M59" i="4"/>
  <c r="N59" i="4" s="1"/>
  <c r="J62" i="6"/>
  <c r="H41" i="4"/>
  <c r="M52" i="4"/>
  <c r="N52" i="4" s="1"/>
  <c r="I61" i="4"/>
  <c r="J49" i="4"/>
  <c r="M49" i="4"/>
  <c r="F61" i="4"/>
  <c r="M57" i="4"/>
  <c r="N57" i="4" s="1"/>
  <c r="J61" i="6"/>
  <c r="J63" i="6"/>
  <c r="F44" i="6"/>
  <c r="F43" i="6"/>
  <c r="J54" i="6"/>
  <c r="E74" i="6"/>
  <c r="F74" i="6" s="1"/>
  <c r="J60" i="6"/>
  <c r="M57" i="5"/>
  <c r="N57" i="5" s="1"/>
  <c r="M54" i="5"/>
  <c r="N54" i="5" s="1"/>
  <c r="M58" i="5"/>
  <c r="N58" i="5" s="1"/>
  <c r="M53" i="5"/>
  <c r="N53" i="5" s="1"/>
  <c r="M52" i="5"/>
  <c r="N52" i="5" s="1"/>
  <c r="M59" i="5"/>
  <c r="N59" i="5" s="1"/>
  <c r="M50" i="5"/>
  <c r="N50" i="5" s="1"/>
  <c r="J58" i="5"/>
  <c r="J56" i="5"/>
  <c r="J59" i="5"/>
  <c r="J51" i="5"/>
  <c r="J55" i="5"/>
  <c r="J50" i="5"/>
  <c r="J52" i="5"/>
  <c r="J60" i="5"/>
  <c r="G42" i="5"/>
  <c r="H42" i="5" s="1"/>
  <c r="M51" i="5"/>
  <c r="N51" i="5" s="1"/>
  <c r="G61" i="5"/>
  <c r="K49" i="5"/>
  <c r="K61" i="5" s="1"/>
  <c r="I49" i="5"/>
  <c r="M49" i="5" s="1"/>
  <c r="N49" i="5" s="1"/>
  <c r="F67" i="5"/>
  <c r="G67" i="5"/>
  <c r="H67" i="5" s="1"/>
  <c r="F70" i="5"/>
  <c r="M60" i="5"/>
  <c r="N60" i="5" s="1"/>
  <c r="J57" i="5"/>
  <c r="J53" i="5"/>
  <c r="M55" i="5"/>
  <c r="N55" i="5" s="1"/>
  <c r="L61" i="5"/>
  <c r="F61" i="5"/>
  <c r="M56" i="5"/>
  <c r="N56" i="5" s="1"/>
  <c r="H41" i="5"/>
  <c r="J54" i="5"/>
  <c r="H65" i="5"/>
  <c r="F41" i="5"/>
  <c r="I74" i="6" l="1"/>
  <c r="J74" i="6" s="1"/>
  <c r="G74" i="6"/>
  <c r="H74" i="6" s="1"/>
  <c r="I46" i="6"/>
  <c r="J46" i="6" s="1"/>
  <c r="J43" i="6"/>
  <c r="O65" i="6"/>
  <c r="P65" i="6" s="1"/>
  <c r="P51" i="6"/>
  <c r="M65" i="6"/>
  <c r="N65" i="6" s="1"/>
  <c r="N51" i="6"/>
  <c r="G46" i="6"/>
  <c r="H46" i="6" s="1"/>
  <c r="H43" i="6"/>
  <c r="K65" i="6"/>
  <c r="L65" i="6" s="1"/>
  <c r="L51" i="6"/>
  <c r="K46" i="6"/>
  <c r="L46" i="6" s="1"/>
  <c r="L43" i="6"/>
  <c r="J65" i="6"/>
  <c r="J61" i="4"/>
  <c r="G44" i="4"/>
  <c r="H44" i="4" s="1"/>
  <c r="N49" i="4"/>
  <c r="M61" i="4"/>
  <c r="N61" i="4" s="1"/>
  <c r="G44" i="5"/>
  <c r="H44" i="5" s="1"/>
  <c r="G70" i="5"/>
  <c r="H70" i="5" s="1"/>
  <c r="M61" i="5"/>
  <c r="N61" i="5" s="1"/>
  <c r="J49" i="5"/>
  <c r="I61" i="5"/>
  <c r="J61" i="5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<sst xmlns="http://schemas.openxmlformats.org/spreadsheetml/2006/main" count="1903" uniqueCount="200">
  <si>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</si>
  <si>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</si>
  <si>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</si>
  <si>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</si>
  <si>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</si>
  <si>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</si>
  <si>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</si>
  <si>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</si>
  <si>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</si>
  <si>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</si>
  <si>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</si>
  <si>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</si>
  <si>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</si>
  <si>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</si>
  <si>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</si>
  <si>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</si>
  <si>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</si>
  <si>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</si>
  <si>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</si>
  <si>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</si>
  <si>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</si>
  <si>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</si>
  <si>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</si>
  <si>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</si>
  <si>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</si>
  <si>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</si>
  <si>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</si>
  <si>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</si>
  <si>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</si>
  <si>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</si>
  <si>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</si>
  <si>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</si>
  <si>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</si>
  <si>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</si>
  <si>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</si>
  <si>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</si>
  <si>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</si>
  <si>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</si>
  <si>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</si>
  <si>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</si>
  <si>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</si>
  <si>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</si>
  <si>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</si>
  <si>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</si>
  <si>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</si>
  <si>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</si>
  <si>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</si>
  <si>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</si>
  <si>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</si>
  <si>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</si>
  <si>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</si>
  <si>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</si>
  <si>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</si>
  <si>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</si>
  <si>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</si>
  <si>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</si>
  <si>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</si>
  <si>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</si>
  <si>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</si>
  <si>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</si>
  <si>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</si>
  <si>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</si>
  <si>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</si>
  <si>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</si>
  <si>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</si>
  <si>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</si>
  <si>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</si>
  <si>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</si>
  <si>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</si>
  <si>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</si>
  <si>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</si>
  <si>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</si>
  <si>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</si>
  <si>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</si>
  <si>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</si>
  <si>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</si>
  <si>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</si>
  <si>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</si>
  <si>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</si>
  <si>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</si>
  <si>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</si>
  <si>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</si>
  <si>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</si>
  <si>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</si>
  <si>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</si>
  <si>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</si>
  <si>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</si>
  <si>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</si>
  <si>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</si>
  <si>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</si>
  <si>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</si>
  <si>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</si>
  <si>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</si>
  <si>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</si>
  <si>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</si>
  <si>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</si>
  <si>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</si>
  <si>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</si>
  <si>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</si>
  <si>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</si>
  <si>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</si>
  <si>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</si>
  <si>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</si>
  <si>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</si>
  <si>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</si>
  <si>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</si>
  <si>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</si>
  <si>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</si>
  <si>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</si>
  <si>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</si>
  <si>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GLOBAL (Food)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</si>
  <si>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</si>
  <si>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</si>
  <si>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</si>
  <si>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</si>
  <si>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</si>
  <si>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</si>
  <si>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</si>
  <si>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</si>
  <si>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</si>
  <si>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</si>
  <si>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</si>
  <si>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</si>
  <si>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</si>
  <si>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</si>
  <si>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</si>
  <si>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</si>
  <si>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</si>
  <si>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</si>
  <si>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</si>
  <si>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</si>
  <si>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</si>
  <si>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</si>
  <si>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</si>
  <si>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</si>
  <si>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</si>
  <si>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</si>
  <si>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</si>
  <si>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</si>
  <si>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</si>
  <si>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</si>
  <si>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</si>
  <si>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</si>
  <si>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</si>
  <si>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</si>
  <si>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</si>
  <si>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</si>
  <si>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</si>
  <si>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</si>
  <si>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</si>
  <si>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</si>
  <si>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</si>
  <si>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</si>
  <si>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</si>
  <si>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</si>
  <si>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</si>
  <si>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</si>
  <si>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</si>
  <si>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</si>
  <si>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</si>
  <si>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</si>
  <si>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</si>
  <si>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</si>
  <si>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GLOBAL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</si>
  <si>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</si>
  <si>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</si>
  <si>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</si>
  <si>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</si>
  <si>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</si>
  <si>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</si>
  <si>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</si>
  <si>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</si>
  <si>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</si>
  <si>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</si>
  <si>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</si>
  <si>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</si>
  <si>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</si>
  <si>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</si>
  <si>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</si>
  <si>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</si>
  <si>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</si>
  <si>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</si>
  <si>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</si>
  <si>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</si>
  <si>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</si>
  <si>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</si>
  <si>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</si>
  <si>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</si>
  <si>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</si>
  <si>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</si>
  <si>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</si>
  <si>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</si>
  <si>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</si>
  <si>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</si>
  <si>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</si>
  <si>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</si>
  <si>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</si>
  <si>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</si>
  <si>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</si>
  <si>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DATA PENCAPAIAN — GLOBAL — 10 AGUSTUS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</si>
</sst>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85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0" fontId="24" fillId="18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0" fontId="30" fillId="15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29" fillId="15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4" fillId="18" borderId="1" xfId="0" applyFont="1" applyFill="1" applyBorder="1" applyAlignment="1">
      <alignment horizontal="centerContinuous" vertical="center"/>
    </xf>
    <xf numFmtId="0" fontId="30" fillId="15" borderId="1" xfId="0" applyFont="1" applyFill="1" applyBorder="1" applyAlignment="1">
      <alignment horizontal="center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Continuous" vertical="center" wrapText="1"/>
    </xf>
    <xf numFmtId="0" fontId="28" fillId="18" borderId="6" xfId="0" applyFont="1" applyFill="1" applyBorder="1" applyAlignment="1">
      <alignment horizontal="centerContinuous" vertical="center" wrapText="1"/>
    </xf>
    <xf numFmtId="0" fontId="28" fillId="18" borderId="3" xfId="0" applyFont="1" applyFill="1" applyBorder="1" applyAlignment="1">
      <alignment horizontal="centerContinuous" vertical="center" wrapText="1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36" fillId="15" borderId="2" xfId="0" applyFont="1" applyFill="1" applyBorder="1" applyAlignment="1">
      <alignment horizontal="center" vertical="center" wrapText="1"/>
    </xf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41" fontId="0" fillId="0" borderId="4" xfId="0" applyNumberFormat="1" applyBorder="1"/>
    <xf numFmtId="0" fontId="0" fillId="0" borderId="4" xfId="0" applyBorder="1"/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41" fontId="24" fillId="18" borderId="4" xfId="0" applyNumberFormat="1" applyFont="1" applyFill="1" applyBorder="1" applyAlignment="1">
      <alignment horizontal="centerContinuous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4" fillId="18" borderId="4" xfId="0" applyNumberFormat="1" applyFont="1" applyFill="1" applyBorder="1" applyAlignment="1">
      <alignment horizontal="centerContinuous" vertical="center" wrapText="1"/>
    </xf>
    <xf numFmtId="41" fontId="35" fillId="0" borderId="4" xfId="0" applyNumberFormat="1" applyFont="1" applyBorder="1"/>
    <xf numFmtId="0" fontId="35" fillId="0" borderId="4" xfId="0" applyFont="1" applyBorder="1"/>
    <xf numFmtId="41" fontId="49" fillId="33" borderId="4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4" fillId="18" borderId="2" xfId="0" applyFont="1" applyFill="1" applyBorder="1" applyAlignment="1">
      <alignment horizontal="center" vertical="center" wrapText="1"/>
    </xf>
    <xf numFmtId="0" fontId="24" fillId="18" borderId="6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24" fillId="18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microsoft.com/office/2017/10/relationships/person" Target="persons/person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8"/>
  <sheetViews>
    <sheetView showGridLines="0" zoomScale="171" zoomScaleNormal="110" workbookViewId="0">
      <selection activeCell="C15" sqref="C15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40" t="s">
        <v>0</v>
      </c>
      <c r="C1" s="240"/>
    </row>
    <row r="3" spans="2:3" x14ac:dyDescent="0.25">
      <c r="B3" s="241" t="s">
        <v>1</v>
      </c>
      <c r="C3" s="241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42" t="s">
        <v>14</v>
      </c>
      <c r="C11" s="242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A29"/>
  <sheetViews>
    <sheetView showGridLines="0" topLeftCell="F4" zoomScale="110" zoomScaleNormal="110" workbookViewId="0">
      <selection activeCell="R5" sqref="R5"/>
    </sheetView>
  </sheetViews>
  <sheetFormatPr defaultColWidth="8.7109375" defaultRowHeight="15" x14ac:dyDescent="0.25"/>
  <cols>
    <col min="1" max="1" width="2" customWidth="1"/>
    <col min="2" max="2" width="32" customWidth="1"/>
    <col min="3" max="3" width="14.28515625" bestFit="1" customWidth="1"/>
    <col min="4" max="4" width="10.140625" customWidth="1"/>
    <col min="5" max="5" width="9.85546875" customWidth="1"/>
    <col min="6" max="6" width="10.42578125" customWidth="1"/>
    <col min="7" max="7" width="8.85546875" customWidth="1"/>
    <col min="8" max="9" width="9.42578125" customWidth="1"/>
    <col min="10" max="10" width="8.85546875" customWidth="1"/>
    <col min="11" max="11" width="8.42578125" customWidth="1"/>
    <col min="12" max="12" width="8.85546875" customWidth="1"/>
    <col min="13" max="13" width="8.42578125" customWidth="1"/>
    <col min="14" max="14" width="9.42578125" customWidth="1"/>
    <col min="15" max="15" width="9.85546875" customWidth="1"/>
    <col min="16" max="17" width="10.85546875" customWidth="1"/>
    <col min="18" max="18" width="12.85546875" bestFit="1" customWidth="1"/>
    <col min="19" max="19" width="11.28515625" bestFit="1" customWidth="1"/>
    <col min="20" max="20" width="10" bestFit="1" customWidth="1"/>
    <col min="22" max="22" width="10.140625" bestFit="1" customWidth="1"/>
    <col min="24" max="24" width="10.140625" bestFit="1" customWidth="1"/>
    <col min="25" max="25" width="8.85546875" bestFit="1" customWidth="1"/>
    <col min="26" max="26" width="10" bestFit="1" customWidth="1"/>
  </cols>
  <sheetData>
    <row r="1" spans="2:27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</row>
    <row r="3" spans="2:27" x14ac:dyDescent="0.25">
      <c r="B3" s="241" t="s">
        <v>28</v>
      </c>
      <c r="C3" s="241"/>
      <c r="D3" s="17" t="s">
        <v>29</v>
      </c>
      <c r="E3" s="17"/>
      <c r="F3" s="17" t="s">
        <v>30</v>
      </c>
      <c r="G3" s="17"/>
      <c r="H3" s="17" t="s">
        <v>31</v>
      </c>
      <c r="I3" s="17"/>
      <c r="J3" s="17" t="s">
        <v>32</v>
      </c>
      <c r="K3" s="17"/>
      <c r="L3" s="17" t="s">
        <v>33</v>
      </c>
      <c r="M3" s="17"/>
      <c r="N3" s="17" t="s">
        <v>34</v>
      </c>
      <c r="O3" s="17"/>
      <c r="P3" s="17" t="s">
        <v>35</v>
      </c>
      <c r="Q3" s="17"/>
      <c r="R3" s="17" t="s">
        <v>36</v>
      </c>
      <c r="S3" s="17"/>
      <c r="T3" s="17" t="s">
        <v>37</v>
      </c>
      <c r="U3" s="17"/>
      <c r="V3" s="17" t="s">
        <v>38</v>
      </c>
      <c r="W3" s="17"/>
      <c r="X3" s="17" t="s">
        <v>39</v>
      </c>
      <c r="Y3" s="17"/>
      <c r="Z3" s="17" t="s">
        <v>40</v>
      </c>
      <c r="AA3" s="17"/>
    </row>
    <row r="4" spans="2:27" ht="25.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4" t="s">
        <v>56</v>
      </c>
      <c r="R4" s="4" t="s">
        <v>57</v>
      </c>
      <c r="S4" s="4" t="s">
        <v>58</v>
      </c>
      <c r="T4" s="4" t="s">
        <v>59</v>
      </c>
      <c r="U4" s="4" t="s">
        <v>60</v>
      </c>
      <c r="V4" s="4" t="s">
        <v>61</v>
      </c>
      <c r="W4" s="4" t="s">
        <v>62</v>
      </c>
      <c r="X4" s="4" t="s">
        <v>63</v>
      </c>
      <c r="Y4" s="4" t="s">
        <v>64</v>
      </c>
      <c r="Z4" s="4" t="s">
        <v>65</v>
      </c>
      <c r="AA4" s="4" t="s">
        <v>66</v>
      </c>
    </row>
    <row r="5" spans="2:27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321645623</v>
      </c>
      <c r="G5" s="7">
        <v>42789365</v>
      </c>
      <c r="H5" s="7">
        <v>317433802</v>
      </c>
      <c r="I5" s="7">
        <v>49588709</v>
      </c>
      <c r="J5" s="7">
        <v>396683478.3262167</v>
      </c>
      <c r="K5" s="7">
        <v>49588709</v>
      </c>
      <c r="L5" s="7">
        <v>416683478</v>
      </c>
      <c r="M5" s="7">
        <v>68270401.220654309</v>
      </c>
      <c r="N5" s="7">
        <v>451683478</v>
      </c>
      <c r="O5" s="7">
        <v>101830423</v>
      </c>
      <c r="P5" s="7">
        <v>491237177.12546343</v>
      </c>
      <c r="Q5" s="7">
        <v>76328678.073981449</v>
      </c>
      <c r="R5" s="7">
        <v>505234708.40059847</v>
      </c>
      <c r="S5" s="7">
        <v>60640123.605248079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</row>
    <row r="6" spans="2:27" x14ac:dyDescent="0.25">
      <c r="B6" s="131" t="s">
        <v>69</v>
      </c>
      <c r="C6" s="132" t="s">
        <v>70</v>
      </c>
      <c r="D6" s="133">
        <v>1058997546</v>
      </c>
      <c r="E6" s="133">
        <v>173866062</v>
      </c>
      <c r="F6" s="133">
        <v>1018372028</v>
      </c>
      <c r="G6" s="133">
        <v>159266402</v>
      </c>
      <c r="H6" s="133">
        <v>1009948386</v>
      </c>
      <c r="I6" s="133">
        <v>172865092</v>
      </c>
      <c r="J6" s="133">
        <v>535182371</v>
      </c>
      <c r="K6" s="133">
        <v>172865092</v>
      </c>
      <c r="L6" s="7">
        <v>555182371</v>
      </c>
      <c r="M6" s="7">
        <v>191546784</v>
      </c>
      <c r="N6" s="7">
        <v>590182371</v>
      </c>
      <c r="O6" s="7">
        <v>225106806</v>
      </c>
      <c r="P6" s="7">
        <v>657457159.85174966</v>
      </c>
      <c r="Q6" s="7">
        <v>181265056.8810223</v>
      </c>
      <c r="R6" s="7">
        <v>671454691.1268847</v>
      </c>
      <c r="S6" s="7">
        <v>165576502.41228893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</row>
    <row r="7" spans="2:27" x14ac:dyDescent="0.25">
      <c r="B7" s="137" t="s">
        <v>174</v>
      </c>
      <c r="C7" s="138" t="s">
        <v>175</v>
      </c>
      <c r="D7" s="139">
        <v>241473268</v>
      </c>
      <c r="E7" s="139">
        <v>0</v>
      </c>
      <c r="F7" s="139">
        <v>0</v>
      </c>
      <c r="G7" s="139">
        <v>0</v>
      </c>
      <c r="H7" s="139">
        <v>0</v>
      </c>
      <c r="I7" s="139">
        <v>0</v>
      </c>
      <c r="J7" s="139">
        <v>241473268</v>
      </c>
      <c r="K7" s="139">
        <v>0</v>
      </c>
      <c r="L7" s="130">
        <v>241473268</v>
      </c>
      <c r="M7" s="7"/>
      <c r="N7" s="7">
        <v>241473268</v>
      </c>
      <c r="O7" s="7"/>
      <c r="P7" s="7">
        <v>248955573.78787571</v>
      </c>
      <c r="Q7" s="7"/>
      <c r="R7" s="7">
        <v>262953105.06301075</v>
      </c>
      <c r="S7" s="7"/>
      <c r="T7" s="7"/>
      <c r="U7" s="7"/>
      <c r="V7" s="7"/>
      <c r="W7" s="7"/>
      <c r="X7" s="7"/>
      <c r="Y7" s="7"/>
      <c r="Z7" s="7"/>
      <c r="AA7" s="7"/>
    </row>
    <row r="8" spans="2:27" x14ac:dyDescent="0.25">
      <c r="B8" s="134" t="s">
        <v>71</v>
      </c>
      <c r="C8" s="135" t="s">
        <v>72</v>
      </c>
      <c r="D8" s="136">
        <v>491334077</v>
      </c>
      <c r="E8" s="136">
        <v>28700620</v>
      </c>
      <c r="F8" s="136">
        <v>471021318</v>
      </c>
      <c r="G8" s="136">
        <v>21400790</v>
      </c>
      <c r="H8" s="136">
        <v>466809497</v>
      </c>
      <c r="I8" s="136">
        <v>28200135</v>
      </c>
      <c r="J8" s="136">
        <v>590712471.92289722</v>
      </c>
      <c r="K8" s="136">
        <v>28200135</v>
      </c>
      <c r="L8" s="7">
        <v>610712472</v>
      </c>
      <c r="M8" s="7">
        <v>46881826.81733489</v>
      </c>
      <c r="N8" s="7">
        <v>645712472</v>
      </c>
      <c r="O8" s="7">
        <v>80441848</v>
      </c>
      <c r="P8" s="7">
        <v>728387277.57390273</v>
      </c>
      <c r="Q8" s="7">
        <v>51482866.524593353</v>
      </c>
      <c r="R8" s="7">
        <v>742384808.84903777</v>
      </c>
      <c r="S8" s="7">
        <v>35794312.055859983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</row>
    <row r="9" spans="2:27" x14ac:dyDescent="0.25">
      <c r="B9" s="5" t="s">
        <v>73</v>
      </c>
      <c r="C9" s="6" t="s">
        <v>183</v>
      </c>
      <c r="D9" s="7">
        <v>475292301</v>
      </c>
      <c r="E9" s="7">
        <v>74028954</v>
      </c>
      <c r="F9" s="7">
        <v>454979542</v>
      </c>
      <c r="G9" s="7">
        <v>66729124</v>
      </c>
      <c r="H9" s="7">
        <v>450767722</v>
      </c>
      <c r="I9" s="7">
        <v>73528469</v>
      </c>
      <c r="J9" s="7">
        <v>395063284.19152415</v>
      </c>
      <c r="K9" s="7">
        <v>73528469</v>
      </c>
      <c r="L9" s="7">
        <v>405063284</v>
      </c>
      <c r="M9" s="7">
        <v>82869315.191524148</v>
      </c>
      <c r="N9" s="7">
        <v>508918832</v>
      </c>
      <c r="O9" s="7">
        <v>80519404</v>
      </c>
      <c r="P9" s="7">
        <v>482312178.47736537</v>
      </c>
      <c r="Q9" s="7">
        <v>70286112.09958896</v>
      </c>
      <c r="R9" s="7">
        <v>496309709.75250041</v>
      </c>
      <c r="S9" s="7">
        <v>54597557.63085559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</row>
    <row r="10" spans="2:27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498840215</v>
      </c>
      <c r="G10" s="7">
        <v>65099204</v>
      </c>
      <c r="H10" s="7">
        <v>494628394</v>
      </c>
      <c r="I10" s="7">
        <v>71898548</v>
      </c>
      <c r="J10" s="7">
        <v>463918832.1226536</v>
      </c>
      <c r="K10" s="7">
        <v>71898548</v>
      </c>
      <c r="L10" s="7">
        <v>473918832</v>
      </c>
      <c r="M10" s="7">
        <v>81239394.122653604</v>
      </c>
      <c r="N10" s="7">
        <v>440063284</v>
      </c>
      <c r="O10" s="7">
        <v>82149325</v>
      </c>
      <c r="P10" s="7">
        <v>505192003.00308657</v>
      </c>
      <c r="Q10" s="7">
        <v>122952320.80976211</v>
      </c>
      <c r="R10" s="7">
        <v>519189534.27822161</v>
      </c>
      <c r="S10" s="7">
        <v>107263766.34102874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</row>
    <row r="11" spans="2:27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899243816</v>
      </c>
      <c r="G11" s="7">
        <v>66447539</v>
      </c>
      <c r="H11" s="7">
        <v>895031995</v>
      </c>
      <c r="I11" s="7">
        <v>73246884</v>
      </c>
      <c r="J11" s="7">
        <v>941758345.44471872</v>
      </c>
      <c r="K11" s="7">
        <v>73246884</v>
      </c>
      <c r="L11" s="7">
        <v>961758345</v>
      </c>
      <c r="M11" s="7">
        <v>91928576.339156389</v>
      </c>
      <c r="N11" s="7">
        <v>996758345</v>
      </c>
      <c r="O11" s="7">
        <v>125488598</v>
      </c>
      <c r="P11" s="7">
        <v>1061245403.0487187</v>
      </c>
      <c r="Q11" s="7">
        <v>101136997.7886584</v>
      </c>
      <c r="R11" s="7">
        <v>1075242934.3238537</v>
      </c>
      <c r="S11" s="7">
        <v>85448443.319925025</v>
      </c>
      <c r="T11" s="7">
        <v>0</v>
      </c>
      <c r="U11" s="7">
        <v>0</v>
      </c>
      <c r="V11" s="7">
        <v>0</v>
      </c>
      <c r="W11" s="7">
        <v>0</v>
      </c>
      <c r="X11" s="7">
        <v>0</v>
      </c>
      <c r="Y11" s="7">
        <v>0</v>
      </c>
      <c r="Z11" s="7">
        <v>0</v>
      </c>
      <c r="AA11" s="7">
        <v>0</v>
      </c>
    </row>
    <row r="12" spans="2:27" x14ac:dyDescent="0.25">
      <c r="B12" s="131" t="s">
        <v>78</v>
      </c>
      <c r="C12" s="132" t="s">
        <v>79</v>
      </c>
      <c r="D12" s="133">
        <v>988070138</v>
      </c>
      <c r="E12" s="133">
        <v>45600197</v>
      </c>
      <c r="F12" s="133">
        <v>967757378</v>
      </c>
      <c r="G12" s="133">
        <v>38300367</v>
      </c>
      <c r="H12" s="133">
        <v>963545558</v>
      </c>
      <c r="I12" s="133">
        <v>45099712</v>
      </c>
      <c r="J12" s="133">
        <v>485287059</v>
      </c>
      <c r="K12" s="133">
        <v>45099712</v>
      </c>
      <c r="L12" s="7">
        <v>505287059</v>
      </c>
      <c r="M12" s="7">
        <v>63781404</v>
      </c>
      <c r="N12" s="7">
        <v>540287059</v>
      </c>
      <c r="O12" s="7">
        <v>97341426</v>
      </c>
      <c r="P12" s="7">
        <v>563114170.73408878</v>
      </c>
      <c r="Q12" s="7">
        <v>104665034.75557049</v>
      </c>
      <c r="R12" s="7">
        <v>577111702.00922382</v>
      </c>
      <c r="S12" s="7">
        <v>88976480.286837116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  <c r="Y12" s="7">
        <v>0</v>
      </c>
      <c r="Z12" s="7">
        <v>0</v>
      </c>
      <c r="AA12" s="7">
        <v>0</v>
      </c>
    </row>
    <row r="13" spans="2:27" x14ac:dyDescent="0.25">
      <c r="B13" s="137" t="s">
        <v>174</v>
      </c>
      <c r="C13" s="138" t="s">
        <v>176</v>
      </c>
      <c r="D13" s="139">
        <v>404133664</v>
      </c>
      <c r="E13" s="139">
        <v>0</v>
      </c>
      <c r="F13" s="139">
        <v>0</v>
      </c>
      <c r="G13" s="139">
        <v>0</v>
      </c>
      <c r="H13" s="139">
        <v>0</v>
      </c>
      <c r="I13" s="139">
        <v>0</v>
      </c>
      <c r="J13" s="139">
        <v>404133664</v>
      </c>
      <c r="K13" s="139">
        <v>0</v>
      </c>
      <c r="L13" s="130">
        <v>404133664</v>
      </c>
      <c r="M13" s="7"/>
      <c r="N13" s="7">
        <v>404133664</v>
      </c>
      <c r="O13" s="7"/>
      <c r="P13" s="7">
        <v>429849184.30128497</v>
      </c>
      <c r="Q13" s="7"/>
      <c r="R13" s="7">
        <v>443846715.57642001</v>
      </c>
      <c r="S13" s="7"/>
      <c r="T13" s="7"/>
      <c r="U13" s="7"/>
      <c r="V13" s="7"/>
      <c r="W13" s="7"/>
      <c r="X13" s="7"/>
      <c r="Y13" s="7"/>
      <c r="Z13" s="7"/>
      <c r="AA13" s="7"/>
    </row>
    <row r="14" spans="2:27" x14ac:dyDescent="0.25">
      <c r="B14" s="134" t="s">
        <v>80</v>
      </c>
      <c r="C14" s="135" t="s">
        <v>81</v>
      </c>
      <c r="D14" s="136">
        <v>479914486</v>
      </c>
      <c r="E14" s="136">
        <v>120283183</v>
      </c>
      <c r="F14" s="136">
        <v>459601727</v>
      </c>
      <c r="G14" s="136">
        <v>112983353</v>
      </c>
      <c r="H14" s="136">
        <v>455389906</v>
      </c>
      <c r="I14" s="136">
        <v>119782698</v>
      </c>
      <c r="J14" s="136">
        <v>384017309.32355773</v>
      </c>
      <c r="K14" s="136">
        <v>119782698</v>
      </c>
      <c r="L14" s="7">
        <v>404017309</v>
      </c>
      <c r="M14" s="7">
        <v>138464390.21799541</v>
      </c>
      <c r="N14" s="7">
        <v>439017309</v>
      </c>
      <c r="O14" s="7">
        <v>172024412</v>
      </c>
      <c r="P14" s="7">
        <v>514721111.42684805</v>
      </c>
      <c r="Q14" s="7">
        <v>117663432.08216608</v>
      </c>
      <c r="R14" s="7">
        <v>528718642.70198309</v>
      </c>
      <c r="S14" s="7">
        <v>101974877.61343271</v>
      </c>
      <c r="T14" s="7">
        <v>0</v>
      </c>
      <c r="U14" s="7">
        <v>0</v>
      </c>
      <c r="V14" s="7">
        <v>0</v>
      </c>
      <c r="W14" s="7">
        <v>0</v>
      </c>
      <c r="X14" s="7">
        <v>0</v>
      </c>
      <c r="Y14" s="7">
        <v>0</v>
      </c>
      <c r="Z14" s="7">
        <v>0</v>
      </c>
      <c r="AA14" s="7">
        <v>0</v>
      </c>
    </row>
    <row r="15" spans="2:27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543752169</v>
      </c>
      <c r="G15" s="7">
        <v>33260564</v>
      </c>
      <c r="H15" s="7">
        <v>539540348</v>
      </c>
      <c r="I15" s="7">
        <v>40059909</v>
      </c>
      <c r="J15" s="7">
        <v>611629595.7161876</v>
      </c>
      <c r="K15" s="7">
        <v>40059909</v>
      </c>
      <c r="L15" s="7">
        <v>631629596</v>
      </c>
      <c r="M15" s="7">
        <v>58741600.610625267</v>
      </c>
      <c r="N15" s="7">
        <v>666629596</v>
      </c>
      <c r="O15" s="7">
        <v>92301622</v>
      </c>
      <c r="P15" s="7">
        <v>698845176.23960102</v>
      </c>
      <c r="Q15" s="7">
        <v>70945960.626210824</v>
      </c>
      <c r="R15" s="7">
        <v>712842707.51473606</v>
      </c>
      <c r="S15" s="7">
        <v>55257406.157477453</v>
      </c>
      <c r="T15" s="7">
        <v>0</v>
      </c>
      <c r="U15" s="7">
        <v>0</v>
      </c>
      <c r="V15" s="7">
        <v>0</v>
      </c>
      <c r="W15" s="7">
        <v>0</v>
      </c>
      <c r="X15" s="7">
        <v>0</v>
      </c>
      <c r="Y15" s="7">
        <v>0</v>
      </c>
      <c r="Z15" s="7">
        <v>0</v>
      </c>
      <c r="AA15" s="7">
        <v>0</v>
      </c>
    </row>
    <row r="16" spans="2:27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344811375</v>
      </c>
      <c r="G16" s="7">
        <v>38283119</v>
      </c>
      <c r="H16" s="7">
        <v>340599555</v>
      </c>
      <c r="I16" s="7">
        <v>45082463</v>
      </c>
      <c r="J16" s="7">
        <v>366543022.9053762</v>
      </c>
      <c r="K16" s="7">
        <v>45082463</v>
      </c>
      <c r="L16" s="7">
        <v>386543023</v>
      </c>
      <c r="M16" s="7">
        <v>63764154.799813807</v>
      </c>
      <c r="N16" s="7">
        <v>421543023</v>
      </c>
      <c r="O16" s="7">
        <v>97324176</v>
      </c>
      <c r="P16" s="7">
        <v>481870364.2173661</v>
      </c>
      <c r="Q16" s="7">
        <v>48351228.656065792</v>
      </c>
      <c r="R16" s="7">
        <v>495867895.49250114</v>
      </c>
      <c r="S16" s="7">
        <v>32662674.187332422</v>
      </c>
      <c r="T16" s="7">
        <v>0</v>
      </c>
      <c r="U16" s="7">
        <v>0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0</v>
      </c>
    </row>
    <row r="17" spans="2:27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513161009</v>
      </c>
      <c r="G17" s="7">
        <v>304325909</v>
      </c>
      <c r="H17" s="7">
        <v>508949188</v>
      </c>
      <c r="I17" s="7">
        <v>311125253</v>
      </c>
      <c r="J17" s="7">
        <v>563350942.09827971</v>
      </c>
      <c r="K17" s="7">
        <v>311125253</v>
      </c>
      <c r="L17" s="7">
        <v>583350942</v>
      </c>
      <c r="M17" s="7">
        <v>329806944.99271739</v>
      </c>
      <c r="N17" s="7">
        <v>618350942</v>
      </c>
      <c r="O17" s="7">
        <v>363366966</v>
      </c>
      <c r="P17" s="7">
        <v>706054928.99280047</v>
      </c>
      <c r="Q17" s="7">
        <v>326117403.61363631</v>
      </c>
      <c r="R17" s="7">
        <v>720052460.26793551</v>
      </c>
      <c r="S17" s="7">
        <v>310428849.14490294</v>
      </c>
      <c r="T17" s="7">
        <v>0</v>
      </c>
      <c r="U17" s="7">
        <v>0</v>
      </c>
      <c r="V17" s="7">
        <v>0</v>
      </c>
      <c r="W17" s="7">
        <v>0</v>
      </c>
      <c r="X17" s="7">
        <v>0</v>
      </c>
      <c r="Y17" s="7">
        <v>0</v>
      </c>
      <c r="Z17" s="7">
        <v>0</v>
      </c>
      <c r="AA17" s="7">
        <v>0</v>
      </c>
    </row>
    <row r="18" spans="2:27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291935697</v>
      </c>
      <c r="G18" s="7">
        <v>225689650</v>
      </c>
      <c r="H18" s="7">
        <v>283512056</v>
      </c>
      <c r="I18" s="7">
        <v>239288340</v>
      </c>
      <c r="J18" s="7">
        <v>239525689.01344877</v>
      </c>
      <c r="K18" s="7">
        <v>239288340</v>
      </c>
      <c r="L18" s="7">
        <v>259525689</v>
      </c>
      <c r="M18" s="7">
        <v>257970031.90788639</v>
      </c>
      <c r="N18" s="7">
        <v>294525689</v>
      </c>
      <c r="O18" s="7">
        <v>291530053</v>
      </c>
      <c r="P18" s="7">
        <v>378602097.56753719</v>
      </c>
      <c r="Q18" s="7">
        <v>211510559.17948398</v>
      </c>
      <c r="R18" s="7">
        <v>392599628.84267223</v>
      </c>
      <c r="S18" s="7">
        <v>195822004.71075061</v>
      </c>
      <c r="T18" s="7">
        <v>0</v>
      </c>
      <c r="U18" s="7">
        <v>0</v>
      </c>
      <c r="V18" s="7">
        <v>0</v>
      </c>
      <c r="W18" s="7">
        <v>0</v>
      </c>
      <c r="X18" s="7">
        <v>0</v>
      </c>
      <c r="Y18" s="7">
        <v>0</v>
      </c>
      <c r="Z18" s="7">
        <v>0</v>
      </c>
      <c r="AA18" s="7">
        <v>0</v>
      </c>
    </row>
    <row r="20" spans="2:27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27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27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0</v>
      </c>
      <c r="M22" s="7">
        <v>0</v>
      </c>
      <c r="N22" s="7">
        <v>0</v>
      </c>
      <c r="O22" s="7">
        <v>0</v>
      </c>
    </row>
    <row r="23" spans="2:27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0</v>
      </c>
      <c r="M23" s="7">
        <v>0</v>
      </c>
      <c r="N23" s="7">
        <v>0</v>
      </c>
      <c r="O23" s="7">
        <v>0</v>
      </c>
    </row>
    <row r="24" spans="2:27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0</v>
      </c>
      <c r="M24" s="7">
        <v>0</v>
      </c>
      <c r="N24" s="7">
        <v>0</v>
      </c>
      <c r="O24" s="7">
        <v>0</v>
      </c>
    </row>
    <row r="25" spans="2:27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27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27" x14ac:dyDescent="0.25">
      <c r="B29" s="243" t="s">
        <v>102</v>
      </c>
      <c r="C29" s="243"/>
      <c r="D29" s="243"/>
      <c r="E29" s="243"/>
      <c r="F29" s="243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C3" sqref="C3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233" t="s">
        <v>194</v>
      </c>
      <c r="H1" s="86"/>
      <c r="I1" s="86"/>
      <c r="J1" s="86"/>
      <c r="K1" s="86"/>
      <c r="L1" s="86"/>
      <c r="M1" s="86"/>
      <c r="N1" s="86"/>
    </row>
    <row r="2" spans="2:17" x14ac:dyDescent="0.25">
      <c r="G2" s="234" t="s">
        <v>195</v>
      </c>
      <c r="J2" s="235">
        <f ca="1">E3</f>
        <v>31</v>
      </c>
    </row>
    <row r="3" spans="2:17" ht="15.75" x14ac:dyDescent="0.25">
      <c r="B3" s="77" t="s">
        <v>103</v>
      </c>
      <c r="C3" s="78">
        <f ca="1">IF($J$5&lt;&gt;"",$J$5,MAX(0,NETWORKDAYS.INTL(MAX(TODAY(),DATE(YEAR(TODAY()),1,1)),EOMONTH(DATE(YEAR(TODAY()),1,1),0),11)-MAX(0,$J$3-$J$4)))</f>
        <v>0</v>
      </c>
      <c r="D3" s="79" t="s">
        <v>104</v>
      </c>
      <c r="E3" s="80">
        <f ca="1">DAY(EOMONTH(DATE(YEAR(TODAY()),1,1),0))</f>
        <v>31</v>
      </c>
      <c r="G3" s="234" t="s">
        <v>196</v>
      </c>
      <c r="J3" s="236">
        <v>0</v>
      </c>
    </row>
    <row r="4" spans="2:17" x14ac:dyDescent="0.25">
      <c r="G4" s="234" t="s">
        <v>197</v>
      </c>
      <c r="J4" s="236">
        <v>0</v>
      </c>
    </row>
    <row r="5" spans="2:17" x14ac:dyDescent="0.25">
      <c r="G5" s="234" t="s">
        <v>198</v>
      </c>
      <c r="J5" s="236"/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SUM(TARGETS!D5:D18)</f>
        <v>7715107456</v>
      </c>
      <c r="E41" s="46">
        <f>P8+P9+P10+P11+P12+P13+P14+P15+P16+P17+P18+P19</f>
        <v>0</v>
      </c>
      <c r="F41" s="98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SUM(TARGETS!E5:E18)</f>
        <v>1276773007</v>
      </c>
      <c r="E42" s="46">
        <f>Q8+Q9+Q10+Q11+Q12+Q13+Q14+Q15+Q16+Q17+Q18+Q19</f>
        <v>0</v>
      </c>
      <c r="F42" s="98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SUM(TARGETS!D22:D26)</f>
        <v>1667021276</v>
      </c>
      <c r="E43" s="46">
        <f>IFERROR(C30,0)+IFERROR(C31,0)+P21+E9</f>
        <v>0</v>
      </c>
      <c r="F43" s="98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5" t="s">
        <v>146</v>
      </c>
      <c r="C44" s="246"/>
      <c r="D44" s="47">
        <f>D41+D42+D43</f>
        <v>10658901739</v>
      </c>
      <c r="E44" s="47">
        <f>E41+E42+E43</f>
        <v>0</v>
      </c>
      <c r="F44" s="99">
        <f>IFERROR(E44/D44,0)</f>
        <v>0</v>
      </c>
      <c r="G44" s="65">
        <f>G41+G42+G43</f>
        <v>10658901739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7" t="s">
        <v>41</v>
      </c>
      <c r="C47" s="247" t="s">
        <v>42</v>
      </c>
      <c r="D47" s="248" t="s">
        <v>138</v>
      </c>
      <c r="E47" s="249"/>
      <c r="F47" s="250"/>
      <c r="G47" s="101" t="s">
        <v>139</v>
      </c>
      <c r="H47" s="101"/>
      <c r="I47" s="101"/>
      <c r="J47" s="247" t="s">
        <v>140</v>
      </c>
      <c r="K47" s="102" t="s">
        <v>148</v>
      </c>
      <c r="L47" s="102"/>
      <c r="M47" s="102"/>
      <c r="N47" s="244" t="s">
        <v>149</v>
      </c>
    </row>
    <row r="48" spans="2:14" ht="15.75" x14ac:dyDescent="0.25">
      <c r="B48" s="247"/>
      <c r="C48" s="247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7"/>
      <c r="K48" s="104" t="s">
        <v>143</v>
      </c>
      <c r="L48" s="104" t="s">
        <v>111</v>
      </c>
      <c r="M48" s="104" t="s">
        <v>146</v>
      </c>
      <c r="N48" s="244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7069500524</v>
      </c>
      <c r="L61" s="65">
        <f>SUM(L49:L60)</f>
        <v>1276773007</v>
      </c>
      <c r="M61" s="65">
        <f>SUM(M49:M60)</f>
        <v>8346273531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5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5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5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TARGETS!D26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1667021276</v>
      </c>
      <c r="E70" s="36">
        <f>SUM(E65:E69)</f>
        <v>0</v>
      </c>
      <c r="F70" s="111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6" t="s">
        <v>169</v>
      </c>
      <c r="C1" s="86"/>
      <c r="D1" s="86"/>
      <c r="E1" s="86"/>
      <c r="F1" s="86"/>
      <c r="G1" s="233" t="s">
        <v>194</v>
      </c>
      <c r="H1" s="86"/>
      <c r="I1" s="86"/>
      <c r="J1" s="86"/>
      <c r="K1" s="86"/>
      <c r="L1" s="86"/>
      <c r="M1" s="86"/>
      <c r="N1" s="86"/>
    </row>
    <row r="2" spans="2:17" x14ac:dyDescent="0.25">
      <c r="G2" s="234" t="s">
        <v>195</v>
      </c>
      <c r="J2" s="235">
        <f ca="1">E3</f>
        <v>28</v>
      </c>
    </row>
    <row r="3" spans="2:17" ht="15.75" x14ac:dyDescent="0.25">
      <c r="B3" s="77" t="s">
        <v>103</v>
      </c>
      <c r="C3" s="78">
        <f ca="1">IF($J$5&lt;&gt;"",$J$5,MAX(0,NETWORKDAYS.INTL(MAX(TODAY(),DATE(YEAR(TODAY()),2,1)),EOMONTH(DATE(YEAR(TODAY()),2,1),0),11)-MAX(0,$J$3-$J$4)))</f>
        <v>0</v>
      </c>
      <c r="D3" s="79" t="s">
        <v>104</v>
      </c>
      <c r="E3" s="80">
        <f ca="1">DAY(EOMONTH(DATE(YEAR(TODAY()),2,1),0))</f>
        <v>28</v>
      </c>
      <c r="G3" s="234" t="s">
        <v>196</v>
      </c>
      <c r="J3" s="236">
        <v>0</v>
      </c>
    </row>
    <row r="4" spans="2:17" x14ac:dyDescent="0.25">
      <c r="G4" s="234" t="s">
        <v>197</v>
      </c>
      <c r="J4" s="236">
        <v>0</v>
      </c>
    </row>
    <row r="5" spans="2:17" x14ac:dyDescent="0.25">
      <c r="G5" s="234" t="s">
        <v>198</v>
      </c>
      <c r="J5" s="236"/>
    </row>
    <row r="6" spans="2:17" x14ac:dyDescent="0.25">
      <c r="B6" s="81" t="s">
        <v>105</v>
      </c>
      <c r="C6" s="81"/>
      <c r="D6" s="81"/>
      <c r="E6" s="81"/>
      <c r="P6" s="10" t="s">
        <v>106</v>
      </c>
      <c r="Q6" s="10" t="s">
        <v>107</v>
      </c>
    </row>
    <row r="7" spans="2:17" x14ac:dyDescent="0.25">
      <c r="B7" s="82" t="s">
        <v>108</v>
      </c>
      <c r="C7" s="82"/>
      <c r="D7" s="82"/>
      <c r="E7" s="82"/>
      <c r="P7" s="11">
        <f>C9</f>
        <v>0</v>
      </c>
      <c r="Q7" s="11">
        <f>D9</f>
        <v>0</v>
      </c>
    </row>
    <row r="8" spans="2:17" x14ac:dyDescent="0.25">
      <c r="B8" s="83" t="s">
        <v>109</v>
      </c>
      <c r="C8" s="83" t="s">
        <v>110</v>
      </c>
      <c r="D8" s="83" t="s">
        <v>111</v>
      </c>
      <c r="E8" s="83" t="s">
        <v>112</v>
      </c>
      <c r="P8" s="11">
        <f>C22</f>
        <v>0</v>
      </c>
      <c r="Q8" s="11">
        <f>D22</f>
        <v>0</v>
      </c>
    </row>
    <row r="9" spans="2:17" x14ac:dyDescent="0.25">
      <c r="B9" s="84"/>
      <c r="C9" s="85"/>
      <c r="D9" s="85"/>
      <c r="E9" s="85"/>
      <c r="P9" s="11">
        <f>C12+C13</f>
        <v>0</v>
      </c>
      <c r="Q9" s="11">
        <f>D12+D13</f>
        <v>0</v>
      </c>
    </row>
    <row r="10" spans="2:17" x14ac:dyDescent="0.25">
      <c r="B10" s="84" t="s">
        <v>113</v>
      </c>
      <c r="C10" s="85"/>
      <c r="D10" s="85"/>
      <c r="E10" s="85"/>
      <c r="P10" s="11">
        <f>C14</f>
        <v>0</v>
      </c>
      <c r="Q10" s="11">
        <f>D14</f>
        <v>0</v>
      </c>
    </row>
    <row r="11" spans="2:17" x14ac:dyDescent="0.25">
      <c r="B11" s="84" t="s">
        <v>114</v>
      </c>
      <c r="C11" s="85"/>
      <c r="D11" s="85"/>
      <c r="E11" s="85"/>
      <c r="P11" s="11">
        <f>C17</f>
        <v>0</v>
      </c>
      <c r="Q11" s="11">
        <f>D17</f>
        <v>0</v>
      </c>
    </row>
    <row r="12" spans="2:17" x14ac:dyDescent="0.25">
      <c r="B12" s="84" t="s">
        <v>70</v>
      </c>
      <c r="C12" s="85"/>
      <c r="D12" s="85"/>
      <c r="E12" s="85"/>
      <c r="P12" s="11">
        <f>C16</f>
        <v>0</v>
      </c>
      <c r="Q12" s="11">
        <f>D16</f>
        <v>0</v>
      </c>
    </row>
    <row r="13" spans="2:17" x14ac:dyDescent="0.25">
      <c r="B13" s="84" t="s">
        <v>115</v>
      </c>
      <c r="C13" s="85"/>
      <c r="D13" s="85"/>
      <c r="E13" s="85"/>
      <c r="P13" s="11">
        <f>C19</f>
        <v>0</v>
      </c>
      <c r="Q13" s="11">
        <f>D19</f>
        <v>0</v>
      </c>
    </row>
    <row r="14" spans="2:17" x14ac:dyDescent="0.25">
      <c r="B14" s="84" t="s">
        <v>116</v>
      </c>
      <c r="C14" s="85"/>
      <c r="D14" s="85"/>
      <c r="E14" s="85"/>
      <c r="P14" s="11">
        <f>C23</f>
        <v>0</v>
      </c>
      <c r="Q14" s="11">
        <f>D23</f>
        <v>0</v>
      </c>
    </row>
    <row r="15" spans="2:17" x14ac:dyDescent="0.25">
      <c r="B15" s="84" t="s">
        <v>117</v>
      </c>
      <c r="C15" s="85"/>
      <c r="D15" s="85"/>
      <c r="E15" s="85"/>
      <c r="P15" s="11">
        <f>C11</f>
        <v>0</v>
      </c>
      <c r="Q15" s="11">
        <f>D11</f>
        <v>0</v>
      </c>
    </row>
    <row r="16" spans="2:17" x14ac:dyDescent="0.25">
      <c r="B16" s="84" t="s">
        <v>74</v>
      </c>
      <c r="C16" s="85"/>
      <c r="D16" s="85"/>
      <c r="E16" s="85"/>
      <c r="P16" s="11">
        <f>C24</f>
        <v>0</v>
      </c>
      <c r="Q16" s="11">
        <f>D24</f>
        <v>0</v>
      </c>
    </row>
    <row r="17" spans="2:17" x14ac:dyDescent="0.25">
      <c r="B17" s="84" t="s">
        <v>118</v>
      </c>
      <c r="C17" s="85"/>
      <c r="D17" s="85"/>
      <c r="E17" s="85"/>
      <c r="P17" s="11">
        <f>C10</f>
        <v>0</v>
      </c>
      <c r="Q17" s="11">
        <f>D10</f>
        <v>0</v>
      </c>
    </row>
    <row r="18" spans="2:17" x14ac:dyDescent="0.25">
      <c r="B18" s="84" t="s">
        <v>119</v>
      </c>
      <c r="C18" s="85"/>
      <c r="D18" s="85"/>
      <c r="E18" s="85"/>
      <c r="P18" s="11">
        <f>C25</f>
        <v>0</v>
      </c>
      <c r="Q18" s="11">
        <f>D25</f>
        <v>0</v>
      </c>
    </row>
    <row r="19" spans="2:17" x14ac:dyDescent="0.25">
      <c r="B19" s="84" t="s">
        <v>121</v>
      </c>
      <c r="C19" s="85"/>
      <c r="D19" s="85"/>
      <c r="E19" s="85"/>
      <c r="P19" s="11">
        <f>C20+C21</f>
        <v>0</v>
      </c>
      <c r="Q19" s="11">
        <f>D20+D21</f>
        <v>0</v>
      </c>
    </row>
    <row r="20" spans="2:17" x14ac:dyDescent="0.25">
      <c r="B20" s="84" t="s">
        <v>123</v>
      </c>
      <c r="C20" s="85"/>
      <c r="D20" s="85"/>
      <c r="E20" s="85"/>
      <c r="P20" s="14">
        <f>IFERROR(C29,0)+IFERROR(C15,0)+IFERROR(C34,0)</f>
        <v>0</v>
      </c>
      <c r="Q20" s="10" t="s">
        <v>120</v>
      </c>
    </row>
    <row r="21" spans="2:17" x14ac:dyDescent="0.25">
      <c r="B21" s="84" t="s">
        <v>124</v>
      </c>
      <c r="C21" s="85"/>
      <c r="D21" s="85"/>
      <c r="E21" s="85"/>
      <c r="P21" s="14">
        <f>IFERROR(C32,0)+IFERROR(C33,0)+P20</f>
        <v>0</v>
      </c>
      <c r="Q21" s="10" t="s">
        <v>122</v>
      </c>
    </row>
    <row r="22" spans="2:17" x14ac:dyDescent="0.25">
      <c r="B22" s="84" t="s">
        <v>125</v>
      </c>
      <c r="C22" s="85"/>
      <c r="D22" s="85"/>
      <c r="E22" s="85"/>
    </row>
    <row r="23" spans="2:17" x14ac:dyDescent="0.25">
      <c r="B23" s="84" t="s">
        <v>126</v>
      </c>
      <c r="C23" s="85"/>
      <c r="D23" s="85"/>
      <c r="E23" s="85"/>
    </row>
    <row r="24" spans="2:17" x14ac:dyDescent="0.25">
      <c r="B24" s="84" t="s">
        <v>127</v>
      </c>
      <c r="C24" s="85"/>
      <c r="D24" s="85"/>
      <c r="E24" s="85"/>
    </row>
    <row r="25" spans="2:17" x14ac:dyDescent="0.25">
      <c r="B25" s="84" t="s">
        <v>128</v>
      </c>
      <c r="C25" s="85"/>
      <c r="D25" s="85"/>
      <c r="E25" s="85"/>
    </row>
    <row r="27" spans="2:17" x14ac:dyDescent="0.25">
      <c r="B27" s="82" t="s">
        <v>129</v>
      </c>
      <c r="C27" s="82"/>
    </row>
    <row r="28" spans="2:17" x14ac:dyDescent="0.25">
      <c r="B28" s="83" t="s">
        <v>130</v>
      </c>
      <c r="C28" s="83" t="s">
        <v>131</v>
      </c>
    </row>
    <row r="29" spans="2:17" x14ac:dyDescent="0.25">
      <c r="B29" s="76"/>
      <c r="C29" s="85"/>
    </row>
    <row r="30" spans="2:17" x14ac:dyDescent="0.25">
      <c r="B30" s="84" t="s">
        <v>132</v>
      </c>
      <c r="C30" s="85"/>
    </row>
    <row r="31" spans="2:17" x14ac:dyDescent="0.25">
      <c r="B31" s="84" t="s">
        <v>133</v>
      </c>
      <c r="C31" s="85"/>
    </row>
    <row r="32" spans="2:17" x14ac:dyDescent="0.25">
      <c r="B32" s="84" t="s">
        <v>134</v>
      </c>
      <c r="C32" s="85"/>
    </row>
    <row r="33" spans="2:14" x14ac:dyDescent="0.25">
      <c r="B33" s="84" t="s">
        <v>135</v>
      </c>
      <c r="C33" s="85"/>
    </row>
    <row r="34" spans="2:14" x14ac:dyDescent="0.25">
      <c r="B34" s="84" t="s">
        <v>136</v>
      </c>
      <c r="C34" s="85"/>
    </row>
    <row r="35" spans="2:14" x14ac:dyDescent="0.25">
      <c r="B35" s="84"/>
      <c r="C35" s="85"/>
    </row>
    <row r="36" spans="2:14" x14ac:dyDescent="0.25">
      <c r="B36" s="76"/>
      <c r="C36" s="85"/>
    </row>
    <row r="39" spans="2:14" ht="20.100000000000001" customHeight="1" x14ac:dyDescent="0.25">
      <c r="B39" s="87" t="s">
        <v>157</v>
      </c>
      <c r="C39" s="88"/>
      <c r="D39" s="89"/>
      <c r="E39" s="90" t="s">
        <v>138</v>
      </c>
      <c r="F39" s="91">
        <v>1</v>
      </c>
      <c r="G39" s="92"/>
      <c r="H39" s="92"/>
    </row>
    <row r="40" spans="2:14" ht="15.75" x14ac:dyDescent="0.25">
      <c r="B40" s="93" t="s">
        <v>137</v>
      </c>
      <c r="C40" s="93" t="s">
        <v>41</v>
      </c>
      <c r="D40" s="93" t="s">
        <v>138</v>
      </c>
      <c r="E40" s="93" t="s">
        <v>139</v>
      </c>
      <c r="F40" s="94" t="s">
        <v>140</v>
      </c>
      <c r="G40" s="95" t="s">
        <v>141</v>
      </c>
      <c r="H40" s="95" t="s">
        <v>142</v>
      </c>
    </row>
    <row r="41" spans="2:14" x14ac:dyDescent="0.25">
      <c r="B41" s="96" t="s">
        <v>143</v>
      </c>
      <c r="C41" s="97" t="s">
        <v>144</v>
      </c>
      <c r="D41" s="45">
        <f>SUM(TARGETS!F5:F18)</f>
        <v>6785121897</v>
      </c>
      <c r="E41" s="46">
        <f>P8+P9+P10+P11+P12+P13+P14+P15+P16+P17+P18+P19</f>
        <v>0</v>
      </c>
      <c r="F41" s="98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6" t="s">
        <v>111</v>
      </c>
      <c r="C42" s="97" t="s">
        <v>144</v>
      </c>
      <c r="D42" s="45">
        <f>SUM(TARGETS!G5:G18)</f>
        <v>1174575386</v>
      </c>
      <c r="E42" s="46">
        <f>Q8+Q9+Q10+Q11+Q12+Q13+Q14+Q15+Q16+Q17+Q18+Q19</f>
        <v>0</v>
      </c>
      <c r="F42" s="98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6" t="s">
        <v>145</v>
      </c>
      <c r="C43" s="97" t="s">
        <v>144</v>
      </c>
      <c r="D43" s="45">
        <f>SUM(TARGETS!E22:E26)</f>
        <v>1816737288</v>
      </c>
      <c r="E43" s="46">
        <f>IFERROR(C30,0)+IFERROR(C31,0)+P21+E9</f>
        <v>0</v>
      </c>
      <c r="F43" s="98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5" t="s">
        <v>146</v>
      </c>
      <c r="C44" s="246"/>
      <c r="D44" s="47">
        <f>D41+D42+D43</f>
        <v>9776434571</v>
      </c>
      <c r="E44" s="47">
        <f>E41+E42+E43</f>
        <v>0</v>
      </c>
      <c r="F44" s="99">
        <f>IFERROR(E44/D44,0)</f>
        <v>0</v>
      </c>
      <c r="G44" s="65">
        <f>G41+G42+G43</f>
        <v>9776434571</v>
      </c>
      <c r="H44" s="65">
        <f ca="1">IFERROR(G44/C3,0)</f>
        <v>0</v>
      </c>
    </row>
    <row r="46" spans="2:14" ht="18.75" x14ac:dyDescent="0.25">
      <c r="B46" s="100" t="s">
        <v>147</v>
      </c>
      <c r="C46" s="100"/>
      <c r="D46" s="100"/>
      <c r="E46" s="100"/>
      <c r="F46" s="100"/>
      <c r="G46" s="100"/>
      <c r="H46" s="100"/>
      <c r="I46" s="100"/>
      <c r="J46" s="100"/>
      <c r="K46" s="100"/>
      <c r="L46" s="100"/>
      <c r="M46" s="100"/>
      <c r="N46" s="100"/>
    </row>
    <row r="47" spans="2:14" ht="17.100000000000001" customHeight="1" x14ac:dyDescent="0.25">
      <c r="B47" s="247" t="s">
        <v>41</v>
      </c>
      <c r="C47" s="247" t="s">
        <v>42</v>
      </c>
      <c r="D47" s="248" t="s">
        <v>138</v>
      </c>
      <c r="E47" s="249"/>
      <c r="F47" s="250"/>
      <c r="G47" s="101" t="s">
        <v>139</v>
      </c>
      <c r="H47" s="101"/>
      <c r="I47" s="101"/>
      <c r="J47" s="247" t="s">
        <v>140</v>
      </c>
      <c r="K47" s="102" t="s">
        <v>148</v>
      </c>
      <c r="L47" s="102"/>
      <c r="M47" s="102"/>
      <c r="N47" s="244" t="s">
        <v>149</v>
      </c>
    </row>
    <row r="48" spans="2:14" ht="15.75" x14ac:dyDescent="0.25">
      <c r="B48" s="247"/>
      <c r="C48" s="247"/>
      <c r="D48" s="103" t="s">
        <v>150</v>
      </c>
      <c r="E48" s="103" t="s">
        <v>151</v>
      </c>
      <c r="F48" s="103" t="s">
        <v>131</v>
      </c>
      <c r="G48" s="103" t="s">
        <v>150</v>
      </c>
      <c r="H48" s="103" t="s">
        <v>151</v>
      </c>
      <c r="I48" s="103" t="s">
        <v>131</v>
      </c>
      <c r="J48" s="247"/>
      <c r="K48" s="104" t="s">
        <v>143</v>
      </c>
      <c r="L48" s="104" t="s">
        <v>111</v>
      </c>
      <c r="M48" s="104" t="s">
        <v>146</v>
      </c>
      <c r="N48" s="244"/>
    </row>
    <row r="49" spans="2:14" x14ac:dyDescent="0.25">
      <c r="B49" s="50" t="s">
        <v>67</v>
      </c>
      <c r="C49" s="50" t="s">
        <v>68</v>
      </c>
      <c r="D49" s="51">
        <f>TARGETS!F5</f>
        <v>321645623</v>
      </c>
      <c r="E49" s="51">
        <f>TARGETS!G5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5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TARGETS!F6</f>
        <v>1018372028</v>
      </c>
      <c r="E50" s="51">
        <f>TARGETS!G6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5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TARGETS!F8</f>
        <v>471021318</v>
      </c>
      <c r="E51" s="51">
        <f>TARGETS!G8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5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TARGETS!F9</f>
        <v>454979542</v>
      </c>
      <c r="E52" s="51">
        <f>TARGETS!G9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5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TARGETS!F10</f>
        <v>498840215</v>
      </c>
      <c r="E53" s="51">
        <f>TARGETS!G10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5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TARGETS!F11</f>
        <v>899243816</v>
      </c>
      <c r="E54" s="51">
        <f>TARGETS!G11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5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TARGETS!F12</f>
        <v>967757378</v>
      </c>
      <c r="E55" s="51">
        <f>TARGETS!G12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5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TARGETS!F14</f>
        <v>459601727</v>
      </c>
      <c r="E56" s="51">
        <f>TARGETS!G14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5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TARGETS!F15</f>
        <v>543752169</v>
      </c>
      <c r="E57" s="51">
        <f>TARGETS!G15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5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TARGETS!F16</f>
        <v>344811375</v>
      </c>
      <c r="E58" s="51">
        <f>TARGETS!G16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5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TARGETS!F17</f>
        <v>513161009</v>
      </c>
      <c r="E59" s="51">
        <f>TARGETS!G17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5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TARGETS!F18</f>
        <v>291935697</v>
      </c>
      <c r="E60" s="51">
        <f>TARGETS!G18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5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6" t="s">
        <v>152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9">
        <f t="shared" si="4"/>
        <v>0</v>
      </c>
      <c r="K61" s="65">
        <f>SUM(K49:K60)</f>
        <v>6785121897</v>
      </c>
      <c r="L61" s="65">
        <f>SUM(L49:L60)</f>
        <v>1174575386</v>
      </c>
      <c r="M61" s="65">
        <f>SUM(M49:M60)</f>
        <v>7959697283</v>
      </c>
      <c r="N61" s="66">
        <f ca="1">IFERROR(M61/C3,0)</f>
        <v>0</v>
      </c>
    </row>
    <row r="63" spans="2:14" ht="18.75" x14ac:dyDescent="0.25">
      <c r="B63" s="107" t="s">
        <v>145</v>
      </c>
      <c r="C63" s="107"/>
      <c r="D63" s="107"/>
      <c r="E63" s="107"/>
      <c r="F63" s="107"/>
      <c r="G63" s="107"/>
      <c r="H63" s="107"/>
    </row>
    <row r="64" spans="2:14" x14ac:dyDescent="0.25">
      <c r="B64" s="108" t="s">
        <v>153</v>
      </c>
      <c r="C64" s="108" t="s">
        <v>42</v>
      </c>
      <c r="D64" s="108" t="s">
        <v>138</v>
      </c>
      <c r="E64" s="108" t="s">
        <v>139</v>
      </c>
      <c r="F64" s="108" t="s">
        <v>140</v>
      </c>
      <c r="G64" s="108" t="s">
        <v>141</v>
      </c>
      <c r="H64" s="108" t="s">
        <v>142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5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5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5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5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9" t="s">
        <v>101</v>
      </c>
      <c r="D69" s="51">
        <f>TARGETS!E26</f>
        <v>0</v>
      </c>
      <c r="E69" s="52">
        <f>0</f>
        <v>0</v>
      </c>
      <c r="F69" s="105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10" t="s">
        <v>152</v>
      </c>
      <c r="C70" s="58"/>
      <c r="D70" s="36">
        <f>SUM(D65:D69)</f>
        <v>1816737288</v>
      </c>
      <c r="E70" s="36">
        <f>SUM(E65:E69)</f>
        <v>0</v>
      </c>
      <c r="F70" s="111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6"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D41" sqref="D41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154</v>
      </c>
      <c r="C1" s="21"/>
      <c r="D1" s="21"/>
      <c r="E1" s="21"/>
      <c r="F1" s="21"/>
      <c r="G1" s="237" t="s">
        <v>194</v>
      </c>
      <c r="H1" s="21"/>
      <c r="I1" s="21"/>
      <c r="J1" s="21"/>
      <c r="K1" s="21"/>
      <c r="L1" s="21"/>
      <c r="M1" s="21"/>
      <c r="N1" s="21"/>
    </row>
    <row r="2" spans="2:17" x14ac:dyDescent="0.25">
      <c r="G2" s="234" t="s">
        <v>195</v>
      </c>
      <c r="J2" s="235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34" t="s">
        <v>196</v>
      </c>
      <c r="J3" s="236">
        <v>0</v>
      </c>
    </row>
    <row r="4" spans="2:17" x14ac:dyDescent="0.25">
      <c r="G4" s="234" t="s">
        <v>197</v>
      </c>
      <c r="J4" s="236">
        <v>0</v>
      </c>
    </row>
    <row r="5" spans="2:17" x14ac:dyDescent="0.25">
      <c r="G5" s="234" t="s">
        <v>198</v>
      </c>
      <c r="J5" s="236"/>
    </row>
    <row r="6" spans="2:17" x14ac:dyDescent="0.25">
      <c r="B6" s="81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82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110</v>
      </c>
      <c r="D8" s="12" t="s">
        <v>111</v>
      </c>
      <c r="E8" s="12" t="s">
        <v>112</v>
      </c>
      <c r="P8" s="11">
        <f>C22</f>
        <v>256161734.12700599</v>
      </c>
      <c r="Q8" s="11">
        <f>D22</f>
        <v>33244869.869984999</v>
      </c>
    </row>
    <row r="9" spans="2:17" x14ac:dyDescent="0.25">
      <c r="B9" s="74" t="s">
        <v>168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4" t="s">
        <v>113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4" t="s">
        <v>114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4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4" t="s">
        <v>115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4" t="s">
        <v>116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4" t="s">
        <v>117</v>
      </c>
      <c r="C15" s="15">
        <v>282161.88</v>
      </c>
      <c r="D15" s="15" t="s">
        <v>167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4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4" t="s">
        <v>118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4" t="s">
        <v>119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4" t="s">
        <v>121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4" t="s">
        <v>123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120</v>
      </c>
    </row>
    <row r="21" spans="2:17" x14ac:dyDescent="0.25">
      <c r="B21" s="74" t="s">
        <v>124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122</v>
      </c>
    </row>
    <row r="22" spans="2:17" x14ac:dyDescent="0.25">
      <c r="B22" s="74" t="s">
        <v>125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4" t="s">
        <v>126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4" t="s">
        <v>127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4" t="s">
        <v>128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82" t="s">
        <v>129</v>
      </c>
      <c r="C27" s="16"/>
    </row>
    <row r="28" spans="2:17" x14ac:dyDescent="0.25">
      <c r="B28" s="12" t="s">
        <v>130</v>
      </c>
      <c r="C28" s="12" t="s">
        <v>131</v>
      </c>
    </row>
    <row r="29" spans="2:17" x14ac:dyDescent="0.25">
      <c r="B29" s="74" t="s">
        <v>167</v>
      </c>
      <c r="C29" s="15">
        <v>3087270.2699850001</v>
      </c>
    </row>
    <row r="30" spans="2:17" x14ac:dyDescent="0.25">
      <c r="B30" s="74" t="s">
        <v>132</v>
      </c>
      <c r="C30" s="15">
        <v>174213927.33888301</v>
      </c>
    </row>
    <row r="31" spans="2:17" x14ac:dyDescent="0.25">
      <c r="B31" s="74" t="s">
        <v>133</v>
      </c>
      <c r="C31" s="15">
        <v>309778739.936719</v>
      </c>
    </row>
    <row r="32" spans="2:17" x14ac:dyDescent="0.25">
      <c r="B32" s="74" t="s">
        <v>134</v>
      </c>
      <c r="C32" s="15">
        <v>276397406.795636</v>
      </c>
    </row>
    <row r="33" spans="2:17" x14ac:dyDescent="0.25">
      <c r="B33" s="74" t="s">
        <v>135</v>
      </c>
      <c r="C33" s="15">
        <v>399290297.73101801</v>
      </c>
    </row>
    <row r="34" spans="2:17" x14ac:dyDescent="0.25">
      <c r="B34" s="74" t="s">
        <v>136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155</v>
      </c>
      <c r="C39" s="38"/>
      <c r="D39" s="39"/>
      <c r="E39" s="67" t="s">
        <v>138</v>
      </c>
      <c r="F39" s="73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8" t="s">
        <v>137</v>
      </c>
      <c r="C40" s="68" t="s">
        <v>41</v>
      </c>
      <c r="D40" s="68" t="s">
        <v>138</v>
      </c>
      <c r="E40" s="68" t="s">
        <v>139</v>
      </c>
      <c r="F40" s="69"/>
      <c r="G40" s="31" t="s">
        <v>141</v>
      </c>
      <c r="H40" s="31" t="s">
        <v>142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143</v>
      </c>
      <c r="C41" s="41" t="s">
        <v>144</v>
      </c>
      <c r="D41" s="45">
        <f>SUM(TARGETS!H5:H18)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111</v>
      </c>
      <c r="C42" s="41" t="s">
        <v>144</v>
      </c>
      <c r="D42" s="45">
        <f>SUM(TARGETS!I5:I18)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145</v>
      </c>
      <c r="C43" s="41" t="s">
        <v>144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5" t="s">
        <v>146</v>
      </c>
      <c r="C44" s="256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5">
        <f>G41+G42+G43</f>
        <v>3176975398.4292932</v>
      </c>
      <c r="H44" s="65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147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7" t="s">
        <v>41</v>
      </c>
      <c r="C47" s="257" t="s">
        <v>42</v>
      </c>
      <c r="D47" s="252" t="s">
        <v>138</v>
      </c>
      <c r="E47" s="253"/>
      <c r="F47" s="254"/>
      <c r="G47" s="70" t="s">
        <v>139</v>
      </c>
      <c r="H47" s="70"/>
      <c r="I47" s="70"/>
      <c r="J47" s="257" t="s">
        <v>140</v>
      </c>
      <c r="K47" s="35" t="s">
        <v>148</v>
      </c>
      <c r="L47" s="35"/>
      <c r="M47" s="35"/>
      <c r="N47" s="251" t="s">
        <v>149</v>
      </c>
    </row>
    <row r="48" spans="2:17" ht="15.75" x14ac:dyDescent="0.25">
      <c r="B48" s="257"/>
      <c r="C48" s="257"/>
      <c r="D48" s="71" t="s">
        <v>150</v>
      </c>
      <c r="E48" s="71" t="s">
        <v>151</v>
      </c>
      <c r="F48" s="71" t="s">
        <v>131</v>
      </c>
      <c r="G48" s="71" t="s">
        <v>150</v>
      </c>
      <c r="H48" s="71" t="s">
        <v>151</v>
      </c>
      <c r="I48" s="71" t="s">
        <v>131</v>
      </c>
      <c r="J48" s="257"/>
      <c r="K48" s="34" t="s">
        <v>143</v>
      </c>
      <c r="L48" s="34" t="s">
        <v>111</v>
      </c>
      <c r="M48" s="34" t="s">
        <v>146</v>
      </c>
      <c r="N48" s="251"/>
    </row>
    <row r="49" spans="2:14" x14ac:dyDescent="0.25">
      <c r="B49" s="50" t="s">
        <v>67</v>
      </c>
      <c r="C49" s="55" t="s">
        <v>68</v>
      </c>
      <c r="D49" s="51">
        <f>TARGETS!H5</f>
        <v>317433802</v>
      </c>
      <c r="E49" s="51">
        <f>TARGETS!I5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1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TARGETS!H6</f>
        <v>1009948386</v>
      </c>
      <c r="E50" s="54">
        <f>TARGETS!I6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1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TARGETS!H8</f>
        <v>466809497</v>
      </c>
      <c r="E51" s="51">
        <f>TARGETS!I8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1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TARGETS!H9</f>
        <v>450767722</v>
      </c>
      <c r="E52" s="54">
        <f>TARGETS!I9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1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TARGETS!H10</f>
        <v>494628394</v>
      </c>
      <c r="E53" s="51">
        <f>TARGETS!I10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1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TARGETS!H11</f>
        <v>895031995</v>
      </c>
      <c r="E54" s="54">
        <f>TARGETS!I11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1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TARGETS!H12</f>
        <v>963545558</v>
      </c>
      <c r="E55" s="51">
        <f>TARGETS!I12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1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TARGETS!H14</f>
        <v>455389906</v>
      </c>
      <c r="E56" s="54">
        <f>TARGETS!I14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1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TARGETS!H15</f>
        <v>539540348</v>
      </c>
      <c r="E57" s="51">
        <f>TARGETS!I15</f>
        <v>40059909</v>
      </c>
      <c r="F57" s="51">
        <f t="shared" si="0"/>
        <v>579600257</v>
      </c>
      <c r="G57" s="52">
        <f t="shared" ref="G57:G60" si="7">P16</f>
        <v>391231932.82522798</v>
      </c>
      <c r="H57" s="52">
        <f t="shared" ref="H57:H60" si="8">Q16</f>
        <v>47651172.919932999</v>
      </c>
      <c r="I57" s="52">
        <f t="shared" si="2"/>
        <v>438883105.745161</v>
      </c>
      <c r="J57" s="61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TARGETS!H16</f>
        <v>340599555</v>
      </c>
      <c r="E58" s="54">
        <f>TARGETS!I16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8"/>
        <v>27052168.832586002</v>
      </c>
      <c r="I58" s="52">
        <f t="shared" si="2"/>
        <v>268845214.54823703</v>
      </c>
      <c r="J58" s="61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TARGETS!H17</f>
        <v>508949188</v>
      </c>
      <c r="E59" s="51">
        <f>TARGETS!I17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8"/>
        <v>176031889.35981199</v>
      </c>
      <c r="I59" s="52">
        <f t="shared" si="2"/>
        <v>727805151.44307697</v>
      </c>
      <c r="J59" s="61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TARGETS!H18</f>
        <v>283512056</v>
      </c>
      <c r="E60" s="54">
        <f>TARGETS!I18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8"/>
        <v>146484460.668556</v>
      </c>
      <c r="I60" s="52">
        <f t="shared" si="2"/>
        <v>332166836.23742998</v>
      </c>
      <c r="J60" s="61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152</v>
      </c>
      <c r="C61" s="58"/>
      <c r="D61" s="36">
        <f t="shared" ref="D61:I61" si="9">SUM(D49:D60)</f>
        <v>6726156407</v>
      </c>
      <c r="E61" s="36">
        <f t="shared" si="9"/>
        <v>1269766212</v>
      </c>
      <c r="F61" s="36">
        <f t="shared" si="9"/>
        <v>7995922619</v>
      </c>
      <c r="G61" s="36">
        <f t="shared" si="9"/>
        <v>4565958013.3156729</v>
      </c>
      <c r="H61" s="36">
        <f t="shared" si="9"/>
        <v>850498025.18287301</v>
      </c>
      <c r="I61" s="36">
        <f t="shared" si="9"/>
        <v>5416456038.4985456</v>
      </c>
      <c r="J61" s="43">
        <f t="shared" si="3"/>
        <v>0.67740225819943567</v>
      </c>
      <c r="K61" s="65">
        <f>SUM(K49:K60)</f>
        <v>2160198393.6843271</v>
      </c>
      <c r="L61" s="65">
        <f>SUM(L49:L60)</f>
        <v>419268186.81712699</v>
      </c>
      <c r="M61" s="65">
        <f>SUM(M49:M60)</f>
        <v>2579466580.5014544</v>
      </c>
      <c r="N61" s="66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60" t="s">
        <v>145</v>
      </c>
      <c r="C63" s="60"/>
      <c r="D63" s="60"/>
      <c r="E63" s="60"/>
      <c r="F63" s="60"/>
      <c r="G63" s="60"/>
      <c r="H63" s="60"/>
      <c r="I63" s="24"/>
      <c r="J63" s="24"/>
      <c r="K63" s="24"/>
      <c r="L63" s="24"/>
      <c r="M63" s="24"/>
      <c r="N63" s="24"/>
    </row>
    <row r="64" spans="2:14" x14ac:dyDescent="0.25">
      <c r="B64" s="72" t="s">
        <v>153</v>
      </c>
      <c r="C64" s="72" t="s">
        <v>42</v>
      </c>
      <c r="D64" s="72" t="s">
        <v>138</v>
      </c>
      <c r="E64" s="72" t="s">
        <v>139</v>
      </c>
      <c r="F64" s="72" t="s">
        <v>140</v>
      </c>
      <c r="G64" s="72" t="s">
        <v>141</v>
      </c>
      <c r="H64" s="72" t="s">
        <v>142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2" t="s">
        <v>93</v>
      </c>
      <c r="D65" s="51">
        <f>TARGETS!F22</f>
        <v>323873505</v>
      </c>
      <c r="E65" s="52">
        <f>IFERROR(C30,0)</f>
        <v>174213927.33888301</v>
      </c>
      <c r="F65" s="61">
        <f t="shared" ref="F65:F70" si="10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3" t="s">
        <v>95</v>
      </c>
      <c r="D66" s="54">
        <f>TARGETS!F23</f>
        <v>455379010</v>
      </c>
      <c r="E66" s="52">
        <f>IFERROR(C31,0)</f>
        <v>309778739.936719</v>
      </c>
      <c r="F66" s="61">
        <f t="shared" si="10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2" t="s">
        <v>97</v>
      </c>
      <c r="D67" s="51">
        <f>TARGETS!F24</f>
        <v>989815282</v>
      </c>
      <c r="E67" s="52">
        <f>P21+P7</f>
        <v>687566311.79655898</v>
      </c>
      <c r="F67" s="61">
        <f t="shared" si="10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3" t="s">
        <v>99</v>
      </c>
      <c r="D68" s="54">
        <f>TARGETS!F25</f>
        <v>0</v>
      </c>
      <c r="E68" s="52">
        <f>0</f>
        <v>0</v>
      </c>
      <c r="F68" s="61">
        <f t="shared" si="10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4" t="s">
        <v>101</v>
      </c>
      <c r="D69" s="51">
        <f>TARGETS!F26</f>
        <v>0</v>
      </c>
      <c r="E69" s="52">
        <f>0</f>
        <v>0</v>
      </c>
      <c r="F69" s="61">
        <f t="shared" si="10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152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10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6"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I49" sqref="I49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6" customWidth="1"/>
    <col min="10" max="18" width="15.28515625" customWidth="1"/>
  </cols>
  <sheetData>
    <row r="1" spans="2:14" ht="19.5" x14ac:dyDescent="0.25">
      <c r="B1" s="86" t="s">
        <v>156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IF($J$5&lt;&gt;"",$J$5,MAX(0,NETWORKDAYS.INTL(MAX(TODAY(),DATE(YEAR(TODAY()),4,1)),EOMONTH(DATE(YEAR(TODAY()),4,1),0),11)-MAX(0,$J$3-$J$4)))</f>
        <v>0</v>
      </c>
      <c r="D3" s="79" t="s">
        <v>104</v>
      </c>
      <c r="E3" s="80">
        <f ca="1">DAY(EOMONTH(DATE(YEAR(TODAY()),4,1),0))</f>
        <v>30</v>
      </c>
      <c r="G3" s="239" t="s">
        <v>196</v>
      </c>
      <c r="J3" s="236">
        <v>0</v>
      </c>
    </row>
    <row r="4" spans="2:14" x14ac:dyDescent="0.25">
      <c r="G4" s="239" t="s">
        <v>197</v>
      </c>
      <c r="J4" s="236">
        <v>0</v>
      </c>
    </row>
    <row r="5" spans="2:14" x14ac:dyDescent="0.25">
      <c r="G5" s="239" t="s">
        <v>198</v>
      </c>
      <c r="J5" s="236"/>
    </row>
    <row r="6" spans="2:14" x14ac:dyDescent="0.25">
      <c r="B6" s="81" t="s">
        <v>105</v>
      </c>
      <c r="C6" s="81"/>
      <c r="D6" s="81"/>
      <c r="E6" s="81"/>
      <c r="F6" s="81"/>
      <c r="G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G7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G8"/>
      <c r="J8" s="116"/>
      <c r="M8" s="11">
        <f>C24</f>
        <v>299770568.60838997</v>
      </c>
      <c r="N8" s="11">
        <f>D24</f>
        <v>45375105.343964003</v>
      </c>
    </row>
    <row r="9" spans="2:14" x14ac:dyDescent="0.25">
      <c r="B9" s="84"/>
      <c r="C9" s="85">
        <v>0</v>
      </c>
      <c r="D9" s="85">
        <v>0</v>
      </c>
      <c r="E9" s="85">
        <v>0</v>
      </c>
      <c r="F9" s="85"/>
      <c r="G9"/>
      <c r="J9" s="116"/>
      <c r="M9" s="11">
        <f>C12+C13</f>
        <v>491669786.60148901</v>
      </c>
      <c r="N9" s="11">
        <f>D12+D13</f>
        <v>120248212.43861198</v>
      </c>
    </row>
    <row r="10" spans="2:14" x14ac:dyDescent="0.25">
      <c r="B10" s="74" t="s">
        <v>113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6"/>
      <c r="M10" s="11">
        <f>C14</f>
        <v>537997275.46389103</v>
      </c>
      <c r="N10" s="11">
        <f>D14</f>
        <v>21205741.099730998</v>
      </c>
    </row>
    <row r="11" spans="2:14" x14ac:dyDescent="0.25">
      <c r="B11" s="74" t="s">
        <v>114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6"/>
      <c r="M11" s="11">
        <f>C17</f>
        <v>355626119.92999297</v>
      </c>
      <c r="N11" s="11">
        <f>D17</f>
        <v>44657675.509999998</v>
      </c>
    </row>
    <row r="12" spans="2:14" x14ac:dyDescent="0.25">
      <c r="B12" s="74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6"/>
      <c r="M12" s="11">
        <f>C16</f>
        <v>449682614.319305</v>
      </c>
      <c r="N12" s="11">
        <f>D16</f>
        <v>60505589.095815003</v>
      </c>
    </row>
    <row r="13" spans="2:14" x14ac:dyDescent="0.25">
      <c r="B13" s="74" t="s">
        <v>115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6"/>
      <c r="M13" s="11">
        <f>C19</f>
        <v>1030915377.322188</v>
      </c>
      <c r="N13" s="11">
        <f>D19</f>
        <v>59498535.799857996</v>
      </c>
    </row>
    <row r="14" spans="2:14" x14ac:dyDescent="0.25">
      <c r="B14" s="74" t="s">
        <v>116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6"/>
      <c r="M14" s="11">
        <f>C25</f>
        <v>378754537.60554802</v>
      </c>
      <c r="N14" s="11">
        <f>D25</f>
        <v>62284984.519973002</v>
      </c>
    </row>
    <row r="15" spans="2:14" x14ac:dyDescent="0.25">
      <c r="B15" s="84" t="s">
        <v>117</v>
      </c>
      <c r="C15" s="142"/>
      <c r="D15" s="142" t="s">
        <v>167</v>
      </c>
      <c r="E15" s="142"/>
      <c r="F15" s="142"/>
      <c r="G15"/>
      <c r="J15" s="116"/>
      <c r="M15" s="11">
        <f>C11</f>
        <v>304137742.30899602</v>
      </c>
      <c r="N15" s="11">
        <f>D11</f>
        <v>119707150.766315</v>
      </c>
    </row>
    <row r="16" spans="2:14" x14ac:dyDescent="0.25">
      <c r="B16" s="74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6"/>
      <c r="M16" s="11">
        <f>C26</f>
        <v>479291727.990435</v>
      </c>
      <c r="N16" s="11">
        <f>D26</f>
        <v>61629599.543938003</v>
      </c>
    </row>
    <row r="17" spans="2:18" x14ac:dyDescent="0.25">
      <c r="B17" s="74" t="s">
        <v>118</v>
      </c>
      <c r="C17" s="15">
        <v>355626119.92999297</v>
      </c>
      <c r="D17" s="15">
        <v>44657675.509999998</v>
      </c>
      <c r="E17" s="15" t="s">
        <v>167</v>
      </c>
      <c r="F17" s="15">
        <v>400283795.43999302</v>
      </c>
      <c r="G17"/>
      <c r="J17" s="116"/>
      <c r="M17" s="11">
        <f>C10</f>
        <v>303439555.68576801</v>
      </c>
      <c r="N17" s="11">
        <f>D10</f>
        <v>28364314.698472001</v>
      </c>
    </row>
    <row r="18" spans="2:18" x14ac:dyDescent="0.25">
      <c r="B18" s="74" t="s">
        <v>119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6"/>
      <c r="M18" s="11">
        <f>C27</f>
        <v>663559823.79009497</v>
      </c>
      <c r="N18" s="11">
        <f>D27</f>
        <v>200253231.98958299</v>
      </c>
    </row>
    <row r="19" spans="2:18" x14ac:dyDescent="0.25">
      <c r="B19" s="74" t="s">
        <v>121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6"/>
      <c r="M19" s="11">
        <f>C20+C21</f>
        <v>162674997.04759601</v>
      </c>
      <c r="N19" s="11">
        <f>D20+D21</f>
        <v>152708112.726924</v>
      </c>
    </row>
    <row r="20" spans="2:18" x14ac:dyDescent="0.25">
      <c r="B20" s="74" t="s">
        <v>123</v>
      </c>
      <c r="C20" s="15">
        <v>105315057.62759601</v>
      </c>
      <c r="D20" s="15">
        <v>16467727.799813</v>
      </c>
      <c r="E20" s="15" t="s">
        <v>167</v>
      </c>
      <c r="F20" s="15">
        <v>121782785.42740899</v>
      </c>
      <c r="G20"/>
      <c r="J20" s="116"/>
      <c r="M20" s="14">
        <f>IFERROR(C31,0)+IFERROR(C15,0)+IFERROR(C36,0)</f>
        <v>311290805.19997603</v>
      </c>
      <c r="N20" s="10" t="s">
        <v>120</v>
      </c>
    </row>
    <row r="21" spans="2:18" x14ac:dyDescent="0.25">
      <c r="B21" s="74" t="s">
        <v>124</v>
      </c>
      <c r="C21" s="15">
        <v>57359939.420000002</v>
      </c>
      <c r="D21" s="15">
        <v>136240384.927111</v>
      </c>
      <c r="E21" s="15" t="s">
        <v>167</v>
      </c>
      <c r="F21" s="15">
        <v>193600324.34711099</v>
      </c>
      <c r="G21"/>
      <c r="J21" s="116"/>
      <c r="M21" s="14">
        <f>IFERROR(C34,0)+IFERROR(C35,0)+M20</f>
        <v>897130483.57328391</v>
      </c>
      <c r="N21" s="10" t="s">
        <v>122</v>
      </c>
    </row>
    <row r="22" spans="2:18" x14ac:dyDescent="0.25">
      <c r="B22" s="74" t="s">
        <v>171</v>
      </c>
      <c r="C22" s="15">
        <v>38884328.600000001</v>
      </c>
      <c r="D22" s="15" t="s">
        <v>167</v>
      </c>
      <c r="E22" s="15">
        <v>12315315.119999999</v>
      </c>
      <c r="F22" s="15">
        <v>51199643.719999999</v>
      </c>
      <c r="G22"/>
      <c r="J22" s="116"/>
      <c r="Q22" s="14"/>
      <c r="R22" s="10"/>
    </row>
    <row r="23" spans="2:18" x14ac:dyDescent="0.25">
      <c r="B23" s="74" t="s">
        <v>172</v>
      </c>
      <c r="C23" s="15">
        <v>120550492.72</v>
      </c>
      <c r="D23" s="15" t="s">
        <v>167</v>
      </c>
      <c r="E23" s="15">
        <v>17151621.32</v>
      </c>
      <c r="F23" s="15">
        <v>137702114.03999999</v>
      </c>
      <c r="G23"/>
      <c r="J23" s="116"/>
      <c r="Q23" s="14"/>
      <c r="R23" s="10"/>
    </row>
    <row r="24" spans="2:18" x14ac:dyDescent="0.25">
      <c r="B24" s="74" t="s">
        <v>125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6"/>
    </row>
    <row r="25" spans="2:18" x14ac:dyDescent="0.25">
      <c r="B25" s="74" t="s">
        <v>126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6"/>
    </row>
    <row r="26" spans="2:18" x14ac:dyDescent="0.25">
      <c r="B26" s="74" t="s">
        <v>127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6"/>
    </row>
    <row r="27" spans="2:18" x14ac:dyDescent="0.25">
      <c r="B27" s="74" t="s">
        <v>128</v>
      </c>
      <c r="C27" s="15">
        <v>663559823.79009497</v>
      </c>
      <c r="D27" s="15">
        <v>200253231.98958299</v>
      </c>
      <c r="E27" s="15" t="s">
        <v>167</v>
      </c>
      <c r="F27" s="15">
        <v>863813055.77967799</v>
      </c>
      <c r="G27"/>
      <c r="J27" s="116"/>
    </row>
    <row r="29" spans="2:18" x14ac:dyDescent="0.25">
      <c r="B29" s="82" t="s">
        <v>129</v>
      </c>
      <c r="C29" s="82"/>
    </row>
    <row r="30" spans="2:18" x14ac:dyDescent="0.25">
      <c r="B30" s="83" t="s">
        <v>130</v>
      </c>
      <c r="C30" s="83" t="s">
        <v>131</v>
      </c>
    </row>
    <row r="31" spans="2:18" x14ac:dyDescent="0.25">
      <c r="B31" s="76"/>
      <c r="C31" s="15"/>
    </row>
    <row r="32" spans="2:18" x14ac:dyDescent="0.25">
      <c r="B32" s="84" t="s">
        <v>132</v>
      </c>
      <c r="C32" s="15">
        <v>240237597.65824801</v>
      </c>
    </row>
    <row r="33" spans="2:19" x14ac:dyDescent="0.25">
      <c r="B33" s="84" t="s">
        <v>133</v>
      </c>
      <c r="C33" s="15">
        <v>449933743.924721</v>
      </c>
    </row>
    <row r="34" spans="2:19" x14ac:dyDescent="0.25">
      <c r="B34" s="84" t="s">
        <v>134</v>
      </c>
      <c r="C34" s="15">
        <v>318278585.086043</v>
      </c>
    </row>
    <row r="35" spans="2:19" x14ac:dyDescent="0.25">
      <c r="B35" s="84" t="s">
        <v>135</v>
      </c>
      <c r="C35" s="15">
        <v>267561093.287265</v>
      </c>
    </row>
    <row r="36" spans="2:19" x14ac:dyDescent="0.25">
      <c r="B36" s="84" t="s">
        <v>136</v>
      </c>
      <c r="C36" s="15">
        <v>311290805.19997603</v>
      </c>
    </row>
    <row r="37" spans="2:19" x14ac:dyDescent="0.25">
      <c r="B37" s="84"/>
      <c r="C37" s="85"/>
    </row>
    <row r="38" spans="2:19" x14ac:dyDescent="0.25">
      <c r="B38" s="76"/>
      <c r="C38" s="85"/>
    </row>
    <row r="40" spans="2:19" x14ac:dyDescent="0.25">
      <c r="S40" s="191" t="s">
        <v>187</v>
      </c>
    </row>
    <row r="41" spans="2:19" ht="27.95" customHeight="1" x14ac:dyDescent="0.25">
      <c r="B41" s="267" t="s">
        <v>180</v>
      </c>
      <c r="C41" s="268"/>
      <c r="D41" s="269"/>
      <c r="E41" s="67" t="s">
        <v>138</v>
      </c>
      <c r="F41" s="185"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SUM(TARGETS!J5:J7,TARGETS!J8:J13,TARGETS!J14:J18)</f>
        <v>6619279333.0648613</v>
      </c>
      <c r="E43" s="46">
        <f>G65</f>
        <v>5616954947.9936943</v>
      </c>
      <c r="F43" s="187">
        <f>IFERROR(E43/D43,0)</f>
        <v>0.84857499817777438</v>
      </c>
      <c r="G43" s="197">
        <f>D43*$H$41-E43</f>
        <v>340396451.76468086</v>
      </c>
      <c r="H43" s="197">
        <f ca="1">IFERROR(G43/$C$3,0)</f>
        <v>0</v>
      </c>
      <c r="I43" s="218">
        <f>D43*$J$41-E43</f>
        <v>671360418.41792393</v>
      </c>
      <c r="J43" s="218">
        <f ca="1">IFERROR(I43/$C$3,0)</f>
        <v>0</v>
      </c>
      <c r="K43" s="198">
        <f>D43*$L$41-E43</f>
        <v>1002324385.071167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SUM(TARGETS!K5:K6,TARGETS!K8:K12,TARGETS!K14:K18)</f>
        <v>1269766212</v>
      </c>
      <c r="E44" s="46">
        <f>N8+N9+N10+N11+N12+N13+N14+N15+N16+N17+N18+N19</f>
        <v>976438253.53318501</v>
      </c>
      <c r="F44" s="187">
        <f>IFERROR(E44/D44,0)</f>
        <v>0.76899057819092842</v>
      </c>
      <c r="G44" s="197">
        <f>D44*$H$41-E44</f>
        <v>166351337.26681495</v>
      </c>
      <c r="H44" s="197">
        <f ca="1">IFERROR(G44/$C$3,0)</f>
        <v>0</v>
      </c>
      <c r="I44" s="218">
        <f>D44*$J$41-E44</f>
        <v>229839647.86681485</v>
      </c>
      <c r="J44" s="218">
        <f ca="1">IFERROR(I44/$C$3,0)</f>
        <v>0</v>
      </c>
      <c r="K44" s="198">
        <f>D44*$L$41-E44</f>
        <v>293327958.46681499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SUM(TARGETS!G22:G26)</f>
        <v>1791489361.7021284</v>
      </c>
      <c r="E45" s="46">
        <f>IFERROR(C32,0)+IFERROR(C33,0)+M21+F9</f>
        <v>1587301825.1562529</v>
      </c>
      <c r="F45" s="187">
        <f>IFERROR(E45/D45,0)</f>
        <v>0.88602358411334747</v>
      </c>
      <c r="G45" s="197">
        <f>D45*$H$41-E45</f>
        <v>25038600.375662804</v>
      </c>
      <c r="H45" s="197">
        <f ca="1">IFERROR(G45/$C$3,0)</f>
        <v>0</v>
      </c>
      <c r="I45" s="218">
        <f>D45*$J$41-E45</f>
        <v>114613068.46076894</v>
      </c>
      <c r="J45" s="218">
        <f ca="1">IFERROR(I45/$C$3,0)</f>
        <v>0</v>
      </c>
      <c r="K45" s="198">
        <f>D45*$L$41-E45</f>
        <v>204187536.54587555</v>
      </c>
      <c r="L45" s="198">
        <f ca="1">IFERROR(K45/$C$3,0)</f>
        <v>0</v>
      </c>
      <c r="S45" s="184">
        <v>0.9</v>
      </c>
    </row>
    <row r="46" spans="2:19" ht="20.100000000000001" customHeight="1" x14ac:dyDescent="0.25">
      <c r="B46" s="255" t="s">
        <v>146</v>
      </c>
      <c r="C46" s="256"/>
      <c r="D46" s="47">
        <f>D43+D44+D45</f>
        <v>9680534906.7669907</v>
      </c>
      <c r="E46" s="47">
        <f>E43+E44+E45</f>
        <v>8180695026.6831322</v>
      </c>
      <c r="F46" s="188">
        <f>IFERROR(E46/D46,0)</f>
        <v>0.84506642509646601</v>
      </c>
      <c r="G46" s="194">
        <f>G43+G44+G45</f>
        <v>531786389.40715861</v>
      </c>
      <c r="H46" s="194">
        <f ca="1">IFERROR(G46/$C$3,0)</f>
        <v>0</v>
      </c>
      <c r="I46" s="199">
        <f>I43+I44+I45</f>
        <v>1015813134.7455077</v>
      </c>
      <c r="J46" s="199">
        <f ca="1">IFERROR(I46/$C$3,0)</f>
        <v>0</v>
      </c>
      <c r="K46" s="199">
        <f>K43+K44+K45</f>
        <v>1499839880.0838575</v>
      </c>
      <c r="L46" s="199">
        <f ca="1">IFERROR(K46/$C$3,0)</f>
        <v>0</v>
      </c>
      <c r="S46" s="184">
        <v>0.95</v>
      </c>
    </row>
    <row r="47" spans="2:19" x14ac:dyDescent="0.25">
      <c r="S47" s="184">
        <v>1</v>
      </c>
    </row>
    <row r="48" spans="2:19" s="148" customFormat="1" ht="20.100000000000001" customHeight="1" x14ac:dyDescent="0.25">
      <c r="B48" s="270" t="s">
        <v>147</v>
      </c>
      <c r="C48" s="271"/>
      <c r="D48" s="271"/>
      <c r="E48" s="271"/>
      <c r="F48" s="271"/>
      <c r="G48" s="271"/>
      <c r="H48" s="271"/>
      <c r="I48" s="271"/>
      <c r="J48" s="271"/>
      <c r="K48" s="258" t="s">
        <v>188</v>
      </c>
      <c r="L48" s="259"/>
      <c r="M48" s="259"/>
      <c r="N48" s="259"/>
      <c r="O48" s="259"/>
      <c r="P48" s="260"/>
      <c r="Q48"/>
      <c r="R48"/>
    </row>
    <row r="49" spans="2:18" s="148" customFormat="1" ht="33.950000000000003" customHeight="1" x14ac:dyDescent="0.25">
      <c r="B49" s="275" t="s">
        <v>41</v>
      </c>
      <c r="C49" s="275" t="s">
        <v>42</v>
      </c>
      <c r="D49" s="272" t="s">
        <v>138</v>
      </c>
      <c r="E49" s="273"/>
      <c r="F49" s="274"/>
      <c r="G49" s="149" t="s">
        <v>139</v>
      </c>
      <c r="H49" s="149"/>
      <c r="I49" s="149"/>
      <c r="J49" s="272" t="s">
        <v>140</v>
      </c>
      <c r="K49" s="261" t="str">
        <f>"SELISIH"&amp;CHAR(10)&amp;TEXT($H$41,"0%")</f>
        <v>SELISIH
90%</v>
      </c>
      <c r="L49" s="261" t="str">
        <f>"PER HARI"&amp;CHAR(10)&amp;TEXT($H$41,"0%")</f>
        <v>PER HARI
90%</v>
      </c>
      <c r="M49" s="263" t="str">
        <f>"SELISIH"&amp;CHAR(10)&amp;TEXT($J$41,"0%")</f>
        <v>SELISIH
95%</v>
      </c>
      <c r="N49" s="202" t="str">
        <f>"PER HARI"&amp;CHAR(10)&amp;TEXT($J$41,"0%")</f>
        <v>PER HARI
95%</v>
      </c>
      <c r="O49" s="196" t="str">
        <f>"SELISIH"&amp;CHAR(10)&amp;TEXT($L$41,"0%")</f>
        <v>SELISIH
100%</v>
      </c>
      <c r="P49" s="265" t="str">
        <f>"PER HARI"&amp;CHAR(10)&amp;TEXT($L$41,"0%")</f>
        <v>PER HARI
100%</v>
      </c>
      <c r="Q49"/>
      <c r="R49"/>
    </row>
    <row r="50" spans="2:18" s="148" customFormat="1" ht="20.100000000000001" customHeight="1" x14ac:dyDescent="0.25">
      <c r="B50" s="275"/>
      <c r="C50" s="275"/>
      <c r="D50" s="150" t="s">
        <v>150</v>
      </c>
      <c r="E50" s="150" t="s">
        <v>151</v>
      </c>
      <c r="F50" s="150" t="s">
        <v>131</v>
      </c>
      <c r="G50" s="151" t="s">
        <v>150</v>
      </c>
      <c r="H50" s="151" t="s">
        <v>151</v>
      </c>
      <c r="I50" s="151" t="s">
        <v>131</v>
      </c>
      <c r="J50" s="272"/>
      <c r="K50" s="262"/>
      <c r="L50" s="262"/>
      <c r="M50" s="264"/>
      <c r="N50" s="202"/>
      <c r="O50" s="196"/>
      <c r="P50" s="266"/>
      <c r="Q50"/>
      <c r="R50"/>
    </row>
    <row r="51" spans="2:18" s="148" customFormat="1" ht="20.100000000000001" customHeight="1" x14ac:dyDescent="0.25">
      <c r="B51" s="159" t="s">
        <v>67</v>
      </c>
      <c r="C51" s="160" t="s">
        <v>68</v>
      </c>
      <c r="D51" s="153">
        <f>TARGETS!J5</f>
        <v>396683478.3262167</v>
      </c>
      <c r="E51" s="153">
        <f>TARGETS!K5</f>
        <v>49588709</v>
      </c>
      <c r="F51" s="153">
        <f t="shared" ref="F51:F64" si="0">D51+E51</f>
        <v>446272187.3262167</v>
      </c>
      <c r="G51" s="154">
        <f>M8</f>
        <v>299770568.60838997</v>
      </c>
      <c r="H51" s="154">
        <f>N8</f>
        <v>45375105.343964003</v>
      </c>
      <c r="I51" s="154">
        <f t="shared" ref="I51:I64" si="1">G51+H51</f>
        <v>345145673.95235395</v>
      </c>
      <c r="J51" s="219">
        <f t="shared" ref="J51:J64" si="2">IFERROR(I51/F51,0)</f>
        <v>0.77339723100435753</v>
      </c>
      <c r="K51" s="225">
        <f t="shared" ref="K51:K64" si="3">F51*$H$41-I51</f>
        <v>56499294.641241074</v>
      </c>
      <c r="L51" s="225">
        <f t="shared" ref="L51:L65" ca="1" si="4">IFERROR(K51/$C$3,0)</f>
        <v>0</v>
      </c>
      <c r="M51" s="231">
        <f t="shared" ref="M51:M64" si="5">F51*$J$41-I51</f>
        <v>78812904.007551908</v>
      </c>
      <c r="N51" s="231">
        <f t="shared" ref="N51:N65" ca="1" si="6">IFERROR(M51/$C$3,0)</f>
        <v>0</v>
      </c>
      <c r="O51" s="227">
        <f t="shared" ref="O51:O64" si="7">F51*$L$41-I51</f>
        <v>101126513.37386274</v>
      </c>
      <c r="P51" s="227">
        <f t="shared" ref="P51:P65" ca="1" si="8">IFERROR(O51/$C$3,0)</f>
        <v>0</v>
      </c>
      <c r="Q51"/>
      <c r="R51"/>
    </row>
    <row r="52" spans="2:18" s="148" customFormat="1" ht="20.100000000000001" customHeight="1" x14ac:dyDescent="0.25">
      <c r="B52" s="161" t="s">
        <v>69</v>
      </c>
      <c r="C52" s="162" t="s">
        <v>70</v>
      </c>
      <c r="D52" s="155">
        <f>TARGETS!J6</f>
        <v>535182371</v>
      </c>
      <c r="E52" s="155">
        <f>TARGETS!K6</f>
        <v>172865092</v>
      </c>
      <c r="F52" s="155">
        <f t="shared" si="0"/>
        <v>708047463</v>
      </c>
      <c r="G52" s="154">
        <f>M9</f>
        <v>491669786.60148901</v>
      </c>
      <c r="H52" s="154">
        <f>N9</f>
        <v>120248212.43861198</v>
      </c>
      <c r="I52" s="154">
        <f t="shared" si="1"/>
        <v>611917999.04010105</v>
      </c>
      <c r="J52" s="219">
        <f t="shared" si="2"/>
        <v>0.86423302252563972</v>
      </c>
      <c r="K52" s="225">
        <f t="shared" si="3"/>
        <v>25324717.659898996</v>
      </c>
      <c r="L52" s="225">
        <f t="shared" ca="1" si="4"/>
        <v>0</v>
      </c>
      <c r="M52" s="231">
        <f t="shared" si="5"/>
        <v>60727090.809898973</v>
      </c>
      <c r="N52" s="231">
        <f t="shared" ca="1" si="6"/>
        <v>0</v>
      </c>
      <c r="O52" s="227">
        <f t="shared" si="7"/>
        <v>96129463.959898949</v>
      </c>
      <c r="P52" s="227">
        <f t="shared" ca="1" si="8"/>
        <v>0</v>
      </c>
      <c r="Q52"/>
      <c r="R52"/>
    </row>
    <row r="53" spans="2:18" s="148" customFormat="1" ht="20.100000000000001" customHeight="1" x14ac:dyDescent="0.25">
      <c r="B53" s="163" t="s">
        <v>174</v>
      </c>
      <c r="C53" s="164" t="s">
        <v>175</v>
      </c>
      <c r="D53" s="156">
        <f>TARGETS!J7</f>
        <v>241473268</v>
      </c>
      <c r="E53" s="156">
        <f>TARGETS!K7</f>
        <v>0</v>
      </c>
      <c r="F53" s="156">
        <f>D53+E53</f>
        <v>241473268</v>
      </c>
      <c r="G53" s="154">
        <f>C22</f>
        <v>38884328.600000001</v>
      </c>
      <c r="H53" s="154">
        <f>IF(D22="",0,D22)</f>
        <v>0</v>
      </c>
      <c r="I53" s="154">
        <f>G53+H53</f>
        <v>38884328.600000001</v>
      </c>
      <c r="J53" s="219">
        <f>IFERROR(I53/F53,0)</f>
        <v>0.1610295372322538</v>
      </c>
      <c r="K53" s="225">
        <f t="shared" si="3"/>
        <v>178441612.60000002</v>
      </c>
      <c r="L53" s="225">
        <f t="shared" ca="1" si="4"/>
        <v>0</v>
      </c>
      <c r="M53" s="231">
        <f t="shared" si="5"/>
        <v>190515276</v>
      </c>
      <c r="N53" s="231">
        <f t="shared" ca="1" si="6"/>
        <v>0</v>
      </c>
      <c r="O53" s="227">
        <f t="shared" si="7"/>
        <v>202588939.40000001</v>
      </c>
      <c r="P53" s="227">
        <f t="shared" ca="1" si="8"/>
        <v>0</v>
      </c>
      <c r="Q53"/>
      <c r="R53"/>
    </row>
    <row r="54" spans="2:18" s="148" customFormat="1" ht="20.100000000000001" customHeight="1" x14ac:dyDescent="0.25">
      <c r="B54" s="161" t="s">
        <v>71</v>
      </c>
      <c r="C54" s="162" t="s">
        <v>72</v>
      </c>
      <c r="D54" s="155">
        <f>TARGETS!J8</f>
        <v>590712471.92289722</v>
      </c>
      <c r="E54" s="155">
        <f>TARGETS!K8</f>
        <v>28200135</v>
      </c>
      <c r="F54" s="155">
        <f t="shared" si="0"/>
        <v>618912606.92289722</v>
      </c>
      <c r="G54" s="154">
        <f>M10</f>
        <v>537997275.46389103</v>
      </c>
      <c r="H54" s="154">
        <f t="shared" ref="H54:H58" si="9">N10</f>
        <v>21205741.099730998</v>
      </c>
      <c r="I54" s="154">
        <f t="shared" si="1"/>
        <v>559203016.563622</v>
      </c>
      <c r="J54" s="219">
        <f t="shared" si="2"/>
        <v>0.90352500548318337</v>
      </c>
      <c r="K54" s="225">
        <f t="shared" si="3"/>
        <v>-2181670.3330144882</v>
      </c>
      <c r="L54" s="225">
        <f t="shared" ca="1" si="4"/>
        <v>0</v>
      </c>
      <c r="M54" s="231">
        <f t="shared" si="5"/>
        <v>28763960.013130307</v>
      </c>
      <c r="N54" s="231">
        <f t="shared" ca="1" si="6"/>
        <v>0</v>
      </c>
      <c r="O54" s="227">
        <f t="shared" si="7"/>
        <v>59709590.359275222</v>
      </c>
      <c r="P54" s="227">
        <f t="shared" ca="1" si="8"/>
        <v>0</v>
      </c>
      <c r="Q54"/>
      <c r="R54"/>
    </row>
    <row r="55" spans="2:18" s="148" customFormat="1" ht="20.100000000000001" customHeight="1" x14ac:dyDescent="0.25">
      <c r="B55" s="159" t="s">
        <v>73</v>
      </c>
      <c r="C55" s="160" t="s">
        <v>74</v>
      </c>
      <c r="D55" s="153">
        <f>TARGETS!J9</f>
        <v>395063284.19152415</v>
      </c>
      <c r="E55" s="153">
        <f>TARGETS!K9</f>
        <v>73528469</v>
      </c>
      <c r="F55" s="153">
        <f t="shared" si="0"/>
        <v>468591753.19152415</v>
      </c>
      <c r="G55" s="154">
        <f>M11</f>
        <v>355626119.92999297</v>
      </c>
      <c r="H55" s="154">
        <f t="shared" si="9"/>
        <v>44657675.509999998</v>
      </c>
      <c r="I55" s="154">
        <f t="shared" si="1"/>
        <v>400283795.43999296</v>
      </c>
      <c r="J55" s="219">
        <f t="shared" si="2"/>
        <v>0.85422714487334961</v>
      </c>
      <c r="K55" s="225">
        <f t="shared" si="3"/>
        <v>21448782.432378769</v>
      </c>
      <c r="L55" s="225">
        <f t="shared" ca="1" si="4"/>
        <v>0</v>
      </c>
      <c r="M55" s="231">
        <f t="shared" si="5"/>
        <v>44878370.091954947</v>
      </c>
      <c r="N55" s="231">
        <f t="shared" ca="1" si="6"/>
        <v>0</v>
      </c>
      <c r="O55" s="227">
        <f t="shared" si="7"/>
        <v>68307957.751531184</v>
      </c>
      <c r="P55" s="227">
        <f t="shared" ca="1" si="8"/>
        <v>0</v>
      </c>
      <c r="Q55"/>
      <c r="R55"/>
    </row>
    <row r="56" spans="2:18" s="148" customFormat="1" ht="20.100000000000001" customHeight="1" x14ac:dyDescent="0.25">
      <c r="B56" s="161" t="s">
        <v>75</v>
      </c>
      <c r="C56" s="162" t="s">
        <v>74</v>
      </c>
      <c r="D56" s="155">
        <f>TARGETS!J10</f>
        <v>463918832.1226536</v>
      </c>
      <c r="E56" s="155">
        <f>TARGETS!K10</f>
        <v>71898548</v>
      </c>
      <c r="F56" s="155">
        <f t="shared" si="0"/>
        <v>535817380.1226536</v>
      </c>
      <c r="G56" s="154">
        <f>M12</f>
        <v>449682614.319305</v>
      </c>
      <c r="H56" s="154">
        <f t="shared" si="9"/>
        <v>60505589.095815003</v>
      </c>
      <c r="I56" s="154">
        <f t="shared" si="1"/>
        <v>510188203.41512001</v>
      </c>
      <c r="J56" s="219">
        <f t="shared" si="2"/>
        <v>0.95216807506007584</v>
      </c>
      <c r="K56" s="225">
        <f t="shared" si="3"/>
        <v>-27952561.304731727</v>
      </c>
      <c r="L56" s="225">
        <f t="shared" ca="1" si="4"/>
        <v>0</v>
      </c>
      <c r="M56" s="231">
        <f t="shared" si="5"/>
        <v>-1161692.298599124</v>
      </c>
      <c r="N56" s="231">
        <f t="shared" ca="1" si="6"/>
        <v>0</v>
      </c>
      <c r="O56" s="227">
        <f t="shared" si="7"/>
        <v>25629176.707533598</v>
      </c>
      <c r="P56" s="227">
        <f t="shared" ca="1" si="8"/>
        <v>0</v>
      </c>
      <c r="Q56"/>
      <c r="R56"/>
    </row>
    <row r="57" spans="2:18" s="148" customFormat="1" ht="20.100000000000001" customHeight="1" x14ac:dyDescent="0.25">
      <c r="B57" s="159" t="s">
        <v>76</v>
      </c>
      <c r="C57" s="160" t="s">
        <v>77</v>
      </c>
      <c r="D57" s="153">
        <f>TARGETS!J11</f>
        <v>941758345.44471872</v>
      </c>
      <c r="E57" s="153">
        <f>TARGETS!K11</f>
        <v>73246884</v>
      </c>
      <c r="F57" s="153">
        <f t="shared" si="0"/>
        <v>1015005229.4447187</v>
      </c>
      <c r="G57" s="154">
        <f>M13</f>
        <v>1030915377.322188</v>
      </c>
      <c r="H57" s="154">
        <f t="shared" si="9"/>
        <v>59498535.799857996</v>
      </c>
      <c r="I57" s="154">
        <f t="shared" si="1"/>
        <v>1090413913.122046</v>
      </c>
      <c r="J57" s="219">
        <f t="shared" si="2"/>
        <v>1.0742938868586729</v>
      </c>
      <c r="K57" s="225">
        <f t="shared" si="3"/>
        <v>-176909206.62179911</v>
      </c>
      <c r="L57" s="225">
        <f t="shared" ca="1" si="4"/>
        <v>0</v>
      </c>
      <c r="M57" s="231">
        <f t="shared" si="5"/>
        <v>-126158945.14956331</v>
      </c>
      <c r="N57" s="231">
        <f t="shared" ca="1" si="6"/>
        <v>0</v>
      </c>
      <c r="O57" s="227">
        <f t="shared" si="7"/>
        <v>-75408683.677327275</v>
      </c>
      <c r="P57" s="227">
        <f t="shared" ca="1" si="8"/>
        <v>0</v>
      </c>
      <c r="Q57"/>
      <c r="R57"/>
    </row>
    <row r="58" spans="2:18" s="148" customFormat="1" ht="20.100000000000001" customHeight="1" x14ac:dyDescent="0.25">
      <c r="B58" s="161" t="s">
        <v>78</v>
      </c>
      <c r="C58" s="162" t="s">
        <v>79</v>
      </c>
      <c r="D58" s="155">
        <f>TARGETS!J12</f>
        <v>485287059</v>
      </c>
      <c r="E58" s="155">
        <f>TARGETS!K12</f>
        <v>45099712</v>
      </c>
      <c r="F58" s="155">
        <f t="shared" si="0"/>
        <v>530386771</v>
      </c>
      <c r="G58" s="154">
        <f>M14</f>
        <v>378754537.60554802</v>
      </c>
      <c r="H58" s="154">
        <f t="shared" si="9"/>
        <v>62284984.519973002</v>
      </c>
      <c r="I58" s="154">
        <f>G58+H58</f>
        <v>441039522.125521</v>
      </c>
      <c r="J58" s="219">
        <f>IFERROR(I58/F58,0)</f>
        <v>0.83154321759190519</v>
      </c>
      <c r="K58" s="225">
        <f t="shared" si="3"/>
        <v>36308571.774479032</v>
      </c>
      <c r="L58" s="225">
        <f t="shared" ca="1" si="4"/>
        <v>0</v>
      </c>
      <c r="M58" s="231">
        <f t="shared" si="5"/>
        <v>62827910.324478984</v>
      </c>
      <c r="N58" s="231">
        <f t="shared" ca="1" si="6"/>
        <v>0</v>
      </c>
      <c r="O58" s="227">
        <f t="shared" si="7"/>
        <v>89347248.874478996</v>
      </c>
      <c r="P58" s="227">
        <f t="shared" ca="1" si="8"/>
        <v>0</v>
      </c>
      <c r="Q58"/>
      <c r="R58"/>
    </row>
    <row r="59" spans="2:18" s="148" customFormat="1" ht="20.100000000000001" customHeight="1" x14ac:dyDescent="0.25">
      <c r="B59" s="163" t="s">
        <v>174</v>
      </c>
      <c r="C59" s="164" t="s">
        <v>176</v>
      </c>
      <c r="D59" s="156">
        <f>TARGETS!J13</f>
        <v>404133664</v>
      </c>
      <c r="E59" s="156">
        <f>TARGETS!K13</f>
        <v>0</v>
      </c>
      <c r="F59" s="156">
        <f>D59+E59</f>
        <v>404133664</v>
      </c>
      <c r="G59" s="154">
        <f>C23</f>
        <v>120550492.72</v>
      </c>
      <c r="H59" s="154">
        <f>IF(D23="",0,D23)</f>
        <v>0</v>
      </c>
      <c r="I59" s="154">
        <f>G59+H59</f>
        <v>120550492.72</v>
      </c>
      <c r="J59" s="219">
        <f>IFERROR(I59/F59,0)</f>
        <v>0.29829361782640307</v>
      </c>
      <c r="K59" s="225">
        <f t="shared" si="3"/>
        <v>243169804.88000003</v>
      </c>
      <c r="L59" s="225">
        <f t="shared" ca="1" si="4"/>
        <v>0</v>
      </c>
      <c r="M59" s="231">
        <f t="shared" si="5"/>
        <v>263376488.07999995</v>
      </c>
      <c r="N59" s="231">
        <f t="shared" ca="1" si="6"/>
        <v>0</v>
      </c>
      <c r="O59" s="227">
        <f t="shared" si="7"/>
        <v>283583171.27999997</v>
      </c>
      <c r="P59" s="227">
        <f t="shared" ca="1" si="8"/>
        <v>0</v>
      </c>
      <c r="Q59"/>
      <c r="R59"/>
    </row>
    <row r="60" spans="2:18" s="148" customFormat="1" ht="20.100000000000001" customHeight="1" x14ac:dyDescent="0.25">
      <c r="B60" s="161" t="s">
        <v>80</v>
      </c>
      <c r="C60" s="162" t="s">
        <v>81</v>
      </c>
      <c r="D60" s="155">
        <f>TARGETS!J14</f>
        <v>384017309.32355773</v>
      </c>
      <c r="E60" s="155">
        <f>TARGETS!K14</f>
        <v>119782698</v>
      </c>
      <c r="F60" s="155">
        <f t="shared" si="0"/>
        <v>503800007.32355773</v>
      </c>
      <c r="G60" s="154">
        <f>M15</f>
        <v>304137742.30899602</v>
      </c>
      <c r="H60" s="154">
        <f t="shared" ref="H60:H64" si="10">N15</f>
        <v>119707150.766315</v>
      </c>
      <c r="I60" s="154">
        <f t="shared" si="1"/>
        <v>423844893.07531101</v>
      </c>
      <c r="J60" s="219">
        <f t="shared" si="2"/>
        <v>0.84129592479958659</v>
      </c>
      <c r="K60" s="225">
        <f t="shared" si="3"/>
        <v>29575113.515890956</v>
      </c>
      <c r="L60" s="225">
        <f t="shared" ca="1" si="4"/>
        <v>0</v>
      </c>
      <c r="M60" s="231">
        <f t="shared" si="5"/>
        <v>54765113.882068813</v>
      </c>
      <c r="N60" s="231">
        <f t="shared" ca="1" si="6"/>
        <v>0</v>
      </c>
      <c r="O60" s="227">
        <f t="shared" si="7"/>
        <v>79955114.248246729</v>
      </c>
      <c r="P60" s="227">
        <f t="shared" ca="1" si="8"/>
        <v>0</v>
      </c>
      <c r="Q60"/>
      <c r="R60"/>
    </row>
    <row r="61" spans="2:18" s="148" customFormat="1" ht="20.100000000000001" customHeight="1" x14ac:dyDescent="0.25">
      <c r="B61" s="159" t="s">
        <v>82</v>
      </c>
      <c r="C61" s="160" t="s">
        <v>83</v>
      </c>
      <c r="D61" s="153">
        <f>TARGETS!J15</f>
        <v>611629595.7161876</v>
      </c>
      <c r="E61" s="153">
        <f>TARGETS!K15</f>
        <v>40059909</v>
      </c>
      <c r="F61" s="153">
        <f t="shared" si="0"/>
        <v>651689504.7161876</v>
      </c>
      <c r="G61" s="154">
        <f>M16</f>
        <v>479291727.990435</v>
      </c>
      <c r="H61" s="154">
        <f t="shared" si="10"/>
        <v>61629599.543938003</v>
      </c>
      <c r="I61" s="154">
        <f t="shared" si="1"/>
        <v>540921327.53437304</v>
      </c>
      <c r="J61" s="219">
        <f t="shared" si="2"/>
        <v>0.8300292142497302</v>
      </c>
      <c r="K61" s="225">
        <f t="shared" si="3"/>
        <v>45599226.71019578</v>
      </c>
      <c r="L61" s="225">
        <f t="shared" ca="1" si="4"/>
        <v>0</v>
      </c>
      <c r="M61" s="231">
        <f t="shared" si="5"/>
        <v>78183701.946005106</v>
      </c>
      <c r="N61" s="231">
        <f t="shared" ca="1" si="6"/>
        <v>0</v>
      </c>
      <c r="O61" s="227">
        <f t="shared" si="7"/>
        <v>110768177.18181455</v>
      </c>
      <c r="P61" s="227">
        <f t="shared" ca="1" si="8"/>
        <v>0</v>
      </c>
      <c r="Q61"/>
      <c r="R61"/>
    </row>
    <row r="62" spans="2:18" s="148" customFormat="1" ht="20.100000000000001" customHeight="1" x14ac:dyDescent="0.25">
      <c r="B62" s="161" t="s">
        <v>84</v>
      </c>
      <c r="C62" s="162" t="s">
        <v>85</v>
      </c>
      <c r="D62" s="155">
        <f>TARGETS!J16</f>
        <v>366543022.9053762</v>
      </c>
      <c r="E62" s="155">
        <f>TARGETS!K16</f>
        <v>45082463</v>
      </c>
      <c r="F62" s="155">
        <f t="shared" si="0"/>
        <v>411625485.9053762</v>
      </c>
      <c r="G62" s="154">
        <f>M17</f>
        <v>303439555.68576801</v>
      </c>
      <c r="H62" s="154">
        <f t="shared" si="10"/>
        <v>28364314.698472001</v>
      </c>
      <c r="I62" s="154">
        <f t="shared" si="1"/>
        <v>331803870.38424003</v>
      </c>
      <c r="J62" s="219">
        <f t="shared" si="2"/>
        <v>0.80608194036973346</v>
      </c>
      <c r="K62" s="225">
        <f t="shared" si="3"/>
        <v>38659066.930598557</v>
      </c>
      <c r="L62" s="225">
        <f t="shared" ca="1" si="4"/>
        <v>0</v>
      </c>
      <c r="M62" s="231">
        <f t="shared" si="5"/>
        <v>59240341.225867331</v>
      </c>
      <c r="N62" s="231">
        <f t="shared" ca="1" si="6"/>
        <v>0</v>
      </c>
      <c r="O62" s="227">
        <f t="shared" si="7"/>
        <v>79821615.521136165</v>
      </c>
      <c r="P62" s="227">
        <f t="shared" ca="1" si="8"/>
        <v>0</v>
      </c>
      <c r="Q62"/>
      <c r="R62"/>
    </row>
    <row r="63" spans="2:18" s="148" customFormat="1" ht="20.100000000000001" customHeight="1" x14ac:dyDescent="0.25">
      <c r="B63" s="159" t="s">
        <v>86</v>
      </c>
      <c r="C63" s="160" t="s">
        <v>87</v>
      </c>
      <c r="D63" s="153">
        <f>TARGETS!J17</f>
        <v>563350942.09827971</v>
      </c>
      <c r="E63" s="153">
        <f>TARGETS!K17</f>
        <v>311125253</v>
      </c>
      <c r="F63" s="153">
        <f t="shared" si="0"/>
        <v>874476195.09827971</v>
      </c>
      <c r="G63" s="154">
        <f>M18</f>
        <v>663559823.79009497</v>
      </c>
      <c r="H63" s="154">
        <f t="shared" si="10"/>
        <v>200253231.98958299</v>
      </c>
      <c r="I63" s="154">
        <f t="shared" si="1"/>
        <v>863813055.77967799</v>
      </c>
      <c r="J63" s="219">
        <f t="shared" si="2"/>
        <v>0.98780625547227918</v>
      </c>
      <c r="K63" s="225">
        <f t="shared" si="3"/>
        <v>-76784480.191226244</v>
      </c>
      <c r="L63" s="225">
        <f t="shared" ca="1" si="4"/>
        <v>0</v>
      </c>
      <c r="M63" s="231">
        <f t="shared" si="5"/>
        <v>-33060670.436312318</v>
      </c>
      <c r="N63" s="231">
        <f t="shared" ca="1" si="6"/>
        <v>0</v>
      </c>
      <c r="O63" s="227">
        <f t="shared" si="7"/>
        <v>10663139.318601727</v>
      </c>
      <c r="P63" s="227">
        <f t="shared" ca="1" si="8"/>
        <v>0</v>
      </c>
      <c r="Q63"/>
      <c r="R63"/>
    </row>
    <row r="64" spans="2:18" s="148" customFormat="1" ht="20.100000000000001" customHeight="1" x14ac:dyDescent="0.25">
      <c r="B64" s="161" t="s">
        <v>88</v>
      </c>
      <c r="C64" s="162" t="s">
        <v>89</v>
      </c>
      <c r="D64" s="155">
        <f>TARGETS!J18</f>
        <v>239525689.01344877</v>
      </c>
      <c r="E64" s="155">
        <f>TARGETS!K18</f>
        <v>239288340</v>
      </c>
      <c r="F64" s="155">
        <f t="shared" si="0"/>
        <v>478814029.01344877</v>
      </c>
      <c r="G64" s="154">
        <f>M19</f>
        <v>162674997.04759601</v>
      </c>
      <c r="H64" s="154">
        <f t="shared" si="10"/>
        <v>152708112.726924</v>
      </c>
      <c r="I64" s="154">
        <f t="shared" si="1"/>
        <v>315383109.77452004</v>
      </c>
      <c r="J64" s="219">
        <f t="shared" si="2"/>
        <v>0.65867558313681251</v>
      </c>
      <c r="K64" s="225">
        <f t="shared" si="3"/>
        <v>115549516.33758384</v>
      </c>
      <c r="L64" s="225">
        <f t="shared" ca="1" si="4"/>
        <v>0</v>
      </c>
      <c r="M64" s="231">
        <f t="shared" si="5"/>
        <v>139490217.78825629</v>
      </c>
      <c r="N64" s="231">
        <f t="shared" ca="1" si="6"/>
        <v>0</v>
      </c>
      <c r="O64" s="227">
        <f t="shared" si="7"/>
        <v>163430919.23892874</v>
      </c>
      <c r="P64" s="227">
        <f t="shared" ca="1" si="8"/>
        <v>0</v>
      </c>
      <c r="Q64"/>
      <c r="R64"/>
    </row>
    <row r="65" spans="1:19" s="148" customFormat="1" ht="20.100000000000001" customHeight="1" x14ac:dyDescent="0.25">
      <c r="B65" s="165" t="s">
        <v>152</v>
      </c>
      <c r="C65" s="166"/>
      <c r="D65" s="157">
        <f>SUM(D51:D64)</f>
        <v>6619279333.0648613</v>
      </c>
      <c r="E65" s="157">
        <f t="shared" ref="E65" si="11">SUM(E51:E52,E54:E58,E60:E64)</f>
        <v>1269766212</v>
      </c>
      <c r="F65" s="157">
        <f>SUM(F51:F64)</f>
        <v>7889045545.0648613</v>
      </c>
      <c r="G65" s="158">
        <f>SUM(G51:G64)</f>
        <v>5616954947.9936943</v>
      </c>
      <c r="H65" s="158">
        <f>SUM(H51:H64)</f>
        <v>976438253.53318501</v>
      </c>
      <c r="I65" s="158">
        <f>SUM(I51:I64)</f>
        <v>6593393201.5268793</v>
      </c>
      <c r="J65" s="230">
        <f>IFERROR(I65/F65,0)</f>
        <v>0.83576564032533673</v>
      </c>
      <c r="K65" s="228">
        <f>SUM(K51:K64)</f>
        <v>506747789.03149545</v>
      </c>
      <c r="L65" s="228">
        <f t="shared" ca="1" si="4"/>
        <v>0</v>
      </c>
      <c r="M65" s="228">
        <f>SUM(M51:M64)</f>
        <v>901200066.28473783</v>
      </c>
      <c r="N65" s="228">
        <f t="shared" ca="1" si="6"/>
        <v>0</v>
      </c>
      <c r="O65" s="229">
        <f>SUM(O51:O64)</f>
        <v>1295652343.537981</v>
      </c>
      <c r="P65" s="229">
        <f t="shared" ca="1" si="8"/>
        <v>0</v>
      </c>
      <c r="Q65"/>
      <c r="R65"/>
    </row>
    <row r="67" spans="1:19" ht="18.75" x14ac:dyDescent="0.25">
      <c r="A67" s="148"/>
      <c r="B67" s="270" t="s">
        <v>145</v>
      </c>
      <c r="C67" s="271"/>
      <c r="D67" s="271"/>
      <c r="E67" s="271"/>
      <c r="F67" s="271"/>
      <c r="G67" s="221"/>
      <c r="H67" s="221"/>
      <c r="I67" s="222"/>
      <c r="J67" s="223"/>
      <c r="K67" s="223"/>
      <c r="L67" s="223"/>
      <c r="M67" s="148"/>
      <c r="N67" s="148"/>
      <c r="O67" s="148"/>
      <c r="P67" s="148"/>
      <c r="Q67" s="148"/>
      <c r="R67" s="148"/>
      <c r="S67" s="148"/>
    </row>
    <row r="68" spans="1:19" ht="33.950000000000003" customHeight="1" x14ac:dyDescent="0.25">
      <c r="A68" s="148"/>
      <c r="B68" s="152" t="s">
        <v>153</v>
      </c>
      <c r="C68" s="152" t="s">
        <v>42</v>
      </c>
      <c r="D68" s="152" t="s">
        <v>138</v>
      </c>
      <c r="E68" s="152" t="s">
        <v>139</v>
      </c>
      <c r="F68" s="182" t="s">
        <v>140</v>
      </c>
      <c r="G68" s="224" t="str">
        <f>"SELISIH"&amp;CHAR(10)&amp;TEXT($H$41,"0%")</f>
        <v>SELISIH
90%</v>
      </c>
      <c r="H68" s="224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  <c r="M68" s="148"/>
      <c r="N68" s="148"/>
      <c r="O68" s="148"/>
      <c r="P68" s="148"/>
      <c r="Q68" s="148"/>
      <c r="R68" s="148"/>
      <c r="S68" s="148"/>
    </row>
    <row r="69" spans="1:19" ht="15.75" x14ac:dyDescent="0.25">
      <c r="A69" s="148"/>
      <c r="B69" s="159" t="s">
        <v>92</v>
      </c>
      <c r="C69" s="160" t="s">
        <v>93</v>
      </c>
      <c r="D69" s="170">
        <f>TARGETS!G22</f>
        <v>279391895.3166402</v>
      </c>
      <c r="E69" s="154">
        <f>IFERROR(C32,0)</f>
        <v>240237597.65824801</v>
      </c>
      <c r="F69" s="219">
        <f t="shared" ref="F69:F74" si="12">IFERROR(E69/D69,0)</f>
        <v>0.85985886378694742</v>
      </c>
      <c r="G69" s="225">
        <f>D69*$H$41-E69</f>
        <v>11215108.126728177</v>
      </c>
      <c r="H69" s="225">
        <f t="shared" ref="H69:H74" ca="1" si="13">IFERROR(G69/$C$3,0)</f>
        <v>0</v>
      </c>
      <c r="I69" s="226">
        <f>D69*$J$41-E69</f>
        <v>25184702.892560154</v>
      </c>
      <c r="J69" s="226">
        <f t="shared" ref="J69:J74" ca="1" si="14">IFERROR(I69/$C$3,0)</f>
        <v>0</v>
      </c>
      <c r="K69" s="227">
        <f>D69*$L$41-E69</f>
        <v>39154297.658392191</v>
      </c>
      <c r="L69" s="227">
        <f t="shared" ref="L69:L74" ca="1" si="15">IFERROR(K69/$C$3,0)</f>
        <v>0</v>
      </c>
      <c r="M69" s="148"/>
      <c r="N69" s="148"/>
      <c r="O69" s="148"/>
      <c r="P69" s="148"/>
      <c r="Q69" s="148"/>
      <c r="R69" s="148"/>
      <c r="S69" s="148"/>
    </row>
    <row r="70" spans="1:19" ht="15.75" x14ac:dyDescent="0.25">
      <c r="A70" s="148"/>
      <c r="B70" s="174" t="s">
        <v>94</v>
      </c>
      <c r="C70" s="175" t="s">
        <v>95</v>
      </c>
      <c r="D70" s="176">
        <f>TARGETS!G23</f>
        <v>419611959.16831887</v>
      </c>
      <c r="E70" s="154">
        <f>IFERROR(C33,0)</f>
        <v>449933743.924721</v>
      </c>
      <c r="F70" s="219">
        <f t="shared" si="12"/>
        <v>1.0722614884868884</v>
      </c>
      <c r="G70" s="225">
        <f>D70*$H$41-E70</f>
        <v>-72282980.673233986</v>
      </c>
      <c r="H70" s="225">
        <f t="shared" ca="1" si="13"/>
        <v>0</v>
      </c>
      <c r="I70" s="226">
        <f>D70*$J$41-E70</f>
        <v>-51302382.71481812</v>
      </c>
      <c r="J70" s="226">
        <f t="shared" ca="1" si="14"/>
        <v>0</v>
      </c>
      <c r="K70" s="227">
        <f>D70*$L$41-E70</f>
        <v>-30321784.756402135</v>
      </c>
      <c r="L70" s="227">
        <f t="shared" ca="1" si="15"/>
        <v>0</v>
      </c>
      <c r="M70" s="148"/>
      <c r="N70" s="148"/>
      <c r="O70" s="148"/>
      <c r="P70" s="148"/>
      <c r="Q70" s="148"/>
      <c r="R70" s="148"/>
      <c r="S70" s="148"/>
    </row>
    <row r="71" spans="1:19" ht="15.75" x14ac:dyDescent="0.25">
      <c r="A71" s="148"/>
      <c r="B71" s="159" t="s">
        <v>96</v>
      </c>
      <c r="C71" s="160" t="s">
        <v>97</v>
      </c>
      <c r="D71" s="170">
        <f>TARGETS!G24</f>
        <v>1092485507.2171693</v>
      </c>
      <c r="E71" s="154">
        <f>M21+M7</f>
        <v>897130483.57328391</v>
      </c>
      <c r="F71" s="219">
        <f t="shared" si="12"/>
        <v>0.82118296091496634</v>
      </c>
      <c r="G71" s="225">
        <f>D71*$H$41-E71</f>
        <v>86106472.922168493</v>
      </c>
      <c r="H71" s="225">
        <f t="shared" ca="1" si="13"/>
        <v>0</v>
      </c>
      <c r="I71" s="226">
        <f>D71*$J$41-E71</f>
        <v>140730748.28302681</v>
      </c>
      <c r="J71" s="226">
        <f t="shared" ca="1" si="14"/>
        <v>0</v>
      </c>
      <c r="K71" s="227">
        <f>D71*$L$41-E71</f>
        <v>195355023.64388537</v>
      </c>
      <c r="L71" s="227">
        <f t="shared" ca="1" si="15"/>
        <v>0</v>
      </c>
      <c r="M71" s="148"/>
      <c r="N71" s="148"/>
      <c r="O71" s="148"/>
      <c r="P71" s="148"/>
      <c r="Q71" s="148"/>
      <c r="R71" s="148"/>
      <c r="S71" s="148"/>
    </row>
    <row r="72" spans="1:19" ht="15.75" x14ac:dyDescent="0.25">
      <c r="A72" s="148"/>
      <c r="B72" s="161" t="s">
        <v>98</v>
      </c>
      <c r="C72" s="162" t="s">
        <v>99</v>
      </c>
      <c r="D72" s="171">
        <f>TARGETS!G25</f>
        <v>0</v>
      </c>
      <c r="E72" s="154">
        <f>0</f>
        <v>0</v>
      </c>
      <c r="F72" s="219">
        <f t="shared" si="12"/>
        <v>0</v>
      </c>
      <c r="G72" s="225">
        <f>D72*$H$41-E72</f>
        <v>0</v>
      </c>
      <c r="H72" s="225">
        <f t="shared" ca="1" si="13"/>
        <v>0</v>
      </c>
      <c r="I72" s="226">
        <f>D72*$J$41-E72</f>
        <v>0</v>
      </c>
      <c r="J72" s="226">
        <f t="shared" ca="1" si="14"/>
        <v>0</v>
      </c>
      <c r="K72" s="227">
        <f>D72*$L$41-E72</f>
        <v>0</v>
      </c>
      <c r="L72" s="227">
        <f t="shared" ca="1" si="15"/>
        <v>0</v>
      </c>
      <c r="M72" s="148"/>
      <c r="N72" s="148"/>
      <c r="O72" s="148"/>
      <c r="P72" s="148"/>
      <c r="Q72" s="148"/>
      <c r="R72" s="148"/>
      <c r="S72" s="148"/>
    </row>
    <row r="73" spans="1:19" ht="15.75" x14ac:dyDescent="0.25">
      <c r="A73" s="148"/>
      <c r="B73" s="159" t="s">
        <v>100</v>
      </c>
      <c r="C73" s="172" t="s">
        <v>101</v>
      </c>
      <c r="D73" s="170">
        <f>TARGETS!G26</f>
        <v>0</v>
      </c>
      <c r="E73" s="154">
        <f>0</f>
        <v>0</v>
      </c>
      <c r="F73" s="219">
        <f t="shared" si="12"/>
        <v>0</v>
      </c>
      <c r="G73" s="225">
        <f>D73*$H$41-E73</f>
        <v>0</v>
      </c>
      <c r="H73" s="225">
        <f t="shared" ca="1" si="13"/>
        <v>0</v>
      </c>
      <c r="I73" s="226">
        <f>D73*$J$41-E73</f>
        <v>0</v>
      </c>
      <c r="J73" s="226">
        <f t="shared" ca="1" si="14"/>
        <v>0</v>
      </c>
      <c r="K73" s="227">
        <f>D73*$L$41-E73</f>
        <v>0</v>
      </c>
      <c r="L73" s="227">
        <f t="shared" ca="1" si="15"/>
        <v>0</v>
      </c>
      <c r="M73" s="148"/>
      <c r="N73" s="148"/>
      <c r="O73" s="148"/>
      <c r="P73" s="148"/>
      <c r="Q73" s="148"/>
      <c r="R73" s="148"/>
      <c r="S73" s="148"/>
    </row>
    <row r="74" spans="1:19" ht="15.75" x14ac:dyDescent="0.25">
      <c r="A74" s="148"/>
      <c r="B74" s="165" t="s">
        <v>152</v>
      </c>
      <c r="C74" s="166"/>
      <c r="D74" s="173">
        <f>SUM(D69:D73)</f>
        <v>1791489361.7021284</v>
      </c>
      <c r="E74" s="173">
        <f>SUM(E69:E73)</f>
        <v>1587301825.1562529</v>
      </c>
      <c r="F74" s="220">
        <f t="shared" si="12"/>
        <v>0.88602358411334747</v>
      </c>
      <c r="G74" s="228">
        <f>SUM(G69:G73)</f>
        <v>25038600.375662684</v>
      </c>
      <c r="H74" s="228">
        <f t="shared" ca="1" si="13"/>
        <v>0</v>
      </c>
      <c r="I74" s="229">
        <f>SUM(I69:I73)</f>
        <v>114613068.46076885</v>
      </c>
      <c r="J74" s="229">
        <f t="shared" ca="1" si="14"/>
        <v>0</v>
      </c>
      <c r="K74" s="229">
        <f>SUM(K69:K73)</f>
        <v>204187536.54587543</v>
      </c>
      <c r="L74" s="229">
        <f t="shared" ca="1" si="15"/>
        <v>0</v>
      </c>
      <c r="M74" s="148"/>
      <c r="N74" s="148"/>
      <c r="O74" s="148"/>
      <c r="P74" s="148"/>
      <c r="Q74" s="148"/>
      <c r="R74" s="148"/>
      <c r="S74" s="148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127" t="s">
        <v>173</v>
      </c>
      <c r="C77" s="128"/>
      <c r="D77" s="129"/>
      <c r="G77"/>
      <c r="H77"/>
      <c r="I77"/>
    </row>
    <row r="78" spans="1:19" ht="20.100000000000001" customHeight="1" x14ac:dyDescent="0.25">
      <c r="B78" s="257" t="s">
        <v>41</v>
      </c>
      <c r="C78" s="257" t="s">
        <v>42</v>
      </c>
      <c r="D78" s="126" t="s">
        <v>139</v>
      </c>
      <c r="G78"/>
      <c r="H78"/>
      <c r="I78"/>
    </row>
    <row r="79" spans="1:19" ht="20.100000000000001" customHeight="1" x14ac:dyDescent="0.25">
      <c r="B79" s="257"/>
      <c r="C79" s="257"/>
      <c r="D79" s="71" t="s">
        <v>170</v>
      </c>
      <c r="G79"/>
      <c r="H79"/>
      <c r="I79"/>
    </row>
    <row r="80" spans="1:19" s="148" customFormat="1" ht="20.100000000000001" customHeight="1" x14ac:dyDescent="0.25">
      <c r="B80" s="159" t="s">
        <v>67</v>
      </c>
      <c r="C80" s="160" t="s">
        <v>68</v>
      </c>
      <c r="D80" s="167">
        <f>IF(E24="",0,E24)</f>
        <v>24325368.979991999</v>
      </c>
    </row>
    <row r="81" spans="2:4" s="148" customFormat="1" ht="20.100000000000001" customHeight="1" x14ac:dyDescent="0.25">
      <c r="B81" s="161" t="s">
        <v>69</v>
      </c>
      <c r="C81" s="162" t="s">
        <v>70</v>
      </c>
      <c r="D81" s="168">
        <f>IF(E12="",0,E12)+IF(E13="",0,E13)</f>
        <v>81902340.960000008</v>
      </c>
    </row>
    <row r="82" spans="2:4" s="148" customFormat="1" ht="20.100000000000001" customHeight="1" x14ac:dyDescent="0.25">
      <c r="B82" s="161" t="s">
        <v>174</v>
      </c>
      <c r="C82" s="162" t="s">
        <v>175</v>
      </c>
      <c r="D82" s="168">
        <f>IF(E22="",0,E22)</f>
        <v>12315315.119999999</v>
      </c>
    </row>
    <row r="83" spans="2:4" s="148" customFormat="1" ht="20.100000000000001" customHeight="1" x14ac:dyDescent="0.25">
      <c r="B83" s="159" t="s">
        <v>71</v>
      </c>
      <c r="C83" s="160" t="s">
        <v>72</v>
      </c>
      <c r="D83" s="167">
        <f>IF(E14="",0,E14)</f>
        <v>66130323.599985003</v>
      </c>
    </row>
    <row r="84" spans="2:4" s="148" customFormat="1" ht="20.100000000000001" customHeight="1" x14ac:dyDescent="0.25">
      <c r="B84" s="161" t="s">
        <v>73</v>
      </c>
      <c r="C84" s="162" t="s">
        <v>74</v>
      </c>
      <c r="D84" s="168">
        <f>0</f>
        <v>0</v>
      </c>
    </row>
    <row r="85" spans="2:4" s="148" customFormat="1" ht="20.100000000000001" customHeight="1" x14ac:dyDescent="0.25">
      <c r="B85" s="159" t="s">
        <v>75</v>
      </c>
      <c r="C85" s="160" t="s">
        <v>74</v>
      </c>
      <c r="D85" s="167">
        <v>2883783.76</v>
      </c>
    </row>
    <row r="86" spans="2:4" s="148" customFormat="1" ht="20.100000000000001" customHeight="1" x14ac:dyDescent="0.25">
      <c r="B86" s="161" t="s">
        <v>76</v>
      </c>
      <c r="C86" s="162" t="s">
        <v>77</v>
      </c>
      <c r="D86" s="168">
        <f>IF(E19="",0,E19)</f>
        <v>287203621.35000002</v>
      </c>
    </row>
    <row r="87" spans="2:4" s="148" customFormat="1" ht="20.100000000000001" customHeight="1" x14ac:dyDescent="0.25">
      <c r="B87" s="159" t="s">
        <v>78</v>
      </c>
      <c r="C87" s="160" t="s">
        <v>79</v>
      </c>
      <c r="D87" s="167">
        <f>IF(E25="",0,E25)</f>
        <v>26407801.439994998</v>
      </c>
    </row>
    <row r="88" spans="2:4" s="148" customFormat="1" ht="20.100000000000001" customHeight="1" x14ac:dyDescent="0.25">
      <c r="B88" s="161" t="s">
        <v>174</v>
      </c>
      <c r="C88" s="162" t="s">
        <v>176</v>
      </c>
      <c r="D88" s="168">
        <f>IF(E23="",0,E23)</f>
        <v>17151621.32</v>
      </c>
    </row>
    <row r="89" spans="2:4" s="148" customFormat="1" ht="20.100000000000001" customHeight="1" x14ac:dyDescent="0.25">
      <c r="B89" s="161" t="s">
        <v>80</v>
      </c>
      <c r="C89" s="162" t="s">
        <v>81</v>
      </c>
      <c r="D89" s="168">
        <f>IF(E11="",0,E11)</f>
        <v>34053355</v>
      </c>
    </row>
    <row r="90" spans="2:4" s="148" customFormat="1" ht="20.100000000000001" customHeight="1" x14ac:dyDescent="0.25">
      <c r="B90" s="159" t="s">
        <v>82</v>
      </c>
      <c r="C90" s="160" t="s">
        <v>83</v>
      </c>
      <c r="D90" s="167">
        <f>IF(E26="",0,E26)</f>
        <v>112736039.39988001</v>
      </c>
    </row>
    <row r="91" spans="2:4" s="148" customFormat="1" ht="20.100000000000001" customHeight="1" x14ac:dyDescent="0.25">
      <c r="B91" s="161" t="s">
        <v>84</v>
      </c>
      <c r="C91" s="162" t="s">
        <v>85</v>
      </c>
      <c r="D91" s="168">
        <f>IF(E10="",0,E10)</f>
        <v>61031205.54998</v>
      </c>
    </row>
    <row r="92" spans="2:4" s="148" customFormat="1" ht="20.100000000000001" customHeight="1" x14ac:dyDescent="0.25">
      <c r="B92" s="159" t="s">
        <v>86</v>
      </c>
      <c r="C92" s="160" t="s">
        <v>87</v>
      </c>
      <c r="D92" s="167">
        <f>0</f>
        <v>0</v>
      </c>
    </row>
    <row r="93" spans="2:4" s="148" customFormat="1" ht="20.100000000000001" customHeight="1" x14ac:dyDescent="0.25">
      <c r="B93" s="161" t="s">
        <v>88</v>
      </c>
      <c r="C93" s="162" t="s">
        <v>89</v>
      </c>
      <c r="D93" s="168">
        <f>0</f>
        <v>0</v>
      </c>
    </row>
    <row r="94" spans="2:4" s="148" customFormat="1" ht="20.100000000000001" customHeight="1" x14ac:dyDescent="0.25">
      <c r="B94" s="165" t="s">
        <v>152</v>
      </c>
      <c r="C94" s="166"/>
      <c r="D94" s="169">
        <f>SUM(D80:D93)</f>
        <v>726140776.47983217</v>
      </c>
    </row>
  </sheetData>
  <mergeCells count="15">
    <mergeCell ref="B41:D41"/>
    <mergeCell ref="B48:J48"/>
    <mergeCell ref="B67:F67"/>
    <mergeCell ref="D49:F49"/>
    <mergeCell ref="B46:C46"/>
    <mergeCell ref="B49:B50"/>
    <mergeCell ref="C49:C50"/>
    <mergeCell ref="J49:J50"/>
    <mergeCell ref="B78:B79"/>
    <mergeCell ref="C78:C79"/>
    <mergeCell ref="K48:P48"/>
    <mergeCell ref="K49:K50"/>
    <mergeCell ref="L49:L50"/>
    <mergeCell ref="M49:M50"/>
    <mergeCell ref="P49:P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A69" sqref="A1:XFD1048576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6" t="s">
        <v>158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IF($J$5&lt;&gt;"",$J$5,MAX(0,NETWORKDAYS.INTL(MAX(TODAY(),DATE(YEAR(TODAY()),5,1)),EOMONTH(DATE(YEAR(TODAY()),5,1),0),11)-MAX(0,$J$3-$J$4)))</f>
        <v>0</v>
      </c>
      <c r="D3" s="79" t="s">
        <v>104</v>
      </c>
      <c r="E3" s="80">
        <f ca="1">DAY(EOMONTH(DATE(YEAR(TODAY()),5,1),0))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288424016.78064901</v>
      </c>
      <c r="N8" s="11">
        <f>D24</f>
        <v>44585739.113441996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514873412.84566295</v>
      </c>
      <c r="N9" s="11">
        <f>D12+D13</f>
        <v>95906107.167067006</v>
      </c>
    </row>
    <row r="10" spans="2:14" x14ac:dyDescent="0.25">
      <c r="B10" s="74" t="s">
        <v>113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6"/>
      <c r="I10" s="116"/>
      <c r="J10" s="116"/>
      <c r="M10" s="11">
        <f>C14</f>
        <v>670664362.43227303</v>
      </c>
      <c r="N10" s="11">
        <f>D14</f>
        <v>27278643.871089</v>
      </c>
    </row>
    <row r="11" spans="2:14" x14ac:dyDescent="0.25">
      <c r="B11" s="74" t="s">
        <v>114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6"/>
      <c r="I11" s="116"/>
      <c r="J11" s="116"/>
      <c r="M11" s="11">
        <f>C17</f>
        <v>314350697.279998</v>
      </c>
      <c r="N11" s="11">
        <f>D17</f>
        <v>42787524.299999997</v>
      </c>
    </row>
    <row r="12" spans="2:14" x14ac:dyDescent="0.25">
      <c r="B12" s="74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6"/>
      <c r="I12" s="116"/>
      <c r="J12" s="116"/>
      <c r="M12" s="11">
        <f>C16</f>
        <v>413013469.09840298</v>
      </c>
      <c r="N12" s="11">
        <f>D16</f>
        <v>61457252.569306999</v>
      </c>
    </row>
    <row r="13" spans="2:14" x14ac:dyDescent="0.25">
      <c r="B13" s="74" t="s">
        <v>115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6"/>
      <c r="I13" s="116"/>
      <c r="J13" s="116"/>
      <c r="M13" s="11">
        <f>C19</f>
        <v>1005613301.6380841</v>
      </c>
      <c r="N13" s="11">
        <f>D19</f>
        <v>73190755.369811997</v>
      </c>
    </row>
    <row r="14" spans="2:14" x14ac:dyDescent="0.25">
      <c r="B14" s="74" t="s">
        <v>116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6"/>
      <c r="I14" s="116"/>
      <c r="J14" s="116"/>
      <c r="M14" s="11">
        <f>C25</f>
        <v>389875776.90495598</v>
      </c>
      <c r="N14" s="11">
        <f>D25</f>
        <v>68378257.859753996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374466810.62618703</v>
      </c>
      <c r="N15" s="11">
        <f>D11</f>
        <v>92402940.934527993</v>
      </c>
    </row>
    <row r="16" spans="2:14" x14ac:dyDescent="0.25">
      <c r="B16" s="74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6"/>
      <c r="I16" s="116"/>
      <c r="J16" s="116"/>
      <c r="M16" s="11">
        <f>C26</f>
        <v>454249976.114806</v>
      </c>
      <c r="N16" s="11">
        <f>D26</f>
        <v>58885063.089941002</v>
      </c>
    </row>
    <row r="17" spans="2:14" x14ac:dyDescent="0.25">
      <c r="B17" s="74" t="s">
        <v>118</v>
      </c>
      <c r="C17" s="15">
        <v>314350697.279998</v>
      </c>
      <c r="D17" s="15">
        <v>42787524.299999997</v>
      </c>
      <c r="E17" s="15" t="s">
        <v>167</v>
      </c>
      <c r="F17" s="15">
        <v>357138221.57999802</v>
      </c>
      <c r="H17" s="116"/>
      <c r="I17" s="116"/>
      <c r="J17" s="116"/>
      <c r="M17" s="11">
        <f>C10</f>
        <v>297882183.23181498</v>
      </c>
      <c r="N17" s="11">
        <f>D10</f>
        <v>34050666.405826002</v>
      </c>
    </row>
    <row r="18" spans="2:14" x14ac:dyDescent="0.25">
      <c r="B18" s="74" t="s">
        <v>119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6"/>
      <c r="I18" s="116"/>
      <c r="J18" s="116"/>
      <c r="M18" s="11">
        <f>C27</f>
        <v>686645252.87729704</v>
      </c>
      <c r="N18" s="11">
        <f>D27</f>
        <v>191906951.15242499</v>
      </c>
    </row>
    <row r="19" spans="2:14" x14ac:dyDescent="0.25">
      <c r="B19" s="74" t="s">
        <v>121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6"/>
      <c r="I19" s="116"/>
      <c r="J19" s="116"/>
      <c r="M19" s="11">
        <f>C20+C21</f>
        <v>298336622.32828599</v>
      </c>
      <c r="N19" s="11">
        <f>D20+D21</f>
        <v>128847592.67048</v>
      </c>
    </row>
    <row r="20" spans="2:14" x14ac:dyDescent="0.25">
      <c r="B20" s="74" t="s">
        <v>123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6"/>
      <c r="I20" s="116"/>
      <c r="J20" s="116"/>
      <c r="M20" s="14">
        <f>IFERROR(C31,0)+IFERROR(C15,0)+IFERROR(C36,0)</f>
        <v>296173392</v>
      </c>
      <c r="N20" s="10" t="s">
        <v>120</v>
      </c>
    </row>
    <row r="21" spans="2:14" x14ac:dyDescent="0.25">
      <c r="B21" s="74" t="s">
        <v>124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6"/>
      <c r="I21" s="116"/>
      <c r="J21" s="116"/>
      <c r="M21" s="14">
        <f>IFERROR(C34,0)+IFERROR(C35,0)+M20</f>
        <v>945630576.91965699</v>
      </c>
      <c r="N21" s="10" t="s">
        <v>122</v>
      </c>
    </row>
    <row r="22" spans="2:14" x14ac:dyDescent="0.25">
      <c r="B22" s="74" t="s">
        <v>171</v>
      </c>
      <c r="C22" s="15">
        <v>197567845.80000001</v>
      </c>
      <c r="D22" s="15" t="s">
        <v>167</v>
      </c>
      <c r="E22" s="15">
        <v>12832432.08</v>
      </c>
      <c r="F22" s="15">
        <v>210400277.88</v>
      </c>
      <c r="H22" s="116"/>
      <c r="I22" s="116"/>
      <c r="J22" s="116"/>
    </row>
    <row r="23" spans="2:14" x14ac:dyDescent="0.25">
      <c r="B23" s="74" t="s">
        <v>172</v>
      </c>
      <c r="C23" s="15">
        <v>300521523.82997501</v>
      </c>
      <c r="D23" s="15" t="s">
        <v>167</v>
      </c>
      <c r="E23" s="15">
        <v>13813693.32</v>
      </c>
      <c r="F23" s="15">
        <v>314335217.149975</v>
      </c>
      <c r="H23" s="116"/>
      <c r="I23" s="116"/>
      <c r="J23" s="116"/>
    </row>
    <row r="24" spans="2:14" x14ac:dyDescent="0.25">
      <c r="B24" s="74" t="s">
        <v>125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6"/>
      <c r="I24" s="116"/>
      <c r="J24" s="116"/>
    </row>
    <row r="25" spans="2:14" x14ac:dyDescent="0.25">
      <c r="B25" s="74" t="s">
        <v>126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6"/>
      <c r="I25" s="116"/>
      <c r="J25" s="116"/>
    </row>
    <row r="26" spans="2:14" x14ac:dyDescent="0.25">
      <c r="B26" s="74" t="s">
        <v>127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6"/>
      <c r="I26" s="116"/>
      <c r="J26" s="116"/>
    </row>
    <row r="27" spans="2:14" x14ac:dyDescent="0.25">
      <c r="B27" s="74" t="s">
        <v>128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6"/>
      <c r="I27" s="116"/>
      <c r="J27" s="116"/>
    </row>
    <row r="28" spans="2:14" x14ac:dyDescent="0.25">
      <c r="C28" s="15"/>
      <c r="D28" s="15"/>
      <c r="E28" s="15"/>
      <c r="F28" s="15"/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291427595.82048202</v>
      </c>
      <c r="G32" s="116"/>
      <c r="H32" s="116"/>
      <c r="I32" s="116"/>
    </row>
    <row r="33" spans="2:19" x14ac:dyDescent="0.25">
      <c r="B33" s="84" t="s">
        <v>133</v>
      </c>
      <c r="C33" s="15">
        <v>436148035.92440403</v>
      </c>
      <c r="G33" s="116"/>
      <c r="H33" s="116"/>
      <c r="I33" s="116"/>
    </row>
    <row r="34" spans="2:19" x14ac:dyDescent="0.25">
      <c r="B34" s="84" t="s">
        <v>134</v>
      </c>
      <c r="C34" s="15">
        <v>135628039.89320499</v>
      </c>
      <c r="G34" s="116"/>
      <c r="H34" s="116"/>
      <c r="I34" s="116"/>
    </row>
    <row r="35" spans="2:19" x14ac:dyDescent="0.25">
      <c r="B35" s="84" t="s">
        <v>135</v>
      </c>
      <c r="C35" s="15">
        <v>513829145.026452</v>
      </c>
      <c r="G35" s="116"/>
      <c r="H35" s="116"/>
      <c r="I35" s="116"/>
    </row>
    <row r="36" spans="2:19" x14ac:dyDescent="0.25">
      <c r="B36" s="84" t="s">
        <v>136</v>
      </c>
      <c r="C36" s="15">
        <v>296173392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78" t="s">
        <v>181</v>
      </c>
      <c r="C41" s="279"/>
      <c r="D41" s="280"/>
      <c r="E41" s="67" t="s">
        <v>138</v>
      </c>
      <c r="F41" s="185">
        <v>0.97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SUM(TARGETS!L5:L7,TARGETS!L8:L13,TARGETS!L14:L18)</f>
        <v>6839279332</v>
      </c>
      <c r="E43" s="46">
        <f>G65</f>
        <v>6206485251.788393</v>
      </c>
      <c r="F43" s="187">
        <f>IFERROR(E43/D43,0)</f>
        <v>0.90747649723109647</v>
      </c>
      <c r="G43" s="197">
        <f>D43*$H$41-E43</f>
        <v>-51133852.98839283</v>
      </c>
      <c r="H43" s="197">
        <f ca="1">IFERROR(G43/$C$3,0)</f>
        <v>0</v>
      </c>
      <c r="I43" s="218">
        <f>D43*$J$41-E43</f>
        <v>290830113.6116066</v>
      </c>
      <c r="J43" s="218">
        <f ca="1">IFERROR(I43/$C$3,0)</f>
        <v>0</v>
      </c>
      <c r="K43" s="198">
        <f>D43*$L$41-E43</f>
        <v>632794080.21160698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SUM(TARGETS!M5:M6,TARGETS!M8:M12,TARGETS!M14:M18)</f>
        <v>1475264824.2203617</v>
      </c>
      <c r="E44" s="46">
        <f>N8+N9+N10+N11+N12+N13+N14+N15+N16+N17+N18+N19</f>
        <v>919677494.50367093</v>
      </c>
      <c r="F44" s="187">
        <f>IFERROR(E44/D44,0)</f>
        <v>0.62339823969550423</v>
      </c>
      <c r="G44" s="197">
        <f>D44*$H$41-E44</f>
        <v>408060847.29465461</v>
      </c>
      <c r="H44" s="197">
        <f ca="1">IFERROR(G44/$C$3,0)</f>
        <v>0</v>
      </c>
      <c r="I44" s="218">
        <f>D44*$J$41-E44</f>
        <v>481824088.50567269</v>
      </c>
      <c r="J44" s="218">
        <f ca="1">IFERROR(I44/$C$3,0)</f>
        <v>0</v>
      </c>
      <c r="K44" s="198">
        <f>D44*$L$41-E44</f>
        <v>555587329.71669078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SUM(TARGETS!H22:H26)</f>
        <v>1782978723.4042559</v>
      </c>
      <c r="E45" s="46">
        <f>IFERROR(C32,0)+IFERROR(C33,0)+M21+F9</f>
        <v>1673206208.6645432</v>
      </c>
      <c r="F45" s="187">
        <f>IFERROR(E45/D45,0)</f>
        <v>0.93843307645863372</v>
      </c>
      <c r="G45" s="197">
        <f>D45*$H$41-E45</f>
        <v>-68525357.600712776</v>
      </c>
      <c r="H45" s="197">
        <f ca="1">IFERROR(G45/$C$3,0)</f>
        <v>0</v>
      </c>
      <c r="I45" s="218">
        <f>D45*$J$41-E45</f>
        <v>20623578.569499731</v>
      </c>
      <c r="J45" s="218">
        <f ca="1">IFERROR(I45/$C$3,0)</f>
        <v>0</v>
      </c>
      <c r="K45" s="198">
        <f>D45*$L$41-E45</f>
        <v>109772514.73971272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55" t="s">
        <v>146</v>
      </c>
      <c r="C46" s="256"/>
      <c r="D46" s="47">
        <f>D43+D44+D45</f>
        <v>10097522879.624619</v>
      </c>
      <c r="E46" s="47">
        <f>E43+E44+E45</f>
        <v>8799368954.9566078</v>
      </c>
      <c r="F46" s="188">
        <f>IFERROR(E46/D46,0)</f>
        <v>0.87143837749677178</v>
      </c>
      <c r="G46" s="194">
        <f>G43+G44+G45</f>
        <v>288401636.705549</v>
      </c>
      <c r="H46" s="194">
        <f ca="1">IFERROR(G46/$C$3,0)</f>
        <v>0</v>
      </c>
      <c r="I46" s="199">
        <f>I43+I44+I45</f>
        <v>793277780.68677902</v>
      </c>
      <c r="J46" s="199">
        <f ca="1">IFERROR(I46/$C$3,0)</f>
        <v>0</v>
      </c>
      <c r="K46" s="199">
        <f>K43+K44+K45</f>
        <v>1298153924.6680105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25.5" customHeight="1" x14ac:dyDescent="0.25">
      <c r="B48" s="270" t="s">
        <v>147</v>
      </c>
      <c r="C48" s="271"/>
      <c r="D48" s="271"/>
      <c r="E48" s="271"/>
      <c r="F48" s="271"/>
      <c r="G48" s="271"/>
      <c r="H48" s="271"/>
      <c r="I48" s="271"/>
      <c r="J48" s="271"/>
      <c r="K48" s="258" t="s">
        <v>188</v>
      </c>
      <c r="L48" s="259"/>
      <c r="M48" s="259"/>
      <c r="N48" s="259"/>
      <c r="O48" s="259"/>
      <c r="P48" s="260"/>
    </row>
    <row r="49" spans="2:16" ht="33.950000000000003" customHeight="1" x14ac:dyDescent="0.25">
      <c r="B49" s="257" t="s">
        <v>41</v>
      </c>
      <c r="C49" s="257" t="s">
        <v>42</v>
      </c>
      <c r="D49" s="252" t="s">
        <v>138</v>
      </c>
      <c r="E49" s="253"/>
      <c r="F49" s="254"/>
      <c r="G49" s="117" t="s">
        <v>139</v>
      </c>
      <c r="H49" s="117"/>
      <c r="I49" s="117"/>
      <c r="J49" s="252" t="s">
        <v>140</v>
      </c>
      <c r="K49" s="261" t="str">
        <f>"SELISIH"&amp;CHAR(10)&amp;TEXT($H$41,"0%")</f>
        <v>SELISIH
90%</v>
      </c>
      <c r="L49" s="261" t="str">
        <f>"PER HARI"&amp;CHAR(10)&amp;TEXT($H$41,"0%")</f>
        <v>PER HARI
90%</v>
      </c>
      <c r="M49" s="263" t="str">
        <f>"SELISIH"&amp;CHAR(10)&amp;TEXT($J$41,"0%")</f>
        <v>SELISIH
95%</v>
      </c>
      <c r="N49" s="263" t="str">
        <f>"PER HARI"&amp;CHAR(10)&amp;TEXT($J$41,"0%")</f>
        <v>PER HARI
95%</v>
      </c>
      <c r="O49" s="265" t="str">
        <f>"SELISIH"&amp;CHAR(10)&amp;TEXT($L$41,"0%")</f>
        <v>SELISIH
100%</v>
      </c>
      <c r="P49" s="265" t="str">
        <f>"PER HARI"&amp;CHAR(10)&amp;TEXT($L$41,"0%")</f>
        <v>PER HARI
100%</v>
      </c>
    </row>
    <row r="50" spans="2:16" ht="22.5" customHeight="1" x14ac:dyDescent="0.25">
      <c r="B50" s="257"/>
      <c r="C50" s="257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2"/>
      <c r="K50" s="262"/>
      <c r="L50" s="262"/>
      <c r="M50" s="264"/>
      <c r="N50" s="264"/>
      <c r="O50" s="266"/>
      <c r="P50" s="266"/>
    </row>
    <row r="51" spans="2:16" ht="20.100000000000001" customHeight="1" x14ac:dyDescent="0.25">
      <c r="B51" s="177" t="s">
        <v>67</v>
      </c>
      <c r="C51" s="178" t="s">
        <v>68</v>
      </c>
      <c r="D51" s="180">
        <f>TARGETS!L5</f>
        <v>416683478</v>
      </c>
      <c r="E51" s="180">
        <f>TARGETS!M5</f>
        <v>68270401.220654309</v>
      </c>
      <c r="F51" s="180">
        <f t="shared" ref="F51:F64" si="0">D51+E51</f>
        <v>484953879.22065431</v>
      </c>
      <c r="G51" s="119">
        <f>M8</f>
        <v>288424016.78064901</v>
      </c>
      <c r="H51" s="119">
        <f>N8</f>
        <v>44585739.113441996</v>
      </c>
      <c r="I51" s="119">
        <f t="shared" ref="I51:I64" si="1">G51+H51</f>
        <v>333009755.89409101</v>
      </c>
      <c r="J51" s="200">
        <f t="shared" ref="J51:J64" si="2">IFERROR(I51/F51,0)</f>
        <v>0.68668335312474404</v>
      </c>
      <c r="K51" s="197">
        <f t="shared" ref="K51:K64" si="3">F51*$H$41-I51</f>
        <v>103448735.40449786</v>
      </c>
      <c r="L51" s="197">
        <f t="shared" ref="L51:L65" ca="1" si="4">IFERROR(K51/$C$3,0)</f>
        <v>0</v>
      </c>
      <c r="M51" s="193">
        <f t="shared" ref="M51:M64" si="5">F51*$J$41-I51</f>
        <v>127696429.36553055</v>
      </c>
      <c r="N51" s="193">
        <f t="shared" ref="N51:N65" ca="1" si="6">IFERROR(M51/$C$3,0)</f>
        <v>0</v>
      </c>
      <c r="O51" s="198">
        <f t="shared" ref="O51:O64" si="7">F51*$L$41-I51</f>
        <v>151944123.3265633</v>
      </c>
      <c r="P51" s="198">
        <f t="shared" ref="P51:P65" ca="1" si="8">IFERROR(O51/$C$3,0)</f>
        <v>0</v>
      </c>
    </row>
    <row r="52" spans="2:16" ht="20.100000000000001" customHeight="1" x14ac:dyDescent="0.25">
      <c r="B52" s="177" t="s">
        <v>69</v>
      </c>
      <c r="C52" s="178" t="s">
        <v>70</v>
      </c>
      <c r="D52" s="180">
        <f>TARGETS!L6</f>
        <v>555182371</v>
      </c>
      <c r="E52" s="180">
        <f>TARGETS!M6</f>
        <v>191546784</v>
      </c>
      <c r="F52" s="180">
        <f t="shared" si="0"/>
        <v>746729155</v>
      </c>
      <c r="G52" s="119">
        <f>M9</f>
        <v>514873412.84566295</v>
      </c>
      <c r="H52" s="119">
        <f>N9</f>
        <v>95906107.167067006</v>
      </c>
      <c r="I52" s="119">
        <f t="shared" si="1"/>
        <v>610779520.01273</v>
      </c>
      <c r="J52" s="200">
        <f t="shared" si="2"/>
        <v>0.81793983256583846</v>
      </c>
      <c r="K52" s="197">
        <f t="shared" si="3"/>
        <v>61276719.487269998</v>
      </c>
      <c r="L52" s="197">
        <f t="shared" ca="1" si="4"/>
        <v>0</v>
      </c>
      <c r="M52" s="193">
        <f t="shared" si="5"/>
        <v>98613177.237269998</v>
      </c>
      <c r="N52" s="193">
        <f t="shared" ca="1" si="6"/>
        <v>0</v>
      </c>
      <c r="O52" s="198">
        <f t="shared" si="7"/>
        <v>135949634.98727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TARGETS!L7</f>
        <v>241473268</v>
      </c>
      <c r="E53" s="147">
        <f>TARGETS!M7</f>
        <v>0</v>
      </c>
      <c r="F53" s="147">
        <f>D53+E53</f>
        <v>241473268</v>
      </c>
      <c r="G53" s="119">
        <f>C22</f>
        <v>197567845.80000001</v>
      </c>
      <c r="H53" s="119">
        <f>IF(D22="",0,D22)</f>
        <v>0</v>
      </c>
      <c r="I53" s="119">
        <f>G53+H53</f>
        <v>197567845.80000001</v>
      </c>
      <c r="J53" s="200">
        <f>IFERROR(I53/F53,0)</f>
        <v>0.81817688324821114</v>
      </c>
      <c r="K53" s="197">
        <f t="shared" si="3"/>
        <v>19758095.400000006</v>
      </c>
      <c r="L53" s="197">
        <f t="shared" ca="1" si="4"/>
        <v>0</v>
      </c>
      <c r="M53" s="193">
        <f t="shared" si="5"/>
        <v>31831758.799999982</v>
      </c>
      <c r="N53" s="193">
        <f t="shared" ca="1" si="6"/>
        <v>0</v>
      </c>
      <c r="O53" s="198">
        <f t="shared" si="7"/>
        <v>43905422.199999988</v>
      </c>
      <c r="P53" s="198">
        <f t="shared" ca="1" si="8"/>
        <v>0</v>
      </c>
    </row>
    <row r="54" spans="2:16" ht="20.100000000000001" customHeight="1" x14ac:dyDescent="0.25">
      <c r="B54" s="177" t="s">
        <v>71</v>
      </c>
      <c r="C54" s="178" t="s">
        <v>72</v>
      </c>
      <c r="D54" s="180">
        <f>TARGETS!L8</f>
        <v>610712472</v>
      </c>
      <c r="E54" s="180">
        <f>TARGETS!M8</f>
        <v>46881826.81733489</v>
      </c>
      <c r="F54" s="180">
        <f t="shared" si="0"/>
        <v>657594298.81733489</v>
      </c>
      <c r="G54" s="119">
        <f>M10</f>
        <v>670664362.43227303</v>
      </c>
      <c r="H54" s="119">
        <f t="shared" ref="H54:H58" si="9">N10</f>
        <v>27278643.871089</v>
      </c>
      <c r="I54" s="119">
        <f t="shared" si="1"/>
        <v>697943006.30336201</v>
      </c>
      <c r="J54" s="200">
        <f t="shared" si="2"/>
        <v>1.0613580555041204</v>
      </c>
      <c r="K54" s="197">
        <f t="shared" si="3"/>
        <v>-106108137.36776054</v>
      </c>
      <c r="L54" s="197">
        <f t="shared" ca="1" si="4"/>
        <v>0</v>
      </c>
      <c r="M54" s="193">
        <f t="shared" si="5"/>
        <v>-73228422.42689395</v>
      </c>
      <c r="N54" s="193">
        <f t="shared" ca="1" si="6"/>
        <v>0</v>
      </c>
      <c r="O54" s="198">
        <f t="shared" si="7"/>
        <v>-40348707.486027122</v>
      </c>
      <c r="P54" s="198">
        <f t="shared" ca="1" si="8"/>
        <v>0</v>
      </c>
    </row>
    <row r="55" spans="2:16" ht="20.100000000000001" customHeight="1" x14ac:dyDescent="0.25">
      <c r="B55" s="177" t="s">
        <v>73</v>
      </c>
      <c r="C55" s="178" t="s">
        <v>74</v>
      </c>
      <c r="D55" s="180">
        <f>TARGETS!L9</f>
        <v>405063284</v>
      </c>
      <c r="E55" s="180">
        <f>TARGETS!M9</f>
        <v>82869315.191524148</v>
      </c>
      <c r="F55" s="180">
        <f t="shared" si="0"/>
        <v>487932599.19152415</v>
      </c>
      <c r="G55" s="119">
        <f>M11</f>
        <v>314350697.279998</v>
      </c>
      <c r="H55" s="119">
        <f t="shared" si="9"/>
        <v>42787524.299999997</v>
      </c>
      <c r="I55" s="119">
        <f t="shared" si="1"/>
        <v>357138221.57999802</v>
      </c>
      <c r="J55" s="200">
        <f t="shared" si="2"/>
        <v>0.73194171115386675</v>
      </c>
      <c r="K55" s="197">
        <f t="shared" si="3"/>
        <v>82001117.692373753</v>
      </c>
      <c r="L55" s="197">
        <f t="shared" ca="1" si="4"/>
        <v>0</v>
      </c>
      <c r="M55" s="193">
        <f t="shared" si="5"/>
        <v>106397747.65194988</v>
      </c>
      <c r="N55" s="193">
        <f t="shared" ca="1" si="6"/>
        <v>0</v>
      </c>
      <c r="O55" s="198">
        <f t="shared" si="7"/>
        <v>130794377.61152613</v>
      </c>
      <c r="P55" s="198">
        <f t="shared" ca="1" si="8"/>
        <v>0</v>
      </c>
    </row>
    <row r="56" spans="2:16" ht="20.100000000000001" customHeight="1" x14ac:dyDescent="0.25">
      <c r="B56" s="177" t="s">
        <v>75</v>
      </c>
      <c r="C56" s="178" t="s">
        <v>74</v>
      </c>
      <c r="D56" s="180">
        <f>TARGETS!L10</f>
        <v>473918832</v>
      </c>
      <c r="E56" s="180">
        <f>TARGETS!M10</f>
        <v>81239394.122653604</v>
      </c>
      <c r="F56" s="180">
        <f t="shared" si="0"/>
        <v>555158226.1226536</v>
      </c>
      <c r="G56" s="119">
        <f>M12</f>
        <v>413013469.09840298</v>
      </c>
      <c r="H56" s="119">
        <f t="shared" si="9"/>
        <v>61457252.569306999</v>
      </c>
      <c r="I56" s="119">
        <f t="shared" si="1"/>
        <v>474470721.66770995</v>
      </c>
      <c r="J56" s="200">
        <f t="shared" si="2"/>
        <v>0.85465854479274705</v>
      </c>
      <c r="K56" s="197">
        <f t="shared" si="3"/>
        <v>25171681.842678308</v>
      </c>
      <c r="L56" s="197">
        <f t="shared" ca="1" si="4"/>
        <v>0</v>
      </c>
      <c r="M56" s="193">
        <f t="shared" si="5"/>
        <v>52929593.148810923</v>
      </c>
      <c r="N56" s="193">
        <f t="shared" ca="1" si="6"/>
        <v>0</v>
      </c>
      <c r="O56" s="198">
        <f t="shared" si="7"/>
        <v>80687504.454943657</v>
      </c>
      <c r="P56" s="198">
        <f t="shared" ca="1" si="8"/>
        <v>0</v>
      </c>
    </row>
    <row r="57" spans="2:16" ht="20.100000000000001" customHeight="1" x14ac:dyDescent="0.25">
      <c r="B57" s="177" t="s">
        <v>76</v>
      </c>
      <c r="C57" s="178" t="s">
        <v>77</v>
      </c>
      <c r="D57" s="180">
        <f>TARGETS!L11</f>
        <v>961758345</v>
      </c>
      <c r="E57" s="180">
        <f>TARGETS!M11</f>
        <v>91928576.339156389</v>
      </c>
      <c r="F57" s="180">
        <f t="shared" si="0"/>
        <v>1053686921.3391564</v>
      </c>
      <c r="G57" s="119">
        <f>M13</f>
        <v>1005613301.6380841</v>
      </c>
      <c r="H57" s="119">
        <f t="shared" si="9"/>
        <v>73190755.369811997</v>
      </c>
      <c r="I57" s="119">
        <f t="shared" si="1"/>
        <v>1078804057.0078959</v>
      </c>
      <c r="J57" s="200">
        <f t="shared" si="2"/>
        <v>1.0238373801174427</v>
      </c>
      <c r="K57" s="197">
        <f t="shared" si="3"/>
        <v>-130485827.80265522</v>
      </c>
      <c r="L57" s="197">
        <f t="shared" ca="1" si="4"/>
        <v>0</v>
      </c>
      <c r="M57" s="193">
        <f t="shared" si="5"/>
        <v>-77801481.735697389</v>
      </c>
      <c r="N57" s="193">
        <f t="shared" ca="1" si="6"/>
        <v>0</v>
      </c>
      <c r="O57" s="198">
        <f t="shared" si="7"/>
        <v>-25117135.668739557</v>
      </c>
      <c r="P57" s="198">
        <f t="shared" ca="1" si="8"/>
        <v>0</v>
      </c>
    </row>
    <row r="58" spans="2:16" ht="20.100000000000001" customHeight="1" x14ac:dyDescent="0.25">
      <c r="B58" s="177" t="s">
        <v>78</v>
      </c>
      <c r="C58" s="178" t="s">
        <v>79</v>
      </c>
      <c r="D58" s="180">
        <f>TARGETS!L12</f>
        <v>505287059</v>
      </c>
      <c r="E58" s="180">
        <f>TARGETS!M12</f>
        <v>63781404</v>
      </c>
      <c r="F58" s="180">
        <f t="shared" si="0"/>
        <v>569068463</v>
      </c>
      <c r="G58" s="119">
        <f>M14</f>
        <v>389875776.90495598</v>
      </c>
      <c r="H58" s="119">
        <f t="shared" si="9"/>
        <v>68378257.859753996</v>
      </c>
      <c r="I58" s="119">
        <f>G58+H58</f>
        <v>458254034.76470995</v>
      </c>
      <c r="J58" s="200">
        <f>IFERROR(I58/F58,0)</f>
        <v>0.805270480723705</v>
      </c>
      <c r="K58" s="197">
        <f t="shared" si="3"/>
        <v>53907581.935290039</v>
      </c>
      <c r="L58" s="197">
        <f t="shared" ca="1" si="4"/>
        <v>0</v>
      </c>
      <c r="M58" s="193">
        <f t="shared" si="5"/>
        <v>82361005.085290074</v>
      </c>
      <c r="N58" s="193">
        <f t="shared" ca="1" si="6"/>
        <v>0</v>
      </c>
      <c r="O58" s="198">
        <f t="shared" si="7"/>
        <v>110814428.23529005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TARGETS!L13</f>
        <v>404133664</v>
      </c>
      <c r="E59" s="147">
        <f>TARGETS!M13</f>
        <v>0</v>
      </c>
      <c r="F59" s="147">
        <f>D59+E59</f>
        <v>404133664</v>
      </c>
      <c r="G59" s="119">
        <f>C23</f>
        <v>300521523.82997501</v>
      </c>
      <c r="H59" s="119">
        <f>IF(D23="",0,D23)</f>
        <v>0</v>
      </c>
      <c r="I59" s="119">
        <f>G59+H59</f>
        <v>300521523.82997501</v>
      </c>
      <c r="J59" s="200">
        <f>IFERROR(I59/F59,0)</f>
        <v>0.74361913050127648</v>
      </c>
      <c r="K59" s="197">
        <f t="shared" si="3"/>
        <v>63198773.770025015</v>
      </c>
      <c r="L59" s="197">
        <f t="shared" ca="1" si="4"/>
        <v>0</v>
      </c>
      <c r="M59" s="193">
        <f t="shared" si="5"/>
        <v>83405456.970024943</v>
      </c>
      <c r="N59" s="193">
        <f t="shared" ca="1" si="6"/>
        <v>0</v>
      </c>
      <c r="O59" s="198">
        <f t="shared" si="7"/>
        <v>103612140.17002499</v>
      </c>
      <c r="P59" s="198">
        <f t="shared" ca="1" si="8"/>
        <v>0</v>
      </c>
    </row>
    <row r="60" spans="2:16" ht="20.100000000000001" customHeight="1" x14ac:dyDescent="0.25">
      <c r="B60" s="177" t="s">
        <v>80</v>
      </c>
      <c r="C60" s="178" t="s">
        <v>81</v>
      </c>
      <c r="D60" s="180">
        <f>TARGETS!L14</f>
        <v>404017309</v>
      </c>
      <c r="E60" s="180">
        <f>TARGETS!M14</f>
        <v>138464390.21799541</v>
      </c>
      <c r="F60" s="180">
        <f t="shared" si="0"/>
        <v>542481699.21799541</v>
      </c>
      <c r="G60" s="119">
        <f>M15</f>
        <v>374466810.62618703</v>
      </c>
      <c r="H60" s="119">
        <f t="shared" ref="H60:H64" si="10">N15</f>
        <v>92402940.934527993</v>
      </c>
      <c r="I60" s="119">
        <f t="shared" si="1"/>
        <v>466869751.56071502</v>
      </c>
      <c r="J60" s="200">
        <f t="shared" si="2"/>
        <v>0.86061843603889787</v>
      </c>
      <c r="K60" s="197">
        <f t="shared" si="3"/>
        <v>21363777.735480845</v>
      </c>
      <c r="L60" s="197">
        <f t="shared" ca="1" si="4"/>
        <v>0</v>
      </c>
      <c r="M60" s="193">
        <f t="shared" si="5"/>
        <v>48487862.696380615</v>
      </c>
      <c r="N60" s="193">
        <f t="shared" ca="1" si="6"/>
        <v>0</v>
      </c>
      <c r="O60" s="198">
        <f t="shared" si="7"/>
        <v>75611947.657280385</v>
      </c>
      <c r="P60" s="198">
        <f t="shared" ca="1" si="8"/>
        <v>0</v>
      </c>
    </row>
    <row r="61" spans="2:16" ht="20.100000000000001" customHeight="1" x14ac:dyDescent="0.25">
      <c r="B61" s="177" t="s">
        <v>82</v>
      </c>
      <c r="C61" s="178" t="s">
        <v>83</v>
      </c>
      <c r="D61" s="180">
        <f>TARGETS!L15</f>
        <v>631629596</v>
      </c>
      <c r="E61" s="180">
        <f>TARGETS!M15</f>
        <v>58741600.610625267</v>
      </c>
      <c r="F61" s="180">
        <f t="shared" si="0"/>
        <v>690371196.61062527</v>
      </c>
      <c r="G61" s="119">
        <f>M16</f>
        <v>454249976.114806</v>
      </c>
      <c r="H61" s="119">
        <f t="shared" si="10"/>
        <v>58885063.089941002</v>
      </c>
      <c r="I61" s="119">
        <f t="shared" si="1"/>
        <v>513135039.20474702</v>
      </c>
      <c r="J61" s="200">
        <f t="shared" si="2"/>
        <v>0.74327411358408568</v>
      </c>
      <c r="K61" s="197">
        <f t="shared" si="3"/>
        <v>108199037.74481577</v>
      </c>
      <c r="L61" s="197">
        <f t="shared" ca="1" si="4"/>
        <v>0</v>
      </c>
      <c r="M61" s="193">
        <f t="shared" si="5"/>
        <v>142717597.57534701</v>
      </c>
      <c r="N61" s="193">
        <f t="shared" ca="1" si="6"/>
        <v>0</v>
      </c>
      <c r="O61" s="198">
        <f t="shared" si="7"/>
        <v>177236157.40587825</v>
      </c>
      <c r="P61" s="198">
        <f t="shared" ca="1" si="8"/>
        <v>0</v>
      </c>
    </row>
    <row r="62" spans="2:16" ht="20.100000000000001" customHeight="1" x14ac:dyDescent="0.25">
      <c r="B62" s="177" t="s">
        <v>84</v>
      </c>
      <c r="C62" s="178" t="s">
        <v>85</v>
      </c>
      <c r="D62" s="180">
        <f>TARGETS!L16</f>
        <v>386543023</v>
      </c>
      <c r="E62" s="180">
        <f>TARGETS!M16</f>
        <v>63764154.799813807</v>
      </c>
      <c r="F62" s="180">
        <f t="shared" si="0"/>
        <v>450307177.79981381</v>
      </c>
      <c r="G62" s="119">
        <f>M17</f>
        <v>297882183.23181498</v>
      </c>
      <c r="H62" s="119">
        <f t="shared" si="10"/>
        <v>34050666.405826002</v>
      </c>
      <c r="I62" s="119">
        <f t="shared" si="1"/>
        <v>331932849.63764095</v>
      </c>
      <c r="J62" s="200">
        <f t="shared" si="2"/>
        <v>0.7371253801892611</v>
      </c>
      <c r="K62" s="197">
        <f t="shared" si="3"/>
        <v>73343610.382191479</v>
      </c>
      <c r="L62" s="197">
        <f t="shared" ca="1" si="4"/>
        <v>0</v>
      </c>
      <c r="M62" s="193">
        <f t="shared" si="5"/>
        <v>95858969.272182167</v>
      </c>
      <c r="N62" s="193">
        <f t="shared" ca="1" si="6"/>
        <v>0</v>
      </c>
      <c r="O62" s="198">
        <f t="shared" si="7"/>
        <v>118374328.16217285</v>
      </c>
      <c r="P62" s="198">
        <f t="shared" ca="1" si="8"/>
        <v>0</v>
      </c>
    </row>
    <row r="63" spans="2:16" ht="20.100000000000001" customHeight="1" x14ac:dyDescent="0.25">
      <c r="B63" s="177" t="s">
        <v>86</v>
      </c>
      <c r="C63" s="178" t="s">
        <v>87</v>
      </c>
      <c r="D63" s="180">
        <f>TARGETS!L17</f>
        <v>583350942</v>
      </c>
      <c r="E63" s="180">
        <f>TARGETS!M17</f>
        <v>329806944.99271739</v>
      </c>
      <c r="F63" s="180">
        <f t="shared" si="0"/>
        <v>913157886.99271739</v>
      </c>
      <c r="G63" s="119">
        <f>M18</f>
        <v>686645252.87729704</v>
      </c>
      <c r="H63" s="119">
        <f t="shared" si="10"/>
        <v>191906951.15242499</v>
      </c>
      <c r="I63" s="119">
        <f t="shared" si="1"/>
        <v>878552204.02972198</v>
      </c>
      <c r="J63" s="200">
        <f t="shared" si="2"/>
        <v>0.96210328634737907</v>
      </c>
      <c r="K63" s="197">
        <f t="shared" si="3"/>
        <v>-56710105.736276269</v>
      </c>
      <c r="L63" s="197">
        <f t="shared" ca="1" si="4"/>
        <v>0</v>
      </c>
      <c r="M63" s="193">
        <f t="shared" si="5"/>
        <v>-11052211.386640549</v>
      </c>
      <c r="N63" s="193">
        <f t="shared" ca="1" si="6"/>
        <v>0</v>
      </c>
      <c r="O63" s="198">
        <f t="shared" si="7"/>
        <v>34605682.96299541</v>
      </c>
      <c r="P63" s="198">
        <f t="shared" ca="1" si="8"/>
        <v>0</v>
      </c>
    </row>
    <row r="64" spans="2:16" ht="20.100000000000001" customHeight="1" x14ac:dyDescent="0.25">
      <c r="B64" s="177" t="s">
        <v>88</v>
      </c>
      <c r="C64" s="178" t="s">
        <v>89</v>
      </c>
      <c r="D64" s="180">
        <f>TARGETS!L18</f>
        <v>259525689</v>
      </c>
      <c r="E64" s="180">
        <f>TARGETS!M18</f>
        <v>257970031.90788639</v>
      </c>
      <c r="F64" s="180">
        <f t="shared" si="0"/>
        <v>517495720.90788639</v>
      </c>
      <c r="G64" s="119">
        <f>M19</f>
        <v>298336622.32828599</v>
      </c>
      <c r="H64" s="119">
        <f t="shared" si="10"/>
        <v>128847592.67048</v>
      </c>
      <c r="I64" s="119">
        <f t="shared" si="1"/>
        <v>427184214.99876601</v>
      </c>
      <c r="J64" s="200">
        <f t="shared" si="2"/>
        <v>0.82548356969854886</v>
      </c>
      <c r="K64" s="197">
        <f t="shared" si="3"/>
        <v>38561933.818331778</v>
      </c>
      <c r="L64" s="197">
        <f t="shared" ca="1" si="4"/>
        <v>0</v>
      </c>
      <c r="M64" s="193">
        <f t="shared" si="5"/>
        <v>64436719.86372602</v>
      </c>
      <c r="N64" s="193">
        <f t="shared" ca="1" si="6"/>
        <v>0</v>
      </c>
      <c r="O64" s="198">
        <f t="shared" si="7"/>
        <v>90311505.909120381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6839279332</v>
      </c>
      <c r="E65" s="143">
        <f t="shared" ref="E65" si="11">SUM(E51:E52,E54:E58,E60:E64)</f>
        <v>1475264824.2203617</v>
      </c>
      <c r="F65" s="143">
        <f>SUM(F51:F64)</f>
        <v>8314544156.2203627</v>
      </c>
      <c r="G65" s="144">
        <f>SUM(G51:G64)</f>
        <v>6206485251.788393</v>
      </c>
      <c r="H65" s="144">
        <f>SUM(H51:H64)</f>
        <v>919677494.50367093</v>
      </c>
      <c r="I65" s="144">
        <f>SUM(I51:I64)</f>
        <v>7126162746.2920628</v>
      </c>
      <c r="J65" s="203">
        <f>IFERROR(I65/F65,0)</f>
        <v>0.85707197080200292</v>
      </c>
      <c r="K65" s="194">
        <f>SUM(K51:K64)</f>
        <v>356926994.30626285</v>
      </c>
      <c r="L65" s="194">
        <f t="shared" ca="1" si="4"/>
        <v>0</v>
      </c>
      <c r="M65" s="194">
        <f>SUM(M51:M64)</f>
        <v>772654202.11728036</v>
      </c>
      <c r="N65" s="194">
        <f t="shared" ca="1" si="6"/>
        <v>0</v>
      </c>
      <c r="O65" s="199">
        <f>SUM(O51:O64)</f>
        <v>1188381409.9282987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6" t="s">
        <v>145</v>
      </c>
      <c r="C67" s="277"/>
      <c r="D67" s="277"/>
      <c r="E67" s="277"/>
      <c r="F67" s="277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177" t="s">
        <v>92</v>
      </c>
      <c r="C69" s="178" t="s">
        <v>93</v>
      </c>
      <c r="D69" s="179">
        <f>TARGETS!H22</f>
        <v>278064617.90420955</v>
      </c>
      <c r="E69" s="119">
        <f>IFERROR(C32,0)</f>
        <v>291427595.82048202</v>
      </c>
      <c r="F69" s="200">
        <f t="shared" ref="F69:F74" si="12">IFERROR(E69/D69,0)</f>
        <v>1.0480570955664552</v>
      </c>
      <c r="G69" s="197">
        <f>D69*$H$41-E69</f>
        <v>-41169439.706693411</v>
      </c>
      <c r="H69" s="197">
        <f t="shared" ref="H69:H74" ca="1" si="13">IFERROR(G69/$C$3,0)</f>
        <v>0</v>
      </c>
      <c r="I69" s="218">
        <f>D69*$J$41-E69</f>
        <v>-27266208.811482966</v>
      </c>
      <c r="J69" s="218">
        <f t="shared" ref="J69:J74" ca="1" si="14">IFERROR(I69/$C$3,0)</f>
        <v>0</v>
      </c>
      <c r="K69" s="198">
        <f>D69*$L$41-E69</f>
        <v>-13362977.916272461</v>
      </c>
      <c r="L69" s="198">
        <f t="shared" ref="L69:L74" ca="1" si="15">IFERROR(K69/$C$3,0)</f>
        <v>0</v>
      </c>
    </row>
    <row r="70" spans="2:16" x14ac:dyDescent="0.25">
      <c r="B70" s="177" t="s">
        <v>94</v>
      </c>
      <c r="C70" s="178" t="s">
        <v>95</v>
      </c>
      <c r="D70" s="179">
        <f>TARGETS!H23</f>
        <v>417618553.18652159</v>
      </c>
      <c r="E70" s="119">
        <f>IFERROR(C33,0)</f>
        <v>436148035.92440403</v>
      </c>
      <c r="F70" s="200">
        <f t="shared" si="12"/>
        <v>1.0443693954602793</v>
      </c>
      <c r="G70" s="197">
        <f>D70*$H$41-E70</f>
        <v>-60291338.056534588</v>
      </c>
      <c r="H70" s="197">
        <f t="shared" ca="1" si="13"/>
        <v>0</v>
      </c>
      <c r="I70" s="218">
        <f>D70*$J$41-E70</f>
        <v>-39410410.397208512</v>
      </c>
      <c r="J70" s="218">
        <f t="shared" ca="1" si="14"/>
        <v>0</v>
      </c>
      <c r="K70" s="198">
        <f>D70*$L$41-E70</f>
        <v>-18529482.737882435</v>
      </c>
      <c r="L70" s="198">
        <f t="shared" ca="1" si="15"/>
        <v>0</v>
      </c>
    </row>
    <row r="71" spans="2:16" x14ac:dyDescent="0.25">
      <c r="B71" s="177" t="s">
        <v>96</v>
      </c>
      <c r="C71" s="178" t="s">
        <v>97</v>
      </c>
      <c r="D71" s="179">
        <f>TARGETS!H24</f>
        <v>1087295552.3135247</v>
      </c>
      <c r="E71" s="119">
        <f>M21+M7</f>
        <v>945630576.91965699</v>
      </c>
      <c r="F71" s="200">
        <f t="shared" si="12"/>
        <v>0.86970886150280302</v>
      </c>
      <c r="G71" s="197">
        <f>D71*$H$41-E71</f>
        <v>32935420.162515283</v>
      </c>
      <c r="H71" s="197">
        <f t="shared" ca="1" si="13"/>
        <v>0</v>
      </c>
      <c r="I71" s="218">
        <f>D71*$J$41-E71</f>
        <v>87300197.778191447</v>
      </c>
      <c r="J71" s="218">
        <f t="shared" ca="1" si="14"/>
        <v>0</v>
      </c>
      <c r="K71" s="198">
        <f>D71*$L$41-E71</f>
        <v>141664975.39386773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TARGETS!H25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TARGETS!H26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1782978723.4042559</v>
      </c>
      <c r="E74" s="120">
        <f>SUM(E69:E73)</f>
        <v>1673206208.6645432</v>
      </c>
      <c r="F74" s="188">
        <f t="shared" si="12"/>
        <v>0.93843307645863372</v>
      </c>
      <c r="G74" s="194">
        <f>SUM(G69:G73)</f>
        <v>-68525357.600712717</v>
      </c>
      <c r="H74" s="194">
        <f t="shared" ca="1" si="13"/>
        <v>0</v>
      </c>
      <c r="I74" s="199">
        <f>SUM(I69:I73)</f>
        <v>20623578.569499969</v>
      </c>
      <c r="J74" s="199">
        <f t="shared" ca="1" si="14"/>
        <v>0</v>
      </c>
      <c r="K74" s="199">
        <f>SUM(K69:K73)</f>
        <v>109772514.73971283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8.75" customHeight="1" x14ac:dyDescent="0.25">
      <c r="B78" s="257" t="s">
        <v>41</v>
      </c>
      <c r="C78" s="257" t="s">
        <v>42</v>
      </c>
      <c r="D78" s="126" t="s">
        <v>139</v>
      </c>
    </row>
    <row r="79" spans="2:16" ht="18" customHeight="1" x14ac:dyDescent="0.25">
      <c r="B79" s="257"/>
      <c r="C79" s="257"/>
      <c r="D79" s="71" t="s">
        <v>170</v>
      </c>
    </row>
    <row r="80" spans="2:16" ht="20.100000000000001" customHeight="1" x14ac:dyDescent="0.25">
      <c r="B80" s="177" t="s">
        <v>67</v>
      </c>
      <c r="C80" s="178" t="s">
        <v>68</v>
      </c>
      <c r="D80" s="167">
        <f>IF(E24="",0,E24)</f>
        <v>126214286.45999999</v>
      </c>
    </row>
    <row r="81" spans="2:4" ht="20.100000000000001" customHeight="1" x14ac:dyDescent="0.25">
      <c r="B81" s="177" t="s">
        <v>69</v>
      </c>
      <c r="C81" s="178" t="s">
        <v>70</v>
      </c>
      <c r="D81" s="168">
        <f>IF(E12="",0,E12)+IF(E13="",0,E13)</f>
        <v>93672971.199999988</v>
      </c>
    </row>
    <row r="82" spans="2:4" ht="20.100000000000001" customHeight="1" x14ac:dyDescent="0.25">
      <c r="B82" s="177" t="s">
        <v>174</v>
      </c>
      <c r="C82" s="178" t="s">
        <v>175</v>
      </c>
      <c r="D82" s="168">
        <f>IF(E22="",0,E22)</f>
        <v>12832432.08</v>
      </c>
    </row>
    <row r="83" spans="2:4" ht="20.100000000000001" customHeight="1" x14ac:dyDescent="0.25">
      <c r="B83" s="177" t="s">
        <v>71</v>
      </c>
      <c r="C83" s="178" t="s">
        <v>72</v>
      </c>
      <c r="D83" s="167">
        <f>IF(E14="",0,E14)</f>
        <v>260324322.93000001</v>
      </c>
    </row>
    <row r="84" spans="2:4" ht="20.100000000000001" customHeight="1" x14ac:dyDescent="0.25">
      <c r="B84" s="177" t="s">
        <v>73</v>
      </c>
      <c r="C84" s="178" t="s">
        <v>74</v>
      </c>
      <c r="D84" s="168">
        <f>0</f>
        <v>0</v>
      </c>
    </row>
    <row r="85" spans="2:4" ht="20.100000000000001" customHeight="1" x14ac:dyDescent="0.25">
      <c r="B85" s="177" t="s">
        <v>75</v>
      </c>
      <c r="C85" s="178" t="s">
        <v>74</v>
      </c>
      <c r="D85" s="168">
        <f>IF(E16="",0,E16)</f>
        <v>14439639.5</v>
      </c>
    </row>
    <row r="86" spans="2:4" ht="20.100000000000001" customHeight="1" x14ac:dyDescent="0.25">
      <c r="B86" s="177" t="s">
        <v>76</v>
      </c>
      <c r="C86" s="178" t="s">
        <v>77</v>
      </c>
      <c r="D86" s="168">
        <f>IF(E19="",0,E19)</f>
        <v>709237967.049927</v>
      </c>
    </row>
    <row r="87" spans="2:4" ht="20.100000000000001" customHeight="1" x14ac:dyDescent="0.25">
      <c r="B87" s="177" t="s">
        <v>78</v>
      </c>
      <c r="C87" s="178" t="s">
        <v>79</v>
      </c>
      <c r="D87" s="167">
        <f>IF(E25="",0,E25)</f>
        <v>247976756.949745</v>
      </c>
    </row>
    <row r="88" spans="2:4" ht="20.100000000000001" customHeight="1" x14ac:dyDescent="0.25">
      <c r="B88" s="177" t="s">
        <v>174</v>
      </c>
      <c r="C88" s="178" t="s">
        <v>176</v>
      </c>
      <c r="D88" s="168">
        <f>IF(E23="",0,E23)</f>
        <v>13813693.32</v>
      </c>
    </row>
    <row r="89" spans="2:4" ht="20.100000000000001" customHeight="1" x14ac:dyDescent="0.25">
      <c r="B89" s="177" t="s">
        <v>80</v>
      </c>
      <c r="C89" s="178" t="s">
        <v>81</v>
      </c>
      <c r="D89" s="168">
        <f>IF(E11="",0,E11)</f>
        <v>40868468.799999997</v>
      </c>
    </row>
    <row r="90" spans="2:4" ht="20.100000000000001" customHeight="1" x14ac:dyDescent="0.25">
      <c r="B90" s="177" t="s">
        <v>82</v>
      </c>
      <c r="C90" s="178" t="s">
        <v>83</v>
      </c>
      <c r="D90" s="167">
        <f>IF(E26="",0,E26)</f>
        <v>469103962.04973102</v>
      </c>
    </row>
    <row r="91" spans="2:4" ht="20.100000000000001" customHeight="1" x14ac:dyDescent="0.25">
      <c r="B91" s="177" t="s">
        <v>84</v>
      </c>
      <c r="C91" s="178" t="s">
        <v>85</v>
      </c>
      <c r="D91" s="168">
        <f>IF(E10="",0,E10)</f>
        <v>162788612.639999</v>
      </c>
    </row>
    <row r="92" spans="2:4" ht="20.100000000000001" customHeight="1" x14ac:dyDescent="0.25">
      <c r="B92" s="177" t="s">
        <v>86</v>
      </c>
      <c r="C92" s="178" t="s">
        <v>87</v>
      </c>
      <c r="D92" s="168">
        <f>IF(E27="",0,E27)</f>
        <v>19182702.936000001</v>
      </c>
    </row>
    <row r="93" spans="2:4" ht="20.100000000000001" customHeight="1" x14ac:dyDescent="0.25">
      <c r="B93" s="177" t="s">
        <v>88</v>
      </c>
      <c r="C93" s="178" t="s">
        <v>89</v>
      </c>
      <c r="D93" s="168">
        <f>IF(E20="",0,E20)+IF(E21="",0,E21)</f>
        <v>82886488.079999998</v>
      </c>
    </row>
    <row r="94" spans="2:4" ht="20.100000000000001" customHeight="1" x14ac:dyDescent="0.25">
      <c r="B94" s="57" t="s">
        <v>152</v>
      </c>
      <c r="C94" s="58"/>
      <c r="D94" s="125">
        <f>SUM(D80:D93)</f>
        <v>2253342303.9954014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D69" sqref="D69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6" t="s">
        <v>159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IF($J$5&lt;&gt;"",$J$5,MAX(0,NETWORKDAYS.INTL(MAX(TODAY(),DATE(YEAR(TODAY()),6,1)),EOMONTH(DATE(YEAR(TODAY()),6,1),0),11)-MAX(0,$J$3-$J$4)))</f>
        <v>0</v>
      </c>
      <c r="D3" s="79" t="s">
        <v>104</v>
      </c>
      <c r="E3" s="80">
        <f ca="1">DAY(EOMONTH(DATE(YEAR(TODAY()),6,1),0))</f>
        <v>30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C24</f>
        <v>320575286.94788897</v>
      </c>
      <c r="N8" s="11">
        <f>D24</f>
        <v>55052087.763467997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C12+C13</f>
        <v>548772948.85095096</v>
      </c>
      <c r="N9" s="11">
        <f>D12+D13</f>
        <v>130737490.55623899</v>
      </c>
    </row>
    <row r="10" spans="2:14" x14ac:dyDescent="0.25">
      <c r="B10" s="74" t="s">
        <v>113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6"/>
      <c r="I10" s="116"/>
      <c r="J10" s="116"/>
      <c r="M10" s="11">
        <f>C14</f>
        <v>989456477.77127802</v>
      </c>
      <c r="N10" s="11">
        <f>D14</f>
        <v>37132037.007500999</v>
      </c>
    </row>
    <row r="11" spans="2:14" x14ac:dyDescent="0.25">
      <c r="B11" s="74" t="s">
        <v>114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6"/>
      <c r="I11" s="116"/>
      <c r="J11" s="116"/>
      <c r="M11" s="11">
        <f>C17</f>
        <v>368163765.47890598</v>
      </c>
      <c r="N11" s="11">
        <f>D17</f>
        <v>50693884.710000001</v>
      </c>
    </row>
    <row r="12" spans="2:14" x14ac:dyDescent="0.25">
      <c r="B12" s="74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6"/>
      <c r="I12" s="116"/>
      <c r="J12" s="116"/>
      <c r="M12" s="11">
        <f>C16</f>
        <v>517028510.48846501</v>
      </c>
      <c r="N12" s="11">
        <f>D16</f>
        <v>88679408.048779994</v>
      </c>
    </row>
    <row r="13" spans="2:14" x14ac:dyDescent="0.25">
      <c r="B13" s="74" t="s">
        <v>115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6"/>
      <c r="I13" s="116"/>
      <c r="J13" s="116"/>
      <c r="M13" s="11">
        <f>C19</f>
        <v>1002756079.983186</v>
      </c>
      <c r="N13" s="11">
        <f>D19</f>
        <v>72945098.289833993</v>
      </c>
    </row>
    <row r="14" spans="2:14" x14ac:dyDescent="0.25">
      <c r="B14" s="74" t="s">
        <v>116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6"/>
      <c r="I14" s="116"/>
      <c r="J14" s="116"/>
      <c r="M14" s="11">
        <f>C25</f>
        <v>461849289.23312598</v>
      </c>
      <c r="N14" s="11">
        <f>D25</f>
        <v>75489696.329871997</v>
      </c>
    </row>
    <row r="15" spans="2:14" x14ac:dyDescent="0.25">
      <c r="B15" s="84" t="s">
        <v>117</v>
      </c>
      <c r="C15" s="142"/>
      <c r="D15" s="142"/>
      <c r="E15" s="142"/>
      <c r="F15" s="142"/>
      <c r="H15" s="116"/>
      <c r="I15" s="116"/>
      <c r="J15" s="116"/>
      <c r="M15" s="11">
        <f>C11</f>
        <v>350800236.759597</v>
      </c>
      <c r="N15" s="11">
        <f>D11</f>
        <v>84864795.200103998</v>
      </c>
    </row>
    <row r="16" spans="2:14" x14ac:dyDescent="0.25">
      <c r="B16" s="74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6"/>
      <c r="I16" s="116"/>
      <c r="J16" s="116"/>
      <c r="M16" s="11">
        <f>C26</f>
        <v>508735877.73760903</v>
      </c>
      <c r="N16" s="11">
        <f>D26</f>
        <v>51169801.005402997</v>
      </c>
    </row>
    <row r="17" spans="2:14" x14ac:dyDescent="0.25">
      <c r="B17" s="74" t="s">
        <v>118</v>
      </c>
      <c r="C17" s="15">
        <v>368163765.47890598</v>
      </c>
      <c r="D17" s="15">
        <v>50693884.710000001</v>
      </c>
      <c r="E17" s="15" t="s">
        <v>167</v>
      </c>
      <c r="F17" s="15">
        <v>418857650.18890601</v>
      </c>
      <c r="H17" s="116"/>
      <c r="I17" s="116"/>
      <c r="J17" s="116"/>
      <c r="M17" s="11">
        <f>C10</f>
        <v>322280851.83509499</v>
      </c>
      <c r="N17" s="11">
        <f>D10</f>
        <v>34873341.943994999</v>
      </c>
    </row>
    <row r="18" spans="2:14" x14ac:dyDescent="0.25">
      <c r="B18" s="74" t="s">
        <v>119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6"/>
      <c r="I18" s="116"/>
      <c r="J18" s="116"/>
      <c r="M18" s="11">
        <f>C27</f>
        <v>789357999.90691698</v>
      </c>
      <c r="N18" s="11">
        <f>D27</f>
        <v>235212300.73199099</v>
      </c>
    </row>
    <row r="19" spans="2:14" x14ac:dyDescent="0.25">
      <c r="B19" s="74" t="s">
        <v>121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6"/>
      <c r="I19" s="116"/>
      <c r="J19" s="116"/>
      <c r="M19" s="11">
        <f>C20+C21</f>
        <v>186367654.50230998</v>
      </c>
      <c r="N19" s="11">
        <f>D20+D21</f>
        <v>152552071.034646</v>
      </c>
    </row>
    <row r="20" spans="2:14" x14ac:dyDescent="0.25">
      <c r="B20" s="74" t="s">
        <v>123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6"/>
      <c r="I20" s="116"/>
      <c r="J20" s="116"/>
      <c r="M20" s="14">
        <f>IFERROR(C31,0)+IFERROR(C15,0)+IFERROR(C36,0)</f>
        <v>309645249.995</v>
      </c>
      <c r="N20" s="10" t="s">
        <v>120</v>
      </c>
    </row>
    <row r="21" spans="2:14" x14ac:dyDescent="0.25">
      <c r="B21" s="74" t="s">
        <v>124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6"/>
      <c r="I21" s="116"/>
      <c r="J21" s="116"/>
      <c r="M21" s="14">
        <f>IFERROR(C34,0)+IFERROR(C35,0)+M20</f>
        <v>1208589913.9548378</v>
      </c>
      <c r="N21" s="10" t="s">
        <v>122</v>
      </c>
    </row>
    <row r="22" spans="2:14" x14ac:dyDescent="0.25">
      <c r="B22" s="74" t="s">
        <v>171</v>
      </c>
      <c r="C22" s="15">
        <v>167671841.09999999</v>
      </c>
      <c r="D22" s="15" t="s">
        <v>167</v>
      </c>
      <c r="E22" s="15">
        <v>12540540.199999999</v>
      </c>
      <c r="F22" s="15">
        <v>180212381.30000001</v>
      </c>
      <c r="H22" s="116"/>
      <c r="I22" s="116"/>
      <c r="J22" s="116"/>
    </row>
    <row r="23" spans="2:14" x14ac:dyDescent="0.25">
      <c r="B23" s="74" t="s">
        <v>172</v>
      </c>
      <c r="C23" s="15">
        <v>388937679.18000001</v>
      </c>
      <c r="D23" s="15" t="s">
        <v>167</v>
      </c>
      <c r="E23" s="15">
        <v>17519368.899999999</v>
      </c>
      <c r="F23" s="15">
        <v>406457048.07999998</v>
      </c>
      <c r="H23" s="116"/>
      <c r="I23" s="116"/>
      <c r="J23" s="116"/>
    </row>
    <row r="24" spans="2:14" x14ac:dyDescent="0.25">
      <c r="B24" s="74" t="s">
        <v>125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6"/>
      <c r="I24" s="116"/>
      <c r="J24" s="116"/>
    </row>
    <row r="25" spans="2:14" x14ac:dyDescent="0.25">
      <c r="B25" s="74" t="s">
        <v>126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6"/>
      <c r="I25" s="116"/>
      <c r="J25" s="116"/>
    </row>
    <row r="26" spans="2:14" x14ac:dyDescent="0.25">
      <c r="B26" s="74" t="s">
        <v>127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6"/>
      <c r="I26" s="116"/>
      <c r="J26" s="116"/>
    </row>
    <row r="27" spans="2:14" x14ac:dyDescent="0.25">
      <c r="B27" s="74" t="s">
        <v>128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185272533.73476499</v>
      </c>
      <c r="G32" s="116"/>
      <c r="H32" s="116"/>
      <c r="I32" s="116"/>
    </row>
    <row r="33" spans="2:19" x14ac:dyDescent="0.25">
      <c r="B33" s="84" t="s">
        <v>133</v>
      </c>
      <c r="C33" s="181">
        <v>334871676.45744997</v>
      </c>
      <c r="G33" s="116"/>
      <c r="H33" s="116"/>
      <c r="I33" s="116"/>
    </row>
    <row r="34" spans="2:19" x14ac:dyDescent="0.25">
      <c r="B34" s="84" t="s">
        <v>134</v>
      </c>
      <c r="C34" s="15">
        <v>164253111.869317</v>
      </c>
      <c r="G34" s="116"/>
      <c r="H34" s="116"/>
      <c r="I34" s="116"/>
    </row>
    <row r="35" spans="2:19" x14ac:dyDescent="0.25">
      <c r="B35" s="84" t="s">
        <v>135</v>
      </c>
      <c r="C35" s="15">
        <v>734691552.09052098</v>
      </c>
      <c r="G35" s="116"/>
      <c r="H35" s="116"/>
      <c r="I35" s="116"/>
    </row>
    <row r="36" spans="2:19" x14ac:dyDescent="0.25">
      <c r="B36" s="84" t="s">
        <v>136</v>
      </c>
      <c r="C36" s="15">
        <v>309645249.995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ht="20.100000000000001" customHeight="1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7" t="s">
        <v>182</v>
      </c>
      <c r="C41" s="268"/>
      <c r="D41" s="269"/>
      <c r="E41" s="67" t="s">
        <v>138</v>
      </c>
      <c r="F41" s="185">
        <f ca="1">IF(MONTH(TODAY())=6,DAY(TODAY())/DAY(EOMONTH(TODAY(),0)),IF(MONTH(TODAY())&gt;6,1,0))</f>
        <v>1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20.100000000000001" customHeight="1" x14ac:dyDescent="0.25">
      <c r="B43" s="114" t="s">
        <v>143</v>
      </c>
      <c r="C43" s="41" t="s">
        <v>144</v>
      </c>
      <c r="D43" s="45">
        <f>SUM(TARGETS!N5:N7,TARGETS!N8:N13,TARGETS!N14:N18)</f>
        <v>7259279332</v>
      </c>
      <c r="E43" s="46">
        <f>G65</f>
        <v>6922754499.7753286</v>
      </c>
      <c r="F43" s="187">
        <f>IFERROR(E43/D43,0)</f>
        <v>0.95364211558284873</v>
      </c>
      <c r="G43" s="197">
        <f>D43*$H$41-E43</f>
        <v>-389403100.97532845</v>
      </c>
      <c r="H43" s="197">
        <f ca="1">IFERROR(G43/$C$3,0)</f>
        <v>0</v>
      </c>
      <c r="I43" s="218">
        <f>D43*$J$41-E43</f>
        <v>-26439134.375329018</v>
      </c>
      <c r="J43" s="218">
        <f ca="1">IFERROR(I43/$C$3,0)</f>
        <v>0</v>
      </c>
      <c r="K43" s="198">
        <f>D43*$L$41-E43</f>
        <v>336524832.22467136</v>
      </c>
      <c r="L43" s="198">
        <f ca="1">IFERROR(K43/$C$3,0)</f>
        <v>0</v>
      </c>
      <c r="S43" s="184">
        <v>0.8</v>
      </c>
    </row>
    <row r="44" spans="2:19" ht="20.100000000000001" customHeight="1" x14ac:dyDescent="0.25">
      <c r="B44" s="114" t="s">
        <v>111</v>
      </c>
      <c r="C44" s="41" t="s">
        <v>144</v>
      </c>
      <c r="D44" s="45">
        <f>SUM(TARGETS!O5:O6,TARGETS!O8:O12,TARGETS!O14:O18)</f>
        <v>1809425059</v>
      </c>
      <c r="E44" s="46">
        <f>N8+N9+N10+N11+N12+N13+N14+N15+N16+N17+N18+N19</f>
        <v>1069402012.6218331</v>
      </c>
      <c r="F44" s="187">
        <f>IFERROR(E44/D44,0)</f>
        <v>0.59101757616469108</v>
      </c>
      <c r="G44" s="197">
        <f>D44*$H$41-E44</f>
        <v>559080540.47816706</v>
      </c>
      <c r="H44" s="197">
        <f ca="1">IFERROR(G44/$C$3,0)</f>
        <v>0</v>
      </c>
      <c r="I44" s="218">
        <f>D44*$J$41-E44</f>
        <v>649551793.42816687</v>
      </c>
      <c r="J44" s="218">
        <f ca="1">IFERROR(I44/$C$3,0)</f>
        <v>0</v>
      </c>
      <c r="K44" s="198">
        <f>D44*$L$41-E44</f>
        <v>740023046.37816691</v>
      </c>
      <c r="L44" s="198">
        <f ca="1">IFERROR(K44/$C$3,0)</f>
        <v>0</v>
      </c>
      <c r="S44" s="184">
        <v>0.85</v>
      </c>
    </row>
    <row r="45" spans="2:19" ht="20.100000000000001" customHeight="1" x14ac:dyDescent="0.25">
      <c r="B45" s="114" t="s">
        <v>145</v>
      </c>
      <c r="C45" s="41" t="s">
        <v>144</v>
      </c>
      <c r="D45" s="45">
        <f>SUM(TARGETS!I22:I26)</f>
        <v>1830851064</v>
      </c>
      <c r="E45" s="46">
        <f>IFERROR(C32,0)+IFERROR(C33,0)+M21+F9</f>
        <v>1728734124.1470528</v>
      </c>
      <c r="F45" s="187">
        <f>IFERROR(E45/D45,0)</f>
        <v>0.9442243326828319</v>
      </c>
      <c r="G45" s="197">
        <f>D45*$H$41-E45</f>
        <v>-80968166.547052622</v>
      </c>
      <c r="H45" s="197">
        <f ca="1">IFERROR(G45/$C$3,0)</f>
        <v>0</v>
      </c>
      <c r="I45" s="218">
        <f>D45*$J$41-E45</f>
        <v>10574386.652947187</v>
      </c>
      <c r="J45" s="218">
        <f ca="1">IFERROR(I45/$C$3,0)</f>
        <v>0</v>
      </c>
      <c r="K45" s="198">
        <f>D45*$L$41-E45</f>
        <v>102116939.85294724</v>
      </c>
      <c r="L45" s="198">
        <f ca="1">IFERROR(K45/$C$3,0)</f>
        <v>0</v>
      </c>
      <c r="S45" s="184">
        <v>0.9</v>
      </c>
    </row>
    <row r="46" spans="2:19" ht="18.75" customHeight="1" x14ac:dyDescent="0.25">
      <c r="B46" s="255" t="s">
        <v>146</v>
      </c>
      <c r="C46" s="256"/>
      <c r="D46" s="47">
        <f>D43+D44+D45</f>
        <v>10899555455</v>
      </c>
      <c r="E46" s="47">
        <f>E43+E44+E45</f>
        <v>9720890636.5442142</v>
      </c>
      <c r="F46" s="188">
        <f>IFERROR(E46/D46,0)</f>
        <v>0.89186120265894953</v>
      </c>
      <c r="G46" s="194">
        <f>G43+G44+G45</f>
        <v>88709272.95578599</v>
      </c>
      <c r="H46" s="194">
        <f ca="1">IFERROR(G46/$C$3,0)</f>
        <v>0</v>
      </c>
      <c r="I46" s="199">
        <f>I43+I44+I45</f>
        <v>633687045.70578504</v>
      </c>
      <c r="J46" s="199">
        <f ca="1">IFERROR(I46/$C$3,0)</f>
        <v>0</v>
      </c>
      <c r="K46" s="199">
        <f>K43+K44+K45</f>
        <v>1178664818.4557855</v>
      </c>
      <c r="L46" s="199">
        <f ca="1">IFERROR(K46/$C$3,0)</f>
        <v>0</v>
      </c>
      <c r="S46" s="184">
        <v>0.95</v>
      </c>
    </row>
    <row r="47" spans="2:19" ht="17.100000000000001" customHeight="1" x14ac:dyDescent="0.25">
      <c r="G47" s="116"/>
      <c r="H47" s="116"/>
      <c r="I47" s="116"/>
      <c r="S47" s="184">
        <v>1</v>
      </c>
    </row>
    <row r="48" spans="2:19" ht="80.099999999999994" customHeight="1" x14ac:dyDescent="0.25">
      <c r="B48" s="270" t="s">
        <v>147</v>
      </c>
      <c r="C48" s="271"/>
      <c r="D48" s="271"/>
      <c r="E48" s="271"/>
      <c r="F48" s="271"/>
      <c r="G48" s="271"/>
      <c r="H48" s="271"/>
      <c r="I48" s="271"/>
      <c r="J48" s="271"/>
      <c r="K48" s="258" t="s">
        <v>188</v>
      </c>
      <c r="L48" s="259"/>
      <c r="M48" s="259"/>
      <c r="N48" s="259"/>
      <c r="O48" s="259"/>
      <c r="P48" s="260"/>
    </row>
    <row r="49" spans="2:16" ht="33.950000000000003" customHeight="1" x14ac:dyDescent="0.25">
      <c r="B49" s="257" t="s">
        <v>41</v>
      </c>
      <c r="C49" s="257" t="s">
        <v>42</v>
      </c>
      <c r="D49" s="252" t="s">
        <v>138</v>
      </c>
      <c r="E49" s="253"/>
      <c r="F49" s="254"/>
      <c r="G49" s="117" t="s">
        <v>139</v>
      </c>
      <c r="H49" s="117"/>
      <c r="I49" s="117"/>
      <c r="J49" s="252" t="s">
        <v>140</v>
      </c>
      <c r="K49" s="261" t="str">
        <f>"SELISIH"&amp;CHAR(10)&amp;TEXT($H$41,"0%")</f>
        <v>SELISIH
90%</v>
      </c>
      <c r="L49" s="261" t="str">
        <f>"PER HARI"&amp;CHAR(10)&amp;TEXT($H$41,"0%")</f>
        <v>PER HARI
90%</v>
      </c>
      <c r="M49" s="263" t="str">
        <f>"SELISIH"&amp;CHAR(10)&amp;TEXT($J$41,"0%")</f>
        <v>SELISIH
95%</v>
      </c>
      <c r="N49" s="263" t="str">
        <f>"PER HARI"&amp;CHAR(10)&amp;TEXT($J$41,"0%")</f>
        <v>PER HARI
95%</v>
      </c>
      <c r="O49" s="265" t="str">
        <f>"SELISIH"&amp;CHAR(10)&amp;TEXT($L$41,"0%")</f>
        <v>SELISIH
100%</v>
      </c>
      <c r="P49" s="265" t="str">
        <f>"PER HARI"&amp;CHAR(10)&amp;TEXT($L$41,"0%")</f>
        <v>PER HARI
100%</v>
      </c>
    </row>
    <row r="50" spans="2:16" ht="19.5" customHeight="1" x14ac:dyDescent="0.25">
      <c r="B50" s="257"/>
      <c r="C50" s="257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2"/>
      <c r="K50" s="262"/>
      <c r="L50" s="262"/>
      <c r="M50" s="264"/>
      <c r="N50" s="264"/>
      <c r="O50" s="266"/>
      <c r="P50" s="266"/>
    </row>
    <row r="51" spans="2:16" ht="20.100000000000001" customHeight="1" x14ac:dyDescent="0.25">
      <c r="B51" s="50" t="s">
        <v>67</v>
      </c>
      <c r="C51" s="55" t="s">
        <v>68</v>
      </c>
      <c r="D51" s="123">
        <f>TARGETS!N5</f>
        <v>451683478</v>
      </c>
      <c r="E51" s="123">
        <f>TARGETS!O5</f>
        <v>101830423</v>
      </c>
      <c r="F51" s="123">
        <f t="shared" ref="F51:F64" si="0">D51+E51</f>
        <v>553513901</v>
      </c>
      <c r="G51" s="119">
        <f>M8</f>
        <v>320575286.94788897</v>
      </c>
      <c r="H51" s="119">
        <f>N8</f>
        <v>55052087.763467997</v>
      </c>
      <c r="I51" s="119">
        <f t="shared" ref="I51:I64" si="1">G51+H51</f>
        <v>375627374.711357</v>
      </c>
      <c r="J51" s="200">
        <f t="shared" ref="J51:J64" si="2">IFERROR(I51/F51,0)</f>
        <v>0.6786231999462593</v>
      </c>
      <c r="K51" s="197">
        <f t="shared" ref="K51:K64" si="3">F51*$H$41-I51</f>
        <v>122535136.18864304</v>
      </c>
      <c r="L51" s="197">
        <f t="shared" ref="L51:L65" ca="1" si="4">IFERROR(K51/$C$3,0)</f>
        <v>0</v>
      </c>
      <c r="M51" s="193">
        <f t="shared" ref="M51:M64" si="5">F51*$J$41-I51</f>
        <v>150210831.23864299</v>
      </c>
      <c r="N51" s="193">
        <f t="shared" ref="N51:N65" ca="1" si="6">IFERROR(M51/$C$3,0)</f>
        <v>0</v>
      </c>
      <c r="O51" s="198">
        <f t="shared" ref="O51:O64" si="7">F51*$L$41-I51</f>
        <v>177886526.288643</v>
      </c>
      <c r="P51" s="198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24">
        <f>TARGETS!N6</f>
        <v>590182371</v>
      </c>
      <c r="E52" s="124">
        <f>TARGETS!O6</f>
        <v>225106806</v>
      </c>
      <c r="F52" s="124">
        <f t="shared" si="0"/>
        <v>815289177</v>
      </c>
      <c r="G52" s="119">
        <f>M9</f>
        <v>548772948.85095096</v>
      </c>
      <c r="H52" s="119">
        <f>N9</f>
        <v>130737490.55623899</v>
      </c>
      <c r="I52" s="119">
        <f t="shared" si="1"/>
        <v>679510439.40718997</v>
      </c>
      <c r="J52" s="200">
        <f t="shared" si="2"/>
        <v>0.83345941363721787</v>
      </c>
      <c r="K52" s="197">
        <f t="shared" si="3"/>
        <v>54249819.892810106</v>
      </c>
      <c r="L52" s="197">
        <f t="shared" ca="1" si="4"/>
        <v>0</v>
      </c>
      <c r="M52" s="193">
        <f t="shared" si="5"/>
        <v>95014278.742810011</v>
      </c>
      <c r="N52" s="193">
        <f t="shared" ca="1" si="6"/>
        <v>0</v>
      </c>
      <c r="O52" s="198">
        <f t="shared" si="7"/>
        <v>135778737.59281003</v>
      </c>
      <c r="P52" s="198">
        <f t="shared" ca="1" si="8"/>
        <v>0</v>
      </c>
    </row>
    <row r="53" spans="2:16" ht="20.100000000000001" customHeight="1" x14ac:dyDescent="0.25">
      <c r="B53" s="145" t="s">
        <v>174</v>
      </c>
      <c r="C53" s="146" t="s">
        <v>175</v>
      </c>
      <c r="D53" s="147">
        <f>TARGETS!N7</f>
        <v>241473268</v>
      </c>
      <c r="E53" s="147">
        <f>TARGETS!O7</f>
        <v>0</v>
      </c>
      <c r="F53" s="147">
        <f>D53+E53</f>
        <v>241473268</v>
      </c>
      <c r="G53" s="119">
        <f>C22</f>
        <v>167671841.09999999</v>
      </c>
      <c r="H53" s="119">
        <f>IF(D22="",0,D22)</f>
        <v>0</v>
      </c>
      <c r="I53" s="119">
        <f>G53+H53</f>
        <v>167671841.09999999</v>
      </c>
      <c r="J53" s="200">
        <f>IFERROR(I53/F53,0)</f>
        <v>0.69437019877496331</v>
      </c>
      <c r="K53" s="197">
        <f t="shared" si="3"/>
        <v>49654100.100000024</v>
      </c>
      <c r="L53" s="197">
        <f t="shared" ca="1" si="4"/>
        <v>0</v>
      </c>
      <c r="M53" s="193">
        <f t="shared" si="5"/>
        <v>61727763.5</v>
      </c>
      <c r="N53" s="193">
        <f t="shared" ca="1" si="6"/>
        <v>0</v>
      </c>
      <c r="O53" s="198">
        <f t="shared" si="7"/>
        <v>73801426.900000006</v>
      </c>
      <c r="P53" s="198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24">
        <f>TARGETS!N8</f>
        <v>645712472</v>
      </c>
      <c r="E54" s="124">
        <f>TARGETS!O8</f>
        <v>80441848</v>
      </c>
      <c r="F54" s="124">
        <f t="shared" si="0"/>
        <v>726154320</v>
      </c>
      <c r="G54" s="119">
        <f>M10</f>
        <v>989456477.77127802</v>
      </c>
      <c r="H54" s="119">
        <f t="shared" ref="H54:H58" si="9">N10</f>
        <v>37132037.007500999</v>
      </c>
      <c r="I54" s="119">
        <f t="shared" si="1"/>
        <v>1026588514.778779</v>
      </c>
      <c r="J54" s="200">
        <f t="shared" si="2"/>
        <v>1.4137332609668687</v>
      </c>
      <c r="K54" s="197">
        <f t="shared" si="3"/>
        <v>-373049626.77877903</v>
      </c>
      <c r="L54" s="197">
        <f t="shared" ca="1" si="4"/>
        <v>0</v>
      </c>
      <c r="M54" s="193">
        <f t="shared" si="5"/>
        <v>-336741910.77877903</v>
      </c>
      <c r="N54" s="193">
        <f t="shared" ca="1" si="6"/>
        <v>0</v>
      </c>
      <c r="O54" s="198">
        <f t="shared" si="7"/>
        <v>-300434194.77877903</v>
      </c>
      <c r="P54" s="198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23">
        <f>TARGETS!N9</f>
        <v>508918832</v>
      </c>
      <c r="E55" s="123">
        <f>TARGETS!O9</f>
        <v>80519404</v>
      </c>
      <c r="F55" s="123">
        <f t="shared" si="0"/>
        <v>589438236</v>
      </c>
      <c r="G55" s="119">
        <f>M11</f>
        <v>368163765.47890598</v>
      </c>
      <c r="H55" s="119">
        <f t="shared" si="9"/>
        <v>50693884.710000001</v>
      </c>
      <c r="I55" s="119">
        <f t="shared" si="1"/>
        <v>418857650.18890595</v>
      </c>
      <c r="J55" s="200">
        <f t="shared" si="2"/>
        <v>0.71060481761638883</v>
      </c>
      <c r="K55" s="197">
        <f t="shared" si="3"/>
        <v>111636762.21109408</v>
      </c>
      <c r="L55" s="197">
        <f t="shared" ca="1" si="4"/>
        <v>0</v>
      </c>
      <c r="M55" s="193">
        <f t="shared" si="5"/>
        <v>141108674.01109397</v>
      </c>
      <c r="N55" s="193">
        <f t="shared" ca="1" si="6"/>
        <v>0</v>
      </c>
      <c r="O55" s="198">
        <f t="shared" si="7"/>
        <v>170580585.81109405</v>
      </c>
      <c r="P55" s="198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24">
        <f>TARGETS!N10</f>
        <v>440063284</v>
      </c>
      <c r="E56" s="124">
        <f>TARGETS!O10</f>
        <v>82149325</v>
      </c>
      <c r="F56" s="124">
        <f t="shared" si="0"/>
        <v>522212609</v>
      </c>
      <c r="G56" s="119">
        <f>M12</f>
        <v>517028510.48846501</v>
      </c>
      <c r="H56" s="119">
        <f t="shared" si="9"/>
        <v>88679408.048779994</v>
      </c>
      <c r="I56" s="119">
        <f t="shared" si="1"/>
        <v>605707918.53724504</v>
      </c>
      <c r="J56" s="200">
        <f t="shared" si="2"/>
        <v>1.1598875785422582</v>
      </c>
      <c r="K56" s="197">
        <f t="shared" si="3"/>
        <v>-135716570.43724501</v>
      </c>
      <c r="L56" s="197">
        <f t="shared" ca="1" si="4"/>
        <v>0</v>
      </c>
      <c r="M56" s="193">
        <f t="shared" si="5"/>
        <v>-109605939.98724508</v>
      </c>
      <c r="N56" s="193">
        <f t="shared" ca="1" si="6"/>
        <v>0</v>
      </c>
      <c r="O56" s="198">
        <f t="shared" si="7"/>
        <v>-83495309.537245035</v>
      </c>
      <c r="P56" s="198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23">
        <f>TARGETS!N11</f>
        <v>996758345</v>
      </c>
      <c r="E57" s="123">
        <f>TARGETS!O11</f>
        <v>125488598</v>
      </c>
      <c r="F57" s="123">
        <f t="shared" si="0"/>
        <v>1122246943</v>
      </c>
      <c r="G57" s="119">
        <f>M13</f>
        <v>1002756079.983186</v>
      </c>
      <c r="H57" s="119">
        <f t="shared" si="9"/>
        <v>72945098.289833993</v>
      </c>
      <c r="I57" s="119">
        <f t="shared" si="1"/>
        <v>1075701178.27302</v>
      </c>
      <c r="J57" s="200">
        <f t="shared" si="2"/>
        <v>0.95852448962564918</v>
      </c>
      <c r="K57" s="197">
        <f t="shared" si="3"/>
        <v>-65678929.573019981</v>
      </c>
      <c r="L57" s="197">
        <f t="shared" ca="1" si="4"/>
        <v>0</v>
      </c>
      <c r="M57" s="193">
        <f t="shared" si="5"/>
        <v>-9566582.4230201244</v>
      </c>
      <c r="N57" s="193">
        <f t="shared" ca="1" si="6"/>
        <v>0</v>
      </c>
      <c r="O57" s="198">
        <f t="shared" si="7"/>
        <v>46545764.726979971</v>
      </c>
      <c r="P57" s="198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24">
        <f>TARGETS!N12</f>
        <v>540287059</v>
      </c>
      <c r="E58" s="124">
        <f>TARGETS!O12</f>
        <v>97341426</v>
      </c>
      <c r="F58" s="124">
        <f t="shared" si="0"/>
        <v>637628485</v>
      </c>
      <c r="G58" s="119">
        <f>M14</f>
        <v>461849289.23312598</v>
      </c>
      <c r="H58" s="119">
        <f t="shared" si="9"/>
        <v>75489696.329871997</v>
      </c>
      <c r="I58" s="119">
        <f>G58+H58</f>
        <v>537338985.56299794</v>
      </c>
      <c r="J58" s="200">
        <f>IFERROR(I58/F58,0)</f>
        <v>0.84271483819139281</v>
      </c>
      <c r="K58" s="197">
        <f t="shared" si="3"/>
        <v>36526650.937002063</v>
      </c>
      <c r="L58" s="197">
        <f t="shared" ca="1" si="4"/>
        <v>0</v>
      </c>
      <c r="M58" s="193">
        <f t="shared" si="5"/>
        <v>68408075.187002063</v>
      </c>
      <c r="N58" s="193">
        <f t="shared" ca="1" si="6"/>
        <v>0</v>
      </c>
      <c r="O58" s="198">
        <f t="shared" si="7"/>
        <v>100289499.43700206</v>
      </c>
      <c r="P58" s="198">
        <f t="shared" ca="1" si="8"/>
        <v>0</v>
      </c>
    </row>
    <row r="59" spans="2:16" ht="20.100000000000001" customHeight="1" x14ac:dyDescent="0.25">
      <c r="B59" s="145" t="s">
        <v>174</v>
      </c>
      <c r="C59" s="146" t="s">
        <v>176</v>
      </c>
      <c r="D59" s="147">
        <f>TARGETS!N13</f>
        <v>404133664</v>
      </c>
      <c r="E59" s="147">
        <f>TARGETS!O13</f>
        <v>0</v>
      </c>
      <c r="F59" s="147">
        <f>D59+E59</f>
        <v>404133664</v>
      </c>
      <c r="G59" s="119">
        <f>C23</f>
        <v>388937679.18000001</v>
      </c>
      <c r="H59" s="119">
        <f>IF(D23="",0,D23)</f>
        <v>0</v>
      </c>
      <c r="I59" s="119">
        <f>G59+H59</f>
        <v>388937679.18000001</v>
      </c>
      <c r="J59" s="200">
        <f>IFERROR(I59/F59,0)</f>
        <v>0.96239861666163995</v>
      </c>
      <c r="K59" s="197">
        <f t="shared" si="3"/>
        <v>-25217381.579999983</v>
      </c>
      <c r="L59" s="197">
        <f t="shared" ca="1" si="4"/>
        <v>0</v>
      </c>
      <c r="M59" s="193">
        <f t="shared" si="5"/>
        <v>-5010698.3800000548</v>
      </c>
      <c r="N59" s="193">
        <f t="shared" ca="1" si="6"/>
        <v>0</v>
      </c>
      <c r="O59" s="198">
        <f t="shared" si="7"/>
        <v>15195984.819999993</v>
      </c>
      <c r="P59" s="198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24">
        <f>TARGETS!N14</f>
        <v>439017309</v>
      </c>
      <c r="E60" s="124">
        <f>TARGETS!O14</f>
        <v>172024412</v>
      </c>
      <c r="F60" s="124">
        <f t="shared" si="0"/>
        <v>611041721</v>
      </c>
      <c r="G60" s="119">
        <f>M15</f>
        <v>350800236.759597</v>
      </c>
      <c r="H60" s="119">
        <f t="shared" ref="H60:H64" si="10">N15</f>
        <v>84864795.200103998</v>
      </c>
      <c r="I60" s="119">
        <f t="shared" si="1"/>
        <v>435665031.959701</v>
      </c>
      <c r="J60" s="200">
        <f t="shared" si="2"/>
        <v>0.71298737383547828</v>
      </c>
      <c r="K60" s="197">
        <f t="shared" si="3"/>
        <v>114272516.94029897</v>
      </c>
      <c r="L60" s="197">
        <f t="shared" ca="1" si="4"/>
        <v>0</v>
      </c>
      <c r="M60" s="193">
        <f t="shared" si="5"/>
        <v>144824602.99029893</v>
      </c>
      <c r="N60" s="193">
        <f t="shared" ca="1" si="6"/>
        <v>0</v>
      </c>
      <c r="O60" s="198">
        <f t="shared" si="7"/>
        <v>175376689.040299</v>
      </c>
      <c r="P60" s="198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23">
        <f>TARGETS!N15</f>
        <v>666629596</v>
      </c>
      <c r="E61" s="123">
        <f>TARGETS!O15</f>
        <v>92301622</v>
      </c>
      <c r="F61" s="123">
        <f t="shared" si="0"/>
        <v>758931218</v>
      </c>
      <c r="G61" s="119">
        <f>M16</f>
        <v>508735877.73760903</v>
      </c>
      <c r="H61" s="119">
        <f t="shared" si="10"/>
        <v>51169801.005402997</v>
      </c>
      <c r="I61" s="119">
        <f t="shared" si="1"/>
        <v>559905678.74301207</v>
      </c>
      <c r="J61" s="200">
        <f t="shared" si="2"/>
        <v>0.73775549807863094</v>
      </c>
      <c r="K61" s="197">
        <f t="shared" si="3"/>
        <v>123132417.45698798</v>
      </c>
      <c r="L61" s="197">
        <f t="shared" ca="1" si="4"/>
        <v>0</v>
      </c>
      <c r="M61" s="193">
        <f t="shared" si="5"/>
        <v>161078978.35698795</v>
      </c>
      <c r="N61" s="193">
        <f t="shared" ca="1" si="6"/>
        <v>0</v>
      </c>
      <c r="O61" s="198">
        <f t="shared" si="7"/>
        <v>199025539.25698793</v>
      </c>
      <c r="P61" s="198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24">
        <f>TARGETS!N16</f>
        <v>421543023</v>
      </c>
      <c r="E62" s="124">
        <f>TARGETS!O16</f>
        <v>97324176</v>
      </c>
      <c r="F62" s="124">
        <f t="shared" si="0"/>
        <v>518867199</v>
      </c>
      <c r="G62" s="119">
        <f>M17</f>
        <v>322280851.83509499</v>
      </c>
      <c r="H62" s="119">
        <f t="shared" si="10"/>
        <v>34873341.943994999</v>
      </c>
      <c r="I62" s="119">
        <f t="shared" si="1"/>
        <v>357154193.77908999</v>
      </c>
      <c r="J62" s="200">
        <f t="shared" si="2"/>
        <v>0.6883344995933921</v>
      </c>
      <c r="K62" s="197">
        <f t="shared" si="3"/>
        <v>109826285.32091004</v>
      </c>
      <c r="L62" s="197">
        <f t="shared" ca="1" si="4"/>
        <v>0</v>
      </c>
      <c r="M62" s="193">
        <f t="shared" si="5"/>
        <v>135769645.27090997</v>
      </c>
      <c r="N62" s="193">
        <f t="shared" ca="1" si="6"/>
        <v>0</v>
      </c>
      <c r="O62" s="198">
        <f t="shared" si="7"/>
        <v>161713005.22091001</v>
      </c>
      <c r="P62" s="198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23">
        <f>TARGETS!N17</f>
        <v>618350942</v>
      </c>
      <c r="E63" s="123">
        <f>TARGETS!O17</f>
        <v>363366966</v>
      </c>
      <c r="F63" s="123">
        <f t="shared" si="0"/>
        <v>981717908</v>
      </c>
      <c r="G63" s="119">
        <f>M18</f>
        <v>789357999.90691698</v>
      </c>
      <c r="H63" s="119">
        <f t="shared" si="10"/>
        <v>235212300.73199099</v>
      </c>
      <c r="I63" s="119">
        <f t="shared" si="1"/>
        <v>1024570300.6389079</v>
      </c>
      <c r="J63" s="200">
        <f t="shared" si="2"/>
        <v>1.0436504135146203</v>
      </c>
      <c r="K63" s="197">
        <f t="shared" si="3"/>
        <v>-141024183.43890786</v>
      </c>
      <c r="L63" s="197">
        <f t="shared" ca="1" si="4"/>
        <v>0</v>
      </c>
      <c r="M63" s="193">
        <f t="shared" si="5"/>
        <v>-91938288.038908005</v>
      </c>
      <c r="N63" s="193">
        <f t="shared" ca="1" si="6"/>
        <v>0</v>
      </c>
      <c r="O63" s="198">
        <f t="shared" si="7"/>
        <v>-42852392.638907909</v>
      </c>
      <c r="P63" s="198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24">
        <f>TARGETS!N18</f>
        <v>294525689</v>
      </c>
      <c r="E64" s="124">
        <f>TARGETS!O18</f>
        <v>291530053</v>
      </c>
      <c r="F64" s="124">
        <f t="shared" si="0"/>
        <v>586055742</v>
      </c>
      <c r="G64" s="119">
        <f>M19</f>
        <v>186367654.50230998</v>
      </c>
      <c r="H64" s="119">
        <f t="shared" si="10"/>
        <v>152552071.034646</v>
      </c>
      <c r="I64" s="119">
        <f t="shared" si="1"/>
        <v>338919725.53695595</v>
      </c>
      <c r="J64" s="200">
        <f t="shared" si="2"/>
        <v>0.57830629622421814</v>
      </c>
      <c r="K64" s="197">
        <f t="shared" si="3"/>
        <v>188530442.26304406</v>
      </c>
      <c r="L64" s="197">
        <f t="shared" ca="1" si="4"/>
        <v>0</v>
      </c>
      <c r="M64" s="193">
        <f t="shared" si="5"/>
        <v>217833229.36304402</v>
      </c>
      <c r="N64" s="193">
        <f t="shared" ca="1" si="6"/>
        <v>0</v>
      </c>
      <c r="O64" s="198">
        <f t="shared" si="7"/>
        <v>247136016.46304405</v>
      </c>
      <c r="P64" s="198">
        <f t="shared" ca="1" si="8"/>
        <v>0</v>
      </c>
    </row>
    <row r="65" spans="2:16" ht="20.100000000000001" customHeight="1" x14ac:dyDescent="0.25">
      <c r="B65" s="57" t="s">
        <v>152</v>
      </c>
      <c r="C65" s="58"/>
      <c r="D65" s="143">
        <f>SUM(D51:D64)</f>
        <v>7259279332</v>
      </c>
      <c r="E65" s="143">
        <f t="shared" ref="E65" si="11">SUM(E51:E52,E54:E58,E60:E64)</f>
        <v>1809425059</v>
      </c>
      <c r="F65" s="143">
        <f>SUM(F51:F64)</f>
        <v>9068704391</v>
      </c>
      <c r="G65" s="144">
        <f>SUM(G51:G64)</f>
        <v>6922754499.7753286</v>
      </c>
      <c r="H65" s="144">
        <f>SUM(H51:H64)</f>
        <v>1069402012.6218331</v>
      </c>
      <c r="I65" s="144">
        <f>SUM(I51:I64)</f>
        <v>7992156512.3971605</v>
      </c>
      <c r="J65" s="203">
        <f>IFERROR(I65/F65,0)</f>
        <v>0.88128978162842853</v>
      </c>
      <c r="K65" s="194">
        <f>SUM(K51:K64)</f>
        <v>169677439.50283849</v>
      </c>
      <c r="L65" s="194">
        <f t="shared" ca="1" si="4"/>
        <v>0</v>
      </c>
      <c r="M65" s="194">
        <f>SUM(M51:M64)</f>
        <v>623112659.05283761</v>
      </c>
      <c r="N65" s="194">
        <f t="shared" ca="1" si="6"/>
        <v>0</v>
      </c>
      <c r="O65" s="199">
        <f>SUM(O51:O64)</f>
        <v>1076547878.602838</v>
      </c>
      <c r="P65" s="199">
        <f t="shared" ca="1" si="8"/>
        <v>0</v>
      </c>
    </row>
    <row r="66" spans="2:16" x14ac:dyDescent="0.25">
      <c r="G66" s="116"/>
      <c r="H66" s="116"/>
      <c r="I66" s="116"/>
    </row>
    <row r="67" spans="2:16" ht="18.75" x14ac:dyDescent="0.25">
      <c r="B67" s="276" t="s">
        <v>145</v>
      </c>
      <c r="C67" s="277"/>
      <c r="D67" s="277"/>
      <c r="E67" s="277"/>
      <c r="F67" s="277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TARGETS!I22</f>
        <v>285530553</v>
      </c>
      <c r="E69" s="119">
        <f>IFERROR(C32,0)</f>
        <v>185272533.73476499</v>
      </c>
      <c r="F69" s="200">
        <f t="shared" ref="F69:F74" si="12">IFERROR(E69/D69,0)</f>
        <v>0.64887113406306818</v>
      </c>
      <c r="G69" s="197">
        <f>D69*$H$41-E69</f>
        <v>71704963.965235025</v>
      </c>
      <c r="H69" s="197">
        <f t="shared" ref="H69:H74" ca="1" si="13">IFERROR(G69/$C$3,0)</f>
        <v>0</v>
      </c>
      <c r="I69" s="218">
        <f>D69*$J$41-E69</f>
        <v>85981491.615234971</v>
      </c>
      <c r="J69" s="218">
        <f t="shared" ref="J69:J74" ca="1" si="14">IFERROR(I69/$C$3,0)</f>
        <v>0</v>
      </c>
      <c r="K69" s="198">
        <f>D69*$L$41-E69</f>
        <v>100258019.26523501</v>
      </c>
      <c r="L69" s="198">
        <f t="shared" ref="L69:L74" ca="1" si="15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TARGETS!I23</f>
        <v>428831462</v>
      </c>
      <c r="E70" s="119">
        <f>IFERROR(C33,0)</f>
        <v>334871676.45744997</v>
      </c>
      <c r="F70" s="200">
        <f t="shared" si="12"/>
        <v>0.78089344213613221</v>
      </c>
      <c r="G70" s="197">
        <f>D70*$H$41-E70</f>
        <v>51076639.342550039</v>
      </c>
      <c r="H70" s="197">
        <f t="shared" ca="1" si="13"/>
        <v>0</v>
      </c>
      <c r="I70" s="218">
        <f>D70*$J$41-E70</f>
        <v>72518212.442550004</v>
      </c>
      <c r="J70" s="218">
        <f t="shared" ca="1" si="14"/>
        <v>0</v>
      </c>
      <c r="K70" s="198">
        <f>D70*$L$41-E70</f>
        <v>93959785.542550027</v>
      </c>
      <c r="L70" s="198">
        <f t="shared" ca="1" si="15"/>
        <v>0</v>
      </c>
    </row>
    <row r="71" spans="2:16" x14ac:dyDescent="0.25">
      <c r="B71" s="50" t="s">
        <v>96</v>
      </c>
      <c r="C71" s="55" t="s">
        <v>97</v>
      </c>
      <c r="D71" s="121">
        <f>TARGETS!I24</f>
        <v>1116489049</v>
      </c>
      <c r="E71" s="119">
        <f>M21+M7</f>
        <v>1208589913.9548378</v>
      </c>
      <c r="F71" s="200">
        <f t="shared" si="12"/>
        <v>1.08249150767518</v>
      </c>
      <c r="G71" s="197">
        <f>D71*$H$41-E71</f>
        <v>-203749769.85483778</v>
      </c>
      <c r="H71" s="197">
        <f t="shared" ca="1" si="13"/>
        <v>0</v>
      </c>
      <c r="I71" s="218">
        <f>D71*$J$41-E71</f>
        <v>-147925317.40483785</v>
      </c>
      <c r="J71" s="218">
        <f t="shared" ca="1" si="14"/>
        <v>0</v>
      </c>
      <c r="K71" s="198">
        <f>D71*$L$41-E71</f>
        <v>-92100864.954837799</v>
      </c>
      <c r="L71" s="198">
        <f t="shared" ca="1" si="15"/>
        <v>0</v>
      </c>
    </row>
    <row r="72" spans="2:16" x14ac:dyDescent="0.25">
      <c r="B72" s="53" t="s">
        <v>98</v>
      </c>
      <c r="C72" s="56" t="s">
        <v>99</v>
      </c>
      <c r="D72" s="122">
        <f>TARGETS!I25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x14ac:dyDescent="0.25">
      <c r="B73" s="50" t="s">
        <v>100</v>
      </c>
      <c r="C73" s="113" t="s">
        <v>101</v>
      </c>
      <c r="D73" s="121">
        <f>TARGETS!I26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1830851064</v>
      </c>
      <c r="E74" s="120">
        <f>SUM(E69:E73)</f>
        <v>1728734124.1470528</v>
      </c>
      <c r="F74" s="188">
        <f t="shared" si="12"/>
        <v>0.9442243326828319</v>
      </c>
      <c r="G74" s="194">
        <f>SUM(G69:G73)</f>
        <v>-80968166.547052711</v>
      </c>
      <c r="H74" s="194">
        <f t="shared" ca="1" si="13"/>
        <v>0</v>
      </c>
      <c r="I74" s="199">
        <f>SUM(I69:I73)</f>
        <v>10574386.652947128</v>
      </c>
      <c r="J74" s="199">
        <f t="shared" ca="1" si="14"/>
        <v>0</v>
      </c>
      <c r="K74" s="199">
        <f>SUM(K69:K73)</f>
        <v>102116939.85294724</v>
      </c>
      <c r="L74" s="199">
        <f t="shared" ca="1" si="15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7" t="s">
        <v>41</v>
      </c>
      <c r="C78" s="257" t="s">
        <v>42</v>
      </c>
      <c r="D78" s="126" t="s">
        <v>139</v>
      </c>
    </row>
    <row r="79" spans="2:16" ht="15.75" x14ac:dyDescent="0.25">
      <c r="B79" s="257"/>
      <c r="C79" s="257"/>
      <c r="D79" s="71" t="s">
        <v>170</v>
      </c>
    </row>
    <row r="80" spans="2:16" ht="20.100000000000001" customHeight="1" x14ac:dyDescent="0.25">
      <c r="B80" s="50" t="s">
        <v>67</v>
      </c>
      <c r="C80" s="55" t="s">
        <v>68</v>
      </c>
      <c r="D80" s="112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68">
        <v>89366430.819999993</v>
      </c>
    </row>
    <row r="82" spans="2:4" ht="20.100000000000001" customHeight="1" x14ac:dyDescent="0.25">
      <c r="B82" s="53" t="s">
        <v>174</v>
      </c>
      <c r="C82" s="56" t="s">
        <v>175</v>
      </c>
      <c r="D82" s="112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12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6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12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12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12">
        <v>314812287.69929397</v>
      </c>
    </row>
    <row r="88" spans="2:4" ht="20.100000000000001" customHeight="1" x14ac:dyDescent="0.25">
      <c r="B88" s="53" t="s">
        <v>174</v>
      </c>
      <c r="C88" s="56" t="s">
        <v>176</v>
      </c>
      <c r="D88" s="112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12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12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12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12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68">
        <v>100075677.56</v>
      </c>
    </row>
    <row r="94" spans="2:4" ht="20.100000000000001" customHeight="1" x14ac:dyDescent="0.25">
      <c r="B94" s="57" t="s">
        <v>152</v>
      </c>
      <c r="C94" s="58"/>
      <c r="D94" s="125">
        <f>SUM(D80:D93)</f>
        <v>3323229357.9755292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zoomScale="91" zoomScaleNormal="91" workbookViewId="0">
      <selection activeCell="C10" sqref="C10:F27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6" t="s">
        <v>160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IF($J$5&lt;&gt;"",$J$5,MAX(0,NETWORKDAYS.INTL(MAX(TODAY(),DATE(YEAR(TODAY()),7,1)),EOMONTH(DATE(YEAR(TODAY()),7,1),0),11)-MAX(0,$J$3-$J$4)))</f>
        <v>0</v>
      </c>
      <c r="D3" s="79" t="s">
        <v>104</v>
      </c>
      <c r="E3" s="80">
        <f ca="1">DAY(EOMONTH(DATE(YEAR(TODAY()),7,1),0))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448510399.46910501</v>
      </c>
      <c r="N8" s="11">
        <f>D22</f>
        <v>63011769.152930997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645758035.66179395</v>
      </c>
      <c r="N9" s="11">
        <f>D13+D14</f>
        <v>155113955.522313</v>
      </c>
    </row>
    <row r="10" spans="2:14" x14ac:dyDescent="0.25">
      <c r="B10" s="74" t="s">
        <v>113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6"/>
      <c r="I10" s="116"/>
      <c r="J10" s="116"/>
      <c r="M10" s="11">
        <f>C15</f>
        <v>1054671906.6945471</v>
      </c>
      <c r="N10" s="11">
        <f>D15</f>
        <v>29495978.518279999</v>
      </c>
    </row>
    <row r="11" spans="2:14" x14ac:dyDescent="0.25">
      <c r="B11" s="74" t="s">
        <v>114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6"/>
      <c r="I11" s="116"/>
      <c r="J11" s="116"/>
      <c r="M11" s="11">
        <f>C12</f>
        <v>341819821.47863901</v>
      </c>
      <c r="N11" s="11">
        <f>D12</f>
        <v>43800016.100000001</v>
      </c>
    </row>
    <row r="12" spans="2:14" x14ac:dyDescent="0.25">
      <c r="B12" s="74" t="s">
        <v>184</v>
      </c>
      <c r="C12" s="15">
        <v>341819821.47863901</v>
      </c>
      <c r="D12" s="15">
        <v>43800016.100000001</v>
      </c>
      <c r="E12" s="15" t="s">
        <v>167</v>
      </c>
      <c r="F12" s="15">
        <v>385619837.57863897</v>
      </c>
      <c r="H12" s="116"/>
      <c r="I12" s="116"/>
      <c r="J12" s="116"/>
      <c r="M12" s="11">
        <f>C25+C26</f>
        <v>405401083.69156003</v>
      </c>
      <c r="N12" s="11">
        <f>D25+D26</f>
        <v>110789069.34336799</v>
      </c>
    </row>
    <row r="13" spans="2:14" x14ac:dyDescent="0.25">
      <c r="B13" s="74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6"/>
      <c r="I13" s="116"/>
      <c r="J13" s="116"/>
      <c r="M13" s="11">
        <f>C17</f>
        <v>1425026257.5066569</v>
      </c>
      <c r="N13" s="11">
        <f>D17</f>
        <v>87442239.299614996</v>
      </c>
    </row>
    <row r="14" spans="2:14" x14ac:dyDescent="0.25">
      <c r="B14" s="74" t="s">
        <v>115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6"/>
      <c r="I14" s="116"/>
      <c r="J14" s="116"/>
      <c r="M14" s="11">
        <f>C23</f>
        <v>537624961.29726696</v>
      </c>
      <c r="N14" s="11">
        <f>D23</f>
        <v>72473352.539875999</v>
      </c>
    </row>
    <row r="15" spans="2:14" x14ac:dyDescent="0.25">
      <c r="B15" s="84" t="s">
        <v>116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6"/>
      <c r="I15" s="116"/>
      <c r="J15" s="116"/>
      <c r="M15" s="11">
        <f>C11</f>
        <v>324688224.63140702</v>
      </c>
      <c r="N15" s="11">
        <f>D11</f>
        <v>130969678.577117</v>
      </c>
    </row>
    <row r="16" spans="2:14" x14ac:dyDescent="0.25">
      <c r="B16" s="74" t="s">
        <v>119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6"/>
      <c r="I16" s="116"/>
      <c r="J16" s="116"/>
      <c r="M16" s="11">
        <f>C24</f>
        <v>687182241.108935</v>
      </c>
      <c r="N16" s="11">
        <f>D24</f>
        <v>61286832.419910997</v>
      </c>
    </row>
    <row r="17" spans="2:14" x14ac:dyDescent="0.25">
      <c r="B17" s="74" t="s">
        <v>121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6"/>
      <c r="I17" s="116"/>
      <c r="J17" s="116"/>
      <c r="M17" s="11">
        <f>C10</f>
        <v>393617269.45962203</v>
      </c>
      <c r="N17" s="11">
        <f>D10</f>
        <v>52106885.865496002</v>
      </c>
    </row>
    <row r="18" spans="2:14" x14ac:dyDescent="0.25">
      <c r="B18" s="74" t="s">
        <v>123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6"/>
      <c r="I18" s="116"/>
      <c r="J18" s="116"/>
      <c r="M18" s="11">
        <f>C27</f>
        <v>887123024.85446894</v>
      </c>
      <c r="N18" s="11">
        <f>D27</f>
        <v>267781372.49532399</v>
      </c>
    </row>
    <row r="19" spans="2:14" x14ac:dyDescent="0.25">
      <c r="B19" s="74" t="s">
        <v>124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6"/>
      <c r="I19" s="116"/>
      <c r="J19" s="116"/>
      <c r="M19" s="11">
        <f>C18+C19</f>
        <v>341952218.068174</v>
      </c>
      <c r="N19" s="11">
        <f>D18+D19</f>
        <v>150856525.01167801</v>
      </c>
    </row>
    <row r="20" spans="2:14" x14ac:dyDescent="0.25">
      <c r="B20" s="74" t="s">
        <v>171</v>
      </c>
      <c r="C20" s="15">
        <v>195476199.69999999</v>
      </c>
      <c r="D20" s="15" t="s">
        <v>167</v>
      </c>
      <c r="E20" s="15">
        <v>11387387.08</v>
      </c>
      <c r="F20" s="15">
        <v>206863586.78</v>
      </c>
      <c r="H20" s="116"/>
      <c r="I20" s="116"/>
      <c r="J20" s="116"/>
      <c r="M20" s="14">
        <f>IFERROR(C31,0)+IFERROR(C36,0)</f>
        <v>31764000</v>
      </c>
      <c r="N20" s="10" t="s">
        <v>120</v>
      </c>
    </row>
    <row r="21" spans="2:14" x14ac:dyDescent="0.25">
      <c r="B21" s="74" t="s">
        <v>172</v>
      </c>
      <c r="C21" s="15">
        <v>288524887.39999998</v>
      </c>
      <c r="D21" s="15" t="s">
        <v>167</v>
      </c>
      <c r="E21" s="15">
        <v>15855585.16</v>
      </c>
      <c r="F21" s="15">
        <v>304380472.56</v>
      </c>
      <c r="H21" s="116"/>
      <c r="I21" s="116"/>
      <c r="J21" s="116"/>
      <c r="M21" s="14">
        <f>IFERROR(C34,0)+IFERROR(C35,0)+M20</f>
        <v>670362645.51182103</v>
      </c>
      <c r="N21" s="10" t="s">
        <v>122</v>
      </c>
    </row>
    <row r="22" spans="2:14" x14ac:dyDescent="0.25">
      <c r="B22" s="74" t="s">
        <v>125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6"/>
      <c r="I22" s="116"/>
      <c r="J22" s="116"/>
    </row>
    <row r="23" spans="2:14" x14ac:dyDescent="0.25">
      <c r="B23" s="74" t="s">
        <v>126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6"/>
      <c r="I23" s="116"/>
      <c r="J23" s="116"/>
    </row>
    <row r="24" spans="2:14" x14ac:dyDescent="0.25">
      <c r="B24" s="74" t="s">
        <v>127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6"/>
      <c r="I24" s="116"/>
      <c r="J24" s="116"/>
    </row>
    <row r="25" spans="2:14" x14ac:dyDescent="0.25">
      <c r="B25" s="74" t="s">
        <v>185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6"/>
      <c r="I25" s="116"/>
      <c r="J25" s="116"/>
    </row>
    <row r="26" spans="2:14" x14ac:dyDescent="0.25">
      <c r="B26" s="74" t="s">
        <v>186</v>
      </c>
      <c r="C26" s="15">
        <v>138084633.55645701</v>
      </c>
      <c r="D26" s="15">
        <v>103844000.433377</v>
      </c>
      <c r="E26" s="15" t="s">
        <v>167</v>
      </c>
      <c r="F26" s="15">
        <v>241928633.98983401</v>
      </c>
      <c r="H26" s="116"/>
      <c r="I26" s="116"/>
      <c r="J26" s="116"/>
    </row>
    <row r="27" spans="2:14" x14ac:dyDescent="0.25">
      <c r="B27" s="74" t="s">
        <v>128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81">
        <v>247017208.86305001</v>
      </c>
      <c r="G32" s="116"/>
      <c r="H32" s="116"/>
      <c r="I32" s="116"/>
    </row>
    <row r="33" spans="2:19" x14ac:dyDescent="0.25">
      <c r="B33" s="84" t="s">
        <v>133</v>
      </c>
      <c r="C33" s="15">
        <v>603527981.52019799</v>
      </c>
      <c r="G33" s="116"/>
      <c r="H33" s="116"/>
      <c r="I33" s="116"/>
    </row>
    <row r="34" spans="2:19" x14ac:dyDescent="0.25">
      <c r="B34" s="84" t="s">
        <v>134</v>
      </c>
      <c r="C34" s="15">
        <v>132378030.09105299</v>
      </c>
      <c r="G34" s="116"/>
      <c r="H34" s="116"/>
      <c r="I34" s="116"/>
    </row>
    <row r="35" spans="2:19" x14ac:dyDescent="0.25">
      <c r="B35" s="84" t="s">
        <v>135</v>
      </c>
      <c r="C35" s="15">
        <v>506220615.42076802</v>
      </c>
      <c r="G35" s="116"/>
      <c r="H35" s="116"/>
      <c r="I35" s="116"/>
    </row>
    <row r="36" spans="2:19" x14ac:dyDescent="0.25">
      <c r="B36" s="84" t="s">
        <v>136</v>
      </c>
      <c r="C36" s="15">
        <v>31764000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s="205" customFormat="1" ht="27.95" customHeight="1" x14ac:dyDescent="0.25">
      <c r="B41" s="267" t="s">
        <v>191</v>
      </c>
      <c r="C41" s="268"/>
      <c r="D41" s="269"/>
      <c r="E41" s="67" t="s">
        <v>138</v>
      </c>
      <c r="F41" s="185">
        <f ca="1">IF(MONTH(TODAY())=7,DAY(TODAY())/DAY(EOMONTH(TODAY(),0)),IF(MONTH(TODAY())&gt;7,1,0))</f>
        <v>1</v>
      </c>
      <c r="G41" s="206" t="s">
        <v>189</v>
      </c>
      <c r="H41" s="212">
        <v>0.9</v>
      </c>
      <c r="I41" s="207" t="s">
        <v>189</v>
      </c>
      <c r="J41" s="213">
        <v>0.95</v>
      </c>
      <c r="K41" s="208" t="s">
        <v>190</v>
      </c>
      <c r="L41" s="214">
        <v>1</v>
      </c>
      <c r="S41" s="204">
        <v>0.7</v>
      </c>
    </row>
    <row r="42" spans="2:19" ht="25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192" t="str">
        <f>"SELISIH"&amp;CHAR(10)&amp;TEXT($J$41,"0%")</f>
        <v>SELISIH
95%</v>
      </c>
      <c r="J42" s="192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SUM(TARGETS!P5:P7,TARGETS!P8:P13,TARGETS!P14:P18)</f>
        <v>7947843806.3476896</v>
      </c>
      <c r="E43" s="46">
        <f>G65</f>
        <v>7977376531.0221767</v>
      </c>
      <c r="F43" s="187">
        <f>IFERROR(E43/D43,0)</f>
        <v>1.0037158159362543</v>
      </c>
      <c r="G43" s="209">
        <f>D43*$H$41-E43</f>
        <v>-824317105.3092556</v>
      </c>
      <c r="H43" s="209">
        <f ca="1">IFERROR(G43/C3,0)</f>
        <v>0</v>
      </c>
      <c r="I43" s="210">
        <f>D43*$J$41-E43</f>
        <v>-426924914.99187183</v>
      </c>
      <c r="J43" s="210">
        <f ca="1">IFERROR(I43/$C$3,0)</f>
        <v>0</v>
      </c>
      <c r="K43" s="211">
        <f>D43*$L$41-E43</f>
        <v>-29532724.674487114</v>
      </c>
      <c r="L43" s="211">
        <f ca="1">IFERROR(K43/$C$3,0)</f>
        <v>0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SUM(TARGETS!Q5:Q6,TARGETS!Q8:Q12,TARGETS!Q14:Q18)</f>
        <v>1482705651.09074</v>
      </c>
      <c r="E44" s="46">
        <f>N8+N9+N10+N11+N12+N13+N14+N15+N16+N17+N18+N19</f>
        <v>1225127674.8459089</v>
      </c>
      <c r="F44" s="187">
        <f>IFERROR(E44/D44,0)</f>
        <v>0.82627841469724894</v>
      </c>
      <c r="G44" s="197">
        <f>D44*$H$41-E44</f>
        <v>109307411.13575721</v>
      </c>
      <c r="H44" s="197">
        <f ca="1">IFERROR(G44/C3,0)</f>
        <v>0</v>
      </c>
      <c r="I44" s="193">
        <f>D44*$J$41-E44</f>
        <v>183442693.69029403</v>
      </c>
      <c r="J44" s="193">
        <f ca="1">IFERROR(I44/$C$3,0)</f>
        <v>0</v>
      </c>
      <c r="K44" s="198">
        <f>D44*$L$41-E44</f>
        <v>257577976.24483109</v>
      </c>
      <c r="L44" s="198">
        <f ca="1">IFERROR(K44/$C$3,0)</f>
        <v>0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SUM(TARGETS!J22:J26)</f>
        <v>1851063829.7872343</v>
      </c>
      <c r="E45" s="46">
        <f>IFERROR(C32,0)+IFERROR(C33,0)+M21+F9</f>
        <v>1520907835.8950691</v>
      </c>
      <c r="F45" s="187">
        <f>IFERROR(E45/D45,0)</f>
        <v>0.82163986536860045</v>
      </c>
      <c r="G45" s="197">
        <f>D45*$H$41-E45</f>
        <v>145049610.9134419</v>
      </c>
      <c r="H45" s="197">
        <f ca="1">IFERROR(G45/C3,0)</f>
        <v>0</v>
      </c>
      <c r="I45" s="193">
        <f>D45*$J$41-E45</f>
        <v>237602802.40280342</v>
      </c>
      <c r="J45" s="193">
        <f ca="1">IFERROR(I45/$C$3,0)</f>
        <v>0</v>
      </c>
      <c r="K45" s="198">
        <f>D45*$L$41-E45</f>
        <v>330155993.89216518</v>
      </c>
      <c r="L45" s="198">
        <f ca="1">IFERROR(K45/$C$3,0)</f>
        <v>0</v>
      </c>
      <c r="S45" s="184">
        <v>0.9</v>
      </c>
    </row>
    <row r="46" spans="2:19" x14ac:dyDescent="0.25">
      <c r="B46" s="255" t="s">
        <v>146</v>
      </c>
      <c r="C46" s="256"/>
      <c r="D46" s="47">
        <f>D43+D44+D45</f>
        <v>11281613287.225662</v>
      </c>
      <c r="E46" s="47">
        <f>E43+E44+E45</f>
        <v>10723412041.763155</v>
      </c>
      <c r="F46" s="188">
        <f>IFERROR(E46/D46,0)</f>
        <v>0.95052115054372877</v>
      </c>
      <c r="G46" s="194">
        <f>G43+G44+G45</f>
        <v>-569960083.2600565</v>
      </c>
      <c r="H46" s="194">
        <f ca="1">IFERROR(G46/C3,0)</f>
        <v>0</v>
      </c>
      <c r="I46" s="194">
        <f>I43+I44+I45</f>
        <v>-5879418.8987743855</v>
      </c>
      <c r="J46" s="194">
        <f ca="1">IFERROR(I46/$C$3,0)</f>
        <v>0</v>
      </c>
      <c r="K46" s="199">
        <f>K43+K44+K45</f>
        <v>558201245.46250916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70" t="s">
        <v>147</v>
      </c>
      <c r="C48" s="271"/>
      <c r="D48" s="271"/>
      <c r="E48" s="271"/>
      <c r="F48" s="271"/>
      <c r="G48" s="271"/>
      <c r="H48" s="271"/>
      <c r="I48" s="271"/>
      <c r="J48" s="271"/>
      <c r="K48" s="258" t="s">
        <v>188</v>
      </c>
      <c r="L48" s="259"/>
      <c r="M48" s="259"/>
      <c r="N48" s="259"/>
      <c r="O48" s="259"/>
      <c r="P48" s="260"/>
    </row>
    <row r="49" spans="2:16" ht="15.75" x14ac:dyDescent="0.25">
      <c r="B49" s="257" t="s">
        <v>41</v>
      </c>
      <c r="C49" s="257" t="s">
        <v>42</v>
      </c>
      <c r="D49" s="252" t="s">
        <v>138</v>
      </c>
      <c r="E49" s="253"/>
      <c r="F49" s="254"/>
      <c r="G49" s="117" t="s">
        <v>139</v>
      </c>
      <c r="H49" s="117"/>
      <c r="I49" s="117"/>
      <c r="J49" s="252" t="s">
        <v>140</v>
      </c>
      <c r="K49" s="261" t="str">
        <f>"SELISIH"&amp;CHAR(10)&amp;TEXT($H$41,"0%")</f>
        <v>SELISIH
90%</v>
      </c>
      <c r="L49" s="261" t="str">
        <f>"PER HARI"&amp;CHAR(10)&amp;TEXT($H$41,"0%")</f>
        <v>PER HARI
90%</v>
      </c>
      <c r="M49" s="263" t="str">
        <f>"SELISIH"&amp;CHAR(10)&amp;TEXT($J$41,"0%")</f>
        <v>SELISIH
95%</v>
      </c>
      <c r="N49" s="263" t="str">
        <f>"PER HARI"&amp;CHAR(10)&amp;TEXT($J$41,"0%")</f>
        <v>PER HARI
95%</v>
      </c>
      <c r="O49" s="282" t="str">
        <f>"SELISIH"&amp;CHAR(10)&amp;TEXT($L$41,"0%")</f>
        <v>SELISIH
100%</v>
      </c>
      <c r="P49" s="282" t="str">
        <f>"PER HARI"&amp;CHAR(10)&amp;TEXT($L$41,"0%")</f>
        <v>PER HARI
100%</v>
      </c>
    </row>
    <row r="50" spans="2:16" ht="15.75" x14ac:dyDescent="0.25">
      <c r="B50" s="257"/>
      <c r="C50" s="257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2"/>
      <c r="K50" s="262"/>
      <c r="L50" s="262"/>
      <c r="M50" s="264"/>
      <c r="N50" s="264"/>
      <c r="O50" s="283"/>
      <c r="P50" s="283"/>
    </row>
    <row r="51" spans="2:16" x14ac:dyDescent="0.25">
      <c r="B51" s="50" t="s">
        <v>67</v>
      </c>
      <c r="C51" s="55" t="s">
        <v>68</v>
      </c>
      <c r="D51" s="123">
        <f>TARGETS!P5</f>
        <v>491237177.12546343</v>
      </c>
      <c r="E51" s="123">
        <f>TARGETS!Q5</f>
        <v>76328678.073981449</v>
      </c>
      <c r="F51" s="123">
        <f t="shared" ref="F51:F64" si="0">D51+E51</f>
        <v>567565855.19944489</v>
      </c>
      <c r="G51" s="119">
        <f>M8</f>
        <v>448510399.46910501</v>
      </c>
      <c r="H51" s="119">
        <f>N8</f>
        <v>63011769.152930997</v>
      </c>
      <c r="I51" s="119">
        <f t="shared" ref="I51:I64" si="1">G51+H51</f>
        <v>511522168.62203598</v>
      </c>
      <c r="J51" s="200">
        <f t="shared" ref="J51:J64" si="2">IFERROR(I51/F51,0)</f>
        <v>0.90125606383119206</v>
      </c>
      <c r="K51" s="197">
        <f>F51*$H$41-I51</f>
        <v>-712898.9425355792</v>
      </c>
      <c r="L51" s="197">
        <f ca="1">IFERROR(K51/$C$3,0)</f>
        <v>0</v>
      </c>
      <c r="M51" s="193">
        <f>F51*$J$41-I51</f>
        <v>27665393.817436695</v>
      </c>
      <c r="N51" s="193">
        <f ca="1">IFERROR(M51/$C$3,0)</f>
        <v>0</v>
      </c>
      <c r="O51" s="232">
        <f>F51*$L$41-I51</f>
        <v>56043686.57740891</v>
      </c>
      <c r="P51" s="232">
        <f ca="1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TARGETS!P6</f>
        <v>657457159.85174966</v>
      </c>
      <c r="E52" s="124">
        <f>TARGETS!Q6</f>
        <v>181265056.8810223</v>
      </c>
      <c r="F52" s="124">
        <f t="shared" si="0"/>
        <v>838722216.73277199</v>
      </c>
      <c r="G52" s="119">
        <f>M9</f>
        <v>645758035.66179395</v>
      </c>
      <c r="H52" s="119">
        <f>N9</f>
        <v>155113955.522313</v>
      </c>
      <c r="I52" s="119">
        <f t="shared" si="1"/>
        <v>800871991.18410695</v>
      </c>
      <c r="J52" s="200">
        <f t="shared" si="2"/>
        <v>0.95487155962541459</v>
      </c>
      <c r="K52" s="197">
        <f t="shared" ref="K52:K64" si="3">F52*$H$41-I52</f>
        <v>-46021996.124612093</v>
      </c>
      <c r="L52" s="197">
        <f t="shared" ref="L52:L64" ca="1" si="4">IFERROR(K52/$C$3,0)</f>
        <v>0</v>
      </c>
      <c r="M52" s="193">
        <f t="shared" ref="M52:M64" si="5">F52*$J$41-I52</f>
        <v>-4085885.2879736423</v>
      </c>
      <c r="N52" s="193">
        <f t="shared" ref="N52:N64" ca="1" si="6">IFERROR(M52/$C$3,0)</f>
        <v>0</v>
      </c>
      <c r="O52" s="232">
        <f t="shared" ref="O52:O64" si="7">F52*$L$41-I52</f>
        <v>37850225.548665047</v>
      </c>
      <c r="P52" s="232">
        <f t="shared" ref="P52:P64" ca="1" si="8">IFERROR(O52/$C$3,0)</f>
        <v>0</v>
      </c>
    </row>
    <row r="53" spans="2:16" x14ac:dyDescent="0.25">
      <c r="B53" s="145" t="s">
        <v>174</v>
      </c>
      <c r="C53" s="146" t="s">
        <v>175</v>
      </c>
      <c r="D53" s="147">
        <f>TARGETS!P7</f>
        <v>248955573.78787571</v>
      </c>
      <c r="E53" s="147">
        <f>TARGETS!Q7</f>
        <v>0</v>
      </c>
      <c r="F53" s="147">
        <f>D53+E53</f>
        <v>248955573.78787571</v>
      </c>
      <c r="G53" s="119">
        <f>C20</f>
        <v>195476199.69999999</v>
      </c>
      <c r="H53" s="119">
        <f>IF(D20="",0,D20)</f>
        <v>0</v>
      </c>
      <c r="I53" s="119">
        <f>G53+H53</f>
        <v>195476199.69999999</v>
      </c>
      <c r="J53" s="200">
        <f>IFERROR(I53/F53,0)</f>
        <v>0.78518507027505557</v>
      </c>
      <c r="K53" s="197">
        <f t="shared" si="3"/>
        <v>28583816.709088147</v>
      </c>
      <c r="L53" s="197">
        <f t="shared" ca="1" si="4"/>
        <v>0</v>
      </c>
      <c r="M53" s="193">
        <f t="shared" si="5"/>
        <v>41031595.398481935</v>
      </c>
      <c r="N53" s="193">
        <f t="shared" ca="1" si="6"/>
        <v>0</v>
      </c>
      <c r="O53" s="232">
        <f t="shared" si="7"/>
        <v>53479374.087875724</v>
      </c>
      <c r="P53" s="232">
        <f t="shared" ca="1" si="8"/>
        <v>0</v>
      </c>
    </row>
    <row r="54" spans="2:16" x14ac:dyDescent="0.25">
      <c r="B54" s="53" t="s">
        <v>71</v>
      </c>
      <c r="C54" s="56" t="s">
        <v>72</v>
      </c>
      <c r="D54" s="124">
        <f>TARGETS!P8</f>
        <v>728387277.57390273</v>
      </c>
      <c r="E54" s="124">
        <f>TARGETS!Q8</f>
        <v>51482866.524593353</v>
      </c>
      <c r="F54" s="124">
        <f t="shared" si="0"/>
        <v>779870144.09849608</v>
      </c>
      <c r="G54" s="119">
        <f>M10</f>
        <v>1054671906.6945471</v>
      </c>
      <c r="H54" s="119">
        <f t="shared" ref="H54:H58" si="9">N10</f>
        <v>29495978.518279999</v>
      </c>
      <c r="I54" s="119">
        <f t="shared" si="1"/>
        <v>1084167885.212827</v>
      </c>
      <c r="J54" s="200">
        <f t="shared" si="2"/>
        <v>1.3901902687479963</v>
      </c>
      <c r="K54" s="197">
        <f t="shared" si="3"/>
        <v>-382284755.52418053</v>
      </c>
      <c r="L54" s="197">
        <f t="shared" ca="1" si="4"/>
        <v>0</v>
      </c>
      <c r="M54" s="193">
        <f t="shared" si="5"/>
        <v>-343291248.31925571</v>
      </c>
      <c r="N54" s="193">
        <f t="shared" ca="1" si="6"/>
        <v>0</v>
      </c>
      <c r="O54" s="232">
        <f t="shared" si="7"/>
        <v>-304297741.11433089</v>
      </c>
      <c r="P54" s="232">
        <f t="shared" ca="1" si="8"/>
        <v>0</v>
      </c>
    </row>
    <row r="55" spans="2:16" x14ac:dyDescent="0.25">
      <c r="B55" s="50" t="s">
        <v>73</v>
      </c>
      <c r="C55" s="55" t="s">
        <v>183</v>
      </c>
      <c r="D55" s="123">
        <f>TARGETS!P9</f>
        <v>482312178.47736537</v>
      </c>
      <c r="E55" s="123">
        <f>TARGETS!Q9</f>
        <v>70286112.09958896</v>
      </c>
      <c r="F55" s="123">
        <f t="shared" si="0"/>
        <v>552598290.57695436</v>
      </c>
      <c r="G55" s="119">
        <f>M11</f>
        <v>341819821.47863901</v>
      </c>
      <c r="H55" s="119">
        <f t="shared" si="9"/>
        <v>43800016.100000001</v>
      </c>
      <c r="I55" s="119">
        <f t="shared" si="1"/>
        <v>385619837.57863903</v>
      </c>
      <c r="J55" s="200">
        <f t="shared" si="2"/>
        <v>0.69783031209890789</v>
      </c>
      <c r="K55" s="197">
        <f t="shared" si="3"/>
        <v>111718623.94061989</v>
      </c>
      <c r="L55" s="197">
        <f t="shared" ca="1" si="4"/>
        <v>0</v>
      </c>
      <c r="M55" s="193">
        <f t="shared" si="5"/>
        <v>139348538.46946758</v>
      </c>
      <c r="N55" s="193">
        <f t="shared" ca="1" si="6"/>
        <v>0</v>
      </c>
      <c r="O55" s="232">
        <f t="shared" si="7"/>
        <v>166978452.99831533</v>
      </c>
      <c r="P55" s="232">
        <f t="shared" ca="1" si="8"/>
        <v>0</v>
      </c>
    </row>
    <row r="56" spans="2:16" x14ac:dyDescent="0.25">
      <c r="B56" s="53" t="s">
        <v>75</v>
      </c>
      <c r="C56" s="56" t="s">
        <v>99</v>
      </c>
      <c r="D56" s="124">
        <f>TARGETS!P10</f>
        <v>505192003.00308657</v>
      </c>
      <c r="E56" s="124">
        <f>TARGETS!Q10</f>
        <v>122952320.80976211</v>
      </c>
      <c r="F56" s="124">
        <f t="shared" si="0"/>
        <v>628144323.81284869</v>
      </c>
      <c r="G56" s="119">
        <f>M12</f>
        <v>405401083.69156003</v>
      </c>
      <c r="H56" s="119">
        <f t="shared" si="9"/>
        <v>110789069.34336799</v>
      </c>
      <c r="I56" s="119">
        <f t="shared" si="1"/>
        <v>516190153.03492802</v>
      </c>
      <c r="J56" s="200">
        <f t="shared" si="2"/>
        <v>0.82176998735202034</v>
      </c>
      <c r="K56" s="197">
        <f t="shared" si="3"/>
        <v>49139738.39663583</v>
      </c>
      <c r="L56" s="197">
        <f t="shared" ca="1" si="4"/>
        <v>0</v>
      </c>
      <c r="M56" s="193">
        <f t="shared" si="5"/>
        <v>80546954.587278187</v>
      </c>
      <c r="N56" s="193">
        <f t="shared" ca="1" si="6"/>
        <v>0</v>
      </c>
      <c r="O56" s="232">
        <f t="shared" si="7"/>
        <v>111954170.77792066</v>
      </c>
      <c r="P56" s="232">
        <f t="shared" ca="1" si="8"/>
        <v>0</v>
      </c>
    </row>
    <row r="57" spans="2:16" x14ac:dyDescent="0.25">
      <c r="B57" s="50" t="s">
        <v>76</v>
      </c>
      <c r="C57" s="55" t="s">
        <v>77</v>
      </c>
      <c r="D57" s="123">
        <f>TARGETS!P11</f>
        <v>1061245403.0487187</v>
      </c>
      <c r="E57" s="123">
        <f>TARGETS!Q11</f>
        <v>101136997.7886584</v>
      </c>
      <c r="F57" s="123">
        <f t="shared" si="0"/>
        <v>1162382400.8373771</v>
      </c>
      <c r="G57" s="119">
        <f>M13</f>
        <v>1425026257.5066569</v>
      </c>
      <c r="H57" s="119">
        <f t="shared" si="9"/>
        <v>87442239.299614996</v>
      </c>
      <c r="I57" s="119">
        <f t="shared" si="1"/>
        <v>1512468496.8062718</v>
      </c>
      <c r="J57" s="200">
        <f t="shared" si="2"/>
        <v>1.3011797973856913</v>
      </c>
      <c r="K57" s="197">
        <f t="shared" si="3"/>
        <v>-466324336.05263245</v>
      </c>
      <c r="L57" s="197">
        <f t="shared" ca="1" si="4"/>
        <v>0</v>
      </c>
      <c r="M57" s="193">
        <f t="shared" si="5"/>
        <v>-408205216.01076365</v>
      </c>
      <c r="N57" s="193">
        <f t="shared" ca="1" si="6"/>
        <v>0</v>
      </c>
      <c r="O57" s="232">
        <f t="shared" si="7"/>
        <v>-350086095.96889472</v>
      </c>
      <c r="P57" s="232">
        <f t="shared" ca="1" si="8"/>
        <v>0</v>
      </c>
    </row>
    <row r="58" spans="2:16" x14ac:dyDescent="0.25">
      <c r="B58" s="53" t="s">
        <v>78</v>
      </c>
      <c r="C58" s="56" t="s">
        <v>79</v>
      </c>
      <c r="D58" s="124">
        <f>TARGETS!P12</f>
        <v>563114170.73408878</v>
      </c>
      <c r="E58" s="124">
        <f>TARGETS!Q12</f>
        <v>104665034.75557049</v>
      </c>
      <c r="F58" s="124">
        <f t="shared" si="0"/>
        <v>667779205.48965931</v>
      </c>
      <c r="G58" s="119">
        <f>M14</f>
        <v>537624961.29726696</v>
      </c>
      <c r="H58" s="119">
        <f t="shared" si="9"/>
        <v>72473352.539875999</v>
      </c>
      <c r="I58" s="119">
        <f>G58+H58</f>
        <v>610098313.83714294</v>
      </c>
      <c r="J58" s="200">
        <f>IFERROR(I58/F58,0)</f>
        <v>0.91362280948802388</v>
      </c>
      <c r="K58" s="197">
        <f t="shared" si="3"/>
        <v>-9097028.8964495659</v>
      </c>
      <c r="L58" s="197">
        <f t="shared" ca="1" si="4"/>
        <v>0</v>
      </c>
      <c r="M58" s="193">
        <f t="shared" si="5"/>
        <v>24291931.3780334</v>
      </c>
      <c r="N58" s="193">
        <f t="shared" ca="1" si="6"/>
        <v>0</v>
      </c>
      <c r="O58" s="232">
        <f t="shared" si="7"/>
        <v>57680891.652516365</v>
      </c>
      <c r="P58" s="232">
        <f t="shared" ca="1" si="8"/>
        <v>0</v>
      </c>
    </row>
    <row r="59" spans="2:16" x14ac:dyDescent="0.25">
      <c r="B59" s="145" t="s">
        <v>174</v>
      </c>
      <c r="C59" s="146" t="s">
        <v>176</v>
      </c>
      <c r="D59" s="147">
        <f>TARGETS!P13</f>
        <v>429849184.30128497</v>
      </c>
      <c r="E59" s="147">
        <f>TARGETS!Q13</f>
        <v>0</v>
      </c>
      <c r="F59" s="147">
        <f>D59+E59</f>
        <v>429849184.30128497</v>
      </c>
      <c r="G59" s="119">
        <f>C21</f>
        <v>288524887.39999998</v>
      </c>
      <c r="H59" s="119">
        <f>IF(D21="",0,D21)</f>
        <v>0</v>
      </c>
      <c r="I59" s="119">
        <f>G59+H59</f>
        <v>288524887.39999998</v>
      </c>
      <c r="J59" s="200">
        <f>IFERROR(I59/F59,0)</f>
        <v>0.67122353126944734</v>
      </c>
      <c r="K59" s="197">
        <f t="shared" si="3"/>
        <v>98339378.471156478</v>
      </c>
      <c r="L59" s="197">
        <f t="shared" ca="1" si="4"/>
        <v>0</v>
      </c>
      <c r="M59" s="193">
        <f t="shared" si="5"/>
        <v>119831837.68622071</v>
      </c>
      <c r="N59" s="193">
        <f t="shared" ca="1" si="6"/>
        <v>0</v>
      </c>
      <c r="O59" s="232">
        <f t="shared" si="7"/>
        <v>141324296.90128499</v>
      </c>
      <c r="P59" s="232">
        <f t="shared" ca="1" si="8"/>
        <v>0</v>
      </c>
    </row>
    <row r="60" spans="2:16" x14ac:dyDescent="0.25">
      <c r="B60" s="53" t="s">
        <v>80</v>
      </c>
      <c r="C60" s="56" t="s">
        <v>81</v>
      </c>
      <c r="D60" s="124">
        <f>TARGETS!P14</f>
        <v>514721111.42684805</v>
      </c>
      <c r="E60" s="124">
        <f>TARGETS!Q14</f>
        <v>117663432.08216608</v>
      </c>
      <c r="F60" s="124">
        <f t="shared" si="0"/>
        <v>632384543.50901413</v>
      </c>
      <c r="G60" s="119">
        <f>M15</f>
        <v>324688224.63140702</v>
      </c>
      <c r="H60" s="119">
        <f t="shared" ref="H60:H64" si="10">N15</f>
        <v>130969678.577117</v>
      </c>
      <c r="I60" s="119">
        <f t="shared" si="1"/>
        <v>455657903.20852399</v>
      </c>
      <c r="J60" s="200">
        <f t="shared" si="2"/>
        <v>0.7205392792811498</v>
      </c>
      <c r="K60" s="197">
        <f t="shared" si="3"/>
        <v>113488185.94958878</v>
      </c>
      <c r="L60" s="197">
        <f t="shared" ca="1" si="4"/>
        <v>0</v>
      </c>
      <c r="M60" s="193">
        <f t="shared" si="5"/>
        <v>145107413.12503946</v>
      </c>
      <c r="N60" s="193">
        <f t="shared" ca="1" si="6"/>
        <v>0</v>
      </c>
      <c r="O60" s="232">
        <f t="shared" si="7"/>
        <v>176726640.30049014</v>
      </c>
      <c r="P60" s="232">
        <f t="shared" ca="1" si="8"/>
        <v>0</v>
      </c>
    </row>
    <row r="61" spans="2:16" x14ac:dyDescent="0.25">
      <c r="B61" s="50" t="s">
        <v>82</v>
      </c>
      <c r="C61" s="55" t="s">
        <v>83</v>
      </c>
      <c r="D61" s="123">
        <f>TARGETS!P15</f>
        <v>698845176.23960102</v>
      </c>
      <c r="E61" s="123">
        <f>TARGETS!Q15</f>
        <v>70945960.626210824</v>
      </c>
      <c r="F61" s="123">
        <f t="shared" si="0"/>
        <v>769791136.86581182</v>
      </c>
      <c r="G61" s="119">
        <f>M16</f>
        <v>687182241.108935</v>
      </c>
      <c r="H61" s="119">
        <f t="shared" si="10"/>
        <v>61286832.419910997</v>
      </c>
      <c r="I61" s="119">
        <f t="shared" si="1"/>
        <v>748469073.52884603</v>
      </c>
      <c r="J61" s="200">
        <f t="shared" si="2"/>
        <v>0.97230149541110833</v>
      </c>
      <c r="K61" s="197">
        <f t="shared" si="3"/>
        <v>-55657050.349615335</v>
      </c>
      <c r="L61" s="197">
        <f t="shared" ca="1" si="4"/>
        <v>0</v>
      </c>
      <c r="M61" s="193">
        <f t="shared" si="5"/>
        <v>-17167493.506324768</v>
      </c>
      <c r="N61" s="193">
        <f t="shared" ca="1" si="6"/>
        <v>0</v>
      </c>
      <c r="O61" s="232">
        <f t="shared" si="7"/>
        <v>21322063.336965799</v>
      </c>
      <c r="P61" s="232">
        <f t="shared" ca="1" si="8"/>
        <v>0</v>
      </c>
    </row>
    <row r="62" spans="2:16" x14ac:dyDescent="0.25">
      <c r="B62" s="53" t="s">
        <v>84</v>
      </c>
      <c r="C62" s="56" t="s">
        <v>85</v>
      </c>
      <c r="D62" s="124">
        <f>TARGETS!P16</f>
        <v>481870364.2173661</v>
      </c>
      <c r="E62" s="124">
        <f>TARGETS!Q16</f>
        <v>48351228.656065792</v>
      </c>
      <c r="F62" s="124">
        <f t="shared" si="0"/>
        <v>530221592.87343192</v>
      </c>
      <c r="G62" s="119">
        <f>M17</f>
        <v>393617269.45962203</v>
      </c>
      <c r="H62" s="119">
        <f t="shared" si="10"/>
        <v>52106885.865496002</v>
      </c>
      <c r="I62" s="119">
        <f t="shared" si="1"/>
        <v>445724155.32511801</v>
      </c>
      <c r="J62" s="200">
        <f t="shared" si="2"/>
        <v>0.84063750197271936</v>
      </c>
      <c r="K62" s="197">
        <f t="shared" si="3"/>
        <v>31475278.260970712</v>
      </c>
      <c r="L62" s="197">
        <f t="shared" ca="1" si="4"/>
        <v>0</v>
      </c>
      <c r="M62" s="193">
        <f t="shared" si="5"/>
        <v>57986357.904642284</v>
      </c>
      <c r="N62" s="193">
        <f t="shared" ca="1" si="6"/>
        <v>0</v>
      </c>
      <c r="O62" s="232">
        <f t="shared" si="7"/>
        <v>84497437.548313916</v>
      </c>
      <c r="P62" s="232">
        <f t="shared" ca="1" si="8"/>
        <v>0</v>
      </c>
    </row>
    <row r="63" spans="2:16" x14ac:dyDescent="0.25">
      <c r="B63" s="50" t="s">
        <v>86</v>
      </c>
      <c r="C63" s="55" t="s">
        <v>87</v>
      </c>
      <c r="D63" s="123">
        <f>TARGETS!P17</f>
        <v>706054928.99280047</v>
      </c>
      <c r="E63" s="123">
        <f>TARGETS!Q17</f>
        <v>326117403.61363631</v>
      </c>
      <c r="F63" s="123">
        <f t="shared" si="0"/>
        <v>1032172332.6064367</v>
      </c>
      <c r="G63" s="119">
        <f>M18</f>
        <v>887123024.85446894</v>
      </c>
      <c r="H63" s="119">
        <f t="shared" si="10"/>
        <v>267781372.49532399</v>
      </c>
      <c r="I63" s="119">
        <f t="shared" si="1"/>
        <v>1154904397.349793</v>
      </c>
      <c r="J63" s="200">
        <f t="shared" si="2"/>
        <v>1.1189065632416573</v>
      </c>
      <c r="K63" s="197">
        <f t="shared" si="3"/>
        <v>-225949298.00399983</v>
      </c>
      <c r="L63" s="197">
        <f t="shared" ca="1" si="4"/>
        <v>0</v>
      </c>
      <c r="M63" s="193">
        <f t="shared" si="5"/>
        <v>-174340681.37367809</v>
      </c>
      <c r="N63" s="193">
        <f t="shared" ca="1" si="6"/>
        <v>0</v>
      </c>
      <c r="O63" s="232">
        <f t="shared" si="7"/>
        <v>-122732064.74335623</v>
      </c>
      <c r="P63" s="232">
        <f t="shared" ca="1" si="8"/>
        <v>0</v>
      </c>
    </row>
    <row r="64" spans="2:16" x14ac:dyDescent="0.25">
      <c r="B64" s="53" t="s">
        <v>88</v>
      </c>
      <c r="C64" s="56" t="s">
        <v>89</v>
      </c>
      <c r="D64" s="124">
        <f>TARGETS!P18</f>
        <v>378602097.56753719</v>
      </c>
      <c r="E64" s="124">
        <f>TARGETS!Q18</f>
        <v>211510559.17948398</v>
      </c>
      <c r="F64" s="124">
        <f t="shared" si="0"/>
        <v>590112656.7470212</v>
      </c>
      <c r="G64" s="119">
        <f>M19</f>
        <v>341952218.068174</v>
      </c>
      <c r="H64" s="119">
        <f t="shared" si="10"/>
        <v>150856525.01167801</v>
      </c>
      <c r="I64" s="119">
        <f t="shared" si="1"/>
        <v>492808743.07985198</v>
      </c>
      <c r="J64" s="200">
        <f t="shared" si="2"/>
        <v>0.83510959720207634</v>
      </c>
      <c r="K64" s="197">
        <f t="shared" si="3"/>
        <v>38292647.992467105</v>
      </c>
      <c r="L64" s="197">
        <f t="shared" ca="1" si="4"/>
        <v>0</v>
      </c>
      <c r="M64" s="193">
        <f t="shared" si="5"/>
        <v>67798280.82981813</v>
      </c>
      <c r="N64" s="193">
        <f t="shared" ca="1" si="6"/>
        <v>0</v>
      </c>
      <c r="O64" s="232">
        <f t="shared" si="7"/>
        <v>97303913.667169213</v>
      </c>
      <c r="P64" s="232">
        <f t="shared" ca="1" si="8"/>
        <v>0</v>
      </c>
    </row>
    <row r="65" spans="2:16" x14ac:dyDescent="0.25">
      <c r="B65" s="57" t="s">
        <v>152</v>
      </c>
      <c r="C65" s="58"/>
      <c r="D65" s="143">
        <f>SUM(D51:D64)</f>
        <v>7947843806.3476896</v>
      </c>
      <c r="E65" s="143">
        <f t="shared" ref="E65" si="11">SUM(E51:E52,E54:E58,E60:E64)</f>
        <v>1482705651.09074</v>
      </c>
      <c r="F65" s="143">
        <f>SUM(F51:F64)</f>
        <v>9430549457.438427</v>
      </c>
      <c r="G65" s="144">
        <f>SUM(G51:G64)</f>
        <v>7977376531.0221767</v>
      </c>
      <c r="H65" s="144">
        <f>SUM(H51:H64)</f>
        <v>1225127674.8459089</v>
      </c>
      <c r="I65" s="144">
        <f>SUM(I51:I64)</f>
        <v>9202504205.868082</v>
      </c>
      <c r="J65" s="203">
        <f>IFERROR(I65/F65,0)</f>
        <v>0.97581845547817236</v>
      </c>
      <c r="K65" s="194">
        <f>SUM(K51:K64)</f>
        <v>-715009694.17349839</v>
      </c>
      <c r="L65" s="194">
        <f ca="1">IFERROR(K65/$C$3,0)</f>
        <v>0</v>
      </c>
      <c r="M65" s="194">
        <f>SUM(M51:M64)</f>
        <v>-243482221.30157745</v>
      </c>
      <c r="N65" s="194">
        <f ca="1">IFERROR(M65/$C$3,0)</f>
        <v>0</v>
      </c>
      <c r="O65" s="194">
        <f>SUM(O51:O64)</f>
        <v>228045251.57034427</v>
      </c>
      <c r="P65" s="194">
        <f ca="1">IFERROR(O65/$C$3,0)</f>
        <v>0</v>
      </c>
    </row>
    <row r="66" spans="2:16" x14ac:dyDescent="0.25">
      <c r="G66" s="116"/>
      <c r="H66" s="116"/>
      <c r="I66" s="116"/>
    </row>
    <row r="67" spans="2:16" ht="18.75" x14ac:dyDescent="0.25">
      <c r="B67" s="276" t="s">
        <v>145</v>
      </c>
      <c r="C67" s="277"/>
      <c r="D67" s="277"/>
      <c r="E67" s="277"/>
      <c r="F67" s="281"/>
    </row>
    <row r="68" spans="2:16" ht="25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192" t="str">
        <f>"SELISIH"&amp;CHAR(10)&amp;TEXT($J$41,"0%")</f>
        <v>SELISIH
95%</v>
      </c>
      <c r="J68" s="192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TARGETS!J22</f>
        <v>293136935.89361715</v>
      </c>
      <c r="E69" s="119">
        <f>IFERROR(C32,0)</f>
        <v>247017208.86305001</v>
      </c>
      <c r="F69" s="200">
        <f t="shared" ref="F69:F74" si="12">IFERROR(E69/D69,0)</f>
        <v>0.84266831851137136</v>
      </c>
      <c r="G69" s="197">
        <f>D69*$H$41-E69</f>
        <v>16806033.441205442</v>
      </c>
      <c r="H69" s="197">
        <f ca="1">IFERROR(G69/C3,0)</f>
        <v>0</v>
      </c>
      <c r="I69" s="193">
        <f>D69*$J$41-E69</f>
        <v>31462880.235886246</v>
      </c>
      <c r="J69" s="193">
        <f t="shared" ref="J69:J74" ca="1" si="13">IFERROR(I69/$C$3,0)</f>
        <v>0</v>
      </c>
      <c r="K69" s="198">
        <f>D69*$L$41-E69</f>
        <v>46119727.030567139</v>
      </c>
      <c r="L69" s="198">
        <f t="shared" ref="L69:L74" ca="1" si="14">IFERROR(K69/$C$3,0)</f>
        <v>0</v>
      </c>
    </row>
    <row r="70" spans="2:16" x14ac:dyDescent="0.25">
      <c r="B70" s="53" t="s">
        <v>94</v>
      </c>
      <c r="C70" s="56" t="s">
        <v>101</v>
      </c>
      <c r="D70" s="122">
        <f>TARGETS!J23</f>
        <v>436437844.89361715</v>
      </c>
      <c r="E70" s="119">
        <f>IFERROR(C33,0)</f>
        <v>603527981.52019799</v>
      </c>
      <c r="F70" s="200">
        <f t="shared" si="12"/>
        <v>1.3828497885358899</v>
      </c>
      <c r="G70" s="197">
        <f>D70*$H$41-E70</f>
        <v>-210733921.11594254</v>
      </c>
      <c r="H70" s="197">
        <f ca="1">IFERROR(G70/C3,0)</f>
        <v>0</v>
      </c>
      <c r="I70" s="193">
        <f>D70*$J$41-E70</f>
        <v>-188912028.87126172</v>
      </c>
      <c r="J70" s="193">
        <f t="shared" ca="1" si="13"/>
        <v>0</v>
      </c>
      <c r="K70" s="198">
        <f>D70*$L$41-E70</f>
        <v>-167090136.62658083</v>
      </c>
      <c r="L70" s="198">
        <f t="shared" ca="1" si="14"/>
        <v>0</v>
      </c>
    </row>
    <row r="71" spans="2:16" x14ac:dyDescent="0.25">
      <c r="B71" s="50" t="s">
        <v>96</v>
      </c>
      <c r="C71" s="55" t="s">
        <v>97</v>
      </c>
      <c r="D71" s="121">
        <f>TARGETS!J24</f>
        <v>1121489049</v>
      </c>
      <c r="E71" s="119">
        <f>M21+M7</f>
        <v>670362645.51182103</v>
      </c>
      <c r="F71" s="200">
        <f t="shared" si="12"/>
        <v>0.59774337173382508</v>
      </c>
      <c r="G71" s="197">
        <f>D71*$H$41-E71</f>
        <v>338977498.58817899</v>
      </c>
      <c r="H71" s="197">
        <f ca="1">IFERROR(G71/C3,0)</f>
        <v>0</v>
      </c>
      <c r="I71" s="193">
        <f>D71*$J$41-E71</f>
        <v>395051951.03817892</v>
      </c>
      <c r="J71" s="193">
        <f t="shared" ca="1" si="13"/>
        <v>0</v>
      </c>
      <c r="K71" s="198">
        <f>D71*$L$41-E71</f>
        <v>451126403.48817897</v>
      </c>
      <c r="L71" s="198">
        <f t="shared" ca="1" si="14"/>
        <v>0</v>
      </c>
    </row>
    <row r="72" spans="2:16" hidden="1" x14ac:dyDescent="0.25">
      <c r="B72" s="53" t="s">
        <v>98</v>
      </c>
      <c r="C72" s="56" t="s">
        <v>99</v>
      </c>
      <c r="D72" s="122">
        <f>TARGETS!J25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ca="1">IFERROR(G72/C3,0)</f>
        <v>0</v>
      </c>
      <c r="I72" s="193">
        <f>D72*$J$41-E72</f>
        <v>0</v>
      </c>
      <c r="J72" s="193">
        <f t="shared" ca="1" si="13"/>
        <v>0</v>
      </c>
      <c r="K72" s="198">
        <f>D72*$L$41-E72</f>
        <v>0</v>
      </c>
      <c r="L72" s="198">
        <f t="shared" ca="1" si="14"/>
        <v>0</v>
      </c>
    </row>
    <row r="73" spans="2:16" hidden="1" x14ac:dyDescent="0.25">
      <c r="B73" s="50" t="s">
        <v>100</v>
      </c>
      <c r="C73" s="113" t="s">
        <v>101</v>
      </c>
      <c r="D73" s="121">
        <f>TARGETS!J26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ca="1">IFERROR(G73/C3,0)</f>
        <v>0</v>
      </c>
      <c r="I73" s="193">
        <f>D73*$J$41-E73</f>
        <v>0</v>
      </c>
      <c r="J73" s="193">
        <f t="shared" ca="1" si="13"/>
        <v>0</v>
      </c>
      <c r="K73" s="198">
        <f>D73*$L$41-E73</f>
        <v>0</v>
      </c>
      <c r="L73" s="198">
        <f t="shared" ca="1" si="14"/>
        <v>0</v>
      </c>
    </row>
    <row r="74" spans="2:16" x14ac:dyDescent="0.25">
      <c r="B74" s="57" t="s">
        <v>152</v>
      </c>
      <c r="C74" s="58"/>
      <c r="D74" s="120">
        <f>SUM(D69:D73)</f>
        <v>1851063829.7872343</v>
      </c>
      <c r="E74" s="120">
        <f>SUM(E69:E73)</f>
        <v>1520907835.8950691</v>
      </c>
      <c r="F74" s="188">
        <f t="shared" si="12"/>
        <v>0.82163986536860045</v>
      </c>
      <c r="G74" s="194">
        <f>SUM(G69:G73)</f>
        <v>145049610.9134419</v>
      </c>
      <c r="H74" s="194">
        <f ca="1">IFERROR(G74/C3,0)</f>
        <v>0</v>
      </c>
      <c r="I74" s="194">
        <f>SUM(I69:I73)</f>
        <v>237602802.40280345</v>
      </c>
      <c r="J74" s="194">
        <f t="shared" ca="1" si="13"/>
        <v>0</v>
      </c>
      <c r="K74" s="199">
        <f>SUM(K69:K73)</f>
        <v>330155993.8921653</v>
      </c>
      <c r="L74" s="199">
        <f t="shared" ca="1" si="14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7" t="s">
        <v>41</v>
      </c>
      <c r="C78" s="257" t="s">
        <v>42</v>
      </c>
      <c r="D78" s="126" t="s">
        <v>139</v>
      </c>
    </row>
    <row r="79" spans="2:16" ht="15.75" x14ac:dyDescent="0.25">
      <c r="B79" s="257"/>
      <c r="C79" s="257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40">
        <f>IF(E13="",0,E13)+IF(E14="",0,E14)</f>
        <v>124442745.86</v>
      </c>
    </row>
    <row r="82" spans="2:4" x14ac:dyDescent="0.25">
      <c r="B82" s="53" t="s">
        <v>174</v>
      </c>
      <c r="C82" s="56" t="s">
        <v>175</v>
      </c>
      <c r="D82" s="140">
        <f>IF(E20="",0,E20)</f>
        <v>11387387.08</v>
      </c>
    </row>
    <row r="83" spans="2:4" x14ac:dyDescent="0.25">
      <c r="B83" s="50" t="s">
        <v>71</v>
      </c>
      <c r="C83" s="55" t="s">
        <v>72</v>
      </c>
      <c r="D83" s="140">
        <f>IF(E15="",0,E15)</f>
        <v>410218259.94994998</v>
      </c>
    </row>
    <row r="84" spans="2:4" x14ac:dyDescent="0.25">
      <c r="B84" s="53" t="s">
        <v>73</v>
      </c>
      <c r="C84" s="56" t="s">
        <v>183</v>
      </c>
      <c r="D84" s="140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40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40">
        <f>IF(E23="",0,E23)</f>
        <v>310958467.80928099</v>
      </c>
    </row>
    <row r="88" spans="2:4" x14ac:dyDescent="0.25">
      <c r="B88" s="53" t="s">
        <v>174</v>
      </c>
      <c r="C88" s="56" t="s">
        <v>176</v>
      </c>
      <c r="D88" s="140">
        <f>IF(E21="",0,E21)</f>
        <v>15855585.16</v>
      </c>
    </row>
    <row r="89" spans="2:4" x14ac:dyDescent="0.25">
      <c r="B89" s="53" t="s">
        <v>80</v>
      </c>
      <c r="C89" s="56" t="s">
        <v>81</v>
      </c>
      <c r="D89" s="140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40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40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40">
        <f>IF(E27="",0,E27)</f>
        <v>17830594.9778</v>
      </c>
    </row>
    <row r="93" spans="2:4" x14ac:dyDescent="0.25">
      <c r="B93" s="53" t="s">
        <v>88</v>
      </c>
      <c r="C93" s="56" t="s">
        <v>89</v>
      </c>
      <c r="D93" s="140">
        <f>IF(E18="",0,E18)+IF(E19="",0,E19)</f>
        <v>92389191</v>
      </c>
    </row>
    <row r="94" spans="2:4" x14ac:dyDescent="0.25">
      <c r="B94" s="57" t="s">
        <v>152</v>
      </c>
      <c r="C94" s="58"/>
      <c r="D94" s="125">
        <f>SUM(D80:D93)</f>
        <v>3951244558.7858524</v>
      </c>
    </row>
  </sheetData>
  <mergeCells count="17">
    <mergeCell ref="B41:D41"/>
    <mergeCell ref="B48:J48"/>
    <mergeCell ref="B46:C46"/>
    <mergeCell ref="B49:B50"/>
    <mergeCell ref="C49:C50"/>
    <mergeCell ref="K48:P48"/>
    <mergeCell ref="B78:B79"/>
    <mergeCell ref="C78:C79"/>
    <mergeCell ref="B67:F67"/>
    <mergeCell ref="D49:F49"/>
    <mergeCell ref="J49:J50"/>
    <mergeCell ref="P49:P50"/>
    <mergeCell ref="O49:O50"/>
    <mergeCell ref="K49:K50"/>
    <mergeCell ref="L49:L50"/>
    <mergeCell ref="M49:M50"/>
    <mergeCell ref="N49:N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abSelected="1" topLeftCell="A37" zoomScale="99" zoomScaleNormal="100" workbookViewId="0">
      <selection activeCell="D42" sqref="D42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8.42578125" customWidth="1"/>
    <col min="5" max="5" width="15" customWidth="1"/>
    <col min="6" max="6" width="16.42578125" customWidth="1"/>
    <col min="7" max="18" width="15.28515625" customWidth="1"/>
  </cols>
  <sheetData>
    <row r="1" spans="2:14" ht="19.5" x14ac:dyDescent="0.25">
      <c r="B1" s="86" t="s">
        <v>161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IF($J$5&lt;&gt;"",$J$5,MAX(0,NETWORKDAYS.INTL(MAX(TODAY(),DATE(YEAR(TODAY()),8,1)),EOMONTH(DATE(YEAR(TODAY()),8,1),0),11)-MAX(0,$J$3-$J$4)))</f>
        <v>17</v>
      </c>
      <c r="D3" s="79" t="s">
        <v>104</v>
      </c>
      <c r="E3" s="80">
        <f ca="1">DAY(EOMONTH(DATE(YEAR(TODAY()),8,1),0))</f>
        <v>31</v>
      </c>
      <c r="G3" s="239" t="s">
        <v>196</v>
      </c>
      <c r="H3" s="116"/>
      <c r="I3" s="116"/>
      <c r="J3" s="236">
        <v>2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145041701.45605999</v>
      </c>
      <c r="N8" s="11">
        <f>D22</f>
        <v>12964057.719991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197983749.48881701</v>
      </c>
      <c r="N9" s="11">
        <f>D13+D14</f>
        <v>35871562.759912997</v>
      </c>
    </row>
    <row r="10" spans="2:14" x14ac:dyDescent="0.25">
      <c r="B10" s="74" t="s">
        <v>113</v>
      </c>
      <c r="C10" s="284">
        <v>111301180.274028</v>
      </c>
      <c r="D10" s="284">
        <v>14760742.079194</v>
      </c>
      <c r="E10" s="284">
        <v>59508219.32</v>
      </c>
      <c r="F10" s="284">
        <v>185570141.67322201</v>
      </c>
      <c r="H10" s="116"/>
      <c r="I10" s="116"/>
      <c r="J10" s="116"/>
      <c r="M10" s="11">
        <f>C15</f>
        <v>414278514.176431</v>
      </c>
      <c r="N10" s="11">
        <f>D15</f>
        <v>11397981.89993</v>
      </c>
    </row>
    <row r="11" spans="2:14" x14ac:dyDescent="0.25">
      <c r="B11" s="74" t="s">
        <v>192</v>
      </c>
      <c r="C11" s="284">
        <v>125041426.40968101</v>
      </c>
      <c r="D11" s="284">
        <v>23793428.411897998</v>
      </c>
      <c r="E11" s="284">
        <v>16021621.9</v>
      </c>
      <c r="F11" s="284">
        <v>164856476.72157899</v>
      </c>
      <c r="H11" s="116"/>
      <c r="I11" s="116"/>
      <c r="J11" s="116"/>
      <c r="M11" s="11">
        <f>C12</f>
        <v>110839640.19955</v>
      </c>
      <c r="N11" s="11">
        <f>D12</f>
        <v>2448696</v>
      </c>
    </row>
    <row r="12" spans="2:14" x14ac:dyDescent="0.25">
      <c r="B12" s="74" t="s">
        <v>192</v>
      </c>
      <c r="C12" s="284">
        <v>110839640.19955</v>
      </c>
      <c r="D12" s="284">
        <v>2448696</v>
      </c>
      <c r="E12" s="284">
        <v>0</v>
      </c>
      <c r="F12" s="284">
        <v>113288336.19955</v>
      </c>
      <c r="H12" s="116"/>
      <c r="I12" s="116"/>
      <c r="J12" s="116"/>
      <c r="M12" s="11">
        <f>C25+C26</f>
        <v>116878219.27787501</v>
      </c>
      <c r="N12" s="11">
        <f>D25+D26</f>
        <v>34557299.906397</v>
      </c>
    </row>
    <row r="13" spans="2:14" x14ac:dyDescent="0.25">
      <c r="B13" s="74" t="s">
        <v>70</v>
      </c>
      <c r="C13" s="284">
        <v>99128221.601527005</v>
      </c>
      <c r="D13" s="284">
        <v>25692382.39993</v>
      </c>
      <c r="E13" s="284">
        <v>32802724.760000002</v>
      </c>
      <c r="F13" s="284">
        <v>157623328.761457</v>
      </c>
      <c r="H13" s="116"/>
      <c r="I13" s="116"/>
      <c r="J13" s="116"/>
      <c r="M13" s="11">
        <f>C17</f>
        <v>356651492.93272799</v>
      </c>
      <c r="N13" s="11">
        <f>D17</f>
        <v>22608427.769977</v>
      </c>
    </row>
    <row r="14" spans="2:14" x14ac:dyDescent="0.25">
      <c r="B14" s="74" t="s">
        <v>115</v>
      </c>
      <c r="C14" s="284">
        <v>98855527.887290001</v>
      </c>
      <c r="D14" s="284">
        <v>10179180.359983001</v>
      </c>
      <c r="E14" s="284">
        <v>20439414.210000001</v>
      </c>
      <c r="F14" s="284">
        <v>129474122.45727301</v>
      </c>
      <c r="H14" s="116"/>
      <c r="I14" s="116"/>
      <c r="J14" s="116"/>
      <c r="M14" s="11">
        <f>C23</f>
        <v>205710441.96901199</v>
      </c>
      <c r="N14" s="11">
        <f>D23</f>
        <v>31099163.239939999</v>
      </c>
    </row>
    <row r="15" spans="2:14" x14ac:dyDescent="0.25">
      <c r="B15" s="84" t="s">
        <v>116</v>
      </c>
      <c r="C15" s="284">
        <v>414278514.176431</v>
      </c>
      <c r="D15" s="284">
        <v>11397981.89993</v>
      </c>
      <c r="E15" s="284">
        <v>128112162.86993501</v>
      </c>
      <c r="F15" s="284">
        <v>553788658.94629598</v>
      </c>
      <c r="H15" s="116"/>
      <c r="I15" s="116"/>
      <c r="J15" s="116"/>
      <c r="M15" s="11">
        <f>C11</f>
        <v>125041426.40968101</v>
      </c>
      <c r="N15" s="11">
        <f>D11</f>
        <v>23793428.411897998</v>
      </c>
    </row>
    <row r="16" spans="2:14" x14ac:dyDescent="0.25">
      <c r="B16" s="74" t="s">
        <v>119</v>
      </c>
      <c r="C16" s="284">
        <v>169824022.20784101</v>
      </c>
      <c r="D16" s="284">
        <v>553972.97499899997</v>
      </c>
      <c r="E16" s="284">
        <v>3016216.18</v>
      </c>
      <c r="F16" s="284">
        <v>173394211.36284</v>
      </c>
      <c r="H16" s="116"/>
      <c r="I16" s="116"/>
      <c r="J16" s="116"/>
      <c r="M16" s="11">
        <f>C24</f>
        <v>222280113.580632</v>
      </c>
      <c r="N16" s="11">
        <f>D24</f>
        <v>22301499.989997</v>
      </c>
    </row>
    <row r="17" spans="2:14" x14ac:dyDescent="0.25">
      <c r="B17" s="74" t="s">
        <v>121</v>
      </c>
      <c r="C17" s="284">
        <v>356651492.93272799</v>
      </c>
      <c r="D17" s="284">
        <v>22608427.769977</v>
      </c>
      <c r="E17" s="284">
        <v>380082250.16996503</v>
      </c>
      <c r="F17" s="284">
        <v>759342170.87267005</v>
      </c>
      <c r="H17" s="116"/>
      <c r="I17" s="116"/>
      <c r="J17" s="116"/>
      <c r="M17" s="11">
        <f>C10</f>
        <v>111301180.274028</v>
      </c>
      <c r="N17" s="11">
        <f>D10</f>
        <v>14760742.079194</v>
      </c>
    </row>
    <row r="18" spans="2:14" x14ac:dyDescent="0.25">
      <c r="B18" s="74" t="s">
        <v>123</v>
      </c>
      <c r="C18" s="284">
        <v>71926134.182532996</v>
      </c>
      <c r="D18" s="284">
        <v>1092000</v>
      </c>
      <c r="E18" s="284">
        <v>22059459.899999999</v>
      </c>
      <c r="F18" s="284">
        <v>95077594.082533002</v>
      </c>
      <c r="H18" s="116"/>
      <c r="I18" s="116"/>
      <c r="J18" s="116"/>
      <c r="M18" s="11">
        <f>C27</f>
        <v>199117405.63530999</v>
      </c>
      <c r="N18" s="11">
        <f>D27</f>
        <v>120422521.444428</v>
      </c>
    </row>
    <row r="19" spans="2:14" x14ac:dyDescent="0.25">
      <c r="B19" s="74" t="s">
        <v>124</v>
      </c>
      <c r="C19" s="284">
        <v>13160170</v>
      </c>
      <c r="D19" s="284">
        <v>47682720.491529003</v>
      </c>
      <c r="E19" s="284">
        <v>30702703.32</v>
      </c>
      <c r="F19" s="284">
        <v>91545593.811528996</v>
      </c>
      <c r="H19" s="116"/>
      <c r="I19" s="116"/>
      <c r="J19" s="116"/>
      <c r="M19" s="11">
        <f>C18+C19</f>
        <v>85086304.182532996</v>
      </c>
      <c r="N19" s="11">
        <f>D18+D19</f>
        <v>48774720.491529003</v>
      </c>
    </row>
    <row r="20" spans="2:14" x14ac:dyDescent="0.25">
      <c r="B20" s="74" t="s">
        <v>171</v>
      </c>
      <c r="C20" s="284">
        <v>51735046.399999999</v>
      </c>
      <c r="D20" s="284">
        <v>0</v>
      </c>
      <c r="E20" s="284">
        <v>2882882.8</v>
      </c>
      <c r="F20" s="284">
        <v>54617929.200000003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284">
        <v>84943237.540000007</v>
      </c>
      <c r="D21" s="284">
        <v>0</v>
      </c>
      <c r="E21" s="284">
        <v>5225225.08</v>
      </c>
      <c r="F21" s="284">
        <v>90168462.620000005</v>
      </c>
      <c r="H21" s="116"/>
      <c r="I21" s="116"/>
      <c r="J21" s="116"/>
      <c r="M21" s="14">
        <f>IFERROR(C34,0)+IFERROR(C35,0)+M20</f>
        <v>276360621.43253601</v>
      </c>
      <c r="N21" s="10" t="s">
        <v>122</v>
      </c>
    </row>
    <row r="22" spans="2:14" x14ac:dyDescent="0.25">
      <c r="B22" s="74" t="s">
        <v>125</v>
      </c>
      <c r="C22" s="284">
        <v>145041701.45605999</v>
      </c>
      <c r="D22" s="284">
        <v>12964057.719991</v>
      </c>
      <c r="E22" s="284">
        <v>221890775.28992501</v>
      </c>
      <c r="F22" s="284">
        <v>379896534.465976</v>
      </c>
      <c r="H22" s="116"/>
      <c r="I22" s="116"/>
      <c r="J22" s="116"/>
    </row>
    <row r="23" spans="2:14" x14ac:dyDescent="0.25">
      <c r="B23" s="74" t="s">
        <v>126</v>
      </c>
      <c r="C23" s="284">
        <v>205710441.96901199</v>
      </c>
      <c r="D23" s="284">
        <v>31099163.239939999</v>
      </c>
      <c r="E23" s="284">
        <v>136678614.17973399</v>
      </c>
      <c r="F23" s="284">
        <v>373488219.388686</v>
      </c>
      <c r="H23" s="116"/>
      <c r="I23" s="116"/>
      <c r="J23" s="116"/>
    </row>
    <row r="24" spans="2:14" x14ac:dyDescent="0.25">
      <c r="B24" s="74" t="s">
        <v>127</v>
      </c>
      <c r="C24" s="284">
        <v>222280113.580632</v>
      </c>
      <c r="D24" s="284">
        <v>22301499.989997</v>
      </c>
      <c r="E24" s="284">
        <v>202741893.30977201</v>
      </c>
      <c r="F24" s="284">
        <v>447323506.88040102</v>
      </c>
      <c r="H24" s="116"/>
      <c r="I24" s="116"/>
      <c r="J24" s="116"/>
    </row>
    <row r="25" spans="2:14" x14ac:dyDescent="0.25">
      <c r="B25" s="74" t="s">
        <v>185</v>
      </c>
      <c r="C25" s="284">
        <v>76878690.421757996</v>
      </c>
      <c r="D25" s="284">
        <v>2215973</v>
      </c>
      <c r="E25" s="284">
        <v>29244378</v>
      </c>
      <c r="F25" s="284">
        <v>108339041.421758</v>
      </c>
      <c r="H25" s="116"/>
      <c r="I25" s="116"/>
      <c r="J25" s="116"/>
    </row>
    <row r="26" spans="2:14" x14ac:dyDescent="0.25">
      <c r="B26" s="74" t="s">
        <v>186</v>
      </c>
      <c r="C26" s="284">
        <v>39999528.856117003</v>
      </c>
      <c r="D26" s="284">
        <v>32341326.906397</v>
      </c>
      <c r="E26" s="284">
        <v>0</v>
      </c>
      <c r="F26" s="284">
        <v>72340855.762513995</v>
      </c>
      <c r="H26" s="116"/>
      <c r="I26" s="116"/>
      <c r="J26" s="116"/>
    </row>
    <row r="27" spans="2:14" x14ac:dyDescent="0.25">
      <c r="B27" s="74" t="s">
        <v>128</v>
      </c>
      <c r="C27" s="284">
        <v>199117405.63530999</v>
      </c>
      <c r="D27" s="284">
        <v>120422521.444428</v>
      </c>
      <c r="E27" s="284">
        <v>2770810.8769999999</v>
      </c>
      <c r="F27" s="284">
        <v>322310737.956738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284">
        <v>60586635.719708003</v>
      </c>
      <c r="G32" s="116"/>
      <c r="H32" s="116"/>
      <c r="I32" s="116"/>
    </row>
    <row r="33" spans="2:19" x14ac:dyDescent="0.25">
      <c r="B33" s="84" t="s">
        <v>133</v>
      </c>
      <c r="C33" s="284">
        <v>136239161.451455</v>
      </c>
      <c r="G33" s="116"/>
      <c r="H33" s="116"/>
      <c r="I33" s="116"/>
    </row>
    <row r="34" spans="2:19" x14ac:dyDescent="0.25">
      <c r="B34" s="84" t="s">
        <v>134</v>
      </c>
      <c r="C34" s="284">
        <v>44652450.633175999</v>
      </c>
      <c r="G34" s="116"/>
      <c r="H34" s="116"/>
      <c r="I34" s="116"/>
    </row>
    <row r="35" spans="2:19" x14ac:dyDescent="0.25">
      <c r="B35" s="84" t="s">
        <v>135</v>
      </c>
      <c r="C35" s="284">
        <v>231708170.79936001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67" t="s">
        <v>199</v>
      </c>
      <c r="C41" s="268"/>
      <c r="D41" s="269"/>
      <c r="E41" s="67" t="s">
        <v>138</v>
      </c>
      <c r="F41" s="185">
        <f ca="1">IF(MONTH(TODAY())=8,DAY(TODAY())/DAY(EOMONTH(TODAY(),0)),IF(MONTH(TODAY())&gt;8,1,0))</f>
        <v>0.32258064516129031</v>
      </c>
      <c r="G41" s="206" t="s">
        <v>189</v>
      </c>
      <c r="H41" s="212">
        <v>1</v>
      </c>
      <c r="I41" s="215" t="s">
        <v>189</v>
      </c>
      <c r="J41" s="213">
        <v>1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100%</v>
      </c>
      <c r="H42" s="195" t="str">
        <f>"PER HARI"&amp;CHAR(10)&amp;TEXT($H$41,"0%")</f>
        <v>PER HARI
100%</v>
      </c>
      <c r="I42" s="216" t="str">
        <f>"SELISIH"&amp;CHAR(10)&amp;TEXT($J$41,"0%")</f>
        <v>SELISIH
100%</v>
      </c>
      <c r="J42" s="217" t="str">
        <f>"PER HARI"&amp;CHAR(10)&amp;TEXT($J$41,"0%")</f>
        <v>PER HARI
100%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x14ac:dyDescent="0.25">
      <c r="B43" s="114" t="s">
        <v>143</v>
      </c>
      <c r="C43" s="41" t="s">
        <v>144</v>
      </c>
      <c r="D43" s="45">
        <f>SUM(TARGETS!R5:R7,TARGETS!R8:R13,TARGETS!R14:R18)</f>
        <v>8143809244.1995802</v>
      </c>
      <c r="E43" s="46">
        <f>G65</f>
        <v>2426888473.5226569</v>
      </c>
      <c r="F43" s="187">
        <f>IFERROR(E43/D43,0)</f>
        <v>0.29800409129808703</v>
      </c>
      <c r="G43" s="197">
        <f>D43*$H$41-E43</f>
        <v>5716920770.6769238</v>
      </c>
      <c r="H43" s="197">
        <f ca="1">IFERROR(G43/$C$3,0)</f>
        <v>336289457.09864259</v>
      </c>
      <c r="I43" s="218">
        <f>D43*$J$41-E43</f>
        <v>5716920770.6769238</v>
      </c>
      <c r="J43" s="218">
        <f ca="1">IFERROR(I43/$C$3,0)</f>
        <v>336289457.09864259</v>
      </c>
      <c r="K43" s="198">
        <f>D43*$L$41-E43</f>
        <v>5716920770.6769238</v>
      </c>
      <c r="L43" s="198">
        <f ca="1">IFERROR(K43/$C$3,0)</f>
        <v>336289457.09864259</v>
      </c>
      <c r="S43" s="184">
        <v>0.8</v>
      </c>
    </row>
    <row r="44" spans="2:19" x14ac:dyDescent="0.25">
      <c r="B44" s="114" t="s">
        <v>111</v>
      </c>
      <c r="C44" s="41" t="s">
        <v>144</v>
      </c>
      <c r="D44" s="45">
        <f>SUM(TARGETS!S5:S6,TARGETS!S8:S12,TARGETS!S14:S18)</f>
        <v>1294442997.4659395</v>
      </c>
      <c r="E44" s="46">
        <f>N8+N9+N10+N11+N12+N13+N14+N15+N16+N17+N18+N19</f>
        <v>381000101.71319401</v>
      </c>
      <c r="F44" s="187">
        <f>IFERROR(E44/D44,0)</f>
        <v>0.29433517154409822</v>
      </c>
      <c r="G44" s="197">
        <f>D44*$H$41-E44</f>
        <v>913442895.75274551</v>
      </c>
      <c r="H44" s="197">
        <f ca="1">IFERROR(G44/$C$3,0)</f>
        <v>53731935.044279151</v>
      </c>
      <c r="I44" s="218">
        <f>D44*$J$41-E44</f>
        <v>913442895.75274551</v>
      </c>
      <c r="J44" s="218">
        <f ca="1">IFERROR(I44/$C$3,0)</f>
        <v>53731935.044279151</v>
      </c>
      <c r="K44" s="198">
        <f>D44*$L$41-E44</f>
        <v>913442895.75274551</v>
      </c>
      <c r="L44" s="198">
        <f ca="1">IFERROR(K44/$C$3,0)</f>
        <v>53731935.044279151</v>
      </c>
      <c r="S44" s="184">
        <v>0.85</v>
      </c>
    </row>
    <row r="45" spans="2:19" x14ac:dyDescent="0.25">
      <c r="B45" s="114" t="s">
        <v>145</v>
      </c>
      <c r="C45" s="41" t="s">
        <v>144</v>
      </c>
      <c r="D45" s="45">
        <f>SUM(TARGETS!K22:K26)</f>
        <v>1865957446.8085108</v>
      </c>
      <c r="E45" s="46">
        <f>IFERROR(C32,0)+IFERROR(C33,0)+M21+F9</f>
        <v>473186418.60369897</v>
      </c>
      <c r="F45" s="187">
        <f>IFERROR(E45/D45,0)</f>
        <v>0.25358907268385233</v>
      </c>
      <c r="G45" s="197">
        <f>D45*$H$41-E45</f>
        <v>1392771028.2048118</v>
      </c>
      <c r="H45" s="197">
        <f ca="1">IFERROR(G45/$C$3,0)</f>
        <v>81927707.541459516</v>
      </c>
      <c r="I45" s="218">
        <f>D45*$J$41-E45</f>
        <v>1392771028.2048118</v>
      </c>
      <c r="J45" s="218">
        <f ca="1">IFERROR(I45/$C$3,0)</f>
        <v>81927707.541459516</v>
      </c>
      <c r="K45" s="198">
        <f>D45*$L$41-E45</f>
        <v>1392771028.2048118</v>
      </c>
      <c r="L45" s="198">
        <f ca="1">IFERROR(K45/$C$3,0)</f>
        <v>81927707.541459516</v>
      </c>
      <c r="S45" s="184">
        <v>0.9</v>
      </c>
    </row>
    <row r="46" spans="2:19" x14ac:dyDescent="0.25">
      <c r="B46" s="255" t="s">
        <v>146</v>
      </c>
      <c r="C46" s="256"/>
      <c r="D46" s="47">
        <f>D43+D44+D45</f>
        <v>11304209688.47403</v>
      </c>
      <c r="E46" s="47">
        <f>E43+E44+E45</f>
        <v>3281074993.83955</v>
      </c>
      <c r="F46" s="188">
        <f>IFERROR(E46/D46,0)</f>
        <v>0.29025248860917641</v>
      </c>
      <c r="G46" s="194">
        <f>G43+G44+G45</f>
        <v>8023134694.6344814</v>
      </c>
      <c r="H46" s="194">
        <f ca="1">IFERROR(G46/$C$3,0)</f>
        <v>471949099.68438125</v>
      </c>
      <c r="I46" s="199">
        <f>I43+I44+I45</f>
        <v>8023134694.6344814</v>
      </c>
      <c r="J46" s="199">
        <f ca="1">IFERROR(I46/$C$3,0)</f>
        <v>471949099.68438125</v>
      </c>
      <c r="K46" s="199">
        <f>K43+K44+K45</f>
        <v>8023134694.6344814</v>
      </c>
      <c r="L46" s="199">
        <f ca="1">IFERROR(K46/$C$3,0)</f>
        <v>471949099.68438125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70" t="s">
        <v>147</v>
      </c>
      <c r="C48" s="271"/>
      <c r="D48" s="271"/>
      <c r="E48" s="271"/>
      <c r="F48" s="271"/>
      <c r="G48" s="271"/>
      <c r="H48" s="271"/>
      <c r="I48" s="271"/>
      <c r="J48" s="271"/>
      <c r="K48" s="258" t="s">
        <v>188</v>
      </c>
      <c r="L48" s="259"/>
      <c r="M48" s="259"/>
      <c r="N48" s="259"/>
      <c r="O48" s="259"/>
      <c r="P48" s="260"/>
    </row>
    <row r="49" spans="2:16" ht="15.75" x14ac:dyDescent="0.25">
      <c r="B49" s="257" t="s">
        <v>41</v>
      </c>
      <c r="C49" s="257" t="s">
        <v>42</v>
      </c>
      <c r="D49" s="252" t="s">
        <v>138</v>
      </c>
      <c r="E49" s="253"/>
      <c r="F49" s="254"/>
      <c r="G49" s="117" t="s">
        <v>139</v>
      </c>
      <c r="H49" s="117"/>
      <c r="I49" s="117"/>
      <c r="J49" s="252" t="s">
        <v>140</v>
      </c>
      <c r="K49" s="261" t="str">
        <f>"SELISIH"&amp;CHAR(10)&amp;TEXT($H$41,"0%")</f>
        <v>SELISIH
100%</v>
      </c>
      <c r="L49" s="261" t="str">
        <f>"PER HARI"&amp;CHAR(10)&amp;TEXT($H$41,"0%")</f>
        <v>PER HARI
100%</v>
      </c>
      <c r="M49" s="263" t="str">
        <f>"SELISIH"&amp;CHAR(10)&amp;TEXT($J$41,"0%")</f>
        <v>SELISIH
100%</v>
      </c>
      <c r="N49" s="263" t="str">
        <f>"PER HARI"&amp;CHAR(10)&amp;TEXT($J$41,"0%")</f>
        <v>PER HARI
100%</v>
      </c>
      <c r="O49" s="265" t="str">
        <f>"SELISIH"&amp;CHAR(10)&amp;TEXT($L$41,"0%")</f>
        <v>SELISIH
100%</v>
      </c>
      <c r="P49" s="265" t="str">
        <f>"PER HARI"&amp;CHAR(10)&amp;TEXT($L$41,"0%")</f>
        <v>PER HARI
100%</v>
      </c>
    </row>
    <row r="50" spans="2:16" ht="15.75" x14ac:dyDescent="0.25">
      <c r="B50" s="257"/>
      <c r="C50" s="257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2"/>
      <c r="K50" s="262"/>
      <c r="L50" s="262"/>
      <c r="M50" s="264"/>
      <c r="N50" s="264"/>
      <c r="O50" s="266"/>
      <c r="P50" s="266"/>
    </row>
    <row r="51" spans="2:16" x14ac:dyDescent="0.25">
      <c r="B51" s="50" t="s">
        <v>67</v>
      </c>
      <c r="C51" s="55" t="s">
        <v>68</v>
      </c>
      <c r="D51" s="123">
        <f>TARGETS!R5</f>
        <v>505234708.40059847</v>
      </c>
      <c r="E51" s="123">
        <f>TARGETS!S5</f>
        <v>60640123.605248079</v>
      </c>
      <c r="F51" s="123">
        <f t="shared" ref="F51:F64" si="0">D51+E51</f>
        <v>565874832.0058465</v>
      </c>
      <c r="G51" s="119">
        <f>M8</f>
        <v>145041701.45605999</v>
      </c>
      <c r="H51" s="119">
        <f>N8</f>
        <v>12964057.719991</v>
      </c>
      <c r="I51" s="119">
        <f t="shared" ref="I51:I64" si="1">G51+H51</f>
        <v>158005759.17605099</v>
      </c>
      <c r="J51" s="200">
        <f t="shared" ref="J51:J64" si="2">IFERROR(I51/F51,0)</f>
        <v>0.27922386761038792</v>
      </c>
      <c r="K51" s="197">
        <f t="shared" ref="K51:K64" si="3">F51*$H$41-I51</f>
        <v>407869072.82979548</v>
      </c>
      <c r="L51" s="197">
        <f t="shared" ref="L51:L65" ca="1" si="4">IFERROR(K51/$C$3,0)</f>
        <v>23992298.401752677</v>
      </c>
      <c r="M51" s="193">
        <f t="shared" ref="M51:M64" si="5">F51*$J$41-I51</f>
        <v>407869072.82979548</v>
      </c>
      <c r="N51" s="193">
        <f t="shared" ref="N51:N65" ca="1" si="6">IFERROR(M51/$C$3,0)</f>
        <v>23992298.401752677</v>
      </c>
      <c r="O51" s="198">
        <f t="shared" ref="O51:O64" si="7">F51*$L$41-I51</f>
        <v>407869072.82979548</v>
      </c>
      <c r="P51" s="198">
        <f t="shared" ref="P51:P65" ca="1" si="8">IFERROR(O51/$C$3,0)</f>
        <v>23992298.401752677</v>
      </c>
    </row>
    <row r="52" spans="2:16" x14ac:dyDescent="0.25">
      <c r="B52" s="53" t="s">
        <v>69</v>
      </c>
      <c r="C52" s="56" t="s">
        <v>70</v>
      </c>
      <c r="D52" s="124">
        <f>TARGETS!R6</f>
        <v>671454691.1268847</v>
      </c>
      <c r="E52" s="124">
        <f>TARGETS!S6</f>
        <v>165576502.41228893</v>
      </c>
      <c r="F52" s="124">
        <f t="shared" si="0"/>
        <v>837031193.5391736</v>
      </c>
      <c r="G52" s="119">
        <f>M9</f>
        <v>197983749.48881701</v>
      </c>
      <c r="H52" s="119">
        <f>N9</f>
        <v>35871562.759912997</v>
      </c>
      <c r="I52" s="119">
        <f t="shared" si="1"/>
        <v>233855312.24873</v>
      </c>
      <c r="J52" s="200">
        <f t="shared" si="2"/>
        <v>0.27938661552137894</v>
      </c>
      <c r="K52" s="197">
        <f t="shared" si="3"/>
        <v>603175881.29044366</v>
      </c>
      <c r="L52" s="197">
        <f t="shared" ca="1" si="4"/>
        <v>35480934.193555512</v>
      </c>
      <c r="M52" s="193">
        <f t="shared" si="5"/>
        <v>603175881.29044366</v>
      </c>
      <c r="N52" s="193">
        <f t="shared" ca="1" si="6"/>
        <v>35480934.193555512</v>
      </c>
      <c r="O52" s="198">
        <f t="shared" si="7"/>
        <v>603175881.29044366</v>
      </c>
      <c r="P52" s="198">
        <f t="shared" ca="1" si="8"/>
        <v>35480934.193555512</v>
      </c>
    </row>
    <row r="53" spans="2:16" x14ac:dyDescent="0.25">
      <c r="B53" s="145" t="s">
        <v>174</v>
      </c>
      <c r="C53" s="146" t="s">
        <v>175</v>
      </c>
      <c r="D53" s="147">
        <f>TARGETS!R7</f>
        <v>262953105.06301075</v>
      </c>
      <c r="E53" s="147">
        <f>TARGETS!S7</f>
        <v>0</v>
      </c>
      <c r="F53" s="147">
        <f>D53+E53</f>
        <v>262953105.06301075</v>
      </c>
      <c r="G53" s="119">
        <f>C20</f>
        <v>51735046.399999999</v>
      </c>
      <c r="H53" s="119">
        <f>IF(D20="",0,D20)</f>
        <v>0</v>
      </c>
      <c r="I53" s="119">
        <f>G53+H53</f>
        <v>51735046.399999999</v>
      </c>
      <c r="J53" s="200">
        <f>IFERROR(I53/F53,0)</f>
        <v>0.19674628442817918</v>
      </c>
      <c r="K53" s="197">
        <f t="shared" si="3"/>
        <v>211218058.66301075</v>
      </c>
      <c r="L53" s="197">
        <f t="shared" ca="1" si="4"/>
        <v>12424591.686059456</v>
      </c>
      <c r="M53" s="193">
        <f t="shared" si="5"/>
        <v>211218058.66301075</v>
      </c>
      <c r="N53" s="193">
        <f t="shared" ca="1" si="6"/>
        <v>12424591.686059456</v>
      </c>
      <c r="O53" s="198">
        <f t="shared" si="7"/>
        <v>211218058.66301075</v>
      </c>
      <c r="P53" s="198">
        <f t="shared" ca="1" si="8"/>
        <v>12424591.686059456</v>
      </c>
    </row>
    <row r="54" spans="2:16" x14ac:dyDescent="0.25">
      <c r="B54" s="53" t="s">
        <v>71</v>
      </c>
      <c r="C54" s="56" t="s">
        <v>72</v>
      </c>
      <c r="D54" s="124">
        <f>TARGETS!R8</f>
        <v>742384808.84903777</v>
      </c>
      <c r="E54" s="124">
        <f>TARGETS!S8</f>
        <v>35794312.055859983</v>
      </c>
      <c r="F54" s="124">
        <f t="shared" si="0"/>
        <v>778179120.90489769</v>
      </c>
      <c r="G54" s="119">
        <f>M10</f>
        <v>414278514.176431</v>
      </c>
      <c r="H54" s="119">
        <f t="shared" ref="H54:H58" si="9">N10</f>
        <v>11397981.89993</v>
      </c>
      <c r="I54" s="119">
        <f t="shared" si="1"/>
        <v>425676496.076361</v>
      </c>
      <c r="J54" s="200">
        <f t="shared" si="2"/>
        <v>0.54701608491033193</v>
      </c>
      <c r="K54" s="197">
        <f t="shared" si="3"/>
        <v>352502624.82853669</v>
      </c>
      <c r="L54" s="197">
        <f t="shared" ca="1" si="4"/>
        <v>20735448.519325688</v>
      </c>
      <c r="M54" s="193">
        <f t="shared" si="5"/>
        <v>352502624.82853669</v>
      </c>
      <c r="N54" s="193">
        <f t="shared" ca="1" si="6"/>
        <v>20735448.519325688</v>
      </c>
      <c r="O54" s="198">
        <f t="shared" si="7"/>
        <v>352502624.82853669</v>
      </c>
      <c r="P54" s="198">
        <f t="shared" ca="1" si="8"/>
        <v>20735448.519325688</v>
      </c>
    </row>
    <row r="55" spans="2:16" x14ac:dyDescent="0.25">
      <c r="B55" s="50" t="s">
        <v>73</v>
      </c>
      <c r="C55" s="55" t="s">
        <v>193</v>
      </c>
      <c r="D55" s="123">
        <f>TARGETS!R9</f>
        <v>496309709.75250041</v>
      </c>
      <c r="E55" s="123">
        <f>TARGETS!S9</f>
        <v>54597557.63085559</v>
      </c>
      <c r="F55" s="123">
        <f t="shared" si="0"/>
        <v>550907267.38335598</v>
      </c>
      <c r="G55" s="119">
        <f>M11</f>
        <v>110839640.19955</v>
      </c>
      <c r="H55" s="119">
        <f t="shared" si="9"/>
        <v>2448696</v>
      </c>
      <c r="I55" s="119">
        <f t="shared" si="1"/>
        <v>113288336.19955</v>
      </c>
      <c r="J55" s="200">
        <f t="shared" si="2"/>
        <v>0.20563957476479766</v>
      </c>
      <c r="K55" s="197">
        <f t="shared" si="3"/>
        <v>437618931.18380594</v>
      </c>
      <c r="L55" s="197">
        <f t="shared" ca="1" si="4"/>
        <v>25742290.069635645</v>
      </c>
      <c r="M55" s="193">
        <f t="shared" si="5"/>
        <v>437618931.18380594</v>
      </c>
      <c r="N55" s="193">
        <f t="shared" ca="1" si="6"/>
        <v>25742290.069635645</v>
      </c>
      <c r="O55" s="198">
        <f t="shared" si="7"/>
        <v>437618931.18380594</v>
      </c>
      <c r="P55" s="198">
        <f t="shared" ca="1" si="8"/>
        <v>25742290.069635645</v>
      </c>
    </row>
    <row r="56" spans="2:16" x14ac:dyDescent="0.25">
      <c r="B56" s="53" t="s">
        <v>75</v>
      </c>
      <c r="C56" s="56" t="s">
        <v>99</v>
      </c>
      <c r="D56" s="124">
        <f>TARGETS!R10</f>
        <v>519189534.27822161</v>
      </c>
      <c r="E56" s="124">
        <f>TARGETS!S10</f>
        <v>107263766.34102874</v>
      </c>
      <c r="F56" s="124">
        <f t="shared" si="0"/>
        <v>626453300.6192503</v>
      </c>
      <c r="G56" s="119">
        <f>M12</f>
        <v>116878219.27787501</v>
      </c>
      <c r="H56" s="119">
        <f t="shared" si="9"/>
        <v>34557299.906397</v>
      </c>
      <c r="I56" s="119">
        <f t="shared" si="1"/>
        <v>151435519.18427199</v>
      </c>
      <c r="J56" s="200">
        <f t="shared" si="2"/>
        <v>0.24173472952345798</v>
      </c>
      <c r="K56" s="197">
        <f t="shared" si="3"/>
        <v>475017781.43497831</v>
      </c>
      <c r="L56" s="197">
        <f t="shared" ca="1" si="4"/>
        <v>27942222.437351666</v>
      </c>
      <c r="M56" s="193">
        <f t="shared" si="5"/>
        <v>475017781.43497831</v>
      </c>
      <c r="N56" s="193">
        <f t="shared" ca="1" si="6"/>
        <v>27942222.437351666</v>
      </c>
      <c r="O56" s="198">
        <f t="shared" si="7"/>
        <v>475017781.43497831</v>
      </c>
      <c r="P56" s="198">
        <f t="shared" ca="1" si="8"/>
        <v>27942222.437351666</v>
      </c>
    </row>
    <row r="57" spans="2:16" x14ac:dyDescent="0.25">
      <c r="B57" s="50" t="s">
        <v>76</v>
      </c>
      <c r="C57" s="55" t="s">
        <v>77</v>
      </c>
      <c r="D57" s="123">
        <f>TARGETS!R11</f>
        <v>1075242934.3238537</v>
      </c>
      <c r="E57" s="123">
        <f>TARGETS!S11</f>
        <v>85448443.319925025</v>
      </c>
      <c r="F57" s="123">
        <f t="shared" si="0"/>
        <v>1160691377.6437788</v>
      </c>
      <c r="G57" s="119">
        <f>M13</f>
        <v>356651492.93272799</v>
      </c>
      <c r="H57" s="119">
        <f t="shared" si="9"/>
        <v>22608427.769977</v>
      </c>
      <c r="I57" s="119">
        <f t="shared" si="1"/>
        <v>379259920.70270497</v>
      </c>
      <c r="J57" s="200">
        <f t="shared" si="2"/>
        <v>0.32675345747170825</v>
      </c>
      <c r="K57" s="197">
        <f t="shared" si="3"/>
        <v>781431456.94107389</v>
      </c>
      <c r="L57" s="197">
        <f t="shared" ca="1" si="4"/>
        <v>45966556.290651403</v>
      </c>
      <c r="M57" s="193">
        <f t="shared" si="5"/>
        <v>781431456.94107389</v>
      </c>
      <c r="N57" s="193">
        <f t="shared" ca="1" si="6"/>
        <v>45966556.290651403</v>
      </c>
      <c r="O57" s="198">
        <f t="shared" si="7"/>
        <v>781431456.94107389</v>
      </c>
      <c r="P57" s="198">
        <f t="shared" ca="1" si="8"/>
        <v>45966556.290651403</v>
      </c>
    </row>
    <row r="58" spans="2:16" x14ac:dyDescent="0.25">
      <c r="B58" s="53" t="s">
        <v>78</v>
      </c>
      <c r="C58" s="56" t="s">
        <v>79</v>
      </c>
      <c r="D58" s="124">
        <f>TARGETS!R12</f>
        <v>577111702.00922382</v>
      </c>
      <c r="E58" s="124">
        <f>TARGETS!S12</f>
        <v>88976480.286837116</v>
      </c>
      <c r="F58" s="124">
        <f t="shared" si="0"/>
        <v>666088182.29606092</v>
      </c>
      <c r="G58" s="119">
        <f>M14</f>
        <v>205710441.96901199</v>
      </c>
      <c r="H58" s="119">
        <f t="shared" si="9"/>
        <v>31099163.239939999</v>
      </c>
      <c r="I58" s="119">
        <f>G58+H58</f>
        <v>236809605.20895198</v>
      </c>
      <c r="J58" s="200">
        <f>IFERROR(I58/F58,0)</f>
        <v>0.35552290447887808</v>
      </c>
      <c r="K58" s="197">
        <f t="shared" si="3"/>
        <v>429278577.08710897</v>
      </c>
      <c r="L58" s="197">
        <f t="shared" ca="1" si="4"/>
        <v>25251681.005124059</v>
      </c>
      <c r="M58" s="193">
        <f t="shared" si="5"/>
        <v>429278577.08710897</v>
      </c>
      <c r="N58" s="193">
        <f t="shared" ca="1" si="6"/>
        <v>25251681.005124059</v>
      </c>
      <c r="O58" s="198">
        <f t="shared" si="7"/>
        <v>429278577.08710897</v>
      </c>
      <c r="P58" s="198">
        <f t="shared" ca="1" si="8"/>
        <v>25251681.005124059</v>
      </c>
    </row>
    <row r="59" spans="2:16" x14ac:dyDescent="0.25">
      <c r="B59" s="145" t="s">
        <v>174</v>
      </c>
      <c r="C59" s="146" t="s">
        <v>176</v>
      </c>
      <c r="D59" s="147">
        <f>TARGETS!R13</f>
        <v>443846715.57642001</v>
      </c>
      <c r="E59" s="147">
        <f>TARGETS!S13</f>
        <v>0</v>
      </c>
      <c r="F59" s="147">
        <f>D59+E59</f>
        <v>443846715.57642001</v>
      </c>
      <c r="G59" s="119">
        <f>C21</f>
        <v>84943237.540000007</v>
      </c>
      <c r="H59" s="119">
        <f>IF(D21="",0,D21)</f>
        <v>0</v>
      </c>
      <c r="I59" s="119">
        <f>G59+H59</f>
        <v>84943237.540000007</v>
      </c>
      <c r="J59" s="200">
        <f>IFERROR(I59/F59,0)</f>
        <v>0.19137966905913664</v>
      </c>
      <c r="K59" s="197">
        <f t="shared" si="3"/>
        <v>358903478.03641999</v>
      </c>
      <c r="L59" s="197">
        <f t="shared" ca="1" si="4"/>
        <v>21111969.296259999</v>
      </c>
      <c r="M59" s="193">
        <f t="shared" si="5"/>
        <v>358903478.03641999</v>
      </c>
      <c r="N59" s="193">
        <f t="shared" ca="1" si="6"/>
        <v>21111969.296259999</v>
      </c>
      <c r="O59" s="198">
        <f t="shared" si="7"/>
        <v>358903478.03641999</v>
      </c>
      <c r="P59" s="198">
        <f t="shared" ca="1" si="8"/>
        <v>21111969.296259999</v>
      </c>
    </row>
    <row r="60" spans="2:16" x14ac:dyDescent="0.25">
      <c r="B60" s="53" t="s">
        <v>80</v>
      </c>
      <c r="C60" s="56" t="s">
        <v>193</v>
      </c>
      <c r="D60" s="124">
        <f>TARGETS!R14</f>
        <v>528718642.70198309</v>
      </c>
      <c r="E60" s="124">
        <f>TARGETS!S14</f>
        <v>101974877.61343271</v>
      </c>
      <c r="F60" s="124">
        <f t="shared" si="0"/>
        <v>630693520.31541586</v>
      </c>
      <c r="G60" s="119">
        <f>M15</f>
        <v>125041426.40968101</v>
      </c>
      <c r="H60" s="119">
        <f t="shared" ref="H60:H64" si="10">N15</f>
        <v>23793428.411897998</v>
      </c>
      <c r="I60" s="119">
        <f t="shared" si="1"/>
        <v>148834854.82157901</v>
      </c>
      <c r="J60" s="200">
        <f t="shared" si="2"/>
        <v>0.23598602177987379</v>
      </c>
      <c r="K60" s="197">
        <f t="shared" si="3"/>
        <v>481858665.49383688</v>
      </c>
      <c r="L60" s="197">
        <f t="shared" ca="1" si="4"/>
        <v>28344627.381990403</v>
      </c>
      <c r="M60" s="193">
        <f t="shared" si="5"/>
        <v>481858665.49383688</v>
      </c>
      <c r="N60" s="193">
        <f t="shared" ca="1" si="6"/>
        <v>28344627.381990403</v>
      </c>
      <c r="O60" s="198">
        <f t="shared" si="7"/>
        <v>481858665.49383688</v>
      </c>
      <c r="P60" s="198">
        <f t="shared" ca="1" si="8"/>
        <v>28344627.381990403</v>
      </c>
    </row>
    <row r="61" spans="2:16" x14ac:dyDescent="0.25">
      <c r="B61" s="50" t="s">
        <v>82</v>
      </c>
      <c r="C61" s="55" t="s">
        <v>83</v>
      </c>
      <c r="D61" s="123">
        <f>TARGETS!R15</f>
        <v>712842707.51473606</v>
      </c>
      <c r="E61" s="123">
        <f>TARGETS!S15</f>
        <v>55257406.157477453</v>
      </c>
      <c r="F61" s="123">
        <f t="shared" si="0"/>
        <v>768100113.67221355</v>
      </c>
      <c r="G61" s="119">
        <f>M16</f>
        <v>222280113.580632</v>
      </c>
      <c r="H61" s="119">
        <f t="shared" si="10"/>
        <v>22301499.989997</v>
      </c>
      <c r="I61" s="119">
        <f t="shared" si="1"/>
        <v>244581613.570629</v>
      </c>
      <c r="J61" s="200">
        <f t="shared" si="2"/>
        <v>0.31842413406412295</v>
      </c>
      <c r="K61" s="197">
        <f t="shared" si="3"/>
        <v>523518500.10158455</v>
      </c>
      <c r="L61" s="197">
        <f t="shared" ca="1" si="4"/>
        <v>30795205.888328504</v>
      </c>
      <c r="M61" s="193">
        <f t="shared" si="5"/>
        <v>523518500.10158455</v>
      </c>
      <c r="N61" s="193">
        <f t="shared" ca="1" si="6"/>
        <v>30795205.888328504</v>
      </c>
      <c r="O61" s="198">
        <f t="shared" si="7"/>
        <v>523518500.10158455</v>
      </c>
      <c r="P61" s="198">
        <f t="shared" ca="1" si="8"/>
        <v>30795205.888328504</v>
      </c>
    </row>
    <row r="62" spans="2:16" x14ac:dyDescent="0.25">
      <c r="B62" s="53" t="s">
        <v>84</v>
      </c>
      <c r="C62" s="56" t="s">
        <v>85</v>
      </c>
      <c r="D62" s="124">
        <f>TARGETS!R16</f>
        <v>495867895.49250114</v>
      </c>
      <c r="E62" s="124">
        <f>TARGETS!S16</f>
        <v>32662674.187332422</v>
      </c>
      <c r="F62" s="124">
        <f t="shared" si="0"/>
        <v>528530569.67983353</v>
      </c>
      <c r="G62" s="119">
        <f>M17</f>
        <v>111301180.274028</v>
      </c>
      <c r="H62" s="119">
        <f t="shared" si="10"/>
        <v>14760742.079194</v>
      </c>
      <c r="I62" s="119">
        <f t="shared" si="1"/>
        <v>126061922.353222</v>
      </c>
      <c r="J62" s="200">
        <f t="shared" si="2"/>
        <v>0.23851396605041439</v>
      </c>
      <c r="K62" s="197">
        <f t="shared" si="3"/>
        <v>402468647.32661152</v>
      </c>
      <c r="L62" s="197">
        <f t="shared" ca="1" si="4"/>
        <v>23674626.313330088</v>
      </c>
      <c r="M62" s="193">
        <f t="shared" si="5"/>
        <v>402468647.32661152</v>
      </c>
      <c r="N62" s="193">
        <f t="shared" ca="1" si="6"/>
        <v>23674626.313330088</v>
      </c>
      <c r="O62" s="198">
        <f t="shared" si="7"/>
        <v>402468647.32661152</v>
      </c>
      <c r="P62" s="198">
        <f t="shared" ca="1" si="8"/>
        <v>23674626.313330088</v>
      </c>
    </row>
    <row r="63" spans="2:16" x14ac:dyDescent="0.25">
      <c r="B63" s="50" t="s">
        <v>86</v>
      </c>
      <c r="C63" s="55" t="s">
        <v>87</v>
      </c>
      <c r="D63" s="123">
        <f>TARGETS!R17</f>
        <v>720052460.26793551</v>
      </c>
      <c r="E63" s="123">
        <f>TARGETS!S17</f>
        <v>310428849.14490294</v>
      </c>
      <c r="F63" s="123">
        <f t="shared" si="0"/>
        <v>1030481309.4128385</v>
      </c>
      <c r="G63" s="119">
        <f>M18</f>
        <v>199117405.63530999</v>
      </c>
      <c r="H63" s="119">
        <f t="shared" si="10"/>
        <v>120422521.444428</v>
      </c>
      <c r="I63" s="119">
        <f t="shared" si="1"/>
        <v>319539927.07973802</v>
      </c>
      <c r="J63" s="200">
        <f t="shared" si="2"/>
        <v>0.31008803765864495</v>
      </c>
      <c r="K63" s="197">
        <f t="shared" si="3"/>
        <v>710941382.33310044</v>
      </c>
      <c r="L63" s="197">
        <f t="shared" ca="1" si="4"/>
        <v>41820081.313711792</v>
      </c>
      <c r="M63" s="193">
        <f t="shared" si="5"/>
        <v>710941382.33310044</v>
      </c>
      <c r="N63" s="193">
        <f t="shared" ca="1" si="6"/>
        <v>41820081.313711792</v>
      </c>
      <c r="O63" s="198">
        <f t="shared" si="7"/>
        <v>710941382.33310044</v>
      </c>
      <c r="P63" s="198">
        <f t="shared" ca="1" si="8"/>
        <v>41820081.313711792</v>
      </c>
    </row>
    <row r="64" spans="2:16" x14ac:dyDescent="0.25">
      <c r="B64" s="53" t="s">
        <v>88</v>
      </c>
      <c r="C64" s="56" t="s">
        <v>89</v>
      </c>
      <c r="D64" s="124">
        <f>TARGETS!R18</f>
        <v>392599628.84267223</v>
      </c>
      <c r="E64" s="124">
        <f>TARGETS!S18</f>
        <v>195822004.71075061</v>
      </c>
      <c r="F64" s="124">
        <f t="shared" si="0"/>
        <v>588421633.55342281</v>
      </c>
      <c r="G64" s="119">
        <f>M19</f>
        <v>85086304.182532996</v>
      </c>
      <c r="H64" s="119">
        <f t="shared" si="10"/>
        <v>48774720.491529003</v>
      </c>
      <c r="I64" s="119">
        <f t="shared" si="1"/>
        <v>133861024.674062</v>
      </c>
      <c r="J64" s="200">
        <f t="shared" si="2"/>
        <v>0.22749167780539931</v>
      </c>
      <c r="K64" s="197">
        <f t="shared" si="3"/>
        <v>454560608.8793608</v>
      </c>
      <c r="L64" s="197">
        <f t="shared" ca="1" si="4"/>
        <v>26738859.345844753</v>
      </c>
      <c r="M64" s="193">
        <f t="shared" si="5"/>
        <v>454560608.8793608</v>
      </c>
      <c r="N64" s="193">
        <f t="shared" ca="1" si="6"/>
        <v>26738859.345844753</v>
      </c>
      <c r="O64" s="198">
        <f t="shared" si="7"/>
        <v>454560608.8793608</v>
      </c>
      <c r="P64" s="198">
        <f t="shared" ca="1" si="8"/>
        <v>26738859.345844753</v>
      </c>
    </row>
    <row r="65" spans="2:16" x14ac:dyDescent="0.25">
      <c r="B65" s="57" t="s">
        <v>152</v>
      </c>
      <c r="C65" s="58"/>
      <c r="D65" s="143">
        <f>SUM(D51:D64)</f>
        <v>8143809244.1995802</v>
      </c>
      <c r="E65" s="143">
        <f t="shared" ref="E65" si="11">SUM(E51:E52,E54:E58,E60:E64)</f>
        <v>1294442997.4659395</v>
      </c>
      <c r="F65" s="143">
        <f>SUM(F51:F64)</f>
        <v>9438252241.6655178</v>
      </c>
      <c r="G65" s="144">
        <f>SUM(G51:G64)</f>
        <v>2426888473.5226569</v>
      </c>
      <c r="H65" s="144">
        <f>SUM(H51:H64)</f>
        <v>381000101.71319401</v>
      </c>
      <c r="I65" s="144">
        <f>SUM(I51:I64)</f>
        <v>2807888575.2358503</v>
      </c>
      <c r="J65" s="203">
        <f>IFERROR(I65/F65,0)</f>
        <v>0.29750090412293934</v>
      </c>
      <c r="K65" s="194">
        <f>SUM(K51:K64)</f>
        <v>6630363666.4296684</v>
      </c>
      <c r="L65" s="194">
        <f t="shared" ca="1" si="4"/>
        <v>390021392.14292169</v>
      </c>
      <c r="M65" s="194">
        <f>SUM(M51:M64)</f>
        <v>6630363666.4296684</v>
      </c>
      <c r="N65" s="194">
        <f t="shared" ca="1" si="6"/>
        <v>390021392.14292169</v>
      </c>
      <c r="O65" s="199">
        <f>SUM(O51:O64)</f>
        <v>6630363666.4296684</v>
      </c>
      <c r="P65" s="199">
        <f t="shared" ca="1" si="8"/>
        <v>390021392.14292169</v>
      </c>
    </row>
    <row r="66" spans="2:16" x14ac:dyDescent="0.25">
      <c r="G66" s="116"/>
      <c r="H66" s="116"/>
      <c r="I66" s="116"/>
    </row>
    <row r="67" spans="2:16" ht="18.75" x14ac:dyDescent="0.25">
      <c r="B67" s="276" t="s">
        <v>145</v>
      </c>
      <c r="C67" s="277"/>
      <c r="D67" s="277"/>
      <c r="E67" s="277"/>
      <c r="F67" s="277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100%</v>
      </c>
      <c r="H68" s="195" t="str">
        <f>"PER HARI"&amp;CHAR(10)&amp;TEXT($H$41,"0%")</f>
        <v>PER HARI
100%</v>
      </c>
      <c r="I68" s="216" t="str">
        <f>"SELISIH"&amp;CHAR(10)&amp;TEXT($J$41,"0%")</f>
        <v>SELISIH
100%</v>
      </c>
      <c r="J68" s="217" t="str">
        <f>"PER HARI"&amp;CHAR(10)&amp;TEXT($J$41,"0%")</f>
        <v>PER HARI
100%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TARGETS!K22</f>
        <v>298101474.90070933</v>
      </c>
      <c r="E69" s="119">
        <f>IFERROR(C32,0)</f>
        <v>60586635.719708003</v>
      </c>
      <c r="F69" s="200">
        <f t="shared" ref="F69:F74" si="12">IFERROR(E69/D69,0)</f>
        <v>0.20324165031349811</v>
      </c>
      <c r="G69" s="197">
        <f>D69*$H$41-E69</f>
        <v>237514839.18100134</v>
      </c>
      <c r="H69" s="197">
        <f t="shared" ref="H69:H74" ca="1" si="13">IFERROR(G69/$C$3,0)</f>
        <v>13971461.128294196</v>
      </c>
      <c r="I69" s="218">
        <f>D69*$J$41-E69</f>
        <v>237514839.18100134</v>
      </c>
      <c r="J69" s="218">
        <f t="shared" ref="J69:J74" ca="1" si="14">IFERROR(I69/$C$3,0)</f>
        <v>13971461.128294196</v>
      </c>
      <c r="K69" s="198">
        <f>D69*$L$41-E69</f>
        <v>237514839.18100134</v>
      </c>
      <c r="L69" s="198">
        <f t="shared" ref="L69:L74" ca="1" si="15">IFERROR(K69/$C$3,0)</f>
        <v>13971461.128294196</v>
      </c>
    </row>
    <row r="70" spans="2:16" x14ac:dyDescent="0.25">
      <c r="B70" s="53" t="s">
        <v>94</v>
      </c>
      <c r="C70" s="56" t="s">
        <v>99</v>
      </c>
      <c r="D70" s="122">
        <f>TARGETS!K23</f>
        <v>441402383.90070933</v>
      </c>
      <c r="E70" s="119">
        <f>IFERROR(C33,0)</f>
        <v>136239161.451455</v>
      </c>
      <c r="F70" s="200">
        <f t="shared" si="12"/>
        <v>0.3086507151309385</v>
      </c>
      <c r="G70" s="197">
        <f>D70*$H$41-E70</f>
        <v>305163222.44925433</v>
      </c>
      <c r="H70" s="197">
        <f t="shared" ca="1" si="13"/>
        <v>17950777.791132607</v>
      </c>
      <c r="I70" s="218">
        <f>D70*$J$41-E70</f>
        <v>305163222.44925433</v>
      </c>
      <c r="J70" s="218">
        <f t="shared" ca="1" si="14"/>
        <v>17950777.791132607</v>
      </c>
      <c r="K70" s="198">
        <f>D70*$L$41-E70</f>
        <v>305163222.44925433</v>
      </c>
      <c r="L70" s="198">
        <f t="shared" ca="1" si="15"/>
        <v>17950777.791132607</v>
      </c>
    </row>
    <row r="71" spans="2:16" x14ac:dyDescent="0.25">
      <c r="B71" s="50" t="s">
        <v>96</v>
      </c>
      <c r="C71" s="55" t="s">
        <v>97</v>
      </c>
      <c r="D71" s="121">
        <f>TARGETS!K24</f>
        <v>1126453588.0070922</v>
      </c>
      <c r="E71" s="119">
        <f>M21+M7</f>
        <v>276360621.43253601</v>
      </c>
      <c r="F71" s="200">
        <f t="shared" si="12"/>
        <v>0.24533689126195585</v>
      </c>
      <c r="G71" s="197">
        <f>D71*$H$41-E71</f>
        <v>850092966.57455623</v>
      </c>
      <c r="H71" s="197">
        <f t="shared" ca="1" si="13"/>
        <v>50005468.622032717</v>
      </c>
      <c r="I71" s="218">
        <f>D71*$J$41-E71</f>
        <v>850092966.57455623</v>
      </c>
      <c r="J71" s="218">
        <f t="shared" ca="1" si="14"/>
        <v>50005468.622032717</v>
      </c>
      <c r="K71" s="198">
        <f>D71*$L$41-E71</f>
        <v>850092966.57455623</v>
      </c>
      <c r="L71" s="198">
        <f t="shared" ca="1" si="15"/>
        <v>50005468.622032717</v>
      </c>
    </row>
    <row r="72" spans="2:16" hidden="1" x14ac:dyDescent="0.25">
      <c r="B72" s="53" t="s">
        <v>98</v>
      </c>
      <c r="C72" s="56" t="s">
        <v>99</v>
      </c>
      <c r="D72" s="122">
        <f>TARGETS!K25</f>
        <v>0</v>
      </c>
      <c r="E72" s="119">
        <f>0</f>
        <v>0</v>
      </c>
      <c r="F72" s="200">
        <f t="shared" si="12"/>
        <v>0</v>
      </c>
      <c r="G72" s="197">
        <f>D72*$H$41-E72</f>
        <v>0</v>
      </c>
      <c r="H72" s="197">
        <f t="shared" ca="1" si="13"/>
        <v>0</v>
      </c>
      <c r="I72" s="218">
        <f>D72*$J$41-E72</f>
        <v>0</v>
      </c>
      <c r="J72" s="218">
        <f t="shared" ca="1" si="14"/>
        <v>0</v>
      </c>
      <c r="K72" s="198">
        <f>D72*$L$41-E72</f>
        <v>0</v>
      </c>
      <c r="L72" s="198">
        <f t="shared" ca="1" si="15"/>
        <v>0</v>
      </c>
    </row>
    <row r="73" spans="2:16" hidden="1" x14ac:dyDescent="0.25">
      <c r="B73" s="50" t="s">
        <v>100</v>
      </c>
      <c r="C73" s="113" t="s">
        <v>101</v>
      </c>
      <c r="D73" s="121">
        <f>TARGETS!K26</f>
        <v>0</v>
      </c>
      <c r="E73" s="119">
        <f>0</f>
        <v>0</v>
      </c>
      <c r="F73" s="200">
        <f t="shared" si="12"/>
        <v>0</v>
      </c>
      <c r="G73" s="197">
        <f>D73*$H$41-E73</f>
        <v>0</v>
      </c>
      <c r="H73" s="197">
        <f t="shared" ca="1" si="13"/>
        <v>0</v>
      </c>
      <c r="I73" s="218">
        <f>D73*$J$41-E73</f>
        <v>0</v>
      </c>
      <c r="J73" s="218">
        <f t="shared" ca="1" si="14"/>
        <v>0</v>
      </c>
      <c r="K73" s="198">
        <f>D73*$L$41-E73</f>
        <v>0</v>
      </c>
      <c r="L73" s="198">
        <f t="shared" ca="1" si="15"/>
        <v>0</v>
      </c>
    </row>
    <row r="74" spans="2:16" x14ac:dyDescent="0.25">
      <c r="B74" s="57" t="s">
        <v>152</v>
      </c>
      <c r="C74" s="58"/>
      <c r="D74" s="120">
        <f>SUM(D69:D73)</f>
        <v>1865957446.8085108</v>
      </c>
      <c r="E74" s="120">
        <f>SUM(E69:E73)</f>
        <v>473186418.60369897</v>
      </c>
      <c r="F74" s="188">
        <f t="shared" si="12"/>
        <v>0.25358907268385233</v>
      </c>
      <c r="G74" s="194">
        <f>SUM(G69:G73)</f>
        <v>1392771028.204812</v>
      </c>
      <c r="H74" s="194">
        <f t="shared" ca="1" si="13"/>
        <v>81927707.541459531</v>
      </c>
      <c r="I74" s="199">
        <f>SUM(I69:I73)</f>
        <v>1392771028.204812</v>
      </c>
      <c r="J74" s="199">
        <f t="shared" ca="1" si="14"/>
        <v>81927707.541459531</v>
      </c>
      <c r="K74" s="199">
        <f>SUM(K69:K73)</f>
        <v>1392771028.204812</v>
      </c>
      <c r="L74" s="199">
        <f t="shared" ca="1" si="15"/>
        <v>81927707.541459531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7" t="s">
        <v>41</v>
      </c>
      <c r="C78" s="257" t="s">
        <v>42</v>
      </c>
      <c r="D78" s="126" t="s">
        <v>139</v>
      </c>
    </row>
    <row r="79" spans="2:16" ht="15.75" x14ac:dyDescent="0.25">
      <c r="B79" s="257"/>
      <c r="C79" s="257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221890775.28992501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53242138.969999999</v>
      </c>
    </row>
    <row r="82" spans="2:4" x14ac:dyDescent="0.25">
      <c r="B82" s="53" t="s">
        <v>174</v>
      </c>
      <c r="C82" s="56" t="s">
        <v>175</v>
      </c>
      <c r="D82" s="141">
        <f>IF(E20="",0,E20)</f>
        <v>2882882.8</v>
      </c>
    </row>
    <row r="83" spans="2:4" x14ac:dyDescent="0.25">
      <c r="B83" s="50" t="s">
        <v>71</v>
      </c>
      <c r="C83" s="55" t="s">
        <v>72</v>
      </c>
      <c r="D83" s="140">
        <f>IF(E15="",0,E15)</f>
        <v>128112162.86993501</v>
      </c>
    </row>
    <row r="84" spans="2:4" x14ac:dyDescent="0.25">
      <c r="B84" s="53" t="s">
        <v>73</v>
      </c>
      <c r="C84" s="56" t="s">
        <v>193</v>
      </c>
      <c r="D84" s="141">
        <f>0</f>
        <v>0</v>
      </c>
    </row>
    <row r="85" spans="2:4" x14ac:dyDescent="0.25">
      <c r="B85" s="50" t="s">
        <v>75</v>
      </c>
      <c r="C85" s="55" t="s">
        <v>99</v>
      </c>
      <c r="D85" s="140">
        <f>IF(E25="",0,E25)+IF(E26="",0,E26)</f>
        <v>29244378</v>
      </c>
    </row>
    <row r="86" spans="2:4" x14ac:dyDescent="0.25">
      <c r="B86" s="53" t="s">
        <v>76</v>
      </c>
      <c r="C86" s="56" t="s">
        <v>77</v>
      </c>
      <c r="D86" s="141">
        <f>IF(E17="",0,E17)</f>
        <v>380082250.16996503</v>
      </c>
    </row>
    <row r="87" spans="2:4" x14ac:dyDescent="0.25">
      <c r="B87" s="50" t="s">
        <v>78</v>
      </c>
      <c r="C87" s="55" t="s">
        <v>79</v>
      </c>
      <c r="D87" s="140">
        <f>IF(E23="",0,E23)</f>
        <v>136678614.17973399</v>
      </c>
    </row>
    <row r="88" spans="2:4" x14ac:dyDescent="0.25">
      <c r="B88" s="53" t="s">
        <v>174</v>
      </c>
      <c r="C88" s="56" t="s">
        <v>176</v>
      </c>
      <c r="D88" s="141">
        <f>IF(E21="",0,E21)</f>
        <v>5225225.08</v>
      </c>
    </row>
    <row r="89" spans="2:4" x14ac:dyDescent="0.25">
      <c r="B89" s="53" t="s">
        <v>80</v>
      </c>
      <c r="C89" s="56" t="s">
        <v>193</v>
      </c>
      <c r="D89" s="141">
        <f>IF(E11="",0,E11)</f>
        <v>16021621.9</v>
      </c>
    </row>
    <row r="90" spans="2:4" x14ac:dyDescent="0.25">
      <c r="B90" s="50" t="s">
        <v>82</v>
      </c>
      <c r="C90" s="55" t="s">
        <v>83</v>
      </c>
      <c r="D90" s="140">
        <f>IF(E24="",0,E24)</f>
        <v>202741893.30977201</v>
      </c>
    </row>
    <row r="91" spans="2:4" x14ac:dyDescent="0.25">
      <c r="B91" s="53" t="s">
        <v>84</v>
      </c>
      <c r="C91" s="56" t="s">
        <v>85</v>
      </c>
      <c r="D91" s="141">
        <f>IF(E10="",0,E10)</f>
        <v>59508219.32</v>
      </c>
    </row>
    <row r="92" spans="2:4" x14ac:dyDescent="0.25">
      <c r="B92" s="50" t="s">
        <v>86</v>
      </c>
      <c r="C92" s="55" t="s">
        <v>87</v>
      </c>
      <c r="D92" s="140">
        <f>IF(E27="",0,E27)</f>
        <v>2770810.8769999999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52762163.219999999</v>
      </c>
    </row>
    <row r="94" spans="2:4" x14ac:dyDescent="0.25">
      <c r="B94" s="57" t="s">
        <v>152</v>
      </c>
      <c r="C94" s="58"/>
      <c r="D94" s="125">
        <f>SUM(D80:D93)</f>
        <v>1291163135.9863312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4" priority="1">
      <formula>J51&gt;=$F$42-0.05</formula>
    </cfRule>
    <cfRule type="expression" dxfId="13" priority="2">
      <formula>AND(J51&gt;=$F$42-0.2,J51&lt;$F$42-0.05)</formula>
    </cfRule>
    <cfRule type="expression" dxfId="12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A35" sqref="A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162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IF($J$5&lt;&gt;"",$J$5,MAX(0,NETWORKDAYS.INTL(MAX(TODAY(),DATE(YEAR(TODAY()),9,1)),EOMONTH(DATE(YEAR(TODAY()),9,1),0),11)-MAX(0,$J$3-$J$4)))</f>
        <v>26</v>
      </c>
      <c r="D3" s="79" t="s">
        <v>104</v>
      </c>
      <c r="E3" s="80">
        <f ca="1">DAY(EOMONTH(DATE(YEAR(TODAY()),9,1),0))</f>
        <v>30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83" t="s">
        <v>187</v>
      </c>
    </row>
    <row r="41" spans="2:19" ht="18.75" x14ac:dyDescent="0.25">
      <c r="B41" s="267" t="s">
        <v>163</v>
      </c>
      <c r="C41" s="268"/>
      <c r="D41" s="269"/>
      <c r="E41" s="67" t="s">
        <v>138</v>
      </c>
      <c r="F41" s="185">
        <f ca="1">IF(MONTH(TODAY())=9,DAY(TODAY())/DAY(EOMONTH(TODAY(),0)),IF(MONTH(TODAY())&gt;9,1,0))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1.5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SUM(TARGETS!T5:T7,TARGETS!T8:T13,TARGETS!T14:T18)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SUM(TARGETS!U5:U6,TARGETS!U8:U12,TARGETS!U14:U18)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SUM(TARGETS!L22:L26)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5" t="s">
        <v>146</v>
      </c>
      <c r="C46" s="256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8.75" x14ac:dyDescent="0.25">
      <c r="B48" s="270" t="s">
        <v>147</v>
      </c>
      <c r="C48" s="271"/>
      <c r="D48" s="271"/>
      <c r="E48" s="271"/>
      <c r="F48" s="271"/>
      <c r="G48" s="271"/>
      <c r="H48" s="271"/>
      <c r="I48" s="271"/>
      <c r="J48" s="271"/>
      <c r="K48" s="258" t="s">
        <v>188</v>
      </c>
      <c r="L48" s="259"/>
      <c r="M48" s="259"/>
      <c r="N48" s="259"/>
      <c r="O48" s="259"/>
      <c r="P48" s="260"/>
    </row>
    <row r="49" spans="2:16" ht="15.75" x14ac:dyDescent="0.25">
      <c r="B49" s="257" t="s">
        <v>41</v>
      </c>
      <c r="C49" s="257" t="s">
        <v>42</v>
      </c>
      <c r="D49" s="252" t="s">
        <v>138</v>
      </c>
      <c r="E49" s="253"/>
      <c r="F49" s="254"/>
      <c r="G49" s="117" t="s">
        <v>139</v>
      </c>
      <c r="H49" s="117"/>
      <c r="I49" s="117"/>
      <c r="J49" s="252" t="s">
        <v>140</v>
      </c>
      <c r="K49" s="261" t="str">
        <f>"SELISIH"&amp;CHAR(10)&amp;TEXT($H$41,"0%")</f>
        <v>SELISIH
90%</v>
      </c>
      <c r="L49" s="261" t="str">
        <f>"PER HARI"&amp;CHAR(10)&amp;TEXT($H$41,"0%")</f>
        <v>PER HARI
90%</v>
      </c>
      <c r="M49" s="263" t="str">
        <f>"SELISIH"&amp;CHAR(10)&amp;TEXT($J$41,"0%")</f>
        <v>SELISIH
95%</v>
      </c>
      <c r="N49" s="263" t="str">
        <f>"PER HARI"&amp;CHAR(10)&amp;TEXT($J$41,"0%")</f>
        <v>PER HARI
95%</v>
      </c>
      <c r="O49" s="265" t="str">
        <f>"SELISIH"&amp;CHAR(10)&amp;TEXT($L$41,"0%")</f>
        <v>SELISIH
100%</v>
      </c>
      <c r="P49" s="265" t="str">
        <f>"PER HARI"&amp;CHAR(10)&amp;TEXT($L$41,"0%")</f>
        <v>PER HARI
100%</v>
      </c>
    </row>
    <row r="50" spans="2:16" ht="15.75" x14ac:dyDescent="0.25">
      <c r="B50" s="257"/>
      <c r="C50" s="257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2"/>
      <c r="K50" s="262"/>
      <c r="L50" s="262"/>
      <c r="M50" s="264"/>
      <c r="N50" s="264"/>
      <c r="O50" s="266"/>
      <c r="P50" s="266"/>
    </row>
    <row r="51" spans="2:16" x14ac:dyDescent="0.25">
      <c r="B51" s="50" t="s">
        <v>67</v>
      </c>
      <c r="C51" s="55" t="s">
        <v>68</v>
      </c>
      <c r="D51" s="123">
        <f>TARGETS!T5</f>
        <v>0</v>
      </c>
      <c r="E51" s="123">
        <f>TARGETS!U5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TARGETS!T6</f>
        <v>0</v>
      </c>
      <c r="E52" s="124">
        <f>TARGETS!U6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TARGETS!T7</f>
        <v>0</v>
      </c>
      <c r="E53" s="147">
        <f>TARGETS!U7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TARGETS!T8</f>
        <v>0</v>
      </c>
      <c r="E54" s="124">
        <f>TARGETS!U8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TARGETS!T9</f>
        <v>0</v>
      </c>
      <c r="E55" s="123">
        <f>TARGETS!U9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TARGETS!T10</f>
        <v>0</v>
      </c>
      <c r="E56" s="124">
        <f>TARGETS!U10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TARGETS!T11</f>
        <v>0</v>
      </c>
      <c r="E57" s="123">
        <f>TARGETS!U11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TARGETS!T12</f>
        <v>0</v>
      </c>
      <c r="E58" s="124">
        <f>TARGETS!U12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TARGETS!T13</f>
        <v>0</v>
      </c>
      <c r="E59" s="147">
        <f>TARGETS!U13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TARGETS!T14</f>
        <v>0</v>
      </c>
      <c r="E60" s="124">
        <f>TARGETS!U14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TARGETS!T15</f>
        <v>0</v>
      </c>
      <c r="E61" s="123">
        <f>TARGETS!U15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TARGETS!T16</f>
        <v>0</v>
      </c>
      <c r="E62" s="124">
        <f>TARGETS!U16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TARGETS!T17</f>
        <v>0</v>
      </c>
      <c r="E63" s="123">
        <f>TARGETS!U17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TARGETS!T18</f>
        <v>0</v>
      </c>
      <c r="E64" s="124">
        <f>TARGETS!U18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6" t="s">
        <v>145</v>
      </c>
      <c r="C67" s="277"/>
      <c r="D67" s="277"/>
      <c r="E67" s="277"/>
      <c r="F67" s="277"/>
      <c r="G67" s="201"/>
      <c r="H67" s="201"/>
      <c r="I67" s="189"/>
      <c r="J67" s="190"/>
      <c r="K67" s="190"/>
      <c r="L67" s="190"/>
    </row>
    <row r="68" spans="2:16" ht="31.5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TARGETS!L22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TARGETS!L23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TARGETS!L24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TARGETS!L25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TARGETS!L26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7" t="s">
        <v>41</v>
      </c>
      <c r="C78" s="257" t="s">
        <v>42</v>
      </c>
      <c r="D78" s="126" t="s">
        <v>139</v>
      </c>
    </row>
    <row r="79" spans="2:16" ht="15.75" x14ac:dyDescent="0.25">
      <c r="B79" s="257"/>
      <c r="C79" s="257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11" priority="1">
      <formula>J51&gt;=$F$42-0.05</formula>
    </cfRule>
    <cfRule type="expression" dxfId="10" priority="2">
      <formula>AND(J51&gt;=$F$42-0.2,J51&lt;$F$42-0.05)</formula>
    </cfRule>
    <cfRule type="expression" dxfId="9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164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IF($J$5&lt;&gt;"",$J$5,MAX(0,NETWORKDAYS.INTL(MAX(TODAY(),DATE(YEAR(TODAY()),10,1)),EOMONTH(DATE(YEAR(TODAY()),10,1),0),11)-MAX(0,$J$3-$J$4)))</f>
        <v>27</v>
      </c>
      <c r="D3" s="79" t="s">
        <v>104</v>
      </c>
      <c r="E3" s="80">
        <f ca="1">DAY(EOMONTH(DATE(YEAR(TODAY()),10,1),0))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7" t="s">
        <v>165</v>
      </c>
      <c r="C41" s="268"/>
      <c r="D41" s="269"/>
      <c r="E41" s="67" t="s">
        <v>138</v>
      </c>
      <c r="F41" s="185">
        <f ca="1">IF(MONTH(TODAY())=10,DAY(TODAY())/DAY(EOMONTH(TODAY(),0)),IF(MONTH(TODAY())&gt;10,1,0))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SUM(TARGETS!V5:V7,TARGETS!V8:V13,TARGETS!V14:V18)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SUM(TARGETS!W5:W6,TARGETS!W8:W12,TARGETS!W14:W18)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SUM(TARGETS!M22:M26)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5" t="s">
        <v>146</v>
      </c>
      <c r="C46" s="256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70" t="s">
        <v>147</v>
      </c>
      <c r="C48" s="271"/>
      <c r="D48" s="271"/>
      <c r="E48" s="271"/>
      <c r="F48" s="271"/>
      <c r="G48" s="271"/>
      <c r="H48" s="271"/>
      <c r="I48" s="271"/>
      <c r="J48" s="271"/>
      <c r="K48" s="258" t="s">
        <v>188</v>
      </c>
      <c r="L48" s="259"/>
      <c r="M48" s="259"/>
      <c r="N48" s="259"/>
      <c r="O48" s="259"/>
      <c r="P48" s="260"/>
    </row>
    <row r="49" spans="2:16" ht="33.950000000000003" customHeight="1" x14ac:dyDescent="0.25">
      <c r="B49" s="257" t="s">
        <v>41</v>
      </c>
      <c r="C49" s="257" t="s">
        <v>42</v>
      </c>
      <c r="D49" s="252" t="s">
        <v>138</v>
      </c>
      <c r="E49" s="253"/>
      <c r="F49" s="254"/>
      <c r="G49" s="117" t="s">
        <v>139</v>
      </c>
      <c r="H49" s="117"/>
      <c r="I49" s="117"/>
      <c r="J49" s="252" t="s">
        <v>140</v>
      </c>
      <c r="K49" s="261" t="str">
        <f>"SELISIH"&amp;CHAR(10)&amp;TEXT($H$41,"0%")</f>
        <v>SELISIH
90%</v>
      </c>
      <c r="L49" s="261" t="str">
        <f>"PER HARI"&amp;CHAR(10)&amp;TEXT($H$41,"0%")</f>
        <v>PER HARI
90%</v>
      </c>
      <c r="M49" s="263" t="str">
        <f>"SELISIH"&amp;CHAR(10)&amp;TEXT($J$41,"0%")</f>
        <v>SELISIH
95%</v>
      </c>
      <c r="N49" s="263" t="str">
        <f>"PER HARI"&amp;CHAR(10)&amp;TEXT($J$41,"0%")</f>
        <v>PER HARI
95%</v>
      </c>
      <c r="O49" s="265" t="str">
        <f>"SELISIH"&amp;CHAR(10)&amp;TEXT($L$41,"0%")</f>
        <v>SELISIH
100%</v>
      </c>
      <c r="P49" s="265" t="str">
        <f>"PER HARI"&amp;CHAR(10)&amp;TEXT($L$41,"0%")</f>
        <v>PER HARI
100%</v>
      </c>
    </row>
    <row r="50" spans="2:16" ht="51" customHeight="1" x14ac:dyDescent="0.25">
      <c r="B50" s="257"/>
      <c r="C50" s="257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2"/>
      <c r="K50" s="262"/>
      <c r="L50" s="262"/>
      <c r="M50" s="264"/>
      <c r="N50" s="264"/>
      <c r="O50" s="266"/>
      <c r="P50" s="266"/>
    </row>
    <row r="51" spans="2:16" x14ac:dyDescent="0.25">
      <c r="B51" s="50" t="s">
        <v>67</v>
      </c>
      <c r="C51" s="55" t="s">
        <v>68</v>
      </c>
      <c r="D51" s="123">
        <f>TARGETS!V5</f>
        <v>0</v>
      </c>
      <c r="E51" s="123">
        <f>TARGETS!W5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TARGETS!V6</f>
        <v>0</v>
      </c>
      <c r="E52" s="124">
        <f>TARGETS!W6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TARGETS!V7</f>
        <v>0</v>
      </c>
      <c r="E53" s="147">
        <f>TARGETS!W7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TARGETS!V8</f>
        <v>0</v>
      </c>
      <c r="E54" s="124">
        <f>TARGETS!W8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TARGETS!V9</f>
        <v>0</v>
      </c>
      <c r="E55" s="123">
        <f>TARGETS!W9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TARGETS!V10</f>
        <v>0</v>
      </c>
      <c r="E56" s="124">
        <f>TARGETS!W10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TARGETS!V11</f>
        <v>0</v>
      </c>
      <c r="E57" s="123">
        <f>TARGETS!W11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TARGETS!V12</f>
        <v>0</v>
      </c>
      <c r="E58" s="124">
        <f>TARGETS!W12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TARGETS!V13</f>
        <v>0</v>
      </c>
      <c r="E59" s="147">
        <f>TARGETS!W13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TARGETS!V14</f>
        <v>0</v>
      </c>
      <c r="E60" s="124">
        <f>TARGETS!W14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TARGETS!V15</f>
        <v>0</v>
      </c>
      <c r="E61" s="123">
        <f>TARGETS!W15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TARGETS!V16</f>
        <v>0</v>
      </c>
      <c r="E62" s="124">
        <f>TARGETS!W16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TARGETS!V17</f>
        <v>0</v>
      </c>
      <c r="E63" s="123">
        <f>TARGETS!W17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TARGETS!V18</f>
        <v>0</v>
      </c>
      <c r="E64" s="124">
        <f>TARGETS!W18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6" t="s">
        <v>145</v>
      </c>
      <c r="C67" s="277"/>
      <c r="D67" s="277"/>
      <c r="E67" s="277"/>
      <c r="F67" s="277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TARGETS!M22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TARGETS!M23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TARGETS!M24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TARGETS!M25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TARGETS!M26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7" t="s">
        <v>41</v>
      </c>
      <c r="C78" s="257" t="s">
        <v>42</v>
      </c>
      <c r="D78" s="126" t="s">
        <v>139</v>
      </c>
    </row>
    <row r="79" spans="2:16" ht="15.75" x14ac:dyDescent="0.25">
      <c r="B79" s="257"/>
      <c r="C79" s="257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8" priority="1">
      <formula>J51&gt;=$F$42-0.05</formula>
    </cfRule>
    <cfRule type="expression" dxfId="7" priority="2">
      <formula>AND(J51&gt;=$F$42-0.2,J51&lt;$F$42-0.05)</formula>
    </cfRule>
    <cfRule type="expression" dxfId="6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166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30</v>
      </c>
    </row>
    <row r="3" spans="2:14" ht="15.75" x14ac:dyDescent="0.25">
      <c r="B3" s="77" t="s">
        <v>103</v>
      </c>
      <c r="C3" s="78">
        <f ca="1">IF($J$5&lt;&gt;"",$J$5,MAX(0,NETWORKDAYS.INTL(MAX(TODAY(),DATE(YEAR(TODAY()),11,1)),EOMONTH(DATE(YEAR(TODAY()),11,1),0),11)-MAX(0,$J$3-$J$4)))</f>
        <v>25</v>
      </c>
      <c r="D3" s="79" t="s">
        <v>104</v>
      </c>
      <c r="E3" s="80">
        <f ca="1">DAY(EOMONTH(DATE(YEAR(TODAY()),11,1),0))</f>
        <v>30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7" t="s">
        <v>177</v>
      </c>
      <c r="C41" s="268"/>
      <c r="D41" s="269"/>
      <c r="E41" s="67" t="s">
        <v>138</v>
      </c>
      <c r="F41" s="185">
        <f ca="1">IF(MONTH(TODAY())=11,DAY(TODAY())/DAY(EOMONTH(TODAY(),0)),IF(MONTH(TODAY())&gt;11,1,0))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SUM(TARGETS!X5:X7,TARGETS!X8:X13,TARGETS!X14:X18)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f>SUM(TARGETS!Y5:Y6,TARGETS!Y8:Y12,TARGETS!Y14:Y18)</f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SUM(TARGETS!N22:N26)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5" t="s">
        <v>146</v>
      </c>
      <c r="C46" s="256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70" t="s">
        <v>147</v>
      </c>
      <c r="C48" s="271"/>
      <c r="D48" s="271"/>
      <c r="E48" s="271"/>
      <c r="F48" s="271"/>
      <c r="G48" s="271"/>
      <c r="H48" s="271"/>
      <c r="I48" s="271"/>
      <c r="J48" s="271"/>
      <c r="K48" s="258" t="s">
        <v>188</v>
      </c>
      <c r="L48" s="259"/>
      <c r="M48" s="259"/>
      <c r="N48" s="259"/>
      <c r="O48" s="259"/>
      <c r="P48" s="260"/>
    </row>
    <row r="49" spans="2:16" ht="33.950000000000003" customHeight="1" x14ac:dyDescent="0.25">
      <c r="B49" s="257" t="s">
        <v>41</v>
      </c>
      <c r="C49" s="257" t="s">
        <v>42</v>
      </c>
      <c r="D49" s="252" t="s">
        <v>138</v>
      </c>
      <c r="E49" s="253"/>
      <c r="F49" s="254"/>
      <c r="G49" s="117" t="s">
        <v>139</v>
      </c>
      <c r="H49" s="117"/>
      <c r="I49" s="117"/>
      <c r="J49" s="252" t="s">
        <v>140</v>
      </c>
      <c r="K49" s="261" t="str">
        <f>"SELISIH"&amp;CHAR(10)&amp;TEXT($H$41,"0%")</f>
        <v>SELISIH
90%</v>
      </c>
      <c r="L49" s="261" t="str">
        <f>"PER HARI"&amp;CHAR(10)&amp;TEXT($H$41,"0%")</f>
        <v>PER HARI
90%</v>
      </c>
      <c r="M49" s="263" t="str">
        <f>"SELISIH"&amp;CHAR(10)&amp;TEXT($J$41,"0%")</f>
        <v>SELISIH
95%</v>
      </c>
      <c r="N49" s="263" t="str">
        <f>"PER HARI"&amp;CHAR(10)&amp;TEXT($J$41,"0%")</f>
        <v>PER HARI
95%</v>
      </c>
      <c r="O49" s="265" t="str">
        <f>"SELISIH"&amp;CHAR(10)&amp;TEXT($L$41,"0%")</f>
        <v>SELISIH
100%</v>
      </c>
      <c r="P49" s="265" t="str">
        <f>"PER HARI"&amp;CHAR(10)&amp;TEXT($L$41,"0%")</f>
        <v>PER HARI
100%</v>
      </c>
    </row>
    <row r="50" spans="2:16" ht="51" customHeight="1" x14ac:dyDescent="0.25">
      <c r="B50" s="257"/>
      <c r="C50" s="257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2"/>
      <c r="K50" s="262"/>
      <c r="L50" s="262"/>
      <c r="M50" s="264"/>
      <c r="N50" s="264"/>
      <c r="O50" s="266"/>
      <c r="P50" s="266"/>
    </row>
    <row r="51" spans="2:16" x14ac:dyDescent="0.25">
      <c r="B51" s="50" t="s">
        <v>67</v>
      </c>
      <c r="C51" s="55" t="s">
        <v>68</v>
      </c>
      <c r="D51" s="123">
        <f>TARGETS!X5</f>
        <v>0</v>
      </c>
      <c r="E51" s="123">
        <f>TARGETS!Y5</f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TARGETS!X6</f>
        <v>0</v>
      </c>
      <c r="E52" s="124">
        <f>TARGETS!Y6</f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TARGETS!X7</f>
        <v>0</v>
      </c>
      <c r="E53" s="147">
        <f>TARGETS!Y7</f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TARGETS!X8</f>
        <v>0</v>
      </c>
      <c r="E54" s="124">
        <f>TARGETS!Y8</f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TARGETS!X9</f>
        <v>0</v>
      </c>
      <c r="E55" s="123">
        <f>TARGETS!Y9</f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TARGETS!X10</f>
        <v>0</v>
      </c>
      <c r="E56" s="124">
        <f>TARGETS!Y10</f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TARGETS!X11</f>
        <v>0</v>
      </c>
      <c r="E57" s="123">
        <f>TARGETS!Y11</f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TARGETS!X12</f>
        <v>0</v>
      </c>
      <c r="E58" s="124">
        <f>TARGETS!Y12</f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TARGETS!X13</f>
        <v>0</v>
      </c>
      <c r="E59" s="147">
        <f>TARGETS!Y13</f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TARGETS!X14</f>
        <v>0</v>
      </c>
      <c r="E60" s="124">
        <f>TARGETS!Y14</f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TARGETS!X15</f>
        <v>0</v>
      </c>
      <c r="E61" s="123">
        <f>TARGETS!Y15</f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TARGETS!X16</f>
        <v>0</v>
      </c>
      <c r="E62" s="124">
        <f>TARGETS!Y16</f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TARGETS!X17</f>
        <v>0</v>
      </c>
      <c r="E63" s="123">
        <f>TARGETS!Y17</f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TARGETS!X18</f>
        <v>0</v>
      </c>
      <c r="E64" s="124">
        <f>TARGETS!Y18</f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6" t="s">
        <v>145</v>
      </c>
      <c r="C67" s="277"/>
      <c r="D67" s="277"/>
      <c r="E67" s="277"/>
      <c r="F67" s="277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TARGETS!N22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TARGETS!N23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TARGETS!N24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TARGETS!N25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TARGETS!N26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7" t="s">
        <v>41</v>
      </c>
      <c r="C78" s="257" t="s">
        <v>42</v>
      </c>
      <c r="D78" s="126" t="s">
        <v>139</v>
      </c>
    </row>
    <row r="79" spans="2:16" ht="15.75" x14ac:dyDescent="0.25">
      <c r="B79" s="257"/>
      <c r="C79" s="257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5" priority="1">
      <formula>J51&gt;=$F$42-0.05</formula>
    </cfRule>
    <cfRule type="expression" dxfId="4" priority="2">
      <formula>AND(J51&gt;=$F$42-0.2,J51&lt;$F$42-0.05)</formula>
    </cfRule>
    <cfRule type="expression" dxfId="3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zoomScaleNormal="100" workbookViewId="0">
      <selection activeCell="D35" sqref="D35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5" width="13.28515625" bestFit="1" customWidth="1"/>
    <col min="6" max="6" width="10.7109375" bestFit="1" customWidth="1"/>
    <col min="7" max="18" width="15.28515625" customWidth="1"/>
  </cols>
  <sheetData>
    <row r="1" spans="2:14" ht="19.5" x14ac:dyDescent="0.25">
      <c r="B1" s="86" t="s">
        <v>178</v>
      </c>
      <c r="C1" s="86"/>
      <c r="D1" s="86"/>
      <c r="E1" s="86"/>
      <c r="F1" s="86"/>
      <c r="G1" s="238" t="s">
        <v>194</v>
      </c>
      <c r="H1" s="115"/>
      <c r="I1" s="115"/>
      <c r="J1" s="86"/>
      <c r="K1" s="86"/>
      <c r="L1" s="86"/>
      <c r="M1" s="86"/>
      <c r="N1" s="86"/>
    </row>
    <row r="2" spans="2:14" x14ac:dyDescent="0.25">
      <c r="G2" s="239" t="s">
        <v>195</v>
      </c>
      <c r="H2" s="116"/>
      <c r="I2" s="116"/>
      <c r="J2" s="235">
        <f ca="1">E3</f>
        <v>31</v>
      </c>
    </row>
    <row r="3" spans="2:14" ht="15.75" x14ac:dyDescent="0.25">
      <c r="B3" s="77" t="s">
        <v>103</v>
      </c>
      <c r="C3" s="78">
        <f ca="1">IF($J$5&lt;&gt;"",$J$5,MAX(0,NETWORKDAYS.INTL(MAX(TODAY(),DATE(YEAR(TODAY()),12,1)),EOMONTH(DATE(YEAR(TODAY()),12,1),0),11)-MAX(0,$J$3-$J$4)))</f>
        <v>27</v>
      </c>
      <c r="D3" s="79" t="s">
        <v>104</v>
      </c>
      <c r="E3" s="80">
        <f ca="1">DAY(EOMONTH(DATE(YEAR(TODAY()),12,1),0))</f>
        <v>31</v>
      </c>
      <c r="G3" s="239" t="s">
        <v>196</v>
      </c>
      <c r="H3" s="116"/>
      <c r="I3" s="116"/>
      <c r="J3" s="236">
        <v>0</v>
      </c>
    </row>
    <row r="4" spans="2:14" x14ac:dyDescent="0.25">
      <c r="G4" s="239" t="s">
        <v>197</v>
      </c>
      <c r="H4" s="116"/>
      <c r="I4" s="116"/>
      <c r="J4" s="236">
        <v>0</v>
      </c>
    </row>
    <row r="5" spans="2:14" x14ac:dyDescent="0.25">
      <c r="G5" s="239" t="s">
        <v>198</v>
      </c>
      <c r="H5" s="116"/>
      <c r="I5" s="116"/>
      <c r="J5" s="236"/>
    </row>
    <row r="6" spans="2:14" x14ac:dyDescent="0.25">
      <c r="B6" s="81" t="s">
        <v>105</v>
      </c>
      <c r="C6" s="81"/>
      <c r="D6" s="81"/>
      <c r="E6" s="81"/>
      <c r="F6" s="81"/>
      <c r="H6" s="116"/>
      <c r="I6" s="116"/>
      <c r="J6" s="116"/>
      <c r="M6" s="10" t="s">
        <v>106</v>
      </c>
      <c r="N6" s="10" t="s">
        <v>107</v>
      </c>
    </row>
    <row r="7" spans="2:14" x14ac:dyDescent="0.25">
      <c r="B7" s="82" t="s">
        <v>108</v>
      </c>
      <c r="C7" s="82"/>
      <c r="D7" s="82"/>
      <c r="E7" s="82"/>
      <c r="F7" s="82"/>
      <c r="H7" s="116"/>
      <c r="I7" s="116"/>
      <c r="J7" s="116"/>
      <c r="M7" s="11">
        <f>C9</f>
        <v>0</v>
      </c>
      <c r="N7" s="11">
        <f>D9</f>
        <v>0</v>
      </c>
    </row>
    <row r="8" spans="2:14" x14ac:dyDescent="0.25">
      <c r="B8" s="83" t="s">
        <v>109</v>
      </c>
      <c r="C8" s="83" t="s">
        <v>110</v>
      </c>
      <c r="D8" s="83" t="s">
        <v>111</v>
      </c>
      <c r="E8" s="83" t="s">
        <v>170</v>
      </c>
      <c r="F8" s="83" t="s">
        <v>112</v>
      </c>
      <c r="H8" s="116"/>
      <c r="I8" s="116"/>
      <c r="J8" s="116"/>
      <c r="M8" s="11">
        <f>C22</f>
        <v>0</v>
      </c>
      <c r="N8" s="11">
        <f>D22</f>
        <v>0</v>
      </c>
    </row>
    <row r="9" spans="2:14" x14ac:dyDescent="0.25">
      <c r="B9" s="84"/>
      <c r="C9" s="85">
        <v>0</v>
      </c>
      <c r="D9" s="85">
        <v>0</v>
      </c>
      <c r="E9" s="85"/>
      <c r="F9" s="85"/>
      <c r="H9" s="116"/>
      <c r="I9" s="116"/>
      <c r="J9" s="116"/>
      <c r="M9" s="11">
        <f>C13+C14</f>
        <v>0</v>
      </c>
      <c r="N9" s="11">
        <f>D13+D14</f>
        <v>0</v>
      </c>
    </row>
    <row r="10" spans="2:14" x14ac:dyDescent="0.25">
      <c r="B10" s="74" t="s">
        <v>113</v>
      </c>
      <c r="C10" s="15"/>
      <c r="D10" s="15"/>
      <c r="E10" s="15"/>
      <c r="F10" s="15">
        <f t="shared" ref="F10:F27" si="0">SUM(C10:E10)</f>
        <v>0</v>
      </c>
      <c r="H10" s="116"/>
      <c r="I10" s="116"/>
      <c r="J10" s="116"/>
      <c r="M10" s="11">
        <f>C15</f>
        <v>0</v>
      </c>
      <c r="N10" s="11">
        <f>D15</f>
        <v>0</v>
      </c>
    </row>
    <row r="11" spans="2:14" x14ac:dyDescent="0.25">
      <c r="B11" s="74" t="s">
        <v>114</v>
      </c>
      <c r="C11" s="15"/>
      <c r="D11" s="15"/>
      <c r="E11" s="15"/>
      <c r="F11" s="15">
        <f t="shared" si="0"/>
        <v>0</v>
      </c>
      <c r="H11" s="116"/>
      <c r="I11" s="116"/>
      <c r="J11" s="116"/>
      <c r="M11" s="11">
        <f>C12</f>
        <v>0</v>
      </c>
      <c r="N11" s="11">
        <f>D12</f>
        <v>0</v>
      </c>
    </row>
    <row r="12" spans="2:14" x14ac:dyDescent="0.25">
      <c r="B12" s="74" t="s">
        <v>184</v>
      </c>
      <c r="C12" s="15"/>
      <c r="D12" s="15"/>
      <c r="E12" s="15"/>
      <c r="F12" s="15">
        <f t="shared" si="0"/>
        <v>0</v>
      </c>
      <c r="H12" s="116"/>
      <c r="I12" s="116"/>
      <c r="J12" s="116"/>
      <c r="M12" s="11">
        <f>C25+C26</f>
        <v>0</v>
      </c>
      <c r="N12" s="11">
        <f>D25+D26</f>
        <v>0</v>
      </c>
    </row>
    <row r="13" spans="2:14" x14ac:dyDescent="0.25">
      <c r="B13" s="74" t="s">
        <v>70</v>
      </c>
      <c r="C13" s="15"/>
      <c r="D13" s="15"/>
      <c r="E13" s="15"/>
      <c r="F13" s="15">
        <f t="shared" si="0"/>
        <v>0</v>
      </c>
      <c r="H13" s="116"/>
      <c r="I13" s="116"/>
      <c r="J13" s="116"/>
      <c r="M13" s="11">
        <f>C17</f>
        <v>0</v>
      </c>
      <c r="N13" s="11">
        <f>D17</f>
        <v>0</v>
      </c>
    </row>
    <row r="14" spans="2:14" x14ac:dyDescent="0.25">
      <c r="B14" s="74" t="s">
        <v>115</v>
      </c>
      <c r="C14" s="15"/>
      <c r="D14" s="15"/>
      <c r="E14" s="15"/>
      <c r="F14" s="15">
        <f t="shared" si="0"/>
        <v>0</v>
      </c>
      <c r="H14" s="116"/>
      <c r="I14" s="116"/>
      <c r="J14" s="116"/>
      <c r="M14" s="11">
        <f>C23</f>
        <v>0</v>
      </c>
      <c r="N14" s="11">
        <f>D23</f>
        <v>0</v>
      </c>
    </row>
    <row r="15" spans="2:14" x14ac:dyDescent="0.25">
      <c r="B15" s="84" t="s">
        <v>116</v>
      </c>
      <c r="C15" s="142"/>
      <c r="D15" s="142"/>
      <c r="E15" s="142"/>
      <c r="F15" s="142">
        <f t="shared" si="0"/>
        <v>0</v>
      </c>
      <c r="H15" s="116"/>
      <c r="I15" s="116"/>
      <c r="J15" s="116"/>
      <c r="M15" s="11">
        <f>C11</f>
        <v>0</v>
      </c>
      <c r="N15" s="11">
        <f>D11</f>
        <v>0</v>
      </c>
    </row>
    <row r="16" spans="2:14" x14ac:dyDescent="0.25">
      <c r="B16" s="74" t="s">
        <v>119</v>
      </c>
      <c r="C16" s="15"/>
      <c r="D16" s="15"/>
      <c r="E16" s="15"/>
      <c r="F16" s="15">
        <f t="shared" si="0"/>
        <v>0</v>
      </c>
      <c r="H16" s="116"/>
      <c r="I16" s="116"/>
      <c r="J16" s="116"/>
      <c r="M16" s="11">
        <f>C24</f>
        <v>0</v>
      </c>
      <c r="N16" s="11">
        <f>D24</f>
        <v>0</v>
      </c>
    </row>
    <row r="17" spans="2:14" x14ac:dyDescent="0.25">
      <c r="B17" s="74" t="s">
        <v>121</v>
      </c>
      <c r="C17" s="15"/>
      <c r="D17" s="15"/>
      <c r="E17" s="15"/>
      <c r="F17" s="15">
        <f t="shared" si="0"/>
        <v>0</v>
      </c>
      <c r="H17" s="116"/>
      <c r="I17" s="116"/>
      <c r="J17" s="116"/>
      <c r="M17" s="11">
        <f>C10</f>
        <v>0</v>
      </c>
      <c r="N17" s="11">
        <f>D10</f>
        <v>0</v>
      </c>
    </row>
    <row r="18" spans="2:14" x14ac:dyDescent="0.25">
      <c r="B18" s="74" t="s">
        <v>123</v>
      </c>
      <c r="C18" s="15"/>
      <c r="D18" s="15"/>
      <c r="E18" s="15"/>
      <c r="F18" s="15">
        <f t="shared" si="0"/>
        <v>0</v>
      </c>
      <c r="H18" s="116"/>
      <c r="I18" s="116"/>
      <c r="J18" s="116"/>
      <c r="M18" s="11">
        <f>C27</f>
        <v>0</v>
      </c>
      <c r="N18" s="11">
        <f>D27</f>
        <v>0</v>
      </c>
    </row>
    <row r="19" spans="2:14" x14ac:dyDescent="0.25">
      <c r="B19" s="74" t="s">
        <v>124</v>
      </c>
      <c r="C19" s="15"/>
      <c r="D19" s="15"/>
      <c r="E19" s="15"/>
      <c r="F19" s="15">
        <f t="shared" si="0"/>
        <v>0</v>
      </c>
      <c r="H19" s="116"/>
      <c r="I19" s="116"/>
      <c r="J19" s="116"/>
      <c r="M19" s="11">
        <f>C18+C19</f>
        <v>0</v>
      </c>
      <c r="N19" s="11">
        <f>D18+D19</f>
        <v>0</v>
      </c>
    </row>
    <row r="20" spans="2:14" x14ac:dyDescent="0.25">
      <c r="B20" s="74" t="s">
        <v>171</v>
      </c>
      <c r="C20" s="15"/>
      <c r="D20" s="15"/>
      <c r="E20" s="15"/>
      <c r="F20" s="15">
        <f t="shared" si="0"/>
        <v>0</v>
      </c>
      <c r="H20" s="116"/>
      <c r="I20" s="116"/>
      <c r="J20" s="116"/>
      <c r="M20" s="14">
        <f>IFERROR(C31,0)+IFERROR(C36,0)</f>
        <v>0</v>
      </c>
      <c r="N20" s="10" t="s">
        <v>120</v>
      </c>
    </row>
    <row r="21" spans="2:14" x14ac:dyDescent="0.25">
      <c r="B21" s="74" t="s">
        <v>172</v>
      </c>
      <c r="C21" s="15"/>
      <c r="D21" s="15"/>
      <c r="E21" s="15"/>
      <c r="F21" s="15">
        <f t="shared" si="0"/>
        <v>0</v>
      </c>
      <c r="H21" s="116"/>
      <c r="I21" s="116"/>
      <c r="J21" s="116"/>
      <c r="M21" s="14">
        <f>IFERROR(C34,0)+IFERROR(C35,0)+M20</f>
        <v>0</v>
      </c>
      <c r="N21" s="10" t="s">
        <v>122</v>
      </c>
    </row>
    <row r="22" spans="2:14" x14ac:dyDescent="0.25">
      <c r="B22" s="74" t="s">
        <v>125</v>
      </c>
      <c r="C22" s="15"/>
      <c r="D22" s="15"/>
      <c r="E22" s="15"/>
      <c r="F22" s="15">
        <f t="shared" si="0"/>
        <v>0</v>
      </c>
      <c r="H22" s="116"/>
      <c r="I22" s="116"/>
      <c r="J22" s="116"/>
    </row>
    <row r="23" spans="2:14" x14ac:dyDescent="0.25">
      <c r="B23" s="74" t="s">
        <v>126</v>
      </c>
      <c r="C23" s="15"/>
      <c r="D23" s="15"/>
      <c r="E23" s="15"/>
      <c r="F23" s="15">
        <f t="shared" si="0"/>
        <v>0</v>
      </c>
      <c r="H23" s="116"/>
      <c r="I23" s="116"/>
      <c r="J23" s="116"/>
    </row>
    <row r="24" spans="2:14" x14ac:dyDescent="0.25">
      <c r="B24" s="74" t="s">
        <v>127</v>
      </c>
      <c r="C24" s="15"/>
      <c r="D24" s="15"/>
      <c r="E24" s="15"/>
      <c r="F24" s="15">
        <f t="shared" si="0"/>
        <v>0</v>
      </c>
      <c r="H24" s="116"/>
      <c r="I24" s="116"/>
      <c r="J24" s="116"/>
    </row>
    <row r="25" spans="2:14" x14ac:dyDescent="0.25">
      <c r="B25" s="74" t="s">
        <v>185</v>
      </c>
      <c r="C25" s="15"/>
      <c r="D25" s="15"/>
      <c r="E25" s="15"/>
      <c r="F25" s="15">
        <f t="shared" si="0"/>
        <v>0</v>
      </c>
      <c r="H25" s="116"/>
      <c r="I25" s="116"/>
      <c r="J25" s="116"/>
    </row>
    <row r="26" spans="2:14" x14ac:dyDescent="0.25">
      <c r="B26" s="74" t="s">
        <v>186</v>
      </c>
      <c r="C26" s="15"/>
      <c r="D26" s="15"/>
      <c r="E26" s="15"/>
      <c r="F26" s="15">
        <f t="shared" si="0"/>
        <v>0</v>
      </c>
      <c r="H26" s="116"/>
      <c r="I26" s="116"/>
      <c r="J26" s="116"/>
    </row>
    <row r="27" spans="2:14" x14ac:dyDescent="0.25">
      <c r="B27" s="74" t="s">
        <v>128</v>
      </c>
      <c r="C27" s="15"/>
      <c r="D27" s="15"/>
      <c r="E27" s="15"/>
      <c r="F27" s="15">
        <f t="shared" si="0"/>
        <v>0</v>
      </c>
      <c r="H27" s="116"/>
      <c r="I27" s="116"/>
      <c r="J27" s="116"/>
    </row>
    <row r="28" spans="2:14" x14ac:dyDescent="0.25">
      <c r="G28" s="116"/>
      <c r="H28" s="116"/>
      <c r="I28" s="116"/>
    </row>
    <row r="29" spans="2:14" x14ac:dyDescent="0.25">
      <c r="B29" s="82" t="s">
        <v>129</v>
      </c>
      <c r="C29" s="82"/>
      <c r="G29" s="116"/>
      <c r="H29" s="116"/>
      <c r="I29" s="116"/>
    </row>
    <row r="30" spans="2:14" x14ac:dyDescent="0.25">
      <c r="B30" s="83" t="s">
        <v>130</v>
      </c>
      <c r="C30" s="83" t="s">
        <v>131</v>
      </c>
      <c r="G30" s="116"/>
      <c r="H30" s="116"/>
      <c r="I30" s="116"/>
    </row>
    <row r="31" spans="2:14" x14ac:dyDescent="0.25">
      <c r="B31" s="76"/>
      <c r="C31" s="112"/>
      <c r="G31" s="116"/>
      <c r="H31" s="116"/>
      <c r="I31" s="116"/>
    </row>
    <row r="32" spans="2:14" x14ac:dyDescent="0.25">
      <c r="B32" s="84" t="s">
        <v>132</v>
      </c>
      <c r="C32" s="15">
        <v>0</v>
      </c>
      <c r="G32" s="116"/>
      <c r="H32" s="116"/>
      <c r="I32" s="116"/>
    </row>
    <row r="33" spans="2:19" x14ac:dyDescent="0.25">
      <c r="B33" s="84" t="s">
        <v>133</v>
      </c>
      <c r="C33" s="15">
        <v>0</v>
      </c>
      <c r="G33" s="116"/>
      <c r="H33" s="116"/>
      <c r="I33" s="116"/>
    </row>
    <row r="34" spans="2:19" x14ac:dyDescent="0.25">
      <c r="B34" s="84" t="s">
        <v>134</v>
      </c>
      <c r="C34" s="15">
        <v>0</v>
      </c>
      <c r="G34" s="116"/>
      <c r="H34" s="116"/>
      <c r="I34" s="116"/>
    </row>
    <row r="35" spans="2:19" x14ac:dyDescent="0.25">
      <c r="B35" s="84" t="s">
        <v>135</v>
      </c>
      <c r="C35" s="15">
        <v>0</v>
      </c>
      <c r="G35" s="116"/>
      <c r="H35" s="116"/>
      <c r="I35" s="116"/>
    </row>
    <row r="36" spans="2:19" x14ac:dyDescent="0.25">
      <c r="B36" s="84" t="s">
        <v>136</v>
      </c>
      <c r="C36" s="15">
        <v>0</v>
      </c>
      <c r="G36" s="116"/>
      <c r="H36" s="116"/>
      <c r="I36" s="116"/>
    </row>
    <row r="37" spans="2:19" x14ac:dyDescent="0.25">
      <c r="B37" s="84"/>
      <c r="C37" s="85"/>
      <c r="G37" s="116"/>
      <c r="H37" s="116"/>
      <c r="I37" s="116"/>
    </row>
    <row r="38" spans="2:19" x14ac:dyDescent="0.25">
      <c r="B38" s="76"/>
      <c r="C38" s="85"/>
      <c r="G38" s="116"/>
      <c r="H38" s="116"/>
      <c r="I38" s="116"/>
    </row>
    <row r="39" spans="2:19" x14ac:dyDescent="0.25">
      <c r="G39" s="116"/>
      <c r="H39" s="116"/>
      <c r="I39" s="116"/>
    </row>
    <row r="40" spans="2:19" x14ac:dyDescent="0.25">
      <c r="G40" s="116"/>
      <c r="H40" s="116"/>
      <c r="I40" s="116"/>
      <c r="S40" s="191" t="s">
        <v>187</v>
      </c>
    </row>
    <row r="41" spans="2:19" ht="27.95" customHeight="1" x14ac:dyDescent="0.25">
      <c r="B41" s="267" t="s">
        <v>179</v>
      </c>
      <c r="C41" s="268"/>
      <c r="D41" s="269"/>
      <c r="E41" s="67" t="s">
        <v>138</v>
      </c>
      <c r="F41" s="185">
        <f ca="1">IF(MONTH(TODAY())=12,DAY(TODAY())/DAY(EOMONTH(TODAY(),0)),IF(MONTH(TODAY())&gt;12,1,0))</f>
        <v>0</v>
      </c>
      <c r="G41" s="206" t="s">
        <v>189</v>
      </c>
      <c r="H41" s="212">
        <v>0.9</v>
      </c>
      <c r="I41" s="215" t="s">
        <v>189</v>
      </c>
      <c r="J41" s="213">
        <v>0.95</v>
      </c>
      <c r="K41" s="208" t="s">
        <v>190</v>
      </c>
      <c r="L41" s="214">
        <v>1</v>
      </c>
      <c r="S41" s="184">
        <v>0.7</v>
      </c>
    </row>
    <row r="42" spans="2:19" ht="33.950000000000003" customHeight="1" x14ac:dyDescent="0.25">
      <c r="B42" s="69" t="s">
        <v>137</v>
      </c>
      <c r="C42" s="69" t="s">
        <v>41</v>
      </c>
      <c r="D42" s="69" t="s">
        <v>138</v>
      </c>
      <c r="E42" s="69" t="s">
        <v>139</v>
      </c>
      <c r="F42" s="186" t="s">
        <v>140</v>
      </c>
      <c r="G42" s="195" t="str">
        <f>"SELISIH"&amp;CHAR(10)&amp;TEXT($H$41,"0%")</f>
        <v>SELISIH
90%</v>
      </c>
      <c r="H42" s="195" t="str">
        <f>"PER HARI"&amp;CHAR(10)&amp;TEXT($H$41,"0%")</f>
        <v>PER HARI
90%</v>
      </c>
      <c r="I42" s="216" t="str">
        <f>"SELISIH"&amp;CHAR(10)&amp;TEXT($J$41,"0%")</f>
        <v>SELISIH
95%</v>
      </c>
      <c r="J42" s="217" t="str">
        <f>"PER HARI"&amp;CHAR(10)&amp;TEXT($J$41,"0%")</f>
        <v>PER HARI
95%</v>
      </c>
      <c r="K42" s="196" t="str">
        <f>"SELISIH"&amp;CHAR(10)&amp;TEXT($L$41,"0%")</f>
        <v>SELISIH
100%</v>
      </c>
      <c r="L42" s="196" t="str">
        <f>"PER HARI"&amp;CHAR(10)&amp;TEXT($L$41,"0%")</f>
        <v>PER HARI
100%</v>
      </c>
      <c r="S42" s="184">
        <v>0.75</v>
      </c>
    </row>
    <row r="43" spans="2:19" ht="30" x14ac:dyDescent="0.25">
      <c r="B43" s="114" t="s">
        <v>143</v>
      </c>
      <c r="C43" s="41" t="s">
        <v>144</v>
      </c>
      <c r="D43" s="45">
        <f>SUM(TARGETS!Z5:Z7,TARGETS!Z8:Z13,TARGETS!Z14:Z18)</f>
        <v>0</v>
      </c>
      <c r="E43" s="46">
        <f>G65</f>
        <v>0</v>
      </c>
      <c r="F43" s="187">
        <f>IFERROR(E43/D43,0)</f>
        <v>0</v>
      </c>
      <c r="G43" s="197">
        <f>D43*$H$41-E43</f>
        <v>0</v>
      </c>
      <c r="H43" s="197">
        <f ca="1">IFERROR(G43/$C$3,0)</f>
        <v>0</v>
      </c>
      <c r="I43" s="218">
        <f>D43*$J$41-E43</f>
        <v>0</v>
      </c>
      <c r="J43" s="218">
        <f ca="1">IFERROR(I43/$C$3,0)</f>
        <v>0</v>
      </c>
      <c r="K43" s="198">
        <f>D43*$L$41-E43</f>
        <v>0</v>
      </c>
      <c r="L43" s="198">
        <f ca="1">IFERROR(K43/$C$3,0)</f>
        <v>0</v>
      </c>
      <c r="S43" s="184">
        <v>0.8</v>
      </c>
    </row>
    <row r="44" spans="2:19" ht="30" x14ac:dyDescent="0.25">
      <c r="B44" s="114" t="s">
        <v>111</v>
      </c>
      <c r="C44" s="41" t="s">
        <v>144</v>
      </c>
      <c r="D44" s="45">
        <v>0</v>
      </c>
      <c r="E44" s="46">
        <f>N8+N9+N10+N11+N12+N13+N14+N15+N16+N17+N18+N19</f>
        <v>0</v>
      </c>
      <c r="F44" s="187">
        <f>IFERROR(E44/D44,0)</f>
        <v>0</v>
      </c>
      <c r="G44" s="197">
        <f>D44*$H$41-E44</f>
        <v>0</v>
      </c>
      <c r="H44" s="197">
        <f ca="1">IFERROR(G44/$C$3,0)</f>
        <v>0</v>
      </c>
      <c r="I44" s="218">
        <f>D44*$J$41-E44</f>
        <v>0</v>
      </c>
      <c r="J44" s="218">
        <f ca="1">IFERROR(I44/$C$3,0)</f>
        <v>0</v>
      </c>
      <c r="K44" s="198">
        <f>D44*$L$41-E44</f>
        <v>0</v>
      </c>
      <c r="L44" s="198">
        <f ca="1">IFERROR(K44/$C$3,0)</f>
        <v>0</v>
      </c>
      <c r="S44" s="184">
        <v>0.85</v>
      </c>
    </row>
    <row r="45" spans="2:19" ht="30" x14ac:dyDescent="0.25">
      <c r="B45" s="114" t="s">
        <v>145</v>
      </c>
      <c r="C45" s="41" t="s">
        <v>144</v>
      </c>
      <c r="D45" s="45">
        <f>SUM(TARGETS!O22:O26)</f>
        <v>0</v>
      </c>
      <c r="E45" s="46">
        <f>IFERROR(C32,0)+IFERROR(C33,0)+M21+F9</f>
        <v>0</v>
      </c>
      <c r="F45" s="187">
        <f>IFERROR(E45/D45,0)</f>
        <v>0</v>
      </c>
      <c r="G45" s="197">
        <f>D45*$H$41-E45</f>
        <v>0</v>
      </c>
      <c r="H45" s="197">
        <f ca="1">IFERROR(G45/$C$3,0)</f>
        <v>0</v>
      </c>
      <c r="I45" s="218">
        <f>D45*$J$41-E45</f>
        <v>0</v>
      </c>
      <c r="J45" s="218">
        <f ca="1">IFERROR(I45/$C$3,0)</f>
        <v>0</v>
      </c>
      <c r="K45" s="198">
        <f>D45*$L$41-E45</f>
        <v>0</v>
      </c>
      <c r="L45" s="198">
        <f ca="1">IFERROR(K45/$C$3,0)</f>
        <v>0</v>
      </c>
      <c r="S45" s="184">
        <v>0.9</v>
      </c>
    </row>
    <row r="46" spans="2:19" x14ac:dyDescent="0.25">
      <c r="B46" s="255" t="s">
        <v>146</v>
      </c>
      <c r="C46" s="256"/>
      <c r="D46" s="47">
        <f>D43+D44+D45</f>
        <v>0</v>
      </c>
      <c r="E46" s="47">
        <f>E43+E44+E45</f>
        <v>0</v>
      </c>
      <c r="F46" s="188">
        <f>IFERROR(E46/D46,0)</f>
        <v>0</v>
      </c>
      <c r="G46" s="194">
        <f>G43+G44+G45</f>
        <v>0</v>
      </c>
      <c r="H46" s="194">
        <f ca="1">IFERROR(G46/$C$3,0)</f>
        <v>0</v>
      </c>
      <c r="I46" s="199">
        <f>I43+I44+I45</f>
        <v>0</v>
      </c>
      <c r="J46" s="199">
        <f ca="1">IFERROR(I46/$C$3,0)</f>
        <v>0</v>
      </c>
      <c r="K46" s="199">
        <f>K43+K44+K45</f>
        <v>0</v>
      </c>
      <c r="L46" s="199">
        <f ca="1">IFERROR(K46/$C$3,0)</f>
        <v>0</v>
      </c>
      <c r="S46" s="184">
        <v>0.95</v>
      </c>
    </row>
    <row r="47" spans="2:19" x14ac:dyDescent="0.25">
      <c r="G47" s="116"/>
      <c r="H47" s="116"/>
      <c r="I47" s="116"/>
      <c r="S47" s="184">
        <v>1</v>
      </c>
    </row>
    <row r="48" spans="2:19" ht="128.1" customHeight="1" x14ac:dyDescent="0.25">
      <c r="B48" s="270" t="s">
        <v>147</v>
      </c>
      <c r="C48" s="271"/>
      <c r="D48" s="271"/>
      <c r="E48" s="271"/>
      <c r="F48" s="271"/>
      <c r="G48" s="271"/>
      <c r="H48" s="271"/>
      <c r="I48" s="271"/>
      <c r="J48" s="271"/>
      <c r="K48" s="258" t="s">
        <v>188</v>
      </c>
      <c r="L48" s="259"/>
      <c r="M48" s="259"/>
      <c r="N48" s="259"/>
      <c r="O48" s="259"/>
      <c r="P48" s="260"/>
    </row>
    <row r="49" spans="2:16" ht="33.950000000000003" customHeight="1" x14ac:dyDescent="0.25">
      <c r="B49" s="257" t="s">
        <v>41</v>
      </c>
      <c r="C49" s="257" t="s">
        <v>42</v>
      </c>
      <c r="D49" s="252" t="s">
        <v>138</v>
      </c>
      <c r="E49" s="253"/>
      <c r="F49" s="254"/>
      <c r="G49" s="117" t="s">
        <v>139</v>
      </c>
      <c r="H49" s="117"/>
      <c r="I49" s="117"/>
      <c r="J49" s="252" t="s">
        <v>140</v>
      </c>
      <c r="K49" s="261" t="str">
        <f>"SELISIH"&amp;CHAR(10)&amp;TEXT($H$41,"0%")</f>
        <v>SELISIH
90%</v>
      </c>
      <c r="L49" s="261" t="str">
        <f>"PER HARI"&amp;CHAR(10)&amp;TEXT($H$41,"0%")</f>
        <v>PER HARI
90%</v>
      </c>
      <c r="M49" s="263" t="str">
        <f>"SELISIH"&amp;CHAR(10)&amp;TEXT($J$41,"0%")</f>
        <v>SELISIH
95%</v>
      </c>
      <c r="N49" s="263" t="str">
        <f>"PER HARI"&amp;CHAR(10)&amp;TEXT($J$41,"0%")</f>
        <v>PER HARI
95%</v>
      </c>
      <c r="O49" s="265" t="str">
        <f>"SELISIH"&amp;CHAR(10)&amp;TEXT($L$41,"0%")</f>
        <v>SELISIH
100%</v>
      </c>
      <c r="P49" s="265" t="str">
        <f>"PER HARI"&amp;CHAR(10)&amp;TEXT($L$41,"0%")</f>
        <v>PER HARI
100%</v>
      </c>
    </row>
    <row r="50" spans="2:16" ht="51" customHeight="1" x14ac:dyDescent="0.25">
      <c r="B50" s="257"/>
      <c r="C50" s="257"/>
      <c r="D50" s="71" t="s">
        <v>150</v>
      </c>
      <c r="E50" s="71" t="s">
        <v>151</v>
      </c>
      <c r="F50" s="71" t="s">
        <v>131</v>
      </c>
      <c r="G50" s="118" t="s">
        <v>150</v>
      </c>
      <c r="H50" s="118" t="s">
        <v>151</v>
      </c>
      <c r="I50" s="118" t="s">
        <v>131</v>
      </c>
      <c r="J50" s="252"/>
      <c r="K50" s="262"/>
      <c r="L50" s="262"/>
      <c r="M50" s="264"/>
      <c r="N50" s="264"/>
      <c r="O50" s="266"/>
      <c r="P50" s="266"/>
    </row>
    <row r="51" spans="2:16" x14ac:dyDescent="0.25">
      <c r="B51" s="50" t="s">
        <v>67</v>
      </c>
      <c r="C51" s="55" t="s">
        <v>68</v>
      </c>
      <c r="D51" s="123">
        <f>TARGETS!Z5</f>
        <v>0</v>
      </c>
      <c r="E51" s="123">
        <v>0</v>
      </c>
      <c r="F51" s="123">
        <f t="shared" ref="F51:F64" si="1">D51+E51</f>
        <v>0</v>
      </c>
      <c r="G51" s="119">
        <f>M8</f>
        <v>0</v>
      </c>
      <c r="H51" s="119">
        <f>N8</f>
        <v>0</v>
      </c>
      <c r="I51" s="119">
        <f t="shared" ref="I51:I64" si="2">G51+H51</f>
        <v>0</v>
      </c>
      <c r="J51" s="200">
        <f t="shared" ref="J51:J64" si="3">IFERROR(I51/F51,0)</f>
        <v>0</v>
      </c>
      <c r="K51" s="197">
        <f t="shared" ref="K51:K64" si="4">F51*$H$41-I51</f>
        <v>0</v>
      </c>
      <c r="L51" s="197">
        <f t="shared" ref="L51:L65" ca="1" si="5">IFERROR(K51/$C$3,0)</f>
        <v>0</v>
      </c>
      <c r="M51" s="193">
        <f t="shared" ref="M51:M64" si="6">F51*$J$41-I51</f>
        <v>0</v>
      </c>
      <c r="N51" s="193">
        <f t="shared" ref="N51:N65" ca="1" si="7">IFERROR(M51/$C$3,0)</f>
        <v>0</v>
      </c>
      <c r="O51" s="198">
        <f t="shared" ref="O51:O64" si="8">F51*$L$41-I51</f>
        <v>0</v>
      </c>
      <c r="P51" s="198">
        <f t="shared" ref="P51:P65" ca="1" si="9">IFERROR(O51/$C$3,0)</f>
        <v>0</v>
      </c>
    </row>
    <row r="52" spans="2:16" x14ac:dyDescent="0.25">
      <c r="B52" s="53" t="s">
        <v>69</v>
      </c>
      <c r="C52" s="56" t="s">
        <v>70</v>
      </c>
      <c r="D52" s="124">
        <f>TARGETS!Z6</f>
        <v>0</v>
      </c>
      <c r="E52" s="124">
        <v>0</v>
      </c>
      <c r="F52" s="124">
        <f t="shared" si="1"/>
        <v>0</v>
      </c>
      <c r="G52" s="119">
        <f>M9</f>
        <v>0</v>
      </c>
      <c r="H52" s="119">
        <f>N9</f>
        <v>0</v>
      </c>
      <c r="I52" s="119">
        <f t="shared" si="2"/>
        <v>0</v>
      </c>
      <c r="J52" s="200">
        <f t="shared" si="3"/>
        <v>0</v>
      </c>
      <c r="K52" s="197">
        <f t="shared" si="4"/>
        <v>0</v>
      </c>
      <c r="L52" s="197">
        <f t="shared" ca="1" si="5"/>
        <v>0</v>
      </c>
      <c r="M52" s="193">
        <f t="shared" si="6"/>
        <v>0</v>
      </c>
      <c r="N52" s="193">
        <f t="shared" ca="1" si="7"/>
        <v>0</v>
      </c>
      <c r="O52" s="198">
        <f t="shared" si="8"/>
        <v>0</v>
      </c>
      <c r="P52" s="198">
        <f t="shared" ca="1" si="9"/>
        <v>0</v>
      </c>
    </row>
    <row r="53" spans="2:16" ht="30" x14ac:dyDescent="0.25">
      <c r="B53" s="145" t="s">
        <v>174</v>
      </c>
      <c r="C53" s="146" t="s">
        <v>175</v>
      </c>
      <c r="D53" s="147">
        <f>TARGETS!Z7</f>
        <v>0</v>
      </c>
      <c r="E53" s="147">
        <v>0</v>
      </c>
      <c r="F53" s="147">
        <f>D53+E53</f>
        <v>0</v>
      </c>
      <c r="G53" s="119">
        <f>C20</f>
        <v>0</v>
      </c>
      <c r="H53" s="119">
        <f>IF(D20="",0,D20)</f>
        <v>0</v>
      </c>
      <c r="I53" s="119">
        <f>G53+H53</f>
        <v>0</v>
      </c>
      <c r="J53" s="200">
        <f>IFERROR(I53/F53,0)</f>
        <v>0</v>
      </c>
      <c r="K53" s="197">
        <f t="shared" si="4"/>
        <v>0</v>
      </c>
      <c r="L53" s="197">
        <f t="shared" ca="1" si="5"/>
        <v>0</v>
      </c>
      <c r="M53" s="193">
        <f t="shared" si="6"/>
        <v>0</v>
      </c>
      <c r="N53" s="193">
        <f t="shared" ca="1" si="7"/>
        <v>0</v>
      </c>
      <c r="O53" s="198">
        <f t="shared" si="8"/>
        <v>0</v>
      </c>
      <c r="P53" s="198">
        <f t="shared" ca="1" si="9"/>
        <v>0</v>
      </c>
    </row>
    <row r="54" spans="2:16" x14ac:dyDescent="0.25">
      <c r="B54" s="53" t="s">
        <v>71</v>
      </c>
      <c r="C54" s="56" t="s">
        <v>72</v>
      </c>
      <c r="D54" s="124">
        <f>TARGETS!Z8</f>
        <v>0</v>
      </c>
      <c r="E54" s="124">
        <v>0</v>
      </c>
      <c r="F54" s="124">
        <f t="shared" si="1"/>
        <v>0</v>
      </c>
      <c r="G54" s="119">
        <f>M10</f>
        <v>0</v>
      </c>
      <c r="H54" s="119">
        <f t="shared" ref="H54:H58" si="10">N10</f>
        <v>0</v>
      </c>
      <c r="I54" s="119">
        <f t="shared" si="2"/>
        <v>0</v>
      </c>
      <c r="J54" s="200">
        <f t="shared" si="3"/>
        <v>0</v>
      </c>
      <c r="K54" s="197">
        <f t="shared" si="4"/>
        <v>0</v>
      </c>
      <c r="L54" s="197">
        <f t="shared" ca="1" si="5"/>
        <v>0</v>
      </c>
      <c r="M54" s="193">
        <f t="shared" si="6"/>
        <v>0</v>
      </c>
      <c r="N54" s="193">
        <f t="shared" ca="1" si="7"/>
        <v>0</v>
      </c>
      <c r="O54" s="198">
        <f t="shared" si="8"/>
        <v>0</v>
      </c>
      <c r="P54" s="198">
        <f t="shared" ca="1" si="9"/>
        <v>0</v>
      </c>
    </row>
    <row r="55" spans="2:16" x14ac:dyDescent="0.25">
      <c r="B55" s="50" t="s">
        <v>73</v>
      </c>
      <c r="C55" s="55" t="s">
        <v>183</v>
      </c>
      <c r="D55" s="123">
        <f>TARGETS!Z9</f>
        <v>0</v>
      </c>
      <c r="E55" s="123">
        <v>0</v>
      </c>
      <c r="F55" s="123">
        <f t="shared" si="1"/>
        <v>0</v>
      </c>
      <c r="G55" s="119">
        <f>M11</f>
        <v>0</v>
      </c>
      <c r="H55" s="119">
        <f t="shared" si="10"/>
        <v>0</v>
      </c>
      <c r="I55" s="119">
        <f t="shared" si="2"/>
        <v>0</v>
      </c>
      <c r="J55" s="200">
        <f t="shared" si="3"/>
        <v>0</v>
      </c>
      <c r="K55" s="197">
        <f t="shared" si="4"/>
        <v>0</v>
      </c>
      <c r="L55" s="197">
        <f t="shared" ca="1" si="5"/>
        <v>0</v>
      </c>
      <c r="M55" s="193">
        <f t="shared" si="6"/>
        <v>0</v>
      </c>
      <c r="N55" s="193">
        <f t="shared" ca="1" si="7"/>
        <v>0</v>
      </c>
      <c r="O55" s="198">
        <f t="shared" si="8"/>
        <v>0</v>
      </c>
      <c r="P55" s="198">
        <f t="shared" ca="1" si="9"/>
        <v>0</v>
      </c>
    </row>
    <row r="56" spans="2:16" x14ac:dyDescent="0.25">
      <c r="B56" s="53" t="s">
        <v>75</v>
      </c>
      <c r="C56" s="56" t="s">
        <v>99</v>
      </c>
      <c r="D56" s="124">
        <f>TARGETS!Z10</f>
        <v>0</v>
      </c>
      <c r="E56" s="124">
        <v>0</v>
      </c>
      <c r="F56" s="124">
        <f t="shared" si="1"/>
        <v>0</v>
      </c>
      <c r="G56" s="119">
        <f>M12</f>
        <v>0</v>
      </c>
      <c r="H56" s="119">
        <f t="shared" si="10"/>
        <v>0</v>
      </c>
      <c r="I56" s="119">
        <f t="shared" si="2"/>
        <v>0</v>
      </c>
      <c r="J56" s="200">
        <f t="shared" si="3"/>
        <v>0</v>
      </c>
      <c r="K56" s="197">
        <f t="shared" si="4"/>
        <v>0</v>
      </c>
      <c r="L56" s="197">
        <f t="shared" ca="1" si="5"/>
        <v>0</v>
      </c>
      <c r="M56" s="193">
        <f t="shared" si="6"/>
        <v>0</v>
      </c>
      <c r="N56" s="193">
        <f t="shared" ca="1" si="7"/>
        <v>0</v>
      </c>
      <c r="O56" s="198">
        <f t="shared" si="8"/>
        <v>0</v>
      </c>
      <c r="P56" s="198">
        <f t="shared" ca="1" si="9"/>
        <v>0</v>
      </c>
    </row>
    <row r="57" spans="2:16" x14ac:dyDescent="0.25">
      <c r="B57" s="50" t="s">
        <v>76</v>
      </c>
      <c r="C57" s="55" t="s">
        <v>77</v>
      </c>
      <c r="D57" s="123">
        <f>TARGETS!Z11</f>
        <v>0</v>
      </c>
      <c r="E57" s="123">
        <v>0</v>
      </c>
      <c r="F57" s="123">
        <f t="shared" si="1"/>
        <v>0</v>
      </c>
      <c r="G57" s="119">
        <f>M13</f>
        <v>0</v>
      </c>
      <c r="H57" s="119">
        <f t="shared" si="10"/>
        <v>0</v>
      </c>
      <c r="I57" s="119">
        <f t="shared" si="2"/>
        <v>0</v>
      </c>
      <c r="J57" s="200">
        <f t="shared" si="3"/>
        <v>0</v>
      </c>
      <c r="K57" s="197">
        <f t="shared" si="4"/>
        <v>0</v>
      </c>
      <c r="L57" s="197">
        <f t="shared" ca="1" si="5"/>
        <v>0</v>
      </c>
      <c r="M57" s="193">
        <f t="shared" si="6"/>
        <v>0</v>
      </c>
      <c r="N57" s="193">
        <f t="shared" ca="1" si="7"/>
        <v>0</v>
      </c>
      <c r="O57" s="198">
        <f t="shared" si="8"/>
        <v>0</v>
      </c>
      <c r="P57" s="198">
        <f t="shared" ca="1" si="9"/>
        <v>0</v>
      </c>
    </row>
    <row r="58" spans="2:16" x14ac:dyDescent="0.25">
      <c r="B58" s="53" t="s">
        <v>78</v>
      </c>
      <c r="C58" s="56" t="s">
        <v>79</v>
      </c>
      <c r="D58" s="124">
        <f>TARGETS!Z12</f>
        <v>0</v>
      </c>
      <c r="E58" s="124">
        <v>0</v>
      </c>
      <c r="F58" s="124">
        <f t="shared" si="1"/>
        <v>0</v>
      </c>
      <c r="G58" s="119">
        <f>M14</f>
        <v>0</v>
      </c>
      <c r="H58" s="119">
        <f t="shared" si="10"/>
        <v>0</v>
      </c>
      <c r="I58" s="119">
        <f>G58+H58</f>
        <v>0</v>
      </c>
      <c r="J58" s="200">
        <f>IFERROR(I58/F58,0)</f>
        <v>0</v>
      </c>
      <c r="K58" s="197">
        <f t="shared" si="4"/>
        <v>0</v>
      </c>
      <c r="L58" s="197">
        <f t="shared" ca="1" si="5"/>
        <v>0</v>
      </c>
      <c r="M58" s="193">
        <f t="shared" si="6"/>
        <v>0</v>
      </c>
      <c r="N58" s="193">
        <f t="shared" ca="1" si="7"/>
        <v>0</v>
      </c>
      <c r="O58" s="198">
        <f t="shared" si="8"/>
        <v>0</v>
      </c>
      <c r="P58" s="198">
        <f t="shared" ca="1" si="9"/>
        <v>0</v>
      </c>
    </row>
    <row r="59" spans="2:16" x14ac:dyDescent="0.25">
      <c r="B59" s="145" t="s">
        <v>174</v>
      </c>
      <c r="C59" s="146" t="s">
        <v>176</v>
      </c>
      <c r="D59" s="147">
        <f>TARGETS!Z13</f>
        <v>0</v>
      </c>
      <c r="E59" s="147">
        <v>0</v>
      </c>
      <c r="F59" s="147">
        <f>D59+E59</f>
        <v>0</v>
      </c>
      <c r="G59" s="119">
        <f>C21</f>
        <v>0</v>
      </c>
      <c r="H59" s="119">
        <f>IF(D21="",0,D21)</f>
        <v>0</v>
      </c>
      <c r="I59" s="119">
        <f>G59+H59</f>
        <v>0</v>
      </c>
      <c r="J59" s="200">
        <f>IFERROR(I59/F59,0)</f>
        <v>0</v>
      </c>
      <c r="K59" s="197">
        <f t="shared" si="4"/>
        <v>0</v>
      </c>
      <c r="L59" s="197">
        <f t="shared" ca="1" si="5"/>
        <v>0</v>
      </c>
      <c r="M59" s="193">
        <f t="shared" si="6"/>
        <v>0</v>
      </c>
      <c r="N59" s="193">
        <f t="shared" ca="1" si="7"/>
        <v>0</v>
      </c>
      <c r="O59" s="198">
        <f t="shared" si="8"/>
        <v>0</v>
      </c>
      <c r="P59" s="198">
        <f t="shared" ca="1" si="9"/>
        <v>0</v>
      </c>
    </row>
    <row r="60" spans="2:16" x14ac:dyDescent="0.25">
      <c r="B60" s="53" t="s">
        <v>80</v>
      </c>
      <c r="C60" s="56" t="s">
        <v>81</v>
      </c>
      <c r="D60" s="124">
        <f>TARGETS!Z14</f>
        <v>0</v>
      </c>
      <c r="E60" s="124">
        <v>0</v>
      </c>
      <c r="F60" s="124">
        <f t="shared" si="1"/>
        <v>0</v>
      </c>
      <c r="G60" s="119">
        <f>M15</f>
        <v>0</v>
      </c>
      <c r="H60" s="119">
        <f t="shared" ref="H60:H64" si="11">N15</f>
        <v>0</v>
      </c>
      <c r="I60" s="119">
        <f t="shared" si="2"/>
        <v>0</v>
      </c>
      <c r="J60" s="200">
        <f t="shared" si="3"/>
        <v>0</v>
      </c>
      <c r="K60" s="197">
        <f t="shared" si="4"/>
        <v>0</v>
      </c>
      <c r="L60" s="197">
        <f t="shared" ca="1" si="5"/>
        <v>0</v>
      </c>
      <c r="M60" s="193">
        <f t="shared" si="6"/>
        <v>0</v>
      </c>
      <c r="N60" s="193">
        <f t="shared" ca="1" si="7"/>
        <v>0</v>
      </c>
      <c r="O60" s="198">
        <f t="shared" si="8"/>
        <v>0</v>
      </c>
      <c r="P60" s="198">
        <f t="shared" ca="1" si="9"/>
        <v>0</v>
      </c>
    </row>
    <row r="61" spans="2:16" x14ac:dyDescent="0.25">
      <c r="B61" s="50" t="s">
        <v>82</v>
      </c>
      <c r="C61" s="55" t="s">
        <v>83</v>
      </c>
      <c r="D61" s="123">
        <f>TARGETS!Z15</f>
        <v>0</v>
      </c>
      <c r="E61" s="123">
        <v>0</v>
      </c>
      <c r="F61" s="123">
        <f t="shared" si="1"/>
        <v>0</v>
      </c>
      <c r="G61" s="119">
        <f>M16</f>
        <v>0</v>
      </c>
      <c r="H61" s="119">
        <f t="shared" si="11"/>
        <v>0</v>
      </c>
      <c r="I61" s="119">
        <f t="shared" si="2"/>
        <v>0</v>
      </c>
      <c r="J61" s="200">
        <f t="shared" si="3"/>
        <v>0</v>
      </c>
      <c r="K61" s="197">
        <f t="shared" si="4"/>
        <v>0</v>
      </c>
      <c r="L61" s="197">
        <f t="shared" ca="1" si="5"/>
        <v>0</v>
      </c>
      <c r="M61" s="193">
        <f t="shared" si="6"/>
        <v>0</v>
      </c>
      <c r="N61" s="193">
        <f t="shared" ca="1" si="7"/>
        <v>0</v>
      </c>
      <c r="O61" s="198">
        <f t="shared" si="8"/>
        <v>0</v>
      </c>
      <c r="P61" s="198">
        <f t="shared" ca="1" si="9"/>
        <v>0</v>
      </c>
    </row>
    <row r="62" spans="2:16" ht="30" x14ac:dyDescent="0.25">
      <c r="B62" s="53" t="s">
        <v>84</v>
      </c>
      <c r="C62" s="56" t="s">
        <v>85</v>
      </c>
      <c r="D62" s="124">
        <f>TARGETS!Z16</f>
        <v>0</v>
      </c>
      <c r="E62" s="124">
        <v>0</v>
      </c>
      <c r="F62" s="124">
        <f t="shared" si="1"/>
        <v>0</v>
      </c>
      <c r="G62" s="119">
        <f>M17</f>
        <v>0</v>
      </c>
      <c r="H62" s="119">
        <f t="shared" si="11"/>
        <v>0</v>
      </c>
      <c r="I62" s="119">
        <f t="shared" si="2"/>
        <v>0</v>
      </c>
      <c r="J62" s="200">
        <f t="shared" si="3"/>
        <v>0</v>
      </c>
      <c r="K62" s="197">
        <f t="shared" si="4"/>
        <v>0</v>
      </c>
      <c r="L62" s="197">
        <f t="shared" ca="1" si="5"/>
        <v>0</v>
      </c>
      <c r="M62" s="193">
        <f t="shared" si="6"/>
        <v>0</v>
      </c>
      <c r="N62" s="193">
        <f t="shared" ca="1" si="7"/>
        <v>0</v>
      </c>
      <c r="O62" s="198">
        <f t="shared" si="8"/>
        <v>0</v>
      </c>
      <c r="P62" s="198">
        <f t="shared" ca="1" si="9"/>
        <v>0</v>
      </c>
    </row>
    <row r="63" spans="2:16" x14ac:dyDescent="0.25">
      <c r="B63" s="50" t="s">
        <v>86</v>
      </c>
      <c r="C63" s="55" t="s">
        <v>87</v>
      </c>
      <c r="D63" s="123">
        <f>TARGETS!Z17</f>
        <v>0</v>
      </c>
      <c r="E63" s="123">
        <v>0</v>
      </c>
      <c r="F63" s="123">
        <f t="shared" si="1"/>
        <v>0</v>
      </c>
      <c r="G63" s="119">
        <f>M18</f>
        <v>0</v>
      </c>
      <c r="H63" s="119">
        <f t="shared" si="11"/>
        <v>0</v>
      </c>
      <c r="I63" s="119">
        <f t="shared" si="2"/>
        <v>0</v>
      </c>
      <c r="J63" s="200">
        <f t="shared" si="3"/>
        <v>0</v>
      </c>
      <c r="K63" s="197">
        <f t="shared" si="4"/>
        <v>0</v>
      </c>
      <c r="L63" s="197">
        <f t="shared" ca="1" si="5"/>
        <v>0</v>
      </c>
      <c r="M63" s="193">
        <f t="shared" si="6"/>
        <v>0</v>
      </c>
      <c r="N63" s="193">
        <f t="shared" ca="1" si="7"/>
        <v>0</v>
      </c>
      <c r="O63" s="198">
        <f t="shared" si="8"/>
        <v>0</v>
      </c>
      <c r="P63" s="198">
        <f t="shared" ca="1" si="9"/>
        <v>0</v>
      </c>
    </row>
    <row r="64" spans="2:16" x14ac:dyDescent="0.25">
      <c r="B64" s="53" t="s">
        <v>88</v>
      </c>
      <c r="C64" s="56" t="s">
        <v>89</v>
      </c>
      <c r="D64" s="124">
        <f>TARGETS!Z18</f>
        <v>0</v>
      </c>
      <c r="E64" s="124">
        <v>0</v>
      </c>
      <c r="F64" s="124">
        <f t="shared" si="1"/>
        <v>0</v>
      </c>
      <c r="G64" s="119">
        <f>M19</f>
        <v>0</v>
      </c>
      <c r="H64" s="119">
        <f t="shared" si="11"/>
        <v>0</v>
      </c>
      <c r="I64" s="119">
        <f t="shared" si="2"/>
        <v>0</v>
      </c>
      <c r="J64" s="200">
        <f t="shared" si="3"/>
        <v>0</v>
      </c>
      <c r="K64" s="197">
        <f t="shared" si="4"/>
        <v>0</v>
      </c>
      <c r="L64" s="197">
        <f t="shared" ca="1" si="5"/>
        <v>0</v>
      </c>
      <c r="M64" s="193">
        <f t="shared" si="6"/>
        <v>0</v>
      </c>
      <c r="N64" s="193">
        <f t="shared" ca="1" si="7"/>
        <v>0</v>
      </c>
      <c r="O64" s="198">
        <f t="shared" si="8"/>
        <v>0</v>
      </c>
      <c r="P64" s="198">
        <f t="shared" ca="1" si="9"/>
        <v>0</v>
      </c>
    </row>
    <row r="65" spans="2:16" x14ac:dyDescent="0.25">
      <c r="B65" s="57" t="s">
        <v>152</v>
      </c>
      <c r="C65" s="58"/>
      <c r="D65" s="143">
        <f>SUM(D51:D64)</f>
        <v>0</v>
      </c>
      <c r="E65" s="143">
        <f t="shared" ref="E65" si="12">SUM(E51:E52,E54:E58,E60:E64)</f>
        <v>0</v>
      </c>
      <c r="F65" s="143">
        <f>SUM(F51:F64)</f>
        <v>0</v>
      </c>
      <c r="G65" s="144">
        <f>SUM(G51:G64)</f>
        <v>0</v>
      </c>
      <c r="H65" s="144">
        <f>SUM(H51:H64)</f>
        <v>0</v>
      </c>
      <c r="I65" s="144">
        <f>SUM(I51:I64)</f>
        <v>0</v>
      </c>
      <c r="J65" s="203">
        <f>IFERROR(I65/F65,0)</f>
        <v>0</v>
      </c>
      <c r="K65" s="194">
        <f>SUM(K51:K64)</f>
        <v>0</v>
      </c>
      <c r="L65" s="194">
        <f t="shared" ca="1" si="5"/>
        <v>0</v>
      </c>
      <c r="M65" s="194">
        <f>SUM(M51:M64)</f>
        <v>0</v>
      </c>
      <c r="N65" s="194">
        <f t="shared" ca="1" si="7"/>
        <v>0</v>
      </c>
      <c r="O65" s="199">
        <f>SUM(O51:O64)</f>
        <v>0</v>
      </c>
      <c r="P65" s="199">
        <f t="shared" ca="1" si="9"/>
        <v>0</v>
      </c>
    </row>
    <row r="66" spans="2:16" x14ac:dyDescent="0.25">
      <c r="G66" s="116"/>
      <c r="H66" s="116"/>
      <c r="I66" s="116"/>
    </row>
    <row r="67" spans="2:16" ht="18.75" x14ac:dyDescent="0.25">
      <c r="B67" s="276" t="s">
        <v>145</v>
      </c>
      <c r="C67" s="277"/>
      <c r="D67" s="277"/>
      <c r="E67" s="277"/>
      <c r="F67" s="277"/>
      <c r="G67" s="201"/>
      <c r="H67" s="201"/>
      <c r="I67" s="189"/>
      <c r="J67" s="190"/>
      <c r="K67" s="190"/>
      <c r="L67" s="190"/>
    </row>
    <row r="68" spans="2:16" ht="33.950000000000003" customHeight="1" x14ac:dyDescent="0.25">
      <c r="B68" s="75" t="s">
        <v>153</v>
      </c>
      <c r="C68" s="75" t="s">
        <v>42</v>
      </c>
      <c r="D68" s="75" t="s">
        <v>138</v>
      </c>
      <c r="E68" s="75" t="s">
        <v>139</v>
      </c>
      <c r="F68" s="126" t="s">
        <v>140</v>
      </c>
      <c r="G68" s="195" t="str">
        <f>"SELISIH"&amp;CHAR(10)&amp;TEXT($H$41,"0%")</f>
        <v>SELISIH
90%</v>
      </c>
      <c r="H68" s="195" t="str">
        <f>"PER HARI"&amp;CHAR(10)&amp;TEXT($H$41,"0%")</f>
        <v>PER HARI
90%</v>
      </c>
      <c r="I68" s="216" t="str">
        <f>"SELISIH"&amp;CHAR(10)&amp;TEXT($J$41,"0%")</f>
        <v>SELISIH
95%</v>
      </c>
      <c r="J68" s="217" t="str">
        <f>"PER HARI"&amp;CHAR(10)&amp;TEXT($J$41,"0%")</f>
        <v>PER HARI
95%</v>
      </c>
      <c r="K68" s="196" t="str">
        <f>"SELISIH"&amp;CHAR(10)&amp;TEXT($L$41,"0%")</f>
        <v>SELISIH
100%</v>
      </c>
      <c r="L68" s="196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21">
        <f>TARGETS!O22</f>
        <v>0</v>
      </c>
      <c r="E69" s="119">
        <f>IFERROR(C32,0)</f>
        <v>0</v>
      </c>
      <c r="F69" s="200">
        <f t="shared" ref="F69:F74" si="13">IFERROR(E69/D69,0)</f>
        <v>0</v>
      </c>
      <c r="G69" s="197">
        <f>D69*$H$41-E69</f>
        <v>0</v>
      </c>
      <c r="H69" s="197">
        <f t="shared" ref="H69:H74" ca="1" si="14">IFERROR(G69/$C$3,0)</f>
        <v>0</v>
      </c>
      <c r="I69" s="218">
        <f>D69*$J$41-E69</f>
        <v>0</v>
      </c>
      <c r="J69" s="218">
        <f t="shared" ref="J69:J74" ca="1" si="15">IFERROR(I69/$C$3,0)</f>
        <v>0</v>
      </c>
      <c r="K69" s="198">
        <f>D69*$L$41-E69</f>
        <v>0</v>
      </c>
      <c r="L69" s="198">
        <f t="shared" ref="L69:L74" ca="1" si="16">IFERROR(K69/$C$3,0)</f>
        <v>0</v>
      </c>
    </row>
    <row r="70" spans="2:16" x14ac:dyDescent="0.25">
      <c r="B70" s="53" t="s">
        <v>94</v>
      </c>
      <c r="C70" s="56" t="s">
        <v>95</v>
      </c>
      <c r="D70" s="122">
        <f>TARGETS!O23</f>
        <v>0</v>
      </c>
      <c r="E70" s="119">
        <f>IFERROR(C33,0)</f>
        <v>0</v>
      </c>
      <c r="F70" s="200">
        <f t="shared" si="13"/>
        <v>0</v>
      </c>
      <c r="G70" s="197">
        <f>D70*$H$41-E70</f>
        <v>0</v>
      </c>
      <c r="H70" s="197">
        <f t="shared" ca="1" si="14"/>
        <v>0</v>
      </c>
      <c r="I70" s="218">
        <f>D70*$J$41-E70</f>
        <v>0</v>
      </c>
      <c r="J70" s="218">
        <f t="shared" ca="1" si="15"/>
        <v>0</v>
      </c>
      <c r="K70" s="198">
        <f>D70*$L$41-E70</f>
        <v>0</v>
      </c>
      <c r="L70" s="198">
        <f t="shared" ca="1" si="16"/>
        <v>0</v>
      </c>
    </row>
    <row r="71" spans="2:16" x14ac:dyDescent="0.25">
      <c r="B71" s="50" t="s">
        <v>96</v>
      </c>
      <c r="C71" s="55" t="s">
        <v>97</v>
      </c>
      <c r="D71" s="121">
        <f>TARGETS!O24</f>
        <v>0</v>
      </c>
      <c r="E71" s="119">
        <f>M21+M7</f>
        <v>0</v>
      </c>
      <c r="F71" s="200">
        <f t="shared" si="13"/>
        <v>0</v>
      </c>
      <c r="G71" s="197">
        <f>D71*$H$41-E71</f>
        <v>0</v>
      </c>
      <c r="H71" s="197">
        <f t="shared" ca="1" si="14"/>
        <v>0</v>
      </c>
      <c r="I71" s="218">
        <f>D71*$J$41-E71</f>
        <v>0</v>
      </c>
      <c r="J71" s="218">
        <f t="shared" ca="1" si="15"/>
        <v>0</v>
      </c>
      <c r="K71" s="198">
        <f>D71*$L$41-E71</f>
        <v>0</v>
      </c>
      <c r="L71" s="198">
        <f t="shared" ca="1" si="16"/>
        <v>0</v>
      </c>
    </row>
    <row r="72" spans="2:16" x14ac:dyDescent="0.25">
      <c r="B72" s="53" t="s">
        <v>98</v>
      </c>
      <c r="C72" s="56" t="s">
        <v>99</v>
      </c>
      <c r="D72" s="122">
        <f>TARGETS!O25</f>
        <v>0</v>
      </c>
      <c r="E72" s="119">
        <f>0</f>
        <v>0</v>
      </c>
      <c r="F72" s="200">
        <f t="shared" si="13"/>
        <v>0</v>
      </c>
      <c r="G72" s="197">
        <f>D72*$H$41-E72</f>
        <v>0</v>
      </c>
      <c r="H72" s="197">
        <f t="shared" ca="1" si="14"/>
        <v>0</v>
      </c>
      <c r="I72" s="218">
        <f>D72*$J$41-E72</f>
        <v>0</v>
      </c>
      <c r="J72" s="218">
        <f t="shared" ca="1" si="15"/>
        <v>0</v>
      </c>
      <c r="K72" s="198">
        <f>D72*$L$41-E72</f>
        <v>0</v>
      </c>
      <c r="L72" s="198">
        <f t="shared" ca="1" si="16"/>
        <v>0</v>
      </c>
    </row>
    <row r="73" spans="2:16" x14ac:dyDescent="0.25">
      <c r="B73" s="50" t="s">
        <v>100</v>
      </c>
      <c r="C73" s="113" t="s">
        <v>101</v>
      </c>
      <c r="D73" s="121">
        <f>TARGETS!O26</f>
        <v>0</v>
      </c>
      <c r="E73" s="119">
        <f>0</f>
        <v>0</v>
      </c>
      <c r="F73" s="200">
        <f t="shared" si="13"/>
        <v>0</v>
      </c>
      <c r="G73" s="197">
        <f>D73*$H$41-E73</f>
        <v>0</v>
      </c>
      <c r="H73" s="197">
        <f t="shared" ca="1" si="14"/>
        <v>0</v>
      </c>
      <c r="I73" s="218">
        <f>D73*$J$41-E73</f>
        <v>0</v>
      </c>
      <c r="J73" s="218">
        <f t="shared" ca="1" si="15"/>
        <v>0</v>
      </c>
      <c r="K73" s="198">
        <f>D73*$L$41-E73</f>
        <v>0</v>
      </c>
      <c r="L73" s="198">
        <f t="shared" ca="1" si="16"/>
        <v>0</v>
      </c>
    </row>
    <row r="74" spans="2:16" x14ac:dyDescent="0.25">
      <c r="B74" s="57" t="s">
        <v>152</v>
      </c>
      <c r="C74" s="58"/>
      <c r="D74" s="120">
        <f>SUM(D69:D73)</f>
        <v>0</v>
      </c>
      <c r="E74" s="120">
        <f>SUM(E69:E73)</f>
        <v>0</v>
      </c>
      <c r="F74" s="188">
        <f t="shared" si="13"/>
        <v>0</v>
      </c>
      <c r="G74" s="194">
        <f>SUM(G69:G73)</f>
        <v>0</v>
      </c>
      <c r="H74" s="194">
        <f t="shared" ca="1" si="14"/>
        <v>0</v>
      </c>
      <c r="I74" s="199">
        <f>SUM(I69:I73)</f>
        <v>0</v>
      </c>
      <c r="J74" s="199">
        <f t="shared" ca="1" si="15"/>
        <v>0</v>
      </c>
      <c r="K74" s="199">
        <f>SUM(K69:K73)</f>
        <v>0</v>
      </c>
      <c r="L74" s="199">
        <f t="shared" ca="1" si="16"/>
        <v>0</v>
      </c>
    </row>
    <row r="77" spans="2:16" ht="18.75" x14ac:dyDescent="0.25">
      <c r="B77" s="127" t="s">
        <v>173</v>
      </c>
      <c r="C77" s="128"/>
      <c r="D77" s="129"/>
    </row>
    <row r="78" spans="2:16" ht="15.75" x14ac:dyDescent="0.25">
      <c r="B78" s="257" t="s">
        <v>41</v>
      </c>
      <c r="C78" s="257" t="s">
        <v>42</v>
      </c>
      <c r="D78" s="126" t="s">
        <v>139</v>
      </c>
    </row>
    <row r="79" spans="2:16" ht="15.75" x14ac:dyDescent="0.25">
      <c r="B79" s="257"/>
      <c r="C79" s="257"/>
      <c r="D79" s="71" t="s">
        <v>170</v>
      </c>
    </row>
    <row r="80" spans="2:16" x14ac:dyDescent="0.25">
      <c r="B80" s="50" t="s">
        <v>67</v>
      </c>
      <c r="C80" s="55" t="s">
        <v>68</v>
      </c>
      <c r="D80" s="140">
        <f>IF(E22="",0,E22)</f>
        <v>0</v>
      </c>
    </row>
    <row r="81" spans="2:4" x14ac:dyDescent="0.25">
      <c r="B81" s="53" t="s">
        <v>69</v>
      </c>
      <c r="C81" s="56" t="s">
        <v>70</v>
      </c>
      <c r="D81" s="141">
        <f>IF(E13="",0,E13)+IF(E14="",0,E14)</f>
        <v>0</v>
      </c>
    </row>
    <row r="82" spans="2:4" ht="30" x14ac:dyDescent="0.25">
      <c r="B82" s="53" t="s">
        <v>174</v>
      </c>
      <c r="C82" s="56" t="s">
        <v>175</v>
      </c>
      <c r="D82" s="141">
        <f>IF(E20="",0,E20)</f>
        <v>0</v>
      </c>
    </row>
    <row r="83" spans="2:4" x14ac:dyDescent="0.25">
      <c r="B83" s="50" t="s">
        <v>71</v>
      </c>
      <c r="C83" s="55" t="s">
        <v>72</v>
      </c>
      <c r="D83" s="140">
        <f>IF(E15="",0,E15)</f>
        <v>0</v>
      </c>
    </row>
    <row r="84" spans="2:4" x14ac:dyDescent="0.25">
      <c r="B84" s="53" t="s">
        <v>73</v>
      </c>
      <c r="C84" s="56" t="s">
        <v>74</v>
      </c>
      <c r="D84" s="141">
        <f>0</f>
        <v>0</v>
      </c>
    </row>
    <row r="85" spans="2:4" x14ac:dyDescent="0.25">
      <c r="B85" s="50" t="s">
        <v>75</v>
      </c>
      <c r="C85" s="55" t="s">
        <v>74</v>
      </c>
      <c r="D85" s="140">
        <f>IF(E25="",0,E25)+IF(E26="",0,E26)</f>
        <v>0</v>
      </c>
    </row>
    <row r="86" spans="2:4" x14ac:dyDescent="0.25">
      <c r="B86" s="53" t="s">
        <v>76</v>
      </c>
      <c r="C86" s="56" t="s">
        <v>77</v>
      </c>
      <c r="D86" s="141">
        <f>IF(E17="",0,E17)</f>
        <v>0</v>
      </c>
    </row>
    <row r="87" spans="2:4" x14ac:dyDescent="0.25">
      <c r="B87" s="50" t="s">
        <v>78</v>
      </c>
      <c r="C87" s="55" t="s">
        <v>79</v>
      </c>
      <c r="D87" s="140">
        <f>IF(E23="",0,E23)</f>
        <v>0</v>
      </c>
    </row>
    <row r="88" spans="2:4" x14ac:dyDescent="0.25">
      <c r="B88" s="53" t="s">
        <v>174</v>
      </c>
      <c r="C88" s="56" t="s">
        <v>176</v>
      </c>
      <c r="D88" s="141">
        <f>IF(E21="",0,E21)</f>
        <v>0</v>
      </c>
    </row>
    <row r="89" spans="2:4" x14ac:dyDescent="0.25">
      <c r="B89" s="53" t="s">
        <v>80</v>
      </c>
      <c r="C89" s="56" t="s">
        <v>81</v>
      </c>
      <c r="D89" s="141">
        <f>IF(E11="",0,E11)</f>
        <v>0</v>
      </c>
    </row>
    <row r="90" spans="2:4" x14ac:dyDescent="0.25">
      <c r="B90" s="50" t="s">
        <v>82</v>
      </c>
      <c r="C90" s="55" t="s">
        <v>83</v>
      </c>
      <c r="D90" s="140">
        <f>IF(E24="",0,E24)</f>
        <v>0</v>
      </c>
    </row>
    <row r="91" spans="2:4" ht="30" x14ac:dyDescent="0.25">
      <c r="B91" s="53" t="s">
        <v>84</v>
      </c>
      <c r="C91" s="56" t="s">
        <v>85</v>
      </c>
      <c r="D91" s="141">
        <f>IF(E10="",0,E10)</f>
        <v>0</v>
      </c>
    </row>
    <row r="92" spans="2:4" x14ac:dyDescent="0.25">
      <c r="B92" s="50" t="s">
        <v>86</v>
      </c>
      <c r="C92" s="55" t="s">
        <v>87</v>
      </c>
      <c r="D92" s="140">
        <f>IF(E27="",0,E27)</f>
        <v>0</v>
      </c>
    </row>
    <row r="93" spans="2:4" x14ac:dyDescent="0.25">
      <c r="B93" s="53" t="s">
        <v>88</v>
      </c>
      <c r="C93" s="56" t="s">
        <v>89</v>
      </c>
      <c r="D93" s="141">
        <f>IF(E18="",0,E18)+IF(E19="",0,E19)</f>
        <v>0</v>
      </c>
    </row>
    <row r="94" spans="2:4" x14ac:dyDescent="0.25">
      <c r="B94" s="57" t="s">
        <v>152</v>
      </c>
      <c r="C94" s="58"/>
      <c r="D94" s="125">
        <f>SUM(D80:D93)</f>
        <v>0</v>
      </c>
    </row>
  </sheetData>
  <mergeCells count="17">
    <mergeCell ref="B41:D41"/>
    <mergeCell ref="B48:J48"/>
    <mergeCell ref="B46:C46"/>
    <mergeCell ref="B49:B50"/>
    <mergeCell ref="C49:C50"/>
    <mergeCell ref="B78:B79"/>
    <mergeCell ref="C78:C79"/>
    <mergeCell ref="B67:F67"/>
    <mergeCell ref="D49:F49"/>
    <mergeCell ref="J49:J50"/>
    <mergeCell ref="N49:N50"/>
    <mergeCell ref="K48:P48"/>
    <mergeCell ref="K49:K50"/>
    <mergeCell ref="L49:L50"/>
    <mergeCell ref="M49:M50"/>
    <mergeCell ref="O49:O50"/>
    <mergeCell ref="P49:P50"/>
  </mergeCells>
  <conditionalFormatting sqref="J51:J64">
    <cfRule type="expression" dxfId="2" priority="1">
      <formula>J51&gt;=$F$42-0.05</formula>
    </cfRule>
    <cfRule type="expression" dxfId="1" priority="2">
      <formula>AND(J51&gt;=$F$42-0.2,J51&lt;$F$42-0.05)</formula>
    </cfRule>
    <cfRule type="expression" dxfId="0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2026-08-08T02:50:28Z</cp:lastPrinted>
  <dcterms:created xsi:type="dcterms:W3CDTF">2026-03-24T08:59:20Z</dcterms:created>
  <dcterms:modified xsi:type="dcterms:W3CDTF">2026-08-10T00:55:13Z</dcterms:modified>
  <dc:language>en-US</dc:language>
</cp:coreProperties>
</file>