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randy/Desktop/"/>
    </mc:Choice>
  </mc:AlternateContent>
  <xr:revisionPtr revIDLastSave="0" documentId="13_ncr:1_{EF84DF2E-261F-0343-B7D9-56E9F9D1B169}" xr6:coauthVersionLast="47" xr6:coauthVersionMax="47" xr10:uidLastSave="{00000000-0000-0000-0000-000000000000}"/>
  <bookViews>
    <workbookView xWindow="1680" yWindow="600" windowWidth="21780" windowHeight="16380" tabRatio="500" firstSheet="4" activeTab="7" xr2:uid="{00000000-000D-0000-FFFF-FFFF00000000}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3" i="8" l="1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65" i="13" s="1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D60" i="11"/>
  <c r="D59" i="11"/>
  <c r="D58" i="11"/>
  <c r="D57" i="11"/>
  <c r="F57" i="11" s="1"/>
  <c r="D56" i="11"/>
  <c r="D55" i="11"/>
  <c r="F55" i="11" s="1"/>
  <c r="D54" i="11"/>
  <c r="D53" i="11"/>
  <c r="D52" i="11"/>
  <c r="D51" i="11"/>
  <c r="F41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F57" i="10" s="1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F62" i="10" s="1"/>
  <c r="D61" i="10"/>
  <c r="D60" i="10"/>
  <c r="D59" i="10"/>
  <c r="D58" i="10"/>
  <c r="D57" i="10"/>
  <c r="D56" i="10"/>
  <c r="D55" i="10"/>
  <c r="D54" i="10"/>
  <c r="D53" i="10"/>
  <c r="D52" i="10"/>
  <c r="D65" i="10" s="1"/>
  <c r="D51" i="10"/>
  <c r="F41" i="10"/>
  <c r="D93" i="9"/>
  <c r="D92" i="9"/>
  <c r="D91" i="9"/>
  <c r="D90" i="9"/>
  <c r="D94" i="9" s="1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D52" i="9"/>
  <c r="D51" i="9"/>
  <c r="F41" i="9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F63" i="8" s="1"/>
  <c r="D62" i="8"/>
  <c r="F62" i="8" s="1"/>
  <c r="D61" i="8"/>
  <c r="D60" i="8"/>
  <c r="F60" i="8" s="1"/>
  <c r="D59" i="8"/>
  <c r="F59" i="8" s="1"/>
  <c r="D58" i="8"/>
  <c r="D57" i="8"/>
  <c r="D56" i="8"/>
  <c r="F56" i="8" s="1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F52" i="7" s="1"/>
  <c r="D51" i="7"/>
  <c r="D94" i="14"/>
  <c r="E93" i="14"/>
  <c r="F93" i="14" s="1"/>
  <c r="E92" i="14"/>
  <c r="F92" i="14" s="1"/>
  <c r="G90" i="14"/>
  <c r="E90" i="14"/>
  <c r="F90" i="14" s="1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1" i="13"/>
  <c r="F60" i="13"/>
  <c r="H59" i="13"/>
  <c r="L59" i="13" s="1"/>
  <c r="G59" i="13"/>
  <c r="F59" i="13"/>
  <c r="F58" i="13"/>
  <c r="F57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D94" i="12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F60" i="10"/>
  <c r="H59" i="10"/>
  <c r="L59" i="10" s="1"/>
  <c r="G59" i="10"/>
  <c r="F59" i="10"/>
  <c r="F58" i="10"/>
  <c r="F55" i="10"/>
  <c r="F54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L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F63" i="9"/>
  <c r="H59" i="9"/>
  <c r="G59" i="9"/>
  <c r="K59" i="9" s="1"/>
  <c r="F59" i="9"/>
  <c r="F58" i="9"/>
  <c r="F56" i="9"/>
  <c r="F55" i="9"/>
  <c r="F54" i="9"/>
  <c r="H53" i="9"/>
  <c r="L53" i="9" s="1"/>
  <c r="G53" i="9"/>
  <c r="F53" i="9"/>
  <c r="F52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E93" i="8"/>
  <c r="E92" i="8"/>
  <c r="E90" i="8"/>
  <c r="E89" i="8"/>
  <c r="G89" i="8" s="1"/>
  <c r="F64" i="8"/>
  <c r="H59" i="8"/>
  <c r="G59" i="8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K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E92" i="7"/>
  <c r="F92" i="7" s="1"/>
  <c r="E90" i="7"/>
  <c r="F90" i="7" s="1"/>
  <c r="E89" i="7"/>
  <c r="H59" i="7"/>
  <c r="G59" i="7"/>
  <c r="F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F60" i="7" l="1"/>
  <c r="F53" i="7"/>
  <c r="F61" i="7"/>
  <c r="F55" i="7"/>
  <c r="F63" i="7"/>
  <c r="F51" i="9"/>
  <c r="D94" i="8"/>
  <c r="G92" i="7"/>
  <c r="F61" i="8"/>
  <c r="K57" i="8"/>
  <c r="K61" i="8"/>
  <c r="K59" i="8"/>
  <c r="G92" i="8"/>
  <c r="F58" i="8"/>
  <c r="F93" i="8"/>
  <c r="G90" i="8"/>
  <c r="F45" i="8"/>
  <c r="L61" i="8"/>
  <c r="F57" i="8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F65" i="10" s="1"/>
  <c r="L62" i="12"/>
  <c r="K58" i="3"/>
  <c r="F54" i="3"/>
  <c r="L61" i="7"/>
  <c r="L64" i="8"/>
  <c r="G93" i="8"/>
  <c r="L62" i="9"/>
  <c r="L54" i="10"/>
  <c r="G89" i="12"/>
  <c r="H89" i="12" s="1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J51" i="13" s="1"/>
  <c r="I61" i="13"/>
  <c r="D94" i="7"/>
  <c r="I55" i="8"/>
  <c r="M55" i="8" s="1"/>
  <c r="F92" i="12"/>
  <c r="F65" i="13"/>
  <c r="K63" i="9"/>
  <c r="F90" i="8"/>
  <c r="I56" i="9"/>
  <c r="M56" i="9" s="1"/>
  <c r="N56" i="9" s="1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D84" i="8"/>
  <c r="H51" i="10"/>
  <c r="L51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92" i="9"/>
  <c r="H90" i="11"/>
  <c r="N55" i="8"/>
  <c r="H89" i="8"/>
  <c r="H93" i="8"/>
  <c r="H90" i="8"/>
  <c r="H45" i="10"/>
  <c r="H90" i="10"/>
  <c r="H92" i="12"/>
  <c r="H90" i="14"/>
  <c r="L57" i="8"/>
  <c r="I57" i="8"/>
  <c r="L56" i="7"/>
  <c r="I56" i="7"/>
  <c r="J56" i="7" s="1"/>
  <c r="G45" i="7"/>
  <c r="H45" i="7" s="1"/>
  <c r="F45" i="7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E44" i="11"/>
  <c r="H51" i="11"/>
  <c r="I51" i="11" s="1"/>
  <c r="E45" i="11"/>
  <c r="E91" i="11"/>
  <c r="E94" i="11" s="1"/>
  <c r="F94" i="11" s="1"/>
  <c r="M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I51" i="7"/>
  <c r="K52" i="8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K54" i="10"/>
  <c r="I54" i="10"/>
  <c r="J54" i="10" s="1"/>
  <c r="K58" i="10"/>
  <c r="I58" i="10"/>
  <c r="K63" i="10"/>
  <c r="I63" i="10"/>
  <c r="J63" i="10" s="1"/>
  <c r="I52" i="10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E91" i="8"/>
  <c r="E94" i="8" s="1"/>
  <c r="F94" i="8" s="1"/>
  <c r="K52" i="9"/>
  <c r="K62" i="9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M59" i="11"/>
  <c r="N59" i="11" s="1"/>
  <c r="I58" i="13"/>
  <c r="J58" i="13" s="1"/>
  <c r="K58" i="13"/>
  <c r="K63" i="13"/>
  <c r="I63" i="13"/>
  <c r="J63" i="13" s="1"/>
  <c r="F45" i="13"/>
  <c r="G45" i="13"/>
  <c r="H45" i="13" s="1"/>
  <c r="K59" i="13"/>
  <c r="I59" i="13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F44" i="8" l="1"/>
  <c r="M63" i="13"/>
  <c r="N63" i="13" s="1"/>
  <c r="G91" i="9"/>
  <c r="H91" i="9" s="1"/>
  <c r="J56" i="9"/>
  <c r="M57" i="10"/>
  <c r="N57" i="10" s="1"/>
  <c r="J52" i="10"/>
  <c r="M53" i="6"/>
  <c r="M57" i="11"/>
  <c r="N57" i="11" s="1"/>
  <c r="M64" i="10"/>
  <c r="N64" i="10" s="1"/>
  <c r="F94" i="7"/>
  <c r="J58" i="8"/>
  <c r="M62" i="14"/>
  <c r="N62" i="14" s="1"/>
  <c r="L65" i="10"/>
  <c r="M56" i="8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F70" i="3" s="1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M52" i="8" l="1"/>
  <c r="N52" i="8" s="1"/>
  <c r="I65" i="8"/>
  <c r="J65" i="8" s="1"/>
  <c r="I65" i="12"/>
  <c r="J65" i="12" s="1"/>
  <c r="G94" i="11"/>
  <c r="H94" i="11" s="1"/>
  <c r="G46" i="7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J61" i="3"/>
  <c r="N49" i="3"/>
  <c r="M61" i="3"/>
  <c r="N61" i="3" s="1"/>
  <c r="M65" i="8" l="1"/>
  <c r="N65" i="8" s="1"/>
  <c r="M65" i="7"/>
  <c r="N65" i="7" s="1"/>
  <c r="N52" i="9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N54" i="4" s="1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L61" i="4" l="1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<sst xmlns="http://schemas.openxmlformats.org/spreadsheetml/2006/main" count="1876" uniqueCount="185">
  <si>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</si>
  <si>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</si>
  <si>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</si>
  <si>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</si>
  <si>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</si>
  <si>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</si>
  <si>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</si>
  <si>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</si>
  <si>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</si>
  <si>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</si>
  <si>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</si>
  <si>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</si>
  <si>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</si>
  <si>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</si>
  <si>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</si>
  <si>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</si>
  <si>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</si>
  <si>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</si>
  <si>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</si>
  <si>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</si>
  <si>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</si>
  <si>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</si>
  <si>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</si>
  <si>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</si>
  <si>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</si>
  <si>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</si>
  <si>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</si>
  <si>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</si>
  <si>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</si>
  <si>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</si>
  <si>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</si>
  <si>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</si>
  <si>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</si>
  <si>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</si>
  <si>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</si>
  <si>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</si>
  <si>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</si>
  <si>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</si>
  <si>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</si>
  <si>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</si>
  <si>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</si>
  <si>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</si>
  <si>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</si>
  <si>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</si>
  <si>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</si>
  <si>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</si>
  <si>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</si>
  <si>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</si>
  <si>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</si>
  <si>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</si>
  <si>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</si>
  <si>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</si>
  <si>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</si>
  <si>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</si>
  <si>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</si>
  <si>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</si>
  <si>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</si>
  <si>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</si>
  <si>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</si>
  <si>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</si>
  <si>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</si>
  <si>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</si>
  <si>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</si>
  <si>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</si>
  <si>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</si>
  <si>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</si>
  <si>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</si>
  <si>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</si>
  <si>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</si>
  <si>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</si>
  <si>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</si>
  <si>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</si>
  <si>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</si>
  <si>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</si>
  <si>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</si>
  <si>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</si>
  <si>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</si>
  <si>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</si>
  <si>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</si>
  <si>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</si>
  <si>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</si>
  <si>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</si>
  <si>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</si>
  <si>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</si>
  <si>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</si>
  <si>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</si>
  <si>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</si>
  <si>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</si>
  <si>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</si>
  <si>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</si>
  <si>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</si>
  <si>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</si>
  <si>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</si>
  <si>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</si>
  <si>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</si>
  <si>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</si>
  <si>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</si>
  <si>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</si>
  <si>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</si>
  <si>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</si>
  <si>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</si>
  <si>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</si>
  <si>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</si>
  <si>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</si>
  <si>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</si>
  <si>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</si>
  <si>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</si>
  <si>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</si>
  <si>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</si>
  <si>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</si>
  <si>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</si>
  <si>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</si>
  <si>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</si>
  <si>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</si>
  <si>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</si>
  <si>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</si>
  <si>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</si>
  <si>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</si>
  <si>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</si>
  <si>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</si>
  <si>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</si>
  <si>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</si>
  <si>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</si>
  <si>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</si>
  <si>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</si>
  <si>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</si>
  <si>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</si>
  <si>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</si>
  <si>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</si>
  <si>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</si>
  <si>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</si>
  <si>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</si>
  <si>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</si>
  <si>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</si>
  <si>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</si>
  <si>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</si>
  <si>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</si>
  <si>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</si>
  <si>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</si>
  <si>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</si>
  <si>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</si>
  <si>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</si>
  <si>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</si>
  <si>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</si>
  <si>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</si>
  <si>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</si>
  <si>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</si>
  <si>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</si>
  <si>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</si>
  <si>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</si>
  <si>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</si>
  <si>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</si>
  <si>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</si>
  <si>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</si>
  <si>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</si>
  <si>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</si>
  <si>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</si>
  <si>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</si>
  <si>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</si>
  <si>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</si>
  <si>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</si>
  <si>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</si>
  <si>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</si>
  <si>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</si>
  <si>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</si>
  <si>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</si>
  <si>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</si>
  <si>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</si>
  <si>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</si>
  <si>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</si>
  <si>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</si>
  <si>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</si>
  <si>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</si>
  <si>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</si>
  <si>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</si>
  <si>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</si>
  <si>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</si>
  <si>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</si>
  <si>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</si>
  <si>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</si>
  <si>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</si>
  <si>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</si>
  <si>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</si>
  <si>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</si>
  <si>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13 JUNI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</si>
</sst>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7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8"/>
  <sheetViews>
    <sheetView showGridLines="0" topLeftCell="A4" zoomScale="171" zoomScaleNormal="110" workbookViewId="0">
      <selection activeCell="C15" sqref="C15"/>
    </sheetView>
  </sheetViews>
  <sheetFormatPr baseColWidth="10" defaultColWidth="8.6640625" defaultRowHeight="15" x14ac:dyDescent="0.2"/>
  <cols>
    <col min="1" max="1" width="3" customWidth="1"/>
    <col min="2" max="2" width="17.5" bestFit="1" customWidth="1"/>
    <col min="3" max="3" width="64.83203125" bestFit="1" customWidth="1"/>
  </cols>
  <sheetData>
    <row r="1" spans="2:3" ht="18" x14ac:dyDescent="0.2">
      <c r="B1" s="224" t="s">
        <v>0</v>
      </c>
      <c r="C1" s="224"/>
    </row>
    <row r="3" spans="2:3" x14ac:dyDescent="0.2">
      <c r="B3" s="225" t="s">
        <v>1</v>
      </c>
      <c r="C3" s="225"/>
    </row>
    <row r="4" spans="2:3" x14ac:dyDescent="0.2">
      <c r="B4" s="1" t="s">
        <v>2</v>
      </c>
      <c r="C4" s="2" t="s">
        <v>3</v>
      </c>
    </row>
    <row r="5" spans="2:3" x14ac:dyDescent="0.2">
      <c r="B5" s="1" t="s">
        <v>4</v>
      </c>
      <c r="C5" s="2" t="s">
        <v>5</v>
      </c>
    </row>
    <row r="6" spans="2:3" x14ac:dyDescent="0.2">
      <c r="B6" s="1" t="s">
        <v>6</v>
      </c>
      <c r="C6" s="2" t="s">
        <v>7</v>
      </c>
    </row>
    <row r="7" spans="2:3" x14ac:dyDescent="0.2">
      <c r="B7" s="1" t="s">
        <v>8</v>
      </c>
      <c r="C7" s="2" t="s">
        <v>9</v>
      </c>
    </row>
    <row r="8" spans="2:3" x14ac:dyDescent="0.2">
      <c r="B8" s="1" t="s">
        <v>10</v>
      </c>
      <c r="C8" s="2" t="s">
        <v>11</v>
      </c>
    </row>
    <row r="9" spans="2:3" x14ac:dyDescent="0.2">
      <c r="B9" s="1" t="s">
        <v>12</v>
      </c>
      <c r="C9" s="2" t="s">
        <v>13</v>
      </c>
    </row>
    <row r="11" spans="2:3" x14ac:dyDescent="0.2">
      <c r="B11" s="226" t="s">
        <v>14</v>
      </c>
      <c r="C11" s="226"/>
    </row>
    <row r="12" spans="2:3" x14ac:dyDescent="0.2">
      <c r="B12" s="1" t="s">
        <v>15</v>
      </c>
      <c r="C12" s="2" t="s">
        <v>16</v>
      </c>
    </row>
    <row r="13" spans="2:3" x14ac:dyDescent="0.2">
      <c r="B13" s="1" t="s">
        <v>15</v>
      </c>
      <c r="C13" s="2" t="s">
        <v>17</v>
      </c>
    </row>
    <row r="14" spans="2:3" x14ac:dyDescent="0.2">
      <c r="B14" s="1" t="s">
        <v>18</v>
      </c>
      <c r="C14" s="2" t="s">
        <v>19</v>
      </c>
    </row>
    <row r="15" spans="2:3" x14ac:dyDescent="0.2">
      <c r="B15" s="1" t="s">
        <v>18</v>
      </c>
      <c r="C15" s="2" t="s">
        <v>20</v>
      </c>
    </row>
    <row r="16" spans="2:3" x14ac:dyDescent="0.2">
      <c r="B16" s="1" t="s">
        <v>21</v>
      </c>
      <c r="C16" s="2" t="s">
        <v>22</v>
      </c>
    </row>
    <row r="17" spans="2:3" x14ac:dyDescent="0.2">
      <c r="B17" s="1" t="s">
        <v>23</v>
      </c>
      <c r="C17" s="2" t="s">
        <v>24</v>
      </c>
    </row>
    <row r="18" spans="2:3" x14ac:dyDescent="0.2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29"/>
  <sheetViews>
    <sheetView showGridLines="0" topLeftCell="C10" zoomScale="110" zoomScaleNormal="110" workbookViewId="0">
      <selection activeCell="I25" sqref="I25"/>
    </sheetView>
  </sheetViews>
  <sheetFormatPr baseColWidth="10" defaultColWidth="8.6640625" defaultRowHeight="15" x14ac:dyDescent="0.2"/>
  <cols>
    <col min="1" max="1" width="2" customWidth="1"/>
    <col min="2" max="2" width="32" customWidth="1"/>
    <col min="3" max="3" width="14.33203125" bestFit="1" customWidth="1"/>
    <col min="4" max="6" width="12.6640625" bestFit="1" customWidth="1"/>
    <col min="7" max="7" width="12.83203125" bestFit="1" customWidth="1"/>
    <col min="8" max="8" width="12.6640625" bestFit="1" customWidth="1"/>
    <col min="9" max="9" width="12.83203125" bestFit="1" customWidth="1"/>
    <col min="10" max="11" width="11.33203125" bestFit="1" customWidth="1"/>
    <col min="12" max="13" width="11.1640625" bestFit="1" customWidth="1"/>
    <col min="14" max="15" width="11.33203125" bestFit="1" customWidth="1"/>
    <col min="16" max="16" width="9.6640625" bestFit="1" customWidth="1"/>
    <col min="17" max="17" width="8.33203125" bestFit="1" customWidth="1"/>
    <col min="18" max="18" width="10.33203125" bestFit="1" customWidth="1"/>
    <col min="19" max="19" width="8.83203125" bestFit="1" customWidth="1"/>
    <col min="20" max="20" width="10" bestFit="1" customWidth="1"/>
    <col min="22" max="22" width="10.1640625" bestFit="1" customWidth="1"/>
    <col min="24" max="24" width="10.1640625" bestFit="1" customWidth="1"/>
    <col min="25" max="25" width="8.83203125" bestFit="1" customWidth="1"/>
    <col min="26" max="26" width="10" bestFit="1" customWidth="1"/>
  </cols>
  <sheetData>
    <row r="1" spans="2:27" ht="18" x14ac:dyDescent="0.2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">
      <c r="B3" s="225" t="s">
        <v>28</v>
      </c>
      <c r="C3" s="225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x14ac:dyDescent="0.2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x14ac:dyDescent="0.2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">
      <c r="B29" s="227" t="s">
        <v>102</v>
      </c>
      <c r="C29" s="227"/>
      <c r="D29" s="227"/>
      <c r="E29" s="227"/>
      <c r="F29" s="227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70"/>
  <sheetViews>
    <sheetView showGridLines="0" zoomScaleNormal="100" workbookViewId="0">
      <selection activeCell="C3" sqref="C3"/>
    </sheetView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6" width="12.6640625" bestFit="1" customWidth="1"/>
    <col min="7" max="7" width="13.6640625" bestFit="1" customWidth="1"/>
    <col min="8" max="8" width="9" bestFit="1" customWidth="1"/>
    <col min="9" max="9" width="4.83203125" bestFit="1" customWidth="1"/>
    <col min="10" max="10" width="3.5" bestFit="1" customWidth="1"/>
    <col min="11" max="13" width="12.6640625" bestFit="1" customWidth="1"/>
    <col min="14" max="14" width="8.1640625" bestFit="1" customWidth="1"/>
    <col min="16" max="16" width="13.33203125" bestFit="1" customWidth="1"/>
    <col min="17" max="17" width="12" bestFit="1" customWidth="1"/>
  </cols>
  <sheetData>
    <row r="1" spans="2:17" ht="19" x14ac:dyDescent="0.2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6" x14ac:dyDescent="0.2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">
      <c r="B22" s="84" t="s">
        <v>125</v>
      </c>
      <c r="C22" s="85"/>
      <c r="D22" s="85"/>
      <c r="E22" s="85"/>
    </row>
    <row r="23" spans="2:17" x14ac:dyDescent="0.2">
      <c r="B23" s="84" t="s">
        <v>126</v>
      </c>
      <c r="C23" s="85"/>
      <c r="D23" s="85"/>
      <c r="E23" s="85"/>
    </row>
    <row r="24" spans="2:17" x14ac:dyDescent="0.2">
      <c r="B24" s="84" t="s">
        <v>127</v>
      </c>
      <c r="C24" s="85"/>
      <c r="D24" s="85"/>
      <c r="E24" s="85"/>
    </row>
    <row r="25" spans="2:17" x14ac:dyDescent="0.2">
      <c r="B25" s="84" t="s">
        <v>128</v>
      </c>
      <c r="C25" s="85"/>
      <c r="D25" s="85"/>
      <c r="E25" s="85"/>
    </row>
    <row r="27" spans="2:17" x14ac:dyDescent="0.2">
      <c r="B27" s="82" t="s">
        <v>129</v>
      </c>
      <c r="C27" s="82"/>
    </row>
    <row r="28" spans="2:17" x14ac:dyDescent="0.2">
      <c r="B28" s="83" t="s">
        <v>130</v>
      </c>
      <c r="C28" s="83" t="s">
        <v>131</v>
      </c>
    </row>
    <row r="29" spans="2:17" x14ac:dyDescent="0.2">
      <c r="B29" s="76"/>
      <c r="C29" s="85"/>
    </row>
    <row r="30" spans="2:17" x14ac:dyDescent="0.2">
      <c r="B30" s="84" t="s">
        <v>132</v>
      </c>
      <c r="C30" s="85"/>
    </row>
    <row r="31" spans="2:17" x14ac:dyDescent="0.2">
      <c r="B31" s="84" t="s">
        <v>133</v>
      </c>
      <c r="C31" s="85"/>
    </row>
    <row r="32" spans="2:17" x14ac:dyDescent="0.2">
      <c r="B32" s="84" t="s">
        <v>134</v>
      </c>
      <c r="C32" s="85"/>
    </row>
    <row r="33" spans="2:14" x14ac:dyDescent="0.2">
      <c r="B33" s="84" t="s">
        <v>135</v>
      </c>
      <c r="C33" s="85"/>
    </row>
    <row r="34" spans="2:14" x14ac:dyDescent="0.2">
      <c r="B34" s="84" t="s">
        <v>136</v>
      </c>
      <c r="C34" s="85"/>
    </row>
    <row r="35" spans="2:14" x14ac:dyDescent="0.2">
      <c r="B35" s="84"/>
      <c r="C35" s="85"/>
    </row>
    <row r="36" spans="2:14" x14ac:dyDescent="0.2">
      <c r="B36" s="76"/>
      <c r="C36" s="85"/>
    </row>
    <row r="39" spans="2:14" ht="20" customHeight="1" x14ac:dyDescent="0.2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6" x14ac:dyDescent="0.2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">
      <c r="B44" s="229" t="s">
        <v>146</v>
      </c>
      <c r="C44" s="230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9" x14ac:dyDescent="0.2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" customHeight="1" x14ac:dyDescent="0.2">
      <c r="B47" s="231" t="s">
        <v>41</v>
      </c>
      <c r="C47" s="231" t="s">
        <v>42</v>
      </c>
      <c r="D47" s="232" t="s">
        <v>138</v>
      </c>
      <c r="E47" s="233"/>
      <c r="F47" s="234"/>
      <c r="G47" s="101" t="s">
        <v>139</v>
      </c>
      <c r="H47" s="101"/>
      <c r="I47" s="101"/>
      <c r="J47" s="231" t="s">
        <v>140</v>
      </c>
      <c r="K47" s="102" t="s">
        <v>148</v>
      </c>
      <c r="L47" s="102"/>
      <c r="M47" s="102"/>
      <c r="N47" s="228" t="s">
        <v>149</v>
      </c>
    </row>
    <row r="48" spans="2:14" ht="16" x14ac:dyDescent="0.2">
      <c r="B48" s="231"/>
      <c r="C48" s="231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31"/>
      <c r="K48" s="104" t="s">
        <v>143</v>
      </c>
      <c r="L48" s="104" t="s">
        <v>111</v>
      </c>
      <c r="M48" s="104" t="s">
        <v>146</v>
      </c>
      <c r="N48" s="228"/>
    </row>
    <row r="49" spans="2:14" x14ac:dyDescent="0.2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9" x14ac:dyDescent="0.2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70"/>
  <sheetViews>
    <sheetView showGridLines="0" zoomScale="85" zoomScaleNormal="100" workbookViewId="0">
      <selection activeCell="D35" sqref="D35"/>
    </sheetView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4.1640625" bestFit="1" customWidth="1"/>
    <col min="4" max="4" width="38.33203125" bestFit="1" customWidth="1"/>
    <col min="5" max="7" width="12.6640625" bestFit="1" customWidth="1"/>
    <col min="8" max="8" width="9.1640625" bestFit="1" customWidth="1"/>
    <col min="9" max="9" width="5.33203125" bestFit="1" customWidth="1"/>
    <col min="10" max="10" width="3.6640625" bestFit="1" customWidth="1"/>
    <col min="11" max="13" width="12.6640625" bestFit="1" customWidth="1"/>
    <col min="14" max="14" width="8.33203125" bestFit="1" customWidth="1"/>
    <col min="16" max="16" width="14.1640625" bestFit="1" customWidth="1"/>
    <col min="17" max="17" width="13.33203125" bestFit="1" customWidth="1"/>
  </cols>
  <sheetData>
    <row r="1" spans="2:17" ht="19" x14ac:dyDescent="0.2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6" x14ac:dyDescent="0.2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">
      <c r="B22" s="84" t="s">
        <v>125</v>
      </c>
      <c r="C22" s="85"/>
      <c r="D22" s="85"/>
      <c r="E22" s="85"/>
    </row>
    <row r="23" spans="2:17" x14ac:dyDescent="0.2">
      <c r="B23" s="84" t="s">
        <v>126</v>
      </c>
      <c r="C23" s="85"/>
      <c r="D23" s="85"/>
      <c r="E23" s="85"/>
    </row>
    <row r="24" spans="2:17" x14ac:dyDescent="0.2">
      <c r="B24" s="84" t="s">
        <v>127</v>
      </c>
      <c r="C24" s="85"/>
      <c r="D24" s="85"/>
      <c r="E24" s="85"/>
    </row>
    <row r="25" spans="2:17" x14ac:dyDescent="0.2">
      <c r="B25" s="84" t="s">
        <v>128</v>
      </c>
      <c r="C25" s="85"/>
      <c r="D25" s="85"/>
      <c r="E25" s="85"/>
    </row>
    <row r="27" spans="2:17" x14ac:dyDescent="0.2">
      <c r="B27" s="82" t="s">
        <v>129</v>
      </c>
      <c r="C27" s="82"/>
    </row>
    <row r="28" spans="2:17" x14ac:dyDescent="0.2">
      <c r="B28" s="83" t="s">
        <v>130</v>
      </c>
      <c r="C28" s="83" t="s">
        <v>131</v>
      </c>
    </row>
    <row r="29" spans="2:17" x14ac:dyDescent="0.2">
      <c r="B29" s="76"/>
      <c r="C29" s="85"/>
    </row>
    <row r="30" spans="2:17" x14ac:dyDescent="0.2">
      <c r="B30" s="84" t="s">
        <v>132</v>
      </c>
      <c r="C30" s="85"/>
    </row>
    <row r="31" spans="2:17" x14ac:dyDescent="0.2">
      <c r="B31" s="84" t="s">
        <v>133</v>
      </c>
      <c r="C31" s="85"/>
    </row>
    <row r="32" spans="2:17" x14ac:dyDescent="0.2">
      <c r="B32" s="84" t="s">
        <v>134</v>
      </c>
      <c r="C32" s="85"/>
    </row>
    <row r="33" spans="2:14" x14ac:dyDescent="0.2">
      <c r="B33" s="84" t="s">
        <v>135</v>
      </c>
      <c r="C33" s="85"/>
    </row>
    <row r="34" spans="2:14" x14ac:dyDescent="0.2">
      <c r="B34" s="84" t="s">
        <v>136</v>
      </c>
      <c r="C34" s="85"/>
    </row>
    <row r="35" spans="2:14" x14ac:dyDescent="0.2">
      <c r="B35" s="84"/>
      <c r="C35" s="85"/>
    </row>
    <row r="36" spans="2:14" x14ac:dyDescent="0.2">
      <c r="B36" s="76"/>
      <c r="C36" s="85"/>
    </row>
    <row r="39" spans="2:14" ht="20" customHeight="1" x14ac:dyDescent="0.2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6" x14ac:dyDescent="0.2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">
      <c r="B44" s="229" t="s">
        <v>146</v>
      </c>
      <c r="C44" s="230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9" x14ac:dyDescent="0.2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" customHeight="1" x14ac:dyDescent="0.2">
      <c r="B47" s="231" t="s">
        <v>41</v>
      </c>
      <c r="C47" s="231" t="s">
        <v>42</v>
      </c>
      <c r="D47" s="232" t="s">
        <v>138</v>
      </c>
      <c r="E47" s="233"/>
      <c r="F47" s="234"/>
      <c r="G47" s="101" t="s">
        <v>139</v>
      </c>
      <c r="H47" s="101"/>
      <c r="I47" s="101"/>
      <c r="J47" s="231" t="s">
        <v>140</v>
      </c>
      <c r="K47" s="102" t="s">
        <v>148</v>
      </c>
      <c r="L47" s="102"/>
      <c r="M47" s="102"/>
      <c r="N47" s="228" t="s">
        <v>149</v>
      </c>
    </row>
    <row r="48" spans="2:14" ht="16" x14ac:dyDescent="0.2">
      <c r="B48" s="231"/>
      <c r="C48" s="231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31"/>
      <c r="K48" s="104" t="s">
        <v>143</v>
      </c>
      <c r="L48" s="104" t="s">
        <v>111</v>
      </c>
      <c r="M48" s="104" t="s">
        <v>146</v>
      </c>
      <c r="N48" s="228"/>
    </row>
    <row r="49" spans="2:14" x14ac:dyDescent="0.2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9" x14ac:dyDescent="0.2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70"/>
  <sheetViews>
    <sheetView showGridLines="0" zoomScale="108" zoomScaleNormal="100" workbookViewId="0">
      <selection activeCell="D41" sqref="D41"/>
    </sheetView>
  </sheetViews>
  <sheetFormatPr baseColWidth="10" defaultColWidth="8.6640625" defaultRowHeight="15" x14ac:dyDescent="0.2"/>
  <cols>
    <col min="1" max="1" width="2" customWidth="1"/>
    <col min="2" max="2" width="29.83203125" bestFit="1" customWidth="1"/>
    <col min="3" max="3" width="17.33203125" bestFit="1" customWidth="1"/>
    <col min="4" max="4" width="22.5" customWidth="1"/>
    <col min="5" max="5" width="16.5" bestFit="1" customWidth="1"/>
    <col min="6" max="7" width="15.5" bestFit="1" customWidth="1"/>
    <col min="8" max="8" width="13.5" bestFit="1" customWidth="1"/>
    <col min="9" max="9" width="15.5" bestFit="1" customWidth="1"/>
    <col min="10" max="10" width="7.1640625" bestFit="1" customWidth="1"/>
    <col min="11" max="11" width="15.5" bestFit="1" customWidth="1"/>
    <col min="12" max="12" width="13.5" bestFit="1" customWidth="1"/>
    <col min="13" max="13" width="15.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7" ht="20" x14ac:dyDescent="0.2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6" x14ac:dyDescent="0.2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">
      <c r="B27" s="82" t="s">
        <v>129</v>
      </c>
      <c r="C27" s="16"/>
    </row>
    <row r="28" spans="2:17" x14ac:dyDescent="0.2">
      <c r="B28" s="12" t="s">
        <v>130</v>
      </c>
      <c r="C28" s="12" t="s">
        <v>131</v>
      </c>
    </row>
    <row r="29" spans="2:17" x14ac:dyDescent="0.2">
      <c r="B29" s="74" t="s">
        <v>168</v>
      </c>
      <c r="C29" s="15">
        <v>3087270.2699850001</v>
      </c>
    </row>
    <row r="30" spans="2:17" x14ac:dyDescent="0.2">
      <c r="B30" s="74" t="s">
        <v>132</v>
      </c>
      <c r="C30" s="15">
        <v>174213927.33888301</v>
      </c>
    </row>
    <row r="31" spans="2:17" x14ac:dyDescent="0.2">
      <c r="B31" s="74" t="s">
        <v>133</v>
      </c>
      <c r="C31" s="15">
        <v>309778739.936719</v>
      </c>
    </row>
    <row r="32" spans="2:17" x14ac:dyDescent="0.2">
      <c r="B32" s="74" t="s">
        <v>134</v>
      </c>
      <c r="C32" s="15">
        <v>276397406.795636</v>
      </c>
    </row>
    <row r="33" spans="2:17" x14ac:dyDescent="0.2">
      <c r="B33" s="74" t="s">
        <v>135</v>
      </c>
      <c r="C33" s="15">
        <v>399290297.73101801</v>
      </c>
    </row>
    <row r="34" spans="2:17" x14ac:dyDescent="0.2">
      <c r="B34" s="74" t="s">
        <v>136</v>
      </c>
      <c r="C34" s="15">
        <v>8321067.1999199996</v>
      </c>
    </row>
    <row r="35" spans="2:17" x14ac:dyDescent="0.2">
      <c r="B35" s="13"/>
      <c r="C35" s="15"/>
    </row>
    <row r="36" spans="2:17" x14ac:dyDescent="0.2">
      <c r="B36" s="13"/>
      <c r="C36" s="15"/>
    </row>
    <row r="38" spans="2:17" ht="29.25" customHeight="1" x14ac:dyDescent="0.2">
      <c r="E38" s="29"/>
    </row>
    <row r="39" spans="2:17" ht="24.75" customHeight="1" x14ac:dyDescent="0.2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6" x14ac:dyDescent="0.2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ht="16" x14ac:dyDescent="0.2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ht="16" x14ac:dyDescent="0.2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ht="16" x14ac:dyDescent="0.2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">
      <c r="B44" s="211" t="s">
        <v>146</v>
      </c>
      <c r="C44" s="212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5" customHeight="1" x14ac:dyDescent="0.25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25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">
      <c r="B47" s="213" t="s">
        <v>41</v>
      </c>
      <c r="C47" s="213" t="s">
        <v>42</v>
      </c>
      <c r="D47" s="220" t="s">
        <v>138</v>
      </c>
      <c r="E47" s="221"/>
      <c r="F47" s="222"/>
      <c r="G47" s="70" t="s">
        <v>139</v>
      </c>
      <c r="H47" s="70"/>
      <c r="I47" s="70"/>
      <c r="J47" s="213" t="s">
        <v>140</v>
      </c>
      <c r="K47" s="35" t="s">
        <v>148</v>
      </c>
      <c r="L47" s="35"/>
      <c r="M47" s="35"/>
      <c r="N47" s="235" t="s">
        <v>149</v>
      </c>
    </row>
    <row r="48" spans="2:17" ht="17" x14ac:dyDescent="0.2">
      <c r="B48" s="213"/>
      <c r="C48" s="213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13"/>
      <c r="K48" s="34" t="s">
        <v>143</v>
      </c>
      <c r="L48" s="34" t="s">
        <v>111</v>
      </c>
      <c r="M48" s="34" t="s">
        <v>146</v>
      </c>
      <c r="N48" s="235"/>
    </row>
    <row r="49" spans="2:14" ht="16" x14ac:dyDescent="0.2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ht="16" x14ac:dyDescent="0.2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ht="16" x14ac:dyDescent="0.2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ht="16" x14ac:dyDescent="0.2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ht="16" x14ac:dyDescent="0.2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ht="16" x14ac:dyDescent="0.2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ht="16" x14ac:dyDescent="0.2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ht="16" x14ac:dyDescent="0.2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ht="16" x14ac:dyDescent="0.2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ht="16" x14ac:dyDescent="0.2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ht="16" x14ac:dyDescent="0.2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ht="16" x14ac:dyDescent="0.2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ht="16" x14ac:dyDescent="0.2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ht="16" x14ac:dyDescent="0.2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R94"/>
  <sheetViews>
    <sheetView showGridLines="0" topLeftCell="A29" zoomScaleNormal="100" workbookViewId="0">
      <selection activeCell="B41" sqref="B41:F46"/>
    </sheetView>
  </sheetViews>
  <sheetFormatPr baseColWidth="10" defaultColWidth="8.6640625" defaultRowHeight="15" x14ac:dyDescent="0.2"/>
  <cols>
    <col min="1" max="1" width="2" customWidth="1"/>
    <col min="2" max="2" width="33.6640625" customWidth="1"/>
    <col min="3" max="3" width="17" customWidth="1"/>
    <col min="4" max="4" width="15.83203125" customWidth="1"/>
    <col min="5" max="5" width="15.5" customWidth="1"/>
    <col min="6" max="6" width="15.6640625" bestFit="1" customWidth="1"/>
    <col min="7" max="7" width="15.6640625" style="116" bestFit="1" customWidth="1"/>
    <col min="8" max="8" width="14" style="116" bestFit="1" customWidth="1"/>
    <col min="9" max="9" width="15.6640625" style="116" bestFit="1" customWidth="1"/>
    <col min="10" max="10" width="9.5" customWidth="1"/>
    <col min="11" max="11" width="14.33203125" bestFit="1" customWidth="1"/>
    <col min="12" max="12" width="12.1640625" customWidth="1"/>
    <col min="13" max="13" width="14.33203125" bestFit="1" customWidth="1"/>
    <col min="14" max="14" width="12.5" bestFit="1" customWidth="1"/>
    <col min="16" max="16" width="13.33203125" bestFit="1" customWidth="1"/>
    <col min="17" max="17" width="12.1640625" bestFit="1" customWidth="1"/>
    <col min="18" max="18" width="13.33203125" bestFit="1" customWidth="1"/>
  </cols>
  <sheetData>
    <row r="1" spans="2:14" ht="19" x14ac:dyDescent="0.2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6" x14ac:dyDescent="0.2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">
      <c r="B29" s="82" t="s">
        <v>129</v>
      </c>
      <c r="C29" s="82"/>
    </row>
    <row r="30" spans="2:18" x14ac:dyDescent="0.2">
      <c r="B30" s="83" t="s">
        <v>130</v>
      </c>
      <c r="C30" s="83" t="s">
        <v>131</v>
      </c>
    </row>
    <row r="31" spans="2:18" x14ac:dyDescent="0.2">
      <c r="B31" s="76"/>
      <c r="C31" s="15"/>
    </row>
    <row r="32" spans="2:18" x14ac:dyDescent="0.2">
      <c r="B32" s="84" t="s">
        <v>132</v>
      </c>
      <c r="C32" s="15">
        <v>240237597.65824801</v>
      </c>
    </row>
    <row r="33" spans="2:14" x14ac:dyDescent="0.2">
      <c r="B33" s="84" t="s">
        <v>133</v>
      </c>
      <c r="C33" s="15">
        <v>449933743.924721</v>
      </c>
    </row>
    <row r="34" spans="2:14" x14ac:dyDescent="0.2">
      <c r="B34" s="84" t="s">
        <v>134</v>
      </c>
      <c r="C34" s="15">
        <v>318278585.086043</v>
      </c>
    </row>
    <row r="35" spans="2:14" x14ac:dyDescent="0.2">
      <c r="B35" s="84" t="s">
        <v>135</v>
      </c>
      <c r="C35" s="15">
        <v>267561093.287265</v>
      </c>
    </row>
    <row r="36" spans="2:14" x14ac:dyDescent="0.2">
      <c r="B36" s="84" t="s">
        <v>136</v>
      </c>
      <c r="C36" s="15">
        <v>311290805.19997603</v>
      </c>
    </row>
    <row r="37" spans="2:14" x14ac:dyDescent="0.2">
      <c r="B37" s="84"/>
      <c r="C37" s="85"/>
    </row>
    <row r="38" spans="2:14" x14ac:dyDescent="0.2">
      <c r="B38" s="76"/>
      <c r="C38" s="85"/>
    </row>
    <row r="41" spans="2:14" ht="20" customHeight="1" x14ac:dyDescent="0.2">
      <c r="B41" s="205" t="s">
        <v>182</v>
      </c>
      <c r="C41" s="206"/>
      <c r="D41" s="207"/>
      <c r="E41" s="67" t="s">
        <v>138</v>
      </c>
      <c r="F41" s="73">
        <v>1</v>
      </c>
      <c r="G41" s="117"/>
      <c r="H41" s="117"/>
    </row>
    <row r="42" spans="2:14" ht="20" customHeight="1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" customHeight="1" x14ac:dyDescent="0.2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" customHeight="1" x14ac:dyDescent="0.2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" customHeight="1" x14ac:dyDescent="0.2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" customHeight="1" x14ac:dyDescent="0.2">
      <c r="B46" s="211" t="s">
        <v>146</v>
      </c>
      <c r="C46" s="212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" customHeight="1" x14ac:dyDescent="0.2">
      <c r="B48" s="208" t="s">
        <v>147</v>
      </c>
      <c r="C48" s="209"/>
      <c r="D48" s="209"/>
      <c r="E48" s="209"/>
      <c r="F48" s="209"/>
      <c r="G48" s="209"/>
      <c r="H48" s="209"/>
      <c r="I48" s="209"/>
      <c r="J48" s="210"/>
      <c r="K48" s="241"/>
      <c r="L48" s="242"/>
      <c r="M48" s="242"/>
      <c r="N48" s="243"/>
    </row>
    <row r="49" spans="2:14" s="158" customFormat="1" ht="20" customHeight="1" x14ac:dyDescent="0.2">
      <c r="B49" s="240" t="s">
        <v>41</v>
      </c>
      <c r="C49" s="240" t="s">
        <v>42</v>
      </c>
      <c r="D49" s="237" t="s">
        <v>138</v>
      </c>
      <c r="E49" s="238"/>
      <c r="F49" s="239"/>
      <c r="G49" s="159" t="s">
        <v>139</v>
      </c>
      <c r="H49" s="159"/>
      <c r="I49" s="159"/>
      <c r="J49" s="240" t="s">
        <v>140</v>
      </c>
      <c r="K49" s="160" t="s">
        <v>148</v>
      </c>
      <c r="L49" s="160"/>
      <c r="M49" s="160"/>
      <c r="N49" s="236" t="s">
        <v>149</v>
      </c>
    </row>
    <row r="50" spans="2:14" s="158" customFormat="1" ht="20" customHeight="1" x14ac:dyDescent="0.2">
      <c r="B50" s="240"/>
      <c r="C50" s="240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40"/>
      <c r="K50" s="163" t="s">
        <v>143</v>
      </c>
      <c r="L50" s="163" t="s">
        <v>111</v>
      </c>
      <c r="M50" s="163" t="s">
        <v>146</v>
      </c>
      <c r="N50" s="236"/>
    </row>
    <row r="51" spans="2:14" s="158" customFormat="1" ht="20" customHeight="1" x14ac:dyDescent="0.2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" customHeight="1" x14ac:dyDescent="0.2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" customHeight="1" x14ac:dyDescent="0.2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" customHeight="1" x14ac:dyDescent="0.2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" customHeight="1" x14ac:dyDescent="0.2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" customHeight="1" x14ac:dyDescent="0.2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" customHeight="1" x14ac:dyDescent="0.2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" customHeight="1" x14ac:dyDescent="0.2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" customHeight="1" x14ac:dyDescent="0.2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" customHeight="1" x14ac:dyDescent="0.2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" customHeight="1" x14ac:dyDescent="0.2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" customHeight="1" x14ac:dyDescent="0.2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" customHeight="1" x14ac:dyDescent="0.2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" customHeight="1" x14ac:dyDescent="0.2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" customHeight="1" x14ac:dyDescent="0.2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" customHeight="1" x14ac:dyDescent="0.2">
      <c r="B67" s="135" t="s">
        <v>174</v>
      </c>
      <c r="C67" s="136"/>
      <c r="D67" s="137"/>
      <c r="G67"/>
      <c r="H67"/>
      <c r="I67"/>
    </row>
    <row r="68" spans="2:14" ht="20" customHeight="1" x14ac:dyDescent="0.2">
      <c r="B68" s="213" t="s">
        <v>41</v>
      </c>
      <c r="C68" s="213" t="s">
        <v>42</v>
      </c>
      <c r="D68" s="134" t="s">
        <v>139</v>
      </c>
      <c r="G68"/>
      <c r="H68"/>
      <c r="I68"/>
    </row>
    <row r="69" spans="2:14" ht="20" customHeight="1" x14ac:dyDescent="0.2">
      <c r="B69" s="213"/>
      <c r="C69" s="213"/>
      <c r="D69" s="71" t="s">
        <v>171</v>
      </c>
      <c r="G69"/>
      <c r="H69"/>
      <c r="I69"/>
    </row>
    <row r="70" spans="2:14" s="158" customFormat="1" ht="20" customHeight="1" x14ac:dyDescent="0.2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" customHeight="1" x14ac:dyDescent="0.2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" customHeight="1" x14ac:dyDescent="0.2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" customHeight="1" x14ac:dyDescent="0.2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" customHeight="1" x14ac:dyDescent="0.2">
      <c r="B74" s="185" t="s">
        <v>73</v>
      </c>
      <c r="C74" s="186" t="s">
        <v>74</v>
      </c>
      <c r="D74" s="192">
        <f>0</f>
        <v>0</v>
      </c>
    </row>
    <row r="75" spans="2:14" s="158" customFormat="1" ht="20" customHeight="1" x14ac:dyDescent="0.2">
      <c r="B75" s="183" t="s">
        <v>75</v>
      </c>
      <c r="C75" s="184" t="s">
        <v>74</v>
      </c>
      <c r="D75" s="191">
        <v>2883783.76</v>
      </c>
    </row>
    <row r="76" spans="2:14" s="158" customFormat="1" ht="20" customHeight="1" x14ac:dyDescent="0.2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" customHeight="1" x14ac:dyDescent="0.2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" customHeight="1" x14ac:dyDescent="0.2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" customHeight="1" x14ac:dyDescent="0.2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" customHeight="1" x14ac:dyDescent="0.2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" customHeight="1" x14ac:dyDescent="0.2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" customHeight="1" x14ac:dyDescent="0.2">
      <c r="B82" s="183" t="s">
        <v>86</v>
      </c>
      <c r="C82" s="184" t="s">
        <v>87</v>
      </c>
      <c r="D82" s="191">
        <f>0</f>
        <v>0</v>
      </c>
    </row>
    <row r="83" spans="2:9" s="158" customFormat="1" ht="20" customHeight="1" x14ac:dyDescent="0.2">
      <c r="B83" s="185" t="s">
        <v>88</v>
      </c>
      <c r="C83" s="186" t="s">
        <v>89</v>
      </c>
      <c r="D83" s="192">
        <f>0</f>
        <v>0</v>
      </c>
    </row>
    <row r="84" spans="2:9" s="158" customFormat="1" ht="20" customHeight="1" x14ac:dyDescent="0.2">
      <c r="B84" s="189" t="s">
        <v>152</v>
      </c>
      <c r="C84" s="190"/>
      <c r="D84" s="193">
        <f>SUM(D70:D83)</f>
        <v>726140776.47983217</v>
      </c>
    </row>
    <row r="87" spans="2:9" s="158" customFormat="1" ht="20" customHeight="1" x14ac:dyDescent="0.2">
      <c r="B87" s="208" t="s">
        <v>145</v>
      </c>
      <c r="C87" s="209"/>
      <c r="D87" s="209"/>
      <c r="E87" s="209"/>
      <c r="F87" s="210"/>
      <c r="G87" s="167"/>
      <c r="H87" s="167"/>
      <c r="I87" s="168"/>
    </row>
    <row r="88" spans="2:9" s="158" customFormat="1" ht="20" customHeight="1" x14ac:dyDescent="0.2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" customHeight="1" x14ac:dyDescent="0.2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" customHeight="1" x14ac:dyDescent="0.2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" customHeight="1" x14ac:dyDescent="0.2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" hidden="1" customHeight="1" x14ac:dyDescent="0.2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" hidden="1" customHeight="1" x14ac:dyDescent="0.2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" customHeight="1" x14ac:dyDescent="0.2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N94"/>
  <sheetViews>
    <sheetView showGridLines="0" topLeftCell="A69" zoomScaleNormal="100" workbookViewId="0">
      <selection activeCell="D70" sqref="D70:D83"/>
    </sheetView>
  </sheetViews>
  <sheetFormatPr baseColWidth="10" defaultColWidth="8.6640625" defaultRowHeight="15" x14ac:dyDescent="0.2"/>
  <cols>
    <col min="1" max="1" width="2" customWidth="1"/>
    <col min="2" max="2" width="31.5" customWidth="1"/>
    <col min="3" max="3" width="16.1640625" customWidth="1"/>
    <col min="4" max="4" width="17.5" customWidth="1"/>
    <col min="5" max="5" width="16.83203125" customWidth="1"/>
    <col min="6" max="6" width="15.1640625" customWidth="1"/>
    <col min="7" max="7" width="16" customWidth="1"/>
    <col min="8" max="8" width="14.5" customWidth="1"/>
    <col min="9" max="9" width="15.5" customWidth="1"/>
    <col min="10" max="10" width="10" customWidth="1"/>
    <col min="11" max="12" width="12.6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NETWORKDAYS.INTL(TODAY(),EOMONTH(TODAY(),0),11)</f>
        <v>14</v>
      </c>
      <c r="D3" s="79" t="s">
        <v>104</v>
      </c>
      <c r="E3" s="80">
        <f ca="1">DAY(EOMONTH(TODAY(),0))</f>
        <v>30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">
      <c r="B17" s="74" t="s">
        <v>118</v>
      </c>
      <c r="C17" s="15">
        <v>314350697.279998</v>
      </c>
      <c r="D17" s="15">
        <v>42787524.299999997</v>
      </c>
      <c r="E17" s="15" t="s">
        <v>168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">
      <c r="B22" s="74" t="s">
        <v>172</v>
      </c>
      <c r="C22" s="15">
        <v>197567845.80000001</v>
      </c>
      <c r="D22" s="15" t="s">
        <v>168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">
      <c r="B23" s="74" t="s">
        <v>173</v>
      </c>
      <c r="C23" s="15">
        <v>300521523.82997501</v>
      </c>
      <c r="D23" s="15" t="s">
        <v>168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">
      <c r="C28" s="15"/>
      <c r="D28" s="15"/>
      <c r="E28" s="15"/>
      <c r="F28" s="15"/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291427595.82048202</v>
      </c>
      <c r="G32" s="116"/>
      <c r="H32" s="116"/>
      <c r="I32" s="116"/>
    </row>
    <row r="33" spans="2:14" x14ac:dyDescent="0.2">
      <c r="B33" s="84" t="s">
        <v>133</v>
      </c>
      <c r="C33" s="15">
        <v>436148035.92440403</v>
      </c>
      <c r="G33" s="116"/>
      <c r="H33" s="116"/>
      <c r="I33" s="116"/>
    </row>
    <row r="34" spans="2:14" x14ac:dyDescent="0.2">
      <c r="B34" s="84" t="s">
        <v>134</v>
      </c>
      <c r="C34" s="15">
        <v>135628039.89320499</v>
      </c>
      <c r="G34" s="116"/>
      <c r="H34" s="116"/>
      <c r="I34" s="116"/>
    </row>
    <row r="35" spans="2:14" x14ac:dyDescent="0.2">
      <c r="B35" s="84" t="s">
        <v>135</v>
      </c>
      <c r="C35" s="15">
        <v>513829145.026452</v>
      </c>
      <c r="G35" s="116"/>
      <c r="H35" s="116"/>
      <c r="I35" s="116"/>
    </row>
    <row r="36" spans="2:14" x14ac:dyDescent="0.2">
      <c r="B36" s="84" t="s">
        <v>136</v>
      </c>
      <c r="C36" s="15">
        <v>296173392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4" customHeight="1" x14ac:dyDescent="0.2">
      <c r="B41" s="244" t="s">
        <v>183</v>
      </c>
      <c r="C41" s="245"/>
      <c r="D41" s="246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" customHeight="1" x14ac:dyDescent="0.2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45199577.157971926</v>
      </c>
      <c r="I43" s="116"/>
    </row>
    <row r="44" spans="2:14" ht="20" customHeight="1" x14ac:dyDescent="0.2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39684809.265477911</v>
      </c>
      <c r="I44" s="116"/>
    </row>
    <row r="45" spans="2:14" ht="20" customHeight="1" x14ac:dyDescent="0.2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7840893.9099794794</v>
      </c>
      <c r="I45" s="116"/>
    </row>
    <row r="46" spans="2:14" ht="18.75" customHeight="1" x14ac:dyDescent="0.2">
      <c r="B46" s="211" t="s">
        <v>146</v>
      </c>
      <c r="C46" s="212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92725280.333429322</v>
      </c>
      <c r="I46" s="116"/>
    </row>
    <row r="47" spans="2:14" x14ac:dyDescent="0.2">
      <c r="G47" s="116"/>
      <c r="H47" s="116"/>
      <c r="I47" s="116"/>
    </row>
    <row r="48" spans="2:14" ht="25.5" customHeight="1" x14ac:dyDescent="0.2">
      <c r="B48" s="208" t="s">
        <v>147</v>
      </c>
      <c r="C48" s="209"/>
      <c r="D48" s="209"/>
      <c r="E48" s="209"/>
      <c r="F48" s="209"/>
      <c r="G48" s="209"/>
      <c r="H48" s="209"/>
      <c r="I48" s="209"/>
      <c r="J48" s="210"/>
      <c r="K48" s="217"/>
      <c r="L48" s="218"/>
      <c r="M48" s="218"/>
      <c r="N48" s="219"/>
    </row>
    <row r="49" spans="2:14" ht="20" customHeight="1" x14ac:dyDescent="0.2">
      <c r="B49" s="213" t="s">
        <v>41</v>
      </c>
      <c r="C49" s="213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13" t="s">
        <v>140</v>
      </c>
      <c r="K49" s="132" t="s">
        <v>148</v>
      </c>
      <c r="L49" s="132"/>
      <c r="M49" s="132"/>
      <c r="N49" s="223" t="s">
        <v>149</v>
      </c>
    </row>
    <row r="50" spans="2:14" ht="22.5" customHeight="1" x14ac:dyDescent="0.2">
      <c r="B50" s="213"/>
      <c r="C50" s="21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3"/>
      <c r="K50" s="133" t="s">
        <v>143</v>
      </c>
      <c r="L50" s="133" t="s">
        <v>111</v>
      </c>
      <c r="M50" s="133" t="s">
        <v>146</v>
      </c>
      <c r="N50" s="223"/>
    </row>
    <row r="51" spans="2:14" ht="20" customHeight="1" x14ac:dyDescent="0.2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10853151.666183094</v>
      </c>
    </row>
    <row r="52" spans="2:14" ht="20" customHeight="1" x14ac:dyDescent="0.2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9710688.2133764289</v>
      </c>
    </row>
    <row r="53" spans="2:14" ht="20" customHeight="1" x14ac:dyDescent="0.2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3136101.5857142848</v>
      </c>
    </row>
    <row r="54" spans="2:14" ht="20" customHeight="1" x14ac:dyDescent="0.2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-2882050.5347162229</v>
      </c>
    </row>
    <row r="55" spans="2:14" ht="20" customHeight="1" x14ac:dyDescent="0.2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9342455.5436804388</v>
      </c>
    </row>
    <row r="56" spans="2:14" ht="20" customHeight="1" x14ac:dyDescent="0.2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5763393.1753531182</v>
      </c>
    </row>
    <row r="57" spans="2:14" ht="20" customHeight="1" x14ac:dyDescent="0.2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-1794081.1191956827</v>
      </c>
    </row>
    <row r="58" spans="2:14" ht="20" customHeight="1" x14ac:dyDescent="0.2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7915316.3025207175</v>
      </c>
    </row>
    <row r="59" spans="2:14" ht="20" customHeight="1" x14ac:dyDescent="0.2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7400867.1550017847</v>
      </c>
    </row>
    <row r="60" spans="2:14" ht="20" customHeight="1" x14ac:dyDescent="0.2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5400853.404091456</v>
      </c>
    </row>
    <row r="61" spans="2:14" ht="20" customHeight="1" x14ac:dyDescent="0.2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12659725.528991302</v>
      </c>
    </row>
    <row r="62" spans="2:14" ht="20" customHeight="1" x14ac:dyDescent="0.2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8455309.1544409189</v>
      </c>
    </row>
    <row r="63" spans="2:14" ht="20" customHeight="1" x14ac:dyDescent="0.2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2471834.4973568148</v>
      </c>
    </row>
    <row r="64" spans="2:14" ht="20" customHeight="1" x14ac:dyDescent="0.2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6450821.850651456</v>
      </c>
    </row>
    <row r="65" spans="2:14" ht="20" customHeight="1" x14ac:dyDescent="0.2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84884386.423449904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8.75" customHeight="1" x14ac:dyDescent="0.2">
      <c r="B68" s="213" t="s">
        <v>41</v>
      </c>
      <c r="C68" s="213" t="s">
        <v>42</v>
      </c>
      <c r="D68" s="134" t="s">
        <v>139</v>
      </c>
    </row>
    <row r="69" spans="2:14" ht="18" customHeight="1" x14ac:dyDescent="0.2">
      <c r="B69" s="213"/>
      <c r="C69" s="213"/>
      <c r="D69" s="71" t="s">
        <v>171</v>
      </c>
    </row>
    <row r="70" spans="2:14" ht="20" customHeight="1" x14ac:dyDescent="0.2">
      <c r="B70" s="201" t="s">
        <v>67</v>
      </c>
      <c r="C70" s="202" t="s">
        <v>68</v>
      </c>
      <c r="D70" s="191">
        <f>IF(E24="",0,E24)</f>
        <v>126214286.45999999</v>
      </c>
    </row>
    <row r="71" spans="2:14" ht="20" customHeight="1" x14ac:dyDescent="0.2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" customHeight="1" x14ac:dyDescent="0.2">
      <c r="B72" s="201" t="s">
        <v>175</v>
      </c>
      <c r="C72" s="202" t="s">
        <v>176</v>
      </c>
      <c r="D72" s="192">
        <f>IF(E22="",0,E22)</f>
        <v>12832432.08</v>
      </c>
    </row>
    <row r="73" spans="2:14" ht="20" customHeight="1" x14ac:dyDescent="0.2">
      <c r="B73" s="201" t="s">
        <v>71</v>
      </c>
      <c r="C73" s="202" t="s">
        <v>72</v>
      </c>
      <c r="D73" s="191">
        <f>IF(E14="",0,E14)</f>
        <v>260324322.93000001</v>
      </c>
    </row>
    <row r="74" spans="2:14" ht="20" customHeight="1" x14ac:dyDescent="0.2">
      <c r="B74" s="201" t="s">
        <v>73</v>
      </c>
      <c r="C74" s="202" t="s">
        <v>74</v>
      </c>
      <c r="D74" s="192">
        <f>0</f>
        <v>0</v>
      </c>
    </row>
    <row r="75" spans="2:14" ht="20" customHeight="1" x14ac:dyDescent="0.2">
      <c r="B75" s="201" t="s">
        <v>75</v>
      </c>
      <c r="C75" s="202" t="s">
        <v>74</v>
      </c>
      <c r="D75" s="192">
        <f>IF(E16="",0,E16)</f>
        <v>14439639.5</v>
      </c>
    </row>
    <row r="76" spans="2:14" ht="20" customHeight="1" x14ac:dyDescent="0.2">
      <c r="B76" s="201" t="s">
        <v>76</v>
      </c>
      <c r="C76" s="202" t="s">
        <v>77</v>
      </c>
      <c r="D76" s="192">
        <f>IF(E19="",0,E19)</f>
        <v>709237967.049927</v>
      </c>
    </row>
    <row r="77" spans="2:14" ht="20" customHeight="1" x14ac:dyDescent="0.2">
      <c r="B77" s="201" t="s">
        <v>78</v>
      </c>
      <c r="C77" s="202" t="s">
        <v>79</v>
      </c>
      <c r="D77" s="191">
        <f>IF(E25="",0,E25)</f>
        <v>247976756.949745</v>
      </c>
    </row>
    <row r="78" spans="2:14" ht="20" customHeight="1" x14ac:dyDescent="0.2">
      <c r="B78" s="201" t="s">
        <v>175</v>
      </c>
      <c r="C78" s="202" t="s">
        <v>177</v>
      </c>
      <c r="D78" s="192">
        <f>IF(E23="",0,E23)</f>
        <v>13813693.32</v>
      </c>
    </row>
    <row r="79" spans="2:14" ht="20" customHeight="1" x14ac:dyDescent="0.2">
      <c r="B79" s="201" t="s">
        <v>80</v>
      </c>
      <c r="C79" s="202" t="s">
        <v>81</v>
      </c>
      <c r="D79" s="192">
        <f>IF(E11="",0,E11)</f>
        <v>40868468.799999997</v>
      </c>
    </row>
    <row r="80" spans="2:14" ht="20" customHeight="1" x14ac:dyDescent="0.2">
      <c r="B80" s="201" t="s">
        <v>82</v>
      </c>
      <c r="C80" s="202" t="s">
        <v>83</v>
      </c>
      <c r="D80" s="191">
        <f>IF(E26="",0,E26)</f>
        <v>469103962.04973102</v>
      </c>
    </row>
    <row r="81" spans="2:9" ht="20" customHeight="1" x14ac:dyDescent="0.2">
      <c r="B81" s="201" t="s">
        <v>84</v>
      </c>
      <c r="C81" s="202" t="s">
        <v>85</v>
      </c>
      <c r="D81" s="192">
        <f>IF(E10="",0,E10)</f>
        <v>162788612.639999</v>
      </c>
    </row>
    <row r="82" spans="2:9" ht="20" customHeight="1" x14ac:dyDescent="0.2">
      <c r="B82" s="201" t="s">
        <v>86</v>
      </c>
      <c r="C82" s="202" t="s">
        <v>87</v>
      </c>
      <c r="D82" s="192">
        <f>IF(E27="",0,E27)</f>
        <v>19182702.936000001</v>
      </c>
    </row>
    <row r="83" spans="2:9" ht="20" customHeight="1" x14ac:dyDescent="0.2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" customHeight="1" x14ac:dyDescent="0.2">
      <c r="B84" s="57" t="s">
        <v>152</v>
      </c>
      <c r="C84" s="58"/>
      <c r="D84" s="129">
        <f>SUM(D70:D83)</f>
        <v>2253342303.9954014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14" t="s">
        <v>145</v>
      </c>
      <c r="C87" s="215"/>
      <c r="D87" s="215"/>
      <c r="E87" s="215"/>
      <c r="F87" s="216"/>
      <c r="G87" s="124"/>
      <c r="H87" s="124"/>
      <c r="I87" s="116"/>
    </row>
    <row r="88" spans="2:9" ht="18" customHeight="1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" customHeight="1" x14ac:dyDescent="0.2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-954498.42259089008</v>
      </c>
      <c r="I89" s="116"/>
    </row>
    <row r="90" spans="2:9" ht="20" customHeight="1" x14ac:dyDescent="0.2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-1323534.4812773168</v>
      </c>
      <c r="I90" s="116"/>
    </row>
    <row r="91" spans="2:9" ht="20" customHeight="1" x14ac:dyDescent="0.2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10118926.813847695</v>
      </c>
      <c r="I91" s="116"/>
    </row>
    <row r="92" spans="2:9" ht="20" hidden="1" customHeight="1" x14ac:dyDescent="0.2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" hidden="1" customHeight="1" x14ac:dyDescent="0.2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" customHeight="1" x14ac:dyDescent="0.2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7840893.9099794878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N94"/>
  <sheetViews>
    <sheetView showGridLines="0" tabSelected="1" topLeftCell="A73" zoomScaleNormal="100" workbookViewId="0">
      <selection activeCell="E37" sqref="E37"/>
    </sheetView>
  </sheetViews>
  <sheetFormatPr baseColWidth="10" defaultColWidth="8.6640625" defaultRowHeight="15" x14ac:dyDescent="0.2"/>
  <cols>
    <col min="1" max="1" width="2" customWidth="1"/>
    <col min="2" max="2" width="45.33203125" customWidth="1"/>
    <col min="3" max="3" width="13.6640625" bestFit="1" customWidth="1"/>
    <col min="4" max="4" width="18.33203125" customWidth="1"/>
    <col min="5" max="5" width="15.33203125" customWidth="1"/>
    <col min="6" max="6" width="15.1640625" bestFit="1" customWidth="1"/>
    <col min="7" max="7" width="14.6640625" customWidth="1"/>
    <col min="8" max="8" width="15.5" customWidth="1"/>
    <col min="9" max="9" width="14.83203125" customWidth="1"/>
    <col min="10" max="10" width="9.33203125" customWidth="1"/>
    <col min="11" max="11" width="8.1640625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MAX(0,NETWORKDAYS.INTL(MAX(TODAY(),DATE(YEAR(TODAY()),6,1)),EOMONTH(DATE(YEAR(TODAY()),6,1),0),11))</f>
        <v>14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206184756.18072101</v>
      </c>
      <c r="N8" s="11">
        <f>D24</f>
        <v>35096691.328971997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296101307.21049404</v>
      </c>
      <c r="N9" s="11">
        <f>D12+D13</f>
        <v>83156823.687862009</v>
      </c>
    </row>
    <row r="10" spans="2:14" x14ac:dyDescent="0.2">
      <c r="B10" s="74" t="s">
        <v>113</v>
      </c>
      <c r="C10" s="15">
        <v>161262313.81243399</v>
      </c>
      <c r="D10" s="15">
        <v>24943450.952498998</v>
      </c>
      <c r="E10" s="15">
        <v>89609403.25</v>
      </c>
      <c r="F10" s="15">
        <v>275815168.01493299</v>
      </c>
      <c r="H10" s="116"/>
      <c r="I10" s="116"/>
      <c r="J10" s="116"/>
      <c r="M10" s="11">
        <f>C14</f>
        <v>549726610.54037702</v>
      </c>
      <c r="N10" s="11">
        <f>D14</f>
        <v>16028568.075153001</v>
      </c>
    </row>
    <row r="11" spans="2:14" x14ac:dyDescent="0.2">
      <c r="B11" s="74" t="s">
        <v>114</v>
      </c>
      <c r="C11" s="15">
        <v>215869166.06197</v>
      </c>
      <c r="D11" s="15">
        <v>50582296.000247002</v>
      </c>
      <c r="E11" s="15">
        <v>2360360.36</v>
      </c>
      <c r="F11" s="15">
        <v>268811822.42221701</v>
      </c>
      <c r="H11" s="116"/>
      <c r="I11" s="116"/>
      <c r="J11" s="116"/>
      <c r="M11" s="11">
        <f>C17</f>
        <v>173290539.23971999</v>
      </c>
      <c r="N11" s="11">
        <f>D17</f>
        <v>46234425.210000001</v>
      </c>
    </row>
    <row r="12" spans="2:14" x14ac:dyDescent="0.2">
      <c r="B12" s="74" t="s">
        <v>70</v>
      </c>
      <c r="C12" s="15">
        <v>149549442.19250301</v>
      </c>
      <c r="D12" s="15">
        <v>50239797.278047003</v>
      </c>
      <c r="E12" s="15">
        <v>29807864.199999999</v>
      </c>
      <c r="F12" s="15">
        <v>229597103.67054999</v>
      </c>
      <c r="H12" s="116"/>
      <c r="I12" s="116"/>
      <c r="J12" s="116"/>
      <c r="M12" s="11">
        <f>C16</f>
        <v>281124971.126176</v>
      </c>
      <c r="N12" s="11">
        <f>D16</f>
        <v>52560447.290808998</v>
      </c>
    </row>
    <row r="13" spans="2:14" x14ac:dyDescent="0.2">
      <c r="B13" s="74" t="s">
        <v>115</v>
      </c>
      <c r="C13" s="15">
        <v>146551865.01799101</v>
      </c>
      <c r="D13" s="15">
        <v>32917026.409814999</v>
      </c>
      <c r="E13" s="15">
        <v>16832589.800000001</v>
      </c>
      <c r="F13" s="15">
        <v>196301481.227806</v>
      </c>
      <c r="H13" s="116"/>
      <c r="I13" s="116"/>
      <c r="J13" s="116"/>
      <c r="M13" s="11">
        <f>C19</f>
        <v>543082651.28237295</v>
      </c>
      <c r="N13" s="11">
        <f>D19</f>
        <v>42792947.329939</v>
      </c>
    </row>
    <row r="14" spans="2:14" x14ac:dyDescent="0.2">
      <c r="B14" s="74" t="s">
        <v>116</v>
      </c>
      <c r="C14" s="15">
        <v>549726610.54037702</v>
      </c>
      <c r="D14" s="15">
        <v>16028568.075153001</v>
      </c>
      <c r="E14" s="15">
        <v>138225495.77000001</v>
      </c>
      <c r="F14" s="15">
        <v>703980674.38552999</v>
      </c>
      <c r="H14" s="116"/>
      <c r="I14" s="116"/>
      <c r="J14" s="116"/>
      <c r="M14" s="11">
        <f>C25</f>
        <v>261878175.58879301</v>
      </c>
      <c r="N14" s="11">
        <f>D25</f>
        <v>33892692.939971998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215869166.06197</v>
      </c>
      <c r="N15" s="11">
        <f>D11</f>
        <v>50582296.000247002</v>
      </c>
    </row>
    <row r="16" spans="2:14" x14ac:dyDescent="0.2">
      <c r="B16" s="74" t="s">
        <v>74</v>
      </c>
      <c r="C16" s="15">
        <v>281124971.126176</v>
      </c>
      <c r="D16" s="15">
        <v>52560447.290808998</v>
      </c>
      <c r="E16" s="15">
        <v>22882161.899999999</v>
      </c>
      <c r="F16" s="15">
        <v>356567580.31698501</v>
      </c>
      <c r="H16" s="116"/>
      <c r="I16" s="116"/>
      <c r="J16" s="116"/>
      <c r="M16" s="11">
        <f>C26</f>
        <v>314184897.22241002</v>
      </c>
      <c r="N16" s="11">
        <f>D26</f>
        <v>27153940.735466</v>
      </c>
    </row>
    <row r="17" spans="2:14" x14ac:dyDescent="0.2">
      <c r="B17" s="74" t="s">
        <v>118</v>
      </c>
      <c r="C17" s="15">
        <v>173290539.23971999</v>
      </c>
      <c r="D17" s="15">
        <v>46234425.210000001</v>
      </c>
      <c r="E17" s="15" t="s">
        <v>168</v>
      </c>
      <c r="F17" s="15">
        <v>219524964.44972</v>
      </c>
      <c r="H17" s="116"/>
      <c r="I17" s="116"/>
      <c r="J17" s="116"/>
      <c r="M17" s="11">
        <f>C10</f>
        <v>161262313.81243399</v>
      </c>
      <c r="N17" s="11">
        <f>D10</f>
        <v>24943450.952498998</v>
      </c>
    </row>
    <row r="18" spans="2:14" x14ac:dyDescent="0.2">
      <c r="B18" s="74" t="s">
        <v>119</v>
      </c>
      <c r="C18" s="15">
        <v>272962870.33803397</v>
      </c>
      <c r="D18" s="15">
        <v>2025072.1099950001</v>
      </c>
      <c r="E18" s="15">
        <v>5689189.1200000001</v>
      </c>
      <c r="F18" s="15">
        <v>280677131.56802899</v>
      </c>
      <c r="H18" s="116"/>
      <c r="I18" s="116"/>
      <c r="J18" s="116"/>
      <c r="M18" s="11">
        <f>C27</f>
        <v>401593886.82781702</v>
      </c>
      <c r="N18" s="11">
        <f>D27</f>
        <v>50952055.171508998</v>
      </c>
    </row>
    <row r="19" spans="2:14" x14ac:dyDescent="0.2">
      <c r="B19" s="74" t="s">
        <v>121</v>
      </c>
      <c r="C19" s="15">
        <v>543082651.28237295</v>
      </c>
      <c r="D19" s="15">
        <v>42792947.329939</v>
      </c>
      <c r="E19" s="15">
        <v>914346866.62996995</v>
      </c>
      <c r="F19" s="15">
        <v>1500222465.2422819</v>
      </c>
      <c r="H19" s="116"/>
      <c r="I19" s="116"/>
      <c r="J19" s="116"/>
      <c r="M19" s="11">
        <f>C20+C21</f>
        <v>95787896.860800996</v>
      </c>
      <c r="N19" s="11">
        <f>D20+D21</f>
        <v>93353510.079093993</v>
      </c>
    </row>
    <row r="20" spans="2:14" x14ac:dyDescent="0.2">
      <c r="B20" s="74" t="s">
        <v>123</v>
      </c>
      <c r="C20" s="15">
        <v>70303906.860800996</v>
      </c>
      <c r="D20" s="15">
        <v>19557070.13978</v>
      </c>
      <c r="E20" s="15">
        <v>3048648.72</v>
      </c>
      <c r="F20" s="15">
        <v>92909625.720580995</v>
      </c>
      <c r="H20" s="116"/>
      <c r="I20" s="116"/>
      <c r="J20" s="116"/>
      <c r="M20" s="14">
        <f>IFERROR(C31,0)+IFERROR(C15,0)+IFERROR(C36,0)</f>
        <v>1661756.7999799999</v>
      </c>
      <c r="N20" s="10" t="s">
        <v>120</v>
      </c>
    </row>
    <row r="21" spans="2:14" x14ac:dyDescent="0.2">
      <c r="B21" s="74" t="s">
        <v>124</v>
      </c>
      <c r="C21" s="15">
        <v>25483990</v>
      </c>
      <c r="D21" s="15">
        <v>73796439.939313993</v>
      </c>
      <c r="E21" s="15">
        <v>16529730.039999999</v>
      </c>
      <c r="F21" s="15">
        <v>115810159.979314</v>
      </c>
      <c r="H21" s="116"/>
      <c r="I21" s="116"/>
      <c r="J21" s="116"/>
      <c r="M21" s="14">
        <f>IFERROR(C34,0)+IFERROR(C35,0)+M20</f>
        <v>548626523.25693297</v>
      </c>
      <c r="N21" s="10" t="s">
        <v>122</v>
      </c>
    </row>
    <row r="22" spans="2:14" x14ac:dyDescent="0.2">
      <c r="B22" s="74" t="s">
        <v>172</v>
      </c>
      <c r="C22" s="15">
        <v>97592395.5</v>
      </c>
      <c r="D22" s="15" t="s">
        <v>168</v>
      </c>
      <c r="E22" s="15">
        <v>4684684.5599999996</v>
      </c>
      <c r="F22" s="15">
        <v>102277080.06</v>
      </c>
      <c r="H22" s="116"/>
      <c r="I22" s="116"/>
      <c r="J22" s="116"/>
    </row>
    <row r="23" spans="2:14" x14ac:dyDescent="0.2">
      <c r="B23" s="74" t="s">
        <v>173</v>
      </c>
      <c r="C23" s="15">
        <v>241954678.63999999</v>
      </c>
      <c r="D23" s="15" t="s">
        <v>168</v>
      </c>
      <c r="E23" s="15">
        <v>8102071.8600000003</v>
      </c>
      <c r="F23" s="15">
        <v>250056750.5</v>
      </c>
      <c r="H23" s="116"/>
      <c r="I23" s="116"/>
      <c r="J23" s="116"/>
    </row>
    <row r="24" spans="2:14" x14ac:dyDescent="0.2">
      <c r="B24" s="74" t="s">
        <v>125</v>
      </c>
      <c r="C24" s="15">
        <v>206184756.18072101</v>
      </c>
      <c r="D24" s="15">
        <v>35096691.328971997</v>
      </c>
      <c r="E24" s="15">
        <v>271080095.09987003</v>
      </c>
      <c r="F24" s="15">
        <v>512361542.60956299</v>
      </c>
      <c r="H24" s="116"/>
      <c r="I24" s="116"/>
      <c r="J24" s="116"/>
    </row>
    <row r="25" spans="2:14" x14ac:dyDescent="0.2">
      <c r="B25" s="74" t="s">
        <v>126</v>
      </c>
      <c r="C25" s="15">
        <v>261878175.58879301</v>
      </c>
      <c r="D25" s="15">
        <v>33892692.939971998</v>
      </c>
      <c r="E25" s="15">
        <v>143623831.21963</v>
      </c>
      <c r="F25" s="15">
        <v>439394699.74839503</v>
      </c>
      <c r="H25" s="116"/>
      <c r="I25" s="116"/>
      <c r="J25" s="116"/>
    </row>
    <row r="26" spans="2:14" x14ac:dyDescent="0.2">
      <c r="B26" s="74" t="s">
        <v>127</v>
      </c>
      <c r="C26" s="15">
        <v>314184897.22241002</v>
      </c>
      <c r="D26" s="15">
        <v>27153940.735466</v>
      </c>
      <c r="E26" s="15">
        <v>343007483.14965802</v>
      </c>
      <c r="F26" s="15">
        <v>684346321.10753405</v>
      </c>
      <c r="H26" s="116"/>
      <c r="I26" s="116"/>
      <c r="J26" s="116"/>
    </row>
    <row r="27" spans="2:14" x14ac:dyDescent="0.2">
      <c r="B27" s="74" t="s">
        <v>128</v>
      </c>
      <c r="C27" s="15">
        <v>401593886.82781702</v>
      </c>
      <c r="D27" s="15">
        <v>50952055.171508998</v>
      </c>
      <c r="E27" s="15">
        <v>5677297.4550000001</v>
      </c>
      <c r="F27" s="15">
        <v>458223239.45432597</v>
      </c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4" t="s">
        <v>168</v>
      </c>
      <c r="C31" s="15">
        <v>1250756.7999799999</v>
      </c>
      <c r="G31" s="116"/>
      <c r="H31" s="116"/>
      <c r="I31" s="116"/>
    </row>
    <row r="32" spans="2:14" x14ac:dyDescent="0.2">
      <c r="B32" s="74" t="s">
        <v>132</v>
      </c>
      <c r="C32" s="15">
        <v>98391165.859366</v>
      </c>
      <c r="G32" s="116"/>
      <c r="H32" s="116"/>
      <c r="I32" s="116"/>
    </row>
    <row r="33" spans="2:14" x14ac:dyDescent="0.2">
      <c r="B33" s="74" t="s">
        <v>133</v>
      </c>
      <c r="C33" s="15">
        <v>167506691.180985</v>
      </c>
      <c r="G33" s="116"/>
      <c r="H33" s="116"/>
      <c r="I33" s="116"/>
    </row>
    <row r="34" spans="2:14" x14ac:dyDescent="0.2">
      <c r="B34" s="74" t="s">
        <v>134</v>
      </c>
      <c r="C34" s="15">
        <v>95460954.966034994</v>
      </c>
      <c r="G34" s="116"/>
      <c r="H34" s="116"/>
      <c r="I34" s="116"/>
    </row>
    <row r="35" spans="2:14" x14ac:dyDescent="0.2">
      <c r="B35" s="74" t="s">
        <v>135</v>
      </c>
      <c r="C35" s="15">
        <v>451503811.49091798</v>
      </c>
      <c r="G35" s="116"/>
      <c r="H35" s="116"/>
      <c r="I35" s="116"/>
    </row>
    <row r="36" spans="2:14" x14ac:dyDescent="0.2">
      <c r="B36" s="74" t="s">
        <v>136</v>
      </c>
      <c r="C36" s="15">
        <v>411000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4" customHeight="1" x14ac:dyDescent="0.2">
      <c r="B41" s="205" t="s">
        <v>184</v>
      </c>
      <c r="C41" s="206"/>
      <c r="D41" s="207"/>
      <c r="E41" s="67" t="s">
        <v>138</v>
      </c>
      <c r="F41" s="73">
        <f ca="1">IF(MONTH(TODAY())=6,DAY(TODAY())/DAY(EOMONTH(TODAY(),0)),IF(MONTH(TODAY())&gt;6,1,0))</f>
        <v>0.5</v>
      </c>
      <c r="G41" s="117"/>
      <c r="H41" s="117"/>
      <c r="I41" s="116"/>
    </row>
    <row r="42" spans="2:14" ht="18" customHeight="1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" customHeight="1" x14ac:dyDescent="0.2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3839634246.0940862</v>
      </c>
      <c r="F43" s="44">
        <f>IFERROR(E43/D43,0)</f>
        <v>0.52892774482012261</v>
      </c>
      <c r="G43" s="118">
        <f>D43-E43</f>
        <v>3419645085.9059138</v>
      </c>
      <c r="H43" s="118">
        <f ca="1">IFERROR(G43/C3,0)</f>
        <v>244260363.27899384</v>
      </c>
      <c r="I43" s="116"/>
    </row>
    <row r="44" spans="2:14" ht="20" customHeight="1" x14ac:dyDescent="0.2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556747848.80152202</v>
      </c>
      <c r="F44" s="44">
        <f>IFERROR(E44/D44,0)</f>
        <v>0.3076932343963531</v>
      </c>
      <c r="G44" s="118">
        <f>D44-E44</f>
        <v>1252677210.198478</v>
      </c>
      <c r="H44" s="118">
        <f ca="1">IFERROR(G44/C3,0)</f>
        <v>89476943.585605577</v>
      </c>
      <c r="I44" s="116"/>
    </row>
    <row r="45" spans="2:14" ht="20" customHeight="1" x14ac:dyDescent="0.2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814524380.29728401</v>
      </c>
      <c r="F45" s="44">
        <f>IFERROR(E45/D45,0)</f>
        <v>0.44488838896470939</v>
      </c>
      <c r="G45" s="118">
        <f>D45-E45</f>
        <v>1016326683.702716</v>
      </c>
      <c r="H45" s="118">
        <f ca="1">IFERROR(G45/C3,0)</f>
        <v>72594763.121622577</v>
      </c>
      <c r="I45" s="116"/>
    </row>
    <row r="46" spans="2:14" ht="18.75" customHeight="1" x14ac:dyDescent="0.2">
      <c r="B46" s="211" t="s">
        <v>146</v>
      </c>
      <c r="C46" s="212"/>
      <c r="D46" s="47">
        <f>D43+D44+D45</f>
        <v>10899555455</v>
      </c>
      <c r="E46" s="47">
        <f>E43+E44+E45</f>
        <v>5210906475.1928921</v>
      </c>
      <c r="F46" s="43">
        <f>IFERROR(E46/D46,0)</f>
        <v>0.47808431240216043</v>
      </c>
      <c r="G46" s="119">
        <f>G43+G44+G45</f>
        <v>5688648979.8071079</v>
      </c>
      <c r="H46" s="119">
        <f ca="1">IFERROR(G46/C3,0)</f>
        <v>406332069.98622197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08" t="s">
        <v>147</v>
      </c>
      <c r="C48" s="209"/>
      <c r="D48" s="209"/>
      <c r="E48" s="209"/>
      <c r="F48" s="209"/>
      <c r="G48" s="209"/>
      <c r="H48" s="209"/>
      <c r="I48" s="209"/>
      <c r="J48" s="210"/>
      <c r="K48" s="217"/>
      <c r="L48" s="218"/>
      <c r="M48" s="218"/>
      <c r="N48" s="219"/>
    </row>
    <row r="49" spans="2:14" ht="21.75" customHeight="1" x14ac:dyDescent="0.2">
      <c r="B49" s="213" t="s">
        <v>41</v>
      </c>
      <c r="C49" s="213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13" t="s">
        <v>140</v>
      </c>
      <c r="K49" s="132" t="s">
        <v>148</v>
      </c>
      <c r="L49" s="132"/>
      <c r="M49" s="132"/>
      <c r="N49" s="223" t="s">
        <v>149</v>
      </c>
    </row>
    <row r="50" spans="2:14" ht="19.5" customHeight="1" x14ac:dyDescent="0.2">
      <c r="B50" s="213"/>
      <c r="C50" s="21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3"/>
      <c r="K50" s="133" t="s">
        <v>143</v>
      </c>
      <c r="L50" s="133" t="s">
        <v>111</v>
      </c>
      <c r="M50" s="133" t="s">
        <v>146</v>
      </c>
      <c r="N50" s="223"/>
    </row>
    <row r="51" spans="2:14" ht="20" customHeight="1" x14ac:dyDescent="0.2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206184756.18072101</v>
      </c>
      <c r="H51" s="122">
        <f>N8</f>
        <v>35096691.328971997</v>
      </c>
      <c r="I51" s="122">
        <f t="shared" ref="I51:I64" si="1">G51+H51</f>
        <v>241281447.50969303</v>
      </c>
      <c r="J51" s="61">
        <f t="shared" ref="J51:J64" si="2">IFERROR(I51/F51,0)</f>
        <v>0.43590855997253991</v>
      </c>
      <c r="K51" s="51">
        <f t="shared" ref="K51:M64" si="3">D51-G51</f>
        <v>245498721.81927899</v>
      </c>
      <c r="L51" s="51">
        <f t="shared" si="3"/>
        <v>66733731.671028003</v>
      </c>
      <c r="M51" s="51">
        <f t="shared" si="3"/>
        <v>312232453.49030697</v>
      </c>
      <c r="N51" s="51">
        <f ca="1">IFERROR(M51/C3,0)</f>
        <v>22302318.106450498</v>
      </c>
    </row>
    <row r="52" spans="2:14" ht="20" customHeight="1" x14ac:dyDescent="0.2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296101307.21049404</v>
      </c>
      <c r="H52" s="122">
        <f>N9</f>
        <v>83156823.687862009</v>
      </c>
      <c r="I52" s="122">
        <f t="shared" si="1"/>
        <v>379258130.89835608</v>
      </c>
      <c r="J52" s="61">
        <f t="shared" si="2"/>
        <v>0.46518234461777491</v>
      </c>
      <c r="K52" s="54">
        <f t="shared" si="3"/>
        <v>294081063.78950596</v>
      </c>
      <c r="L52" s="54">
        <f t="shared" si="3"/>
        <v>141949982.31213799</v>
      </c>
      <c r="M52" s="54">
        <f t="shared" si="3"/>
        <v>436031046.10164392</v>
      </c>
      <c r="N52" s="54">
        <f ca="1">IFERROR(M52/C3,0)</f>
        <v>31145074.721545994</v>
      </c>
    </row>
    <row r="53" spans="2:14" ht="20" customHeight="1" x14ac:dyDescent="0.2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97592395.5</v>
      </c>
      <c r="H53" s="122">
        <f>IF(D22="",0,D22)</f>
        <v>0</v>
      </c>
      <c r="I53" s="122">
        <f>G53+H53</f>
        <v>97592395.5</v>
      </c>
      <c r="J53" s="61">
        <f>IFERROR(I53/F53,0)</f>
        <v>0.40415403455756438</v>
      </c>
      <c r="K53" s="54">
        <f>D53-G53</f>
        <v>143880872.5</v>
      </c>
      <c r="L53" s="54">
        <f>E53-H53</f>
        <v>0</v>
      </c>
      <c r="M53" s="54">
        <f>F53-I53</f>
        <v>143880872.5</v>
      </c>
      <c r="N53" s="54">
        <f ca="1">IFERROR(M53/C3,0)</f>
        <v>10277205.178571429</v>
      </c>
    </row>
    <row r="54" spans="2:14" ht="20" customHeight="1" x14ac:dyDescent="0.2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549726610.54037702</v>
      </c>
      <c r="H54" s="122">
        <f t="shared" ref="H54:H58" si="4">N10</f>
        <v>16028568.075153001</v>
      </c>
      <c r="I54" s="122">
        <f t="shared" si="1"/>
        <v>565755178.61553001</v>
      </c>
      <c r="J54" s="61">
        <f t="shared" si="2"/>
        <v>0.77911149604608843</v>
      </c>
      <c r="K54" s="54">
        <f>D54-G54</f>
        <v>95985861.459622979</v>
      </c>
      <c r="L54" s="54">
        <f t="shared" si="3"/>
        <v>64413279.924846999</v>
      </c>
      <c r="M54" s="54">
        <f t="shared" si="3"/>
        <v>160399141.38446999</v>
      </c>
      <c r="N54" s="54">
        <f ca="1">IFERROR(M54/C3,0)</f>
        <v>11457081.527462142</v>
      </c>
    </row>
    <row r="55" spans="2:14" ht="20" customHeight="1" x14ac:dyDescent="0.2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173290539.23971999</v>
      </c>
      <c r="H55" s="122">
        <f t="shared" si="4"/>
        <v>46234425.210000001</v>
      </c>
      <c r="I55" s="122">
        <f t="shared" si="1"/>
        <v>219524964.44972</v>
      </c>
      <c r="J55" s="61">
        <f t="shared" si="2"/>
        <v>0.37243081809460354</v>
      </c>
      <c r="K55" s="54">
        <f t="shared" si="3"/>
        <v>335628292.76028001</v>
      </c>
      <c r="L55" s="54">
        <f t="shared" si="3"/>
        <v>34284978.789999999</v>
      </c>
      <c r="M55" s="54">
        <f t="shared" si="3"/>
        <v>369913271.55027997</v>
      </c>
      <c r="N55" s="54">
        <f ca="1">IFERROR(M55/C3,0)</f>
        <v>26422376.539305713</v>
      </c>
    </row>
    <row r="56" spans="2:14" ht="20" customHeight="1" x14ac:dyDescent="0.2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281124971.126176</v>
      </c>
      <c r="H56" s="122">
        <f t="shared" si="4"/>
        <v>52560447.290808998</v>
      </c>
      <c r="I56" s="122">
        <f t="shared" si="1"/>
        <v>333685418.41698498</v>
      </c>
      <c r="J56" s="61">
        <f t="shared" si="2"/>
        <v>0.63898384042462864</v>
      </c>
      <c r="K56" s="54">
        <f t="shared" si="3"/>
        <v>158938312.873824</v>
      </c>
      <c r="L56" s="54">
        <f t="shared" si="3"/>
        <v>29588877.709191002</v>
      </c>
      <c r="M56" s="54">
        <f t="shared" si="3"/>
        <v>188527190.58301502</v>
      </c>
      <c r="N56" s="54">
        <f ca="1">IFERROR(M56/C3,0)</f>
        <v>13466227.898786787</v>
      </c>
    </row>
    <row r="57" spans="2:14" ht="20" customHeight="1" x14ac:dyDescent="0.2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543082651.28237295</v>
      </c>
      <c r="H57" s="122">
        <f t="shared" si="4"/>
        <v>42792947.329939</v>
      </c>
      <c r="I57" s="122">
        <f t="shared" si="1"/>
        <v>585875598.61231196</v>
      </c>
      <c r="J57" s="61">
        <f t="shared" si="2"/>
        <v>0.52205586503639245</v>
      </c>
      <c r="K57" s="54">
        <f t="shared" si="3"/>
        <v>453675693.71762705</v>
      </c>
      <c r="L57" s="54">
        <f t="shared" si="3"/>
        <v>82695650.670060992</v>
      </c>
      <c r="M57" s="54">
        <f t="shared" si="3"/>
        <v>536371344.38768804</v>
      </c>
      <c r="N57" s="54">
        <f ca="1">IFERROR(M57/C3,0)</f>
        <v>38312238.884834863</v>
      </c>
    </row>
    <row r="58" spans="2:14" ht="20" customHeight="1" x14ac:dyDescent="0.2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261878175.58879301</v>
      </c>
      <c r="H58" s="122">
        <f t="shared" si="4"/>
        <v>33892692.939971998</v>
      </c>
      <c r="I58" s="122">
        <f>G58+H58</f>
        <v>295770868.52876502</v>
      </c>
      <c r="J58" s="61">
        <f>IFERROR(I58/F58,0)</f>
        <v>0.46386081470115786</v>
      </c>
      <c r="K58" s="54">
        <f t="shared" si="3"/>
        <v>278408883.41120696</v>
      </c>
      <c r="L58" s="54">
        <f t="shared" si="3"/>
        <v>63448733.060028002</v>
      </c>
      <c r="M58" s="54">
        <f t="shared" si="3"/>
        <v>341857616.47123498</v>
      </c>
      <c r="N58" s="54">
        <f ca="1">IFERROR(M58/C3,0)</f>
        <v>24418401.176516782</v>
      </c>
    </row>
    <row r="59" spans="2:14" ht="20" customHeight="1" x14ac:dyDescent="0.2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241954678.63999999</v>
      </c>
      <c r="H59" s="122">
        <f>IF(D23="",0,D23)</f>
        <v>0</v>
      </c>
      <c r="I59" s="122">
        <f>G59+H59</f>
        <v>241954678.63999999</v>
      </c>
      <c r="J59" s="61">
        <f>IFERROR(I59/F59,0)</f>
        <v>0.59869963874130516</v>
      </c>
      <c r="K59" s="54">
        <f>D59-G59</f>
        <v>162178985.36000001</v>
      </c>
      <c r="L59" s="54">
        <f>E59-H59</f>
        <v>0</v>
      </c>
      <c r="M59" s="54">
        <f>F59-I59</f>
        <v>162178985.36000001</v>
      </c>
      <c r="N59" s="54">
        <f ca="1">IFERROR(M59/C3,0)</f>
        <v>11584213.24</v>
      </c>
    </row>
    <row r="60" spans="2:14" ht="20" customHeight="1" x14ac:dyDescent="0.2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215869166.06197</v>
      </c>
      <c r="H60" s="122">
        <f t="shared" ref="H60:H64" si="5">N15</f>
        <v>50582296.000247002</v>
      </c>
      <c r="I60" s="122">
        <f t="shared" si="1"/>
        <v>266451462.062217</v>
      </c>
      <c r="J60" s="61">
        <f t="shared" si="2"/>
        <v>0.43606099699077178</v>
      </c>
      <c r="K60" s="54">
        <f t="shared" si="3"/>
        <v>223148142.93803</v>
      </c>
      <c r="L60" s="54">
        <f t="shared" si="3"/>
        <v>121442115.999753</v>
      </c>
      <c r="M60" s="54">
        <f t="shared" si="3"/>
        <v>344590258.937783</v>
      </c>
      <c r="N60" s="54">
        <f ca="1">IFERROR(M60/C3,0)</f>
        <v>24613589.924127359</v>
      </c>
    </row>
    <row r="61" spans="2:14" ht="20" customHeight="1" x14ac:dyDescent="0.2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314184897.22241002</v>
      </c>
      <c r="H61" s="122">
        <f t="shared" si="5"/>
        <v>27153940.735466</v>
      </c>
      <c r="I61" s="122">
        <f t="shared" si="1"/>
        <v>341338837.95787603</v>
      </c>
      <c r="J61" s="61">
        <f t="shared" si="2"/>
        <v>0.44976254746431582</v>
      </c>
      <c r="K61" s="54">
        <f t="shared" si="3"/>
        <v>352444698.77758998</v>
      </c>
      <c r="L61" s="54">
        <f t="shared" si="3"/>
        <v>65147681.264533997</v>
      </c>
      <c r="M61" s="54">
        <f t="shared" si="3"/>
        <v>417592380.04212397</v>
      </c>
      <c r="N61" s="54">
        <f ca="1">IFERROR(M61/C3,0)</f>
        <v>29828027.145865999</v>
      </c>
    </row>
    <row r="62" spans="2:14" ht="20" customHeight="1" x14ac:dyDescent="0.2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161262313.81243399</v>
      </c>
      <c r="H62" s="122">
        <f t="shared" si="5"/>
        <v>24943450.952498998</v>
      </c>
      <c r="I62" s="122">
        <f t="shared" si="1"/>
        <v>186205764.76493299</v>
      </c>
      <c r="J62" s="61">
        <f t="shared" si="2"/>
        <v>0.35886979389678664</v>
      </c>
      <c r="K62" s="54">
        <f t="shared" si="3"/>
        <v>260280709.18756601</v>
      </c>
      <c r="L62" s="54">
        <f t="shared" si="3"/>
        <v>72380725.047500998</v>
      </c>
      <c r="M62" s="54">
        <f t="shared" si="3"/>
        <v>332661434.23506701</v>
      </c>
      <c r="N62" s="54">
        <f ca="1">IFERROR(M62/C3,0)</f>
        <v>23761531.016790502</v>
      </c>
    </row>
    <row r="63" spans="2:14" ht="20" customHeight="1" x14ac:dyDescent="0.2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401593886.82781702</v>
      </c>
      <c r="H63" s="122">
        <f t="shared" si="5"/>
        <v>50952055.171508998</v>
      </c>
      <c r="I63" s="122">
        <f t="shared" si="1"/>
        <v>452545941.99932599</v>
      </c>
      <c r="J63" s="61">
        <f t="shared" si="2"/>
        <v>0.46097350197193915</v>
      </c>
      <c r="K63" s="54">
        <f t="shared" si="3"/>
        <v>216757055.17218298</v>
      </c>
      <c r="L63" s="54">
        <f t="shared" si="3"/>
        <v>312414910.82849097</v>
      </c>
      <c r="M63" s="54">
        <f t="shared" si="3"/>
        <v>529171966.00067401</v>
      </c>
      <c r="N63" s="54">
        <f ca="1">IFERROR(M63/C3,0)</f>
        <v>37797997.571476713</v>
      </c>
    </row>
    <row r="64" spans="2:14" ht="20" customHeight="1" x14ac:dyDescent="0.2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95787896.860800996</v>
      </c>
      <c r="H64" s="122">
        <f t="shared" si="5"/>
        <v>93353510.079093993</v>
      </c>
      <c r="I64" s="122">
        <f t="shared" si="1"/>
        <v>189141406.93989497</v>
      </c>
      <c r="J64" s="61">
        <f t="shared" si="2"/>
        <v>0.32273620644756856</v>
      </c>
      <c r="K64" s="54">
        <f t="shared" si="3"/>
        <v>198737792.13919902</v>
      </c>
      <c r="L64" s="54">
        <f t="shared" si="3"/>
        <v>198176542.92090601</v>
      </c>
      <c r="M64" s="54">
        <f t="shared" si="3"/>
        <v>396914335.06010503</v>
      </c>
      <c r="N64" s="54">
        <f ca="1">IFERROR(M64/C3,0)</f>
        <v>28351023.932864644</v>
      </c>
    </row>
    <row r="65" spans="2:14" ht="20" customHeight="1" x14ac:dyDescent="0.2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3839634246.0940862</v>
      </c>
      <c r="H65" s="152">
        <f>SUM(H51:H64)</f>
        <v>556747848.80152202</v>
      </c>
      <c r="I65" s="152">
        <f>SUM(I51:I64)</f>
        <v>4396382094.8956079</v>
      </c>
      <c r="J65" s="153">
        <f>IFERROR(I65/F65,0)</f>
        <v>0.48478612879461402</v>
      </c>
      <c r="K65" s="154">
        <f>SUM(K51:K64)</f>
        <v>3419645085.9059134</v>
      </c>
      <c r="L65" s="154">
        <f>SUM(L51:L64)</f>
        <v>1252677210.198478</v>
      </c>
      <c r="M65" s="154">
        <f>SUM(M51:M64)</f>
        <v>4672322296.1043921</v>
      </c>
      <c r="N65" s="154">
        <f ca="1">IFERROR(M65/C3,0)</f>
        <v>333737306.86459941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7" x14ac:dyDescent="0.2">
      <c r="B68" s="213" t="s">
        <v>41</v>
      </c>
      <c r="C68" s="213" t="s">
        <v>42</v>
      </c>
      <c r="D68" s="134" t="s">
        <v>139</v>
      </c>
    </row>
    <row r="69" spans="2:14" ht="17" x14ac:dyDescent="0.2">
      <c r="B69" s="213"/>
      <c r="C69" s="213"/>
      <c r="D69" s="71" t="s">
        <v>171</v>
      </c>
    </row>
    <row r="70" spans="2:14" ht="20" customHeight="1" x14ac:dyDescent="0.2">
      <c r="B70" s="50" t="s">
        <v>67</v>
      </c>
      <c r="C70" s="55" t="s">
        <v>68</v>
      </c>
      <c r="D70" s="191">
        <f>IF(E24="",0,E24)</f>
        <v>271080095.09987003</v>
      </c>
    </row>
    <row r="71" spans="2:14" ht="20" customHeight="1" x14ac:dyDescent="0.2">
      <c r="B71" s="53" t="s">
        <v>69</v>
      </c>
      <c r="C71" s="56" t="s">
        <v>70</v>
      </c>
      <c r="D71" s="192">
        <f>IF(E12="",0,E12)+IF(E13="",0,E13)</f>
        <v>46640454</v>
      </c>
    </row>
    <row r="72" spans="2:14" ht="20" customHeight="1" x14ac:dyDescent="0.2">
      <c r="B72" s="53" t="s">
        <v>175</v>
      </c>
      <c r="C72" s="56" t="s">
        <v>176</v>
      </c>
      <c r="D72" s="192">
        <f>IF(E22="",0,E22)</f>
        <v>4684684.5599999996</v>
      </c>
    </row>
    <row r="73" spans="2:14" ht="20" customHeight="1" x14ac:dyDescent="0.2">
      <c r="B73" s="50" t="s">
        <v>71</v>
      </c>
      <c r="C73" s="55" t="s">
        <v>72</v>
      </c>
      <c r="D73" s="191">
        <f>IF(E14="",0,E14)</f>
        <v>138225495.77000001</v>
      </c>
    </row>
    <row r="74" spans="2:14" ht="20" customHeight="1" x14ac:dyDescent="0.2">
      <c r="B74" s="53" t="s">
        <v>73</v>
      </c>
      <c r="C74" s="56" t="s">
        <v>74</v>
      </c>
      <c r="D74" s="192">
        <f>0</f>
        <v>0</v>
      </c>
    </row>
    <row r="75" spans="2:14" ht="20" customHeight="1" x14ac:dyDescent="0.2">
      <c r="B75" s="50" t="s">
        <v>75</v>
      </c>
      <c r="C75" s="55" t="s">
        <v>74</v>
      </c>
      <c r="D75" s="192">
        <f>IF(E16="",0,E16)</f>
        <v>22882161.899999999</v>
      </c>
    </row>
    <row r="76" spans="2:14" ht="20" customHeight="1" x14ac:dyDescent="0.2">
      <c r="B76" s="53" t="s">
        <v>76</v>
      </c>
      <c r="C76" s="56" t="s">
        <v>77</v>
      </c>
      <c r="D76" s="192">
        <f>IF(E19="",0,E19)</f>
        <v>914346866.62996995</v>
      </c>
    </row>
    <row r="77" spans="2:14" ht="20" customHeight="1" x14ac:dyDescent="0.2">
      <c r="B77" s="50" t="s">
        <v>78</v>
      </c>
      <c r="C77" s="55" t="s">
        <v>79</v>
      </c>
      <c r="D77" s="191">
        <f>IF(E25="",0,E25)</f>
        <v>143623831.21963</v>
      </c>
    </row>
    <row r="78" spans="2:14" ht="20" customHeight="1" x14ac:dyDescent="0.2">
      <c r="B78" s="53" t="s">
        <v>175</v>
      </c>
      <c r="C78" s="56" t="s">
        <v>177</v>
      </c>
      <c r="D78" s="192">
        <f>IF(E23="",0,E23)</f>
        <v>8102071.8600000003</v>
      </c>
    </row>
    <row r="79" spans="2:14" ht="20" customHeight="1" x14ac:dyDescent="0.2">
      <c r="B79" s="53" t="s">
        <v>80</v>
      </c>
      <c r="C79" s="56" t="s">
        <v>81</v>
      </c>
      <c r="D79" s="192">
        <f>IF(E11="",0,E11)</f>
        <v>2360360.36</v>
      </c>
    </row>
    <row r="80" spans="2:14" ht="20" customHeight="1" x14ac:dyDescent="0.2">
      <c r="B80" s="50" t="s">
        <v>82</v>
      </c>
      <c r="C80" s="55" t="s">
        <v>83</v>
      </c>
      <c r="D80" s="191">
        <f>IF(E26="",0,E26)</f>
        <v>343007483.14965802</v>
      </c>
    </row>
    <row r="81" spans="2:9" ht="20" customHeight="1" x14ac:dyDescent="0.2">
      <c r="B81" s="53" t="s">
        <v>84</v>
      </c>
      <c r="C81" s="56" t="s">
        <v>85</v>
      </c>
      <c r="D81" s="192">
        <f>IF(E10="",0,E10)</f>
        <v>89609403.25</v>
      </c>
    </row>
    <row r="82" spans="2:9" ht="20" customHeight="1" x14ac:dyDescent="0.2">
      <c r="B82" s="50" t="s">
        <v>86</v>
      </c>
      <c r="C82" s="55" t="s">
        <v>87</v>
      </c>
      <c r="D82" s="192">
        <f>IF(E27="",0,E27)</f>
        <v>5677297.4550000001</v>
      </c>
    </row>
    <row r="83" spans="2:9" ht="20" customHeight="1" x14ac:dyDescent="0.2">
      <c r="B83" s="53" t="s">
        <v>88</v>
      </c>
      <c r="C83" s="56" t="s">
        <v>89</v>
      </c>
      <c r="D83" s="192">
        <f>IF(E20="",0,E20)+IF(E21="",0,E21)</f>
        <v>19578378.759999998</v>
      </c>
    </row>
    <row r="84" spans="2:9" ht="20" customHeight="1" x14ac:dyDescent="0.2">
      <c r="B84" s="57" t="s">
        <v>152</v>
      </c>
      <c r="C84" s="58"/>
      <c r="D84" s="129">
        <f>SUM(D70:D83)</f>
        <v>2009818584.0141275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14" t="s">
        <v>145</v>
      </c>
      <c r="C87" s="215"/>
      <c r="D87" s="215"/>
      <c r="E87" s="215"/>
      <c r="F87" s="216"/>
      <c r="G87" s="124"/>
      <c r="H87" s="124"/>
      <c r="I87" s="116"/>
    </row>
    <row r="88" spans="2:9" ht="34.5" customHeight="1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" customHeight="1" x14ac:dyDescent="0.2">
      <c r="B89" s="50" t="s">
        <v>92</v>
      </c>
      <c r="C89" s="55" t="s">
        <v>93</v>
      </c>
      <c r="D89" s="125">
        <f>TARGETS!I22</f>
        <v>285530553</v>
      </c>
      <c r="E89" s="122">
        <f>IFERROR(C32,0)</f>
        <v>98391165.859366</v>
      </c>
      <c r="F89" s="61">
        <f t="shared" ref="F89:F94" si="7">IFERROR(E89/D89,0)</f>
        <v>0.34459067453760717</v>
      </c>
      <c r="G89" s="125">
        <f>D89-E89</f>
        <v>187139387.140634</v>
      </c>
      <c r="H89" s="125">
        <f ca="1">IFERROR(G89/C3,0)</f>
        <v>13367099.081473857</v>
      </c>
      <c r="I89" s="116"/>
    </row>
    <row r="90" spans="2:9" ht="20" customHeight="1" x14ac:dyDescent="0.2">
      <c r="B90" s="53" t="s">
        <v>94</v>
      </c>
      <c r="C90" s="56" t="s">
        <v>95</v>
      </c>
      <c r="D90" s="126">
        <f>TARGETS!I23</f>
        <v>428831462</v>
      </c>
      <c r="E90" s="122">
        <f>IFERROR(C33,0)</f>
        <v>167506691.180985</v>
      </c>
      <c r="F90" s="61">
        <f t="shared" si="7"/>
        <v>0.3906119443749792</v>
      </c>
      <c r="G90" s="126">
        <f>D90-E90</f>
        <v>261324770.819015</v>
      </c>
      <c r="H90" s="126">
        <f ca="1">IFERROR(G90/C3,0)</f>
        <v>18666055.058501072</v>
      </c>
      <c r="I90" s="116"/>
    </row>
    <row r="91" spans="2:9" ht="20" customHeight="1" x14ac:dyDescent="0.2">
      <c r="B91" s="50" t="s">
        <v>96</v>
      </c>
      <c r="C91" s="55" t="s">
        <v>97</v>
      </c>
      <c r="D91" s="125">
        <f>TARGETS!I24</f>
        <v>1116489049</v>
      </c>
      <c r="E91" s="122">
        <f>M21+M7</f>
        <v>548626523.25693297</v>
      </c>
      <c r="F91" s="61">
        <f t="shared" si="7"/>
        <v>0.49138549433003259</v>
      </c>
      <c r="G91" s="125">
        <f>D91-E91</f>
        <v>567862525.74306703</v>
      </c>
      <c r="H91" s="125">
        <f ca="1">IFERROR(G91/C3,0)</f>
        <v>40561608.981647648</v>
      </c>
      <c r="I91" s="116"/>
    </row>
    <row r="92" spans="2:9" ht="20" hidden="1" customHeight="1" x14ac:dyDescent="0.2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" hidden="1" customHeight="1" x14ac:dyDescent="0.2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" customHeight="1" x14ac:dyDescent="0.2">
      <c r="B94" s="57" t="s">
        <v>152</v>
      </c>
      <c r="C94" s="58"/>
      <c r="D94" s="123">
        <f>SUM(D89:D93)</f>
        <v>1830851064</v>
      </c>
      <c r="E94" s="123">
        <f>SUM(E89:E93)</f>
        <v>814524380.29728401</v>
      </c>
      <c r="F94" s="43">
        <f t="shared" si="7"/>
        <v>0.44488838896470939</v>
      </c>
      <c r="G94" s="119">
        <f>SUM(G89:G93)</f>
        <v>1016326683.702716</v>
      </c>
      <c r="H94" s="119">
        <f ca="1">IFERROR(G94/C3,0)</f>
        <v>72594763.121622577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N94"/>
  <sheetViews>
    <sheetView showGridLines="0" topLeftCell="A67" zoomScaleNormal="100" workbookViewId="0">
      <selection activeCell="D70" sqref="D70"/>
    </sheetView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05" t="s">
        <v>178</v>
      </c>
      <c r="C41" s="206"/>
      <c r="D41" s="207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11" t="s">
        <v>146</v>
      </c>
      <c r="C46" s="21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08" t="s">
        <v>147</v>
      </c>
      <c r="C48" s="209"/>
      <c r="D48" s="209"/>
      <c r="E48" s="209"/>
      <c r="F48" s="209"/>
      <c r="G48" s="209"/>
      <c r="H48" s="209"/>
      <c r="I48" s="209"/>
      <c r="J48" s="210"/>
      <c r="K48" s="217"/>
      <c r="L48" s="218"/>
      <c r="M48" s="218"/>
      <c r="N48" s="219"/>
    </row>
    <row r="49" spans="2:14" ht="17" x14ac:dyDescent="0.2">
      <c r="B49" s="213" t="s">
        <v>41</v>
      </c>
      <c r="C49" s="213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13" t="s">
        <v>140</v>
      </c>
      <c r="K49" s="132" t="s">
        <v>148</v>
      </c>
      <c r="L49" s="132"/>
      <c r="M49" s="132"/>
      <c r="N49" s="223" t="s">
        <v>149</v>
      </c>
    </row>
    <row r="50" spans="2:14" ht="51" x14ac:dyDescent="0.2">
      <c r="B50" s="213"/>
      <c r="C50" s="21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3"/>
      <c r="K50" s="133" t="s">
        <v>143</v>
      </c>
      <c r="L50" s="133" t="s">
        <v>111</v>
      </c>
      <c r="M50" s="133" t="s">
        <v>146</v>
      </c>
      <c r="N50" s="223"/>
    </row>
    <row r="51" spans="2:14" ht="16" x14ac:dyDescent="0.2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175</v>
      </c>
      <c r="C53" s="156" t="s">
        <v>176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175</v>
      </c>
      <c r="C59" s="156" t="s">
        <v>177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7" x14ac:dyDescent="0.2">
      <c r="B68" s="213" t="s">
        <v>41</v>
      </c>
      <c r="C68" s="213" t="s">
        <v>42</v>
      </c>
      <c r="D68" s="134" t="s">
        <v>139</v>
      </c>
    </row>
    <row r="69" spans="2:14" ht="17" x14ac:dyDescent="0.2">
      <c r="B69" s="213"/>
      <c r="C69" s="213"/>
      <c r="D69" s="71" t="s">
        <v>171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175</v>
      </c>
      <c r="C72" s="56" t="s">
        <v>176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175</v>
      </c>
      <c r="C78" s="56" t="s">
        <v>177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14" t="s">
        <v>145</v>
      </c>
      <c r="C87" s="215"/>
      <c r="D87" s="215"/>
      <c r="E87" s="215"/>
      <c r="F87" s="216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05" t="s">
        <v>162</v>
      </c>
      <c r="C41" s="206"/>
      <c r="D41" s="20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11" t="s">
        <v>146</v>
      </c>
      <c r="C46" s="21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08" t="s">
        <v>147</v>
      </c>
      <c r="C48" s="209"/>
      <c r="D48" s="209"/>
      <c r="E48" s="209"/>
      <c r="F48" s="209"/>
      <c r="G48" s="209"/>
      <c r="H48" s="209"/>
      <c r="I48" s="209"/>
      <c r="J48" s="210"/>
      <c r="K48" s="217"/>
      <c r="L48" s="218"/>
      <c r="M48" s="218"/>
      <c r="N48" s="219"/>
    </row>
    <row r="49" spans="2:14" ht="17" x14ac:dyDescent="0.2">
      <c r="B49" s="213" t="s">
        <v>41</v>
      </c>
      <c r="C49" s="213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13" t="s">
        <v>140</v>
      </c>
      <c r="K49" s="132" t="s">
        <v>148</v>
      </c>
      <c r="L49" s="132"/>
      <c r="M49" s="132"/>
      <c r="N49" s="223" t="s">
        <v>149</v>
      </c>
    </row>
    <row r="50" spans="2:14" ht="51" x14ac:dyDescent="0.2">
      <c r="B50" s="213"/>
      <c r="C50" s="21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3"/>
      <c r="K50" s="133" t="s">
        <v>143</v>
      </c>
      <c r="L50" s="133" t="s">
        <v>111</v>
      </c>
      <c r="M50" s="133" t="s">
        <v>146</v>
      </c>
      <c r="N50" s="223"/>
    </row>
    <row r="51" spans="2:14" ht="16" x14ac:dyDescent="0.2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7" x14ac:dyDescent="0.2">
      <c r="B68" s="213" t="s">
        <v>41</v>
      </c>
      <c r="C68" s="213" t="s">
        <v>42</v>
      </c>
      <c r="D68" s="134" t="s">
        <v>139</v>
      </c>
    </row>
    <row r="69" spans="2:14" ht="17" x14ac:dyDescent="0.2">
      <c r="B69" s="213"/>
      <c r="C69" s="213"/>
      <c r="D69" s="71" t="s">
        <v>171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175</v>
      </c>
      <c r="C72" s="56" t="s">
        <v>176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175</v>
      </c>
      <c r="C78" s="56" t="s">
        <v>177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14" t="s">
        <v>145</v>
      </c>
      <c r="C87" s="215"/>
      <c r="D87" s="215"/>
      <c r="E87" s="215"/>
      <c r="F87" s="216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05" t="s">
        <v>164</v>
      </c>
      <c r="C41" s="206"/>
      <c r="D41" s="20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11" t="s">
        <v>146</v>
      </c>
      <c r="C46" s="21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08" t="s">
        <v>147</v>
      </c>
      <c r="C48" s="209"/>
      <c r="D48" s="209"/>
      <c r="E48" s="209"/>
      <c r="F48" s="209"/>
      <c r="G48" s="209"/>
      <c r="H48" s="209"/>
      <c r="I48" s="209"/>
      <c r="J48" s="210"/>
      <c r="K48" s="217"/>
      <c r="L48" s="218"/>
      <c r="M48" s="218"/>
      <c r="N48" s="219"/>
    </row>
    <row r="49" spans="2:14" ht="17" x14ac:dyDescent="0.2">
      <c r="B49" s="213" t="s">
        <v>41</v>
      </c>
      <c r="C49" s="213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13" t="s">
        <v>140</v>
      </c>
      <c r="K49" s="132" t="s">
        <v>148</v>
      </c>
      <c r="L49" s="132"/>
      <c r="M49" s="132"/>
      <c r="N49" s="223" t="s">
        <v>149</v>
      </c>
    </row>
    <row r="50" spans="2:14" ht="51" x14ac:dyDescent="0.2">
      <c r="B50" s="213"/>
      <c r="C50" s="21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3"/>
      <c r="K50" s="133" t="s">
        <v>143</v>
      </c>
      <c r="L50" s="133" t="s">
        <v>111</v>
      </c>
      <c r="M50" s="133" t="s">
        <v>146</v>
      </c>
      <c r="N50" s="223"/>
    </row>
    <row r="51" spans="2:14" ht="16" x14ac:dyDescent="0.2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7" x14ac:dyDescent="0.2">
      <c r="B68" s="213" t="s">
        <v>41</v>
      </c>
      <c r="C68" s="213" t="s">
        <v>42</v>
      </c>
      <c r="D68" s="134" t="s">
        <v>139</v>
      </c>
    </row>
    <row r="69" spans="2:14" ht="17" x14ac:dyDescent="0.2">
      <c r="B69" s="213"/>
      <c r="C69" s="213"/>
      <c r="D69" s="71" t="s">
        <v>171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175</v>
      </c>
      <c r="C72" s="56" t="s">
        <v>176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175</v>
      </c>
      <c r="C78" s="56" t="s">
        <v>177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14" t="s">
        <v>145</v>
      </c>
      <c r="C87" s="215"/>
      <c r="D87" s="215"/>
      <c r="E87" s="215"/>
      <c r="F87" s="216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05" t="s">
        <v>166</v>
      </c>
      <c r="C41" s="206"/>
      <c r="D41" s="20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11" t="s">
        <v>146</v>
      </c>
      <c r="C46" s="21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08" t="s">
        <v>147</v>
      </c>
      <c r="C48" s="209"/>
      <c r="D48" s="209"/>
      <c r="E48" s="209"/>
      <c r="F48" s="209"/>
      <c r="G48" s="209"/>
      <c r="H48" s="209"/>
      <c r="I48" s="209"/>
      <c r="J48" s="210"/>
      <c r="K48" s="217"/>
      <c r="L48" s="218"/>
      <c r="M48" s="218"/>
      <c r="N48" s="219"/>
    </row>
    <row r="49" spans="2:14" ht="17" x14ac:dyDescent="0.2">
      <c r="B49" s="213" t="s">
        <v>41</v>
      </c>
      <c r="C49" s="213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13" t="s">
        <v>140</v>
      </c>
      <c r="K49" s="132" t="s">
        <v>148</v>
      </c>
      <c r="L49" s="132"/>
      <c r="M49" s="132"/>
      <c r="N49" s="223" t="s">
        <v>149</v>
      </c>
    </row>
    <row r="50" spans="2:14" ht="51" x14ac:dyDescent="0.2">
      <c r="B50" s="213"/>
      <c r="C50" s="21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3"/>
      <c r="K50" s="133" t="s">
        <v>143</v>
      </c>
      <c r="L50" s="133" t="s">
        <v>111</v>
      </c>
      <c r="M50" s="133" t="s">
        <v>146</v>
      </c>
      <c r="N50" s="223"/>
    </row>
    <row r="51" spans="2:14" ht="16" x14ac:dyDescent="0.2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7" x14ac:dyDescent="0.2">
      <c r="B68" s="213" t="s">
        <v>41</v>
      </c>
      <c r="C68" s="213" t="s">
        <v>42</v>
      </c>
      <c r="D68" s="134" t="s">
        <v>139</v>
      </c>
    </row>
    <row r="69" spans="2:14" ht="17" x14ac:dyDescent="0.2">
      <c r="B69" s="213"/>
      <c r="C69" s="213"/>
      <c r="D69" s="71" t="s">
        <v>171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175</v>
      </c>
      <c r="C72" s="56" t="s">
        <v>176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175</v>
      </c>
      <c r="C78" s="56" t="s">
        <v>177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14" t="s">
        <v>145</v>
      </c>
      <c r="C87" s="215"/>
      <c r="D87" s="215"/>
      <c r="E87" s="215"/>
      <c r="F87" s="216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05" t="s">
        <v>179</v>
      </c>
      <c r="C41" s="206"/>
      <c r="D41" s="20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11" t="s">
        <v>146</v>
      </c>
      <c r="C46" s="21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08" t="s">
        <v>147</v>
      </c>
      <c r="C48" s="209"/>
      <c r="D48" s="209"/>
      <c r="E48" s="209"/>
      <c r="F48" s="209"/>
      <c r="G48" s="209"/>
      <c r="H48" s="209"/>
      <c r="I48" s="209"/>
      <c r="J48" s="210"/>
      <c r="K48" s="217"/>
      <c r="L48" s="218"/>
      <c r="M48" s="218"/>
      <c r="N48" s="219"/>
    </row>
    <row r="49" spans="2:14" ht="17" x14ac:dyDescent="0.2">
      <c r="B49" s="213" t="s">
        <v>41</v>
      </c>
      <c r="C49" s="213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13" t="s">
        <v>140</v>
      </c>
      <c r="K49" s="132" t="s">
        <v>148</v>
      </c>
      <c r="L49" s="132"/>
      <c r="M49" s="132"/>
      <c r="N49" s="223" t="s">
        <v>149</v>
      </c>
    </row>
    <row r="50" spans="2:14" ht="51" x14ac:dyDescent="0.2">
      <c r="B50" s="213"/>
      <c r="C50" s="21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3"/>
      <c r="K50" s="133" t="s">
        <v>143</v>
      </c>
      <c r="L50" s="133" t="s">
        <v>111</v>
      </c>
      <c r="M50" s="133" t="s">
        <v>146</v>
      </c>
      <c r="N50" s="223"/>
    </row>
    <row r="51" spans="2:14" ht="16" x14ac:dyDescent="0.2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7" x14ac:dyDescent="0.2">
      <c r="B68" s="213" t="s">
        <v>41</v>
      </c>
      <c r="C68" s="213" t="s">
        <v>42</v>
      </c>
      <c r="D68" s="134" t="s">
        <v>139</v>
      </c>
    </row>
    <row r="69" spans="2:14" ht="17" x14ac:dyDescent="0.2">
      <c r="B69" s="213"/>
      <c r="C69" s="213"/>
      <c r="D69" s="71" t="s">
        <v>171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175</v>
      </c>
      <c r="C72" s="56" t="s">
        <v>176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175</v>
      </c>
      <c r="C78" s="56" t="s">
        <v>177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14" t="s">
        <v>145</v>
      </c>
      <c r="C87" s="215"/>
      <c r="D87" s="215"/>
      <c r="E87" s="215"/>
      <c r="F87" s="216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180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05" t="s">
        <v>181</v>
      </c>
      <c r="C41" s="206"/>
      <c r="D41" s="20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11" t="s">
        <v>146</v>
      </c>
      <c r="C46" s="21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08" t="s">
        <v>147</v>
      </c>
      <c r="C48" s="209"/>
      <c r="D48" s="209"/>
      <c r="E48" s="209"/>
      <c r="F48" s="209"/>
      <c r="G48" s="209"/>
      <c r="H48" s="209"/>
      <c r="I48" s="209"/>
      <c r="J48" s="210"/>
      <c r="K48" s="217"/>
      <c r="L48" s="218"/>
      <c r="M48" s="218"/>
      <c r="N48" s="219"/>
    </row>
    <row r="49" spans="2:14" ht="17" x14ac:dyDescent="0.2">
      <c r="B49" s="213" t="s">
        <v>41</v>
      </c>
      <c r="C49" s="213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13" t="s">
        <v>140</v>
      </c>
      <c r="K49" s="132" t="s">
        <v>148</v>
      </c>
      <c r="L49" s="132"/>
      <c r="M49" s="132"/>
      <c r="N49" s="223" t="s">
        <v>149</v>
      </c>
    </row>
    <row r="50" spans="2:14" ht="51" x14ac:dyDescent="0.2">
      <c r="B50" s="213"/>
      <c r="C50" s="21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3"/>
      <c r="K50" s="133" t="s">
        <v>143</v>
      </c>
      <c r="L50" s="133" t="s">
        <v>111</v>
      </c>
      <c r="M50" s="133" t="s">
        <v>146</v>
      </c>
      <c r="N50" s="223"/>
    </row>
    <row r="51" spans="2:14" ht="16" x14ac:dyDescent="0.2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7" x14ac:dyDescent="0.2">
      <c r="B68" s="213" t="s">
        <v>41</v>
      </c>
      <c r="C68" s="213" t="s">
        <v>42</v>
      </c>
      <c r="D68" s="134" t="s">
        <v>139</v>
      </c>
    </row>
    <row r="69" spans="2:14" ht="17" x14ac:dyDescent="0.2">
      <c r="B69" s="213"/>
      <c r="C69" s="213"/>
      <c r="D69" s="71" t="s">
        <v>171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175</v>
      </c>
      <c r="C72" s="56" t="s">
        <v>176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175</v>
      </c>
      <c r="C78" s="56" t="s">
        <v>177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14" t="s">
        <v>145</v>
      </c>
      <c r="C87" s="215"/>
      <c r="D87" s="215"/>
      <c r="E87" s="215"/>
      <c r="F87" s="216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Randy Thurion</cp:lastModifiedBy>
  <cp:revision>0</cp:revision>
  <dcterms:created xsi:type="dcterms:W3CDTF">2026-03-24T08:59:20Z</dcterms:created>
  <dcterms:modified xsi:type="dcterms:W3CDTF">2026-06-15T01:39:58Z</dcterms:modified>
  <dc:language>en-US</dc:language>
</cp:coreProperties>
</file>