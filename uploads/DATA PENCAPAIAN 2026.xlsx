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380C3F88-9A9B-7140-AE9D-AAEC71ACB62B}" xr6:coauthVersionLast="47" xr6:coauthVersionMax="47" xr10:uidLastSave="{00000000-0000-0000-0000-000000000000}"/>
  <bookViews>
    <workbookView xWindow="0" yWindow="600" windowWidth="15560" windowHeight="16400" tabRatio="500" firstSheet="4" activeTab="7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G90" i="14"/>
  <c r="E90" i="14"/>
  <c r="F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53" i="7"/>
  <c r="F61" i="7"/>
  <c r="F55" i="7"/>
  <c r="F63" i="7"/>
  <c r="F51" i="9"/>
  <c r="D94" i="8"/>
  <c r="G92" i="7"/>
  <c r="F61" i="8"/>
  <c r="K57" i="8"/>
  <c r="K61" i="8"/>
  <c r="K59" i="8"/>
  <c r="G92" i="8"/>
  <c r="F58" i="8"/>
  <c r="F93" i="8"/>
  <c r="G90" i="8"/>
  <c r="H90" i="8" s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H89" i="12" s="1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J51" i="13" s="1"/>
  <c r="I61" i="13"/>
  <c r="D94" i="7"/>
  <c r="I55" i="8"/>
  <c r="M55" i="8" s="1"/>
  <c r="F92" i="12"/>
  <c r="F65" i="13"/>
  <c r="K63" i="9"/>
  <c r="F90" i="8"/>
  <c r="I56" i="9"/>
  <c r="M56" i="9" s="1"/>
  <c r="N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10"/>
  <c r="H90" i="10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E44" i="11"/>
  <c r="H51" i="11"/>
  <c r="I51" i="11" s="1"/>
  <c r="E45" i="11"/>
  <c r="E91" i="11"/>
  <c r="E94" i="11" s="1"/>
  <c r="F94" i="11" s="1"/>
  <c r="M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K54" i="10"/>
  <c r="I54" i="10"/>
  <c r="J54" i="10" s="1"/>
  <c r="K58" i="10"/>
  <c r="I58" i="10"/>
  <c r="K63" i="10"/>
  <c r="I63" i="10"/>
  <c r="J63" i="10" s="1"/>
  <c r="I52" i="10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63" i="13"/>
  <c r="N63" i="13" s="1"/>
  <c r="G91" i="9"/>
  <c r="H91" i="9" s="1"/>
  <c r="J56" i="9"/>
  <c r="M57" i="10"/>
  <c r="N57" i="10" s="1"/>
  <c r="J52" i="10"/>
  <c r="M53" i="6"/>
  <c r="M57" i="11"/>
  <c r="N57" i="11" s="1"/>
  <c r="M64" i="10"/>
  <c r="N64" i="10" s="1"/>
  <c r="F94" i="7"/>
  <c r="J58" i="8"/>
  <c r="M62" i="14"/>
  <c r="N62" i="14" s="1"/>
  <c r="L65" i="10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M52" i="8" l="1"/>
  <c r="N52" i="8" s="1"/>
  <c r="I65" i="8"/>
  <c r="J65" i="8" s="1"/>
  <c r="I65" i="12"/>
  <c r="J65" i="12" s="1"/>
  <c r="G94" i="11"/>
  <c r="H94" i="11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J61" i="3"/>
  <c r="N49" i="3"/>
  <c r="M61" i="3"/>
  <c r="N61" i="3" s="1"/>
  <c r="M65" i="8" l="1"/>
  <c r="N65" i="8" s="1"/>
  <c r="M65" i="7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<sst xmlns="http://schemas.openxmlformats.org/spreadsheetml/2006/main" count="1876" uniqueCount="185">
  <si>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</si>
  <si>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</si>
  <si>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</si>
  <si>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</si>
  <si>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</si>
  <si>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</si>
  <si>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</si>
  <si>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</si>
  <si>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</si>
  <si>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</si>
  <si>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</si>
  <si>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</si>
  <si>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</si>
  <si>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</si>
  <si>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</si>
  <si>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</si>
  <si>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</si>
  <si>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</si>
  <si>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</si>
  <si>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</si>
  <si>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</si>
  <si>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</si>
  <si>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</si>
  <si>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</si>
  <si>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</si>
  <si>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</si>
  <si>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</si>
  <si>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</si>
  <si>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</si>
  <si>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</si>
  <si>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</si>
  <si>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</si>
  <si>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</si>
  <si>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</si>
  <si>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</si>
  <si>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</si>
  <si>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</si>
  <si>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</si>
  <si>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</si>
  <si>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</si>
  <si>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</si>
  <si>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</si>
  <si>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</si>
  <si>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</si>
  <si>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</si>
  <si>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</si>
  <si>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</si>
  <si>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</si>
  <si>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</si>
  <si>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</si>
  <si>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</si>
  <si>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</si>
  <si>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</si>
  <si>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</si>
  <si>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</si>
  <si>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</si>
  <si>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</si>
  <si>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</si>
  <si>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</si>
  <si>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</si>
  <si>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</si>
  <si>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</si>
  <si>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</si>
  <si>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</si>
  <si>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</si>
  <si>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</si>
  <si>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</si>
  <si>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</si>
  <si>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</si>
  <si>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</si>
  <si>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</si>
  <si>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</si>
  <si>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</si>
  <si>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</si>
  <si>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</si>
  <si>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</si>
  <si>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</si>
  <si>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</si>
  <si>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</si>
  <si>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</si>
  <si>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</si>
  <si>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</si>
  <si>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</si>
  <si>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</si>
  <si>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</si>
  <si>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</si>
  <si>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</si>
  <si>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</si>
  <si>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</si>
  <si>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</si>
  <si>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</si>
  <si>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</si>
  <si>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</si>
  <si>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</si>
  <si>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</si>
  <si>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</si>
  <si>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</si>
  <si>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</si>
  <si>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</si>
  <si>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</si>
  <si>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</si>
  <si>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</si>
  <si>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</si>
  <si>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</si>
  <si>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</si>
  <si>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</si>
  <si>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</si>
  <si>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</si>
  <si>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</si>
  <si>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</si>
  <si>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</si>
  <si>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</si>
  <si>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</si>
  <si>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</si>
  <si>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</si>
  <si>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</si>
  <si>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</si>
  <si>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</si>
  <si>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</si>
  <si>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</si>
  <si>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</si>
  <si>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</si>
  <si>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</si>
  <si>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</si>
  <si>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</si>
  <si>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</si>
  <si>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</si>
  <si>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</si>
  <si>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</si>
  <si>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</si>
  <si>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</si>
  <si>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</si>
  <si>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</si>
  <si>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</si>
  <si>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</si>
  <si>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</si>
  <si>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</si>
  <si>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</si>
  <si>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</si>
  <si>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</si>
  <si>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</si>
  <si>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</si>
  <si>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</si>
  <si>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</si>
  <si>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</si>
  <si>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</si>
  <si>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</si>
  <si>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</si>
  <si>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</si>
  <si>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</si>
  <si>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</si>
  <si>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</si>
  <si>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</si>
  <si>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</si>
  <si>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</si>
  <si>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</si>
  <si>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</si>
  <si>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</si>
  <si>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</si>
  <si>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</si>
  <si>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</si>
  <si>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</si>
  <si>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</si>
  <si>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</si>
  <si>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</si>
  <si>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</si>
  <si>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</si>
  <si>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</si>
  <si>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</si>
  <si>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</si>
  <si>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</si>
  <si>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</si>
  <si>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</si>
  <si>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</si>
  <si>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</si>
  <si>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</si>
  <si>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</si>
  <si>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</si>
  <si>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</si>
  <si>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</si>
  <si>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</si>
  <si>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</si>
  <si>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</si>
  <si>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</si>
  <si>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27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</si>
</sst>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4" zoomScale="171" zoomScaleNormal="110" workbookViewId="0">
      <selection activeCell="C15" sqref="C15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24" t="s">
        <v>0</v>
      </c>
      <c r="C1" s="224"/>
    </row>
    <row r="3" spans="2:3" x14ac:dyDescent="0.2">
      <c r="B3" s="225" t="s">
        <v>1</v>
      </c>
      <c r="C3" s="225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26" t="s">
        <v>14</v>
      </c>
      <c r="C11" s="226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C10" zoomScale="110" zoomScaleNormal="110" workbookViewId="0">
      <selection activeCell="I25" sqref="I2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2.83203125" bestFit="1" customWidth="1"/>
    <col min="10" max="11" width="11.33203125" bestFit="1" customWidth="1"/>
    <col min="12" max="13" width="11.1640625" bestFit="1" customWidth="1"/>
    <col min="14" max="15" width="11.3320312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25" t="s">
        <v>28</v>
      </c>
      <c r="C3" s="22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27" t="s">
        <v>102</v>
      </c>
      <c r="C29" s="227"/>
      <c r="D29" s="227"/>
      <c r="E29" s="227"/>
      <c r="F29" s="22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168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05" t="s">
        <v>41</v>
      </c>
      <c r="C47" s="205" t="s">
        <v>42</v>
      </c>
      <c r="D47" s="212" t="s">
        <v>138</v>
      </c>
      <c r="E47" s="213"/>
      <c r="F47" s="214"/>
      <c r="G47" s="70" t="s">
        <v>139</v>
      </c>
      <c r="H47" s="70"/>
      <c r="I47" s="70"/>
      <c r="J47" s="205" t="s">
        <v>140</v>
      </c>
      <c r="K47" s="35" t="s">
        <v>148</v>
      </c>
      <c r="L47" s="35"/>
      <c r="M47" s="35"/>
      <c r="N47" s="235" t="s">
        <v>149</v>
      </c>
    </row>
    <row r="48" spans="2:17" ht="17" x14ac:dyDescent="0.2">
      <c r="B48" s="205"/>
      <c r="C48" s="20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05"/>
      <c r="K48" s="34" t="s">
        <v>143</v>
      </c>
      <c r="L48" s="34" t="s">
        <v>111</v>
      </c>
      <c r="M48" s="34" t="s">
        <v>146</v>
      </c>
      <c r="N48" s="235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29" zoomScaleNormal="100" workbookViewId="0">
      <selection activeCell="B41" sqref="B41:F46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7" width="15.6640625" style="116" bestFit="1" customWidth="1"/>
    <col min="8" max="8" width="14" style="116" bestFit="1" customWidth="1"/>
    <col min="9" max="9" width="15.6640625" style="116" bestFit="1" customWidth="1"/>
    <col min="10" max="10" width="9.5" customWidth="1"/>
    <col min="11" max="11" width="14.33203125" bestFit="1" customWidth="1"/>
    <col min="12" max="12" width="12.1640625" customWidth="1"/>
    <col min="13" max="13" width="14.33203125" bestFit="1" customWidth="1"/>
    <col min="14" max="14" width="12.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4" x14ac:dyDescent="0.2">
      <c r="B33" s="84" t="s">
        <v>133</v>
      </c>
      <c r="C33" s="15">
        <v>449933743.924721</v>
      </c>
    </row>
    <row r="34" spans="2:14" x14ac:dyDescent="0.2">
      <c r="B34" s="84" t="s">
        <v>134</v>
      </c>
      <c r="C34" s="15">
        <v>318278585.086043</v>
      </c>
    </row>
    <row r="35" spans="2:14" x14ac:dyDescent="0.2">
      <c r="B35" s="84" t="s">
        <v>135</v>
      </c>
      <c r="C35" s="15">
        <v>267561093.287265</v>
      </c>
    </row>
    <row r="36" spans="2:14" x14ac:dyDescent="0.2">
      <c r="B36" s="84" t="s">
        <v>136</v>
      </c>
      <c r="C36" s="15">
        <v>311290805.19997603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customHeight="1" x14ac:dyDescent="0.2">
      <c r="B41" s="216" t="s">
        <v>182</v>
      </c>
      <c r="C41" s="217"/>
      <c r="D41" s="218"/>
      <c r="E41" s="67" t="s">
        <v>138</v>
      </c>
      <c r="F41" s="73">
        <v>1</v>
      </c>
      <c r="G41" s="117"/>
      <c r="H41" s="117"/>
    </row>
    <row r="42" spans="2:14" ht="20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" customHeight="1" x14ac:dyDescent="0.2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" customHeight="1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41"/>
      <c r="L48" s="242"/>
      <c r="M48" s="242"/>
      <c r="N48" s="243"/>
    </row>
    <row r="49" spans="2:14" s="158" customFormat="1" ht="20" customHeight="1" x14ac:dyDescent="0.2">
      <c r="B49" s="240" t="s">
        <v>41</v>
      </c>
      <c r="C49" s="240" t="s">
        <v>42</v>
      </c>
      <c r="D49" s="237" t="s">
        <v>138</v>
      </c>
      <c r="E49" s="238"/>
      <c r="F49" s="239"/>
      <c r="G49" s="159" t="s">
        <v>139</v>
      </c>
      <c r="H49" s="159"/>
      <c r="I49" s="159"/>
      <c r="J49" s="240" t="s">
        <v>140</v>
      </c>
      <c r="K49" s="160" t="s">
        <v>148</v>
      </c>
      <c r="L49" s="160"/>
      <c r="M49" s="160"/>
      <c r="N49" s="236" t="s">
        <v>149</v>
      </c>
    </row>
    <row r="50" spans="2:14" s="158" customFormat="1" ht="20" customHeight="1" x14ac:dyDescent="0.2">
      <c r="B50" s="240"/>
      <c r="C50" s="240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40"/>
      <c r="K50" s="163" t="s">
        <v>143</v>
      </c>
      <c r="L50" s="163" t="s">
        <v>111</v>
      </c>
      <c r="M50" s="163" t="s">
        <v>146</v>
      </c>
      <c r="N50" s="236"/>
    </row>
    <row r="51" spans="2:14" s="158" customFormat="1" ht="20" customHeight="1" x14ac:dyDescent="0.2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" customHeight="1" x14ac:dyDescent="0.2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" customHeight="1" x14ac:dyDescent="0.2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" customHeight="1" x14ac:dyDescent="0.2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" customHeight="1" x14ac:dyDescent="0.2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" customHeight="1" x14ac:dyDescent="0.2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" customHeight="1" x14ac:dyDescent="0.2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" customHeight="1" x14ac:dyDescent="0.2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" customHeight="1" x14ac:dyDescent="0.2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" customHeight="1" x14ac:dyDescent="0.2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" customHeight="1" x14ac:dyDescent="0.2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" customHeight="1" x14ac:dyDescent="0.2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" customHeight="1" x14ac:dyDescent="0.2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" customHeight="1" x14ac:dyDescent="0.2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" customHeight="1" x14ac:dyDescent="0.2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" customHeight="1" x14ac:dyDescent="0.2">
      <c r="B67" s="135" t="s">
        <v>174</v>
      </c>
      <c r="C67" s="136"/>
      <c r="D67" s="137"/>
      <c r="G67"/>
      <c r="H67"/>
      <c r="I67"/>
    </row>
    <row r="68" spans="2:14" ht="20" customHeight="1" x14ac:dyDescent="0.2">
      <c r="B68" s="205" t="s">
        <v>41</v>
      </c>
      <c r="C68" s="205" t="s">
        <v>42</v>
      </c>
      <c r="D68" s="134" t="s">
        <v>139</v>
      </c>
      <c r="G68"/>
      <c r="H68"/>
      <c r="I68"/>
    </row>
    <row r="69" spans="2:14" ht="20" customHeight="1" x14ac:dyDescent="0.2">
      <c r="B69" s="205"/>
      <c r="C69" s="205"/>
      <c r="D69" s="71" t="s">
        <v>171</v>
      </c>
      <c r="G69"/>
      <c r="H69"/>
      <c r="I69"/>
    </row>
    <row r="70" spans="2:14" s="158" customFormat="1" ht="20" customHeight="1" x14ac:dyDescent="0.2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" customHeight="1" x14ac:dyDescent="0.2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" customHeight="1" x14ac:dyDescent="0.2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" customHeight="1" x14ac:dyDescent="0.2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" customHeight="1" x14ac:dyDescent="0.2">
      <c r="B74" s="185" t="s">
        <v>73</v>
      </c>
      <c r="C74" s="186" t="s">
        <v>74</v>
      </c>
      <c r="D74" s="192">
        <f>0</f>
        <v>0</v>
      </c>
    </row>
    <row r="75" spans="2:14" s="158" customFormat="1" ht="20" customHeight="1" x14ac:dyDescent="0.2">
      <c r="B75" s="183" t="s">
        <v>75</v>
      </c>
      <c r="C75" s="184" t="s">
        <v>74</v>
      </c>
      <c r="D75" s="191">
        <v>2883783.76</v>
      </c>
    </row>
    <row r="76" spans="2:14" s="158" customFormat="1" ht="20" customHeight="1" x14ac:dyDescent="0.2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" customHeight="1" x14ac:dyDescent="0.2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" customHeight="1" x14ac:dyDescent="0.2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" customHeight="1" x14ac:dyDescent="0.2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" customHeight="1" x14ac:dyDescent="0.2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" customHeight="1" x14ac:dyDescent="0.2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" customHeight="1" x14ac:dyDescent="0.2">
      <c r="B82" s="183" t="s">
        <v>86</v>
      </c>
      <c r="C82" s="184" t="s">
        <v>87</v>
      </c>
      <c r="D82" s="191">
        <f>0</f>
        <v>0</v>
      </c>
    </row>
    <row r="83" spans="2:9" s="158" customFormat="1" ht="20" customHeight="1" x14ac:dyDescent="0.2">
      <c r="B83" s="185" t="s">
        <v>88</v>
      </c>
      <c r="C83" s="186" t="s">
        <v>89</v>
      </c>
      <c r="D83" s="192">
        <f>0</f>
        <v>0</v>
      </c>
    </row>
    <row r="84" spans="2:9" s="158" customFormat="1" ht="20" customHeight="1" x14ac:dyDescent="0.2">
      <c r="B84" s="189" t="s">
        <v>152</v>
      </c>
      <c r="C84" s="190"/>
      <c r="D84" s="193">
        <f>SUM(D70:D83)</f>
        <v>726140776.47983217</v>
      </c>
    </row>
    <row r="87" spans="2:9" s="158" customFormat="1" ht="20" customHeight="1" x14ac:dyDescent="0.2">
      <c r="B87" s="219" t="s">
        <v>145</v>
      </c>
      <c r="C87" s="220"/>
      <c r="D87" s="220"/>
      <c r="E87" s="220"/>
      <c r="F87" s="221"/>
      <c r="G87" s="167"/>
      <c r="H87" s="167"/>
      <c r="I87" s="168"/>
    </row>
    <row r="88" spans="2:9" s="158" customFormat="1" ht="20" customHeight="1" x14ac:dyDescent="0.2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" customHeight="1" x14ac:dyDescent="0.2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" customHeight="1" x14ac:dyDescent="0.2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" customHeight="1" x14ac:dyDescent="0.2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" hidden="1" customHeight="1" x14ac:dyDescent="0.2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" hidden="1" customHeight="1" x14ac:dyDescent="0.2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" customHeight="1" x14ac:dyDescent="0.2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opLeftCell="A69" zoomScaleNormal="100" workbookViewId="0">
      <selection activeCell="D70" sqref="D70:D83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7" width="16" customWidth="1"/>
    <col min="8" max="8" width="14.5" customWidth="1"/>
    <col min="9" max="9" width="15.5" customWidth="1"/>
    <col min="10" max="10" width="10" customWidth="1"/>
    <col min="11" max="12" width="12.6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3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291427595.82048202</v>
      </c>
      <c r="G32" s="116"/>
      <c r="H32" s="116"/>
      <c r="I32" s="116"/>
    </row>
    <row r="33" spans="2:14" x14ac:dyDescent="0.2">
      <c r="B33" s="84" t="s">
        <v>133</v>
      </c>
      <c r="C33" s="15">
        <v>436148035.92440403</v>
      </c>
      <c r="G33" s="116"/>
      <c r="H33" s="116"/>
      <c r="I33" s="116"/>
    </row>
    <row r="34" spans="2:14" x14ac:dyDescent="0.2">
      <c r="B34" s="84" t="s">
        <v>134</v>
      </c>
      <c r="C34" s="15">
        <v>135628039.89320499</v>
      </c>
      <c r="G34" s="116"/>
      <c r="H34" s="116"/>
      <c r="I34" s="116"/>
    </row>
    <row r="35" spans="2:14" x14ac:dyDescent="0.2">
      <c r="B35" s="84" t="s">
        <v>135</v>
      </c>
      <c r="C35" s="15">
        <v>513829145.026452</v>
      </c>
      <c r="G35" s="116"/>
      <c r="H35" s="116"/>
      <c r="I35" s="116"/>
    </row>
    <row r="36" spans="2:14" x14ac:dyDescent="0.2">
      <c r="B36" s="84" t="s">
        <v>136</v>
      </c>
      <c r="C36" s="15">
        <v>296173392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44" t="s">
        <v>183</v>
      </c>
      <c r="C41" s="245"/>
      <c r="D41" s="246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210931360.07053566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185195776.57223025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36590838.246570908</v>
      </c>
      <c r="I45" s="116"/>
    </row>
    <row r="46" spans="2:14" ht="18.75" customHeight="1" x14ac:dyDescent="0.2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432717974.88933682</v>
      </c>
      <c r="I46" s="116"/>
    </row>
    <row r="47" spans="2:14" x14ac:dyDescent="0.2">
      <c r="G47" s="116"/>
      <c r="H47" s="116"/>
      <c r="I47" s="116"/>
    </row>
    <row r="48" spans="2:14" ht="25.5" customHeight="1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20" customHeight="1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22.5" customHeight="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20" customHeight="1" x14ac:dyDescent="0.2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50648041.108854435</v>
      </c>
    </row>
    <row r="52" spans="2:14" ht="20" customHeight="1" x14ac:dyDescent="0.2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45316544.995756663</v>
      </c>
    </row>
    <row r="53" spans="2:14" ht="20" customHeight="1" x14ac:dyDescent="0.2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14635140.733333329</v>
      </c>
    </row>
    <row r="54" spans="2:14" ht="20" customHeight="1" x14ac:dyDescent="0.2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-13449569.16200904</v>
      </c>
    </row>
    <row r="55" spans="2:14" ht="20" customHeight="1" x14ac:dyDescent="0.2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43598125.870508708</v>
      </c>
    </row>
    <row r="56" spans="2:14" ht="20" customHeight="1" x14ac:dyDescent="0.2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26895834.818314552</v>
      </c>
    </row>
    <row r="57" spans="2:14" ht="20" customHeight="1" x14ac:dyDescent="0.2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-8372378.5562465191</v>
      </c>
    </row>
    <row r="58" spans="2:14" ht="20" customHeight="1" x14ac:dyDescent="0.2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36938142.745096684</v>
      </c>
    </row>
    <row r="59" spans="2:14" ht="20" customHeight="1" x14ac:dyDescent="0.2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34537380.056674995</v>
      </c>
    </row>
    <row r="60" spans="2:14" ht="20" customHeight="1" x14ac:dyDescent="0.2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25203982.552426796</v>
      </c>
    </row>
    <row r="61" spans="2:14" ht="20" customHeight="1" x14ac:dyDescent="0.2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59078719.135292746</v>
      </c>
    </row>
    <row r="62" spans="2:14" ht="20" customHeight="1" x14ac:dyDescent="0.2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39458109.387390949</v>
      </c>
    </row>
    <row r="63" spans="2:14" ht="20" customHeight="1" x14ac:dyDescent="0.2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11535227.654331803</v>
      </c>
    </row>
    <row r="64" spans="2:14" ht="20" customHeight="1" x14ac:dyDescent="0.2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30103835.303040128</v>
      </c>
    </row>
    <row r="65" spans="2:14" ht="20" customHeight="1" x14ac:dyDescent="0.2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396127136.64276624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8.75" customHeight="1" x14ac:dyDescent="0.2">
      <c r="B68" s="205" t="s">
        <v>41</v>
      </c>
      <c r="C68" s="205" t="s">
        <v>42</v>
      </c>
      <c r="D68" s="134" t="s">
        <v>139</v>
      </c>
    </row>
    <row r="69" spans="2:14" ht="18" customHeight="1" x14ac:dyDescent="0.2">
      <c r="B69" s="205"/>
      <c r="C69" s="205"/>
      <c r="D69" s="71" t="s">
        <v>171</v>
      </c>
    </row>
    <row r="70" spans="2:14" ht="20" customHeight="1" x14ac:dyDescent="0.2">
      <c r="B70" s="201" t="s">
        <v>67</v>
      </c>
      <c r="C70" s="202" t="s">
        <v>68</v>
      </c>
      <c r="D70" s="191">
        <f>IF(E24="",0,E24)</f>
        <v>126214286.45999999</v>
      </c>
    </row>
    <row r="71" spans="2:14" ht="20" customHeight="1" x14ac:dyDescent="0.2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" customHeight="1" x14ac:dyDescent="0.2">
      <c r="B72" s="201" t="s">
        <v>175</v>
      </c>
      <c r="C72" s="202" t="s">
        <v>176</v>
      </c>
      <c r="D72" s="192">
        <f>IF(E22="",0,E22)</f>
        <v>12832432.08</v>
      </c>
    </row>
    <row r="73" spans="2:14" ht="20" customHeight="1" x14ac:dyDescent="0.2">
      <c r="B73" s="201" t="s">
        <v>71</v>
      </c>
      <c r="C73" s="202" t="s">
        <v>72</v>
      </c>
      <c r="D73" s="191">
        <f>IF(E14="",0,E14)</f>
        <v>260324322.93000001</v>
      </c>
    </row>
    <row r="74" spans="2:14" ht="20" customHeight="1" x14ac:dyDescent="0.2">
      <c r="B74" s="201" t="s">
        <v>73</v>
      </c>
      <c r="C74" s="202" t="s">
        <v>74</v>
      </c>
      <c r="D74" s="192">
        <f>0</f>
        <v>0</v>
      </c>
    </row>
    <row r="75" spans="2:14" ht="20" customHeight="1" x14ac:dyDescent="0.2">
      <c r="B75" s="201" t="s">
        <v>75</v>
      </c>
      <c r="C75" s="202" t="s">
        <v>74</v>
      </c>
      <c r="D75" s="192">
        <f>IF(E16="",0,E16)</f>
        <v>14439639.5</v>
      </c>
    </row>
    <row r="76" spans="2:14" ht="20" customHeight="1" x14ac:dyDescent="0.2">
      <c r="B76" s="201" t="s">
        <v>76</v>
      </c>
      <c r="C76" s="202" t="s">
        <v>77</v>
      </c>
      <c r="D76" s="192">
        <f>IF(E19="",0,E19)</f>
        <v>709237967.049927</v>
      </c>
    </row>
    <row r="77" spans="2:14" ht="20" customHeight="1" x14ac:dyDescent="0.2">
      <c r="B77" s="201" t="s">
        <v>78</v>
      </c>
      <c r="C77" s="202" t="s">
        <v>79</v>
      </c>
      <c r="D77" s="191">
        <f>IF(E25="",0,E25)</f>
        <v>247976756.949745</v>
      </c>
    </row>
    <row r="78" spans="2:14" ht="20" customHeight="1" x14ac:dyDescent="0.2">
      <c r="B78" s="201" t="s">
        <v>175</v>
      </c>
      <c r="C78" s="202" t="s">
        <v>177</v>
      </c>
      <c r="D78" s="192">
        <f>IF(E23="",0,E23)</f>
        <v>13813693.32</v>
      </c>
    </row>
    <row r="79" spans="2:14" ht="20" customHeight="1" x14ac:dyDescent="0.2">
      <c r="B79" s="201" t="s">
        <v>80</v>
      </c>
      <c r="C79" s="202" t="s">
        <v>81</v>
      </c>
      <c r="D79" s="192">
        <f>IF(E11="",0,E11)</f>
        <v>40868468.799999997</v>
      </c>
    </row>
    <row r="80" spans="2:14" ht="20" customHeight="1" x14ac:dyDescent="0.2">
      <c r="B80" s="201" t="s">
        <v>82</v>
      </c>
      <c r="C80" s="202" t="s">
        <v>83</v>
      </c>
      <c r="D80" s="191">
        <f>IF(E26="",0,E26)</f>
        <v>469103962.04973102</v>
      </c>
    </row>
    <row r="81" spans="2:9" ht="20" customHeight="1" x14ac:dyDescent="0.2">
      <c r="B81" s="201" t="s">
        <v>84</v>
      </c>
      <c r="C81" s="202" t="s">
        <v>85</v>
      </c>
      <c r="D81" s="192">
        <f>IF(E10="",0,E10)</f>
        <v>162788612.639999</v>
      </c>
    </row>
    <row r="82" spans="2:9" ht="20" customHeight="1" x14ac:dyDescent="0.2">
      <c r="B82" s="201" t="s">
        <v>86</v>
      </c>
      <c r="C82" s="202" t="s">
        <v>87</v>
      </c>
      <c r="D82" s="192">
        <f>IF(E27="",0,E27)</f>
        <v>19182702.936000001</v>
      </c>
    </row>
    <row r="83" spans="2:9" ht="20" customHeight="1" x14ac:dyDescent="0.2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" customHeight="1" x14ac:dyDescent="0.2">
      <c r="B84" s="57" t="s">
        <v>152</v>
      </c>
      <c r="C84" s="58"/>
      <c r="D84" s="129">
        <f>SUM(D70:D83)</f>
        <v>2253342303.9954014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8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-4454325.9720908208</v>
      </c>
      <c r="I89" s="116"/>
    </row>
    <row r="90" spans="2:9" ht="20" customHeight="1" x14ac:dyDescent="0.2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-6176494.2459608121</v>
      </c>
      <c r="I90" s="116"/>
    </row>
    <row r="91" spans="2:9" ht="20" customHeight="1" x14ac:dyDescent="0.2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47221658.46462258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36590838.246570945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tabSelected="1" topLeftCell="A63" zoomScale="94" zoomScaleNormal="100" workbookViewId="0">
      <selection activeCell="B67" sqref="B67:D84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5.5" bestFit="1" customWidth="1"/>
    <col min="4" max="4" width="18.33203125" customWidth="1"/>
    <col min="5" max="5" width="15.33203125" customWidth="1"/>
    <col min="6" max="6" width="15.33203125" bestFit="1" customWidth="1"/>
    <col min="7" max="7" width="14.6640625" customWidth="1"/>
    <col min="8" max="8" width="15.5" customWidth="1"/>
    <col min="9" max="9" width="14.83203125" customWidth="1"/>
    <col min="10" max="10" width="9.33203125" customWidth="1"/>
    <col min="11" max="11" width="8.1640625" customWidth="1"/>
    <col min="12" max="12" width="11.1640625" bestFit="1" customWidth="1"/>
    <col min="13" max="13" width="13.5" bestFit="1" customWidth="1"/>
    <col min="14" max="14" width="12.1640625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MAX(0,NETWORKDAYS.INTL(MAX(TODAY(),DATE(YEAR(TODAY()),6,1)),EOMONTH(DATE(YEAR(TODAY()),6,1),0),11))</f>
        <v>3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307753716.84291101</v>
      </c>
      <c r="N8" s="11">
        <f>D24</f>
        <v>54527952.623471998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521802966.19105101</v>
      </c>
      <c r="N9" s="11">
        <f>D12+D13</f>
        <v>125476684.13623899</v>
      </c>
    </row>
    <row r="10" spans="2:14" x14ac:dyDescent="0.2">
      <c r="B10" s="74" t="s">
        <v>113</v>
      </c>
      <c r="C10" s="15">
        <v>297082035.51692301</v>
      </c>
      <c r="D10" s="15">
        <v>34369341.943994999</v>
      </c>
      <c r="E10" s="15">
        <v>146923320.16999999</v>
      </c>
      <c r="F10" s="15">
        <v>478374697.63091803</v>
      </c>
      <c r="H10" s="116"/>
      <c r="I10" s="116"/>
      <c r="J10" s="116"/>
      <c r="M10" s="11">
        <f>C14</f>
        <v>925152766.63129795</v>
      </c>
      <c r="N10" s="11">
        <f>D14</f>
        <v>24163356.285101</v>
      </c>
    </row>
    <row r="11" spans="2:14" x14ac:dyDescent="0.2">
      <c r="B11" s="74" t="s">
        <v>114</v>
      </c>
      <c r="C11" s="15">
        <v>329729489.37946999</v>
      </c>
      <c r="D11" s="15">
        <v>81843497.900104001</v>
      </c>
      <c r="E11" s="15">
        <v>3184684.68</v>
      </c>
      <c r="F11" s="15">
        <v>414757671.95957398</v>
      </c>
      <c r="H11" s="116"/>
      <c r="I11" s="116"/>
      <c r="J11" s="116"/>
      <c r="M11" s="11">
        <f>C17</f>
        <v>332352954.479056</v>
      </c>
      <c r="N11" s="11">
        <f>D17</f>
        <v>50693884.710000001</v>
      </c>
    </row>
    <row r="12" spans="2:14" x14ac:dyDescent="0.2">
      <c r="B12" s="74" t="s">
        <v>70</v>
      </c>
      <c r="C12" s="15">
        <v>291026416.37228101</v>
      </c>
      <c r="D12" s="15">
        <v>75758382.906425998</v>
      </c>
      <c r="E12" s="15">
        <v>50937670.039999999</v>
      </c>
      <c r="F12" s="15">
        <v>417722469.31870699</v>
      </c>
      <c r="H12" s="116"/>
      <c r="I12" s="116"/>
      <c r="J12" s="116"/>
      <c r="M12" s="11">
        <f>C16</f>
        <v>495575332.76947498</v>
      </c>
      <c r="N12" s="11">
        <f>D16</f>
        <v>87112399.032780007</v>
      </c>
    </row>
    <row r="13" spans="2:14" x14ac:dyDescent="0.2">
      <c r="B13" s="74" t="s">
        <v>115</v>
      </c>
      <c r="C13" s="15">
        <v>230776549.81876999</v>
      </c>
      <c r="D13" s="15">
        <v>49718301.229813002</v>
      </c>
      <c r="E13" s="15">
        <v>31661508.559999999</v>
      </c>
      <c r="F13" s="15">
        <v>312156359.60858297</v>
      </c>
      <c r="H13" s="116"/>
      <c r="I13" s="116"/>
      <c r="J13" s="116"/>
      <c r="M13" s="11">
        <f>C19</f>
        <v>925572098.93630195</v>
      </c>
      <c r="N13" s="11">
        <f>D19</f>
        <v>72361298.289833993</v>
      </c>
    </row>
    <row r="14" spans="2:14" x14ac:dyDescent="0.2">
      <c r="B14" s="74" t="s">
        <v>116</v>
      </c>
      <c r="C14" s="15">
        <v>925152766.63129795</v>
      </c>
      <c r="D14" s="15">
        <v>24163356.285101</v>
      </c>
      <c r="E14" s="15">
        <v>254227171.28999999</v>
      </c>
      <c r="F14" s="15">
        <v>1203543294.206399</v>
      </c>
      <c r="H14" s="116"/>
      <c r="I14" s="116"/>
      <c r="J14" s="116"/>
      <c r="M14" s="11">
        <f>C25</f>
        <v>424672142.44316101</v>
      </c>
      <c r="N14" s="11">
        <f>D25</f>
        <v>70966633.229874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329729489.37946999</v>
      </c>
      <c r="N15" s="11">
        <f>D11</f>
        <v>81843497.900104001</v>
      </c>
    </row>
    <row r="16" spans="2:14" x14ac:dyDescent="0.2">
      <c r="B16" s="74" t="s">
        <v>74</v>
      </c>
      <c r="C16" s="15">
        <v>495575332.76947498</v>
      </c>
      <c r="D16" s="15">
        <v>87112399.032780007</v>
      </c>
      <c r="E16" s="15">
        <v>31767414.07</v>
      </c>
      <c r="F16" s="15">
        <v>614455145.87225497</v>
      </c>
      <c r="H16" s="116"/>
      <c r="I16" s="116"/>
      <c r="J16" s="116"/>
      <c r="M16" s="11">
        <f>C26</f>
        <v>479013393.16178501</v>
      </c>
      <c r="N16" s="11">
        <f>D26</f>
        <v>47533692.915432997</v>
      </c>
    </row>
    <row r="17" spans="2:14" x14ac:dyDescent="0.2">
      <c r="B17" s="74" t="s">
        <v>118</v>
      </c>
      <c r="C17" s="15">
        <v>332352954.479056</v>
      </c>
      <c r="D17" s="15">
        <v>50693884.710000001</v>
      </c>
      <c r="E17" s="15" t="s">
        <v>168</v>
      </c>
      <c r="F17" s="15">
        <v>383046839.18905598</v>
      </c>
      <c r="H17" s="116"/>
      <c r="I17" s="116"/>
      <c r="J17" s="116"/>
      <c r="M17" s="11">
        <f>C10</f>
        <v>297082035.51692301</v>
      </c>
      <c r="N17" s="11">
        <f>D10</f>
        <v>34369341.943994999</v>
      </c>
    </row>
    <row r="18" spans="2:14" x14ac:dyDescent="0.2">
      <c r="B18" s="74" t="s">
        <v>119</v>
      </c>
      <c r="C18" s="15">
        <v>466716382.06798702</v>
      </c>
      <c r="D18" s="15">
        <v>7135511.989968</v>
      </c>
      <c r="E18" s="15">
        <v>9424918.8200000003</v>
      </c>
      <c r="F18" s="15">
        <v>483276812.87795502</v>
      </c>
      <c r="H18" s="116"/>
      <c r="I18" s="116"/>
      <c r="J18" s="116"/>
      <c r="M18" s="11">
        <f>C27</f>
        <v>748447071.87460399</v>
      </c>
      <c r="N18" s="11">
        <f>D27</f>
        <v>225366001.69207501</v>
      </c>
    </row>
    <row r="19" spans="2:14" x14ac:dyDescent="0.2">
      <c r="B19" s="74" t="s">
        <v>121</v>
      </c>
      <c r="C19" s="15">
        <v>925572098.93630195</v>
      </c>
      <c r="D19" s="15">
        <v>72361298.289833993</v>
      </c>
      <c r="E19" s="15">
        <v>1184987605.64995</v>
      </c>
      <c r="F19" s="15">
        <v>2182921002.8760862</v>
      </c>
      <c r="H19" s="116"/>
      <c r="I19" s="116"/>
      <c r="J19" s="116"/>
      <c r="M19" s="11">
        <f>C20+C21</f>
        <v>169134451.38244</v>
      </c>
      <c r="N19" s="11">
        <f>D20+D21</f>
        <v>133030524.166824</v>
      </c>
    </row>
    <row r="20" spans="2:14" x14ac:dyDescent="0.2">
      <c r="B20" s="74" t="s">
        <v>123</v>
      </c>
      <c r="C20" s="15">
        <v>115750140.88244</v>
      </c>
      <c r="D20" s="15">
        <v>22547772.839754</v>
      </c>
      <c r="E20" s="15">
        <v>10497297.48</v>
      </c>
      <c r="F20" s="15">
        <v>148795211.20219401</v>
      </c>
      <c r="H20" s="116"/>
      <c r="I20" s="116"/>
      <c r="J20" s="116"/>
      <c r="M20" s="14">
        <f>IFERROR(C31,0)+IFERROR(C15,0)+IFERROR(C36,0)</f>
        <v>2162297.3599800002</v>
      </c>
      <c r="N20" s="10" t="s">
        <v>120</v>
      </c>
    </row>
    <row r="21" spans="2:14" x14ac:dyDescent="0.2">
      <c r="B21" s="74" t="s">
        <v>124</v>
      </c>
      <c r="C21" s="15">
        <v>53384310.5</v>
      </c>
      <c r="D21" s="15">
        <v>110482751.32707</v>
      </c>
      <c r="E21" s="15">
        <v>80108109.620000005</v>
      </c>
      <c r="F21" s="15">
        <v>243975171.44707</v>
      </c>
      <c r="H21" s="116"/>
      <c r="I21" s="116"/>
      <c r="J21" s="116"/>
      <c r="M21" s="14">
        <f>IFERROR(C34,0)+IFERROR(C35,0)+M20</f>
        <v>739351366.15110695</v>
      </c>
      <c r="N21" s="10" t="s">
        <v>122</v>
      </c>
    </row>
    <row r="22" spans="2:14" x14ac:dyDescent="0.2">
      <c r="B22" s="74" t="s">
        <v>172</v>
      </c>
      <c r="C22" s="15">
        <v>167671841.09999999</v>
      </c>
      <c r="D22" s="15" t="s">
        <v>168</v>
      </c>
      <c r="E22" s="15">
        <v>9369369.1199999992</v>
      </c>
      <c r="F22" s="15">
        <v>177041210.22</v>
      </c>
      <c r="H22" s="116"/>
      <c r="I22" s="116"/>
      <c r="J22" s="116"/>
    </row>
    <row r="23" spans="2:14" x14ac:dyDescent="0.2">
      <c r="B23" s="74" t="s">
        <v>173</v>
      </c>
      <c r="C23" s="15">
        <v>388937679.18000001</v>
      </c>
      <c r="D23" s="15" t="s">
        <v>168</v>
      </c>
      <c r="E23" s="15">
        <v>12870720.380000001</v>
      </c>
      <c r="F23" s="15">
        <v>401808399.56</v>
      </c>
      <c r="H23" s="116"/>
      <c r="I23" s="116"/>
      <c r="J23" s="116"/>
    </row>
    <row r="24" spans="2:14" x14ac:dyDescent="0.2">
      <c r="B24" s="74" t="s">
        <v>125</v>
      </c>
      <c r="C24" s="15">
        <v>307753716.84291101</v>
      </c>
      <c r="D24" s="15">
        <v>54527952.623471998</v>
      </c>
      <c r="E24" s="15">
        <v>366957716.21986997</v>
      </c>
      <c r="F24" s="15">
        <v>729239385.68625295</v>
      </c>
      <c r="H24" s="116"/>
      <c r="I24" s="116"/>
      <c r="J24" s="116"/>
    </row>
    <row r="25" spans="2:14" x14ac:dyDescent="0.2">
      <c r="B25" s="74" t="s">
        <v>126</v>
      </c>
      <c r="C25" s="15">
        <v>424672142.44316101</v>
      </c>
      <c r="D25" s="15">
        <v>70966633.229874</v>
      </c>
      <c r="E25" s="15">
        <v>270203819.19935399</v>
      </c>
      <c r="F25" s="15">
        <v>765842594.87238896</v>
      </c>
      <c r="H25" s="116"/>
      <c r="I25" s="116"/>
      <c r="J25" s="116"/>
    </row>
    <row r="26" spans="2:14" x14ac:dyDescent="0.2">
      <c r="B26" s="74" t="s">
        <v>127</v>
      </c>
      <c r="C26" s="15">
        <v>479013393.16178501</v>
      </c>
      <c r="D26" s="15">
        <v>47533692.915432997</v>
      </c>
      <c r="E26" s="15">
        <v>544450998.28943503</v>
      </c>
      <c r="F26" s="15">
        <v>1070998084.366653</v>
      </c>
      <c r="H26" s="116"/>
      <c r="I26" s="116"/>
      <c r="J26" s="116"/>
    </row>
    <row r="27" spans="2:14" x14ac:dyDescent="0.2">
      <c r="B27" s="74" t="s">
        <v>128</v>
      </c>
      <c r="C27" s="15">
        <v>748447071.87460399</v>
      </c>
      <c r="D27" s="15">
        <v>225366001.69207501</v>
      </c>
      <c r="E27" s="15">
        <v>15391027.368000001</v>
      </c>
      <c r="F27" s="15">
        <v>989204100.93467903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4" t="s">
        <v>168</v>
      </c>
      <c r="C31" s="15">
        <v>1751297.35998</v>
      </c>
      <c r="G31" s="116"/>
      <c r="H31" s="116"/>
      <c r="I31" s="116"/>
    </row>
    <row r="32" spans="2:14" x14ac:dyDescent="0.2">
      <c r="B32" s="74" t="s">
        <v>132</v>
      </c>
      <c r="C32" s="15">
        <v>173546317.75486001</v>
      </c>
      <c r="G32" s="116"/>
      <c r="H32" s="116"/>
      <c r="I32" s="116"/>
    </row>
    <row r="33" spans="2:14" x14ac:dyDescent="0.2">
      <c r="B33" s="74" t="s">
        <v>133</v>
      </c>
      <c r="C33" s="15">
        <v>324270486.90761101</v>
      </c>
      <c r="G33" s="116"/>
      <c r="H33" s="116"/>
      <c r="I33" s="116"/>
    </row>
    <row r="34" spans="2:14" x14ac:dyDescent="0.2">
      <c r="B34" s="74" t="s">
        <v>134</v>
      </c>
      <c r="C34" s="15">
        <v>154235706.25148201</v>
      </c>
      <c r="G34" s="116"/>
      <c r="H34" s="116"/>
      <c r="I34" s="116"/>
    </row>
    <row r="35" spans="2:14" x14ac:dyDescent="0.2">
      <c r="B35" s="74" t="s">
        <v>135</v>
      </c>
      <c r="C35" s="15">
        <v>582953362.53964496</v>
      </c>
      <c r="G35" s="116"/>
      <c r="H35" s="116"/>
      <c r="I35" s="116"/>
    </row>
    <row r="36" spans="2:14" x14ac:dyDescent="0.2">
      <c r="B36" s="74" t="s">
        <v>136</v>
      </c>
      <c r="C36" s="15">
        <v>411000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16" t="s">
        <v>184</v>
      </c>
      <c r="C41" s="217"/>
      <c r="D41" s="218"/>
      <c r="E41" s="67" t="s">
        <v>138</v>
      </c>
      <c r="F41" s="73">
        <f ca="1">IF(MONTH(TODAY())=6,DAY(TODAY())/DAY(EOMONTH(TODAY(),0)),IF(MONTH(TODAY())&gt;6,1,0))</f>
        <v>0.9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6512897939.8884764</v>
      </c>
      <c r="F43" s="44">
        <f>IFERROR(E43/D43,0)</f>
        <v>0.89718243947145526</v>
      </c>
      <c r="G43" s="118">
        <f>D43-E43</f>
        <v>746381392.11152363</v>
      </c>
      <c r="H43" s="118">
        <f ca="1">IFERROR(G43/C3,0)</f>
        <v>248793797.37050787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1007445266.9257311</v>
      </c>
      <c r="F44" s="44">
        <f>IFERROR(E44/D44,0)</f>
        <v>0.55677645333513148</v>
      </c>
      <c r="G44" s="118">
        <f>D44-E44</f>
        <v>801979792.07426894</v>
      </c>
      <c r="H44" s="118">
        <f ca="1">IFERROR(G44/C3,0)</f>
        <v>267326597.35808966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1237168170.8135781</v>
      </c>
      <c r="F45" s="44">
        <f>IFERROR(E45/D45,0)</f>
        <v>0.67573392240362928</v>
      </c>
      <c r="G45" s="118">
        <f>D45-E45</f>
        <v>593682893.18642187</v>
      </c>
      <c r="H45" s="118">
        <f ca="1">IFERROR(G45/C3,0)</f>
        <v>197894297.7288073</v>
      </c>
      <c r="I45" s="116"/>
    </row>
    <row r="46" spans="2:14" ht="18.75" customHeight="1" x14ac:dyDescent="0.2">
      <c r="B46" s="222" t="s">
        <v>146</v>
      </c>
      <c r="C46" s="223"/>
      <c r="D46" s="47">
        <f>D43+D44+D45</f>
        <v>10899555455</v>
      </c>
      <c r="E46" s="47">
        <f>E43+E44+E45</f>
        <v>8757511377.6277847</v>
      </c>
      <c r="F46" s="43">
        <f>IFERROR(E46/D46,0)</f>
        <v>0.80347417963825429</v>
      </c>
      <c r="G46" s="119">
        <f>G43+G44+G45</f>
        <v>2142044077.3722143</v>
      </c>
      <c r="H46" s="119">
        <f ca="1">IFERROR(G46/C3,0)</f>
        <v>714014692.45740473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21.75" customHeight="1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19.5" customHeight="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20" customHeight="1" x14ac:dyDescent="0.2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307753716.84291101</v>
      </c>
      <c r="H51" s="122">
        <f>N8</f>
        <v>54527952.623471998</v>
      </c>
      <c r="I51" s="122">
        <f t="shared" ref="I51:I64" si="1">G51+H51</f>
        <v>362281669.46638298</v>
      </c>
      <c r="J51" s="61">
        <f t="shared" ref="J51:J64" si="2">IFERROR(I51/F51,0)</f>
        <v>0.6545123235602045</v>
      </c>
      <c r="K51" s="51">
        <f t="shared" ref="K51:M64" si="3">D51-G51</f>
        <v>143929761.15708899</v>
      </c>
      <c r="L51" s="51">
        <f t="shared" si="3"/>
        <v>47302470.376528002</v>
      </c>
      <c r="M51" s="51">
        <f t="shared" si="3"/>
        <v>191232231.53361702</v>
      </c>
      <c r="N51" s="51">
        <f ca="1">IFERROR(M51/C3,0)</f>
        <v>63744077.177872337</v>
      </c>
    </row>
    <row r="52" spans="2:14" ht="20" customHeight="1" x14ac:dyDescent="0.2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521802966.19105101</v>
      </c>
      <c r="H52" s="122">
        <f>N9</f>
        <v>125476684.13623899</v>
      </c>
      <c r="I52" s="122">
        <f t="shared" si="1"/>
        <v>647279650.32729006</v>
      </c>
      <c r="J52" s="61">
        <f t="shared" si="2"/>
        <v>0.79392646019056634</v>
      </c>
      <c r="K52" s="54">
        <f t="shared" si="3"/>
        <v>68379404.808948994</v>
      </c>
      <c r="L52" s="54">
        <f t="shared" si="3"/>
        <v>99630121.863761008</v>
      </c>
      <c r="M52" s="54">
        <f t="shared" si="3"/>
        <v>168009526.67270994</v>
      </c>
      <c r="N52" s="54">
        <f ca="1">IFERROR(M52/C3,0)</f>
        <v>56003175.557569981</v>
      </c>
    </row>
    <row r="53" spans="2:14" ht="20" customHeight="1" x14ac:dyDescent="0.2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24600475.633333337</v>
      </c>
    </row>
    <row r="54" spans="2:14" ht="20" customHeight="1" x14ac:dyDescent="0.2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925152766.63129795</v>
      </c>
      <c r="H54" s="122">
        <f t="shared" ref="H54:H58" si="4">N10</f>
        <v>24163356.285101</v>
      </c>
      <c r="I54" s="122">
        <f t="shared" si="1"/>
        <v>949316122.916399</v>
      </c>
      <c r="J54" s="61">
        <f t="shared" si="2"/>
        <v>1.3073200789005828</v>
      </c>
      <c r="K54" s="54">
        <f>D54-G54</f>
        <v>-279440294.63129795</v>
      </c>
      <c r="L54" s="54">
        <f t="shared" si="3"/>
        <v>56278491.714899004</v>
      </c>
      <c r="M54" s="54">
        <f t="shared" si="3"/>
        <v>-223161802.916399</v>
      </c>
      <c r="N54" s="54">
        <f ca="1">IFERROR(M54/C3,0)</f>
        <v>-74387267.638799667</v>
      </c>
    </row>
    <row r="55" spans="2:14" ht="20" customHeight="1" x14ac:dyDescent="0.2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332352954.479056</v>
      </c>
      <c r="H55" s="122">
        <f t="shared" si="4"/>
        <v>50693884.710000001</v>
      </c>
      <c r="I55" s="122">
        <f t="shared" si="1"/>
        <v>383046839.18905598</v>
      </c>
      <c r="J55" s="61">
        <f t="shared" si="2"/>
        <v>0.64985068119852341</v>
      </c>
      <c r="K55" s="54">
        <f t="shared" si="3"/>
        <v>176565877.520944</v>
      </c>
      <c r="L55" s="54">
        <f t="shared" si="3"/>
        <v>29825519.289999999</v>
      </c>
      <c r="M55" s="54">
        <f t="shared" si="3"/>
        <v>206391396.81094402</v>
      </c>
      <c r="N55" s="54">
        <f ca="1">IFERROR(M55/C3,0)</f>
        <v>68797132.270314679</v>
      </c>
    </row>
    <row r="56" spans="2:14" ht="20" customHeight="1" x14ac:dyDescent="0.2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495575332.76947498</v>
      </c>
      <c r="H56" s="122">
        <f t="shared" si="4"/>
        <v>87112399.032780007</v>
      </c>
      <c r="I56" s="122">
        <f t="shared" si="1"/>
        <v>582687731.80225503</v>
      </c>
      <c r="J56" s="61">
        <f t="shared" si="2"/>
        <v>1.1158055584258308</v>
      </c>
      <c r="K56" s="54">
        <f t="shared" si="3"/>
        <v>-55512048.769474983</v>
      </c>
      <c r="L56" s="54">
        <f t="shared" si="3"/>
        <v>-4963074.0327800065</v>
      </c>
      <c r="M56" s="54">
        <f t="shared" si="3"/>
        <v>-60475122.802255034</v>
      </c>
      <c r="N56" s="54">
        <f ca="1">IFERROR(M56/C3,0)</f>
        <v>-20158374.267418344</v>
      </c>
    </row>
    <row r="57" spans="2:14" ht="20" customHeight="1" x14ac:dyDescent="0.2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925572098.93630195</v>
      </c>
      <c r="H57" s="122">
        <f t="shared" si="4"/>
        <v>72361298.289833993</v>
      </c>
      <c r="I57" s="122">
        <f t="shared" si="1"/>
        <v>997933397.22613597</v>
      </c>
      <c r="J57" s="61">
        <f t="shared" si="2"/>
        <v>0.88922799340263914</v>
      </c>
      <c r="K57" s="54">
        <f t="shared" si="3"/>
        <v>71186246.063698053</v>
      </c>
      <c r="L57" s="54">
        <f t="shared" si="3"/>
        <v>53127299.710166007</v>
      </c>
      <c r="M57" s="54">
        <f t="shared" si="3"/>
        <v>124313545.77386403</v>
      </c>
      <c r="N57" s="54">
        <f ca="1">IFERROR(M57/C3,0)</f>
        <v>41437848.591288008</v>
      </c>
    </row>
    <row r="58" spans="2:14" ht="20" customHeight="1" x14ac:dyDescent="0.2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424672142.44316101</v>
      </c>
      <c r="H58" s="122">
        <f t="shared" si="4"/>
        <v>70966633.229874</v>
      </c>
      <c r="I58" s="122">
        <f>G58+H58</f>
        <v>495638775.67303503</v>
      </c>
      <c r="J58" s="61">
        <f>IFERROR(I58/F58,0)</f>
        <v>0.77731592507670833</v>
      </c>
      <c r="K58" s="54">
        <f t="shared" si="3"/>
        <v>115614916.55683899</v>
      </c>
      <c r="L58" s="54">
        <f t="shared" si="3"/>
        <v>26374792.770126</v>
      </c>
      <c r="M58" s="54">
        <f t="shared" si="3"/>
        <v>141989709.32696497</v>
      </c>
      <c r="N58" s="54">
        <f ca="1">IFERROR(M58/C3,0)</f>
        <v>47329903.108988322</v>
      </c>
    </row>
    <row r="59" spans="2:14" ht="20" customHeight="1" x14ac:dyDescent="0.2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5065328.2733333306</v>
      </c>
    </row>
    <row r="60" spans="2:14" ht="20" customHeight="1" x14ac:dyDescent="0.2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329729489.37946999</v>
      </c>
      <c r="H60" s="122">
        <f t="shared" ref="H60:H64" si="5">N15</f>
        <v>81843497.900104001</v>
      </c>
      <c r="I60" s="122">
        <f t="shared" si="1"/>
        <v>411572987.27957398</v>
      </c>
      <c r="J60" s="61">
        <f t="shared" si="2"/>
        <v>0.67355955106635668</v>
      </c>
      <c r="K60" s="54">
        <f t="shared" si="3"/>
        <v>109287819.62053001</v>
      </c>
      <c r="L60" s="54">
        <f t="shared" si="3"/>
        <v>90180914.099895999</v>
      </c>
      <c r="M60" s="54">
        <f t="shared" si="3"/>
        <v>199468733.72042602</v>
      </c>
      <c r="N60" s="54">
        <f ca="1">IFERROR(M60/C3,0)</f>
        <v>66489577.906808674</v>
      </c>
    </row>
    <row r="61" spans="2:14" ht="20" customHeight="1" x14ac:dyDescent="0.2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479013393.16178501</v>
      </c>
      <c r="H61" s="122">
        <f t="shared" si="5"/>
        <v>47533692.915432997</v>
      </c>
      <c r="I61" s="122">
        <f t="shared" si="1"/>
        <v>526547086.077218</v>
      </c>
      <c r="J61" s="61">
        <f t="shared" si="2"/>
        <v>0.69380079984694742</v>
      </c>
      <c r="K61" s="54">
        <f t="shared" si="3"/>
        <v>187616202.83821499</v>
      </c>
      <c r="L61" s="54">
        <f t="shared" si="3"/>
        <v>44767929.084567003</v>
      </c>
      <c r="M61" s="54">
        <f t="shared" si="3"/>
        <v>232384131.922782</v>
      </c>
      <c r="N61" s="54">
        <f ca="1">IFERROR(M61/C3,0)</f>
        <v>77461377.307594001</v>
      </c>
    </row>
    <row r="62" spans="2:14" ht="20" customHeight="1" x14ac:dyDescent="0.2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297082035.51692301</v>
      </c>
      <c r="H62" s="122">
        <f t="shared" si="5"/>
        <v>34369341.943994999</v>
      </c>
      <c r="I62" s="122">
        <f t="shared" si="1"/>
        <v>331451377.46091801</v>
      </c>
      <c r="J62" s="61">
        <f t="shared" si="2"/>
        <v>0.63879809342297245</v>
      </c>
      <c r="K62" s="54">
        <f t="shared" si="3"/>
        <v>124460987.48307699</v>
      </c>
      <c r="L62" s="54">
        <f t="shared" si="3"/>
        <v>62954834.056005001</v>
      </c>
      <c r="M62" s="54">
        <f t="shared" si="3"/>
        <v>187415821.53908199</v>
      </c>
      <c r="N62" s="54">
        <f ca="1">IFERROR(M62/C3,0)</f>
        <v>62471940.513027333</v>
      </c>
    </row>
    <row r="63" spans="2:14" ht="20" customHeight="1" x14ac:dyDescent="0.2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748447071.87460399</v>
      </c>
      <c r="H63" s="122">
        <f t="shared" si="5"/>
        <v>225366001.69207501</v>
      </c>
      <c r="I63" s="122">
        <f t="shared" si="1"/>
        <v>973813073.566679</v>
      </c>
      <c r="J63" s="61">
        <f t="shared" si="2"/>
        <v>0.99194795738276276</v>
      </c>
      <c r="K63" s="54">
        <f t="shared" si="3"/>
        <v>-130096129.87460399</v>
      </c>
      <c r="L63" s="54">
        <f t="shared" si="3"/>
        <v>138000964.30792499</v>
      </c>
      <c r="M63" s="54">
        <f t="shared" si="3"/>
        <v>7904834.4333209991</v>
      </c>
      <c r="N63" s="54">
        <f ca="1">IFERROR(M63/C3,0)</f>
        <v>2634944.8111069999</v>
      </c>
    </row>
    <row r="64" spans="2:14" ht="20" customHeight="1" x14ac:dyDescent="0.2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169134451.38244</v>
      </c>
      <c r="H64" s="122">
        <f t="shared" si="5"/>
        <v>133030524.166824</v>
      </c>
      <c r="I64" s="122">
        <f t="shared" si="1"/>
        <v>302164975.54926401</v>
      </c>
      <c r="J64" s="61">
        <f t="shared" si="2"/>
        <v>0.51559084553643708</v>
      </c>
      <c r="K64" s="54">
        <f t="shared" si="3"/>
        <v>125391237.61756</v>
      </c>
      <c r="L64" s="54">
        <f t="shared" si="3"/>
        <v>158499528.83317602</v>
      </c>
      <c r="M64" s="54">
        <f t="shared" si="3"/>
        <v>283890766.45073599</v>
      </c>
      <c r="N64" s="54">
        <f ca="1">IFERROR(M64/C3,0)</f>
        <v>94630255.483578667</v>
      </c>
    </row>
    <row r="65" spans="2:14" ht="20" customHeight="1" x14ac:dyDescent="0.2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6512897939.8884764</v>
      </c>
      <c r="H65" s="152">
        <f>SUM(H51:H64)</f>
        <v>1007445266.9257311</v>
      </c>
      <c r="I65" s="152">
        <f>SUM(I51:I64)</f>
        <v>7520343206.814208</v>
      </c>
      <c r="J65" s="153">
        <f>IFERROR(I65/F65,0)</f>
        <v>0.8292632423080829</v>
      </c>
      <c r="K65" s="154">
        <f>SUM(K51:K64)</f>
        <v>746381392.11152422</v>
      </c>
      <c r="L65" s="154">
        <f>SUM(L51:L64)</f>
        <v>801979792.07426906</v>
      </c>
      <c r="M65" s="154">
        <f>SUM(M51:M64)</f>
        <v>1548361184.1857929</v>
      </c>
      <c r="N65" s="154">
        <f ca="1">IFERROR(M65/C3,0)</f>
        <v>516120394.72859764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20" customHeight="1" x14ac:dyDescent="0.2">
      <c r="B70" s="50" t="s">
        <v>67</v>
      </c>
      <c r="C70" s="55" t="s">
        <v>68</v>
      </c>
      <c r="D70" s="191">
        <f>IF(E24="",0,E24)</f>
        <v>366957716.21986997</v>
      </c>
    </row>
    <row r="71" spans="2:14" ht="20" customHeight="1" x14ac:dyDescent="0.2">
      <c r="B71" s="53" t="s">
        <v>69</v>
      </c>
      <c r="C71" s="56" t="s">
        <v>70</v>
      </c>
      <c r="D71" s="192">
        <f>IF(E12="",0,E12)+IF(E13="",0,E13)</f>
        <v>82599178.599999994</v>
      </c>
    </row>
    <row r="72" spans="2:14" ht="20" customHeight="1" x14ac:dyDescent="0.2">
      <c r="B72" s="53" t="s">
        <v>175</v>
      </c>
      <c r="C72" s="56" t="s">
        <v>176</v>
      </c>
      <c r="D72" s="192">
        <f>IF(E22="",0,E22)</f>
        <v>9369369.1199999992</v>
      </c>
    </row>
    <row r="73" spans="2:14" ht="20" customHeight="1" x14ac:dyDescent="0.2">
      <c r="B73" s="50" t="s">
        <v>71</v>
      </c>
      <c r="C73" s="55" t="s">
        <v>72</v>
      </c>
      <c r="D73" s="191">
        <f>IF(E14="",0,E14)</f>
        <v>254227171.28999999</v>
      </c>
    </row>
    <row r="74" spans="2:14" ht="20" customHeight="1" x14ac:dyDescent="0.2">
      <c r="B74" s="53" t="s">
        <v>73</v>
      </c>
      <c r="C74" s="56" t="s">
        <v>74</v>
      </c>
      <c r="D74" s="192">
        <f>0</f>
        <v>0</v>
      </c>
    </row>
    <row r="75" spans="2:14" ht="20" customHeight="1" x14ac:dyDescent="0.2">
      <c r="B75" s="50" t="s">
        <v>75</v>
      </c>
      <c r="C75" s="55" t="s">
        <v>74</v>
      </c>
      <c r="D75" s="192">
        <f>IF(E16="",0,E16)</f>
        <v>31767414.07</v>
      </c>
    </row>
    <row r="76" spans="2:14" ht="20" customHeight="1" x14ac:dyDescent="0.2">
      <c r="B76" s="53" t="s">
        <v>76</v>
      </c>
      <c r="C76" s="56" t="s">
        <v>77</v>
      </c>
      <c r="D76" s="192">
        <f>IF(E19="",0,E19)</f>
        <v>1184987605.64995</v>
      </c>
    </row>
    <row r="77" spans="2:14" ht="20" customHeight="1" x14ac:dyDescent="0.2">
      <c r="B77" s="50" t="s">
        <v>78</v>
      </c>
      <c r="C77" s="55" t="s">
        <v>79</v>
      </c>
      <c r="D77" s="191">
        <f>IF(E25="",0,E25)</f>
        <v>270203819.19935399</v>
      </c>
    </row>
    <row r="78" spans="2:14" ht="20" customHeight="1" x14ac:dyDescent="0.2">
      <c r="B78" s="53" t="s">
        <v>175</v>
      </c>
      <c r="C78" s="56" t="s">
        <v>177</v>
      </c>
      <c r="D78" s="192">
        <f>IF(E23="",0,E23)</f>
        <v>12870720.380000001</v>
      </c>
    </row>
    <row r="79" spans="2:14" ht="20" customHeight="1" x14ac:dyDescent="0.2">
      <c r="B79" s="53" t="s">
        <v>80</v>
      </c>
      <c r="C79" s="56" t="s">
        <v>81</v>
      </c>
      <c r="D79" s="192">
        <f>IF(E11="",0,E11)</f>
        <v>3184684.68</v>
      </c>
    </row>
    <row r="80" spans="2:14" ht="20" customHeight="1" x14ac:dyDescent="0.2">
      <c r="B80" s="50" t="s">
        <v>82</v>
      </c>
      <c r="C80" s="55" t="s">
        <v>83</v>
      </c>
      <c r="D80" s="191">
        <f>IF(E26="",0,E26)</f>
        <v>544450998.28943503</v>
      </c>
    </row>
    <row r="81" spans="2:9" ht="20" customHeight="1" x14ac:dyDescent="0.2">
      <c r="B81" s="53" t="s">
        <v>84</v>
      </c>
      <c r="C81" s="56" t="s">
        <v>85</v>
      </c>
      <c r="D81" s="192">
        <f>IF(E10="",0,E10)</f>
        <v>146923320.16999999</v>
      </c>
    </row>
    <row r="82" spans="2:9" ht="20" customHeight="1" x14ac:dyDescent="0.2">
      <c r="B82" s="50" t="s">
        <v>86</v>
      </c>
      <c r="C82" s="55" t="s">
        <v>87</v>
      </c>
      <c r="D82" s="192">
        <f>IF(E27="",0,E27)</f>
        <v>15391027.368000001</v>
      </c>
    </row>
    <row r="83" spans="2:9" ht="20" customHeight="1" x14ac:dyDescent="0.2">
      <c r="B83" s="53" t="s">
        <v>88</v>
      </c>
      <c r="C83" s="56" t="s">
        <v>89</v>
      </c>
      <c r="D83" s="192">
        <f>IF(E20="",0,E20)+IF(E21="",0,E21)</f>
        <v>90605407.100000009</v>
      </c>
    </row>
    <row r="84" spans="2:9" ht="20" customHeight="1" x14ac:dyDescent="0.2">
      <c r="B84" s="57" t="s">
        <v>152</v>
      </c>
      <c r="C84" s="58"/>
      <c r="D84" s="129">
        <f>SUM(D70:D83)</f>
        <v>3013538432.1366091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34.5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173546317.75486001</v>
      </c>
      <c r="F89" s="61">
        <f t="shared" ref="F89:F94" si="7">IFERROR(E89/D89,0)</f>
        <v>0.60780296865414618</v>
      </c>
      <c r="G89" s="125">
        <f>D89-E89</f>
        <v>111984235.24513999</v>
      </c>
      <c r="H89" s="125">
        <f ca="1">IFERROR(G89/C3,0)</f>
        <v>37328078.415046662</v>
      </c>
      <c r="I89" s="116"/>
    </row>
    <row r="90" spans="2:9" ht="20" customHeight="1" x14ac:dyDescent="0.2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324270486.90761101</v>
      </c>
      <c r="F90" s="61">
        <f t="shared" si="7"/>
        <v>0.75617233258788041</v>
      </c>
      <c r="G90" s="126">
        <f>D90-E90</f>
        <v>104560975.09238899</v>
      </c>
      <c r="H90" s="126">
        <f ca="1">IFERROR(G90/C3,0)</f>
        <v>34853658.364129663</v>
      </c>
      <c r="I90" s="116"/>
    </row>
    <row r="91" spans="2:9" ht="20" customHeight="1" x14ac:dyDescent="0.2">
      <c r="B91" s="50" t="s">
        <v>96</v>
      </c>
      <c r="C91" s="55" t="s">
        <v>97</v>
      </c>
      <c r="D91" s="125">
        <f>TARGETS!I24</f>
        <v>1116489049</v>
      </c>
      <c r="E91" s="122">
        <f>M21+M7</f>
        <v>739351366.15110695</v>
      </c>
      <c r="F91" s="61">
        <f t="shared" si="7"/>
        <v>0.66221103271305526</v>
      </c>
      <c r="G91" s="125">
        <f>D91-E91</f>
        <v>377137682.84889305</v>
      </c>
      <c r="H91" s="125">
        <f ca="1">IFERROR(G91/C3,0)</f>
        <v>125712560.94963102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1830851064</v>
      </c>
      <c r="E94" s="123">
        <f>SUM(E89:E93)</f>
        <v>1237168170.8135781</v>
      </c>
      <c r="F94" s="43">
        <f t="shared" si="7"/>
        <v>0.67573392240362928</v>
      </c>
      <c r="G94" s="119">
        <f>SUM(G89:G93)</f>
        <v>593682893.18642199</v>
      </c>
      <c r="H94" s="119">
        <f ca="1">IFERROR(G94/C3,0)</f>
        <v>197894297.72880733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topLeftCell="A67" zoomScaleNormal="100" workbookViewId="0">
      <selection activeCell="D70" sqref="D70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178</v>
      </c>
      <c r="C41" s="217"/>
      <c r="D41" s="21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162</v>
      </c>
      <c r="C41" s="217"/>
      <c r="D41" s="21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164</v>
      </c>
      <c r="C41" s="217"/>
      <c r="D41" s="21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166</v>
      </c>
      <c r="C41" s="217"/>
      <c r="D41" s="21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179</v>
      </c>
      <c r="C41" s="217"/>
      <c r="D41" s="21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181</v>
      </c>
      <c r="C41" s="217"/>
      <c r="D41" s="21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2026-06-27T02:02:24Z</dcterms:modified>
  <dc:language>en-US</dc:language>
</cp:coreProperties>
</file>