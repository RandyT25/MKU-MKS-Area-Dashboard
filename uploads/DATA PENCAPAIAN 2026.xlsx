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8" l="1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I52" i="8" l="1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<sst xmlns="http://schemas.openxmlformats.org/spreadsheetml/2006/main" count="1875" uniqueCount="185">
  <si>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</si>
  <si>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</si>
  <si>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</si>
  <si>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</si>
  <si>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</si>
  <si>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</si>
  <si>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</si>
  <si>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</si>
  <si>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</si>
  <si>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</si>
  <si>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</si>
  <si>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</si>
  <si>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</si>
  <si>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</si>
  <si>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</si>
  <si>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</si>
  <si>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</si>
  <si>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</si>
  <si>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</si>
  <si>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</si>
  <si>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</si>
  <si>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</si>
  <si>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</si>
  <si>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</si>
  <si>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</si>
  <si>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</si>
  <si>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</si>
  <si>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</si>
  <si>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</si>
  <si>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</si>
  <si>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</si>
  <si>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</si>
  <si>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</si>
  <si>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</si>
  <si>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</si>
  <si>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</si>
  <si>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</si>
  <si>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</si>
  <si>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</si>
  <si>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</si>
  <si>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</si>
  <si>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</si>
  <si>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</si>
  <si>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</si>
  <si>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</si>
  <si>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</si>
  <si>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</si>
  <si>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</si>
  <si>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</si>
  <si>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</si>
  <si>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</si>
  <si>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</si>
  <si>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</si>
  <si>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</si>
  <si>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</si>
  <si>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</si>
  <si>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</si>
  <si>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</si>
  <si>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</si>
  <si>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</si>
  <si>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</si>
  <si>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</si>
  <si>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</si>
  <si>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</si>
  <si>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</si>
  <si>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</si>
  <si>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</si>
  <si>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</si>
  <si>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</si>
  <si>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</si>
  <si>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</si>
  <si>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</si>
  <si>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</si>
  <si>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</si>
  <si>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</si>
  <si>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</si>
  <si>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</si>
  <si>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</si>
  <si>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</si>
  <si>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</si>
  <si>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</si>
  <si>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</si>
  <si>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</si>
  <si>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</si>
  <si>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</si>
  <si>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</si>
  <si>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</si>
  <si>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</si>
  <si>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</si>
  <si>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</si>
  <si>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</si>
  <si>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</si>
  <si>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</si>
  <si>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</si>
  <si>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</si>
  <si>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</si>
  <si>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</si>
  <si>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</si>
  <si>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</si>
  <si>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</si>
  <si>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</si>
  <si>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</si>
  <si>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</si>
  <si>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</si>
  <si>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</si>
  <si>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</si>
  <si>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</si>
  <si>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</si>
  <si>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</si>
  <si>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</si>
  <si>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</si>
  <si>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</si>
  <si>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</si>
  <si>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</si>
  <si>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</si>
  <si>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</si>
  <si>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</si>
  <si>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</si>
  <si>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</si>
  <si>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</si>
  <si>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</si>
  <si>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</si>
  <si>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</si>
  <si>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</si>
  <si>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</si>
  <si>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</si>
  <si>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</si>
  <si>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</si>
  <si>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</si>
  <si>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</si>
  <si>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</si>
  <si>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</si>
  <si>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</si>
  <si>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</si>
  <si>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</si>
  <si>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</si>
  <si>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</si>
  <si>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</si>
  <si>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</si>
  <si>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</si>
  <si>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</si>
  <si>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</si>
  <si>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</si>
  <si>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</si>
  <si>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</si>
  <si>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</si>
  <si>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</si>
  <si>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</si>
  <si>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</si>
  <si>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</si>
  <si>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</si>
  <si>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</si>
  <si>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</si>
  <si>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</si>
  <si>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</si>
  <si>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</si>
  <si>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</si>
  <si>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</si>
  <si>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</si>
  <si>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</si>
  <si>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</si>
  <si>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</si>
  <si>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</si>
  <si>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</si>
  <si>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</si>
  <si>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</si>
  <si>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</si>
  <si>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</si>
  <si>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</si>
  <si>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</si>
  <si>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</si>
  <si>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</si>
  <si>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</si>
  <si>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</si>
  <si>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</si>
  <si>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</si>
  <si>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</si>
  <si>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</si>
  <si>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</si>
  <si>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</si>
  <si>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</si>
  <si>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</si>
  <si>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</si>
  <si>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</si>
  <si>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12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</si>
</sst>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182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16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183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39549630.013225436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34724208.107293174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6860782.1712320447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81134620.291750655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9496507.7079102062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8496852.1867043748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2744088.8874999993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-2521794.2178766951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8174648.6007203832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5042969.0284339786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-1569820.9792962223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6925901.7647056282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6475758.7606265619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4725746.7285800241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11077259.83786739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7398395.5101358034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2162855.1851872131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5644469.1193200238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74273838.120518669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-835186.11976702884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-1158092.6711176522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8854060.9621167332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6860782.1712320521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76" zoomScaleNormal="100" workbookViewId="0">
      <selection activeCell="B87" sqref="B87:F9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16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153195189.70111299</v>
      </c>
      <c r="N8" s="11">
        <f>D24</f>
        <v>32846204.848972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250627839.900662</v>
      </c>
      <c r="N9" s="11">
        <f>D12+D13</f>
        <v>71329116.45788601</v>
      </c>
    </row>
    <row r="10" spans="2:14" x14ac:dyDescent="0.25">
      <c r="B10" s="74" t="s">
        <v>113</v>
      </c>
      <c r="C10" s="205">
        <v>130839777.299004</v>
      </c>
      <c r="D10" s="205">
        <v>21722428.966798998</v>
      </c>
      <c r="E10" s="205">
        <v>66503547.659999996</v>
      </c>
      <c r="F10" s="205">
        <v>219065753.92580301</v>
      </c>
      <c r="H10" s="116"/>
      <c r="I10" s="116"/>
      <c r="J10" s="116"/>
      <c r="M10" s="11">
        <f>C14</f>
        <v>433215286.78540802</v>
      </c>
      <c r="N10" s="11">
        <f>D14</f>
        <v>12320972.887556</v>
      </c>
    </row>
    <row r="11" spans="2:14" x14ac:dyDescent="0.25">
      <c r="B11" s="74" t="s">
        <v>114</v>
      </c>
      <c r="C11" s="205">
        <v>152764829.66363701</v>
      </c>
      <c r="D11" s="205">
        <v>43101386.330268003</v>
      </c>
      <c r="E11" s="205">
        <v>1783783.8</v>
      </c>
      <c r="F11" s="205">
        <v>197649999.79390499</v>
      </c>
      <c r="H11" s="116"/>
      <c r="I11" s="116"/>
      <c r="J11" s="116"/>
      <c r="M11" s="11">
        <f>C17</f>
        <v>130317566.0399</v>
      </c>
      <c r="N11" s="11">
        <f>D17</f>
        <v>46234425.210000001</v>
      </c>
    </row>
    <row r="12" spans="2:14" x14ac:dyDescent="0.25">
      <c r="B12" s="74" t="s">
        <v>70</v>
      </c>
      <c r="C12" s="205">
        <v>125164944.162646</v>
      </c>
      <c r="D12" s="205">
        <v>42800238.698071003</v>
      </c>
      <c r="E12" s="205">
        <v>29383539.879999999</v>
      </c>
      <c r="F12" s="205">
        <v>197348722.74071699</v>
      </c>
      <c r="H12" s="116"/>
      <c r="I12" s="116"/>
      <c r="J12" s="116"/>
      <c r="M12" s="11">
        <f>C16</f>
        <v>222105140.284545</v>
      </c>
      <c r="N12" s="11">
        <f>D16</f>
        <v>48462348.180826001</v>
      </c>
    </row>
    <row r="13" spans="2:14" x14ac:dyDescent="0.25">
      <c r="B13" s="74" t="s">
        <v>115</v>
      </c>
      <c r="C13" s="205">
        <v>125462895.73801599</v>
      </c>
      <c r="D13" s="205">
        <v>28528877.759815</v>
      </c>
      <c r="E13" s="205">
        <v>13913657.4</v>
      </c>
      <c r="F13" s="205">
        <v>167905430.89783099</v>
      </c>
      <c r="H13" s="116"/>
      <c r="I13" s="116"/>
      <c r="J13" s="116"/>
      <c r="M13" s="11">
        <f>C19</f>
        <v>428096248.31151998</v>
      </c>
      <c r="N13" s="11">
        <f>D19</f>
        <v>37956947.329939</v>
      </c>
    </row>
    <row r="14" spans="2:14" x14ac:dyDescent="0.25">
      <c r="B14" s="74" t="s">
        <v>116</v>
      </c>
      <c r="C14" s="205">
        <v>433215286.78540802</v>
      </c>
      <c r="D14" s="205">
        <v>12320972.887556</v>
      </c>
      <c r="E14" s="205">
        <v>106215495.69</v>
      </c>
      <c r="F14" s="205">
        <v>551751755.36296403</v>
      </c>
      <c r="H14" s="116"/>
      <c r="I14" s="116"/>
      <c r="J14" s="116"/>
      <c r="M14" s="11">
        <f>C25</f>
        <v>204127917.982434</v>
      </c>
      <c r="N14" s="11">
        <f>D25</f>
        <v>31250892.939971998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152764829.66363701</v>
      </c>
      <c r="N15" s="11">
        <f>D11</f>
        <v>43101386.330268003</v>
      </c>
    </row>
    <row r="16" spans="2:14" x14ac:dyDescent="0.25">
      <c r="B16" s="74" t="s">
        <v>74</v>
      </c>
      <c r="C16" s="205">
        <v>222105140.284545</v>
      </c>
      <c r="D16" s="205">
        <v>48462348.180826001</v>
      </c>
      <c r="E16" s="205">
        <v>17069909.699999999</v>
      </c>
      <c r="F16" s="205">
        <v>287637398.165371</v>
      </c>
      <c r="H16" s="116"/>
      <c r="I16" s="116"/>
      <c r="J16" s="116"/>
      <c r="M16" s="11">
        <f>C26</f>
        <v>253752191.761547</v>
      </c>
      <c r="N16" s="11">
        <f>D26</f>
        <v>25221940.735466</v>
      </c>
    </row>
    <row r="17" spans="2:14" x14ac:dyDescent="0.25">
      <c r="B17" s="74" t="s">
        <v>118</v>
      </c>
      <c r="C17" s="205">
        <v>130317566.0399</v>
      </c>
      <c r="D17" s="205">
        <v>46234425.210000001</v>
      </c>
      <c r="E17" s="205" t="s">
        <v>168</v>
      </c>
      <c r="F17" s="205">
        <v>176551991.24990001</v>
      </c>
      <c r="H17" s="116"/>
      <c r="I17" s="116"/>
      <c r="J17" s="116"/>
      <c r="M17" s="11">
        <f>C10</f>
        <v>130839777.299004</v>
      </c>
      <c r="N17" s="11">
        <f>D10</f>
        <v>21722428.966798998</v>
      </c>
    </row>
    <row r="18" spans="2:14" x14ac:dyDescent="0.25">
      <c r="B18" s="74" t="s">
        <v>119</v>
      </c>
      <c r="C18" s="205">
        <v>225060686.539051</v>
      </c>
      <c r="D18" s="205">
        <v>1380603.6099970001</v>
      </c>
      <c r="E18" s="205">
        <v>5040540.4800000004</v>
      </c>
      <c r="F18" s="205">
        <v>231481830.62904799</v>
      </c>
      <c r="H18" s="116"/>
      <c r="I18" s="116"/>
      <c r="J18" s="116"/>
      <c r="M18" s="11">
        <f>C27</f>
        <v>379735850.517847</v>
      </c>
      <c r="N18" s="11">
        <f>D27</f>
        <v>45812379.445509002</v>
      </c>
    </row>
    <row r="19" spans="2:14" x14ac:dyDescent="0.25">
      <c r="B19" s="74" t="s">
        <v>121</v>
      </c>
      <c r="C19" s="205">
        <v>428096248.31151998</v>
      </c>
      <c r="D19" s="205">
        <v>37956947.329939</v>
      </c>
      <c r="E19" s="205">
        <v>624812631.81997001</v>
      </c>
      <c r="F19" s="205">
        <v>1090865827.4614291</v>
      </c>
      <c r="H19" s="116"/>
      <c r="I19" s="116"/>
      <c r="J19" s="116"/>
      <c r="M19" s="11">
        <f>C20+C21</f>
        <v>81600040.120931</v>
      </c>
      <c r="N19" s="11">
        <f>D20+D21</f>
        <v>73847317.379317999</v>
      </c>
    </row>
    <row r="20" spans="2:14" x14ac:dyDescent="0.25">
      <c r="B20" s="74" t="s">
        <v>123</v>
      </c>
      <c r="C20" s="205">
        <v>54959402.120931</v>
      </c>
      <c r="D20" s="205">
        <v>16073745.839803999</v>
      </c>
      <c r="E20" s="205">
        <v>3048648.72</v>
      </c>
      <c r="F20" s="205">
        <v>74081796.680735007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5">
        <v>26640638</v>
      </c>
      <c r="D21" s="205">
        <v>57773571.539513998</v>
      </c>
      <c r="E21" s="205">
        <v>16627027.34</v>
      </c>
      <c r="F21" s="205">
        <v>101041236.87951399</v>
      </c>
      <c r="H21" s="116"/>
      <c r="I21" s="116"/>
      <c r="J21" s="116"/>
      <c r="M21" s="14">
        <f>IFERROR(C34,0)+IFERROR(C35,0)+M20</f>
        <v>393152452.68463802</v>
      </c>
      <c r="N21" s="10" t="s">
        <v>122</v>
      </c>
    </row>
    <row r="22" spans="2:14" x14ac:dyDescent="0.25">
      <c r="B22" s="74" t="s">
        <v>172</v>
      </c>
      <c r="C22" s="205">
        <v>67149256.400000006</v>
      </c>
      <c r="D22" s="205" t="s">
        <v>168</v>
      </c>
      <c r="E22" s="205">
        <v>4684684.5599999996</v>
      </c>
      <c r="F22" s="205">
        <v>71833940.959999993</v>
      </c>
      <c r="H22" s="116"/>
      <c r="I22" s="116"/>
      <c r="J22" s="116"/>
    </row>
    <row r="23" spans="2:14" x14ac:dyDescent="0.25">
      <c r="B23" s="74" t="s">
        <v>173</v>
      </c>
      <c r="C23" s="205">
        <v>153956388.84</v>
      </c>
      <c r="D23" s="205" t="s">
        <v>168</v>
      </c>
      <c r="E23" s="205">
        <v>5129098.96</v>
      </c>
      <c r="F23" s="205">
        <v>159085487.80000001</v>
      </c>
      <c r="H23" s="116"/>
      <c r="I23" s="116"/>
      <c r="J23" s="116"/>
    </row>
    <row r="24" spans="2:14" x14ac:dyDescent="0.25">
      <c r="B24" s="74" t="s">
        <v>125</v>
      </c>
      <c r="C24" s="205">
        <v>153195189.70111299</v>
      </c>
      <c r="D24" s="205">
        <v>32846204.848972</v>
      </c>
      <c r="E24" s="205">
        <v>166606130.99990001</v>
      </c>
      <c r="F24" s="205">
        <v>352647525.54998499</v>
      </c>
      <c r="H24" s="116"/>
      <c r="I24" s="116"/>
      <c r="J24" s="116"/>
    </row>
    <row r="25" spans="2:14" x14ac:dyDescent="0.25">
      <c r="B25" s="74" t="s">
        <v>126</v>
      </c>
      <c r="C25" s="205">
        <v>204127917.982434</v>
      </c>
      <c r="D25" s="205">
        <v>31250892.939971998</v>
      </c>
      <c r="E25" s="205">
        <v>120445452.11972</v>
      </c>
      <c r="F25" s="205">
        <v>355824263.042126</v>
      </c>
      <c r="H25" s="116"/>
      <c r="I25" s="116"/>
      <c r="J25" s="116"/>
    </row>
    <row r="26" spans="2:14" x14ac:dyDescent="0.25">
      <c r="B26" s="74" t="s">
        <v>127</v>
      </c>
      <c r="C26" s="205">
        <v>253752191.761547</v>
      </c>
      <c r="D26" s="205">
        <v>25221940.735466</v>
      </c>
      <c r="E26" s="205">
        <v>271402077.39973497</v>
      </c>
      <c r="F26" s="205">
        <v>550376209.89674795</v>
      </c>
      <c r="H26" s="116"/>
      <c r="I26" s="116"/>
      <c r="J26" s="116"/>
    </row>
    <row r="27" spans="2:14" x14ac:dyDescent="0.25">
      <c r="B27" s="74" t="s">
        <v>128</v>
      </c>
      <c r="C27" s="205">
        <v>379735850.517847</v>
      </c>
      <c r="D27" s="205">
        <v>45812379.445509002</v>
      </c>
      <c r="E27" s="205">
        <v>5677297.4550000001</v>
      </c>
      <c r="F27" s="205">
        <v>431225527.418356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91679166.169450998</v>
      </c>
      <c r="G32" s="116"/>
      <c r="H32" s="116"/>
      <c r="I32" s="116"/>
    </row>
    <row r="33" spans="2:14" x14ac:dyDescent="0.25">
      <c r="B33" s="84" t="s">
        <v>133</v>
      </c>
      <c r="C33" s="206">
        <v>162873681.99740502</v>
      </c>
      <c r="G33" s="116"/>
      <c r="H33" s="116"/>
      <c r="I33" s="116"/>
    </row>
    <row r="34" spans="2:14" x14ac:dyDescent="0.25">
      <c r="B34" s="84" t="s">
        <v>134</v>
      </c>
      <c r="C34" s="205">
        <v>79474968.432062</v>
      </c>
      <c r="G34" s="116"/>
      <c r="H34" s="116"/>
      <c r="I34" s="116"/>
    </row>
    <row r="35" spans="2:14" x14ac:dyDescent="0.25">
      <c r="B35" s="84" t="s">
        <v>135</v>
      </c>
      <c r="C35" s="205">
        <v>313266484.25257599</v>
      </c>
      <c r="G35" s="116"/>
      <c r="H35" s="116"/>
      <c r="I35" s="116"/>
    </row>
    <row r="36" spans="2:14" x14ac:dyDescent="0.25">
      <c r="B36" s="84" t="s">
        <v>136</v>
      </c>
      <c r="C36" s="205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184</v>
      </c>
      <c r="C41" s="226"/>
      <c r="D41" s="227"/>
      <c r="E41" s="67" t="s">
        <v>138</v>
      </c>
      <c r="F41" s="73">
        <f ca="1">IF(MONTH(TODAY())=6,DAY(TODAY())/DAY(EOMONTH(TODAY(),0)),IF(MONTH(TODAY())&gt;6,1,0))</f>
        <v>0.4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3041483523.6085486</v>
      </c>
      <c r="F43" s="44">
        <f>IFERROR(E43/D43,0)</f>
        <v>0.41897871462270775</v>
      </c>
      <c r="G43" s="118">
        <f>D43-E43</f>
        <v>4217795808.3914514</v>
      </c>
      <c r="H43" s="118">
        <f ca="1">IFERROR(G43/C3,0)</f>
        <v>263612238.02446571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490106360.71251106</v>
      </c>
      <c r="F44" s="44">
        <f>IFERROR(E44/D44,0)</f>
        <v>0.27086303368837727</v>
      </c>
      <c r="G44" s="118">
        <f>D44-E44</f>
        <v>1319318698.2874889</v>
      </c>
      <c r="H44" s="118">
        <f ca="1">IFERROR(G44/C3,0)</f>
        <v>82457418.642968059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647705300.85149407</v>
      </c>
      <c r="F45" s="44">
        <f>IFERROR(E45/D45,0)</f>
        <v>0.35377279648099985</v>
      </c>
      <c r="G45" s="118">
        <f>D45-E45</f>
        <v>1183145763.1485059</v>
      </c>
      <c r="H45" s="118">
        <f ca="1">IFERROR(G45/C3,0)</f>
        <v>73946610.19678162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4179295185.172554</v>
      </c>
      <c r="F46" s="43">
        <f>IFERROR(E46/D46,0)</f>
        <v>0.38343721470359304</v>
      </c>
      <c r="G46" s="119">
        <f>G43+G44+G45</f>
        <v>6720260269.827446</v>
      </c>
      <c r="H46" s="119">
        <f ca="1">IFERROR(G46/C3,0)</f>
        <v>420016266.86421537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153195189.70111299</v>
      </c>
      <c r="H51" s="122">
        <f>N8</f>
        <v>32846204.848972</v>
      </c>
      <c r="I51" s="122">
        <f t="shared" ref="I51:I64" si="1">G51+H51</f>
        <v>186041394.55008498</v>
      </c>
      <c r="J51" s="61">
        <f t="shared" ref="J51:J64" si="2">IFERROR(I51/F51,0)</f>
        <v>0.33610970603263129</v>
      </c>
      <c r="K51" s="51">
        <f t="shared" ref="K51:M64" si="3">D51-G51</f>
        <v>298488288.29888701</v>
      </c>
      <c r="L51" s="51">
        <f t="shared" si="3"/>
        <v>68984218.151028007</v>
      </c>
      <c r="M51" s="51">
        <f t="shared" si="3"/>
        <v>367472506.44991505</v>
      </c>
      <c r="N51" s="51">
        <f ca="1">IFERROR(M51/C3,0)</f>
        <v>22967031.653119691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250627839.900662</v>
      </c>
      <c r="H52" s="122">
        <f>N9</f>
        <v>71329116.45788601</v>
      </c>
      <c r="I52" s="122">
        <f t="shared" si="1"/>
        <v>321956956.35854805</v>
      </c>
      <c r="J52" s="61">
        <f t="shared" si="2"/>
        <v>0.39489909278968394</v>
      </c>
      <c r="K52" s="54">
        <f t="shared" si="3"/>
        <v>339554531.099338</v>
      </c>
      <c r="L52" s="54">
        <f t="shared" si="3"/>
        <v>153777689.54211399</v>
      </c>
      <c r="M52" s="54">
        <f t="shared" si="3"/>
        <v>493332220.64145195</v>
      </c>
      <c r="N52" s="54">
        <f ca="1">IFERROR(M52/C3,0)</f>
        <v>30833263.790090747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67149256.400000006</v>
      </c>
      <c r="H53" s="122">
        <f>IF(D22="",0,D22)</f>
        <v>0</v>
      </c>
      <c r="I53" s="122">
        <f>G53+H53</f>
        <v>67149256.400000006</v>
      </c>
      <c r="J53" s="61">
        <f>IFERROR(I53/F53,0)</f>
        <v>0.27808153240382699</v>
      </c>
      <c r="K53" s="54">
        <f>D53-G53</f>
        <v>174324011.59999999</v>
      </c>
      <c r="L53" s="54">
        <f>E53-H53</f>
        <v>0</v>
      </c>
      <c r="M53" s="54">
        <f>F53-I53</f>
        <v>174324011.59999999</v>
      </c>
      <c r="N53" s="54">
        <f ca="1">IFERROR(M53/C3,0)</f>
        <v>10895250.725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433215286.78540802</v>
      </c>
      <c r="H54" s="122">
        <f t="shared" ref="H54:H58" si="4">N10</f>
        <v>12320972.887556</v>
      </c>
      <c r="I54" s="122">
        <f t="shared" si="1"/>
        <v>445536259.67296404</v>
      </c>
      <c r="J54" s="61">
        <f t="shared" si="2"/>
        <v>0.61355588943265393</v>
      </c>
      <c r="K54" s="54">
        <f>D54-G54</f>
        <v>212497185.21459198</v>
      </c>
      <c r="L54" s="54">
        <f t="shared" si="3"/>
        <v>68120875.112443998</v>
      </c>
      <c r="M54" s="54">
        <f t="shared" si="3"/>
        <v>280618060.32703596</v>
      </c>
      <c r="N54" s="54">
        <f ca="1">IFERROR(M54/C3,0)</f>
        <v>17538628.770439748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130317566.0399</v>
      </c>
      <c r="H55" s="122">
        <f t="shared" si="4"/>
        <v>46234425.210000001</v>
      </c>
      <c r="I55" s="122">
        <f t="shared" si="1"/>
        <v>176551991.24990001</v>
      </c>
      <c r="J55" s="61">
        <f t="shared" si="2"/>
        <v>0.29952585439316498</v>
      </c>
      <c r="K55" s="54">
        <f t="shared" si="3"/>
        <v>378601265.9601</v>
      </c>
      <c r="L55" s="54">
        <f t="shared" si="3"/>
        <v>34284978.789999999</v>
      </c>
      <c r="M55" s="54">
        <f t="shared" si="3"/>
        <v>412886244.75010002</v>
      </c>
      <c r="N55" s="54">
        <f ca="1">IFERROR(M55/C3,0)</f>
        <v>25805390.296881251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222105140.284545</v>
      </c>
      <c r="H56" s="122">
        <f t="shared" si="4"/>
        <v>48462348.180826001</v>
      </c>
      <c r="I56" s="122">
        <f t="shared" si="1"/>
        <v>270567488.46537101</v>
      </c>
      <c r="J56" s="61">
        <f t="shared" si="2"/>
        <v>0.51811749429698473</v>
      </c>
      <c r="K56" s="54">
        <f t="shared" si="3"/>
        <v>217958143.715455</v>
      </c>
      <c r="L56" s="54">
        <f t="shared" si="3"/>
        <v>33686976.819173999</v>
      </c>
      <c r="M56" s="54">
        <f t="shared" si="3"/>
        <v>251645120.53462899</v>
      </c>
      <c r="N56" s="54">
        <f ca="1">IFERROR(M56/C3,0)</f>
        <v>15727820.033414312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428096248.31151998</v>
      </c>
      <c r="H57" s="122">
        <f t="shared" si="4"/>
        <v>37956947.329939</v>
      </c>
      <c r="I57" s="122">
        <f t="shared" si="1"/>
        <v>466053195.64145899</v>
      </c>
      <c r="J57" s="61">
        <f t="shared" si="2"/>
        <v>0.41528577872139411</v>
      </c>
      <c r="K57" s="54">
        <f t="shared" si="3"/>
        <v>568662096.68848002</v>
      </c>
      <c r="L57" s="54">
        <f t="shared" si="3"/>
        <v>87531650.670060992</v>
      </c>
      <c r="M57" s="54">
        <f t="shared" si="3"/>
        <v>656193747.35854101</v>
      </c>
      <c r="N57" s="54">
        <f ca="1">IFERROR(M57/C3,0)</f>
        <v>41012109.209908813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204127917.982434</v>
      </c>
      <c r="H58" s="122">
        <f t="shared" si="4"/>
        <v>31250892.939971998</v>
      </c>
      <c r="I58" s="122">
        <f>G58+H58</f>
        <v>235378810.92240602</v>
      </c>
      <c r="J58" s="61">
        <f>IFERROR(I58/F58,0)</f>
        <v>0.369147264370421</v>
      </c>
      <c r="K58" s="54">
        <f t="shared" si="3"/>
        <v>336159141.01756597</v>
      </c>
      <c r="L58" s="54">
        <f t="shared" si="3"/>
        <v>66090533.060028002</v>
      </c>
      <c r="M58" s="54">
        <f t="shared" si="3"/>
        <v>402249674.07759398</v>
      </c>
      <c r="N58" s="54">
        <f ca="1">IFERROR(M58/C3,0)</f>
        <v>25140604.629849624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153956388.84</v>
      </c>
      <c r="H59" s="122">
        <f>IF(D23="",0,D23)</f>
        <v>0</v>
      </c>
      <c r="I59" s="122">
        <f>G59+H59</f>
        <v>153956388.84</v>
      </c>
      <c r="J59" s="61">
        <f>IFERROR(I59/F59,0)</f>
        <v>0.38095413115597321</v>
      </c>
      <c r="K59" s="54">
        <f>D59-G59</f>
        <v>250177275.16</v>
      </c>
      <c r="L59" s="54">
        <f>E59-H59</f>
        <v>0</v>
      </c>
      <c r="M59" s="54">
        <f>F59-I59</f>
        <v>250177275.16</v>
      </c>
      <c r="N59" s="54">
        <f ca="1">IFERROR(M59/C3,0)</f>
        <v>15636079.6975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152764829.66363701</v>
      </c>
      <c r="H60" s="122">
        <f t="shared" ref="H60:H64" si="5">N15</f>
        <v>43101386.330268003</v>
      </c>
      <c r="I60" s="122">
        <f t="shared" si="1"/>
        <v>195866215.99390501</v>
      </c>
      <c r="J60" s="61">
        <f t="shared" si="2"/>
        <v>0.32054475048505732</v>
      </c>
      <c r="K60" s="54">
        <f t="shared" si="3"/>
        <v>286252479.33636296</v>
      </c>
      <c r="L60" s="54">
        <f t="shared" si="3"/>
        <v>128923025.669732</v>
      </c>
      <c r="M60" s="54">
        <f t="shared" si="3"/>
        <v>415175505.00609499</v>
      </c>
      <c r="N60" s="54">
        <f ca="1">IFERROR(M60/C3,0)</f>
        <v>25948469.062880937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253752191.761547</v>
      </c>
      <c r="H61" s="122">
        <f t="shared" si="5"/>
        <v>25221940.735466</v>
      </c>
      <c r="I61" s="122">
        <f t="shared" si="1"/>
        <v>278974132.49701297</v>
      </c>
      <c r="J61" s="61">
        <f t="shared" si="2"/>
        <v>0.36758816330179339</v>
      </c>
      <c r="K61" s="54">
        <f t="shared" si="3"/>
        <v>412877404.23845303</v>
      </c>
      <c r="L61" s="54">
        <f t="shared" si="3"/>
        <v>67079681.264533997</v>
      </c>
      <c r="M61" s="54">
        <f t="shared" si="3"/>
        <v>479957085.50298703</v>
      </c>
      <c r="N61" s="54">
        <f ca="1">IFERROR(M61/C3,0)</f>
        <v>29997317.843936689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130839777.299004</v>
      </c>
      <c r="H62" s="122">
        <f t="shared" si="5"/>
        <v>21722428.966798998</v>
      </c>
      <c r="I62" s="122">
        <f t="shared" si="1"/>
        <v>152562206.26580301</v>
      </c>
      <c r="J62" s="61">
        <f t="shared" si="2"/>
        <v>0.29402939048726223</v>
      </c>
      <c r="K62" s="54">
        <f t="shared" si="3"/>
        <v>290703245.70099598</v>
      </c>
      <c r="L62" s="54">
        <f t="shared" si="3"/>
        <v>75601747.033201009</v>
      </c>
      <c r="M62" s="54">
        <f t="shared" si="3"/>
        <v>366304992.73419702</v>
      </c>
      <c r="N62" s="54">
        <f ca="1">IFERROR(M62/C3,0)</f>
        <v>22894062.045887314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379735850.517847</v>
      </c>
      <c r="H63" s="122">
        <f t="shared" si="5"/>
        <v>45812379.445509002</v>
      </c>
      <c r="I63" s="122">
        <f t="shared" si="1"/>
        <v>425548229.96335602</v>
      </c>
      <c r="J63" s="61">
        <f t="shared" si="2"/>
        <v>0.43347302366145285</v>
      </c>
      <c r="K63" s="54">
        <f t="shared" si="3"/>
        <v>238615091.482153</v>
      </c>
      <c r="L63" s="54">
        <f t="shared" si="3"/>
        <v>317554586.55449098</v>
      </c>
      <c r="M63" s="54">
        <f t="shared" si="3"/>
        <v>556169678.03664398</v>
      </c>
      <c r="N63" s="54">
        <f ca="1">IFERROR(M63/C3,0)</f>
        <v>34760604.877290249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81600040.120931</v>
      </c>
      <c r="H64" s="122">
        <f t="shared" si="5"/>
        <v>73847317.379317999</v>
      </c>
      <c r="I64" s="122">
        <f t="shared" si="1"/>
        <v>155447357.500249</v>
      </c>
      <c r="J64" s="61">
        <f t="shared" si="2"/>
        <v>0.26524329745454317</v>
      </c>
      <c r="K64" s="54">
        <f t="shared" si="3"/>
        <v>212925648.879069</v>
      </c>
      <c r="L64" s="54">
        <f t="shared" si="3"/>
        <v>217682735.620682</v>
      </c>
      <c r="M64" s="54">
        <f t="shared" si="3"/>
        <v>430608384.49975097</v>
      </c>
      <c r="N64" s="54">
        <f ca="1">IFERROR(M64/C3,0)</f>
        <v>26913024.031234436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3041483523.6085486</v>
      </c>
      <c r="H65" s="152">
        <f>SUM(H51:H64)</f>
        <v>490106360.71251106</v>
      </c>
      <c r="I65" s="152">
        <f>SUM(I51:I64)</f>
        <v>3531589884.3210592</v>
      </c>
      <c r="J65" s="153">
        <f>IFERROR(I65/F65,0)</f>
        <v>0.38942606706046057</v>
      </c>
      <c r="K65" s="154">
        <f>SUM(K51:K64)</f>
        <v>4217795808.3914518</v>
      </c>
      <c r="L65" s="154">
        <f>SUM(L51:L64)</f>
        <v>1319318698.2874889</v>
      </c>
      <c r="M65" s="154">
        <f>SUM(M51:M64)</f>
        <v>5537114506.6789408</v>
      </c>
      <c r="N65" s="154">
        <f ca="1">IFERROR(M65/C3,0)</f>
        <v>346069656.6674338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91">
        <f>IF(E24="",0,E24)</f>
        <v>166606130.99990001</v>
      </c>
    </row>
    <row r="71" spans="2:14" ht="20.100000000000001" customHeight="1" x14ac:dyDescent="0.25">
      <c r="B71" s="53" t="s">
        <v>69</v>
      </c>
      <c r="C71" s="56" t="s">
        <v>70</v>
      </c>
      <c r="D71" s="192">
        <f>IF(E12="",0,E12)+IF(E13="",0,E13)</f>
        <v>43297197.280000001</v>
      </c>
    </row>
    <row r="72" spans="2:14" ht="20.100000000000001" customHeight="1" x14ac:dyDescent="0.25">
      <c r="B72" s="53" t="s">
        <v>175</v>
      </c>
      <c r="C72" s="56" t="s">
        <v>176</v>
      </c>
      <c r="D72" s="192">
        <f>IF(E22="",0,E22)</f>
        <v>4684684.5599999996</v>
      </c>
    </row>
    <row r="73" spans="2:14" ht="20.100000000000001" customHeight="1" x14ac:dyDescent="0.25">
      <c r="B73" s="50" t="s">
        <v>71</v>
      </c>
      <c r="C73" s="55" t="s">
        <v>72</v>
      </c>
      <c r="D73" s="191">
        <f>IF(E14="",0,E14)</f>
        <v>106215495.69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92">
        <f>IF(E16="",0,E16)</f>
        <v>17069909.699999999</v>
      </c>
    </row>
    <row r="76" spans="2:14" ht="20.100000000000001" customHeight="1" x14ac:dyDescent="0.25">
      <c r="B76" s="53" t="s">
        <v>76</v>
      </c>
      <c r="C76" s="56" t="s">
        <v>77</v>
      </c>
      <c r="D76" s="192">
        <f>IF(E19="",0,E19)</f>
        <v>624812631.81997001</v>
      </c>
    </row>
    <row r="77" spans="2:14" ht="20.100000000000001" customHeight="1" x14ac:dyDescent="0.25">
      <c r="B77" s="50" t="s">
        <v>78</v>
      </c>
      <c r="C77" s="55" t="s">
        <v>79</v>
      </c>
      <c r="D77" s="191">
        <f>IF(E25="",0,E25)</f>
        <v>120445452.11972</v>
      </c>
    </row>
    <row r="78" spans="2:14" ht="20.100000000000001" customHeight="1" x14ac:dyDescent="0.25">
      <c r="B78" s="53" t="s">
        <v>175</v>
      </c>
      <c r="C78" s="56" t="s">
        <v>177</v>
      </c>
      <c r="D78" s="192">
        <f>IF(E23="",0,E23)</f>
        <v>5129098.96</v>
      </c>
    </row>
    <row r="79" spans="2:14" ht="20.100000000000001" customHeight="1" x14ac:dyDescent="0.25">
      <c r="B79" s="53" t="s">
        <v>80</v>
      </c>
      <c r="C79" s="56" t="s">
        <v>81</v>
      </c>
      <c r="D79" s="192">
        <f>IF(E11="",0,E11)</f>
        <v>1783783.8</v>
      </c>
    </row>
    <row r="80" spans="2:14" ht="20.100000000000001" customHeight="1" x14ac:dyDescent="0.25">
      <c r="B80" s="50" t="s">
        <v>82</v>
      </c>
      <c r="C80" s="55" t="s">
        <v>83</v>
      </c>
      <c r="D80" s="191">
        <f>IF(E26="",0,E26)</f>
        <v>271402077.39973497</v>
      </c>
    </row>
    <row r="81" spans="2:9" ht="20.100000000000001" customHeight="1" x14ac:dyDescent="0.25">
      <c r="B81" s="53" t="s">
        <v>84</v>
      </c>
      <c r="C81" s="56" t="s">
        <v>85</v>
      </c>
      <c r="D81" s="192">
        <f>IF(E10="",0,E10)</f>
        <v>66503547.659999996</v>
      </c>
    </row>
    <row r="82" spans="2:9" ht="20.100000000000001" customHeight="1" x14ac:dyDescent="0.25">
      <c r="B82" s="50" t="s">
        <v>86</v>
      </c>
      <c r="C82" s="55" t="s">
        <v>87</v>
      </c>
      <c r="D82" s="192">
        <f>IF(E27="",0,E27)</f>
        <v>5677297.4550000001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f>IF(E20="",0,E20)+IF(E21="",0,E21)</f>
        <v>19675676.059999999</v>
      </c>
    </row>
    <row r="84" spans="2:9" ht="20.100000000000001" customHeight="1" x14ac:dyDescent="0.25">
      <c r="B84" s="57" t="s">
        <v>152</v>
      </c>
      <c r="C84" s="58"/>
      <c r="D84" s="129">
        <f>SUM(D70:D83)</f>
        <v>1453302983.5043249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91679166.169450998</v>
      </c>
      <c r="F89" s="61">
        <f t="shared" ref="F89:F94" si="7">IFERROR(E89/D89,0)</f>
        <v>0.32108355903142527</v>
      </c>
      <c r="G89" s="125">
        <f>D89-E89</f>
        <v>193851386.830549</v>
      </c>
      <c r="H89" s="125">
        <f ca="1">IFERROR(G89/C3,0)</f>
        <v>12115711.676909313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162873681.99740502</v>
      </c>
      <c r="F90" s="61">
        <f t="shared" si="7"/>
        <v>0.37980814476108804</v>
      </c>
      <c r="G90" s="126">
        <f>D90-E90</f>
        <v>265957780.00259498</v>
      </c>
      <c r="H90" s="126">
        <f ca="1">IFERROR(G90/C3,0)</f>
        <v>16622361.250162186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393152452.68463802</v>
      </c>
      <c r="F91" s="61">
        <f t="shared" si="7"/>
        <v>0.35213283375844201</v>
      </c>
      <c r="G91" s="125">
        <f>D91-E91</f>
        <v>723336596.31536198</v>
      </c>
      <c r="H91" s="125">
        <f ca="1">IFERROR(G91/C3,0)</f>
        <v>45208537.269710124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647705300.85149407</v>
      </c>
      <c r="F94" s="43">
        <f t="shared" si="7"/>
        <v>0.35377279648099985</v>
      </c>
      <c r="G94" s="119">
        <f>SUM(G89:G93)</f>
        <v>1183145763.1485059</v>
      </c>
      <c r="H94" s="119">
        <f ca="1">IFERROR(G94/C3,0)</f>
        <v>73946610.19678162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179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181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2026-06-12T04:07:26Z</dcterms:modified>
  <dc:language>en-US</dc:language>
</cp:coreProperties>
</file>