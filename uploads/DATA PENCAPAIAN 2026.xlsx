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1" i="8" l="1"/>
  <c r="D72" i="8"/>
  <c r="D73" i="8"/>
  <c r="D74" i="8"/>
  <c r="D76" i="8"/>
  <c r="D77" i="8"/>
  <c r="D78" i="8"/>
  <c r="D79" i="8"/>
  <c r="D80" i="8"/>
  <c r="D81" i="8"/>
  <c r="D82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F61" i="8" s="1"/>
  <c r="E60" i="8"/>
  <c r="E59" i="8"/>
  <c r="E58" i="8"/>
  <c r="F58" i="8" s="1"/>
  <c r="E57" i="8"/>
  <c r="E56" i="8"/>
  <c r="E55" i="8"/>
  <c r="E54" i="8"/>
  <c r="E53" i="8"/>
  <c r="E52" i="8"/>
  <c r="E51" i="8"/>
  <c r="D64" i="8"/>
  <c r="D63" i="8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E89" i="8"/>
  <c r="G89" i="8" s="1"/>
  <c r="D70" i="8"/>
  <c r="F64" i="8"/>
  <c r="F63" i="8"/>
  <c r="H59" i="8"/>
  <c r="G59" i="8"/>
  <c r="K59" i="8" s="1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K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90" i="8" l="1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<sst xmlns="http://schemas.openxmlformats.org/spreadsheetml/2006/main" count="1878" uniqueCount="185">
  <si>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</si>
  <si>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</si>
  <si>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</si>
  <si>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</si>
  <si>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</si>
  <si>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</si>
  <si>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</si>
  <si>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</si>
  <si>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</si>
  <si>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</si>
  <si>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</si>
  <si>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</si>
  <si>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</si>
  <si>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</si>
  <si>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</si>
  <si>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</si>
  <si>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</si>
  <si>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</si>
  <si>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</si>
  <si>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</si>
  <si>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</si>
  <si>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</si>
  <si>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</si>
  <si>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</si>
  <si>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</si>
  <si>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</si>
  <si>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</si>
  <si>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</si>
  <si>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</si>
  <si>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</si>
  <si>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</si>
  <si>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</si>
  <si>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</si>
  <si>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</si>
  <si>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</si>
  <si>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</si>
  <si>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</si>
  <si>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</si>
  <si>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</si>
  <si>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</si>
  <si>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</si>
  <si>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</si>
  <si>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</si>
  <si>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</si>
  <si>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</si>
  <si>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</si>
  <si>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</si>
  <si>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</si>
  <si>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</si>
  <si>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</si>
  <si>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</si>
  <si>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</si>
  <si>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</si>
  <si>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</si>
  <si>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</si>
  <si>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</si>
  <si>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</si>
  <si>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</si>
  <si>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</si>
  <si>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</si>
  <si>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</si>
  <si>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</si>
  <si>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</si>
  <si>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</si>
  <si>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</si>
  <si>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</si>
  <si>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</si>
  <si>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</si>
  <si>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</si>
  <si>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</si>
  <si>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</si>
  <si>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</si>
  <si>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</si>
  <si>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</si>
  <si>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</si>
  <si>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</si>
  <si>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</si>
  <si>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</si>
  <si>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</si>
  <si>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</si>
  <si>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</si>
  <si>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</si>
  <si>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</si>
  <si>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</si>
  <si>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</si>
  <si>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</si>
  <si>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</si>
  <si>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</si>
  <si>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</si>
  <si>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</si>
  <si>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</si>
  <si>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</si>
  <si>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</si>
  <si>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</si>
  <si>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</si>
  <si>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</si>
  <si>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</si>
  <si>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</si>
  <si>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</si>
  <si>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</si>
  <si>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</si>
  <si>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</si>
  <si>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</si>
  <si>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</si>
  <si>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</si>
  <si>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</si>
  <si>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</si>
  <si>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</si>
  <si>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</si>
  <si>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</si>
  <si>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</si>
  <si>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</si>
  <si>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</si>
  <si>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</si>
  <si>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</si>
  <si>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</si>
  <si>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</si>
  <si>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</si>
  <si>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</si>
  <si>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</si>
  <si>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</si>
  <si>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</si>
  <si>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</si>
  <si>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</si>
  <si>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</si>
  <si>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</si>
  <si>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</si>
  <si>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</si>
  <si>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</si>
  <si>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</si>
  <si>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</si>
  <si>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</si>
  <si>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</si>
  <si>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</si>
  <si>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</si>
  <si>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</si>
  <si>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</si>
  <si>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</si>
  <si>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</si>
  <si>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</si>
  <si>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</si>
  <si>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</si>
  <si>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</si>
  <si>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</si>
  <si>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</si>
  <si>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</si>
  <si>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</si>
  <si>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</si>
  <si>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</si>
  <si>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</si>
  <si>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</si>
  <si>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</si>
  <si>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</si>
  <si>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</si>
  <si>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</si>
  <si>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</si>
  <si>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</si>
  <si>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</si>
  <si>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</si>
  <si>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</si>
  <si>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</si>
  <si>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</si>
  <si>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</si>
  <si>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</si>
  <si>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</si>
  <si>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</si>
  <si>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</si>
  <si>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</si>
  <si>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</si>
  <si>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</si>
  <si>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</si>
  <si>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</si>
  <si>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</si>
  <si>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</si>
  <si>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</si>
  <si>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</si>
  <si>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</si>
  <si>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</si>
  <si>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</si>
  <si>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</si>
  <si>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</si>
  <si>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</si>
  <si>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</si>
  <si>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</si>
  <si>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04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</si>
</sst>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182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28" zoomScaleNormal="100" workbookViewId="0">
      <selection activeCell="F42" sqref="F42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23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183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27512786.096156824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24155970.857247423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4772718.0321614221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56441474.98556567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6606266.2315897085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5910853.6950986953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1908931.3999999994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-1754291.6298272661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5686712.0700663533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3508152.3676062459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-1092049.37690172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4818018.6189256543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4504875.6595663037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3287475.9850991471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7705919.8872120976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5146709.9200944724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1504594.9114345831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3926587.2134400164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51668756.953404292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-580999.03983793315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-805629.68425575807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6159346.7562551191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4772718.0321614277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7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23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60029869.416492999</v>
      </c>
      <c r="N8" s="11">
        <f>D24</f>
        <v>17068869.389989998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112771179.493204</v>
      </c>
      <c r="N9" s="11">
        <f>D12+D13</f>
        <v>24938191.736076999</v>
      </c>
    </row>
    <row r="10" spans="2:14" x14ac:dyDescent="0.25">
      <c r="B10" s="74" t="s">
        <v>113</v>
      </c>
      <c r="C10" s="205">
        <v>51927985.045832001</v>
      </c>
      <c r="D10" s="205">
        <v>9516671.6917989999</v>
      </c>
      <c r="E10" s="205">
        <v>24331530.75</v>
      </c>
      <c r="F10" s="205">
        <v>85776187.487630993</v>
      </c>
      <c r="H10" s="116"/>
      <c r="I10" s="116"/>
      <c r="J10" s="116"/>
      <c r="M10" s="11">
        <f>C14</f>
        <v>136651201.12355</v>
      </c>
      <c r="N10" s="11">
        <f>D14</f>
        <v>5076049.4275939995</v>
      </c>
    </row>
    <row r="11" spans="2:14" x14ac:dyDescent="0.25">
      <c r="B11" s="74" t="s">
        <v>114</v>
      </c>
      <c r="C11" s="205">
        <v>75073920.303231999</v>
      </c>
      <c r="D11" s="205">
        <v>15760757.544438001</v>
      </c>
      <c r="E11" s="205" t="s">
        <v>168</v>
      </c>
      <c r="F11" s="205">
        <v>90834677.847670004</v>
      </c>
      <c r="H11" s="116"/>
      <c r="I11" s="116"/>
      <c r="J11" s="116"/>
      <c r="M11" s="11">
        <f>C17</f>
        <v>36635134.5</v>
      </c>
      <c r="N11" s="11">
        <f>D17</f>
        <v>3925392</v>
      </c>
    </row>
    <row r="12" spans="2:14" x14ac:dyDescent="0.25">
      <c r="B12" s="74" t="s">
        <v>70</v>
      </c>
      <c r="C12" s="205">
        <v>60940764.683730997</v>
      </c>
      <c r="D12" s="205">
        <v>22596786.336082</v>
      </c>
      <c r="E12" s="205">
        <v>810810.8</v>
      </c>
      <c r="F12" s="205">
        <v>84348361.819812998</v>
      </c>
      <c r="H12" s="116"/>
      <c r="I12" s="116"/>
      <c r="J12" s="116"/>
      <c r="M12" s="11">
        <f>C16</f>
        <v>84660301.410301</v>
      </c>
      <c r="N12" s="11">
        <f>D16</f>
        <v>27898513.309893001</v>
      </c>
    </row>
    <row r="13" spans="2:14" x14ac:dyDescent="0.25">
      <c r="B13" s="74" t="s">
        <v>115</v>
      </c>
      <c r="C13" s="205">
        <v>51830414.809473</v>
      </c>
      <c r="D13" s="205">
        <v>2341405.3999950001</v>
      </c>
      <c r="E13" s="205">
        <v>3711711.64</v>
      </c>
      <c r="F13" s="205">
        <v>57883531.849468</v>
      </c>
      <c r="H13" s="116"/>
      <c r="I13" s="116"/>
      <c r="J13" s="116"/>
      <c r="M13" s="11">
        <f>C19</f>
        <v>110075179.547778</v>
      </c>
      <c r="N13" s="11">
        <f>D19</f>
        <v>27142821.109944001</v>
      </c>
    </row>
    <row r="14" spans="2:14" x14ac:dyDescent="0.25">
      <c r="B14" s="74" t="s">
        <v>116</v>
      </c>
      <c r="C14" s="205">
        <v>136651201.12355</v>
      </c>
      <c r="D14" s="205">
        <v>5076049.4275939995</v>
      </c>
      <c r="E14" s="205">
        <v>34320720.909999996</v>
      </c>
      <c r="F14" s="205">
        <v>176047971.461144</v>
      </c>
      <c r="H14" s="116"/>
      <c r="I14" s="116"/>
      <c r="J14" s="116"/>
      <c r="M14" s="11">
        <f>C25</f>
        <v>80813416.962354004</v>
      </c>
      <c r="N14" s="11">
        <f>D25</f>
        <v>12619226.239995999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75073920.303231999</v>
      </c>
      <c r="N15" s="11">
        <f>D11</f>
        <v>15760757.544438001</v>
      </c>
    </row>
    <row r="16" spans="2:14" x14ac:dyDescent="0.25">
      <c r="B16" s="74" t="s">
        <v>74</v>
      </c>
      <c r="C16" s="205">
        <v>84660301.410301</v>
      </c>
      <c r="D16" s="205">
        <v>27898513.309893001</v>
      </c>
      <c r="E16" s="205">
        <v>7693693.5999999996</v>
      </c>
      <c r="F16" s="205">
        <v>120252508.32019401</v>
      </c>
      <c r="H16" s="116"/>
      <c r="I16" s="116"/>
      <c r="J16" s="116"/>
      <c r="M16" s="11">
        <f>C26</f>
        <v>89344117.566962004</v>
      </c>
      <c r="N16" s="11">
        <f>D26</f>
        <v>10307464.799968001</v>
      </c>
    </row>
    <row r="17" spans="2:14" x14ac:dyDescent="0.25">
      <c r="B17" s="74" t="s">
        <v>118</v>
      </c>
      <c r="C17" s="205">
        <v>36635134.5</v>
      </c>
      <c r="D17" s="205">
        <v>3925392</v>
      </c>
      <c r="E17" s="205" t="s">
        <v>168</v>
      </c>
      <c r="F17" s="205">
        <v>40560526.5</v>
      </c>
      <c r="H17" s="116"/>
      <c r="I17" s="116"/>
      <c r="J17" s="116"/>
      <c r="M17" s="11">
        <f>C10</f>
        <v>51927985.045832001</v>
      </c>
      <c r="N17" s="11">
        <f>D10</f>
        <v>9516671.6917989999</v>
      </c>
    </row>
    <row r="18" spans="2:14" x14ac:dyDescent="0.25">
      <c r="B18" s="74" t="s">
        <v>119</v>
      </c>
      <c r="C18" s="205">
        <v>90114096.079950005</v>
      </c>
      <c r="D18" s="205">
        <v>198198.2</v>
      </c>
      <c r="E18" s="205">
        <v>6237837.7599999998</v>
      </c>
      <c r="F18" s="205">
        <v>96550132.039949998</v>
      </c>
      <c r="H18" s="116"/>
      <c r="I18" s="116"/>
      <c r="J18" s="116"/>
      <c r="M18" s="11">
        <f>C27</f>
        <v>165714161.38511801</v>
      </c>
      <c r="N18" s="11">
        <f>D27</f>
        <v>4924989.12</v>
      </c>
    </row>
    <row r="19" spans="2:14" x14ac:dyDescent="0.25">
      <c r="B19" s="74" t="s">
        <v>121</v>
      </c>
      <c r="C19" s="205">
        <v>110075179.547778</v>
      </c>
      <c r="D19" s="205">
        <v>27142821.109944001</v>
      </c>
      <c r="E19" s="205">
        <v>310744157.09998</v>
      </c>
      <c r="F19" s="205">
        <v>447962157.75770199</v>
      </c>
      <c r="H19" s="116"/>
      <c r="I19" s="116"/>
      <c r="J19" s="116"/>
      <c r="M19" s="11">
        <f>C20+C21</f>
        <v>29018929.859889999</v>
      </c>
      <c r="N19" s="11">
        <f>D20+D21</f>
        <v>8315629.5999480002</v>
      </c>
    </row>
    <row r="20" spans="2:14" x14ac:dyDescent="0.25">
      <c r="B20" s="74" t="s">
        <v>123</v>
      </c>
      <c r="C20" s="205">
        <v>17547729.859889999</v>
      </c>
      <c r="D20" s="205">
        <v>4154827.08</v>
      </c>
      <c r="E20" s="205">
        <v>1945946</v>
      </c>
      <c r="F20" s="205">
        <v>23648502.939890001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11471200</v>
      </c>
      <c r="D21" s="205">
        <v>4160802.5199480001</v>
      </c>
      <c r="E21" s="205">
        <v>9524324.4600000009</v>
      </c>
      <c r="F21" s="205">
        <v>25156326.979947999</v>
      </c>
      <c r="H21" s="116"/>
      <c r="I21" s="116"/>
      <c r="J21" s="116"/>
      <c r="M21" s="14">
        <f>IFERROR(C34,0)+IFERROR(C35,0)+M20</f>
        <v>83852981.795613006</v>
      </c>
      <c r="N21" s="10" t="s">
        <v>122</v>
      </c>
    </row>
    <row r="22" spans="2:14" x14ac:dyDescent="0.25">
      <c r="B22" s="74" t="s">
        <v>172</v>
      </c>
      <c r="C22" s="205">
        <v>29394090</v>
      </c>
      <c r="D22" s="205" t="s">
        <v>168</v>
      </c>
      <c r="E22" s="205" t="s">
        <v>168</v>
      </c>
      <c r="F22" s="205">
        <v>29394090</v>
      </c>
      <c r="H22" s="116"/>
      <c r="I22" s="116"/>
      <c r="J22" s="116"/>
    </row>
    <row r="23" spans="2:14" x14ac:dyDescent="0.25">
      <c r="B23" s="74" t="s">
        <v>173</v>
      </c>
      <c r="C23" s="205">
        <v>72519364.939999998</v>
      </c>
      <c r="D23" s="205" t="s">
        <v>168</v>
      </c>
      <c r="E23" s="205">
        <v>1927927.88</v>
      </c>
      <c r="F23" s="205">
        <v>74447292.819999993</v>
      </c>
      <c r="H23" s="116"/>
      <c r="I23" s="116"/>
      <c r="J23" s="116"/>
    </row>
    <row r="24" spans="2:14" x14ac:dyDescent="0.25">
      <c r="B24" s="74" t="s">
        <v>125</v>
      </c>
      <c r="C24" s="205">
        <v>60029869.416492999</v>
      </c>
      <c r="D24" s="205">
        <v>17068869.389989998</v>
      </c>
      <c r="E24" s="205">
        <v>20130630.34</v>
      </c>
      <c r="F24" s="205">
        <v>97229369.146483004</v>
      </c>
      <c r="H24" s="116"/>
      <c r="I24" s="116"/>
      <c r="J24" s="116"/>
    </row>
    <row r="25" spans="2:14" x14ac:dyDescent="0.25">
      <c r="B25" s="74" t="s">
        <v>126</v>
      </c>
      <c r="C25" s="205">
        <v>80813416.962354004</v>
      </c>
      <c r="D25" s="205">
        <v>12619226.239995999</v>
      </c>
      <c r="E25" s="205">
        <v>53549550.189884998</v>
      </c>
      <c r="F25" s="205">
        <v>146982193.39223501</v>
      </c>
      <c r="H25" s="116"/>
      <c r="I25" s="116"/>
      <c r="J25" s="116"/>
    </row>
    <row r="26" spans="2:14" x14ac:dyDescent="0.25">
      <c r="B26" s="74" t="s">
        <v>127</v>
      </c>
      <c r="C26" s="205">
        <v>89344117.566962004</v>
      </c>
      <c r="D26" s="205">
        <v>10307464.799968001</v>
      </c>
      <c r="E26" s="205">
        <v>121198019.099865</v>
      </c>
      <c r="F26" s="205">
        <v>220849601.466795</v>
      </c>
      <c r="H26" s="116"/>
      <c r="I26" s="116"/>
      <c r="J26" s="116"/>
    </row>
    <row r="27" spans="2:14" x14ac:dyDescent="0.25">
      <c r="B27" s="74" t="s">
        <v>128</v>
      </c>
      <c r="C27" s="205">
        <v>165714161.38511801</v>
      </c>
      <c r="D27" s="205">
        <v>4924989.12</v>
      </c>
      <c r="E27" s="205" t="s">
        <v>168</v>
      </c>
      <c r="F27" s="205">
        <v>170639150.50511801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27648554.289969001</v>
      </c>
      <c r="G32" s="116"/>
      <c r="H32" s="116"/>
      <c r="I32" s="116"/>
    </row>
    <row r="33" spans="2:14" x14ac:dyDescent="0.25">
      <c r="B33" s="84" t="s">
        <v>133</v>
      </c>
      <c r="C33" s="206">
        <v>25558117.405960999</v>
      </c>
      <c r="G33" s="116"/>
      <c r="H33" s="116"/>
      <c r="I33" s="116"/>
    </row>
    <row r="34" spans="2:14" x14ac:dyDescent="0.25">
      <c r="B34" s="84" t="s">
        <v>134</v>
      </c>
      <c r="C34" s="205">
        <v>23757801.634229999</v>
      </c>
      <c r="G34" s="116"/>
      <c r="H34" s="116"/>
      <c r="I34" s="116"/>
    </row>
    <row r="35" spans="2:14" x14ac:dyDescent="0.25">
      <c r="B35" s="84" t="s">
        <v>135</v>
      </c>
      <c r="C35" s="205">
        <v>60095180.161383003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184</v>
      </c>
      <c r="C41" s="226"/>
      <c r="D41" s="227"/>
      <c r="E41" s="67" t="s">
        <v>138</v>
      </c>
      <c r="F41" s="73">
        <f ca="1">IF(MONTH(TODAY())=6,DAY(TODAY())/DAY(EOMONTH(TODAY(),0)),IF(MONTH(TODAY())&gt;6,1,0))</f>
        <v>0.13333333333333333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1134628851.5547142</v>
      </c>
      <c r="F43" s="44">
        <f>IFERROR(E43/D43,0)</f>
        <v>0.156300481034405</v>
      </c>
      <c r="G43" s="118">
        <f>D43-E43</f>
        <v>6124650480.4452858</v>
      </c>
      <c r="H43" s="118">
        <f ca="1">IFERROR(G43/C3,0)</f>
        <v>266289151.32370809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167494575.96964699</v>
      </c>
      <c r="F44" s="44">
        <f>IFERROR(E44/D44,0)</f>
        <v>9.2567843656489887E-2</v>
      </c>
      <c r="G44" s="118">
        <f>D44-E44</f>
        <v>1641930483.0303531</v>
      </c>
      <c r="H44" s="118">
        <f ca="1">IFERROR(G44/C3,0)</f>
        <v>71388281.87088491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137059653.49154299</v>
      </c>
      <c r="F45" s="44">
        <f>IFERROR(E45/D45,0)</f>
        <v>7.4861170406782473E-2</v>
      </c>
      <c r="G45" s="118">
        <f>D45-E45</f>
        <v>1693791410.5084569</v>
      </c>
      <c r="H45" s="118">
        <f ca="1">IFERROR(G45/C3,0)</f>
        <v>73643104.804715514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1439183081.0159042</v>
      </c>
      <c r="F46" s="43">
        <f>IFERROR(E46/D46,0)</f>
        <v>0.13204053018104528</v>
      </c>
      <c r="G46" s="119">
        <f>G43+G44+G45</f>
        <v>9460372373.9840965</v>
      </c>
      <c r="H46" s="119">
        <f ca="1">IFERROR(G46/C3,0)</f>
        <v>411320537.99930853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60029869.416492999</v>
      </c>
      <c r="H51" s="122">
        <f>N8</f>
        <v>17068869.389989998</v>
      </c>
      <c r="I51" s="122">
        <f t="shared" ref="I51:I64" si="1">G51+H51</f>
        <v>77098738.806483001</v>
      </c>
      <c r="J51" s="61">
        <f t="shared" ref="J51:J64" si="2">IFERROR(I51/F51,0)</f>
        <v>0.13928961615452365</v>
      </c>
      <c r="K51" s="51">
        <f t="shared" ref="K51:M64" si="3">D51-G51</f>
        <v>391653608.583507</v>
      </c>
      <c r="L51" s="51">
        <f t="shared" si="3"/>
        <v>84761553.610009998</v>
      </c>
      <c r="M51" s="51">
        <f t="shared" si="3"/>
        <v>476415162.19351697</v>
      </c>
      <c r="N51" s="51">
        <f ca="1">IFERROR(M51/C3,0)</f>
        <v>20713702.704065956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112771179.493204</v>
      </c>
      <c r="H52" s="122">
        <f>N9</f>
        <v>24938191.736076999</v>
      </c>
      <c r="I52" s="122">
        <f t="shared" si="1"/>
        <v>137709371.22928101</v>
      </c>
      <c r="J52" s="61">
        <f t="shared" si="2"/>
        <v>0.16890862176780866</v>
      </c>
      <c r="K52" s="54">
        <f t="shared" si="3"/>
        <v>477411191.506796</v>
      </c>
      <c r="L52" s="54">
        <f t="shared" si="3"/>
        <v>200168614.26392299</v>
      </c>
      <c r="M52" s="54">
        <f t="shared" si="3"/>
        <v>677579805.77071905</v>
      </c>
      <c r="N52" s="54">
        <f ca="1">IFERROR(M52/C3,0)</f>
        <v>29459991.555248655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29394090</v>
      </c>
      <c r="H53" s="122">
        <f>IF(D22="",0,D22)</f>
        <v>0</v>
      </c>
      <c r="I53" s="122">
        <f>G53+H53</f>
        <v>29394090</v>
      </c>
      <c r="J53" s="61">
        <f>IFERROR(I53/F53,0)</f>
        <v>0.12172813265607521</v>
      </c>
      <c r="K53" s="54">
        <f>D53-G53</f>
        <v>212079178</v>
      </c>
      <c r="L53" s="54">
        <f>E53-H53</f>
        <v>0</v>
      </c>
      <c r="M53" s="54">
        <f>F53-I53</f>
        <v>212079178</v>
      </c>
      <c r="N53" s="54">
        <f ca="1">IFERROR(M53/C3,0)</f>
        <v>9220833.826086957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136651201.12355</v>
      </c>
      <c r="H54" s="122">
        <f t="shared" ref="H54:H58" si="4">N10</f>
        <v>5076049.4275939995</v>
      </c>
      <c r="I54" s="122">
        <f t="shared" si="1"/>
        <v>141727250.551144</v>
      </c>
      <c r="J54" s="61">
        <f t="shared" si="2"/>
        <v>0.19517511174641777</v>
      </c>
      <c r="K54" s="54">
        <f>D54-G54</f>
        <v>509061270.87645</v>
      </c>
      <c r="L54" s="54">
        <f t="shared" si="3"/>
        <v>75365798.572405994</v>
      </c>
      <c r="M54" s="54">
        <f t="shared" si="3"/>
        <v>584427069.448856</v>
      </c>
      <c r="N54" s="54">
        <f ca="1">IFERROR(M54/C3,0)</f>
        <v>25409872.584732868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36635134.5</v>
      </c>
      <c r="H55" s="122">
        <f t="shared" si="4"/>
        <v>3925392</v>
      </c>
      <c r="I55" s="122">
        <f t="shared" si="1"/>
        <v>40560526.5</v>
      </c>
      <c r="J55" s="61">
        <f t="shared" si="2"/>
        <v>6.8812174071449281E-2</v>
      </c>
      <c r="K55" s="54">
        <f t="shared" si="3"/>
        <v>472283697.5</v>
      </c>
      <c r="L55" s="54">
        <f t="shared" si="3"/>
        <v>76594012</v>
      </c>
      <c r="M55" s="54">
        <f t="shared" si="3"/>
        <v>548877709.5</v>
      </c>
      <c r="N55" s="54">
        <f ca="1">IFERROR(M55/C3,0)</f>
        <v>23864248.239130434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84660301.410301</v>
      </c>
      <c r="H56" s="122">
        <f t="shared" si="4"/>
        <v>27898513.309893001</v>
      </c>
      <c r="I56" s="122">
        <f t="shared" si="1"/>
        <v>112558814.720194</v>
      </c>
      <c r="J56" s="61">
        <f t="shared" si="2"/>
        <v>0.21554212361079547</v>
      </c>
      <c r="K56" s="54">
        <f t="shared" si="3"/>
        <v>355402982.58969903</v>
      </c>
      <c r="L56" s="54">
        <f t="shared" si="3"/>
        <v>54250811.690107003</v>
      </c>
      <c r="M56" s="54">
        <f t="shared" si="3"/>
        <v>409653794.27980602</v>
      </c>
      <c r="N56" s="54">
        <f ca="1">IFERROR(M56/C3,0)</f>
        <v>17811034.533904608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110075179.547778</v>
      </c>
      <c r="H57" s="122">
        <f t="shared" si="4"/>
        <v>27142821.109944001</v>
      </c>
      <c r="I57" s="122">
        <f t="shared" si="1"/>
        <v>137218000.657722</v>
      </c>
      <c r="J57" s="61">
        <f t="shared" si="2"/>
        <v>0.12227077250120164</v>
      </c>
      <c r="K57" s="54">
        <f t="shared" si="3"/>
        <v>886683165.45222199</v>
      </c>
      <c r="L57" s="54">
        <f t="shared" si="3"/>
        <v>98345776.890055999</v>
      </c>
      <c r="M57" s="54">
        <f t="shared" si="3"/>
        <v>985028942.342278</v>
      </c>
      <c r="N57" s="54">
        <f ca="1">IFERROR(M57/C3,0)</f>
        <v>42827345.319229476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80813416.962354004</v>
      </c>
      <c r="H58" s="122">
        <f t="shared" si="4"/>
        <v>12619226.239995999</v>
      </c>
      <c r="I58" s="122">
        <f>G58+H58</f>
        <v>93432643.202350006</v>
      </c>
      <c r="J58" s="61">
        <f>IFERROR(I58/F58,0)</f>
        <v>0.1465314762441173</v>
      </c>
      <c r="K58" s="54">
        <f t="shared" si="3"/>
        <v>459473642.037646</v>
      </c>
      <c r="L58" s="54">
        <f t="shared" si="3"/>
        <v>84722199.760003999</v>
      </c>
      <c r="M58" s="54">
        <f t="shared" si="3"/>
        <v>544195841.79764998</v>
      </c>
      <c r="N58" s="54">
        <f ca="1">IFERROR(M58/C3,0)</f>
        <v>23660688.773810867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72519364.939999998</v>
      </c>
      <c r="H59" s="122">
        <f>IF(D23="",0,D23)</f>
        <v>0</v>
      </c>
      <c r="I59" s="122">
        <f>G59+H59</f>
        <v>72519364.939999998</v>
      </c>
      <c r="J59" s="61">
        <f>IFERROR(I59/F59,0)</f>
        <v>0.17944400924739592</v>
      </c>
      <c r="K59" s="54">
        <f>D59-G59</f>
        <v>331614299.06</v>
      </c>
      <c r="L59" s="54">
        <f>E59-H59</f>
        <v>0</v>
      </c>
      <c r="M59" s="54">
        <f>F59-I59</f>
        <v>331614299.06</v>
      </c>
      <c r="N59" s="54">
        <f ca="1">IFERROR(M59/C3,0)</f>
        <v>14418013.002608696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75073920.303231999</v>
      </c>
      <c r="H60" s="122">
        <f t="shared" ref="H60:H64" si="5">N15</f>
        <v>15760757.544438001</v>
      </c>
      <c r="I60" s="122">
        <f t="shared" si="1"/>
        <v>90834677.847670004</v>
      </c>
      <c r="J60" s="61">
        <f t="shared" si="2"/>
        <v>0.14865544319791218</v>
      </c>
      <c r="K60" s="54">
        <f t="shared" si="3"/>
        <v>363943388.69676799</v>
      </c>
      <c r="L60" s="54">
        <f t="shared" si="3"/>
        <v>156263654.455562</v>
      </c>
      <c r="M60" s="54">
        <f t="shared" si="3"/>
        <v>520207043.15232998</v>
      </c>
      <c r="N60" s="54">
        <f ca="1">IFERROR(M60/C3,0)</f>
        <v>22617697.528362174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89344117.566962004</v>
      </c>
      <c r="H61" s="122">
        <f t="shared" si="5"/>
        <v>10307464.799968001</v>
      </c>
      <c r="I61" s="122">
        <f t="shared" si="1"/>
        <v>99651582.366930008</v>
      </c>
      <c r="J61" s="61">
        <f t="shared" si="2"/>
        <v>0.13130515651937513</v>
      </c>
      <c r="K61" s="54">
        <f t="shared" si="3"/>
        <v>577285478.433038</v>
      </c>
      <c r="L61" s="54">
        <f t="shared" si="3"/>
        <v>81994157.200031996</v>
      </c>
      <c r="M61" s="54">
        <f t="shared" si="3"/>
        <v>659279635.63306999</v>
      </c>
      <c r="N61" s="54">
        <f ca="1">IFERROR(M61/C3,0)</f>
        <v>28664331.984046523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51927985.045832001</v>
      </c>
      <c r="H62" s="122">
        <f t="shared" si="5"/>
        <v>9516671.6917989999</v>
      </c>
      <c r="I62" s="122">
        <f t="shared" si="1"/>
        <v>61444656.737631001</v>
      </c>
      <c r="J62" s="61">
        <f t="shared" si="2"/>
        <v>0.11842077675376624</v>
      </c>
      <c r="K62" s="54">
        <f t="shared" si="3"/>
        <v>369615037.95416802</v>
      </c>
      <c r="L62" s="54">
        <f t="shared" si="3"/>
        <v>87807504.308201</v>
      </c>
      <c r="M62" s="54">
        <f t="shared" si="3"/>
        <v>457422542.26236898</v>
      </c>
      <c r="N62" s="54">
        <f ca="1">IFERROR(M62/C3,0)</f>
        <v>19887936.620102998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165714161.38511801</v>
      </c>
      <c r="H63" s="122">
        <f t="shared" si="5"/>
        <v>4924989.12</v>
      </c>
      <c r="I63" s="122">
        <f t="shared" si="1"/>
        <v>170639150.50511801</v>
      </c>
      <c r="J63" s="61">
        <f t="shared" si="2"/>
        <v>0.17381688682113561</v>
      </c>
      <c r="K63" s="54">
        <f t="shared" si="3"/>
        <v>452636780.61488199</v>
      </c>
      <c r="L63" s="54">
        <f t="shared" si="3"/>
        <v>358441976.88</v>
      </c>
      <c r="M63" s="54">
        <f t="shared" si="3"/>
        <v>811078757.49488199</v>
      </c>
      <c r="N63" s="54">
        <f ca="1">IFERROR(M63/C3,0)</f>
        <v>35264293.804125302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29018929.859889999</v>
      </c>
      <c r="H64" s="122">
        <f t="shared" si="5"/>
        <v>8315629.5999480002</v>
      </c>
      <c r="I64" s="122">
        <f t="shared" si="1"/>
        <v>37334559.459838003</v>
      </c>
      <c r="J64" s="61">
        <f t="shared" si="2"/>
        <v>6.3704792538041552E-2</v>
      </c>
      <c r="K64" s="54">
        <f t="shared" si="3"/>
        <v>265506759.14011002</v>
      </c>
      <c r="L64" s="54">
        <f t="shared" si="3"/>
        <v>283214423.40005201</v>
      </c>
      <c r="M64" s="54">
        <f t="shared" si="3"/>
        <v>548721182.54016197</v>
      </c>
      <c r="N64" s="54">
        <f ca="1">IFERROR(M64/C3,0)</f>
        <v>23857442.719137479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1134628851.5547142</v>
      </c>
      <c r="H65" s="152">
        <f>SUM(H51:H64)</f>
        <v>167494575.96964699</v>
      </c>
      <c r="I65" s="152">
        <f>SUM(I51:I64)</f>
        <v>1302123427.5243607</v>
      </c>
      <c r="J65" s="153">
        <f>IFERROR(I65/F65,0)</f>
        <v>0.14358428408104462</v>
      </c>
      <c r="K65" s="154">
        <f>SUM(K51:K64)</f>
        <v>6124650480.4452858</v>
      </c>
      <c r="L65" s="154">
        <f>SUM(L51:L64)</f>
        <v>1641930483.0303531</v>
      </c>
      <c r="M65" s="154">
        <f>SUM(M51:M64)</f>
        <v>7766580963.4756403</v>
      </c>
      <c r="N65" s="154">
        <f ca="1">IFERROR(M65/C3,0)</f>
        <v>337677433.19459307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20130630.34</v>
      </c>
    </row>
    <row r="71" spans="2:14" ht="20.100000000000001" customHeight="1" x14ac:dyDescent="0.25">
      <c r="B71" s="53" t="s">
        <v>69</v>
      </c>
      <c r="C71" s="56" t="s">
        <v>70</v>
      </c>
      <c r="D71" s="149">
        <f>IF(E12="",0,E12)+IF(E13="",0,E13)</f>
        <v>4522522.4400000004</v>
      </c>
    </row>
    <row r="72" spans="2:14" ht="20.100000000000001" customHeight="1" x14ac:dyDescent="0.25">
      <c r="B72" s="53" t="s">
        <v>175</v>
      </c>
      <c r="C72" s="56" t="s">
        <v>176</v>
      </c>
      <c r="D72" s="149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34320720.909999996</v>
      </c>
    </row>
    <row r="74" spans="2:14" ht="20.100000000000001" customHeight="1" x14ac:dyDescent="0.25">
      <c r="B74" s="53" t="s">
        <v>73</v>
      </c>
      <c r="C74" s="56" t="s">
        <v>74</v>
      </c>
      <c r="D74" s="149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v>7693693.5999999996</v>
      </c>
    </row>
    <row r="76" spans="2:14" ht="20.100000000000001" customHeight="1" x14ac:dyDescent="0.25">
      <c r="B76" s="53" t="s">
        <v>76</v>
      </c>
      <c r="C76" s="56" t="s">
        <v>77</v>
      </c>
      <c r="D76" s="149">
        <f>IF(E19="",0,E19)</f>
        <v>310744157.09998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53549550.189884998</v>
      </c>
    </row>
    <row r="78" spans="2:14" ht="20.100000000000001" customHeight="1" x14ac:dyDescent="0.25">
      <c r="B78" s="53" t="s">
        <v>175</v>
      </c>
      <c r="C78" s="56" t="s">
        <v>177</v>
      </c>
      <c r="D78" s="149">
        <f>IF(E23="",0,E23)</f>
        <v>1927927.88</v>
      </c>
    </row>
    <row r="79" spans="2:14" ht="20.100000000000001" customHeight="1" x14ac:dyDescent="0.25">
      <c r="B79" s="53" t="s">
        <v>80</v>
      </c>
      <c r="C79" s="56" t="s">
        <v>81</v>
      </c>
      <c r="D79" s="149">
        <f>IF(E11="",0,E11)</f>
        <v>0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121198019.099865</v>
      </c>
    </row>
    <row r="81" spans="2:9" ht="20.100000000000001" customHeight="1" x14ac:dyDescent="0.25">
      <c r="B81" s="53" t="s">
        <v>84</v>
      </c>
      <c r="C81" s="56" t="s">
        <v>85</v>
      </c>
      <c r="D81" s="149">
        <f>IF(E10="",0,E10)</f>
        <v>24331530.75</v>
      </c>
    </row>
    <row r="82" spans="2:9" ht="20.100000000000001" customHeight="1" x14ac:dyDescent="0.25">
      <c r="B82" s="50" t="s">
        <v>86</v>
      </c>
      <c r="C82" s="55" t="s">
        <v>87</v>
      </c>
      <c r="D82" s="149">
        <f t="shared" ref="D82:D83" si="7">IF(E11="",0,E11)</f>
        <v>0</v>
      </c>
    </row>
    <row r="83" spans="2:9" ht="20.100000000000001" customHeight="1" x14ac:dyDescent="0.25">
      <c r="B83" s="53" t="s">
        <v>88</v>
      </c>
      <c r="C83" s="56" t="s">
        <v>89</v>
      </c>
      <c r="D83" s="149">
        <v>11470270.460000001</v>
      </c>
    </row>
    <row r="84" spans="2:9" ht="20.100000000000001" customHeight="1" x14ac:dyDescent="0.25">
      <c r="B84" s="57" t="s">
        <v>152</v>
      </c>
      <c r="C84" s="58"/>
      <c r="D84" s="129">
        <f>SUM(D70:D83)</f>
        <v>589889022.76973009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27648554.289969001</v>
      </c>
      <c r="F89" s="61">
        <f t="shared" ref="F89:F94" si="8">IFERROR(E89/D89,0)</f>
        <v>9.6832209371194689E-2</v>
      </c>
      <c r="G89" s="125">
        <f>D89-E89</f>
        <v>257881998.710031</v>
      </c>
      <c r="H89" s="125">
        <f ca="1">IFERROR(G89/C3,0)</f>
        <v>11212260.813479608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25558117.405960999</v>
      </c>
      <c r="F90" s="61">
        <f t="shared" si="8"/>
        <v>5.9599445634800463E-2</v>
      </c>
      <c r="G90" s="126">
        <f>D90-E90</f>
        <v>403273344.59403902</v>
      </c>
      <c r="H90" s="126">
        <f ca="1">IFERROR(G90/C3,0)</f>
        <v>17533623.678001698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83852981.795613006</v>
      </c>
      <c r="F91" s="61">
        <f t="shared" si="8"/>
        <v>7.5104168617432632E-2</v>
      </c>
      <c r="G91" s="125">
        <f>D91-E91</f>
        <v>1032636067.2043869</v>
      </c>
      <c r="H91" s="125">
        <f ca="1">IFERROR(G91/C3,0)</f>
        <v>44897220.313234217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137059653.49154299</v>
      </c>
      <c r="F94" s="43">
        <f t="shared" si="8"/>
        <v>7.4861170406782473E-2</v>
      </c>
      <c r="G94" s="119">
        <f>SUM(G89:G93)</f>
        <v>1693791410.5084569</v>
      </c>
      <c r="H94" s="119">
        <f ca="1">IFERROR(G94/C3,0)</f>
        <v>73643104.804715514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179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181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2026-06-04T00:58:36Z</dcterms:modified>
  <dc:language>en-US</dc:language>
</cp:coreProperties>
</file>