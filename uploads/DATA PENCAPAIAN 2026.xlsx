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62" i="9" l="1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<sst xmlns="http://schemas.openxmlformats.org/spreadsheetml/2006/main" count="1875" uniqueCount="186">
  <si>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</si>
  <si>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</si>
  <si>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</si>
  <si>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</si>
  <si>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</si>
  <si>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</si>
  <si>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</si>
  <si>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</si>
  <si>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</si>
  <si>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</si>
  <si>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</si>
  <si>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</si>
  <si>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</si>
  <si>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</si>
  <si>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</si>
  <si>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</si>
  <si>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</si>
  <si>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</si>
  <si>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</si>
  <si>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</si>
  <si>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</si>
  <si>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</si>
  <si>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</si>
  <si>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</si>
  <si>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</si>
  <si>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</si>
  <si>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</si>
  <si>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</si>
  <si>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</si>
  <si>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</si>
  <si>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</si>
  <si>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</si>
  <si>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</si>
  <si>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</si>
  <si>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</si>
  <si>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</si>
  <si>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</si>
  <si>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</si>
  <si>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</si>
  <si>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</si>
  <si>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</si>
  <si>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</si>
  <si>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</si>
  <si>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</si>
  <si>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</si>
  <si>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</si>
  <si>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</si>
  <si>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</si>
  <si>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</si>
  <si>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</si>
  <si>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</si>
  <si>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</si>
  <si>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</si>
  <si>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</si>
  <si>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</si>
  <si>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</si>
  <si>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</si>
  <si>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</si>
  <si>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</si>
  <si>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</si>
  <si>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</si>
  <si>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</si>
  <si>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</si>
  <si>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</si>
  <si>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</si>
  <si>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</si>
  <si>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</si>
  <si>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</si>
  <si>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</si>
  <si>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</si>
  <si>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</si>
  <si>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</si>
  <si>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</si>
  <si>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</si>
  <si>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</si>
  <si>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</si>
  <si>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</si>
  <si>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</si>
  <si>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</si>
  <si>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</si>
  <si>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</si>
  <si>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</si>
  <si>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</si>
  <si>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</si>
  <si>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</si>
  <si>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</si>
  <si>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</si>
  <si>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</si>
  <si>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</si>
  <si>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</si>
  <si>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</si>
  <si>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</si>
  <si>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</si>
  <si>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</si>
  <si>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</si>
  <si>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</si>
  <si>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</si>
  <si>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</si>
  <si>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</si>
  <si>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</si>
  <si>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</si>
  <si>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</si>
  <si>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</si>
  <si>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</si>
  <si>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</si>
  <si>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</si>
  <si>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</si>
  <si>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</si>
  <si>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</si>
  <si>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</si>
  <si>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</si>
  <si>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</si>
  <si>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</si>
  <si>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</si>
  <si>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</si>
  <si>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</si>
  <si>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</si>
  <si>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</si>
  <si>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</si>
  <si>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</si>
  <si>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</si>
  <si>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</si>
  <si>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</si>
  <si>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</si>
  <si>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</si>
  <si>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</si>
  <si>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</si>
  <si>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</si>
  <si>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</si>
  <si>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</si>
  <si>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</si>
  <si>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</si>
  <si>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</si>
  <si>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</si>
  <si>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</si>
  <si>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</si>
  <si>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</si>
  <si>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</si>
  <si>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</si>
  <si>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</si>
  <si>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</si>
  <si>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</si>
  <si>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</si>
  <si>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</si>
  <si>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</si>
  <si>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</si>
  <si>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</si>
  <si>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</si>
  <si>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</si>
  <si>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</si>
  <si>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</si>
  <si>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</si>
  <si>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</si>
  <si>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</si>
  <si>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</si>
  <si>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</si>
  <si>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</si>
  <si>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</si>
  <si>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</si>
  <si>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</si>
  <si>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</si>
  <si>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</si>
  <si>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</si>
  <si>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</si>
  <si>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</si>
  <si>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</si>
  <si>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</si>
  <si>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</si>
  <si>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</si>
  <si>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</si>
  <si>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</si>
  <si>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</si>
  <si>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</si>
  <si>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</si>
  <si>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</si>
  <si>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</si>
  <si>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</si>
  <si>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</si>
  <si>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</si>
  <si>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</si>
  <si>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</si>
  <si>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</si>
  <si>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</si>
  <si>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</si>
  <si>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</si>
  <si>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01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</si>
</sst>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181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27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182</v>
      </c>
      <c r="C41" s="246"/>
      <c r="D41" s="247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23436817.785615072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20577308.508025583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4065648.6940634339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48079774.987704091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5627560.1232060483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5035171.6661951849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1626126.7481481477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-1494396.5735565601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4844236.2078343015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2988426.0909238392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-930264.284027391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4104238.0827885205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3837486.6729638884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2800442.5058251997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6564302.126143639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4384234.3763767723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1281691.9615924226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3344870.5892266808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44014126.293640696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-494925.10801009118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-686277.13844009023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5246850.9405136192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4065648.6940634381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77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183</v>
      </c>
      <c r="C41" s="225"/>
      <c r="D41" s="226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3.5703125" customWidth="1"/>
    <col min="8" max="8" width="12.140625" customWidth="1"/>
    <col min="9" max="9" width="12.57031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22720812.671873</v>
      </c>
      <c r="N8" s="11">
        <f>D24</f>
        <v>4013792.7799860002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18629369.459906001</v>
      </c>
      <c r="N9" s="11">
        <f>D12+D13</f>
        <v>13143743.27</v>
      </c>
    </row>
    <row r="10" spans="2:14" x14ac:dyDescent="0.25">
      <c r="B10" s="74" t="s">
        <v>113</v>
      </c>
      <c r="C10" s="248">
        <v>20840477.528969001</v>
      </c>
      <c r="D10" s="248">
        <v>1335600</v>
      </c>
      <c r="E10" s="248">
        <v>9063062.9199999999</v>
      </c>
      <c r="F10" s="248">
        <v>31239140.448968999</v>
      </c>
      <c r="H10" s="116"/>
      <c r="I10" s="116"/>
      <c r="J10" s="116"/>
      <c r="M10" s="11">
        <f>C14</f>
        <v>30338809.087599002</v>
      </c>
      <c r="N10" s="11">
        <f>D14</f>
        <v>101081.08</v>
      </c>
    </row>
    <row r="11" spans="2:14" x14ac:dyDescent="0.25">
      <c r="B11" s="74" t="s">
        <v>114</v>
      </c>
      <c r="C11" s="248">
        <v>41696026.625834003</v>
      </c>
      <c r="D11" s="248">
        <v>4900648.6579750003</v>
      </c>
      <c r="E11" s="248">
        <v>0</v>
      </c>
      <c r="F11" s="248">
        <v>46596675.283808999</v>
      </c>
      <c r="H11" s="116"/>
      <c r="I11" s="116"/>
      <c r="J11" s="116"/>
      <c r="M11" s="11">
        <f>C17</f>
        <v>23873873.999899998</v>
      </c>
      <c r="N11" s="11">
        <f>D17</f>
        <v>12735432.119999999</v>
      </c>
    </row>
    <row r="12" spans="2:14" x14ac:dyDescent="0.25">
      <c r="B12" s="74" t="s">
        <v>70</v>
      </c>
      <c r="C12" s="248">
        <v>11053513.519931</v>
      </c>
      <c r="D12" s="248">
        <v>13143743.27</v>
      </c>
      <c r="E12" s="248">
        <v>0</v>
      </c>
      <c r="F12" s="248">
        <v>24197256.789930999</v>
      </c>
      <c r="H12" s="116"/>
      <c r="I12" s="116"/>
      <c r="J12" s="116"/>
      <c r="M12" s="11">
        <f>C16</f>
        <v>17615665.317969002</v>
      </c>
      <c r="N12" s="11">
        <f>D16</f>
        <v>749554.05999800004</v>
      </c>
    </row>
    <row r="13" spans="2:14" x14ac:dyDescent="0.25">
      <c r="B13" s="74" t="s">
        <v>115</v>
      </c>
      <c r="C13" s="248">
        <v>7575855.939975</v>
      </c>
      <c r="D13" s="248">
        <v>0</v>
      </c>
      <c r="E13" s="248">
        <v>0</v>
      </c>
      <c r="F13" s="248">
        <v>7575855.939975</v>
      </c>
      <c r="H13" s="116"/>
      <c r="I13" s="116"/>
      <c r="J13" s="116"/>
      <c r="M13" s="11">
        <f>C19</f>
        <v>82791588.694878995</v>
      </c>
      <c r="N13" s="11">
        <f>D19</f>
        <v>7982908.0800000001</v>
      </c>
    </row>
    <row r="14" spans="2:14" x14ac:dyDescent="0.25">
      <c r="B14" s="74" t="s">
        <v>116</v>
      </c>
      <c r="C14" s="248">
        <v>30338809.087599002</v>
      </c>
      <c r="D14" s="248">
        <v>101081.08</v>
      </c>
      <c r="E14" s="248">
        <v>23063062.800000001</v>
      </c>
      <c r="F14" s="248">
        <v>53502952.967598997</v>
      </c>
      <c r="H14" s="116"/>
      <c r="I14" s="116"/>
      <c r="J14" s="116"/>
      <c r="M14" s="11">
        <f>C25</f>
        <v>17073616.219934002</v>
      </c>
      <c r="N14" s="11">
        <f>D25</f>
        <v>2741800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41696026.625834003</v>
      </c>
      <c r="N15" s="11">
        <f>D11</f>
        <v>4900648.6579750003</v>
      </c>
    </row>
    <row r="16" spans="2:14" x14ac:dyDescent="0.25">
      <c r="B16" s="74" t="s">
        <v>74</v>
      </c>
      <c r="C16" s="248">
        <v>17615665.317969002</v>
      </c>
      <c r="D16" s="248">
        <v>749554.05999800004</v>
      </c>
      <c r="E16" s="248">
        <v>0</v>
      </c>
      <c r="F16" s="248">
        <v>18365219.377967</v>
      </c>
      <c r="H16" s="116"/>
      <c r="I16" s="116"/>
      <c r="J16" s="116"/>
      <c r="M16" s="11">
        <f>C26</f>
        <v>11947761.311936</v>
      </c>
      <c r="N16" s="11">
        <f>D26</f>
        <v>3214349.5699990001</v>
      </c>
    </row>
    <row r="17" spans="2:14" x14ac:dyDescent="0.25">
      <c r="B17" s="74" t="s">
        <v>118</v>
      </c>
      <c r="C17" s="248">
        <v>23873873.999899998</v>
      </c>
      <c r="D17" s="248">
        <v>12735432.119999999</v>
      </c>
      <c r="E17" s="248">
        <v>0</v>
      </c>
      <c r="F17" s="248">
        <v>36609306.119900003</v>
      </c>
      <c r="H17" s="116"/>
      <c r="I17" s="116"/>
      <c r="J17" s="116"/>
      <c r="M17" s="11">
        <f>C10</f>
        <v>20840477.528969001</v>
      </c>
      <c r="N17" s="11">
        <f>D10</f>
        <v>1335600</v>
      </c>
    </row>
    <row r="18" spans="2:14" x14ac:dyDescent="0.25">
      <c r="B18" s="74" t="s">
        <v>119</v>
      </c>
      <c r="C18" s="248">
        <v>30784803.799959999</v>
      </c>
      <c r="D18" s="248">
        <v>0</v>
      </c>
      <c r="E18" s="248">
        <v>713513.52</v>
      </c>
      <c r="F18" s="248">
        <v>31498317.319960002</v>
      </c>
      <c r="H18" s="116"/>
      <c r="I18" s="116"/>
      <c r="J18" s="116"/>
      <c r="M18" s="11">
        <f>C27</f>
        <v>45770445.929949999</v>
      </c>
      <c r="N18" s="11">
        <f>D27</f>
        <v>0</v>
      </c>
    </row>
    <row r="19" spans="2:14" x14ac:dyDescent="0.25">
      <c r="B19" s="74" t="s">
        <v>121</v>
      </c>
      <c r="C19" s="248">
        <v>82791588.694878995</v>
      </c>
      <c r="D19" s="248">
        <v>7982908.0800000001</v>
      </c>
      <c r="E19" s="248">
        <v>79894593.950000003</v>
      </c>
      <c r="F19" s="248">
        <v>170669090.724879</v>
      </c>
      <c r="H19" s="116"/>
      <c r="I19" s="116"/>
      <c r="J19" s="116"/>
      <c r="M19" s="11">
        <f>C20+C21</f>
        <v>14604186.579995001</v>
      </c>
      <c r="N19" s="11">
        <f>D20+D21</f>
        <v>1421621.579994</v>
      </c>
    </row>
    <row r="20" spans="2:14" x14ac:dyDescent="0.25">
      <c r="B20" s="74" t="s">
        <v>123</v>
      </c>
      <c r="C20" s="248">
        <v>9675678.3800000008</v>
      </c>
      <c r="D20" s="248">
        <v>0</v>
      </c>
      <c r="E20" s="248">
        <v>0</v>
      </c>
      <c r="F20" s="248">
        <v>9675678.3800000008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48">
        <v>4928508.1999949999</v>
      </c>
      <c r="D21" s="248">
        <v>1421621.579994</v>
      </c>
      <c r="E21" s="248">
        <v>3870270.36</v>
      </c>
      <c r="F21" s="248">
        <v>10220400.139989</v>
      </c>
      <c r="H21" s="116"/>
      <c r="I21" s="116"/>
      <c r="J21" s="116"/>
      <c r="M21" s="14">
        <f>IFERROR(C34,0)+IFERROR(C35,0)+M20</f>
        <v>29537981.753337003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248">
        <v>22720812.671873</v>
      </c>
      <c r="D24" s="248">
        <v>4013792.7799860002</v>
      </c>
      <c r="E24" s="248">
        <v>10057657.439999999</v>
      </c>
      <c r="F24" s="248">
        <v>36792262.891859002</v>
      </c>
      <c r="H24" s="116"/>
      <c r="I24" s="116"/>
      <c r="J24" s="116"/>
    </row>
    <row r="25" spans="2:14" x14ac:dyDescent="0.25">
      <c r="B25" s="74" t="s">
        <v>126</v>
      </c>
      <c r="C25" s="248">
        <v>17073616.219934002</v>
      </c>
      <c r="D25" s="248">
        <v>2741800</v>
      </c>
      <c r="E25" s="248">
        <v>3009008.96</v>
      </c>
      <c r="F25" s="248">
        <v>22824425.179933999</v>
      </c>
      <c r="H25" s="116"/>
      <c r="I25" s="116"/>
      <c r="J25" s="116"/>
    </row>
    <row r="26" spans="2:14" x14ac:dyDescent="0.25">
      <c r="B26" s="74" t="s">
        <v>127</v>
      </c>
      <c r="C26" s="248">
        <v>11947761.311936</v>
      </c>
      <c r="D26" s="248">
        <v>3214349.5699990001</v>
      </c>
      <c r="E26" s="248">
        <v>28313514.099938001</v>
      </c>
      <c r="F26" s="248">
        <v>43475624.981872998</v>
      </c>
      <c r="H26" s="116"/>
      <c r="I26" s="116"/>
      <c r="J26" s="116"/>
    </row>
    <row r="27" spans="2:14" x14ac:dyDescent="0.25">
      <c r="B27" s="74" t="s">
        <v>128</v>
      </c>
      <c r="C27" s="248">
        <v>45770445.929949999</v>
      </c>
      <c r="D27" s="248">
        <v>0</v>
      </c>
      <c r="E27" s="248">
        <v>0</v>
      </c>
      <c r="F27" s="248">
        <v>45770445.929949999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48">
        <v>11929819.639931001</v>
      </c>
      <c r="G32" s="116"/>
      <c r="H32" s="116"/>
      <c r="I32" s="116"/>
    </row>
    <row r="33" spans="2:14" x14ac:dyDescent="0.25">
      <c r="B33" s="84" t="s">
        <v>133</v>
      </c>
      <c r="C33" s="248">
        <v>17124324.719999999</v>
      </c>
      <c r="G33" s="116"/>
      <c r="H33" s="116"/>
      <c r="I33" s="116"/>
    </row>
    <row r="34" spans="2:14" x14ac:dyDescent="0.25">
      <c r="B34" s="84" t="s">
        <v>134</v>
      </c>
      <c r="C34" s="248">
        <v>13317837.701578001</v>
      </c>
      <c r="G34" s="116"/>
      <c r="H34" s="116"/>
      <c r="I34" s="116"/>
    </row>
    <row r="35" spans="2:14" x14ac:dyDescent="0.25">
      <c r="B35" s="84" t="s">
        <v>135</v>
      </c>
      <c r="C35" s="248">
        <v>16220144.051759001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185</v>
      </c>
      <c r="C41" s="225"/>
      <c r="D41" s="226"/>
      <c r="E41" s="67" t="s">
        <v>138</v>
      </c>
      <c r="F41" s="73">
        <f ca="1">IF(MONTH(TODAY())=7,DAY(TODAY())/DAY(EOMONTH(TODAY(),0)),IF(MONTH(TODAY())&gt;7,1,0))</f>
        <v>3.2258064516129031E-2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347902633.42874396</v>
      </c>
      <c r="F43" s="44">
        <f>IFERROR(E43/D43,0)</f>
        <v>4.3773209678691118E-2</v>
      </c>
      <c r="G43" s="118">
        <f>D43-E43</f>
        <v>7599941172.9189453</v>
      </c>
      <c r="H43" s="118">
        <f ca="1">IFERROR(G43/C3,0)</f>
        <v>281479302.70070165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52340531.197952002</v>
      </c>
      <c r="F44" s="44">
        <f>IFERROR(E44/D44,0)</f>
        <v>3.5300689087849724E-2</v>
      </c>
      <c r="G44" s="118">
        <f>D44-E44</f>
        <v>1430365119.8927879</v>
      </c>
      <c r="H44" s="118">
        <f ca="1">IFERROR(G44/C3,0)</f>
        <v>52976485.921955109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58592126.113268003</v>
      </c>
      <c r="F45" s="44">
        <f>IFERROR(E45/D45,0)</f>
        <v>3.1653217555443626E-2</v>
      </c>
      <c r="G45" s="118">
        <f>D45-E45</f>
        <v>1792471703.6739664</v>
      </c>
      <c r="H45" s="118">
        <f ca="1">IFERROR(G45/C3,0)</f>
        <v>66387840.876813568</v>
      </c>
      <c r="I45" s="116"/>
    </row>
    <row r="46" spans="2:14" x14ac:dyDescent="0.25">
      <c r="B46" s="221" t="s">
        <v>146</v>
      </c>
      <c r="C46" s="222"/>
      <c r="D46" s="47">
        <f>D43+D44+D45</f>
        <v>11281613287.225662</v>
      </c>
      <c r="E46" s="47">
        <f>E43+E44+E45</f>
        <v>458835290.73996401</v>
      </c>
      <c r="F46" s="43">
        <f>IFERROR(E46/D46,0)</f>
        <v>4.067107062245344E-2</v>
      </c>
      <c r="G46" s="119">
        <f>G43+G44+G45</f>
        <v>10822777996.485699</v>
      </c>
      <c r="H46" s="119">
        <f ca="1">IFERROR(G46/C3,0)</f>
        <v>400843629.49947029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1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22720812.671873</v>
      </c>
      <c r="H51" s="122">
        <f>N8</f>
        <v>4013792.7799860002</v>
      </c>
      <c r="I51" s="122">
        <f t="shared" ref="I51:I64" si="1">G51+H51</f>
        <v>26734605.451859001</v>
      </c>
      <c r="J51" s="61">
        <f t="shared" ref="J51:J64" si="2">IFERROR(I51/F51,0)</f>
        <v>4.7103970767347084E-2</v>
      </c>
      <c r="K51" s="51">
        <f t="shared" ref="K51:M64" si="3">D51-G51</f>
        <v>468516364.45359045</v>
      </c>
      <c r="L51" s="51">
        <f t="shared" si="3"/>
        <v>72314885.293995455</v>
      </c>
      <c r="M51" s="51">
        <f t="shared" si="3"/>
        <v>540831249.74758589</v>
      </c>
      <c r="N51" s="51">
        <f ca="1">IFERROR(M51/C3,0)</f>
        <v>20030787.027688365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18629369.459906001</v>
      </c>
      <c r="H52" s="122">
        <f>N9</f>
        <v>13143743.27</v>
      </c>
      <c r="I52" s="122">
        <f t="shared" si="1"/>
        <v>31773112.729906</v>
      </c>
      <c r="J52" s="61">
        <f t="shared" si="2"/>
        <v>3.7882760341889615E-2</v>
      </c>
      <c r="K52" s="54">
        <f t="shared" si="3"/>
        <v>638827790.39184368</v>
      </c>
      <c r="L52" s="54">
        <f t="shared" si="3"/>
        <v>168121313.61102229</v>
      </c>
      <c r="M52" s="54">
        <f t="shared" si="3"/>
        <v>806949104.00286603</v>
      </c>
      <c r="N52" s="54">
        <f ca="1">IFERROR(M52/C3,0)</f>
        <v>29887003.851958003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248955573.78787571</v>
      </c>
      <c r="L53" s="54">
        <f>E53-H53</f>
        <v>0</v>
      </c>
      <c r="M53" s="54">
        <f>F53-I53</f>
        <v>248955573.78787571</v>
      </c>
      <c r="N53" s="54">
        <f ca="1">IFERROR(M53/C3,0)</f>
        <v>9220576.8069583606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30338809.087599002</v>
      </c>
      <c r="H54" s="122">
        <f t="shared" ref="H54:H58" si="4">N10</f>
        <v>101081.08</v>
      </c>
      <c r="I54" s="122">
        <f t="shared" si="1"/>
        <v>30439890.167599</v>
      </c>
      <c r="J54" s="61">
        <f t="shared" si="2"/>
        <v>3.9031998337090465E-2</v>
      </c>
      <c r="K54" s="54">
        <f>D54-G54</f>
        <v>698048468.48630369</v>
      </c>
      <c r="L54" s="54">
        <f t="shared" si="3"/>
        <v>51381785.444593355</v>
      </c>
      <c r="M54" s="54">
        <f t="shared" si="3"/>
        <v>749430253.93089712</v>
      </c>
      <c r="N54" s="54">
        <f ca="1">IFERROR(M54/C3,0)</f>
        <v>27756676.071514707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23873873.999899998</v>
      </c>
      <c r="H55" s="122">
        <f t="shared" si="4"/>
        <v>12735432.119999999</v>
      </c>
      <c r="I55" s="122">
        <f t="shared" si="1"/>
        <v>36609306.119899996</v>
      </c>
      <c r="J55" s="61">
        <f t="shared" si="2"/>
        <v>6.6249401679612713E-2</v>
      </c>
      <c r="K55" s="54">
        <f t="shared" si="3"/>
        <v>458438304.47746539</v>
      </c>
      <c r="L55" s="54">
        <f t="shared" si="3"/>
        <v>57550679.979588963</v>
      </c>
      <c r="M55" s="54">
        <f t="shared" si="3"/>
        <v>515988984.45705438</v>
      </c>
      <c r="N55" s="54">
        <f ca="1">IFERROR(M55/C3,0)</f>
        <v>19110703.128039051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17615665.317969002</v>
      </c>
      <c r="H56" s="122">
        <f t="shared" si="4"/>
        <v>749554.05999800004</v>
      </c>
      <c r="I56" s="122">
        <f t="shared" si="1"/>
        <v>18365219.377967</v>
      </c>
      <c r="J56" s="61">
        <f t="shared" si="2"/>
        <v>2.9237260740477201E-2</v>
      </c>
      <c r="K56" s="54">
        <f t="shared" si="3"/>
        <v>487576337.68511754</v>
      </c>
      <c r="L56" s="54">
        <f t="shared" si="3"/>
        <v>122202766.7497641</v>
      </c>
      <c r="M56" s="54">
        <f t="shared" si="3"/>
        <v>609779104.43488169</v>
      </c>
      <c r="N56" s="54">
        <f ca="1">IFERROR(M56/C3,0)</f>
        <v>22584411.27536599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82791588.694878995</v>
      </c>
      <c r="H57" s="122">
        <f t="shared" si="4"/>
        <v>7982908.0800000001</v>
      </c>
      <c r="I57" s="122">
        <f t="shared" si="1"/>
        <v>90774496.774878994</v>
      </c>
      <c r="J57" s="61">
        <f t="shared" si="2"/>
        <v>7.8093488605372297E-2</v>
      </c>
      <c r="K57" s="54">
        <f t="shared" si="3"/>
        <v>978453814.35383964</v>
      </c>
      <c r="L57" s="54">
        <f t="shared" si="3"/>
        <v>93154089.708658397</v>
      </c>
      <c r="M57" s="54">
        <f t="shared" si="3"/>
        <v>1071607904.0624981</v>
      </c>
      <c r="N57" s="54">
        <f ca="1">IFERROR(M57/C3,0)</f>
        <v>39689181.631944373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17073616.219934002</v>
      </c>
      <c r="H58" s="122">
        <f t="shared" si="4"/>
        <v>2741800</v>
      </c>
      <c r="I58" s="122">
        <f>G58+H58</f>
        <v>19815416.219934002</v>
      </c>
      <c r="J58" s="61">
        <f>IFERROR(I58/F58,0)</f>
        <v>2.9673604773907333E-2</v>
      </c>
      <c r="K58" s="54">
        <f t="shared" si="3"/>
        <v>546040554.51415479</v>
      </c>
      <c r="L58" s="54">
        <f t="shared" si="3"/>
        <v>101923234.75557049</v>
      </c>
      <c r="M58" s="54">
        <f t="shared" si="3"/>
        <v>647963789.26972532</v>
      </c>
      <c r="N58" s="54">
        <f ca="1">IFERROR(M58/C3,0)</f>
        <v>23998658.861841679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429849184.30128497</v>
      </c>
      <c r="L59" s="54">
        <f>E59-H59</f>
        <v>0</v>
      </c>
      <c r="M59" s="54">
        <f>F59-I59</f>
        <v>429849184.30128497</v>
      </c>
      <c r="N59" s="54">
        <f ca="1">IFERROR(M59/C3,0)</f>
        <v>15920340.15930685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41696026.625834003</v>
      </c>
      <c r="H60" s="122">
        <f t="shared" ref="H60:H64" si="5">N15</f>
        <v>4900648.6579750003</v>
      </c>
      <c r="I60" s="122">
        <f t="shared" si="1"/>
        <v>46596675.283809006</v>
      </c>
      <c r="J60" s="61">
        <f t="shared" si="2"/>
        <v>7.3684083145439505E-2</v>
      </c>
      <c r="K60" s="54">
        <f t="shared" si="3"/>
        <v>473025084.80101407</v>
      </c>
      <c r="L60" s="54">
        <f t="shared" si="3"/>
        <v>112762783.42419107</v>
      </c>
      <c r="M60" s="54">
        <f t="shared" si="3"/>
        <v>585787868.22520518</v>
      </c>
      <c r="N60" s="54">
        <f ca="1">IFERROR(M60/C3,0)</f>
        <v>21695846.971303895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11947761.311936</v>
      </c>
      <c r="H61" s="122">
        <f t="shared" si="5"/>
        <v>3214349.5699990001</v>
      </c>
      <c r="I61" s="122">
        <f t="shared" si="1"/>
        <v>15162110.881935</v>
      </c>
      <c r="J61" s="61">
        <f t="shared" si="2"/>
        <v>1.9696395756993529E-2</v>
      </c>
      <c r="K61" s="54">
        <f t="shared" si="3"/>
        <v>686897414.927665</v>
      </c>
      <c r="L61" s="54">
        <f t="shared" si="3"/>
        <v>67731611.056211829</v>
      </c>
      <c r="M61" s="54">
        <f t="shared" si="3"/>
        <v>754629025.98387682</v>
      </c>
      <c r="N61" s="54">
        <f ca="1">IFERROR(M61/C3,0)</f>
        <v>27949223.18458803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20840477.528969001</v>
      </c>
      <c r="H62" s="122">
        <f t="shared" si="5"/>
        <v>1335600</v>
      </c>
      <c r="I62" s="122">
        <f t="shared" si="1"/>
        <v>22176077.528969001</v>
      </c>
      <c r="J62" s="61">
        <f t="shared" si="2"/>
        <v>4.1824169039948185E-2</v>
      </c>
      <c r="K62" s="54">
        <f t="shared" si="3"/>
        <v>461029886.68839711</v>
      </c>
      <c r="L62" s="54">
        <f t="shared" si="3"/>
        <v>47015628.656065792</v>
      </c>
      <c r="M62" s="54">
        <f t="shared" si="3"/>
        <v>508045515.34446293</v>
      </c>
      <c r="N62" s="54">
        <f ca="1">IFERROR(M62/C3,0)</f>
        <v>18816500.568313442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45770445.929949999</v>
      </c>
      <c r="H63" s="122">
        <f t="shared" si="5"/>
        <v>0</v>
      </c>
      <c r="I63" s="122">
        <f t="shared" si="1"/>
        <v>45770445.929949999</v>
      </c>
      <c r="J63" s="61">
        <f t="shared" si="2"/>
        <v>4.4343802371034961E-2</v>
      </c>
      <c r="K63" s="54">
        <f t="shared" si="3"/>
        <v>660284483.06285048</v>
      </c>
      <c r="L63" s="54">
        <f t="shared" si="3"/>
        <v>326117403.61363631</v>
      </c>
      <c r="M63" s="54">
        <f t="shared" si="3"/>
        <v>986401886.67648673</v>
      </c>
      <c r="N63" s="54">
        <f ca="1">IFERROR(M63/C3,0)</f>
        <v>36533403.210240252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14604186.579995001</v>
      </c>
      <c r="H64" s="122">
        <f t="shared" si="5"/>
        <v>1421621.579994</v>
      </c>
      <c r="I64" s="122">
        <f t="shared" si="1"/>
        <v>16025808.159989001</v>
      </c>
      <c r="J64" s="61">
        <f t="shared" si="2"/>
        <v>2.7157201217019818E-2</v>
      </c>
      <c r="K64" s="54">
        <f t="shared" si="3"/>
        <v>363997910.98754221</v>
      </c>
      <c r="L64" s="54">
        <f t="shared" si="3"/>
        <v>210088937.59948999</v>
      </c>
      <c r="M64" s="54">
        <f t="shared" si="3"/>
        <v>574086848.5870322</v>
      </c>
      <c r="N64" s="54">
        <f ca="1">IFERROR(M64/C3,0)</f>
        <v>21262475.873593785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347902633.42874396</v>
      </c>
      <c r="H65" s="152">
        <f>SUM(H51:H64)</f>
        <v>52340531.197952002</v>
      </c>
      <c r="I65" s="152">
        <f>SUM(I51:I64)</f>
        <v>400243164.62669599</v>
      </c>
      <c r="J65" s="153">
        <f>IFERROR(I65/F65,0)</f>
        <v>4.2441128847588064E-2</v>
      </c>
      <c r="K65" s="154">
        <f>SUM(K51:K64)</f>
        <v>7599941172.9189444</v>
      </c>
      <c r="L65" s="154">
        <f>SUM(L51:L64)</f>
        <v>1430365119.8927882</v>
      </c>
      <c r="M65" s="154">
        <f>SUM(M51:M64)</f>
        <v>9030306292.8117332</v>
      </c>
      <c r="N65" s="154">
        <f ca="1">IFERROR(M65/C3,0)</f>
        <v>334455788.62265676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3" t="s">
        <v>41</v>
      </c>
      <c r="C68" s="223" t="s">
        <v>42</v>
      </c>
      <c r="D68" s="134" t="s">
        <v>139</v>
      </c>
    </row>
    <row r="69" spans="2:14" ht="21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10057657.439999999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0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23063062.800000001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0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79894593.950000003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3009008.96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0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28313514.099938001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9063062.9199999999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3870270.36</v>
      </c>
    </row>
    <row r="84" spans="2:9" ht="20.100000000000001" customHeight="1" x14ac:dyDescent="0.25">
      <c r="B84" s="57" t="s">
        <v>152</v>
      </c>
      <c r="C84" s="58"/>
      <c r="D84" s="129">
        <f>SUM(D70:D83)</f>
        <v>157271170.52993798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11929819.639931001</v>
      </c>
      <c r="F89" s="61">
        <f t="shared" ref="F89:F94" si="7">IFERROR(E89/D89,0)</f>
        <v>4.069708787656999E-2</v>
      </c>
      <c r="G89" s="125">
        <f>D89-E89</f>
        <v>281207116.25368613</v>
      </c>
      <c r="H89" s="125">
        <f ca="1">IFERROR(G89/C3,0)</f>
        <v>10415078.379766153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17124324.719999999</v>
      </c>
      <c r="F90" s="61">
        <f t="shared" si="7"/>
        <v>3.9236571530991075E-2</v>
      </c>
      <c r="G90" s="126">
        <f>D90-E90</f>
        <v>419313520.17361712</v>
      </c>
      <c r="H90" s="126">
        <f ca="1">IFERROR(G90/C3,0)</f>
        <v>15530130.376800634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29537981.753337003</v>
      </c>
      <c r="F91" s="61">
        <f t="shared" si="7"/>
        <v>2.6338181170538565E-2</v>
      </c>
      <c r="G91" s="125">
        <f>D91-E91</f>
        <v>1091951067.2466631</v>
      </c>
      <c r="H91" s="125">
        <f ca="1">IFERROR(G91/C3,0)</f>
        <v>40442632.120246783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58592126.113268003</v>
      </c>
      <c r="F94" s="43">
        <f t="shared" si="7"/>
        <v>3.1653217555443626E-2</v>
      </c>
      <c r="G94" s="119">
        <f>SUM(G89:G93)</f>
        <v>1792471703.6739664</v>
      </c>
      <c r="H94" s="119">
        <f ca="1">IFERROR(G94/C3,0)</f>
        <v>66387840.876813568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2026-07-01T02:35:32Z</dcterms:modified>
  <dc:language>en-US</dc:language>
</cp:coreProperties>
</file>