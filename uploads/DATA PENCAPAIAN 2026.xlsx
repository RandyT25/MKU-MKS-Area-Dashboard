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<sst xmlns="http://schemas.openxmlformats.org/spreadsheetml/2006/main" count="2117" uniqueCount="228">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</sst>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4" zoomScale="73" zoomScaleNormal="73" workbookViewId="0">
      <selection activeCell="F79" sqref="F7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18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73490428.116373003</v>
      </c>
      <c r="D10" s="234">
        <v>14755456.24</v>
      </c>
      <c r="E10" s="234">
        <v>78594000.203915</v>
      </c>
      <c r="F10" s="234">
        <v>59135270.65997</v>
      </c>
      <c r="G10" s="234">
        <v>225975155.220258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8173668</v>
      </c>
      <c r="E11" s="234">
        <v>95495495.999599993</v>
      </c>
      <c r="F11" s="234" t="s">
        <v>165</v>
      </c>
      <c r="G11" s="234">
        <v>105919163.99959999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84559918.006255999</v>
      </c>
      <c r="D12" s="234">
        <v>43872747.611491002</v>
      </c>
      <c r="E12" s="234">
        <v>56858704.049810998</v>
      </c>
      <c r="F12" s="234">
        <v>7691986.7999999998</v>
      </c>
      <c r="G12" s="234">
        <v>192983356.467558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16333680.42481</v>
      </c>
      <c r="D13" s="234">
        <v>9576133.4099920001</v>
      </c>
      <c r="E13" s="234">
        <v>81281802.489847004</v>
      </c>
      <c r="F13" s="234">
        <v>15759149.07</v>
      </c>
      <c r="G13" s="234">
        <v>122950765.394649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185034613.11774901</v>
      </c>
      <c r="D14" s="234">
        <v>21194558.905912999</v>
      </c>
      <c r="E14" s="234">
        <v>57627486.589945003</v>
      </c>
      <c r="F14" s="234">
        <v>159486309.56990501</v>
      </c>
      <c r="G14" s="234">
        <v>423342968.18351197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474134653.19114602</v>
      </c>
      <c r="D15" s="234">
        <v>1458276.0079969999</v>
      </c>
      <c r="E15" s="234">
        <v>30636863.809969999</v>
      </c>
      <c r="F15" s="234">
        <v>10129730</v>
      </c>
      <c r="G15" s="234">
        <v>516359523.00911301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161001696.346962</v>
      </c>
      <c r="D16" s="234">
        <v>21468535.869982999</v>
      </c>
      <c r="E16" s="234">
        <v>140050496.049743</v>
      </c>
      <c r="F16" s="234">
        <v>438242790.28998202</v>
      </c>
      <c r="G16" s="234">
        <v>760763518.55666995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55793039.607610002</v>
      </c>
      <c r="D17" s="234">
        <v>9978337.7908999994</v>
      </c>
      <c r="E17" s="234">
        <v>40835515.829259999</v>
      </c>
      <c r="F17" s="234">
        <v>12864865.199999999</v>
      </c>
      <c r="G17" s="234">
        <v>119471758.42777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6336380</v>
      </c>
      <c r="D18" s="234">
        <v>88474391.655750006</v>
      </c>
      <c r="E18" s="234">
        <v>32115411.5</v>
      </c>
      <c r="F18" s="234">
        <v>57178379.560000002</v>
      </c>
      <c r="G18" s="234">
        <v>184104562.71575001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7237958.96</v>
      </c>
      <c r="D19" s="234" t="s">
        <v>165</v>
      </c>
      <c r="E19" s="234" t="s">
        <v>165</v>
      </c>
      <c r="F19" s="234">
        <v>2198198.14</v>
      </c>
      <c r="G19" s="234">
        <v>9436157.0999999996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100950230.06</v>
      </c>
      <c r="D20" s="234" t="s">
        <v>165</v>
      </c>
      <c r="E20" s="234" t="s">
        <v>165</v>
      </c>
      <c r="F20" s="234">
        <v>5723693.54</v>
      </c>
      <c r="G20" s="234">
        <v>106673923.59999999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125039888.340037</v>
      </c>
      <c r="D21" s="234">
        <v>24334222.789974999</v>
      </c>
      <c r="E21" s="234">
        <v>60844261.319939002</v>
      </c>
      <c r="F21" s="234">
        <v>164708177.56995001</v>
      </c>
      <c r="G21" s="234">
        <v>374926550.01990098</v>
      </c>
      <c r="H21" s="111"/>
      <c r="I21" s="111"/>
      <c r="J21" s="111"/>
      <c r="M21" s="14">
        <f>SUM(C33,C34)+M20</f>
        <v>258519827.83804402</v>
      </c>
      <c r="N21" s="10" t="s">
        <v>224</v>
      </c>
    </row>
    <row r="22" spans="2:15" ht="15" customHeight="1" x14ac:dyDescent="0.25">
      <c r="B22" s="72" t="s">
        <v>125</v>
      </c>
      <c r="C22" s="234">
        <v>90284668.024823993</v>
      </c>
      <c r="D22" s="234">
        <v>31152595.579992998</v>
      </c>
      <c r="E22" s="234">
        <v>69125856.647545993</v>
      </c>
      <c r="F22" s="234">
        <v>131239633.17979001</v>
      </c>
      <c r="G22" s="234">
        <v>321802753.43215299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185777486.60459799</v>
      </c>
      <c r="D23" s="234">
        <v>26274691.039987002</v>
      </c>
      <c r="E23" s="234">
        <v>101574415.509918</v>
      </c>
      <c r="F23" s="234">
        <v>224960453.62976</v>
      </c>
      <c r="G23" s="234">
        <v>538587046.78426301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76106892.059469998</v>
      </c>
      <c r="D24" s="234">
        <v>20634444.979988001</v>
      </c>
      <c r="E24" s="234">
        <v>70424944.558329001</v>
      </c>
      <c r="F24" s="234">
        <v>21490990.75</v>
      </c>
      <c r="G24" s="234">
        <v>188657272.34778699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116086743.22290599</v>
      </c>
      <c r="D25" s="234">
        <v>41727732.891782999</v>
      </c>
      <c r="E25" s="234">
        <v>45275270.485870004</v>
      </c>
      <c r="F25" s="234">
        <v>18234234.640000001</v>
      </c>
      <c r="G25" s="234">
        <v>221323981.24055901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194875116.31842399</v>
      </c>
      <c r="D26" s="234">
        <v>135771608.30840001</v>
      </c>
      <c r="E26" s="234">
        <v>119799466.22759999</v>
      </c>
      <c r="F26" s="234">
        <v>1415675.7150000001</v>
      </c>
      <c r="G26" s="234">
        <v>451861866.56942397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80007309.889724001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72319138.569727004</v>
      </c>
      <c r="G32" s="111"/>
      <c r="H32" s="111"/>
      <c r="I32" s="111"/>
    </row>
    <row r="33" spans="2:19" ht="15" customHeight="1" x14ac:dyDescent="0.25">
      <c r="B33" s="81" t="s">
        <v>133</v>
      </c>
      <c r="C33" s="171">
        <v>62482397.204103999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196037430.63394001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227</v>
      </c>
      <c r="C40" s="270"/>
      <c r="D40" s="271"/>
      <c r="E40" s="66" t="s">
        <v>137</v>
      </c>
      <c r="F40" s="174">
        <f ca="1">IF(MONTH(TODAY())=9,DAY(TODAY())/DAY(EOMONTH(TODAY(),0)),IF(MONTH(TODAY())&gt;9,1,0))</f>
        <v>0.33333333333333331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1481158739.2100191</v>
      </c>
      <c r="F42" s="176">
        <f>IFERROR(E42/D42,0)</f>
        <v>0.3282865650425264</v>
      </c>
      <c r="G42" s="184">
        <f>D42*$H$40-E42</f>
        <v>3030627294.489377</v>
      </c>
      <c r="H42" s="184">
        <f ca="1">IFERROR(G42/$C$3,0)</f>
        <v>168368183.02718762</v>
      </c>
      <c r="I42" s="204">
        <f>D42*$J$40-E42</f>
        <v>3030627294.489377</v>
      </c>
      <c r="J42" s="204">
        <f ca="1">IFERROR(I42/$C$3,0)</f>
        <v>168368183.02718762</v>
      </c>
      <c r="K42" s="185">
        <f>D42*$L$40-E42</f>
        <v>3030627294.489377</v>
      </c>
      <c r="L42" s="185">
        <f ca="1">IFERROR(K42/$C$3,0)</f>
        <v>168368183.02718762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497389125.07415497</v>
      </c>
      <c r="F43" s="176">
        <f>IFERROR(E43/D43,0)</f>
        <v>0.35493180924481271</v>
      </c>
      <c r="G43" s="184">
        <f>D43*$H$40-E43</f>
        <v>903976185.44125998</v>
      </c>
      <c r="H43" s="184">
        <f ca="1">IFERROR(G43/$C$3,0)</f>
        <v>50220899.191181108</v>
      </c>
      <c r="I43" s="204">
        <f>D43*$J$40-E43</f>
        <v>903976185.44125998</v>
      </c>
      <c r="J43" s="204">
        <f ca="1">IFERROR(I43/$C$3,0)</f>
        <v>50220899.191181108</v>
      </c>
      <c r="K43" s="185">
        <f>D43*$L$40-E43</f>
        <v>903976185.44125998</v>
      </c>
      <c r="L43" s="185">
        <f ca="1">IFERROR(K43/$C$3,0)</f>
        <v>50220899.191181108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1049903127.461323</v>
      </c>
      <c r="F44" s="176">
        <f>IFERROR(E44/D44,0)</f>
        <v>0.35652610231580739</v>
      </c>
      <c r="G44" s="184">
        <f>IF(D44=0,0,D44*$H$40-E44)</f>
        <v>1894911068.8673623</v>
      </c>
      <c r="H44" s="184">
        <f ca="1">IFERROR(G44/$C$3,0)</f>
        <v>105272837.1592979</v>
      </c>
      <c r="I44" s="204">
        <f>IF(D44=0,0,D44*$J$40-E44)</f>
        <v>1894911068.8673623</v>
      </c>
      <c r="J44" s="204">
        <f ca="1">IFERROR(I44/$C$3,0)</f>
        <v>105272837.1592979</v>
      </c>
      <c r="K44" s="185">
        <f>IF(D44=0,0,D44*$L$40-E44)</f>
        <v>1894911068.8673623</v>
      </c>
      <c r="L44" s="185">
        <f ca="1">IFERROR(K44/$C$3,0)</f>
        <v>105272837.1592979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410846276.29749501</v>
      </c>
      <c r="F45" s="176">
        <f>IFERROR(E45/D45,0)</f>
        <v>0.2360608188995387</v>
      </c>
      <c r="G45" s="184">
        <f>D45*$H$40-E45</f>
        <v>1329579255.6173987</v>
      </c>
      <c r="H45" s="184">
        <f ca="1">IFERROR(G45/$C$3,0)</f>
        <v>73865514.200966597</v>
      </c>
      <c r="I45" s="204">
        <f>D45*$J$40-E45</f>
        <v>1329579255.6173987</v>
      </c>
      <c r="J45" s="204">
        <f ca="1">IFERROR(I45/$C$3,0)</f>
        <v>73865514.200966597</v>
      </c>
      <c r="K45" s="185">
        <f>D45*$L$40-E45</f>
        <v>1329579255.6173987</v>
      </c>
      <c r="L45" s="185">
        <f ca="1">IFERROR(K45/$C$3,0)</f>
        <v>73865514.200966597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3439297268.0429916</v>
      </c>
      <c r="F46" s="177">
        <f>IFERROR(E46/D46,0)</f>
        <v>0.32451126256140461</v>
      </c>
      <c r="G46" s="181">
        <f>SUM(G42:G45)</f>
        <v>7159093804.4153976</v>
      </c>
      <c r="H46" s="181">
        <f ca="1">IFERROR(G46/$C$3,0)</f>
        <v>397727433.57863319</v>
      </c>
      <c r="I46" s="186">
        <f>SUM(I42:I45)</f>
        <v>7159093804.4153976</v>
      </c>
      <c r="J46" s="186">
        <f ca="1">IFERROR(I46/$C$3,0)</f>
        <v>397727433.57863319</v>
      </c>
      <c r="K46" s="186">
        <f>SUM(K42:K45)</f>
        <v>7159093804.4153976</v>
      </c>
      <c r="L46" s="186">
        <f ca="1">IFERROR(K46/$C$3,0)</f>
        <v>397727433.57863319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125039888.340037</v>
      </c>
      <c r="I51" s="114">
        <f t="shared" ref="I51:I64" si="1">SUMIF($B$10:$B$26,$T51,D$10:D$26)+SUMIF($B$10:$B$26,$U51,D$10:D$26)</f>
        <v>24334222.789974999</v>
      </c>
      <c r="J51" s="114">
        <f t="shared" ref="J51:J64" si="2">SUMIF($B$10:$B$26,$T51,E$10:E$26)+SUMIF($B$10:$B$26,$U51,E$10:E$26)</f>
        <v>60844261.319939002</v>
      </c>
      <c r="K51" s="114">
        <f t="shared" ref="K51:K64" si="3">SUM(H51:J51)</f>
        <v>210218372.44995099</v>
      </c>
      <c r="L51" s="187">
        <f t="shared" ref="L51:L65" si="4">IFERROR(K51/G51,0)</f>
        <v>0.40869293709721227</v>
      </c>
      <c r="M51" s="184">
        <f t="shared" ref="M51:M64" si="5">G51*$H$40-K51</f>
        <v>304149147.4368636</v>
      </c>
      <c r="N51" s="184">
        <f t="shared" ref="N51:N65" ca="1" si="6">IFERROR(M51/$C$3,0)</f>
        <v>16897174.857603535</v>
      </c>
      <c r="O51" s="180">
        <f t="shared" ref="O51:O64" si="7">G51*$J$40-K51</f>
        <v>304149147.4368636</v>
      </c>
      <c r="P51" s="180">
        <f t="shared" ref="P51:P65" ca="1" si="8">IFERROR(O51/$C$3,0)</f>
        <v>16897174.857603535</v>
      </c>
      <c r="Q51" s="185">
        <f t="shared" ref="Q51:Q64" si="9">G51*$L$40-K51</f>
        <v>304149147.4368636</v>
      </c>
      <c r="R51" s="185">
        <f t="shared" ref="R51:R65" ca="1" si="10">IFERROR(Q51/$C$3,0)</f>
        <v>16897174.857603535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100893598.43106601</v>
      </c>
      <c r="I52" s="114">
        <f t="shared" si="1"/>
        <v>53448881.021483004</v>
      </c>
      <c r="J52" s="114">
        <f t="shared" si="2"/>
        <v>138140506.53965801</v>
      </c>
      <c r="K52" s="114">
        <f t="shared" si="3"/>
        <v>292482985.99220705</v>
      </c>
      <c r="L52" s="187">
        <f t="shared" si="4"/>
        <v>0.37234130356855566</v>
      </c>
      <c r="M52" s="184">
        <f t="shared" si="5"/>
        <v>493040895.42793453</v>
      </c>
      <c r="N52" s="184">
        <f t="shared" ca="1" si="6"/>
        <v>27391160.857107475</v>
      </c>
      <c r="O52" s="180">
        <f t="shared" si="7"/>
        <v>493040895.42793453</v>
      </c>
      <c r="P52" s="180">
        <f t="shared" ca="1" si="8"/>
        <v>27391160.857107475</v>
      </c>
      <c r="Q52" s="185">
        <f t="shared" si="9"/>
        <v>493040895.42793453</v>
      </c>
      <c r="R52" s="185">
        <f t="shared" ca="1" si="10"/>
        <v>27391160.857107475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7237958.96</v>
      </c>
      <c r="I53" s="114">
        <f t="shared" si="1"/>
        <v>0</v>
      </c>
      <c r="J53" s="114">
        <f t="shared" si="2"/>
        <v>0</v>
      </c>
      <c r="K53" s="114">
        <f t="shared" si="3"/>
        <v>7237958.96</v>
      </c>
      <c r="L53" s="187">
        <f t="shared" si="4"/>
        <v>2.7525664541080765E-2</v>
      </c>
      <c r="M53" s="184">
        <f t="shared" si="5"/>
        <v>255715146.10301074</v>
      </c>
      <c r="N53" s="184">
        <f t="shared" ca="1" si="6"/>
        <v>14206397.005722819</v>
      </c>
      <c r="O53" s="180">
        <f t="shared" si="7"/>
        <v>255715146.10301074</v>
      </c>
      <c r="P53" s="180">
        <f t="shared" ca="1" si="8"/>
        <v>14206397.005722819</v>
      </c>
      <c r="Q53" s="185">
        <f t="shared" si="9"/>
        <v>255715146.10301074</v>
      </c>
      <c r="R53" s="185">
        <f t="shared" ca="1" si="10"/>
        <v>14206397.005722819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185034613.11774901</v>
      </c>
      <c r="I54" s="114">
        <f t="shared" si="1"/>
        <v>21194558.905912999</v>
      </c>
      <c r="J54" s="114">
        <f t="shared" si="2"/>
        <v>57627486.589945003</v>
      </c>
      <c r="K54" s="114">
        <f t="shared" si="3"/>
        <v>263856658.61360699</v>
      </c>
      <c r="L54" s="187">
        <f t="shared" si="4"/>
        <v>0.36310292407581185</v>
      </c>
      <c r="M54" s="184">
        <f t="shared" si="5"/>
        <v>462815150.17225856</v>
      </c>
      <c r="N54" s="184">
        <f t="shared" ca="1" si="6"/>
        <v>25711952.787347697</v>
      </c>
      <c r="O54" s="180">
        <f t="shared" si="7"/>
        <v>462815150.17225856</v>
      </c>
      <c r="P54" s="180">
        <f t="shared" ca="1" si="8"/>
        <v>25711952.787347697</v>
      </c>
      <c r="Q54" s="185">
        <f t="shared" si="9"/>
        <v>462815150.17225856</v>
      </c>
      <c r="R54" s="185">
        <f t="shared" ca="1" si="10"/>
        <v>25711952.787347697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8173668</v>
      </c>
      <c r="J55" s="114">
        <f t="shared" si="2"/>
        <v>95495495.999599993</v>
      </c>
      <c r="K55" s="114">
        <f t="shared" si="3"/>
        <v>105919163.99959999</v>
      </c>
      <c r="L55" s="187">
        <f t="shared" si="4"/>
        <v>0.1971685906843943</v>
      </c>
      <c r="M55" s="184">
        <f t="shared" si="5"/>
        <v>431281835.57108563</v>
      </c>
      <c r="N55" s="184">
        <f t="shared" ca="1" si="6"/>
        <v>23960101.976171423</v>
      </c>
      <c r="O55" s="180">
        <f t="shared" si="7"/>
        <v>431281835.57108563</v>
      </c>
      <c r="P55" s="180">
        <f t="shared" ca="1" si="8"/>
        <v>23960101.976171423</v>
      </c>
      <c r="Q55" s="185">
        <f t="shared" si="9"/>
        <v>431281835.57108563</v>
      </c>
      <c r="R55" s="185">
        <f t="shared" ca="1" si="10"/>
        <v>23960101.976171423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76106892.059469998</v>
      </c>
      <c r="I56" s="114">
        <f t="shared" si="1"/>
        <v>20634444.979988001</v>
      </c>
      <c r="J56" s="114">
        <f t="shared" si="2"/>
        <v>70424944.558329001</v>
      </c>
      <c r="K56" s="114">
        <f t="shared" si="3"/>
        <v>167166281.59778702</v>
      </c>
      <c r="L56" s="187">
        <f t="shared" si="4"/>
        <v>0.29075127914858656</v>
      </c>
      <c r="M56" s="184">
        <f t="shared" si="5"/>
        <v>407779706.90243137</v>
      </c>
      <c r="N56" s="184">
        <f t="shared" ca="1" si="6"/>
        <v>22654428.161246188</v>
      </c>
      <c r="O56" s="180">
        <f t="shared" si="7"/>
        <v>407779706.90243137</v>
      </c>
      <c r="P56" s="180">
        <f t="shared" ca="1" si="8"/>
        <v>22654428.161246188</v>
      </c>
      <c r="Q56" s="185">
        <f t="shared" si="9"/>
        <v>407779706.90243137</v>
      </c>
      <c r="R56" s="185">
        <f t="shared" ca="1" si="10"/>
        <v>22654428.161246188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161001696.346962</v>
      </c>
      <c r="I57" s="114">
        <f t="shared" si="1"/>
        <v>21468535.869982999</v>
      </c>
      <c r="J57" s="114">
        <f t="shared" si="2"/>
        <v>140050496.049743</v>
      </c>
      <c r="K57" s="114">
        <f t="shared" si="3"/>
        <v>322520728.26668799</v>
      </c>
      <c r="L57" s="187">
        <f t="shared" si="4"/>
        <v>0.29077295490546545</v>
      </c>
      <c r="M57" s="184">
        <f t="shared" si="5"/>
        <v>786663337.25805867</v>
      </c>
      <c r="N57" s="184">
        <f t="shared" ca="1" si="6"/>
        <v>43703518.736558817</v>
      </c>
      <c r="O57" s="180">
        <f t="shared" si="7"/>
        <v>786663337.25805867</v>
      </c>
      <c r="P57" s="180">
        <f t="shared" ca="1" si="8"/>
        <v>43703518.736558817</v>
      </c>
      <c r="Q57" s="185">
        <f t="shared" si="9"/>
        <v>786663337.25805867</v>
      </c>
      <c r="R57" s="185">
        <f t="shared" ca="1" si="10"/>
        <v>43703518.736558817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90284668.024823993</v>
      </c>
      <c r="I58" s="114">
        <f t="shared" si="1"/>
        <v>31152595.579992998</v>
      </c>
      <c r="J58" s="114">
        <f t="shared" si="2"/>
        <v>69125856.647545993</v>
      </c>
      <c r="K58" s="114">
        <f t="shared" si="3"/>
        <v>190563120.25236297</v>
      </c>
      <c r="L58" s="187">
        <f t="shared" si="4"/>
        <v>0.31007004854783654</v>
      </c>
      <c r="M58" s="184">
        <f t="shared" si="5"/>
        <v>424017749.92466593</v>
      </c>
      <c r="N58" s="184">
        <f t="shared" ca="1" si="6"/>
        <v>23556541.662481442</v>
      </c>
      <c r="O58" s="180">
        <f t="shared" si="7"/>
        <v>424017749.92466593</v>
      </c>
      <c r="P58" s="180">
        <f t="shared" ca="1" si="8"/>
        <v>23556541.662481442</v>
      </c>
      <c r="Q58" s="185">
        <f t="shared" si="9"/>
        <v>424017749.92466593</v>
      </c>
      <c r="R58" s="185">
        <f t="shared" ca="1" si="10"/>
        <v>23556541.662481442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100950230.06</v>
      </c>
      <c r="I59" s="114">
        <f t="shared" si="1"/>
        <v>0</v>
      </c>
      <c r="J59" s="114">
        <f t="shared" si="2"/>
        <v>0</v>
      </c>
      <c r="K59" s="114">
        <f t="shared" si="3"/>
        <v>100950230.06</v>
      </c>
      <c r="L59" s="187">
        <f t="shared" si="4"/>
        <v>0.22744390465725714</v>
      </c>
      <c r="M59" s="184">
        <f t="shared" si="5"/>
        <v>342896485.51642001</v>
      </c>
      <c r="N59" s="184">
        <f t="shared" ca="1" si="6"/>
        <v>19049804.750912223</v>
      </c>
      <c r="O59" s="180">
        <f t="shared" si="7"/>
        <v>342896485.51642001</v>
      </c>
      <c r="P59" s="180">
        <f t="shared" ca="1" si="8"/>
        <v>19049804.750912223</v>
      </c>
      <c r="Q59" s="185">
        <f t="shared" si="9"/>
        <v>342896485.51642001</v>
      </c>
      <c r="R59" s="185">
        <f t="shared" ca="1" si="10"/>
        <v>19049804.750912223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116086743.22290599</v>
      </c>
      <c r="I60" s="114">
        <f t="shared" si="1"/>
        <v>41727732.891782999</v>
      </c>
      <c r="J60" s="114">
        <f t="shared" si="2"/>
        <v>45275270.485870004</v>
      </c>
      <c r="K60" s="114">
        <f t="shared" si="3"/>
        <v>203089746.600559</v>
      </c>
      <c r="L60" s="187">
        <f t="shared" si="4"/>
        <v>0.350646724190811</v>
      </c>
      <c r="M60" s="184">
        <f t="shared" si="5"/>
        <v>376096461.59582472</v>
      </c>
      <c r="N60" s="184">
        <f t="shared" ca="1" si="6"/>
        <v>20894247.866434708</v>
      </c>
      <c r="O60" s="180">
        <f t="shared" si="7"/>
        <v>376096461.59582472</v>
      </c>
      <c r="P60" s="180">
        <f t="shared" ca="1" si="8"/>
        <v>20894247.866434708</v>
      </c>
      <c r="Q60" s="185">
        <f t="shared" si="9"/>
        <v>376096461.59582472</v>
      </c>
      <c r="R60" s="185">
        <f t="shared" ca="1" si="10"/>
        <v>20894247.866434708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185777486.60459799</v>
      </c>
      <c r="I61" s="114">
        <f t="shared" si="1"/>
        <v>26274691.039987002</v>
      </c>
      <c r="J61" s="114">
        <f t="shared" si="2"/>
        <v>101574415.509918</v>
      </c>
      <c r="K61" s="114">
        <f t="shared" si="3"/>
        <v>313626593.15450299</v>
      </c>
      <c r="L61" s="187">
        <f t="shared" si="4"/>
        <v>0.43766361101413792</v>
      </c>
      <c r="M61" s="184">
        <f t="shared" si="5"/>
        <v>402966208.39867854</v>
      </c>
      <c r="N61" s="184">
        <f t="shared" ca="1" si="6"/>
        <v>22387011.577704363</v>
      </c>
      <c r="O61" s="180">
        <f t="shared" si="7"/>
        <v>402966208.39867854</v>
      </c>
      <c r="P61" s="180">
        <f t="shared" ca="1" si="8"/>
        <v>22387011.577704363</v>
      </c>
      <c r="Q61" s="185">
        <f t="shared" si="9"/>
        <v>402966208.39867854</v>
      </c>
      <c r="R61" s="185">
        <f t="shared" ca="1" si="10"/>
        <v>22387011.577704363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73490428.116373003</v>
      </c>
      <c r="I62" s="114">
        <f t="shared" si="1"/>
        <v>14755456.24</v>
      </c>
      <c r="J62" s="114">
        <f t="shared" si="2"/>
        <v>78594000.203915</v>
      </c>
      <c r="K62" s="114">
        <f t="shared" si="3"/>
        <v>166839884.56028801</v>
      </c>
      <c r="L62" s="187">
        <f t="shared" si="4"/>
        <v>0.34975209681264346</v>
      </c>
      <c r="M62" s="184">
        <f t="shared" si="5"/>
        <v>310183373.00051349</v>
      </c>
      <c r="N62" s="184">
        <f t="shared" ca="1" si="6"/>
        <v>17232409.61113964</v>
      </c>
      <c r="O62" s="180">
        <f t="shared" si="7"/>
        <v>310183373.00051349</v>
      </c>
      <c r="P62" s="180">
        <f t="shared" ca="1" si="8"/>
        <v>17232409.61113964</v>
      </c>
      <c r="Q62" s="185">
        <f t="shared" si="9"/>
        <v>310183373.00051349</v>
      </c>
      <c r="R62" s="185">
        <f t="shared" ca="1" si="10"/>
        <v>17232409.61113964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194875116.31842399</v>
      </c>
      <c r="I63" s="114">
        <f t="shared" si="1"/>
        <v>135771608.30840001</v>
      </c>
      <c r="J63" s="114">
        <f t="shared" si="2"/>
        <v>119799466.22759999</v>
      </c>
      <c r="K63" s="114">
        <f t="shared" si="3"/>
        <v>450446190.854424</v>
      </c>
      <c r="L63" s="187">
        <f t="shared" si="4"/>
        <v>0.46012068972168779</v>
      </c>
      <c r="M63" s="184">
        <f t="shared" si="5"/>
        <v>528527806.43938255</v>
      </c>
      <c r="N63" s="184">
        <f t="shared" ca="1" si="6"/>
        <v>29362655.913299032</v>
      </c>
      <c r="O63" s="180">
        <f t="shared" si="7"/>
        <v>528527806.43938255</v>
      </c>
      <c r="P63" s="180">
        <f t="shared" ca="1" si="8"/>
        <v>29362655.913299032</v>
      </c>
      <c r="Q63" s="185">
        <f t="shared" si="9"/>
        <v>528527806.43938255</v>
      </c>
      <c r="R63" s="185">
        <f t="shared" ca="1" si="10"/>
        <v>29362655.913299032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62129419.607610002</v>
      </c>
      <c r="I64" s="114">
        <f t="shared" si="1"/>
        <v>98452729.446649998</v>
      </c>
      <c r="J64" s="114">
        <f t="shared" si="2"/>
        <v>72950927.329259992</v>
      </c>
      <c r="K64" s="114">
        <f t="shared" si="3"/>
        <v>233533076.38352001</v>
      </c>
      <c r="L64" s="187">
        <f t="shared" si="4"/>
        <v>0.43495408310142647</v>
      </c>
      <c r="M64" s="184">
        <f t="shared" si="5"/>
        <v>303381245.05087078</v>
      </c>
      <c r="N64" s="184">
        <f t="shared" ca="1" si="6"/>
        <v>16854513.613937266</v>
      </c>
      <c r="O64" s="180">
        <f t="shared" si="7"/>
        <v>303381245.05087078</v>
      </c>
      <c r="P64" s="180">
        <f t="shared" ca="1" si="8"/>
        <v>16854513.613937266</v>
      </c>
      <c r="Q64" s="185">
        <f t="shared" si="9"/>
        <v>303381245.05087078</v>
      </c>
      <c r="R64" s="185">
        <f t="shared" ca="1" si="10"/>
        <v>16854513.613937266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1481158739.2100191</v>
      </c>
      <c r="I65" s="135">
        <f t="shared" si="12"/>
        <v>497389125.07415497</v>
      </c>
      <c r="J65" s="135">
        <f t="shared" si="12"/>
        <v>1049903127.461323</v>
      </c>
      <c r="K65" s="135">
        <f t="shared" si="12"/>
        <v>3028450991.7454967</v>
      </c>
      <c r="L65" s="189">
        <f t="shared" si="4"/>
        <v>0.34189013017538578</v>
      </c>
      <c r="M65" s="181">
        <f>SUM(M51:M64)</f>
        <v>5829514548.7979984</v>
      </c>
      <c r="N65" s="181">
        <f t="shared" ca="1" si="6"/>
        <v>323861919.37766659</v>
      </c>
      <c r="O65" s="181">
        <f>SUM(O51:O64)</f>
        <v>5829514548.7979984</v>
      </c>
      <c r="P65" s="181">
        <f t="shared" ca="1" si="8"/>
        <v>323861919.37766659</v>
      </c>
      <c r="Q65" s="186">
        <f>SUM(Q51:Q64)</f>
        <v>5829514548.7979984</v>
      </c>
      <c r="R65" s="186">
        <f t="shared" ca="1" si="10"/>
        <v>323861919.37766659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80007309.889724001</v>
      </c>
      <c r="F69" s="187">
        <f t="shared" ref="F69:F74" si="13">IFERROR(E69/D69,0)</f>
        <v>0.31221450633782855</v>
      </c>
      <c r="G69" s="184">
        <f>D69*$H$40-E69</f>
        <v>176250193.41524065</v>
      </c>
      <c r="H69" s="184">
        <f t="shared" ref="H69:H74" ca="1" si="14">IFERROR(G69/$C$3,0)</f>
        <v>9791677.4119578134</v>
      </c>
      <c r="I69" s="204">
        <f>D69*$J$40-E69</f>
        <v>176250193.41524065</v>
      </c>
      <c r="J69" s="204">
        <f t="shared" ref="J69:J74" ca="1" si="15">IFERROR(I69/$C$3,0)</f>
        <v>9791677.4119578134</v>
      </c>
      <c r="K69" s="185">
        <f>D69*$L$40-E69</f>
        <v>176250193.41524065</v>
      </c>
      <c r="L69" s="185">
        <f t="shared" ref="L69:L74" ca="1" si="16">IFERROR(K69/$C$3,0)</f>
        <v>9791677.4119578134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72319138.569727004</v>
      </c>
      <c r="F70" s="187">
        <f t="shared" si="13"/>
        <v>0.18099766227554515</v>
      </c>
      <c r="G70" s="184">
        <f>D70*$H$40-E70</f>
        <v>327239273.7352376</v>
      </c>
      <c r="H70" s="184">
        <f t="shared" ca="1" si="14"/>
        <v>18179959.651957646</v>
      </c>
      <c r="I70" s="204">
        <f>D70*$J$40-E70</f>
        <v>327239273.7352376</v>
      </c>
      <c r="J70" s="204">
        <f t="shared" ca="1" si="15"/>
        <v>18179959.651957646</v>
      </c>
      <c r="K70" s="185">
        <f>D70*$L$40-E70</f>
        <v>327239273.7352376</v>
      </c>
      <c r="L70" s="185">
        <f t="shared" ca="1" si="16"/>
        <v>18179959.651957646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258519827.83804402</v>
      </c>
      <c r="F71" s="187">
        <f t="shared" si="13"/>
        <v>0.23835288195098839</v>
      </c>
      <c r="G71" s="184">
        <f>D71*$H$40-E71</f>
        <v>826089788.4669205</v>
      </c>
      <c r="H71" s="184">
        <f t="shared" ca="1" si="14"/>
        <v>45893877.137051135</v>
      </c>
      <c r="I71" s="204">
        <f>D71*$J$40-E71</f>
        <v>826089788.4669205</v>
      </c>
      <c r="J71" s="204">
        <f t="shared" ca="1" si="15"/>
        <v>45893877.137051135</v>
      </c>
      <c r="K71" s="185">
        <f>D71*$L$40-E71</f>
        <v>826089788.4669205</v>
      </c>
      <c r="L71" s="185">
        <f t="shared" ca="1" si="16"/>
        <v>45893877.137051135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410846276.29749501</v>
      </c>
      <c r="F74" s="177">
        <f t="shared" si="13"/>
        <v>0.2360608188995387</v>
      </c>
      <c r="G74" s="181">
        <f>SUM(G69:G73)</f>
        <v>1329579255.6173987</v>
      </c>
      <c r="H74" s="181">
        <f t="shared" ca="1" si="14"/>
        <v>73865514.200966597</v>
      </c>
      <c r="I74" s="186">
        <f>SUM(I69:I73)</f>
        <v>1329579255.6173987</v>
      </c>
      <c r="J74" s="186">
        <f t="shared" ca="1" si="15"/>
        <v>73865514.200966597</v>
      </c>
      <c r="K74" s="186">
        <f>SUM(K69:K73)</f>
        <v>1329579255.6173987</v>
      </c>
      <c r="L74" s="186">
        <f t="shared" ca="1" si="16"/>
        <v>73865514.200966597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164708177.56995001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23451135.870000001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159486309.56990501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21490990.75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438242790.28998202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131239633.17979001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18234234.640000001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224960453.62976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59135270.65997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70043244.760000005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1320329808.3143568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2026-09-10T00:59:02Z</dcterms:modified>
  <dc:language>en-US</dc:language>
</cp:coreProperties>
</file>