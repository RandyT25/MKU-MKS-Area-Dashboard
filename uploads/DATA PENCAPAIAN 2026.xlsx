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F93" i="8" s="1"/>
  <c r="D92" i="8"/>
  <c r="D91" i="8"/>
  <c r="D90" i="8"/>
  <c r="D89" i="8"/>
  <c r="D45" i="8"/>
  <c r="D44" i="8"/>
  <c r="D43" i="8"/>
  <c r="E64" i="8"/>
  <c r="E63" i="8"/>
  <c r="E62" i="8"/>
  <c r="E61" i="8"/>
  <c r="F61" i="8" s="1"/>
  <c r="E60" i="8"/>
  <c r="E59" i="8"/>
  <c r="E58" i="8"/>
  <c r="F58" i="8" s="1"/>
  <c r="E57" i="8"/>
  <c r="E56" i="8"/>
  <c r="E55" i="8"/>
  <c r="E54" i="8"/>
  <c r="E53" i="8"/>
  <c r="E52" i="8"/>
  <c r="E51" i="8"/>
  <c r="D64" i="8"/>
  <c r="D63" i="8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F4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D94" i="8"/>
  <c r="E93" i="8"/>
  <c r="E92" i="8"/>
  <c r="G92" i="8" s="1"/>
  <c r="E90" i="8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F64" i="8"/>
  <c r="F63" i="8"/>
  <c r="H59" i="8"/>
  <c r="G59" i="8"/>
  <c r="K59" i="8" s="1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K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K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G90" i="8" l="1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52" i="8"/>
  <c r="J52" i="8" s="1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J52" i="7" l="1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<sst xmlns="http://schemas.openxmlformats.org/spreadsheetml/2006/main" count="1877" uniqueCount="185">
  <si>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</si>
  <si>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</si>
  <si>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</si>
  <si>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</si>
  <si>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</si>
  <si>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</si>
  <si>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</si>
  <si>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</si>
  <si>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</si>
  <si>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</si>
  <si>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</si>
  <si>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</si>
  <si>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</si>
  <si>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</si>
  <si>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</si>
  <si>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</si>
  <si>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</si>
  <si>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</si>
  <si>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</si>
  <si>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</si>
  <si>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</si>
  <si>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</si>
  <si>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</si>
  <si>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</si>
  <si>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</si>
  <si>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</si>
  <si>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</si>
  <si>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</si>
  <si>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</si>
  <si>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</si>
  <si>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</si>
  <si>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</si>
  <si>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</si>
  <si>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</si>
  <si>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</si>
  <si>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</si>
  <si>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</si>
  <si>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</si>
  <si>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</si>
  <si>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</si>
  <si>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</si>
  <si>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</si>
  <si>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</si>
  <si>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</si>
  <si>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</si>
  <si>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</si>
  <si>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</si>
  <si>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</si>
  <si>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</si>
  <si>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</si>
  <si>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</si>
  <si>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</si>
  <si>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</si>
  <si>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</si>
  <si>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</si>
  <si>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</si>
  <si>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</si>
  <si>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</si>
  <si>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</si>
  <si>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</si>
  <si>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</si>
  <si>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</si>
  <si>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</si>
  <si>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</si>
  <si>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</si>
  <si>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</si>
  <si>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</si>
  <si>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</si>
  <si>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</si>
  <si>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</si>
  <si>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</si>
  <si>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</si>
  <si>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</si>
  <si>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</si>
  <si>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</si>
  <si>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</si>
  <si>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</si>
  <si>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</si>
  <si>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</si>
  <si>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</si>
  <si>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</si>
  <si>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</si>
  <si>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</si>
  <si>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</si>
  <si>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</si>
  <si>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</si>
  <si>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</si>
  <si>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</si>
  <si>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</si>
  <si>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</si>
  <si>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</si>
  <si>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</si>
  <si>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</si>
  <si>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</si>
  <si>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</si>
  <si>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</si>
  <si>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</si>
  <si>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</si>
  <si>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</si>
  <si>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</si>
  <si>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</si>
  <si>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</si>
  <si>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</si>
  <si>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</si>
  <si>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</si>
  <si>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</si>
  <si>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</si>
  <si>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</si>
  <si>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</si>
  <si>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</si>
  <si>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</si>
  <si>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</si>
  <si>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</si>
  <si>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</si>
  <si>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</si>
  <si>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</si>
  <si>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</si>
  <si>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</si>
  <si>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</si>
  <si>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</si>
  <si>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</si>
  <si>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</si>
  <si>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</si>
  <si>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</si>
  <si>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</si>
  <si>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</si>
  <si>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</si>
  <si>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</si>
  <si>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</si>
  <si>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</si>
  <si>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</si>
  <si>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</si>
  <si>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</si>
  <si>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</si>
  <si>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</si>
  <si>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</si>
  <si>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</si>
  <si>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</si>
  <si>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</si>
  <si>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</si>
  <si>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</si>
  <si>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</si>
  <si>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</si>
  <si>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</si>
  <si>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</si>
  <si>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</si>
  <si>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</si>
  <si>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</si>
  <si>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</si>
  <si>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</si>
  <si>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</si>
  <si>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</si>
  <si>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</si>
  <si>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</si>
  <si>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</si>
  <si>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</si>
  <si>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</si>
  <si>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</si>
  <si>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</si>
  <si>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</si>
  <si>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</si>
  <si>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</si>
  <si>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</si>
  <si>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</si>
  <si>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</si>
  <si>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</si>
  <si>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</si>
  <si>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</si>
  <si>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</si>
  <si>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</si>
  <si>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</si>
  <si>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</si>
  <si>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</si>
  <si>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</si>
  <si>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</si>
  <si>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</si>
  <si>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</si>
  <si>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</si>
  <si>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</si>
  <si>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</si>
  <si>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</si>
  <si>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</si>
  <si>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</si>
  <si>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</si>
  <si>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03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</si>
</sst>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164" fontId="0" fillId="0" borderId="0" xfId="0" applyNumberFormat="1"/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6" t="s">
        <v>0</v>
      </c>
      <c r="C1" s="206"/>
    </row>
    <row r="3" spans="2:3" x14ac:dyDescent="0.25">
      <c r="B3" s="207" t="s">
        <v>1</v>
      </c>
      <c r="C3" s="207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8" t="s">
        <v>14</v>
      </c>
      <c r="C11" s="208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7" t="s">
        <v>28</v>
      </c>
      <c r="C3" s="207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9" t="s">
        <v>102</v>
      </c>
      <c r="C29" s="209"/>
      <c r="D29" s="209"/>
      <c r="E29" s="209"/>
      <c r="F29" s="209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1" t="s">
        <v>146</v>
      </c>
      <c r="C44" s="22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3" t="s">
        <v>41</v>
      </c>
      <c r="C47" s="223" t="s">
        <v>42</v>
      </c>
      <c r="D47" s="218" t="s">
        <v>138</v>
      </c>
      <c r="E47" s="219"/>
      <c r="F47" s="220"/>
      <c r="G47" s="70" t="s">
        <v>139</v>
      </c>
      <c r="H47" s="70"/>
      <c r="I47" s="70"/>
      <c r="J47" s="223" t="s">
        <v>140</v>
      </c>
      <c r="K47" s="35" t="s">
        <v>148</v>
      </c>
      <c r="L47" s="35"/>
      <c r="M47" s="35"/>
      <c r="N47" s="217" t="s">
        <v>149</v>
      </c>
    </row>
    <row r="48" spans="2:17" ht="15.75" x14ac:dyDescent="0.25">
      <c r="B48" s="223"/>
      <c r="C48" s="223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3"/>
      <c r="K48" s="34" t="s">
        <v>143</v>
      </c>
      <c r="L48" s="34" t="s">
        <v>111</v>
      </c>
      <c r="M48" s="34" t="s">
        <v>146</v>
      </c>
      <c r="N48" s="217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4" t="s">
        <v>182</v>
      </c>
      <c r="C41" s="225"/>
      <c r="D41" s="226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1" t="s">
        <v>146</v>
      </c>
      <c r="C46" s="222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5"/>
      <c r="L48" s="236"/>
      <c r="M48" s="236"/>
      <c r="N48" s="237"/>
    </row>
    <row r="49" spans="2:14" s="158" customFormat="1" ht="20.100000000000001" customHeight="1" x14ac:dyDescent="0.25">
      <c r="B49" s="234" t="s">
        <v>41</v>
      </c>
      <c r="C49" s="234" t="s">
        <v>42</v>
      </c>
      <c r="D49" s="231" t="s">
        <v>138</v>
      </c>
      <c r="E49" s="232"/>
      <c r="F49" s="233"/>
      <c r="G49" s="159" t="s">
        <v>139</v>
      </c>
      <c r="H49" s="159"/>
      <c r="I49" s="159"/>
      <c r="J49" s="234" t="s">
        <v>140</v>
      </c>
      <c r="K49" s="160" t="s">
        <v>148</v>
      </c>
      <c r="L49" s="160"/>
      <c r="M49" s="160"/>
      <c r="N49" s="227" t="s">
        <v>149</v>
      </c>
    </row>
    <row r="50" spans="2:14" s="158" customFormat="1" ht="20.100000000000001" customHeight="1" x14ac:dyDescent="0.25">
      <c r="B50" s="234"/>
      <c r="C50" s="234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4"/>
      <c r="K50" s="163" t="s">
        <v>143</v>
      </c>
      <c r="L50" s="163" t="s">
        <v>111</v>
      </c>
      <c r="M50" s="163" t="s">
        <v>146</v>
      </c>
      <c r="N50" s="227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3" t="s">
        <v>41</v>
      </c>
      <c r="C68" s="223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3"/>
      <c r="C69" s="223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8" t="s">
        <v>145</v>
      </c>
      <c r="C87" s="229"/>
      <c r="D87" s="229"/>
      <c r="E87" s="229"/>
      <c r="F87" s="230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40" zoomScaleNormal="100" workbookViewId="0">
      <selection activeCell="A49" sqref="A49:XFD50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24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5" t="s">
        <v>183</v>
      </c>
      <c r="C41" s="246"/>
      <c r="D41" s="247"/>
      <c r="E41" s="67" t="s">
        <v>138</v>
      </c>
      <c r="F41" s="73">
        <f ca="1">IF(MONTH(TODAY())=5,DAY(TODAY())/DAY(EOMONTH(TODAY(),0)),IF(MONTH(TODAY())&gt;5,1,0))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26366420.008816957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23149472.071528781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4573854.7808213634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54089746.861167103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20.100000000000001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22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6331005.1386068044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5664568.1244695829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1829392.5916666661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-1681196.14525113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5449765.7338135885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3361979.352289319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-1046547.3195308149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4617267.8431370854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4317172.5070843743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3150497.8190533496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7384839.8919115933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4932263.6734238686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1441903.4567914754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3762979.412880016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49515892.08034578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3" t="s">
        <v>41</v>
      </c>
      <c r="C68" s="223" t="s">
        <v>42</v>
      </c>
      <c r="D68" s="134" t="s">
        <v>139</v>
      </c>
    </row>
    <row r="69" spans="2:14" ht="18" customHeight="1" x14ac:dyDescent="0.25">
      <c r="B69" s="223"/>
      <c r="C69" s="223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-556790.7465113526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-772061.78074510151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5902707.3080778224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4573854.7808213681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24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42324438.906558998</v>
      </c>
      <c r="N8" s="11">
        <f>D24</f>
        <v>7900090.0700000003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91530233.793256</v>
      </c>
      <c r="N9" s="11">
        <f>D12+D13</f>
        <v>18598016.016090002</v>
      </c>
    </row>
    <row r="10" spans="2:14" x14ac:dyDescent="0.25">
      <c r="B10" s="74" t="s">
        <v>113</v>
      </c>
      <c r="C10" s="205">
        <v>44512904.037834004</v>
      </c>
      <c r="D10" s="205">
        <v>6076871.6917989999</v>
      </c>
      <c r="E10" s="205">
        <v>19039638.91</v>
      </c>
      <c r="F10" s="205">
        <v>69629414.639633</v>
      </c>
      <c r="H10" s="116"/>
      <c r="I10" s="116"/>
      <c r="J10" s="116"/>
      <c r="M10" s="11">
        <f>C14</f>
        <v>99515831.717950001</v>
      </c>
      <c r="N10" s="11">
        <f>D14</f>
        <v>3202914.2803969998</v>
      </c>
    </row>
    <row r="11" spans="2:14" x14ac:dyDescent="0.25">
      <c r="B11" s="74" t="s">
        <v>114</v>
      </c>
      <c r="C11" s="205">
        <v>67645862.483296007</v>
      </c>
      <c r="D11" s="205">
        <v>12952457.544438001</v>
      </c>
      <c r="E11" s="205" t="s">
        <v>168</v>
      </c>
      <c r="F11" s="205">
        <v>80598320.027733997</v>
      </c>
      <c r="H11" s="116"/>
      <c r="I11" s="116"/>
      <c r="J11" s="116"/>
      <c r="M11" s="11">
        <f>C17</f>
        <v>36635134.5</v>
      </c>
      <c r="N11" s="11">
        <f>D17</f>
        <v>3925392</v>
      </c>
    </row>
    <row r="12" spans="2:14" x14ac:dyDescent="0.25">
      <c r="B12" s="74" t="s">
        <v>70</v>
      </c>
      <c r="C12" s="205">
        <v>51881305.323743001</v>
      </c>
      <c r="D12" s="205">
        <v>16256610.616095001</v>
      </c>
      <c r="E12" s="205" t="s">
        <v>168</v>
      </c>
      <c r="F12" s="205">
        <v>68137915.939838007</v>
      </c>
      <c r="H12" s="116"/>
      <c r="I12" s="116"/>
      <c r="J12" s="116"/>
      <c r="M12" s="11">
        <f>C16</f>
        <v>68535804.870348006</v>
      </c>
      <c r="N12" s="11">
        <f>D16</f>
        <v>12666684.409902999</v>
      </c>
    </row>
    <row r="13" spans="2:14" x14ac:dyDescent="0.25">
      <c r="B13" s="74" t="s">
        <v>115</v>
      </c>
      <c r="C13" s="205">
        <v>39648928.469512999</v>
      </c>
      <c r="D13" s="205">
        <v>2341405.3999950001</v>
      </c>
      <c r="E13" s="205">
        <v>1621621.6</v>
      </c>
      <c r="F13" s="205">
        <v>43611955.469508</v>
      </c>
      <c r="H13" s="116"/>
      <c r="I13" s="116"/>
      <c r="J13" s="116"/>
      <c r="M13" s="11">
        <f>C19</f>
        <v>72712611.853913993</v>
      </c>
      <c r="N13" s="11">
        <f>D19</f>
        <v>17340651.849943999</v>
      </c>
    </row>
    <row r="14" spans="2:14" x14ac:dyDescent="0.25">
      <c r="B14" s="74" t="s">
        <v>116</v>
      </c>
      <c r="C14" s="205">
        <v>99515831.717950001</v>
      </c>
      <c r="D14" s="205">
        <v>3202914.2803969998</v>
      </c>
      <c r="E14" s="205">
        <v>26479279.379999999</v>
      </c>
      <c r="F14" s="205">
        <v>129198025.37834699</v>
      </c>
      <c r="H14" s="116"/>
      <c r="I14" s="116"/>
      <c r="J14" s="116"/>
      <c r="M14" s="11">
        <f>C25</f>
        <v>59839203.868955001</v>
      </c>
      <c r="N14" s="11">
        <f>D25</f>
        <v>9378523.4799959995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67645862.483296007</v>
      </c>
      <c r="N15" s="11">
        <f>D11</f>
        <v>12952457.544438001</v>
      </c>
    </row>
    <row r="16" spans="2:14" x14ac:dyDescent="0.25">
      <c r="B16" s="74" t="s">
        <v>74</v>
      </c>
      <c r="C16" s="205">
        <v>68535804.870348006</v>
      </c>
      <c r="D16" s="205">
        <v>12666684.409902999</v>
      </c>
      <c r="E16" s="205">
        <v>7693693.5999999996</v>
      </c>
      <c r="F16" s="205">
        <v>88896182.880251005</v>
      </c>
      <c r="H16" s="116"/>
      <c r="I16" s="116"/>
      <c r="J16" s="116"/>
      <c r="M16" s="11">
        <f>C26</f>
        <v>70627705.995001003</v>
      </c>
      <c r="N16" s="11">
        <f>D26</f>
        <v>5540529.7199879996</v>
      </c>
    </row>
    <row r="17" spans="2:14" x14ac:dyDescent="0.25">
      <c r="B17" s="74" t="s">
        <v>118</v>
      </c>
      <c r="C17" s="205">
        <v>36635134.5</v>
      </c>
      <c r="D17" s="205">
        <v>3925392</v>
      </c>
      <c r="E17" s="205" t="s">
        <v>168</v>
      </c>
      <c r="F17" s="205">
        <v>40560526.5</v>
      </c>
      <c r="H17" s="116"/>
      <c r="I17" s="116"/>
      <c r="J17" s="116"/>
      <c r="M17" s="11">
        <f>C10</f>
        <v>44512904.037834004</v>
      </c>
      <c r="N17" s="11">
        <f>D10</f>
        <v>6076871.6917989999</v>
      </c>
    </row>
    <row r="18" spans="2:14" x14ac:dyDescent="0.25">
      <c r="B18" s="74" t="s">
        <v>119</v>
      </c>
      <c r="C18" s="205">
        <v>85406364.739962995</v>
      </c>
      <c r="D18" s="205">
        <v>198198.2</v>
      </c>
      <c r="E18" s="205">
        <v>6237837.7599999998</v>
      </c>
      <c r="F18" s="205">
        <v>91842400.699963003</v>
      </c>
      <c r="H18" s="116"/>
      <c r="I18" s="116"/>
      <c r="J18" s="116"/>
      <c r="M18" s="11">
        <f>C27</f>
        <v>99847748.039975002</v>
      </c>
      <c r="N18" s="11">
        <f>D27</f>
        <v>4005189.12</v>
      </c>
    </row>
    <row r="19" spans="2:14" x14ac:dyDescent="0.25">
      <c r="B19" s="74" t="s">
        <v>121</v>
      </c>
      <c r="C19" s="205">
        <v>72712611.853913993</v>
      </c>
      <c r="D19" s="205">
        <v>17340651.849943999</v>
      </c>
      <c r="E19" s="205">
        <v>289356769.69999999</v>
      </c>
      <c r="F19" s="205">
        <v>379410033.40385801</v>
      </c>
      <c r="H19" s="116"/>
      <c r="I19" s="116"/>
      <c r="J19" s="116"/>
      <c r="M19" s="11">
        <f>C20+C21</f>
        <v>26482162.15989</v>
      </c>
      <c r="N19" s="11">
        <f>D20+D21</f>
        <v>4160802.5199480001</v>
      </c>
    </row>
    <row r="20" spans="2:14" x14ac:dyDescent="0.25">
      <c r="B20" s="74" t="s">
        <v>123</v>
      </c>
      <c r="C20" s="205">
        <v>16843042.15989</v>
      </c>
      <c r="D20" s="205">
        <v>0</v>
      </c>
      <c r="E20" s="205">
        <v>1945946</v>
      </c>
      <c r="F20" s="205">
        <v>18788988.15989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5">
        <v>9639120</v>
      </c>
      <c r="D21" s="205">
        <v>4160802.5199480001</v>
      </c>
      <c r="E21" s="205">
        <v>2972973</v>
      </c>
      <c r="F21" s="205">
        <v>16772895.519948</v>
      </c>
      <c r="H21" s="116"/>
      <c r="I21" s="116"/>
      <c r="J21" s="116"/>
      <c r="M21" s="14">
        <f>IFERROR(C34,0)+IFERROR(C35,0)+M20</f>
        <v>68193346.882744998</v>
      </c>
      <c r="N21" s="10" t="s">
        <v>122</v>
      </c>
    </row>
    <row r="22" spans="2:14" x14ac:dyDescent="0.25">
      <c r="B22" s="74" t="s">
        <v>172</v>
      </c>
      <c r="C22" s="205">
        <v>29394090</v>
      </c>
      <c r="D22" s="205">
        <v>0</v>
      </c>
      <c r="E22" s="205" t="s">
        <v>168</v>
      </c>
      <c r="F22" s="205">
        <v>29394090</v>
      </c>
      <c r="H22" s="116"/>
      <c r="I22" s="116"/>
      <c r="J22" s="116"/>
    </row>
    <row r="23" spans="2:14" x14ac:dyDescent="0.25">
      <c r="B23" s="74" t="s">
        <v>173</v>
      </c>
      <c r="C23" s="205">
        <v>72519364.939999998</v>
      </c>
      <c r="D23" s="205">
        <v>0</v>
      </c>
      <c r="E23" s="205">
        <v>1927927.88</v>
      </c>
      <c r="F23" s="205">
        <v>74447292.819999993</v>
      </c>
      <c r="H23" s="116"/>
      <c r="I23" s="116"/>
      <c r="J23" s="116"/>
    </row>
    <row r="24" spans="2:14" x14ac:dyDescent="0.25">
      <c r="B24" s="74" t="s">
        <v>125</v>
      </c>
      <c r="C24" s="205">
        <v>42324438.906558998</v>
      </c>
      <c r="D24" s="205">
        <v>7900090.0700000003</v>
      </c>
      <c r="E24" s="205">
        <v>18533333.059999999</v>
      </c>
      <c r="F24" s="205">
        <v>68757862.036559001</v>
      </c>
      <c r="H24" s="116"/>
      <c r="I24" s="116"/>
      <c r="J24" s="116"/>
    </row>
    <row r="25" spans="2:14" x14ac:dyDescent="0.25">
      <c r="B25" s="74" t="s">
        <v>126</v>
      </c>
      <c r="C25" s="205">
        <v>59839203.868955001</v>
      </c>
      <c r="D25" s="205">
        <v>9378523.4799959995</v>
      </c>
      <c r="E25" s="205">
        <v>35945946.749885</v>
      </c>
      <c r="F25" s="205">
        <v>105163674.098836</v>
      </c>
      <c r="H25" s="116"/>
      <c r="I25" s="116"/>
      <c r="J25" s="116"/>
    </row>
    <row r="26" spans="2:14" x14ac:dyDescent="0.25">
      <c r="B26" s="74" t="s">
        <v>127</v>
      </c>
      <c r="C26" s="205">
        <v>70627705.995001003</v>
      </c>
      <c r="D26" s="205">
        <v>5540529.7199879996</v>
      </c>
      <c r="E26" s="205">
        <v>75185406.199884996</v>
      </c>
      <c r="F26" s="205">
        <v>151353641.91487399</v>
      </c>
      <c r="H26" s="116"/>
      <c r="I26" s="116"/>
      <c r="J26" s="116"/>
    </row>
    <row r="27" spans="2:14" x14ac:dyDescent="0.25">
      <c r="B27" s="74" t="s">
        <v>128</v>
      </c>
      <c r="C27" s="205">
        <v>99847748.039975002</v>
      </c>
      <c r="D27" s="205">
        <v>4005189.12</v>
      </c>
      <c r="E27" s="205" t="s">
        <v>168</v>
      </c>
      <c r="F27" s="205">
        <v>103852937.15997501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18227851.429972</v>
      </c>
      <c r="G32" s="116"/>
      <c r="H32" s="116"/>
      <c r="I32" s="116"/>
    </row>
    <row r="33" spans="2:14" x14ac:dyDescent="0.25">
      <c r="B33" s="84" t="s">
        <v>133</v>
      </c>
      <c r="C33" s="248">
        <v>23951450.718766998</v>
      </c>
      <c r="G33" s="116"/>
      <c r="H33" s="116"/>
      <c r="I33" s="116"/>
    </row>
    <row r="34" spans="2:14" x14ac:dyDescent="0.25">
      <c r="B34" s="84" t="s">
        <v>134</v>
      </c>
      <c r="C34" s="205">
        <v>22819806.153243002</v>
      </c>
      <c r="G34" s="116"/>
      <c r="H34" s="116"/>
      <c r="I34" s="116"/>
    </row>
    <row r="35" spans="2:14" x14ac:dyDescent="0.25">
      <c r="B35" s="84" t="s">
        <v>135</v>
      </c>
      <c r="C35" s="205">
        <v>45373540.729502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4" t="s">
        <v>184</v>
      </c>
      <c r="C41" s="225"/>
      <c r="D41" s="226"/>
      <c r="E41" s="67" t="s">
        <v>138</v>
      </c>
      <c r="F41" s="73">
        <f ca="1">IF(MONTH(TODAY())=6,DAY(TODAY())/DAY(EOMONTH(TODAY(),0)),IF(MONTH(TODAY())&gt;6,1,0))</f>
        <v>0.1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882123097.16697824</v>
      </c>
      <c r="F43" s="44">
        <f>IFERROR(E43/D43,0)</f>
        <v>0.12151662125446067</v>
      </c>
      <c r="G43" s="118">
        <f>D43-E43</f>
        <v>6377156234.8330221</v>
      </c>
      <c r="H43" s="118">
        <f ca="1">IFERROR(G43/C3,0)</f>
        <v>265714843.11804259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105748122.70250301</v>
      </c>
      <c r="F44" s="44">
        <f>IFERROR(E44/D44,0)</f>
        <v>5.844294140645203E-2</v>
      </c>
      <c r="G44" s="118">
        <f>D44-E44</f>
        <v>1703676936.297497</v>
      </c>
      <c r="H44" s="118">
        <f ca="1">IFERROR(G44/C3,0)</f>
        <v>70986539.01239571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110372649.03148399</v>
      </c>
      <c r="F45" s="44">
        <f>IFERROR(E45/D45,0)</f>
        <v>6.0284886740237867E-2</v>
      </c>
      <c r="G45" s="118">
        <f>D45-E45</f>
        <v>1720478414.9685161</v>
      </c>
      <c r="H45" s="118">
        <f ca="1">IFERROR(G45/C3,0)</f>
        <v>71686600.623688176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10899555455</v>
      </c>
      <c r="E46" s="47">
        <f>E43+E44+E45</f>
        <v>1098243868.9009652</v>
      </c>
      <c r="F46" s="43">
        <f>IFERROR(E46/D46,0)</f>
        <v>0.10076042765553003</v>
      </c>
      <c r="G46" s="119">
        <f>G43+G44+G45</f>
        <v>9801311586.0990353</v>
      </c>
      <c r="H46" s="119">
        <f ca="1">IFERROR(G46/C3,0)</f>
        <v>408387982.75412649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21.75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19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42324438.906558998</v>
      </c>
      <c r="H51" s="122">
        <f>N8</f>
        <v>7900090.0700000003</v>
      </c>
      <c r="I51" s="122">
        <f t="shared" ref="I51:I64" si="1">G51+H51</f>
        <v>50224528.976558998</v>
      </c>
      <c r="J51" s="61">
        <f t="shared" ref="J51:J64" si="2">IFERROR(I51/F51,0)</f>
        <v>9.0737610899782981E-2</v>
      </c>
      <c r="K51" s="51">
        <f t="shared" ref="K51:M64" si="3">D51-G51</f>
        <v>409359039.09344101</v>
      </c>
      <c r="L51" s="51">
        <f t="shared" si="3"/>
        <v>93930332.930000007</v>
      </c>
      <c r="M51" s="51">
        <f t="shared" si="3"/>
        <v>503289372.02344102</v>
      </c>
      <c r="N51" s="51">
        <f ca="1">IFERROR(M51/C3,0)</f>
        <v>20970390.500976708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91530233.793256</v>
      </c>
      <c r="H52" s="122">
        <f>N9</f>
        <v>18598016.016090002</v>
      </c>
      <c r="I52" s="122">
        <f t="shared" si="1"/>
        <v>110128249.80934601</v>
      </c>
      <c r="J52" s="61">
        <f t="shared" si="2"/>
        <v>0.13507875845302189</v>
      </c>
      <c r="K52" s="54">
        <f t="shared" si="3"/>
        <v>498652137.20674402</v>
      </c>
      <c r="L52" s="54">
        <f t="shared" si="3"/>
        <v>206508789.98390999</v>
      </c>
      <c r="M52" s="54">
        <f t="shared" si="3"/>
        <v>705160927.19065404</v>
      </c>
      <c r="N52" s="54">
        <f ca="1">IFERROR(M52/C3,0)</f>
        <v>29381705.299610585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29394090</v>
      </c>
      <c r="H53" s="122">
        <f>IF(D22="",0,D22)</f>
        <v>0</v>
      </c>
      <c r="I53" s="122">
        <f>G53+H53</f>
        <v>29394090</v>
      </c>
      <c r="J53" s="61">
        <f>IFERROR(I53/F53,0)</f>
        <v>0.12172813265607521</v>
      </c>
      <c r="K53" s="54">
        <f>D53-G53</f>
        <v>212079178</v>
      </c>
      <c r="L53" s="54">
        <f>E53-H53</f>
        <v>0</v>
      </c>
      <c r="M53" s="54">
        <f>F53-I53</f>
        <v>212079178</v>
      </c>
      <c r="N53" s="54">
        <f ca="1">IFERROR(M53/C3,0)</f>
        <v>8836632.416666666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99515831.717950001</v>
      </c>
      <c r="H54" s="122">
        <f t="shared" ref="H54:H58" si="4">N10</f>
        <v>3202914.2803969998</v>
      </c>
      <c r="I54" s="122">
        <f t="shared" si="1"/>
        <v>102718745.998347</v>
      </c>
      <c r="J54" s="61">
        <f t="shared" si="2"/>
        <v>0.14145580790367948</v>
      </c>
      <c r="K54" s="54">
        <f>D54-G54</f>
        <v>546196640.28205001</v>
      </c>
      <c r="L54" s="54">
        <f t="shared" si="3"/>
        <v>77238933.719603002</v>
      </c>
      <c r="M54" s="54">
        <f t="shared" si="3"/>
        <v>623435574.00165296</v>
      </c>
      <c r="N54" s="54">
        <f ca="1">IFERROR(M54/C3,0)</f>
        <v>25976482.250068873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36635134.5</v>
      </c>
      <c r="H55" s="122">
        <f t="shared" si="4"/>
        <v>3925392</v>
      </c>
      <c r="I55" s="122">
        <f t="shared" si="1"/>
        <v>40560526.5</v>
      </c>
      <c r="J55" s="61">
        <f t="shared" si="2"/>
        <v>6.8812174071449281E-2</v>
      </c>
      <c r="K55" s="54">
        <f t="shared" si="3"/>
        <v>472283697.5</v>
      </c>
      <c r="L55" s="54">
        <f t="shared" si="3"/>
        <v>76594012</v>
      </c>
      <c r="M55" s="54">
        <f t="shared" si="3"/>
        <v>548877709.5</v>
      </c>
      <c r="N55" s="54">
        <f ca="1">IFERROR(M55/C3,0)</f>
        <v>22869904.5625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68535804.870348006</v>
      </c>
      <c r="H56" s="122">
        <f t="shared" si="4"/>
        <v>12666684.409902999</v>
      </c>
      <c r="I56" s="122">
        <f t="shared" si="1"/>
        <v>81202489.280251011</v>
      </c>
      <c r="J56" s="61">
        <f t="shared" si="2"/>
        <v>0.15549699084391699</v>
      </c>
      <c r="K56" s="54">
        <f t="shared" si="3"/>
        <v>371527479.12965202</v>
      </c>
      <c r="L56" s="54">
        <f t="shared" si="3"/>
        <v>69482640.590096995</v>
      </c>
      <c r="M56" s="54">
        <f t="shared" si="3"/>
        <v>441010119.71974897</v>
      </c>
      <c r="N56" s="54">
        <f ca="1">IFERROR(M56/C3,0)</f>
        <v>18375421.654989541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72712611.853913993</v>
      </c>
      <c r="H57" s="122">
        <f t="shared" si="4"/>
        <v>17340651.849943999</v>
      </c>
      <c r="I57" s="122">
        <f t="shared" si="1"/>
        <v>90053263.703857988</v>
      </c>
      <c r="J57" s="61">
        <f t="shared" si="2"/>
        <v>8.0243714866468557E-2</v>
      </c>
      <c r="K57" s="54">
        <f t="shared" si="3"/>
        <v>924045733.14608598</v>
      </c>
      <c r="L57" s="54">
        <f t="shared" si="3"/>
        <v>108147946.150056</v>
      </c>
      <c r="M57" s="54">
        <f t="shared" si="3"/>
        <v>1032193679.296142</v>
      </c>
      <c r="N57" s="54">
        <f ca="1">IFERROR(M57/C3,0)</f>
        <v>43008069.970672585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59839203.868955001</v>
      </c>
      <c r="H58" s="122">
        <f t="shared" si="4"/>
        <v>9378523.4799959995</v>
      </c>
      <c r="I58" s="122">
        <f>G58+H58</f>
        <v>69217727.348950997</v>
      </c>
      <c r="J58" s="61">
        <f>IFERROR(I58/F58,0)</f>
        <v>0.10855494849630345</v>
      </c>
      <c r="K58" s="54">
        <f t="shared" si="3"/>
        <v>480447855.13104498</v>
      </c>
      <c r="L58" s="54">
        <f t="shared" si="3"/>
        <v>87962902.520004004</v>
      </c>
      <c r="M58" s="54">
        <f t="shared" si="3"/>
        <v>568410757.65104902</v>
      </c>
      <c r="N58" s="54">
        <f ca="1">IFERROR(M58/C3,0)</f>
        <v>23683781.56879371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72519364.939999998</v>
      </c>
      <c r="H59" s="122">
        <f>IF(D23="",0,D23)</f>
        <v>0</v>
      </c>
      <c r="I59" s="122">
        <f>G59+H59</f>
        <v>72519364.939999998</v>
      </c>
      <c r="J59" s="61">
        <f>IFERROR(I59/F59,0)</f>
        <v>0.17944400924739592</v>
      </c>
      <c r="K59" s="54">
        <f>D59-G59</f>
        <v>331614299.06</v>
      </c>
      <c r="L59" s="54">
        <f>E59-H59</f>
        <v>0</v>
      </c>
      <c r="M59" s="54">
        <f>F59-I59</f>
        <v>331614299.06</v>
      </c>
      <c r="N59" s="54">
        <f ca="1">IFERROR(M59/C3,0)</f>
        <v>13817262.460833333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67645862.483296007</v>
      </c>
      <c r="H60" s="122">
        <f t="shared" ref="H60:H64" si="5">N15</f>
        <v>12952457.544438001</v>
      </c>
      <c r="I60" s="122">
        <f t="shared" si="1"/>
        <v>80598320.027734011</v>
      </c>
      <c r="J60" s="61">
        <f t="shared" si="2"/>
        <v>0.13190313731087114</v>
      </c>
      <c r="K60" s="54">
        <f t="shared" si="3"/>
        <v>371371446.51670396</v>
      </c>
      <c r="L60" s="54">
        <f t="shared" si="3"/>
        <v>159071954.455562</v>
      </c>
      <c r="M60" s="54">
        <f t="shared" si="3"/>
        <v>530443400.97226596</v>
      </c>
      <c r="N60" s="54">
        <f ca="1">IFERROR(M60/C3,0)</f>
        <v>22101808.373844415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70627705.995001003</v>
      </c>
      <c r="H61" s="122">
        <f t="shared" si="5"/>
        <v>5540529.7199879996</v>
      </c>
      <c r="I61" s="122">
        <f t="shared" si="1"/>
        <v>76168235.714989007</v>
      </c>
      <c r="J61" s="61">
        <f t="shared" si="2"/>
        <v>0.10036250177679344</v>
      </c>
      <c r="K61" s="54">
        <f t="shared" si="3"/>
        <v>596001890.00499904</v>
      </c>
      <c r="L61" s="54">
        <f t="shared" si="3"/>
        <v>86761092.280011997</v>
      </c>
      <c r="M61" s="54">
        <f t="shared" si="3"/>
        <v>682762982.28501105</v>
      </c>
      <c r="N61" s="54">
        <f ca="1">IFERROR(M61/C3,0)</f>
        <v>28448457.595208794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44512904.037834004</v>
      </c>
      <c r="H62" s="122">
        <f t="shared" si="5"/>
        <v>6076871.6917989999</v>
      </c>
      <c r="I62" s="122">
        <f t="shared" si="1"/>
        <v>50589775.729633003</v>
      </c>
      <c r="J62" s="61">
        <f t="shared" si="2"/>
        <v>9.7500431376532248E-2</v>
      </c>
      <c r="K62" s="54">
        <f t="shared" si="3"/>
        <v>377030118.96216601</v>
      </c>
      <c r="L62" s="54">
        <f t="shared" si="3"/>
        <v>91247304.308201</v>
      </c>
      <c r="M62" s="54">
        <f t="shared" si="3"/>
        <v>468277423.27036703</v>
      </c>
      <c r="N62" s="54">
        <f ca="1">IFERROR(M62/C3,0)</f>
        <v>19511559.302931961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99847748.039975002</v>
      </c>
      <c r="H63" s="122">
        <f t="shared" si="5"/>
        <v>4005189.12</v>
      </c>
      <c r="I63" s="122">
        <f t="shared" si="1"/>
        <v>103852937.15997501</v>
      </c>
      <c r="J63" s="61">
        <f t="shared" si="2"/>
        <v>0.10578694379890542</v>
      </c>
      <c r="K63" s="54">
        <f t="shared" si="3"/>
        <v>518503193.96002501</v>
      </c>
      <c r="L63" s="54">
        <f t="shared" si="3"/>
        <v>359361776.88</v>
      </c>
      <c r="M63" s="54">
        <f t="shared" si="3"/>
        <v>877864970.84002495</v>
      </c>
      <c r="N63" s="54">
        <f ca="1">IFERROR(M63/C3,0)</f>
        <v>36577707.118334375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26482162.15989</v>
      </c>
      <c r="H64" s="122">
        <f t="shared" si="5"/>
        <v>4160802.5199480001</v>
      </c>
      <c r="I64" s="122">
        <f t="shared" si="1"/>
        <v>30642964.679838002</v>
      </c>
      <c r="J64" s="61">
        <f t="shared" si="2"/>
        <v>5.2286774932473919E-2</v>
      </c>
      <c r="K64" s="54">
        <f t="shared" si="3"/>
        <v>268043526.84011</v>
      </c>
      <c r="L64" s="54">
        <f t="shared" si="3"/>
        <v>287369250.48005199</v>
      </c>
      <c r="M64" s="54">
        <f t="shared" si="3"/>
        <v>555412777.32016206</v>
      </c>
      <c r="N64" s="54">
        <f ca="1">IFERROR(M64/C3,0)</f>
        <v>23142199.055006754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882123097.16697824</v>
      </c>
      <c r="H65" s="152">
        <f>SUM(H51:H64)</f>
        <v>105748122.70250301</v>
      </c>
      <c r="I65" s="152">
        <f>SUM(I51:I64)</f>
        <v>987871219.86948109</v>
      </c>
      <c r="J65" s="153">
        <f>IFERROR(I65/F65,0)</f>
        <v>0.10893190220753785</v>
      </c>
      <c r="K65" s="154">
        <f>SUM(K51:K64)</f>
        <v>6377156234.8330212</v>
      </c>
      <c r="L65" s="154">
        <f>SUM(L51:L64)</f>
        <v>1703676936.297497</v>
      </c>
      <c r="M65" s="154">
        <f>SUM(M51:M64)</f>
        <v>8080833171.1305189</v>
      </c>
      <c r="N65" s="154">
        <f ca="1">IFERROR(M65/C3,0)</f>
        <v>336701382.13043827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IF(E24="",0,E24)</f>
        <v>18533333.059999999</v>
      </c>
    </row>
    <row r="71" spans="2:14" ht="20.100000000000001" customHeight="1" x14ac:dyDescent="0.25">
      <c r="B71" s="53" t="s">
        <v>69</v>
      </c>
      <c r="C71" s="56" t="s">
        <v>70</v>
      </c>
      <c r="D71" s="149">
        <f>IF(E12="",0,E12)+IF(E13="",0,E13)</f>
        <v>1621621.6</v>
      </c>
    </row>
    <row r="72" spans="2:14" ht="20.100000000000001" customHeight="1" x14ac:dyDescent="0.25">
      <c r="B72" s="53" t="s">
        <v>175</v>
      </c>
      <c r="C72" s="56" t="s">
        <v>176</v>
      </c>
      <c r="D72" s="149">
        <f>IF(E22="",0,E22)</f>
        <v>0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IF(E14="",0,E14)</f>
        <v>26479279.379999999</v>
      </c>
    </row>
    <row r="74" spans="2:14" ht="20.100000000000001" customHeight="1" x14ac:dyDescent="0.25">
      <c r="B74" s="53" t="s">
        <v>73</v>
      </c>
      <c r="C74" s="56" t="s">
        <v>74</v>
      </c>
      <c r="D74" s="149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0</f>
        <v>0</v>
      </c>
    </row>
    <row r="76" spans="2:14" ht="20.100000000000001" customHeight="1" x14ac:dyDescent="0.25">
      <c r="B76" s="53" t="s">
        <v>76</v>
      </c>
      <c r="C76" s="56" t="s">
        <v>77</v>
      </c>
      <c r="D76" s="149">
        <f>IF(E19="",0,E19)</f>
        <v>289356769.69999999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IF(E25="",0,E25)</f>
        <v>35945946.749885</v>
      </c>
    </row>
    <row r="78" spans="2:14" ht="20.100000000000001" customHeight="1" x14ac:dyDescent="0.25">
      <c r="B78" s="53" t="s">
        <v>175</v>
      </c>
      <c r="C78" s="56" t="s">
        <v>177</v>
      </c>
      <c r="D78" s="149">
        <f>IF(E23="",0,E23)</f>
        <v>1927927.88</v>
      </c>
    </row>
    <row r="79" spans="2:14" ht="20.100000000000001" customHeight="1" x14ac:dyDescent="0.25">
      <c r="B79" s="53" t="s">
        <v>80</v>
      </c>
      <c r="C79" s="56" t="s">
        <v>81</v>
      </c>
      <c r="D79" s="149">
        <f>IF(E11="",0,E11)</f>
        <v>0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IF(E26="",0,E26)</f>
        <v>75185406.199884996</v>
      </c>
    </row>
    <row r="81" spans="2:9" ht="20.100000000000001" customHeight="1" x14ac:dyDescent="0.25">
      <c r="B81" s="53" t="s">
        <v>84</v>
      </c>
      <c r="C81" s="56" t="s">
        <v>85</v>
      </c>
      <c r="D81" s="149">
        <f>IF(E10="",0,E10)</f>
        <v>19039638.91</v>
      </c>
    </row>
    <row r="82" spans="2:9" ht="20.100000000000001" customHeight="1" x14ac:dyDescent="0.25">
      <c r="B82" s="50" t="s">
        <v>86</v>
      </c>
      <c r="C82" s="55" t="s">
        <v>87</v>
      </c>
      <c r="D82" s="148">
        <f>0</f>
        <v>0</v>
      </c>
    </row>
    <row r="83" spans="2:9" ht="20.100000000000001" customHeight="1" x14ac:dyDescent="0.25">
      <c r="B83" s="53" t="s">
        <v>88</v>
      </c>
      <c r="C83" s="56" t="s">
        <v>89</v>
      </c>
      <c r="D83" s="149">
        <f>0</f>
        <v>0</v>
      </c>
    </row>
    <row r="84" spans="2:9" ht="20.100000000000001" customHeight="1" x14ac:dyDescent="0.25">
      <c r="B84" s="57" t="s">
        <v>152</v>
      </c>
      <c r="C84" s="58"/>
      <c r="D84" s="129">
        <f>SUM(D70:D83)</f>
        <v>468089923.47977006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18227851.429972</v>
      </c>
      <c r="F89" s="61">
        <f t="shared" ref="F89:F94" si="7">IFERROR(E89/D89,0)</f>
        <v>6.383853229875544E-2</v>
      </c>
      <c r="G89" s="125">
        <f>D89-E89</f>
        <v>267302701.57002801</v>
      </c>
      <c r="H89" s="125">
        <f ca="1">IFERROR(G89/C3,0)</f>
        <v>11137612.565417834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23951450.718766998</v>
      </c>
      <c r="F90" s="61">
        <f t="shared" si="7"/>
        <v>5.5852829937107086E-2</v>
      </c>
      <c r="G90" s="126">
        <f>D90-E90</f>
        <v>404880011.28123301</v>
      </c>
      <c r="H90" s="126">
        <f ca="1">IFERROR(G90/C3,0)</f>
        <v>16870000.470051374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68193346.882744998</v>
      </c>
      <c r="F91" s="61">
        <f t="shared" si="7"/>
        <v>6.1078384014445444E-2</v>
      </c>
      <c r="G91" s="125">
        <f>D91-E91</f>
        <v>1048295702.117255</v>
      </c>
      <c r="H91" s="125">
        <f ca="1">IFERROR(G91/C3,0)</f>
        <v>43678987.588218957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110372649.03148399</v>
      </c>
      <c r="F94" s="43">
        <f t="shared" si="7"/>
        <v>6.0284886740237867E-2</v>
      </c>
      <c r="G94" s="119">
        <f>SUM(G89:G93)</f>
        <v>1720478414.9685159</v>
      </c>
      <c r="H94" s="119">
        <f ca="1">IFERROR(G94/C3,0)</f>
        <v>71686600.623688161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178</v>
      </c>
      <c r="C41" s="225"/>
      <c r="D41" s="226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162</v>
      </c>
      <c r="C41" s="225"/>
      <c r="D41" s="226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164</v>
      </c>
      <c r="C41" s="225"/>
      <c r="D41" s="226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166</v>
      </c>
      <c r="C41" s="225"/>
      <c r="D41" s="226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179</v>
      </c>
      <c r="C41" s="225"/>
      <c r="D41" s="226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181</v>
      </c>
      <c r="C41" s="225"/>
      <c r="D41" s="226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2026-06-03T01:05:27Z</dcterms:modified>
  <dc:language>en-US</dc:language>
</cp:coreProperties>
</file>