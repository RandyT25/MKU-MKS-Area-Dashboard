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F57" i="8" s="1"/>
  <c r="E56" i="8"/>
  <c r="E65" i="8" s="1"/>
  <c r="E55" i="8"/>
  <c r="E54" i="8"/>
  <c r="E53" i="8"/>
  <c r="E52" i="8"/>
  <c r="E51" i="8"/>
  <c r="D64" i="8"/>
  <c r="D63" i="8"/>
  <c r="D62" i="8"/>
  <c r="F62" i="8" s="1"/>
  <c r="D61" i="8"/>
  <c r="D60" i="8"/>
  <c r="D59" i="8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1" i="8"/>
  <c r="F60" i="8"/>
  <c r="H59" i="8"/>
  <c r="G59" i="8"/>
  <c r="K59" i="8" s="1"/>
  <c r="F59" i="8"/>
  <c r="F58" i="8"/>
  <c r="K57" i="8"/>
  <c r="H53" i="8"/>
  <c r="L53" i="8" s="1"/>
  <c r="G53" i="8"/>
  <c r="F53" i="8"/>
  <c r="F52" i="8"/>
  <c r="F51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46" i="8" l="1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<sst xmlns="http://schemas.openxmlformats.org/spreadsheetml/2006/main" count="1872" uniqueCount="185">
  <si>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</si>
  <si>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</si>
  <si>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</si>
  <si>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</si>
  <si>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</si>
  <si>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</si>
  <si>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</si>
  <si>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</si>
  <si>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</si>
  <si>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</si>
  <si>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</si>
  <si>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</si>
  <si>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</si>
  <si>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</si>
  <si>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</si>
  <si>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</si>
  <si>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</si>
  <si>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</si>
  <si>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</si>
  <si>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</si>
  <si>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</si>
  <si>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</si>
  <si>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</si>
  <si>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</si>
  <si>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</si>
  <si>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</si>
  <si>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</si>
  <si>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</si>
  <si>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</si>
  <si>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</si>
  <si>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</si>
  <si>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</si>
  <si>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</si>
  <si>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</si>
  <si>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</si>
  <si>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</si>
  <si>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</si>
  <si>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</si>
  <si>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</si>
  <si>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</si>
  <si>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</si>
  <si>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</si>
  <si>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</si>
  <si>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</si>
  <si>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</si>
  <si>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</si>
  <si>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</si>
  <si>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</si>
  <si>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</si>
  <si>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</si>
  <si>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</si>
  <si>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</si>
  <si>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</si>
  <si>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</si>
  <si>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</si>
  <si>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</si>
  <si>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</si>
  <si>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</si>
  <si>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</si>
  <si>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</si>
  <si>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</si>
  <si>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</si>
  <si>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</si>
  <si>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</si>
  <si>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</si>
  <si>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</si>
  <si>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</si>
  <si>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</si>
  <si>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</si>
  <si>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</si>
  <si>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</si>
  <si>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</si>
  <si>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</si>
  <si>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</si>
  <si>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</si>
  <si>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</si>
  <si>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</si>
  <si>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</si>
  <si>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</si>
  <si>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</si>
  <si>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</si>
  <si>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</si>
  <si>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</si>
  <si>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</si>
  <si>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</si>
  <si>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</si>
  <si>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</si>
  <si>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</si>
  <si>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</si>
  <si>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</si>
  <si>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</si>
  <si>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</si>
  <si>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</si>
  <si>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</si>
  <si>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</si>
  <si>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</si>
  <si>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</si>
  <si>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</si>
  <si>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</si>
  <si>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</si>
  <si>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</si>
  <si>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</si>
  <si>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</si>
  <si>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</si>
  <si>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</si>
  <si>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</si>
  <si>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</si>
  <si>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</si>
  <si>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</si>
  <si>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</si>
  <si>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</si>
  <si>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</si>
  <si>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</si>
  <si>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</si>
  <si>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</si>
  <si>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</si>
  <si>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</si>
  <si>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</si>
  <si>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</si>
  <si>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</si>
  <si>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</si>
  <si>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</si>
  <si>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</si>
  <si>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</si>
  <si>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</si>
  <si>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</si>
  <si>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</si>
  <si>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</si>
  <si>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</si>
  <si>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</si>
  <si>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</si>
  <si>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</si>
  <si>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</si>
  <si>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</si>
  <si>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</si>
  <si>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</si>
  <si>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</si>
  <si>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</si>
  <si>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</si>
  <si>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</si>
  <si>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</si>
  <si>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</si>
  <si>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</si>
  <si>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</si>
  <si>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</si>
  <si>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</si>
  <si>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</si>
  <si>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</si>
  <si>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</si>
  <si>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</si>
  <si>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</si>
  <si>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</si>
  <si>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</si>
  <si>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</si>
  <si>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</si>
  <si>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</si>
  <si>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</si>
  <si>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</si>
  <si>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</si>
  <si>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</si>
  <si>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</si>
  <si>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</si>
  <si>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</si>
  <si>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</si>
  <si>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</si>
  <si>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</si>
  <si>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</si>
  <si>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</si>
  <si>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</si>
  <si>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</si>
  <si>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</si>
  <si>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</si>
  <si>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</si>
  <si>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</si>
  <si>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</si>
  <si>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</si>
  <si>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</si>
  <si>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</si>
  <si>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</si>
  <si>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</si>
  <si>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</si>
  <si>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</si>
  <si>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</si>
  <si>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</si>
  <si>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25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</si>
</sst>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164" fontId="0" fillId="0" borderId="0" xfId="0" applyNumberFormat="1"/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65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183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9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6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223117130.28994101</v>
      </c>
      <c r="N8" s="11">
        <f>D24</f>
        <v>37340749.923455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434607754.903373</v>
      </c>
      <c r="N9" s="11">
        <f>D12+D13</f>
        <v>81416791.795083001</v>
      </c>
    </row>
    <row r="10" spans="2:14" x14ac:dyDescent="0.25">
      <c r="B10" s="74" t="s">
        <v>113</v>
      </c>
      <c r="C10" s="205">
        <v>228377311.09677401</v>
      </c>
      <c r="D10" s="205">
        <v>26505356.599342</v>
      </c>
      <c r="E10" s="205">
        <v>127302032.61999901</v>
      </c>
      <c r="F10" s="205">
        <v>382184700.31611502</v>
      </c>
      <c r="H10" s="116"/>
      <c r="I10" s="116"/>
      <c r="J10" s="116"/>
      <c r="M10" s="11">
        <f>C14</f>
        <v>504189113.04032397</v>
      </c>
      <c r="N10" s="11">
        <f>D14</f>
        <v>23213884.341109</v>
      </c>
    </row>
    <row r="11" spans="2:14" x14ac:dyDescent="0.25">
      <c r="B11" s="74" t="s">
        <v>114</v>
      </c>
      <c r="C11" s="205">
        <v>309241696.54955202</v>
      </c>
      <c r="D11" s="205">
        <v>76766000.904586002</v>
      </c>
      <c r="E11" s="205">
        <v>38843243.600000001</v>
      </c>
      <c r="F11" s="205">
        <v>424850941.054138</v>
      </c>
      <c r="H11" s="116"/>
      <c r="I11" s="116"/>
      <c r="J11" s="116"/>
      <c r="M11" s="11">
        <f>C17</f>
        <v>284526373.39999801</v>
      </c>
      <c r="N11" s="11">
        <f>D17</f>
        <v>33550551.18</v>
      </c>
    </row>
    <row r="12" spans="2:14" x14ac:dyDescent="0.25">
      <c r="B12" s="74" t="s">
        <v>70</v>
      </c>
      <c r="C12" s="205">
        <v>233124411.38787901</v>
      </c>
      <c r="D12" s="205">
        <v>52827652.705250002</v>
      </c>
      <c r="E12" s="205">
        <v>37261125.280000001</v>
      </c>
      <c r="F12" s="205">
        <v>323213189.37312901</v>
      </c>
      <c r="H12" s="116"/>
      <c r="I12" s="116"/>
      <c r="J12" s="116"/>
      <c r="M12" s="11">
        <f>C16</f>
        <v>354899621.00415897</v>
      </c>
      <c r="N12" s="11">
        <f>D16</f>
        <v>55668901.179328002</v>
      </c>
    </row>
    <row r="13" spans="2:14" x14ac:dyDescent="0.25">
      <c r="B13" s="74" t="s">
        <v>115</v>
      </c>
      <c r="C13" s="205">
        <v>201483343.51549399</v>
      </c>
      <c r="D13" s="205">
        <v>28589139.089832999</v>
      </c>
      <c r="E13" s="205">
        <v>30636936.579999998</v>
      </c>
      <c r="F13" s="205">
        <v>260709419.18532699</v>
      </c>
      <c r="H13" s="116"/>
      <c r="I13" s="116"/>
      <c r="J13" s="116"/>
      <c r="M13" s="11">
        <f>C19</f>
        <v>718450266.48923695</v>
      </c>
      <c r="N13" s="11">
        <f>D19</f>
        <v>62114836.769892</v>
      </c>
    </row>
    <row r="14" spans="2:14" x14ac:dyDescent="0.25">
      <c r="B14" s="74" t="s">
        <v>116</v>
      </c>
      <c r="C14" s="205">
        <v>504189113.04032397</v>
      </c>
      <c r="D14" s="205">
        <v>23213884.341109</v>
      </c>
      <c r="E14" s="205">
        <v>151076034.90000001</v>
      </c>
      <c r="F14" s="205">
        <v>678479032.28143299</v>
      </c>
      <c r="H14" s="116"/>
      <c r="I14" s="116"/>
      <c r="J14" s="116"/>
      <c r="M14" s="11">
        <f>C25</f>
        <v>321858844.71594501</v>
      </c>
      <c r="N14" s="11">
        <f>D25</f>
        <v>56383965.909757003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309241696.54955202</v>
      </c>
      <c r="N15" s="11">
        <f>D11</f>
        <v>76766000.904586002</v>
      </c>
    </row>
    <row r="16" spans="2:14" x14ac:dyDescent="0.25">
      <c r="B16" s="74" t="s">
        <v>74</v>
      </c>
      <c r="C16" s="205">
        <v>354899621.00415897</v>
      </c>
      <c r="D16" s="205">
        <v>55668901.179328002</v>
      </c>
      <c r="E16" s="205">
        <v>10797297.199999999</v>
      </c>
      <c r="F16" s="205">
        <v>421365819.38348699</v>
      </c>
      <c r="H16" s="116"/>
      <c r="I16" s="116"/>
      <c r="J16" s="116"/>
      <c r="M16" s="11">
        <f>C26</f>
        <v>361445781.86299402</v>
      </c>
      <c r="N16" s="11">
        <f>D26</f>
        <v>44903213.509947002</v>
      </c>
    </row>
    <row r="17" spans="2:14" x14ac:dyDescent="0.25">
      <c r="B17" s="74" t="s">
        <v>118</v>
      </c>
      <c r="C17" s="205">
        <v>284526373.39999801</v>
      </c>
      <c r="D17" s="205">
        <v>33550551.18</v>
      </c>
      <c r="E17" s="205" t="s">
        <v>169</v>
      </c>
      <c r="F17" s="205">
        <v>318076924.57999802</v>
      </c>
      <c r="H17" s="116"/>
      <c r="I17" s="116"/>
      <c r="J17" s="116"/>
      <c r="M17" s="11">
        <f>C10</f>
        <v>228377311.09677401</v>
      </c>
      <c r="N17" s="11">
        <f>D10</f>
        <v>26505356.599342</v>
      </c>
    </row>
    <row r="18" spans="2:14" x14ac:dyDescent="0.25">
      <c r="B18" s="74" t="s">
        <v>119</v>
      </c>
      <c r="C18" s="205">
        <v>874695319.674793</v>
      </c>
      <c r="D18" s="205">
        <v>8457528.7219769992</v>
      </c>
      <c r="E18" s="205">
        <v>8274324.2400000002</v>
      </c>
      <c r="F18" s="205">
        <v>891427172.63677001</v>
      </c>
      <c r="H18" s="116"/>
      <c r="I18" s="116"/>
      <c r="J18" s="116"/>
      <c r="M18" s="11">
        <f>C27</f>
        <v>567121972.41786301</v>
      </c>
      <c r="N18" s="11">
        <f>D27</f>
        <v>168980267.45270899</v>
      </c>
    </row>
    <row r="19" spans="2:14" x14ac:dyDescent="0.25">
      <c r="B19" s="74" t="s">
        <v>121</v>
      </c>
      <c r="C19" s="205">
        <v>718450266.48923695</v>
      </c>
      <c r="D19" s="205">
        <v>62114836.769892</v>
      </c>
      <c r="E19" s="205">
        <v>563406974.72994304</v>
      </c>
      <c r="F19" s="205">
        <v>1343972077.9890721</v>
      </c>
      <c r="H19" s="116"/>
      <c r="I19" s="116"/>
      <c r="J19" s="116"/>
      <c r="M19" s="11">
        <f>C20+C21</f>
        <v>194159528.81466299</v>
      </c>
      <c r="N19" s="11">
        <f>D20+D21</f>
        <v>105780820.960712</v>
      </c>
    </row>
    <row r="20" spans="2:14" x14ac:dyDescent="0.25">
      <c r="B20" s="74" t="s">
        <v>123</v>
      </c>
      <c r="C20" s="205">
        <v>153810634.81466299</v>
      </c>
      <c r="D20" s="205">
        <v>28052299.959775999</v>
      </c>
      <c r="E20" s="205">
        <v>3816216.3</v>
      </c>
      <c r="F20" s="205">
        <v>185679151.07443899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40348894</v>
      </c>
      <c r="D21" s="205">
        <v>77728521.000936002</v>
      </c>
      <c r="E21" s="205">
        <v>41848649.479999997</v>
      </c>
      <c r="F21" s="205">
        <v>159926064.48093599</v>
      </c>
      <c r="H21" s="116"/>
      <c r="I21" s="116"/>
      <c r="J21" s="116"/>
      <c r="M21" s="14">
        <f>IFERROR(C34,0)+IFERROR(C35,0)+M20</f>
        <v>526145889.32693201</v>
      </c>
      <c r="N21" s="10" t="s">
        <v>122</v>
      </c>
    </row>
    <row r="22" spans="2:14" x14ac:dyDescent="0.25">
      <c r="B22" s="74" t="s">
        <v>173</v>
      </c>
      <c r="C22" s="205">
        <v>149370505.80000001</v>
      </c>
      <c r="D22" s="205" t="s">
        <v>169</v>
      </c>
      <c r="E22" s="205">
        <v>10814414.119999999</v>
      </c>
      <c r="F22" s="205">
        <v>160184919.91999999</v>
      </c>
      <c r="H22" s="116"/>
      <c r="I22" s="116"/>
      <c r="J22" s="116"/>
    </row>
    <row r="23" spans="2:14" x14ac:dyDescent="0.25">
      <c r="B23" s="74" t="s">
        <v>174</v>
      </c>
      <c r="C23" s="205">
        <v>203110125.249975</v>
      </c>
      <c r="D23" s="205" t="s">
        <v>169</v>
      </c>
      <c r="E23" s="205">
        <v>10300179.9</v>
      </c>
      <c r="F23" s="205">
        <v>213410305.149975</v>
      </c>
      <c r="H23" s="116"/>
      <c r="I23" s="116"/>
      <c r="J23" s="116"/>
    </row>
    <row r="24" spans="2:14" x14ac:dyDescent="0.25">
      <c r="B24" s="74" t="s">
        <v>125</v>
      </c>
      <c r="C24" s="205">
        <v>223117130.28994101</v>
      </c>
      <c r="D24" s="205">
        <v>37340749.923455</v>
      </c>
      <c r="E24" s="205">
        <v>98131404.040000007</v>
      </c>
      <c r="F24" s="205">
        <v>358589284.25339597</v>
      </c>
      <c r="H24" s="116"/>
      <c r="I24" s="116"/>
      <c r="J24" s="116"/>
    </row>
    <row r="25" spans="2:14" x14ac:dyDescent="0.25">
      <c r="B25" s="74" t="s">
        <v>126</v>
      </c>
      <c r="C25" s="205">
        <v>321858844.71594501</v>
      </c>
      <c r="D25" s="205">
        <v>56383965.909757003</v>
      </c>
      <c r="E25" s="205">
        <v>195682161.77985999</v>
      </c>
      <c r="F25" s="205">
        <v>573924972.40556204</v>
      </c>
      <c r="H25" s="116"/>
      <c r="I25" s="116"/>
      <c r="J25" s="116"/>
    </row>
    <row r="26" spans="2:14" x14ac:dyDescent="0.25">
      <c r="B26" s="74" t="s">
        <v>127</v>
      </c>
      <c r="C26" s="205">
        <v>361445781.86299402</v>
      </c>
      <c r="D26" s="205">
        <v>44903213.509947002</v>
      </c>
      <c r="E26" s="205">
        <v>320141438.62991101</v>
      </c>
      <c r="F26" s="205">
        <v>726490434.00285196</v>
      </c>
      <c r="H26" s="116"/>
      <c r="I26" s="116"/>
      <c r="J26" s="116"/>
    </row>
    <row r="27" spans="2:14" x14ac:dyDescent="0.25">
      <c r="B27" s="74" t="s">
        <v>128</v>
      </c>
      <c r="C27" s="205">
        <v>567121972.41786301</v>
      </c>
      <c r="D27" s="205">
        <v>168980267.45270899</v>
      </c>
      <c r="E27" s="205">
        <v>18025946.155999999</v>
      </c>
      <c r="F27" s="205">
        <v>754128186.02657199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223714856.18468201</v>
      </c>
      <c r="G32" s="116"/>
      <c r="H32" s="116"/>
      <c r="I32" s="116"/>
    </row>
    <row r="33" spans="2:14" x14ac:dyDescent="0.25">
      <c r="B33" s="84" t="s">
        <v>133</v>
      </c>
      <c r="C33" s="205">
        <v>319503064.902022</v>
      </c>
      <c r="G33" s="116"/>
      <c r="H33" s="116"/>
      <c r="I33" s="116"/>
    </row>
    <row r="34" spans="2:14" x14ac:dyDescent="0.25">
      <c r="B34" s="84" t="s">
        <v>134</v>
      </c>
      <c r="C34" s="205">
        <v>248720069.58996499</v>
      </c>
      <c r="G34" s="116"/>
      <c r="H34" s="116"/>
      <c r="I34" s="116"/>
    </row>
    <row r="35" spans="2:14" x14ac:dyDescent="0.25">
      <c r="B35" s="84" t="s">
        <v>135</v>
      </c>
      <c r="C35" s="248">
        <v>277425819.73696703</v>
      </c>
      <c r="G35" s="116"/>
      <c r="H35" s="116"/>
      <c r="I35" s="116"/>
    </row>
    <row r="36" spans="2:14" x14ac:dyDescent="0.25">
      <c r="B36" s="84" t="s">
        <v>136</v>
      </c>
      <c r="C36" s="20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5" t="s">
        <v>184</v>
      </c>
      <c r="C41" s="246"/>
      <c r="D41" s="247"/>
      <c r="E41" s="67" t="s">
        <v>138</v>
      </c>
      <c r="F41" s="73">
        <f ca="1">IF(MONTH(TODAY())=5,DAY(TODAY())/DAY(EOMONTH(TODAY(),0)),IF(MONTH(TODAY())&gt;5,1,0))</f>
        <v>0.80645161290322576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4854476025.634798</v>
      </c>
      <c r="F43" s="44">
        <f>IFERROR(E43/D43,0)</f>
        <v>0.70979350162251831</v>
      </c>
      <c r="G43" s="118">
        <f>D43-E43</f>
        <v>1984803306.365202</v>
      </c>
      <c r="H43" s="118">
        <f ca="1">IFERROR(G43/C3,0)</f>
        <v>330800551.06086701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772625340.52591991</v>
      </c>
      <c r="F44" s="44">
        <f>IFERROR(E44/D44,0)</f>
        <v>0.52371976057534753</v>
      </c>
      <c r="G44" s="118">
        <f>D44-E44</f>
        <v>702639483.6944418</v>
      </c>
      <c r="H44" s="118">
        <f ca="1">IFERROR(G44/C3,0)</f>
        <v>117106580.6157403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1069363810.413636</v>
      </c>
      <c r="F45" s="44">
        <f>IFERROR(E45/D45,0)</f>
        <v>0.59976251896707489</v>
      </c>
      <c r="G45" s="118">
        <f>D45-E45</f>
        <v>713614912.9906199</v>
      </c>
      <c r="H45" s="118">
        <f ca="1">IFERROR(G45/C3,0)</f>
        <v>118935818.83176999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6696465176.5743542</v>
      </c>
      <c r="F46" s="43">
        <f>IFERROR(E46/D46,0)</f>
        <v>0.6631790050297266</v>
      </c>
      <c r="G46" s="119">
        <f>G43+G44+G45</f>
        <v>3401057703.0502634</v>
      </c>
      <c r="H46" s="119">
        <f ca="1">IFERROR(G46/C3,0)</f>
        <v>566842950.50837719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223117130.28994101</v>
      </c>
      <c r="H51" s="122">
        <f>N8</f>
        <v>37340749.923455</v>
      </c>
      <c r="I51" s="122">
        <f t="shared" ref="I51:I64" si="1">G51+H51</f>
        <v>260457880.21339601</v>
      </c>
      <c r="J51" s="61">
        <f t="shared" ref="J51:J64" si="2">IFERROR(I51/F51,0)</f>
        <v>0.53707763021086696</v>
      </c>
      <c r="K51" s="51">
        <f t="shared" ref="K51:M64" si="3">D51-G51</f>
        <v>193566347.71005899</v>
      </c>
      <c r="L51" s="51">
        <f t="shared" si="3"/>
        <v>30929651.297199309</v>
      </c>
      <c r="M51" s="51">
        <f t="shared" si="3"/>
        <v>224495999.0072583</v>
      </c>
      <c r="N51" s="51">
        <f ca="1">IFERROR(M51/C3,0)</f>
        <v>37415999.834543049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434607754.903373</v>
      </c>
      <c r="H52" s="122">
        <f>N9</f>
        <v>81416791.795083001</v>
      </c>
      <c r="I52" s="122">
        <f t="shared" si="1"/>
        <v>516024546.69845599</v>
      </c>
      <c r="J52" s="61">
        <f t="shared" si="2"/>
        <v>0.69104647012002096</v>
      </c>
      <c r="K52" s="54">
        <f t="shared" si="3"/>
        <v>120574616.096627</v>
      </c>
      <c r="L52" s="54">
        <f t="shared" si="3"/>
        <v>110129992.204917</v>
      </c>
      <c r="M52" s="54">
        <f t="shared" si="3"/>
        <v>230704608.30154401</v>
      </c>
      <c r="N52" s="54">
        <f ca="1">IFERROR(M52/C3,0)</f>
        <v>38450768.050257333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149370505.80000001</v>
      </c>
      <c r="H53" s="122">
        <f>IF(D22="",0,D22)</f>
        <v>0</v>
      </c>
      <c r="I53" s="122">
        <f>G53+H53</f>
        <v>149370505.80000001</v>
      </c>
      <c r="J53" s="61">
        <f>IFERROR(I53/F53,0)</f>
        <v>0.6185798827222565</v>
      </c>
      <c r="K53" s="54">
        <f>D53-G53</f>
        <v>92102762.199999988</v>
      </c>
      <c r="L53" s="54">
        <f>E53-H53</f>
        <v>0</v>
      </c>
      <c r="M53" s="54">
        <f>F53-I53</f>
        <v>92102762.199999988</v>
      </c>
      <c r="N53" s="54">
        <f ca="1">IFERROR(M53/C3,0)</f>
        <v>15350460.366666665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504189113.04032397</v>
      </c>
      <c r="H54" s="122">
        <f t="shared" ref="H54:H58" si="4">N10</f>
        <v>23213884.341109</v>
      </c>
      <c r="I54" s="122">
        <f t="shared" si="1"/>
        <v>527402997.38143295</v>
      </c>
      <c r="J54" s="61">
        <f t="shared" si="2"/>
        <v>0.80201881057964253</v>
      </c>
      <c r="K54" s="54">
        <f>D54-G54</f>
        <v>106523358.95967603</v>
      </c>
      <c r="L54" s="54">
        <f t="shared" si="3"/>
        <v>23667942.47622589</v>
      </c>
      <c r="M54" s="54">
        <f t="shared" si="3"/>
        <v>130191301.43590194</v>
      </c>
      <c r="N54" s="54">
        <f ca="1">IFERROR(M54/C3,0)</f>
        <v>21698550.239316989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284526373.39999801</v>
      </c>
      <c r="H55" s="122">
        <f t="shared" si="4"/>
        <v>33550551.18</v>
      </c>
      <c r="I55" s="122">
        <f t="shared" si="1"/>
        <v>318076924.57999802</v>
      </c>
      <c r="J55" s="61">
        <f t="shared" si="2"/>
        <v>0.6518870128928318</v>
      </c>
      <c r="K55" s="54">
        <f t="shared" si="3"/>
        <v>120536910.60000199</v>
      </c>
      <c r="L55" s="54">
        <f t="shared" si="3"/>
        <v>49318764.011524148</v>
      </c>
      <c r="M55" s="54">
        <f t="shared" si="3"/>
        <v>169855674.61152613</v>
      </c>
      <c r="N55" s="54">
        <f ca="1">IFERROR(M55/C3,0)</f>
        <v>28309279.101921022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354899621.00415897</v>
      </c>
      <c r="H56" s="122">
        <f t="shared" si="4"/>
        <v>55668901.179328002</v>
      </c>
      <c r="I56" s="122">
        <f t="shared" si="1"/>
        <v>410568522.183487</v>
      </c>
      <c r="J56" s="61">
        <f t="shared" si="2"/>
        <v>0.7395522625161971</v>
      </c>
      <c r="K56" s="54">
        <f t="shared" si="3"/>
        <v>119019210.99584103</v>
      </c>
      <c r="L56" s="54">
        <f t="shared" si="3"/>
        <v>25570492.943325602</v>
      </c>
      <c r="M56" s="54">
        <f t="shared" si="3"/>
        <v>144589703.93916661</v>
      </c>
      <c r="N56" s="54">
        <f ca="1">IFERROR(M56/C3,0)</f>
        <v>24098283.989861101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718450266.48923695</v>
      </c>
      <c r="H57" s="122">
        <f t="shared" si="4"/>
        <v>62114836.769892</v>
      </c>
      <c r="I57" s="122">
        <f t="shared" si="1"/>
        <v>780565103.25912893</v>
      </c>
      <c r="J57" s="61">
        <f t="shared" si="2"/>
        <v>0.74079414620339945</v>
      </c>
      <c r="K57" s="54">
        <f t="shared" si="3"/>
        <v>243308078.51076305</v>
      </c>
      <c r="L57" s="54">
        <f t="shared" si="3"/>
        <v>29813739.56926439</v>
      </c>
      <c r="M57" s="54">
        <f t="shared" si="3"/>
        <v>273121818.08002746</v>
      </c>
      <c r="N57" s="54">
        <f ca="1">IFERROR(M57/C3,0)</f>
        <v>45520303.01333791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321858844.71594501</v>
      </c>
      <c r="H58" s="122">
        <f t="shared" si="4"/>
        <v>56383965.909757003</v>
      </c>
      <c r="I58" s="122">
        <f>G58+H58</f>
        <v>378242810.62570202</v>
      </c>
      <c r="J58" s="61">
        <f>IFERROR(I58/F58,0)</f>
        <v>0.66467013236279449</v>
      </c>
      <c r="K58" s="54">
        <f t="shared" si="3"/>
        <v>183428214.28405499</v>
      </c>
      <c r="L58" s="54">
        <f t="shared" si="3"/>
        <v>7397438.0902429968</v>
      </c>
      <c r="M58" s="54">
        <f t="shared" si="3"/>
        <v>190825652.37429798</v>
      </c>
      <c r="N58" s="54">
        <f ca="1">IFERROR(M58/C3,0)</f>
        <v>31804275.395716328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203110125.249975</v>
      </c>
      <c r="H59" s="122">
        <f>IF(D23="",0,D23)</f>
        <v>0</v>
      </c>
      <c r="I59" s="122">
        <f>G59+H59</f>
        <v>203110125.249975</v>
      </c>
      <c r="J59" s="61">
        <f>IFERROR(I59/F59,0)</f>
        <v>0.50258155492331125</v>
      </c>
      <c r="K59" s="54">
        <f>D59-G59</f>
        <v>201023538.750025</v>
      </c>
      <c r="L59" s="54">
        <f>E59-H59</f>
        <v>0</v>
      </c>
      <c r="M59" s="54">
        <f>F59-I59</f>
        <v>201023538.750025</v>
      </c>
      <c r="N59" s="54">
        <f ca="1">IFERROR(M59/C3,0)</f>
        <v>33503923.125004169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309241696.54955202</v>
      </c>
      <c r="H60" s="122">
        <f t="shared" ref="H60:H64" si="5">N15</f>
        <v>76766000.904586002</v>
      </c>
      <c r="I60" s="122">
        <f t="shared" si="1"/>
        <v>386007697.45413804</v>
      </c>
      <c r="J60" s="61">
        <f t="shared" si="2"/>
        <v>0.71155893002580617</v>
      </c>
      <c r="K60" s="54">
        <f t="shared" si="3"/>
        <v>94775612.450447977</v>
      </c>
      <c r="L60" s="54">
        <f t="shared" si="3"/>
        <v>61698389.313409403</v>
      </c>
      <c r="M60" s="54">
        <f t="shared" si="3"/>
        <v>156474001.76385736</v>
      </c>
      <c r="N60" s="54">
        <f ca="1">IFERROR(M60/C3,0)</f>
        <v>26079000.293976229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361445781.86299402</v>
      </c>
      <c r="H61" s="122">
        <f t="shared" si="5"/>
        <v>44903213.509947002</v>
      </c>
      <c r="I61" s="122">
        <f t="shared" si="1"/>
        <v>406348995.37294102</v>
      </c>
      <c r="J61" s="61">
        <f t="shared" si="2"/>
        <v>0.58859494336946538</v>
      </c>
      <c r="K61" s="54">
        <f t="shared" si="3"/>
        <v>270183814.13700598</v>
      </c>
      <c r="L61" s="54">
        <f t="shared" si="3"/>
        <v>13838387.100678265</v>
      </c>
      <c r="M61" s="54">
        <f t="shared" si="3"/>
        <v>284022201.23768425</v>
      </c>
      <c r="N61" s="54">
        <f ca="1">IFERROR(M61/C3,0)</f>
        <v>47337033.539614044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228377311.09677401</v>
      </c>
      <c r="H62" s="122">
        <f t="shared" si="5"/>
        <v>26505356.599342</v>
      </c>
      <c r="I62" s="122">
        <f t="shared" si="1"/>
        <v>254882667.696116</v>
      </c>
      <c r="J62" s="61">
        <f t="shared" si="2"/>
        <v>0.56601955345563093</v>
      </c>
      <c r="K62" s="54">
        <f t="shared" si="3"/>
        <v>158165711.90322599</v>
      </c>
      <c r="L62" s="54">
        <f t="shared" si="3"/>
        <v>37258798.200471804</v>
      </c>
      <c r="M62" s="54">
        <f t="shared" si="3"/>
        <v>195424510.10369781</v>
      </c>
      <c r="N62" s="54">
        <f ca="1">IFERROR(M62/C3,0)</f>
        <v>32570751.683949634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567121972.41786301</v>
      </c>
      <c r="H63" s="122">
        <f t="shared" si="5"/>
        <v>168980267.45270899</v>
      </c>
      <c r="I63" s="122">
        <f t="shared" si="1"/>
        <v>736102239.87057197</v>
      </c>
      <c r="J63" s="61">
        <f t="shared" si="2"/>
        <v>0.80610620611815675</v>
      </c>
      <c r="K63" s="54">
        <f t="shared" si="3"/>
        <v>16228969.582136989</v>
      </c>
      <c r="L63" s="54">
        <f t="shared" si="3"/>
        <v>160826677.5400084</v>
      </c>
      <c r="M63" s="54">
        <f t="shared" si="3"/>
        <v>177055647.12214541</v>
      </c>
      <c r="N63" s="54">
        <f ca="1">IFERROR(M63/C3,0)</f>
        <v>29509274.520357568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194159528.81466299</v>
      </c>
      <c r="H64" s="122">
        <f t="shared" si="5"/>
        <v>105780820.960712</v>
      </c>
      <c r="I64" s="122">
        <f t="shared" si="1"/>
        <v>299940349.77537501</v>
      </c>
      <c r="J64" s="61">
        <f t="shared" si="2"/>
        <v>0.57959967137344515</v>
      </c>
      <c r="K64" s="54">
        <f t="shared" si="3"/>
        <v>65366160.185337007</v>
      </c>
      <c r="L64" s="54">
        <f t="shared" si="3"/>
        <v>152189210.94717437</v>
      </c>
      <c r="M64" s="54">
        <f t="shared" si="3"/>
        <v>217555371.13251138</v>
      </c>
      <c r="N64" s="54">
        <f ca="1">IFERROR(M64/C3,0)</f>
        <v>36259228.522085227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4854476025.634798</v>
      </c>
      <c r="H65" s="152">
        <f>SUM(H51:H64)</f>
        <v>772625340.52591991</v>
      </c>
      <c r="I65" s="152">
        <f>SUM(I51:I64)</f>
        <v>5627101366.1607189</v>
      </c>
      <c r="J65" s="153">
        <f>IFERROR(I65/F65,0)</f>
        <v>0.67677809636153219</v>
      </c>
      <c r="K65" s="154">
        <f>SUM(K51:K64)</f>
        <v>1984803306.3652024</v>
      </c>
      <c r="L65" s="154">
        <f>SUM(L51:L64)</f>
        <v>702639483.69444156</v>
      </c>
      <c r="M65" s="154">
        <f>SUM(M51:M64)</f>
        <v>2687442790.0596437</v>
      </c>
      <c r="N65" s="154">
        <f ca="1">IFERROR(M65/C3,0)</f>
        <v>447907131.67660731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98131404.040000007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67898061.859999999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10814414.119999999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151076034.90000001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10797297.199999999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563406974.72994304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195682161.77985999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10300179.9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38843243.600000001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320141438.62991101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127302032.61999901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18025946.155999999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45664865.779999994</v>
      </c>
    </row>
    <row r="84" spans="2:9" ht="20.100000000000001" customHeight="1" x14ac:dyDescent="0.25">
      <c r="B84" s="57" t="s">
        <v>152</v>
      </c>
      <c r="C84" s="58"/>
      <c r="D84" s="129">
        <f>SUM(D70:D83)</f>
        <v>1658084055.3157127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223714856.18468201</v>
      </c>
      <c r="F89" s="61">
        <f t="shared" ref="F89:F94" si="7">IFERROR(E89/D89,0)</f>
        <v>0.80454269180608051</v>
      </c>
      <c r="G89" s="125">
        <f>D89-E89</f>
        <v>54349761.719527543</v>
      </c>
      <c r="H89" s="125">
        <f ca="1">IFERROR(G89/C3,0)</f>
        <v>9058293.6199212577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319503064.902022</v>
      </c>
      <c r="F90" s="61">
        <f t="shared" si="7"/>
        <v>0.76505955605694054</v>
      </c>
      <c r="G90" s="126">
        <f>D90-E90</f>
        <v>98115488.284499586</v>
      </c>
      <c r="H90" s="126">
        <f ca="1">IFERROR(G90/C3,0)</f>
        <v>16352581.380749932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526145889.32693201</v>
      </c>
      <c r="F91" s="61">
        <f t="shared" si="7"/>
        <v>0.48390328481286415</v>
      </c>
      <c r="G91" s="125">
        <f>D91-E91</f>
        <v>561149662.98659277</v>
      </c>
      <c r="H91" s="125">
        <f ca="1">IFERROR(G91/C3,0)</f>
        <v>93524943.831098795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1069363810.413636</v>
      </c>
      <c r="F94" s="43">
        <f t="shared" si="7"/>
        <v>0.59976251896707489</v>
      </c>
      <c r="G94" s="119">
        <f>SUM(G89:G93)</f>
        <v>713614912.9906199</v>
      </c>
      <c r="H94" s="119">
        <f ca="1">IFERROR(G94/C3,0)</f>
        <v>118935818.83176999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160</v>
      </c>
      <c r="C41" s="225"/>
      <c r="D41" s="226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163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165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167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182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2026-05-25T01:02:29Z</dcterms:modified>
  <dc:language>en-US</dc:language>
</cp:coreProperties>
</file>