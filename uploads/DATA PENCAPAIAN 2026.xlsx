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6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94" i="12" s="1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K61" i="11"/>
  <c r="K63" i="12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M64" i="14" s="1"/>
  <c r="N64" i="14" s="1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L57" i="13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L57" i="11" l="1"/>
  <c r="L54" i="11"/>
  <c r="Q63" i="14"/>
  <c r="R63" i="14" s="1"/>
  <c r="M56" i="5"/>
  <c r="N56" i="5" s="1"/>
  <c r="G42" i="14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G74" i="7" l="1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<sst xmlns="http://schemas.openxmlformats.org/spreadsheetml/2006/main" count="2117" uniqueCount="228">
  <si>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</si>
  <si>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</si>
  <si>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</si>
  <si>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</si>
  <si>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</si>
  <si>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</si>
  <si>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</si>
  <si>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</si>
  <si>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</si>
  <si>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</si>
  <si>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</si>
  <si>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</si>
  <si>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</si>
  <si>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</si>
  <si>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</si>
  <si>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</si>
  <si>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</si>
  <si>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</si>
  <si>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</si>
  <si>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</si>
  <si>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</si>
  <si>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</si>
  <si>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</si>
  <si>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</si>
  <si>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</si>
  <si>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</si>
  <si>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</si>
  <si>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</si>
  <si>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</si>
  <si>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</si>
  <si>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</si>
  <si>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</si>
  <si>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</si>
  <si>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</si>
  <si>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</si>
  <si>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</si>
  <si>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</si>
  <si>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</si>
  <si>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</si>
  <si>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</si>
  <si>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</si>
  <si>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</si>
  <si>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</si>
  <si>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</si>
  <si>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</si>
  <si>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</si>
  <si>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</si>
  <si>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</si>
  <si>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</si>
  <si>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</si>
  <si>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</si>
  <si>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</si>
  <si>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</si>
  <si>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</si>
  <si>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</si>
  <si>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</si>
  <si>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</si>
  <si>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</si>
  <si>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</si>
  <si>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</si>
  <si>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</si>
  <si>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</si>
  <si>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</si>
  <si>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</si>
  <si>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</si>
  <si>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</si>
  <si>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</si>
  <si>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</si>
  <si>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</si>
  <si>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</si>
  <si>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</si>
  <si>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</si>
  <si>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</si>
  <si>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</si>
  <si>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</si>
  <si>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</si>
  <si>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</si>
  <si>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</si>
  <si>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</si>
  <si>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</si>
  <si>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</si>
  <si>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</si>
  <si>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</si>
  <si>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</si>
  <si>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</si>
  <si>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</si>
  <si>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</si>
  <si>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</si>
  <si>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</si>
  <si>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</si>
  <si>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</si>
  <si>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</si>
  <si>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</si>
  <si>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</si>
  <si>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</si>
  <si>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</si>
  <si>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</si>
  <si>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</si>
  <si>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</si>
  <si>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</si>
  <si>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</si>
  <si>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</si>
  <si>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</si>
  <si>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</si>
  <si>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</si>
  <si>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</si>
  <si>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</si>
  <si>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</si>
  <si>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</si>
  <si>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</si>
  <si>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</si>
  <si>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</si>
  <si>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</si>
  <si>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</si>
  <si>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</si>
  <si>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</si>
  <si>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</si>
  <si>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</si>
  <si>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</si>
  <si>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</si>
  <si>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</si>
  <si>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</si>
  <si>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</si>
  <si>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</si>
  <si>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</si>
  <si>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</si>
  <si>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</si>
  <si>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</si>
  <si>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</si>
  <si>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</si>
  <si>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</si>
  <si>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</si>
  <si>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</si>
  <si>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</si>
  <si>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</si>
  <si>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</si>
  <si>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</si>
  <si>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</si>
  <si>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</si>
  <si>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</si>
  <si>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</si>
  <si>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</si>
  <si>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</si>
  <si>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</si>
  <si>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</si>
  <si>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</si>
  <si>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</si>
  <si>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</si>
  <si>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</si>
  <si>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</si>
  <si>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</si>
  <si>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</si>
  <si>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</si>
  <si>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</si>
  <si>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</si>
  <si>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</si>
  <si>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</si>
  <si>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</si>
  <si>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</si>
  <si>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</si>
  <si>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</si>
  <si>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</si>
  <si>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</si>
  <si>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</si>
  <si>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</si>
  <si>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</si>
  <si>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</si>
  <si>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</si>
  <si>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</si>
  <si>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</si>
  <si>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</si>
  <si>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</si>
  <si>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</si>
  <si>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</si>
  <si>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</si>
  <si>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</si>
  <si>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</si>
  <si>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</si>
  <si>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</si>
  <si>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</si>
  <si>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</si>
  <si>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</si>
  <si>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</si>
  <si>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</si>
  <si>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</si>
  <si>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</si>
  <si>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</si>
  <si>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</si>
  <si>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</si>
  <si>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</si>
  <si>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</si>
  <si>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</si>
  <si>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</si>
  <si>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</si>
  <si>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</si>
  <si>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</si>
  <si>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</si>
  <si>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</si>
  <si>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</si>
  <si>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</si>
  <si>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</si>
  <si>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</si>
  <si>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</si>
  <si>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</si>
  <si>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</si>
  <si>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</si>
  <si>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</si>
  <si>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</si>
  <si>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</si>
  <si>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</si>
  <si>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</si>
  <si>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</si>
  <si>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</si>
  <si>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</si>
  <si>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</si>
  <si>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</si>
  <si>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</si>
  <si>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</si>
  <si>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</si>
  <si>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</si>
  <si>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</si>
  <si>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</si>
  <si>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</si>
  <si>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</si>
  <si>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</si>
  <si>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</si>
  <si>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</si>
  <si>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25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</si>
</sst>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164" fontId="0" fillId="0" borderId="13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8" t="s">
        <v>0</v>
      </c>
      <c r="C1" s="238"/>
    </row>
    <row r="3" spans="2:3" x14ac:dyDescent="0.25">
      <c r="B3" s="239" t="s">
        <v>1</v>
      </c>
      <c r="C3" s="23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0" t="s">
        <v>14</v>
      </c>
      <c r="C11" s="24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9" t="s">
        <v>28</v>
      </c>
      <c r="C3" s="239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1" t="s">
        <v>102</v>
      </c>
      <c r="C29" s="241"/>
      <c r="D29" s="241"/>
      <c r="E29" s="241"/>
      <c r="F29" s="241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9" t="s">
        <v>145</v>
      </c>
      <c r="C44" s="26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1" t="s">
        <v>41</v>
      </c>
      <c r="C47" s="261" t="s">
        <v>42</v>
      </c>
      <c r="D47" s="256" t="s">
        <v>137</v>
      </c>
      <c r="E47" s="257"/>
      <c r="F47" s="258"/>
      <c r="G47" s="69" t="s">
        <v>138</v>
      </c>
      <c r="H47" s="69"/>
      <c r="I47" s="69"/>
      <c r="J47" s="261" t="s">
        <v>139</v>
      </c>
      <c r="K47" s="35" t="s">
        <v>147</v>
      </c>
      <c r="L47" s="35"/>
      <c r="M47" s="35"/>
      <c r="N47" s="255" t="s">
        <v>148</v>
      </c>
    </row>
    <row r="48" spans="2:17" ht="15.75" x14ac:dyDescent="0.25">
      <c r="B48" s="261"/>
      <c r="C48" s="261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1"/>
      <c r="K48" s="34" t="s">
        <v>142</v>
      </c>
      <c r="L48" s="34" t="s">
        <v>110</v>
      </c>
      <c r="M48" s="34" t="s">
        <v>145</v>
      </c>
      <c r="N48" s="255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2" t="s">
        <v>144</v>
      </c>
      <c r="C63" s="253"/>
      <c r="D63" s="253"/>
      <c r="E63" s="253"/>
      <c r="F63" s="253"/>
      <c r="G63" s="253"/>
      <c r="H63" s="254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72" t="s">
        <v>178</v>
      </c>
      <c r="C41" s="273"/>
      <c r="D41" s="274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9" t="s">
        <v>145</v>
      </c>
      <c r="C46" s="260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186</v>
      </c>
      <c r="L48" s="264"/>
      <c r="M48" s="264"/>
      <c r="N48" s="264"/>
      <c r="O48" s="264"/>
      <c r="P48" s="265"/>
      <c r="Q48"/>
      <c r="R48"/>
    </row>
    <row r="49" spans="2:18" s="139" customFormat="1" ht="33.950000000000003" customHeight="1" x14ac:dyDescent="0.25">
      <c r="B49" s="280" t="s">
        <v>41</v>
      </c>
      <c r="C49" s="280" t="s">
        <v>42</v>
      </c>
      <c r="D49" s="277" t="s">
        <v>137</v>
      </c>
      <c r="E49" s="278"/>
      <c r="F49" s="279"/>
      <c r="G49" s="140" t="s">
        <v>138</v>
      </c>
      <c r="H49" s="140"/>
      <c r="I49" s="140"/>
      <c r="J49" s="277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0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0"/>
      <c r="C50" s="280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7"/>
      <c r="K50" s="267"/>
      <c r="L50" s="267"/>
      <c r="M50" s="269"/>
      <c r="N50" s="188"/>
      <c r="O50" s="183"/>
      <c r="P50" s="271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2" t="s">
        <v>171</v>
      </c>
      <c r="C77" s="253"/>
      <c r="D77" s="254"/>
      <c r="G77"/>
      <c r="H77"/>
      <c r="I77"/>
    </row>
    <row r="78" spans="1:19" ht="20.100000000000001" customHeight="1" x14ac:dyDescent="0.25">
      <c r="B78" s="262" t="s">
        <v>41</v>
      </c>
      <c r="C78" s="262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1"/>
      <c r="C79" s="261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81" t="s">
        <v>179</v>
      </c>
      <c r="C41" s="282"/>
      <c r="D41" s="283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186</v>
      </c>
      <c r="L48" s="264"/>
      <c r="M48" s="264"/>
      <c r="N48" s="264"/>
      <c r="O48" s="264"/>
      <c r="P48" s="265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268" t="str">
        <f>"PER HARI"&amp;CHAR(10)&amp;TEXT($J$41,"0%")</f>
        <v>PER HARI
95%</v>
      </c>
      <c r="O49" s="270" t="str">
        <f>"SELISIH"&amp;CHAR(10)&amp;TEXT($L$41,"0%")</f>
        <v>SELISIH
100%</v>
      </c>
      <c r="P49" s="270" t="str">
        <f>"PER HARI"&amp;CHAR(10)&amp;TEXT($L$41,"0%")</f>
        <v>PER HARI
100%</v>
      </c>
    </row>
    <row r="50" spans="2:16" ht="22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67"/>
      <c r="L50" s="267"/>
      <c r="M50" s="269"/>
      <c r="N50" s="269"/>
      <c r="O50" s="271"/>
      <c r="P50" s="271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8.75" customHeight="1" x14ac:dyDescent="0.25">
      <c r="B78" s="262" t="s">
        <v>41</v>
      </c>
      <c r="C78" s="262" t="s">
        <v>42</v>
      </c>
      <c r="D78" s="231" t="s">
        <v>138</v>
      </c>
    </row>
    <row r="79" spans="2:16" ht="18" customHeight="1" x14ac:dyDescent="0.25">
      <c r="B79" s="261"/>
      <c r="C79" s="261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2" t="s">
        <v>180</v>
      </c>
      <c r="C41" s="273"/>
      <c r="D41" s="274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186</v>
      </c>
      <c r="L48" s="264"/>
      <c r="M48" s="264"/>
      <c r="N48" s="264"/>
      <c r="O48" s="264"/>
      <c r="P48" s="265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268" t="str">
        <f>"PER HARI"&amp;CHAR(10)&amp;TEXT($J$41,"0%")</f>
        <v>PER HARI
95%</v>
      </c>
      <c r="O49" s="270" t="str">
        <f>"SELISIH"&amp;CHAR(10)&amp;TEXT($L$41,"0%")</f>
        <v>SELISIH
100%</v>
      </c>
      <c r="P49" s="270" t="str">
        <f>"PER HARI"&amp;CHAR(10)&amp;TEXT($L$41,"0%")</f>
        <v>PER HARI
100%</v>
      </c>
    </row>
    <row r="50" spans="2:16" ht="19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67"/>
      <c r="L50" s="267"/>
      <c r="M50" s="269"/>
      <c r="N50" s="269"/>
      <c r="O50" s="271"/>
      <c r="P50" s="271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5.75" x14ac:dyDescent="0.25">
      <c r="B78" s="262" t="s">
        <v>41</v>
      </c>
      <c r="C78" s="262" t="s">
        <v>42</v>
      </c>
      <c r="D78" s="231" t="s">
        <v>138</v>
      </c>
    </row>
    <row r="79" spans="2:16" ht="15.75" x14ac:dyDescent="0.25">
      <c r="B79" s="261"/>
      <c r="C79" s="261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72" t="s">
        <v>189</v>
      </c>
      <c r="C41" s="273"/>
      <c r="D41" s="274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9" t="s">
        <v>145</v>
      </c>
      <c r="C46" s="260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186</v>
      </c>
      <c r="L48" s="264"/>
      <c r="M48" s="264"/>
      <c r="N48" s="264"/>
      <c r="O48" s="264"/>
      <c r="P48" s="265"/>
    </row>
    <row r="49" spans="2:16" ht="15.75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268" t="str">
        <f>"PER HARI"&amp;CHAR(10)&amp;TEXT($J$41,"0%")</f>
        <v>PER HARI
95%</v>
      </c>
      <c r="O49" s="284" t="str">
        <f>"SELISIH"&amp;CHAR(10)&amp;TEXT($L$41,"0%")</f>
        <v>SELISIH
100%</v>
      </c>
      <c r="P49" s="284" t="str">
        <f>"PER HARI"&amp;CHAR(10)&amp;TEXT($L$41,"0%")</f>
        <v>PER HARI
100%</v>
      </c>
    </row>
    <row r="50" spans="2:16" ht="15.75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67"/>
      <c r="L50" s="267"/>
      <c r="M50" s="269"/>
      <c r="N50" s="269"/>
      <c r="O50" s="285"/>
      <c r="P50" s="285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5.75" x14ac:dyDescent="0.25">
      <c r="B78" s="262" t="s">
        <v>41</v>
      </c>
      <c r="C78" s="262" t="s">
        <v>42</v>
      </c>
      <c r="D78" s="231" t="s">
        <v>138</v>
      </c>
    </row>
    <row r="79" spans="2:16" ht="15.75" x14ac:dyDescent="0.25">
      <c r="B79" s="261"/>
      <c r="C79" s="261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72" t="s">
        <v>219</v>
      </c>
      <c r="C40" s="273"/>
      <c r="D40" s="274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9" t="s">
        <v>145</v>
      </c>
      <c r="C46" s="260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5" t="s">
        <v>213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5.75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5"/>
      <c r="G67" s="263" t="s">
        <v>186</v>
      </c>
      <c r="H67" s="264"/>
      <c r="I67" s="264"/>
      <c r="J67" s="264"/>
      <c r="K67" s="264"/>
      <c r="L67" s="265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2" t="s">
        <v>171</v>
      </c>
      <c r="C77" s="253"/>
      <c r="D77" s="254"/>
    </row>
    <row r="78" spans="2:21" ht="15.75" x14ac:dyDescent="0.25">
      <c r="B78" s="262" t="s">
        <v>41</v>
      </c>
      <c r="C78" s="262" t="s">
        <v>42</v>
      </c>
      <c r="D78" s="231" t="s">
        <v>138</v>
      </c>
    </row>
    <row r="79" spans="2:21" ht="15.75" x14ac:dyDescent="0.25">
      <c r="B79" s="261"/>
      <c r="C79" s="261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71" zoomScale="84" zoomScaleNormal="84" workbookViewId="0">
      <selection activeCell="E89" sqref="E8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5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7">
        <v>129114514.549408</v>
      </c>
      <c r="D10" s="237">
        <v>37038940.117797002</v>
      </c>
      <c r="E10" s="237">
        <v>181176342.72703999</v>
      </c>
      <c r="F10" s="237">
        <v>141725852.38993299</v>
      </c>
      <c r="G10" s="237">
        <v>489055649.78417802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7">
        <v>4173423.4199979999</v>
      </c>
      <c r="D11" s="237">
        <v>30250983.5</v>
      </c>
      <c r="E11" s="237">
        <v>199157658.6392</v>
      </c>
      <c r="F11" s="237" t="s">
        <v>165</v>
      </c>
      <c r="G11" s="237">
        <v>233582065.55919799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7">
        <v>158097388.15795001</v>
      </c>
      <c r="D12" s="237">
        <v>67902257.621514007</v>
      </c>
      <c r="E12" s="237">
        <v>144886174.379583</v>
      </c>
      <c r="F12" s="237">
        <v>67696580.700000003</v>
      </c>
      <c r="G12" s="237">
        <v>438582400.859047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7">
        <v>30349577.699947</v>
      </c>
      <c r="D13" s="237">
        <v>22046277.749963999</v>
      </c>
      <c r="E13" s="237">
        <v>190561218.02961701</v>
      </c>
      <c r="F13" s="237">
        <v>81607939.109999999</v>
      </c>
      <c r="G13" s="237">
        <v>324565012.58952802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7">
        <v>437151614.40455902</v>
      </c>
      <c r="D14" s="237">
        <v>42720135.969465002</v>
      </c>
      <c r="E14" s="237">
        <v>142801315.51987499</v>
      </c>
      <c r="F14" s="237">
        <v>359312587.47977</v>
      </c>
      <c r="G14" s="237">
        <v>981985653.37366903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7">
        <v>1502915183.6099081</v>
      </c>
      <c r="D15" s="237">
        <v>11190936.014923999</v>
      </c>
      <c r="E15" s="237">
        <v>76858935.799939007</v>
      </c>
      <c r="F15" s="237">
        <v>14632432.720000001</v>
      </c>
      <c r="G15" s="237">
        <v>1605597488.1447711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7">
        <v>465821952.54762101</v>
      </c>
      <c r="D16" s="237">
        <v>51819828.479924001</v>
      </c>
      <c r="E16" s="237">
        <v>299276352.78941</v>
      </c>
      <c r="F16" s="237">
        <v>952267556.879969</v>
      </c>
      <c r="G16" s="237">
        <v>1769185690.696924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7">
        <v>97903468.216019005</v>
      </c>
      <c r="D17" s="237">
        <v>12915436.9209</v>
      </c>
      <c r="E17" s="237">
        <v>103260945.468842</v>
      </c>
      <c r="F17" s="237">
        <v>47952973.898000002</v>
      </c>
      <c r="G17" s="237">
        <v>262032824.50376099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7">
        <v>13080047.589996999</v>
      </c>
      <c r="D18" s="237">
        <v>134100404.811655</v>
      </c>
      <c r="E18" s="237">
        <v>58453106.100000001</v>
      </c>
      <c r="F18" s="237">
        <v>103589191.42</v>
      </c>
      <c r="G18" s="237">
        <v>309222749.92165202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7">
        <v>46889334.859999999</v>
      </c>
      <c r="D19" s="237" t="s">
        <v>165</v>
      </c>
      <c r="E19" s="237" t="s">
        <v>165</v>
      </c>
      <c r="F19" s="237">
        <v>7027026.8399999999</v>
      </c>
      <c r="G19" s="237">
        <v>53916361.700000003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7">
        <v>215561847.16</v>
      </c>
      <c r="D20" s="237" t="s">
        <v>165</v>
      </c>
      <c r="E20" s="237" t="s">
        <v>165</v>
      </c>
      <c r="F20" s="237">
        <v>11975945.619999999</v>
      </c>
      <c r="G20" s="237">
        <v>227537792.78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7">
        <v>250622165.38778701</v>
      </c>
      <c r="D21" s="237">
        <v>46331940.443448998</v>
      </c>
      <c r="E21" s="237">
        <v>135756942.00977701</v>
      </c>
      <c r="F21" s="237">
        <v>343488851.45986003</v>
      </c>
      <c r="G21" s="237">
        <v>776199899.30087304</v>
      </c>
      <c r="H21" s="111"/>
      <c r="I21" s="111"/>
      <c r="J21" s="111"/>
      <c r="M21" s="14">
        <f>SUM(C33,C34)+M20</f>
        <v>948476673.30109191</v>
      </c>
      <c r="N21" s="10" t="s">
        <v>224</v>
      </c>
    </row>
    <row r="22" spans="2:15" ht="15" customHeight="1" x14ac:dyDescent="0.25">
      <c r="B22" s="72" t="s">
        <v>225</v>
      </c>
      <c r="C22" s="237">
        <v>183815526.976354</v>
      </c>
      <c r="D22" s="237">
        <v>46626385.219940998</v>
      </c>
      <c r="E22" s="237">
        <v>137495154.28817099</v>
      </c>
      <c r="F22" s="237">
        <v>64092612.359999999</v>
      </c>
      <c r="G22" s="237">
        <v>432029678.84446597</v>
      </c>
      <c r="H22" s="111"/>
      <c r="I22" s="111"/>
      <c r="J22" s="111"/>
    </row>
    <row r="23" spans="2:15" ht="15" customHeight="1" x14ac:dyDescent="0.25">
      <c r="B23" s="72" t="s">
        <v>125</v>
      </c>
      <c r="C23" s="237">
        <v>241361191.13532299</v>
      </c>
      <c r="D23" s="237">
        <v>63404429.039943002</v>
      </c>
      <c r="E23" s="237">
        <v>176031885.582169</v>
      </c>
      <c r="F23" s="237">
        <v>278739195.65947998</v>
      </c>
      <c r="G23" s="237">
        <v>759536701.41691506</v>
      </c>
      <c r="H23" s="111"/>
      <c r="I23" s="111"/>
      <c r="J23" s="111"/>
    </row>
    <row r="24" spans="2:15" ht="15" customHeight="1" x14ac:dyDescent="0.25">
      <c r="B24" s="72" t="s">
        <v>126</v>
      </c>
      <c r="C24" s="237">
        <v>420220553.48265302</v>
      </c>
      <c r="D24" s="237">
        <v>57722998.644919001</v>
      </c>
      <c r="E24" s="237">
        <v>189249443.53988701</v>
      </c>
      <c r="F24" s="237">
        <v>534549561.39945602</v>
      </c>
      <c r="G24" s="237">
        <v>1201742557.066915</v>
      </c>
      <c r="H24" s="111"/>
      <c r="I24" s="111"/>
      <c r="J24" s="111"/>
    </row>
    <row r="25" spans="2:15" ht="15" customHeight="1" x14ac:dyDescent="0.25">
      <c r="B25" s="72" t="s">
        <v>220</v>
      </c>
      <c r="C25" s="237">
        <v>283697018.83984798</v>
      </c>
      <c r="D25" s="237">
        <v>80203472.886524007</v>
      </c>
      <c r="E25" s="237">
        <v>93333896.788552999</v>
      </c>
      <c r="F25" s="237">
        <v>49513514.579999998</v>
      </c>
      <c r="G25" s="237">
        <v>506747903.09492499</v>
      </c>
      <c r="H25" s="111"/>
      <c r="I25" s="111"/>
      <c r="J25" s="111"/>
    </row>
    <row r="26" spans="2:15" ht="15" customHeight="1" x14ac:dyDescent="0.25">
      <c r="B26" s="72" t="s">
        <v>127</v>
      </c>
      <c r="C26" s="237">
        <v>426130063.79518402</v>
      </c>
      <c r="D26" s="237">
        <v>281504998.24590999</v>
      </c>
      <c r="E26" s="237">
        <v>248507610.975813</v>
      </c>
      <c r="F26" s="237">
        <v>18820757.1204</v>
      </c>
      <c r="G26" s="237">
        <v>974963430.13730705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98"/>
      <c r="G30" s="111"/>
      <c r="H30" s="111"/>
      <c r="I30" s="111"/>
    </row>
    <row r="31" spans="2:15" ht="15" customHeight="1" x14ac:dyDescent="0.25">
      <c r="B31" s="81" t="s">
        <v>131</v>
      </c>
      <c r="C31" s="235">
        <v>239090594.19514599</v>
      </c>
      <c r="G31" s="111"/>
      <c r="H31" s="111"/>
      <c r="I31" s="111"/>
    </row>
    <row r="32" spans="2:15" ht="15" customHeight="1" x14ac:dyDescent="0.25">
      <c r="B32" s="81" t="s">
        <v>132</v>
      </c>
      <c r="C32" s="297">
        <v>427130336.43894702</v>
      </c>
      <c r="G32" s="111"/>
      <c r="H32" s="111"/>
      <c r="I32" s="111"/>
    </row>
    <row r="33" spans="2:19" ht="15" customHeight="1" x14ac:dyDescent="0.25">
      <c r="B33" s="81" t="s">
        <v>133</v>
      </c>
      <c r="C33" s="237">
        <v>503000911.10980099</v>
      </c>
      <c r="G33" s="111"/>
      <c r="H33" s="111"/>
      <c r="I33" s="111"/>
    </row>
    <row r="34" spans="2:19" ht="15" customHeight="1" x14ac:dyDescent="0.25">
      <c r="B34" s="81" t="s">
        <v>134</v>
      </c>
      <c r="C34" s="237">
        <v>445475762.19129097</v>
      </c>
      <c r="G34" s="111"/>
      <c r="H34" s="111"/>
      <c r="I34" s="111"/>
    </row>
    <row r="35" spans="2:19" ht="15" customHeight="1" x14ac:dyDescent="0.25">
      <c r="B35" s="81" t="s">
        <v>135</v>
      </c>
      <c r="C35" s="236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72" t="s">
        <v>227</v>
      </c>
      <c r="C40" s="273"/>
      <c r="D40" s="274"/>
      <c r="E40" s="66" t="s">
        <v>137</v>
      </c>
      <c r="F40" s="174">
        <f ca="1">IF(MONTH(TODAY())=9,DAY(TODAY())/DAY(EOMONTH(TODAY(),0)),IF(MONTH(TODAY())&gt;9,1,0))</f>
        <v>0.83333333333333337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3403989688.2226486</v>
      </c>
      <c r="F42" s="176">
        <f>IFERROR(E42/D42,0)</f>
        <v>0.75446611669915109</v>
      </c>
      <c r="G42" s="184">
        <f>D42*$H$40-E42</f>
        <v>882207043.79177761</v>
      </c>
      <c r="H42" s="184">
        <f ca="1">IFERROR(G42/$C$3,0)</f>
        <v>176441408.75835553</v>
      </c>
      <c r="I42" s="204">
        <f>D42*$J$40-E42</f>
        <v>1107796345.4767475</v>
      </c>
      <c r="J42" s="204">
        <f ca="1">IFERROR(I42/$C$3,0)</f>
        <v>221559269.09534949</v>
      </c>
      <c r="K42" s="185">
        <f>D42*$L$40-E42</f>
        <v>1107796345.4767475</v>
      </c>
      <c r="L42" s="185">
        <f ca="1">IFERROR(K42/$C$3,0)</f>
        <v>221559269.09534949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974588489.65190494</v>
      </c>
      <c r="F43" s="176">
        <f>IFERROR(E43/D43,0)</f>
        <v>0.69545641121475765</v>
      </c>
      <c r="G43" s="184">
        <f>D43*$H$40-E43</f>
        <v>356708555.33773911</v>
      </c>
      <c r="H43" s="184">
        <f ca="1">IFERROR(G43/$C$3,0)</f>
        <v>71341711.067547828</v>
      </c>
      <c r="I43" s="204">
        <f>D43*$J$40-E43</f>
        <v>426776820.86351001</v>
      </c>
      <c r="J43" s="204">
        <f ca="1">IFERROR(I43/$C$3,0)</f>
        <v>85355364.172702</v>
      </c>
      <c r="K43" s="185">
        <f>D43*$L$40-E43</f>
        <v>426776820.86351001</v>
      </c>
      <c r="L43" s="185">
        <f ca="1">IFERROR(K43/$C$3,0)</f>
        <v>85355364.172702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2299948046.8379369</v>
      </c>
      <c r="F44" s="176">
        <f>IFERROR(E44/D44,0)</f>
        <v>0.78101635400470892</v>
      </c>
      <c r="G44" s="184">
        <f>IF(D44=0,0,D44*$H$40-E44)</f>
        <v>497625439.67431402</v>
      </c>
      <c r="H44" s="184">
        <f ca="1">IFERROR(G44/$C$3,0)</f>
        <v>99525087.934862807</v>
      </c>
      <c r="I44" s="204">
        <f>IF(D44=0,0,D44*$J$40-E44)</f>
        <v>644866149.49074841</v>
      </c>
      <c r="J44" s="204">
        <f ca="1">IFERROR(I44/$C$3,0)</f>
        <v>128973229.89814968</v>
      </c>
      <c r="K44" s="185">
        <f>IF(D44=0,0,D44*$L$40-E44)</f>
        <v>644866149.49074841</v>
      </c>
      <c r="L44" s="185">
        <f ca="1">IFERROR(K44/$C$3,0)</f>
        <v>128973229.89814968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1614697603.935185</v>
      </c>
      <c r="F45" s="176">
        <f>IFERROR(E45/D45,0)</f>
        <v>0.92776023697987398</v>
      </c>
      <c r="G45" s="184">
        <f>D45*$H$40-E45</f>
        <v>38706651.383963823</v>
      </c>
      <c r="H45" s="184">
        <f ca="1">IFERROR(G45/$C$3,0)</f>
        <v>7741330.2767927647</v>
      </c>
      <c r="I45" s="204">
        <f>D45*$J$40-E45</f>
        <v>125727927.97970867</v>
      </c>
      <c r="J45" s="204">
        <f ca="1">IFERROR(I45/$C$3,0)</f>
        <v>25145585.595941734</v>
      </c>
      <c r="K45" s="185">
        <f>D45*$L$40-E45</f>
        <v>125727927.97970867</v>
      </c>
      <c r="L45" s="185">
        <f ca="1">IFERROR(K45/$C$3,0)</f>
        <v>25145585.595941734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10598391072.458391</v>
      </c>
      <c r="E46" s="47">
        <f>SUM(E42:E45)</f>
        <v>8293223828.6476746</v>
      </c>
      <c r="F46" s="177">
        <f>IFERROR(E46/D46,0)</f>
        <v>0.7824983784754781</v>
      </c>
      <c r="G46" s="181">
        <f>SUM(G42:G45)</f>
        <v>1775247690.1877944</v>
      </c>
      <c r="H46" s="181">
        <f ca="1">IFERROR(G46/$C$3,0)</f>
        <v>355049538.03755891</v>
      </c>
      <c r="I46" s="186">
        <f>SUM(I42:I45)</f>
        <v>2305167243.8107147</v>
      </c>
      <c r="J46" s="186">
        <f ca="1">IFERROR(I46/$C$3,0)</f>
        <v>461033448.76214296</v>
      </c>
      <c r="K46" s="186">
        <f>SUM(K42:K45)</f>
        <v>2305167243.8107147</v>
      </c>
      <c r="L46" s="186">
        <f ca="1">IFERROR(K46/$C$3,0)</f>
        <v>461033448.76214296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213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95%</v>
      </c>
      <c r="N49" s="266" t="str">
        <f>"PER HARI"&amp;CHAR(10)&amp;TEXT($H$40,"0%")</f>
        <v>PER HARI
95%</v>
      </c>
      <c r="O49" s="268" t="str">
        <f>"SELISIH"&amp;CHAR(10)&amp;TEXT($J$40,"0%")</f>
        <v>SELISIH
100%</v>
      </c>
      <c r="P49" s="268" t="str">
        <f>"PER HARI"&amp;CHAR(10)&amp;TEXT($J$40,"0%")</f>
        <v>PER HARI
100%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250622165.38778701</v>
      </c>
      <c r="I51" s="114">
        <f t="shared" ref="I51:I64" si="2">SUMIF($B$10:$B$26,$T51,D$10:D$26)+SUMIF($B$10:$B$26,$U51,D$10:D$26)</f>
        <v>46331940.443448998</v>
      </c>
      <c r="J51" s="114">
        <f t="shared" ref="J51:J64" si="3">SUMIF($B$10:$B$26,$T51,E$10:E$26)+SUMIF($B$10:$B$26,$U51,E$10:E$26)</f>
        <v>135756942.00977701</v>
      </c>
      <c r="K51" s="114">
        <f t="shared" ref="K51:K64" si="4">SUM(H51:J51)</f>
        <v>432711047.84101301</v>
      </c>
      <c r="L51" s="187">
        <f t="shared" ref="L51:L65" si="5">IFERROR(K51/G51,0)</f>
        <v>0.84124877857029168</v>
      </c>
      <c r="M51" s="184">
        <f t="shared" ref="M51:M64" si="6">G51*$H$40-K51</f>
        <v>55938096.051460803</v>
      </c>
      <c r="N51" s="184">
        <f t="shared" ref="N51:N65" ca="1" si="7">IFERROR(M51/$C$3,0)</f>
        <v>11187619.210292161</v>
      </c>
      <c r="O51" s="180">
        <f t="shared" ref="O51:O64" si="8">G51*$J$40-K51</f>
        <v>81656472.04580158</v>
      </c>
      <c r="P51" s="180">
        <f t="shared" ref="P51:P65" ca="1" si="9">IFERROR(O51/$C$3,0)</f>
        <v>16331294.409160316</v>
      </c>
      <c r="Q51" s="185">
        <f t="shared" ref="Q51:Q64" si="10">G51*$L$40-K51</f>
        <v>81656472.04580158</v>
      </c>
      <c r="R51" s="185">
        <f t="shared" ref="R51:R65" ca="1" si="11">IFERROR(Q51/$C$3,0)</f>
        <v>16331294.409160316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188446965.85789701</v>
      </c>
      <c r="I52" s="114">
        <f t="shared" si="2"/>
        <v>89948535.371478006</v>
      </c>
      <c r="J52" s="114">
        <f t="shared" si="3"/>
        <v>335447392.40920001</v>
      </c>
      <c r="K52" s="114">
        <f t="shared" si="4"/>
        <v>613842893.63857508</v>
      </c>
      <c r="L52" s="187">
        <f t="shared" si="5"/>
        <v>0.78144396135839178</v>
      </c>
      <c r="M52" s="184">
        <f t="shared" si="6"/>
        <v>132404793.71055937</v>
      </c>
      <c r="N52" s="184">
        <f t="shared" ca="1" si="7"/>
        <v>26480958.742111873</v>
      </c>
      <c r="O52" s="180">
        <f t="shared" si="8"/>
        <v>171680987.7815665</v>
      </c>
      <c r="P52" s="180">
        <f t="shared" ca="1" si="9"/>
        <v>34336197.556313299</v>
      </c>
      <c r="Q52" s="185">
        <f t="shared" si="10"/>
        <v>171680987.7815665</v>
      </c>
      <c r="R52" s="185">
        <f t="shared" ca="1" si="11"/>
        <v>34336197.556313299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46889334.859999999</v>
      </c>
      <c r="I53" s="114">
        <f t="shared" si="2"/>
        <v>0</v>
      </c>
      <c r="J53" s="114">
        <f t="shared" si="3"/>
        <v>0</v>
      </c>
      <c r="K53" s="114">
        <f t="shared" si="4"/>
        <v>46889334.859999999</v>
      </c>
      <c r="L53" s="187">
        <f t="shared" si="5"/>
        <v>0.17831823985787898</v>
      </c>
      <c r="M53" s="184">
        <f t="shared" si="6"/>
        <v>202916114.94986022</v>
      </c>
      <c r="N53" s="184">
        <f t="shared" ca="1" si="7"/>
        <v>40583222.98997204</v>
      </c>
      <c r="O53" s="180">
        <f t="shared" si="8"/>
        <v>216063770.20301074</v>
      </c>
      <c r="P53" s="180">
        <f t="shared" ca="1" si="9"/>
        <v>43212754.040602148</v>
      </c>
      <c r="Q53" s="185">
        <f t="shared" si="10"/>
        <v>216063770.20301074</v>
      </c>
      <c r="R53" s="185">
        <f t="shared" ca="1" si="11"/>
        <v>43212754.040602148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437151614.40455902</v>
      </c>
      <c r="I54" s="114">
        <f t="shared" si="2"/>
        <v>42720135.969465002</v>
      </c>
      <c r="J54" s="114">
        <f t="shared" si="3"/>
        <v>142801315.51987499</v>
      </c>
      <c r="K54" s="114">
        <f t="shared" si="4"/>
        <v>622673065.89389896</v>
      </c>
      <c r="L54" s="187">
        <f t="shared" si="5"/>
        <v>0.85688347664714104</v>
      </c>
      <c r="M54" s="184">
        <f t="shared" si="6"/>
        <v>67665152.452673316</v>
      </c>
      <c r="N54" s="184">
        <f t="shared" ca="1" si="7"/>
        <v>13533030.490534663</v>
      </c>
      <c r="O54" s="180">
        <f t="shared" si="8"/>
        <v>103998742.89196658</v>
      </c>
      <c r="P54" s="180">
        <f t="shared" ca="1" si="9"/>
        <v>20799748.578393318</v>
      </c>
      <c r="Q54" s="185">
        <f t="shared" si="10"/>
        <v>103998742.89196658</v>
      </c>
      <c r="R54" s="185">
        <f t="shared" ca="1" si="11"/>
        <v>20799748.578393318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4173423.4199979999</v>
      </c>
      <c r="I55" s="114">
        <f t="shared" si="2"/>
        <v>30250983.5</v>
      </c>
      <c r="J55" s="114">
        <f t="shared" si="3"/>
        <v>199157658.6392</v>
      </c>
      <c r="K55" s="114">
        <f t="shared" si="4"/>
        <v>233582065.55919799</v>
      </c>
      <c r="L55" s="187">
        <f t="shared" si="5"/>
        <v>0.43481316257019165</v>
      </c>
      <c r="M55" s="184">
        <f t="shared" si="6"/>
        <v>276758884.03295338</v>
      </c>
      <c r="N55" s="184">
        <f t="shared" ca="1" si="7"/>
        <v>55351776.806590676</v>
      </c>
      <c r="O55" s="180">
        <f t="shared" si="8"/>
        <v>303618934.0114876</v>
      </c>
      <c r="P55" s="180">
        <f t="shared" ca="1" si="9"/>
        <v>60723786.802297518</v>
      </c>
      <c r="Q55" s="185">
        <f t="shared" si="10"/>
        <v>303618934.0114876</v>
      </c>
      <c r="R55" s="185">
        <f t="shared" ca="1" si="11"/>
        <v>60723786.802297518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183815526.976354</v>
      </c>
      <c r="I56" s="114">
        <f t="shared" si="2"/>
        <v>46626385.219940998</v>
      </c>
      <c r="J56" s="114">
        <f t="shared" si="3"/>
        <v>137495154.28817099</v>
      </c>
      <c r="K56" s="114">
        <f t="shared" si="4"/>
        <v>367937066.48446596</v>
      </c>
      <c r="L56" s="187">
        <f t="shared" si="5"/>
        <v>0.63995066292096792</v>
      </c>
      <c r="M56" s="184">
        <f t="shared" si="6"/>
        <v>178261622.59074152</v>
      </c>
      <c r="N56" s="184">
        <f t="shared" ca="1" si="7"/>
        <v>35652324.518148303</v>
      </c>
      <c r="O56" s="180">
        <f t="shared" si="8"/>
        <v>207008922.01575243</v>
      </c>
      <c r="P56" s="180">
        <f t="shared" ca="1" si="9"/>
        <v>41401784.403150484</v>
      </c>
      <c r="Q56" s="185">
        <f t="shared" si="10"/>
        <v>207008922.01575243</v>
      </c>
      <c r="R56" s="185">
        <f t="shared" ca="1" si="11"/>
        <v>41401784.403150484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465821952.54762101</v>
      </c>
      <c r="I57" s="114">
        <f t="shared" si="2"/>
        <v>51819828.479924001</v>
      </c>
      <c r="J57" s="114">
        <f t="shared" si="3"/>
        <v>299276352.78941</v>
      </c>
      <c r="K57" s="114">
        <f t="shared" si="4"/>
        <v>816918133.81695509</v>
      </c>
      <c r="L57" s="187">
        <f t="shared" si="5"/>
        <v>0.73650366896541852</v>
      </c>
      <c r="M57" s="184">
        <f t="shared" si="6"/>
        <v>236806728.4315542</v>
      </c>
      <c r="N57" s="184">
        <f t="shared" ca="1" si="7"/>
        <v>47361345.686310843</v>
      </c>
      <c r="O57" s="180">
        <f t="shared" si="8"/>
        <v>292265931.70779157</v>
      </c>
      <c r="P57" s="180">
        <f t="shared" ca="1" si="9"/>
        <v>58453186.341558315</v>
      </c>
      <c r="Q57" s="185">
        <f t="shared" si="10"/>
        <v>292265931.70779157</v>
      </c>
      <c r="R57" s="185">
        <f t="shared" ca="1" si="11"/>
        <v>58453186.341558315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241361191.13532299</v>
      </c>
      <c r="I58" s="114">
        <f t="shared" si="2"/>
        <v>63404429.039943002</v>
      </c>
      <c r="J58" s="114">
        <f t="shared" si="3"/>
        <v>176031885.582169</v>
      </c>
      <c r="K58" s="114">
        <f t="shared" si="4"/>
        <v>480797505.75743496</v>
      </c>
      <c r="L58" s="187">
        <f t="shared" si="5"/>
        <v>0.78231772104937491</v>
      </c>
      <c r="M58" s="184">
        <f t="shared" si="6"/>
        <v>103054320.9107424</v>
      </c>
      <c r="N58" s="184">
        <f t="shared" ca="1" si="7"/>
        <v>20610864.182148479</v>
      </c>
      <c r="O58" s="180">
        <f t="shared" si="8"/>
        <v>133783364.41959393</v>
      </c>
      <c r="P58" s="180">
        <f t="shared" ca="1" si="9"/>
        <v>26756672.883918785</v>
      </c>
      <c r="Q58" s="185">
        <f t="shared" si="10"/>
        <v>133783364.41959393</v>
      </c>
      <c r="R58" s="185">
        <f t="shared" ca="1" si="11"/>
        <v>26756672.883918785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215561847.16</v>
      </c>
      <c r="I59" s="114">
        <f t="shared" si="2"/>
        <v>0</v>
      </c>
      <c r="J59" s="114">
        <f t="shared" si="3"/>
        <v>0</v>
      </c>
      <c r="K59" s="114">
        <f t="shared" si="4"/>
        <v>215561847.16</v>
      </c>
      <c r="L59" s="187">
        <f t="shared" si="5"/>
        <v>0.48566732521621037</v>
      </c>
      <c r="M59" s="184">
        <f t="shared" si="6"/>
        <v>206092532.63759902</v>
      </c>
      <c r="N59" s="184">
        <f t="shared" ca="1" si="7"/>
        <v>41218506.527519807</v>
      </c>
      <c r="O59" s="180">
        <f t="shared" si="8"/>
        <v>228284868.41642001</v>
      </c>
      <c r="P59" s="180">
        <f t="shared" ca="1" si="9"/>
        <v>45656973.683284</v>
      </c>
      <c r="Q59" s="185">
        <f t="shared" si="10"/>
        <v>228284868.41642001</v>
      </c>
      <c r="R59" s="185">
        <f t="shared" ca="1" si="11"/>
        <v>45656973.683284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283697018.83984798</v>
      </c>
      <c r="I60" s="114">
        <f t="shared" si="2"/>
        <v>80203472.886524007</v>
      </c>
      <c r="J60" s="114">
        <f t="shared" si="3"/>
        <v>93333896.788552999</v>
      </c>
      <c r="K60" s="114">
        <f t="shared" si="4"/>
        <v>457234388.514925</v>
      </c>
      <c r="L60" s="187">
        <f t="shared" si="5"/>
        <v>0.78944281138664696</v>
      </c>
      <c r="M60" s="184">
        <f t="shared" si="6"/>
        <v>92992509.271639466</v>
      </c>
      <c r="N60" s="184">
        <f t="shared" ca="1" si="7"/>
        <v>18598501.854327895</v>
      </c>
      <c r="O60" s="180">
        <f t="shared" si="8"/>
        <v>121951819.68145871</v>
      </c>
      <c r="P60" s="180">
        <f t="shared" ca="1" si="9"/>
        <v>24390363.936291743</v>
      </c>
      <c r="Q60" s="185">
        <f t="shared" si="10"/>
        <v>121951819.68145871</v>
      </c>
      <c r="R60" s="185">
        <f t="shared" ca="1" si="11"/>
        <v>24390363.936291743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420220553.48265302</v>
      </c>
      <c r="I61" s="114">
        <f t="shared" si="2"/>
        <v>57722998.644919001</v>
      </c>
      <c r="J61" s="114">
        <f t="shared" si="3"/>
        <v>189249443.53988701</v>
      </c>
      <c r="K61" s="114">
        <f t="shared" si="4"/>
        <v>667192995.66745901</v>
      </c>
      <c r="L61" s="187">
        <f t="shared" si="5"/>
        <v>0.93106293312094301</v>
      </c>
      <c r="M61" s="184">
        <f t="shared" si="6"/>
        <v>13570165.808063388</v>
      </c>
      <c r="N61" s="184">
        <f t="shared" ca="1" si="7"/>
        <v>2714033.1616126774</v>
      </c>
      <c r="O61" s="180">
        <f t="shared" si="8"/>
        <v>49399805.885722518</v>
      </c>
      <c r="P61" s="180">
        <f t="shared" ca="1" si="9"/>
        <v>9879961.1771445032</v>
      </c>
      <c r="Q61" s="185">
        <f t="shared" si="10"/>
        <v>49399805.885722518</v>
      </c>
      <c r="R61" s="185">
        <f t="shared" ca="1" si="11"/>
        <v>9879961.1771445032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129114514.549408</v>
      </c>
      <c r="I62" s="114">
        <f t="shared" si="2"/>
        <v>37038940.117797002</v>
      </c>
      <c r="J62" s="114">
        <f t="shared" si="3"/>
        <v>181176342.72703999</v>
      </c>
      <c r="K62" s="114">
        <f t="shared" si="4"/>
        <v>347329797.39424503</v>
      </c>
      <c r="L62" s="187">
        <f t="shared" si="5"/>
        <v>0.72811920988983281</v>
      </c>
      <c r="M62" s="184">
        <f t="shared" si="6"/>
        <v>105842297.2885164</v>
      </c>
      <c r="N62" s="184">
        <f t="shared" ca="1" si="7"/>
        <v>21168459.457703281</v>
      </c>
      <c r="O62" s="180">
        <f t="shared" si="8"/>
        <v>129693460.16655648</v>
      </c>
      <c r="P62" s="180">
        <f t="shared" ca="1" si="9"/>
        <v>25938692.033311296</v>
      </c>
      <c r="Q62" s="185">
        <f t="shared" si="10"/>
        <v>129693460.16655648</v>
      </c>
      <c r="R62" s="185">
        <f t="shared" ca="1" si="11"/>
        <v>25938692.033311296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426130063.79518402</v>
      </c>
      <c r="I63" s="114">
        <f t="shared" si="2"/>
        <v>281504998.24590999</v>
      </c>
      <c r="J63" s="114">
        <f t="shared" si="3"/>
        <v>248507610.975813</v>
      </c>
      <c r="K63" s="114">
        <f t="shared" si="4"/>
        <v>956142673.0169071</v>
      </c>
      <c r="L63" s="187">
        <f t="shared" si="5"/>
        <v>0.97667831388779225</v>
      </c>
      <c r="M63" s="184">
        <f t="shared" si="6"/>
        <v>-26117375.587790966</v>
      </c>
      <c r="N63" s="184">
        <f t="shared" ca="1" si="7"/>
        <v>-5223475.1175581934</v>
      </c>
      <c r="O63" s="180">
        <f t="shared" si="8"/>
        <v>22831324.276899457</v>
      </c>
      <c r="P63" s="180">
        <f t="shared" ca="1" si="9"/>
        <v>4566264.8553798916</v>
      </c>
      <c r="Q63" s="185">
        <f t="shared" si="10"/>
        <v>22831324.276899457</v>
      </c>
      <c r="R63" s="185">
        <f t="shared" ca="1" si="11"/>
        <v>4566264.8553798916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110983515.806016</v>
      </c>
      <c r="I64" s="114">
        <f t="shared" si="2"/>
        <v>147015841.732555</v>
      </c>
      <c r="J64" s="114">
        <f t="shared" si="3"/>
        <v>161714051.56884199</v>
      </c>
      <c r="K64" s="114">
        <f t="shared" si="4"/>
        <v>419713409.10741299</v>
      </c>
      <c r="L64" s="187">
        <f t="shared" si="5"/>
        <v>0.78171393898775088</v>
      </c>
      <c r="M64" s="184">
        <f t="shared" si="6"/>
        <v>90355196.255258203</v>
      </c>
      <c r="N64" s="184">
        <f t="shared" ca="1" si="7"/>
        <v>18071039.251051642</v>
      </c>
      <c r="O64" s="180">
        <f t="shared" si="8"/>
        <v>117200912.32697779</v>
      </c>
      <c r="P64" s="180">
        <f t="shared" ca="1" si="9"/>
        <v>23440182.465395559</v>
      </c>
      <c r="Q64" s="185">
        <f t="shared" si="10"/>
        <v>117200912.32697779</v>
      </c>
      <c r="R64" s="185">
        <f t="shared" ca="1" si="11"/>
        <v>23440182.465395559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3403989688.2226486</v>
      </c>
      <c r="I65" s="135">
        <f t="shared" si="12"/>
        <v>974588489.65190494</v>
      </c>
      <c r="J65" s="135">
        <f t="shared" si="12"/>
        <v>2299948046.8379369</v>
      </c>
      <c r="K65" s="135">
        <f t="shared" si="12"/>
        <v>6678526224.7124891</v>
      </c>
      <c r="L65" s="189">
        <f t="shared" si="5"/>
        <v>0.75395712414373617</v>
      </c>
      <c r="M65" s="181">
        <f>SUM(M51:M64)</f>
        <v>1736541038.8038306</v>
      </c>
      <c r="N65" s="181">
        <f t="shared" ca="1" si="7"/>
        <v>347308207.76076615</v>
      </c>
      <c r="O65" s="181">
        <f>SUM(O51:O64)</f>
        <v>2179439315.8310056</v>
      </c>
      <c r="P65" s="181">
        <f t="shared" ca="1" si="9"/>
        <v>435887863.16620111</v>
      </c>
      <c r="Q65" s="186">
        <f>SUM(Q51:Q64)</f>
        <v>2179439315.8310056</v>
      </c>
      <c r="R65" s="186">
        <f t="shared" ca="1" si="11"/>
        <v>435887863.16620111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186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239090594.19514599</v>
      </c>
      <c r="F69" s="187">
        <f t="shared" ref="F69:F74" si="13">IFERROR(E69/D69,0)</f>
        <v>0.93300914553362835</v>
      </c>
      <c r="G69" s="184">
        <f>D69*$H$40-E69</f>
        <v>4354033.9445703924</v>
      </c>
      <c r="H69" s="184">
        <f t="shared" ref="H69:H74" ca="1" si="14">IFERROR(G69/$C$3,0)</f>
        <v>870806.7889140785</v>
      </c>
      <c r="I69" s="204">
        <f>D69*$J$40-E69</f>
        <v>17166909.109818637</v>
      </c>
      <c r="J69" s="204">
        <f t="shared" ref="J69:J74" ca="1" si="15">IFERROR(I69/$C$3,0)</f>
        <v>3433381.8219637275</v>
      </c>
      <c r="K69" s="185">
        <f>D69*$L$40-E69</f>
        <v>17166909.109818637</v>
      </c>
      <c r="L69" s="185">
        <f t="shared" ref="L69:L74" ca="1" si="16">IFERROR(K69/$C$3,0)</f>
        <v>3433381.8219637275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427130336.43894702</v>
      </c>
      <c r="F70" s="187">
        <f t="shared" si="13"/>
        <v>1.0690059908260372</v>
      </c>
      <c r="G70" s="184">
        <f>D70*$H$40-E70</f>
        <v>-47549844.749230683</v>
      </c>
      <c r="H70" s="184">
        <f t="shared" ca="1" si="14"/>
        <v>-9509968.9498461373</v>
      </c>
      <c r="I70" s="204">
        <f>D70*$J$40-E70</f>
        <v>-27571924.13398242</v>
      </c>
      <c r="J70" s="204">
        <f t="shared" ca="1" si="15"/>
        <v>-5514384.8267964842</v>
      </c>
      <c r="K70" s="185">
        <f>D70*$L$40-E70</f>
        <v>-27571924.13398242</v>
      </c>
      <c r="L70" s="185">
        <f t="shared" ca="1" si="16"/>
        <v>-5514384.8267964842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948476673.30109191</v>
      </c>
      <c r="F71" s="187">
        <f t="shared" si="13"/>
        <v>0.87448668999667478</v>
      </c>
      <c r="G71" s="184">
        <f>D71*$H$40-E71</f>
        <v>81902462.188624382</v>
      </c>
      <c r="H71" s="184">
        <f t="shared" ca="1" si="14"/>
        <v>16380492.437724877</v>
      </c>
      <c r="I71" s="204">
        <f>D71*$J$40-E71</f>
        <v>136132943.00387263</v>
      </c>
      <c r="J71" s="204">
        <f t="shared" ca="1" si="15"/>
        <v>27226588.600774527</v>
      </c>
      <c r="K71" s="185">
        <f>D71*$L$40-E71</f>
        <v>136132943.00387263</v>
      </c>
      <c r="L71" s="185">
        <f t="shared" ca="1" si="16"/>
        <v>27226588.600774527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1614697603.935185</v>
      </c>
      <c r="F74" s="177">
        <f t="shared" si="13"/>
        <v>0.92776023697987398</v>
      </c>
      <c r="G74" s="181">
        <f>SUM(G69:G73)</f>
        <v>38706651.383964092</v>
      </c>
      <c r="H74" s="181">
        <f t="shared" ca="1" si="14"/>
        <v>7741330.2767928187</v>
      </c>
      <c r="I74" s="186">
        <f>SUM(I69:I73)</f>
        <v>125727927.97970885</v>
      </c>
      <c r="J74" s="186">
        <f t="shared" ca="1" si="15"/>
        <v>25145585.595941771</v>
      </c>
      <c r="K74" s="186">
        <f>SUM(K69:K73)</f>
        <v>125727927.97970885</v>
      </c>
      <c r="L74" s="186">
        <f t="shared" ca="1" si="16"/>
        <v>25145585.595941771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343488851.45986003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149304519.81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7"/>
        <v>7027026.8399999999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359312587.47977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222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226</v>
      </c>
      <c r="D85" s="131">
        <f t="shared" si="17"/>
        <v>64092612.359999999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952267556.879969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278739195.65947998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7"/>
        <v>11975945.619999999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49513514.579999998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534549561.39945602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141725852.38993299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18820757.1204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151542165.31800002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3062360146.9168677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72" t="s">
        <v>163</v>
      </c>
      <c r="C40" s="273"/>
      <c r="D40" s="274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186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72" t="s">
        <v>175</v>
      </c>
      <c r="C40" s="273"/>
      <c r="D40" s="274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186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72" t="s">
        <v>177</v>
      </c>
      <c r="C40" s="273"/>
      <c r="D40" s="274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186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2026-09-25T00:59:22Z</dcterms:modified>
  <dc:language>en-US</dc:language>
</cp:coreProperties>
</file>