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<sst xmlns="http://schemas.openxmlformats.org/spreadsheetml/2006/main" count="2117" uniqueCount="228">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</sst>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B1" zoomScale="73" zoomScaleNormal="73" workbookViewId="0">
      <selection activeCell="D17" sqref="D1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16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90465097.389457002</v>
      </c>
      <c r="D10" s="234">
        <v>20944050.82</v>
      </c>
      <c r="E10" s="234">
        <v>83709000.253910005</v>
      </c>
      <c r="F10" s="234">
        <v>70576712.069966003</v>
      </c>
      <c r="G10" s="234">
        <v>265694860.533333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3750000</v>
      </c>
      <c r="D11" s="234">
        <v>8173668</v>
      </c>
      <c r="E11" s="234">
        <v>124887387.99950001</v>
      </c>
      <c r="F11" s="234" t="s">
        <v>165</v>
      </c>
      <c r="G11" s="234">
        <v>136811055.99950001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87927404.296865001</v>
      </c>
      <c r="D12" s="234">
        <v>46810267.45149</v>
      </c>
      <c r="E12" s="234">
        <v>64584785.079810999</v>
      </c>
      <c r="F12" s="234">
        <v>34989283.75</v>
      </c>
      <c r="G12" s="234">
        <v>234311740.57816601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16816680.42481</v>
      </c>
      <c r="D13" s="234">
        <v>10857800.079988001</v>
      </c>
      <c r="E13" s="234">
        <v>96492433.349796996</v>
      </c>
      <c r="F13" s="234">
        <v>23539329.489999998</v>
      </c>
      <c r="G13" s="234">
        <v>147706243.34459499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216211066.54874799</v>
      </c>
      <c r="D14" s="234">
        <v>21781667.005913999</v>
      </c>
      <c r="E14" s="234">
        <v>80153855.929943994</v>
      </c>
      <c r="F14" s="234">
        <v>174709642.90987501</v>
      </c>
      <c r="G14" s="234">
        <v>492856232.394481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492038424.70114303</v>
      </c>
      <c r="D15" s="234">
        <v>3060767.4569959999</v>
      </c>
      <c r="E15" s="234">
        <v>30690917.85997</v>
      </c>
      <c r="F15" s="234">
        <v>11200000.32</v>
      </c>
      <c r="G15" s="234">
        <v>536990110.33810902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202909288.52531099</v>
      </c>
      <c r="D16" s="234">
        <v>22161819.63998</v>
      </c>
      <c r="E16" s="234">
        <v>153219279.709703</v>
      </c>
      <c r="F16" s="234">
        <v>446419095.06998199</v>
      </c>
      <c r="G16" s="234">
        <v>824709482.94497597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57296138.647610001</v>
      </c>
      <c r="D17" s="234">
        <v>9978337.7908999994</v>
      </c>
      <c r="E17" s="234">
        <v>43291371.869258001</v>
      </c>
      <c r="F17" s="234">
        <v>23000000.5</v>
      </c>
      <c r="G17" s="234">
        <v>133565848.807768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8335580</v>
      </c>
      <c r="D18" s="234">
        <v>88602544.295750007</v>
      </c>
      <c r="E18" s="234">
        <v>34074001.5</v>
      </c>
      <c r="F18" s="234">
        <v>54670271.420000002</v>
      </c>
      <c r="G18" s="234">
        <v>185682397.21575001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7128958.96</v>
      </c>
      <c r="D19" s="234" t="s">
        <v>165</v>
      </c>
      <c r="E19" s="234" t="s">
        <v>165</v>
      </c>
      <c r="F19" s="234">
        <v>2198198.14</v>
      </c>
      <c r="G19" s="234">
        <v>9327157.0999999996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74419869.560000002</v>
      </c>
      <c r="D20" s="234" t="s">
        <v>165</v>
      </c>
      <c r="E20" s="234" t="s">
        <v>165</v>
      </c>
      <c r="F20" s="234">
        <v>5723693.54</v>
      </c>
      <c r="G20" s="234">
        <v>80143563.099999994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131955015.304013</v>
      </c>
      <c r="D21" s="234">
        <v>27491961.544973999</v>
      </c>
      <c r="E21" s="234">
        <v>73171648.789895996</v>
      </c>
      <c r="F21" s="234">
        <v>195859849.49992001</v>
      </c>
      <c r="G21" s="234">
        <v>428478475.13880301</v>
      </c>
      <c r="H21" s="111"/>
      <c r="I21" s="111"/>
      <c r="J21" s="111"/>
      <c r="M21" s="14">
        <f>SUM(C33,C34)+M20</f>
        <v>264937331.65099001</v>
      </c>
      <c r="N21" s="10" t="s">
        <v>224</v>
      </c>
    </row>
    <row r="22" spans="2:15" ht="15" customHeight="1" x14ac:dyDescent="0.25">
      <c r="B22" s="72" t="s">
        <v>125</v>
      </c>
      <c r="C22" s="234">
        <v>112429542.756111</v>
      </c>
      <c r="D22" s="234">
        <v>36086093.799973004</v>
      </c>
      <c r="E22" s="234">
        <v>91954325.497528002</v>
      </c>
      <c r="F22" s="234">
        <v>146008228.63973001</v>
      </c>
      <c r="G22" s="234">
        <v>386478190.69334197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230276351.96849599</v>
      </c>
      <c r="D23" s="234">
        <v>31105916.244963001</v>
      </c>
      <c r="E23" s="234">
        <v>103293334.36991701</v>
      </c>
      <c r="F23" s="234">
        <v>270778557.89970303</v>
      </c>
      <c r="G23" s="234">
        <v>635454160.48307896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105250806.02646799</v>
      </c>
      <c r="D24" s="234">
        <v>24274459.509978998</v>
      </c>
      <c r="E24" s="234">
        <v>84552008.768277004</v>
      </c>
      <c r="F24" s="234">
        <v>27923423.170000002</v>
      </c>
      <c r="G24" s="234">
        <v>242000697.47472399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132173249.01884601</v>
      </c>
      <c r="D25" s="234">
        <v>46302273.721727997</v>
      </c>
      <c r="E25" s="234">
        <v>49505757.005854003</v>
      </c>
      <c r="F25" s="234">
        <v>20000000.43</v>
      </c>
      <c r="G25" s="234">
        <v>247981280.17642799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236825245.38513801</v>
      </c>
      <c r="D26" s="234">
        <v>150942202.70816001</v>
      </c>
      <c r="E26" s="234">
        <v>126208925.25759999</v>
      </c>
      <c r="F26" s="234">
        <v>7660216.3833999997</v>
      </c>
      <c r="G26" s="234">
        <v>521636589.73429799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103000858.655599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73731814.289717004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64693415.257090002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200243916.39390001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227</v>
      </c>
      <c r="C40" s="260"/>
      <c r="D40" s="261"/>
      <c r="E40" s="66" t="s">
        <v>137</v>
      </c>
      <c r="F40" s="174">
        <f ca="1">IF(MONTH(TODAY())=9,DAY(TODAY())/DAY(EOMONTH(TODAY(),0)),IF(MONTH(TODAY())&gt;9,1,0))</f>
        <v>0.4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1714170294.8118732</v>
      </c>
      <c r="F42" s="176">
        <f>IFERROR(E42/D42,0)</f>
        <v>0.37993164613933511</v>
      </c>
      <c r="G42" s="184">
        <f>D42*$H$40-E42</f>
        <v>2797615738.8875227</v>
      </c>
      <c r="H42" s="184">
        <f ca="1">IFERROR(G42/$C$3,0)</f>
        <v>174850983.68047017</v>
      </c>
      <c r="I42" s="204">
        <f>D42*$J$40-E42</f>
        <v>2797615738.8875227</v>
      </c>
      <c r="J42" s="204">
        <f ca="1">IFERROR(I42/$C$3,0)</f>
        <v>174850983.68047017</v>
      </c>
      <c r="K42" s="185">
        <f>D42*$L$40-E42</f>
        <v>2797615738.8875227</v>
      </c>
      <c r="L42" s="185">
        <f ca="1">IFERROR(K42/$C$3,0)</f>
        <v>174850983.68047017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545513062.61379898</v>
      </c>
      <c r="F43" s="176">
        <f>IFERROR(E43/D43,0)</f>
        <v>0.38927256049542291</v>
      </c>
      <c r="G43" s="184">
        <f>D43*$H$40-E43</f>
        <v>855852247.90161598</v>
      </c>
      <c r="H43" s="184">
        <f ca="1">IFERROR(G43/$C$3,0)</f>
        <v>53490765.493850999</v>
      </c>
      <c r="I43" s="204">
        <f>D43*$J$40-E43</f>
        <v>855852247.90161598</v>
      </c>
      <c r="J43" s="204">
        <f ca="1">IFERROR(I43/$C$3,0)</f>
        <v>53490765.493850999</v>
      </c>
      <c r="K43" s="185">
        <f>D43*$L$40-E43</f>
        <v>855852247.90161598</v>
      </c>
      <c r="L43" s="185">
        <f ca="1">IFERROR(K43/$C$3,0)</f>
        <v>53490765.493850999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1209098115.380995</v>
      </c>
      <c r="F44" s="176">
        <f>IFERROR(E44/D44,0)</f>
        <v>0.41058553605466308</v>
      </c>
      <c r="G44" s="184">
        <f>IF(D44=0,0,D44*$H$40-E44)</f>
        <v>1735716080.9476902</v>
      </c>
      <c r="H44" s="184">
        <f ca="1">IFERROR(G44/$C$3,0)</f>
        <v>108482255.05923064</v>
      </c>
      <c r="I44" s="204">
        <f>IF(D44=0,0,D44*$J$40-E44)</f>
        <v>1735716080.9476902</v>
      </c>
      <c r="J44" s="204">
        <f ca="1">IFERROR(I44/$C$3,0)</f>
        <v>108482255.05923064</v>
      </c>
      <c r="K44" s="185">
        <f>IF(D44=0,0,D44*$L$40-E44)</f>
        <v>1735716080.9476902</v>
      </c>
      <c r="L44" s="185">
        <f ca="1">IFERROR(K44/$C$3,0)</f>
        <v>108482255.05923064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441670004.59630603</v>
      </c>
      <c r="F45" s="176">
        <f>IFERROR(E45/D45,0)</f>
        <v>0.25377127403455235</v>
      </c>
      <c r="G45" s="184">
        <f>D45*$H$40-E45</f>
        <v>1298755527.3185875</v>
      </c>
      <c r="H45" s="184">
        <f ca="1">IFERROR(G45/$C$3,0)</f>
        <v>81172220.457411721</v>
      </c>
      <c r="I45" s="204">
        <f>D45*$J$40-E45</f>
        <v>1298755527.3185875</v>
      </c>
      <c r="J45" s="204">
        <f ca="1">IFERROR(I45/$C$3,0)</f>
        <v>81172220.457411721</v>
      </c>
      <c r="K45" s="185">
        <f>D45*$L$40-E45</f>
        <v>1298755527.3185875</v>
      </c>
      <c r="L45" s="185">
        <f ca="1">IFERROR(K45/$C$3,0)</f>
        <v>81172220.457411721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3910451477.4029732</v>
      </c>
      <c r="F46" s="177">
        <f>IFERROR(E46/D46,0)</f>
        <v>0.36896652054715218</v>
      </c>
      <c r="G46" s="181">
        <f>SUM(G42:G45)</f>
        <v>6687939595.0554161</v>
      </c>
      <c r="H46" s="181">
        <f ca="1">IFERROR(G46/$C$3,0)</f>
        <v>417996224.69096351</v>
      </c>
      <c r="I46" s="186">
        <f>SUM(I42:I45)</f>
        <v>6687939595.0554161</v>
      </c>
      <c r="J46" s="186">
        <f ca="1">IFERROR(I46/$C$3,0)</f>
        <v>417996224.69096351</v>
      </c>
      <c r="K46" s="186">
        <f>SUM(K42:K45)</f>
        <v>6687939595.0554161</v>
      </c>
      <c r="L46" s="186">
        <f ca="1">IFERROR(K46/$C$3,0)</f>
        <v>417996224.69096351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131955015.304013</v>
      </c>
      <c r="I51" s="114">
        <f t="shared" ref="I51:I64" si="1">SUMIF($B$10:$B$26,$T51,D$10:D$26)+SUMIF($B$10:$B$26,$U51,D$10:D$26)</f>
        <v>27491961.544973999</v>
      </c>
      <c r="J51" s="114">
        <f t="shared" ref="J51:J64" si="2">SUMIF($B$10:$B$26,$T51,E$10:E$26)+SUMIF($B$10:$B$26,$U51,E$10:E$26)</f>
        <v>73171648.789895996</v>
      </c>
      <c r="K51" s="114">
        <f t="shared" ref="K51:K64" si="3">SUM(H51:J51)</f>
        <v>232618625.63888299</v>
      </c>
      <c r="L51" s="187">
        <f t="shared" ref="L51:L65" si="4">IFERROR(K51/G51,0)</f>
        <v>0.45224205776070425</v>
      </c>
      <c r="M51" s="184">
        <f t="shared" ref="M51:M64" si="5">G51*$H$40-K51</f>
        <v>281748894.2479316</v>
      </c>
      <c r="N51" s="184">
        <f t="shared" ref="N51:N65" ca="1" si="6">IFERROR(M51/$C$3,0)</f>
        <v>17609305.890495725</v>
      </c>
      <c r="O51" s="180">
        <f t="shared" ref="O51:O64" si="7">G51*$J$40-K51</f>
        <v>281748894.2479316</v>
      </c>
      <c r="P51" s="180">
        <f t="shared" ref="P51:P65" ca="1" si="8">IFERROR(O51/$C$3,0)</f>
        <v>17609305.890495725</v>
      </c>
      <c r="Q51" s="185">
        <f t="shared" ref="Q51:Q64" si="9">G51*$L$40-K51</f>
        <v>281748894.2479316</v>
      </c>
      <c r="R51" s="185">
        <f t="shared" ref="R51:R65" ca="1" si="10">IFERROR(Q51/$C$3,0)</f>
        <v>17609305.890495725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104744084.72167501</v>
      </c>
      <c r="I52" s="114">
        <f t="shared" si="1"/>
        <v>57668067.531478003</v>
      </c>
      <c r="J52" s="114">
        <f t="shared" si="2"/>
        <v>161077218.42960799</v>
      </c>
      <c r="K52" s="114">
        <f t="shared" si="3"/>
        <v>323489370.68276101</v>
      </c>
      <c r="L52" s="187">
        <f t="shared" si="4"/>
        <v>0.41181354040812546</v>
      </c>
      <c r="M52" s="184">
        <f t="shared" si="5"/>
        <v>462034510.73738056</v>
      </c>
      <c r="N52" s="184">
        <f t="shared" ca="1" si="6"/>
        <v>28877156.921086285</v>
      </c>
      <c r="O52" s="180">
        <f t="shared" si="7"/>
        <v>462034510.73738056</v>
      </c>
      <c r="P52" s="180">
        <f t="shared" ca="1" si="8"/>
        <v>28877156.921086285</v>
      </c>
      <c r="Q52" s="185">
        <f t="shared" si="9"/>
        <v>462034510.73738056</v>
      </c>
      <c r="R52" s="185">
        <f t="shared" ca="1" si="10"/>
        <v>28877156.921086285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7128958.96</v>
      </c>
      <c r="I53" s="114">
        <f t="shared" si="1"/>
        <v>0</v>
      </c>
      <c r="J53" s="114">
        <f t="shared" si="2"/>
        <v>0</v>
      </c>
      <c r="K53" s="114">
        <f t="shared" si="3"/>
        <v>7128958.96</v>
      </c>
      <c r="L53" s="187">
        <f t="shared" si="4"/>
        <v>2.7111141959292349E-2</v>
      </c>
      <c r="M53" s="184">
        <f t="shared" si="5"/>
        <v>255824146.10301074</v>
      </c>
      <c r="N53" s="184">
        <f t="shared" ca="1" si="6"/>
        <v>15989009.131438171</v>
      </c>
      <c r="O53" s="180">
        <f t="shared" si="7"/>
        <v>255824146.10301074</v>
      </c>
      <c r="P53" s="180">
        <f t="shared" ca="1" si="8"/>
        <v>15989009.131438171</v>
      </c>
      <c r="Q53" s="185">
        <f t="shared" si="9"/>
        <v>255824146.10301074</v>
      </c>
      <c r="R53" s="185">
        <f t="shared" ca="1" si="10"/>
        <v>15989009.131438171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216211066.54874799</v>
      </c>
      <c r="I54" s="114">
        <f t="shared" si="1"/>
        <v>21781667.005913999</v>
      </c>
      <c r="J54" s="114">
        <f t="shared" si="2"/>
        <v>80153855.929943994</v>
      </c>
      <c r="K54" s="114">
        <f t="shared" si="3"/>
        <v>318146589.48460597</v>
      </c>
      <c r="L54" s="187">
        <f t="shared" si="4"/>
        <v>0.43781330944456232</v>
      </c>
      <c r="M54" s="184">
        <f t="shared" si="5"/>
        <v>408525219.30125958</v>
      </c>
      <c r="N54" s="184">
        <f t="shared" ca="1" si="6"/>
        <v>25532826.206328724</v>
      </c>
      <c r="O54" s="180">
        <f t="shared" si="7"/>
        <v>408525219.30125958</v>
      </c>
      <c r="P54" s="180">
        <f t="shared" ca="1" si="8"/>
        <v>25532826.206328724</v>
      </c>
      <c r="Q54" s="185">
        <f t="shared" si="9"/>
        <v>408525219.30125958</v>
      </c>
      <c r="R54" s="185">
        <f t="shared" ca="1" si="10"/>
        <v>25532826.206328724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3750000</v>
      </c>
      <c r="I55" s="114">
        <f t="shared" si="1"/>
        <v>8173668</v>
      </c>
      <c r="J55" s="114">
        <f t="shared" si="2"/>
        <v>124887387.99950001</v>
      </c>
      <c r="K55" s="114">
        <f t="shared" si="3"/>
        <v>136811055.99950001</v>
      </c>
      <c r="L55" s="187">
        <f t="shared" si="4"/>
        <v>0.25467386715370066</v>
      </c>
      <c r="M55" s="184">
        <f t="shared" si="5"/>
        <v>400389943.57118559</v>
      </c>
      <c r="N55" s="184">
        <f t="shared" ca="1" si="6"/>
        <v>25024371.473199099</v>
      </c>
      <c r="O55" s="180">
        <f t="shared" si="7"/>
        <v>400389943.57118559</v>
      </c>
      <c r="P55" s="180">
        <f t="shared" ca="1" si="8"/>
        <v>25024371.473199099</v>
      </c>
      <c r="Q55" s="185">
        <f t="shared" si="9"/>
        <v>400389943.57118559</v>
      </c>
      <c r="R55" s="185">
        <f t="shared" ca="1" si="10"/>
        <v>25024371.473199099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105250806.02646799</v>
      </c>
      <c r="I56" s="114">
        <f t="shared" si="1"/>
        <v>24274459.509978998</v>
      </c>
      <c r="J56" s="114">
        <f t="shared" si="2"/>
        <v>84552008.768277004</v>
      </c>
      <c r="K56" s="114">
        <f t="shared" si="3"/>
        <v>214077274.30472398</v>
      </c>
      <c r="L56" s="187">
        <f t="shared" si="4"/>
        <v>0.37234327847587489</v>
      </c>
      <c r="M56" s="184">
        <f t="shared" si="5"/>
        <v>360868714.19549441</v>
      </c>
      <c r="N56" s="184">
        <f t="shared" ca="1" si="6"/>
        <v>22554294.637218401</v>
      </c>
      <c r="O56" s="180">
        <f t="shared" si="7"/>
        <v>360868714.19549441</v>
      </c>
      <c r="P56" s="180">
        <f t="shared" ca="1" si="8"/>
        <v>22554294.637218401</v>
      </c>
      <c r="Q56" s="185">
        <f t="shared" si="9"/>
        <v>360868714.19549441</v>
      </c>
      <c r="R56" s="185">
        <f t="shared" ca="1" si="10"/>
        <v>22554294.637218401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202909288.52531099</v>
      </c>
      <c r="I57" s="114">
        <f t="shared" si="1"/>
        <v>22161819.63998</v>
      </c>
      <c r="J57" s="114">
        <f t="shared" si="2"/>
        <v>153219279.709703</v>
      </c>
      <c r="K57" s="114">
        <f t="shared" si="3"/>
        <v>378290387.87499398</v>
      </c>
      <c r="L57" s="187">
        <f t="shared" si="4"/>
        <v>0.34105285103967631</v>
      </c>
      <c r="M57" s="184">
        <f t="shared" si="5"/>
        <v>730893677.64975262</v>
      </c>
      <c r="N57" s="184">
        <f t="shared" ca="1" si="6"/>
        <v>45680854.853109539</v>
      </c>
      <c r="O57" s="180">
        <f t="shared" si="7"/>
        <v>730893677.64975262</v>
      </c>
      <c r="P57" s="180">
        <f t="shared" ca="1" si="8"/>
        <v>45680854.853109539</v>
      </c>
      <c r="Q57" s="185">
        <f t="shared" si="9"/>
        <v>730893677.64975262</v>
      </c>
      <c r="R57" s="185">
        <f t="shared" ca="1" si="10"/>
        <v>45680854.853109539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112429542.756111</v>
      </c>
      <c r="I58" s="114">
        <f t="shared" si="1"/>
        <v>36086093.799973004</v>
      </c>
      <c r="J58" s="114">
        <f t="shared" si="2"/>
        <v>91954325.497528002</v>
      </c>
      <c r="K58" s="114">
        <f t="shared" si="3"/>
        <v>240469962.05361199</v>
      </c>
      <c r="L58" s="187">
        <f t="shared" si="4"/>
        <v>0.39127472676516123</v>
      </c>
      <c r="M58" s="184">
        <f t="shared" si="5"/>
        <v>374110908.1234169</v>
      </c>
      <c r="N58" s="184">
        <f t="shared" ca="1" si="6"/>
        <v>23381931.757713556</v>
      </c>
      <c r="O58" s="180">
        <f t="shared" si="7"/>
        <v>374110908.1234169</v>
      </c>
      <c r="P58" s="180">
        <f t="shared" ca="1" si="8"/>
        <v>23381931.757713556</v>
      </c>
      <c r="Q58" s="185">
        <f t="shared" si="9"/>
        <v>374110908.1234169</v>
      </c>
      <c r="R58" s="185">
        <f t="shared" ca="1" si="10"/>
        <v>23381931.757713556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74419869.560000002</v>
      </c>
      <c r="I59" s="114">
        <f t="shared" si="1"/>
        <v>0</v>
      </c>
      <c r="J59" s="114">
        <f t="shared" si="2"/>
        <v>0</v>
      </c>
      <c r="K59" s="114">
        <f t="shared" si="3"/>
        <v>74419869.560000002</v>
      </c>
      <c r="L59" s="187">
        <f t="shared" si="4"/>
        <v>0.16767020448343645</v>
      </c>
      <c r="M59" s="184">
        <f t="shared" si="5"/>
        <v>369426846.01642001</v>
      </c>
      <c r="N59" s="184">
        <f t="shared" ca="1" si="6"/>
        <v>23089177.87602625</v>
      </c>
      <c r="O59" s="180">
        <f t="shared" si="7"/>
        <v>369426846.01642001</v>
      </c>
      <c r="P59" s="180">
        <f t="shared" ca="1" si="8"/>
        <v>23089177.87602625</v>
      </c>
      <c r="Q59" s="185">
        <f t="shared" si="9"/>
        <v>369426846.01642001</v>
      </c>
      <c r="R59" s="185">
        <f t="shared" ca="1" si="10"/>
        <v>23089177.87602625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132173249.01884601</v>
      </c>
      <c r="I60" s="114">
        <f t="shared" si="1"/>
        <v>46302273.721727997</v>
      </c>
      <c r="J60" s="114">
        <f t="shared" si="2"/>
        <v>49505757.005854003</v>
      </c>
      <c r="K60" s="114">
        <f t="shared" si="3"/>
        <v>227981279.74642801</v>
      </c>
      <c r="L60" s="187">
        <f t="shared" si="4"/>
        <v>0.3936234608492728</v>
      </c>
      <c r="M60" s="184">
        <f t="shared" si="5"/>
        <v>351204928.4499557</v>
      </c>
      <c r="N60" s="184">
        <f t="shared" ca="1" si="6"/>
        <v>21950308.028122231</v>
      </c>
      <c r="O60" s="180">
        <f t="shared" si="7"/>
        <v>351204928.4499557</v>
      </c>
      <c r="P60" s="180">
        <f t="shared" ca="1" si="8"/>
        <v>21950308.028122231</v>
      </c>
      <c r="Q60" s="185">
        <f t="shared" si="9"/>
        <v>351204928.4499557</v>
      </c>
      <c r="R60" s="185">
        <f t="shared" ca="1" si="10"/>
        <v>21950308.028122231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230276351.96849599</v>
      </c>
      <c r="I61" s="114">
        <f t="shared" si="1"/>
        <v>31105916.244963001</v>
      </c>
      <c r="J61" s="114">
        <f t="shared" si="2"/>
        <v>103293334.36991701</v>
      </c>
      <c r="K61" s="114">
        <f t="shared" si="3"/>
        <v>364675602.58337599</v>
      </c>
      <c r="L61" s="187">
        <f t="shared" si="4"/>
        <v>0.50890212934452961</v>
      </c>
      <c r="M61" s="184">
        <f t="shared" si="5"/>
        <v>351917198.96980554</v>
      </c>
      <c r="N61" s="184">
        <f t="shared" ca="1" si="6"/>
        <v>21994824.935612846</v>
      </c>
      <c r="O61" s="180">
        <f t="shared" si="7"/>
        <v>351917198.96980554</v>
      </c>
      <c r="P61" s="180">
        <f t="shared" ca="1" si="8"/>
        <v>21994824.935612846</v>
      </c>
      <c r="Q61" s="185">
        <f t="shared" si="9"/>
        <v>351917198.96980554</v>
      </c>
      <c r="R61" s="185">
        <f t="shared" ca="1" si="10"/>
        <v>21994824.935612846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90465097.389457002</v>
      </c>
      <c r="I62" s="114">
        <f t="shared" si="1"/>
        <v>20944050.82</v>
      </c>
      <c r="J62" s="114">
        <f t="shared" si="2"/>
        <v>83709000.253910005</v>
      </c>
      <c r="K62" s="114">
        <f t="shared" si="3"/>
        <v>195118148.46336702</v>
      </c>
      <c r="L62" s="187">
        <f t="shared" si="4"/>
        <v>0.40903277852966574</v>
      </c>
      <c r="M62" s="184">
        <f t="shared" si="5"/>
        <v>281905109.09743452</v>
      </c>
      <c r="N62" s="184">
        <f t="shared" ca="1" si="6"/>
        <v>17619069.318589658</v>
      </c>
      <c r="O62" s="180">
        <f t="shared" si="7"/>
        <v>281905109.09743452</v>
      </c>
      <c r="P62" s="180">
        <f t="shared" ca="1" si="8"/>
        <v>17619069.318589658</v>
      </c>
      <c r="Q62" s="185">
        <f t="shared" si="9"/>
        <v>281905109.09743452</v>
      </c>
      <c r="R62" s="185">
        <f t="shared" ca="1" si="10"/>
        <v>17619069.318589658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236825245.38513801</v>
      </c>
      <c r="I63" s="114">
        <f t="shared" si="1"/>
        <v>150942202.70816001</v>
      </c>
      <c r="J63" s="114">
        <f t="shared" si="2"/>
        <v>126208925.25759999</v>
      </c>
      <c r="K63" s="114">
        <f t="shared" si="3"/>
        <v>513976373.35089803</v>
      </c>
      <c r="L63" s="187">
        <f t="shared" si="4"/>
        <v>0.52501534746754375</v>
      </c>
      <c r="M63" s="184">
        <f t="shared" si="5"/>
        <v>464997623.94290853</v>
      </c>
      <c r="N63" s="184">
        <f t="shared" ca="1" si="6"/>
        <v>29062351.496431783</v>
      </c>
      <c r="O63" s="180">
        <f t="shared" si="7"/>
        <v>464997623.94290853</v>
      </c>
      <c r="P63" s="180">
        <f t="shared" ca="1" si="8"/>
        <v>29062351.496431783</v>
      </c>
      <c r="Q63" s="185">
        <f t="shared" si="9"/>
        <v>464997623.94290853</v>
      </c>
      <c r="R63" s="185">
        <f t="shared" ca="1" si="10"/>
        <v>29062351.496431783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65631718.647610001</v>
      </c>
      <c r="I64" s="114">
        <f t="shared" si="1"/>
        <v>98580882.086650014</v>
      </c>
      <c r="J64" s="114">
        <f t="shared" si="2"/>
        <v>77365373.369258001</v>
      </c>
      <c r="K64" s="114">
        <f t="shared" si="3"/>
        <v>241577974.10351801</v>
      </c>
      <c r="L64" s="187">
        <f t="shared" si="4"/>
        <v>0.44993766129786139</v>
      </c>
      <c r="M64" s="184">
        <f t="shared" si="5"/>
        <v>295336347.33087277</v>
      </c>
      <c r="N64" s="184">
        <f t="shared" ca="1" si="6"/>
        <v>18458521.708179548</v>
      </c>
      <c r="O64" s="180">
        <f t="shared" si="7"/>
        <v>295336347.33087277</v>
      </c>
      <c r="P64" s="180">
        <f t="shared" ca="1" si="8"/>
        <v>18458521.708179548</v>
      </c>
      <c r="Q64" s="185">
        <f t="shared" si="9"/>
        <v>295336347.33087277</v>
      </c>
      <c r="R64" s="185">
        <f t="shared" ca="1" si="10"/>
        <v>18458521.708179548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1714170294.8118732</v>
      </c>
      <c r="I65" s="135">
        <f t="shared" si="12"/>
        <v>545513062.61379898</v>
      </c>
      <c r="J65" s="135">
        <f t="shared" si="12"/>
        <v>1209098115.380995</v>
      </c>
      <c r="K65" s="135">
        <f t="shared" si="12"/>
        <v>3468781472.8066669</v>
      </c>
      <c r="L65" s="189">
        <f t="shared" si="4"/>
        <v>0.39160024465322474</v>
      </c>
      <c r="M65" s="181">
        <f>SUM(M51:M64)</f>
        <v>5389184067.7368279</v>
      </c>
      <c r="N65" s="181">
        <f t="shared" ca="1" si="6"/>
        <v>336824004.23355174</v>
      </c>
      <c r="O65" s="181">
        <f>SUM(O51:O64)</f>
        <v>5389184067.7368279</v>
      </c>
      <c r="P65" s="181">
        <f t="shared" ca="1" si="8"/>
        <v>336824004.23355174</v>
      </c>
      <c r="Q65" s="186">
        <f>SUM(Q51:Q64)</f>
        <v>5389184067.7368279</v>
      </c>
      <c r="R65" s="186">
        <f t="shared" ca="1" si="10"/>
        <v>336824004.23355174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103000858.655599</v>
      </c>
      <c r="F69" s="187">
        <f t="shared" ref="F69:F74" si="13">IFERROR(E69/D69,0)</f>
        <v>0.40194280099974539</v>
      </c>
      <c r="G69" s="184">
        <f>D69*$H$40-E69</f>
        <v>153256644.64936563</v>
      </c>
      <c r="H69" s="184">
        <f t="shared" ref="H69:H74" ca="1" si="14">IFERROR(G69/$C$3,0)</f>
        <v>9578540.2905853521</v>
      </c>
      <c r="I69" s="204">
        <f>D69*$J$40-E69</f>
        <v>153256644.64936563</v>
      </c>
      <c r="J69" s="204">
        <f t="shared" ref="J69:J74" ca="1" si="15">IFERROR(I69/$C$3,0)</f>
        <v>9578540.2905853521</v>
      </c>
      <c r="K69" s="185">
        <f>D69*$L$40-E69</f>
        <v>153256644.64936563</v>
      </c>
      <c r="L69" s="185">
        <f t="shared" ref="L69:L74" ca="1" si="16">IFERROR(K69/$C$3,0)</f>
        <v>9578540.2905853521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73731814.289717004</v>
      </c>
      <c r="F70" s="187">
        <f t="shared" si="13"/>
        <v>0.18453325476086058</v>
      </c>
      <c r="G70" s="184">
        <f>D70*$H$40-E70</f>
        <v>325826598.01524758</v>
      </c>
      <c r="H70" s="184">
        <f t="shared" ca="1" si="14"/>
        <v>20364162.375952974</v>
      </c>
      <c r="I70" s="204">
        <f>D70*$J$40-E70</f>
        <v>325826598.01524758</v>
      </c>
      <c r="J70" s="204">
        <f t="shared" ca="1" si="15"/>
        <v>20364162.375952974</v>
      </c>
      <c r="K70" s="185">
        <f>D70*$L$40-E70</f>
        <v>325826598.01524758</v>
      </c>
      <c r="L70" s="185">
        <f t="shared" ca="1" si="16"/>
        <v>20364162.375952974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264937331.65099001</v>
      </c>
      <c r="F71" s="187">
        <f t="shared" si="13"/>
        <v>0.24426976090584135</v>
      </c>
      <c r="G71" s="184">
        <f>D71*$H$40-E71</f>
        <v>819672284.65397453</v>
      </c>
      <c r="H71" s="184">
        <f t="shared" ca="1" si="14"/>
        <v>51229517.790873408</v>
      </c>
      <c r="I71" s="204">
        <f>D71*$J$40-E71</f>
        <v>819672284.65397453</v>
      </c>
      <c r="J71" s="204">
        <f t="shared" ca="1" si="15"/>
        <v>51229517.790873408</v>
      </c>
      <c r="K71" s="185">
        <f>D71*$L$40-E71</f>
        <v>819672284.65397453</v>
      </c>
      <c r="L71" s="185">
        <f t="shared" ca="1" si="16"/>
        <v>51229517.790873408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441670004.59630603</v>
      </c>
      <c r="F74" s="177">
        <f t="shared" si="13"/>
        <v>0.25377127403455235</v>
      </c>
      <c r="G74" s="181">
        <f>SUM(G69:G73)</f>
        <v>1298755527.3185878</v>
      </c>
      <c r="H74" s="181">
        <f t="shared" ca="1" si="14"/>
        <v>81172220.457411736</v>
      </c>
      <c r="I74" s="186">
        <f>SUM(I69:I73)</f>
        <v>1298755527.3185878</v>
      </c>
      <c r="J74" s="186">
        <f t="shared" ca="1" si="15"/>
        <v>81172220.457411736</v>
      </c>
      <c r="K74" s="186">
        <f>SUM(K69:K73)</f>
        <v>1298755527.3185878</v>
      </c>
      <c r="L74" s="186">
        <f t="shared" ca="1" si="16"/>
        <v>81172220.457411736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195859849.49992001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58528613.239999995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174709642.90987501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27923423.170000002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446419095.06998199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146008228.63973001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20000000.43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270778557.89970303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70576712.069966003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7660216.3833999997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77670271.920000002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1504056502.9125762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2026-09-12T00:48:54Z</dcterms:modified>
  <dc:language>en-US</dc:language>
</cp:coreProperties>
</file>