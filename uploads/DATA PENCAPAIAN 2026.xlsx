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1" i="14" l="1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45" i="14"/>
  <c r="K45" i="14" s="1"/>
  <c r="G45" i="14"/>
  <c r="I45" i="14"/>
  <c r="D44" i="14"/>
  <c r="D43" i="14"/>
  <c r="M20" i="14"/>
  <c r="M21" i="14" s="1"/>
  <c r="E46" i="14" s="1"/>
  <c r="O7" i="14"/>
  <c r="O8" i="14"/>
  <c r="J52" i="14" s="1"/>
  <c r="O9" i="14"/>
  <c r="O10" i="14"/>
  <c r="J55" i="14" s="1"/>
  <c r="O11" i="14"/>
  <c r="J56" i="14" s="1"/>
  <c r="O12" i="14"/>
  <c r="J57" i="14" s="1"/>
  <c r="O13" i="14"/>
  <c r="J58" i="14" s="1"/>
  <c r="O14" i="14"/>
  <c r="J59" i="14" s="1"/>
  <c r="O15" i="14"/>
  <c r="J61" i="14" s="1"/>
  <c r="O16" i="14"/>
  <c r="J62" i="14" s="1"/>
  <c r="O17" i="14"/>
  <c r="O18" i="14"/>
  <c r="O19" i="14"/>
  <c r="N7" i="14"/>
  <c r="N8" i="14"/>
  <c r="N9" i="14"/>
  <c r="N10" i="14"/>
  <c r="N11" i="14"/>
  <c r="N12" i="14"/>
  <c r="N13" i="14"/>
  <c r="N14" i="14"/>
  <c r="N15" i="14"/>
  <c r="I61" i="14" s="1"/>
  <c r="N16" i="14"/>
  <c r="N17" i="14"/>
  <c r="N18" i="14"/>
  <c r="N19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E66" i="14"/>
  <c r="I60" i="14"/>
  <c r="I54" i="14"/>
  <c r="K54" i="14" s="1"/>
  <c r="H60" i="14"/>
  <c r="H54" i="14"/>
  <c r="J53" i="14"/>
  <c r="J54" i="14"/>
  <c r="J60" i="14"/>
  <c r="J63" i="14"/>
  <c r="J64" i="14"/>
  <c r="J65" i="14"/>
  <c r="F52" i="14"/>
  <c r="F66" i="14" s="1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45" i="13"/>
  <c r="I45" i="13" s="1"/>
  <c r="K45" i="13"/>
  <c r="D44" i="13"/>
  <c r="D43" i="13"/>
  <c r="M21" i="13"/>
  <c r="E46" i="13" s="1"/>
  <c r="M20" i="13"/>
  <c r="O7" i="13"/>
  <c r="O8" i="13"/>
  <c r="J52" i="13" s="1"/>
  <c r="O9" i="13"/>
  <c r="J53" i="13" s="1"/>
  <c r="O10" i="13"/>
  <c r="O11" i="13"/>
  <c r="J56" i="13" s="1"/>
  <c r="O12" i="13"/>
  <c r="O13" i="13"/>
  <c r="J58" i="13" s="1"/>
  <c r="O14" i="13"/>
  <c r="O15" i="13"/>
  <c r="O16" i="13"/>
  <c r="O17" i="13"/>
  <c r="O18" i="13"/>
  <c r="O19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M7" i="13"/>
  <c r="M8" i="13"/>
  <c r="M9" i="13"/>
  <c r="M10" i="13"/>
  <c r="M11" i="13"/>
  <c r="M12" i="13"/>
  <c r="M13" i="13"/>
  <c r="M14" i="13"/>
  <c r="M15" i="13"/>
  <c r="H61" i="13" s="1"/>
  <c r="M16" i="13"/>
  <c r="M17" i="13"/>
  <c r="M18" i="13"/>
  <c r="M19" i="13"/>
  <c r="I60" i="13"/>
  <c r="I54" i="13"/>
  <c r="H60" i="13"/>
  <c r="H54" i="13"/>
  <c r="K60" i="13"/>
  <c r="J54" i="13"/>
  <c r="J55" i="13"/>
  <c r="J57" i="13"/>
  <c r="J59" i="13"/>
  <c r="J60" i="13"/>
  <c r="J61" i="13"/>
  <c r="J62" i="13"/>
  <c r="J63" i="13"/>
  <c r="J64" i="13"/>
  <c r="J65" i="13"/>
  <c r="F52" i="13"/>
  <c r="F53" i="13"/>
  <c r="F54" i="13"/>
  <c r="F55" i="13"/>
  <c r="F56" i="13"/>
  <c r="F66" i="13" s="1"/>
  <c r="F57" i="13"/>
  <c r="F58" i="13"/>
  <c r="F59" i="13"/>
  <c r="F60" i="13"/>
  <c r="F61" i="13"/>
  <c r="F62" i="13"/>
  <c r="F63" i="13"/>
  <c r="F64" i="13"/>
  <c r="F65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45" i="12"/>
  <c r="G45" i="12" s="1"/>
  <c r="D44" i="12"/>
  <c r="D43" i="12"/>
  <c r="M20" i="12"/>
  <c r="M21" i="12" s="1"/>
  <c r="E46" i="12" s="1"/>
  <c r="O7" i="12"/>
  <c r="O8" i="12"/>
  <c r="O9" i="12"/>
  <c r="O10" i="12"/>
  <c r="J55" i="12" s="1"/>
  <c r="O11" i="12"/>
  <c r="J56" i="12" s="1"/>
  <c r="O12" i="12"/>
  <c r="J57" i="12" s="1"/>
  <c r="O13" i="12"/>
  <c r="J58" i="12" s="1"/>
  <c r="O14" i="12"/>
  <c r="J59" i="12" s="1"/>
  <c r="O15" i="12"/>
  <c r="O16" i="12"/>
  <c r="O17" i="12"/>
  <c r="O18" i="12"/>
  <c r="J64" i="12" s="1"/>
  <c r="O19" i="12"/>
  <c r="N7" i="12"/>
  <c r="N8" i="12"/>
  <c r="N9" i="12"/>
  <c r="I53" i="12" s="1"/>
  <c r="N10" i="12"/>
  <c r="N11" i="12"/>
  <c r="N12" i="12"/>
  <c r="N13" i="12"/>
  <c r="N14" i="12"/>
  <c r="N15" i="12"/>
  <c r="N16" i="12"/>
  <c r="N17" i="12"/>
  <c r="N18" i="12"/>
  <c r="N19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I60" i="12"/>
  <c r="K60" i="12" s="1"/>
  <c r="I54" i="12"/>
  <c r="H60" i="12"/>
  <c r="H54" i="12"/>
  <c r="J52" i="12"/>
  <c r="J53" i="12"/>
  <c r="J54" i="12"/>
  <c r="J60" i="12"/>
  <c r="J61" i="12"/>
  <c r="J62" i="12"/>
  <c r="J63" i="12"/>
  <c r="J65" i="12"/>
  <c r="F52" i="12"/>
  <c r="F53" i="12"/>
  <c r="F54" i="12"/>
  <c r="F66" i="12" s="1"/>
  <c r="F55" i="12"/>
  <c r="F56" i="12"/>
  <c r="F57" i="12"/>
  <c r="F58" i="12"/>
  <c r="F59" i="12"/>
  <c r="F60" i="12"/>
  <c r="F61" i="12"/>
  <c r="F62" i="12"/>
  <c r="F63" i="12"/>
  <c r="F64" i="12"/>
  <c r="F65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45" i="11"/>
  <c r="K45" i="11" s="1"/>
  <c r="G45" i="11"/>
  <c r="I45" i="11"/>
  <c r="D44" i="11"/>
  <c r="D43" i="11"/>
  <c r="M20" i="11"/>
  <c r="M21" i="11" s="1"/>
  <c r="E46" i="11" s="1"/>
  <c r="O7" i="11"/>
  <c r="O8" i="11"/>
  <c r="J52" i="11" s="1"/>
  <c r="O9" i="11"/>
  <c r="J53" i="11" s="1"/>
  <c r="O10" i="11"/>
  <c r="J55" i="11" s="1"/>
  <c r="O11" i="11"/>
  <c r="J56" i="11" s="1"/>
  <c r="O12" i="11"/>
  <c r="O13" i="11"/>
  <c r="J58" i="11" s="1"/>
  <c r="O14" i="11"/>
  <c r="O15" i="11"/>
  <c r="J61" i="11" s="1"/>
  <c r="O16" i="11"/>
  <c r="J62" i="11" s="1"/>
  <c r="O17" i="11"/>
  <c r="O18" i="11"/>
  <c r="O19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I60" i="11"/>
  <c r="I54" i="11"/>
  <c r="K54" i="11" s="1"/>
  <c r="H60" i="11"/>
  <c r="K60" i="11" s="1"/>
  <c r="H54" i="11"/>
  <c r="J54" i="11"/>
  <c r="J57" i="11"/>
  <c r="J59" i="11"/>
  <c r="J60" i="11"/>
  <c r="J63" i="11"/>
  <c r="J64" i="11"/>
  <c r="J65" i="11"/>
  <c r="F52" i="11"/>
  <c r="F66" i="11" s="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45" i="10"/>
  <c r="E66" i="10"/>
  <c r="I60" i="10"/>
  <c r="I54" i="10"/>
  <c r="H60" i="10"/>
  <c r="H54" i="10"/>
  <c r="J54" i="10"/>
  <c r="J60" i="10"/>
  <c r="J6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M20" i="10"/>
  <c r="M21" i="10" s="1"/>
  <c r="E46" i="10" s="1"/>
  <c r="O7" i="10"/>
  <c r="O8" i="10"/>
  <c r="J52" i="10" s="1"/>
  <c r="O9" i="10"/>
  <c r="J53" i="10" s="1"/>
  <c r="O10" i="10"/>
  <c r="J55" i="10" s="1"/>
  <c r="O11" i="10"/>
  <c r="J56" i="10" s="1"/>
  <c r="O12" i="10"/>
  <c r="J57" i="10" s="1"/>
  <c r="O13" i="10"/>
  <c r="J58" i="10" s="1"/>
  <c r="O14" i="10"/>
  <c r="J59" i="10" s="1"/>
  <c r="O15" i="10"/>
  <c r="O16" i="10"/>
  <c r="J62" i="10" s="1"/>
  <c r="O17" i="10"/>
  <c r="J63" i="10" s="1"/>
  <c r="O18" i="10"/>
  <c r="J64" i="10" s="1"/>
  <c r="O19" i="10"/>
  <c r="J65" i="10" s="1"/>
  <c r="N7" i="10"/>
  <c r="N8" i="10"/>
  <c r="N9" i="10"/>
  <c r="I53" i="10" s="1"/>
  <c r="N10" i="10"/>
  <c r="N11" i="10"/>
  <c r="I56" i="10" s="1"/>
  <c r="N12" i="10"/>
  <c r="N13" i="10"/>
  <c r="I58" i="10" s="1"/>
  <c r="N14" i="10"/>
  <c r="N15" i="10"/>
  <c r="I61" i="10" s="1"/>
  <c r="K61" i="10" s="1"/>
  <c r="N16" i="10"/>
  <c r="N17" i="10"/>
  <c r="I63" i="10" s="1"/>
  <c r="N18" i="10"/>
  <c r="N19" i="10"/>
  <c r="I65" i="10" s="1"/>
  <c r="M7" i="10"/>
  <c r="M8" i="10"/>
  <c r="H52" i="10" s="1"/>
  <c r="M9" i="10"/>
  <c r="M10" i="10"/>
  <c r="M11" i="10"/>
  <c r="M12" i="10"/>
  <c r="H57" i="10" s="1"/>
  <c r="M13" i="10"/>
  <c r="M14" i="10"/>
  <c r="H59" i="10" s="1"/>
  <c r="M15" i="10"/>
  <c r="M16" i="10"/>
  <c r="H62" i="10" s="1"/>
  <c r="M17" i="10"/>
  <c r="M18" i="10"/>
  <c r="H64" i="10" s="1"/>
  <c r="M19" i="10"/>
  <c r="E3" i="14"/>
  <c r="J2" i="14" s="1"/>
  <c r="C3" i="14"/>
  <c r="H45" i="14" s="1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50" i="14"/>
  <c r="N50" i="14"/>
  <c r="O50" i="14"/>
  <c r="P50" i="14"/>
  <c r="Q50" i="14"/>
  <c r="R50" i="14"/>
  <c r="G69" i="14"/>
  <c r="H69" i="14"/>
  <c r="I69" i="14"/>
  <c r="J69" i="14"/>
  <c r="K69" i="14"/>
  <c r="L69" i="14"/>
  <c r="G42" i="14"/>
  <c r="H42" i="14"/>
  <c r="I42" i="14"/>
  <c r="J42" i="14"/>
  <c r="K42" i="14"/>
  <c r="L42" i="14"/>
  <c r="M50" i="13"/>
  <c r="N50" i="13"/>
  <c r="O50" i="13"/>
  <c r="P50" i="13"/>
  <c r="Q50" i="13"/>
  <c r="R50" i="13"/>
  <c r="G69" i="13"/>
  <c r="H69" i="13"/>
  <c r="I69" i="13"/>
  <c r="J69" i="13"/>
  <c r="K69" i="13"/>
  <c r="L69" i="13"/>
  <c r="G42" i="13"/>
  <c r="H42" i="13"/>
  <c r="I42" i="13"/>
  <c r="J42" i="13"/>
  <c r="K42" i="13"/>
  <c r="L42" i="13"/>
  <c r="M50" i="12"/>
  <c r="N50" i="12"/>
  <c r="O50" i="12"/>
  <c r="P50" i="12"/>
  <c r="Q50" i="12"/>
  <c r="R50" i="12"/>
  <c r="G69" i="12"/>
  <c r="H69" i="12"/>
  <c r="I69" i="12"/>
  <c r="J69" i="12"/>
  <c r="K69" i="12"/>
  <c r="L69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50" i="11"/>
  <c r="N50" i="11"/>
  <c r="O50" i="11"/>
  <c r="P50" i="11"/>
  <c r="Q50" i="11"/>
  <c r="R50" i="11"/>
  <c r="M50" i="10"/>
  <c r="N50" i="10"/>
  <c r="O50" i="10"/>
  <c r="P50" i="10"/>
  <c r="Q50" i="10"/>
  <c r="R50" i="10"/>
  <c r="G69" i="11"/>
  <c r="H69" i="11"/>
  <c r="I69" i="11"/>
  <c r="J69" i="11"/>
  <c r="K69" i="11"/>
  <c r="L69" i="11"/>
  <c r="G42" i="11"/>
  <c r="H42" i="11"/>
  <c r="I42" i="11"/>
  <c r="J42" i="11"/>
  <c r="K42" i="11"/>
  <c r="L42" i="11"/>
  <c r="G69" i="10"/>
  <c r="H69" i="10"/>
  <c r="I69" i="10"/>
  <c r="J69" i="10"/>
  <c r="K69" i="10"/>
  <c r="L69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I65" i="14"/>
  <c r="H65" i="14"/>
  <c r="K65" i="14" s="1"/>
  <c r="H64" i="14"/>
  <c r="I63" i="14"/>
  <c r="H63" i="14"/>
  <c r="I62" i="14"/>
  <c r="H62" i="14"/>
  <c r="H61" i="14"/>
  <c r="I59" i="14"/>
  <c r="H59" i="14"/>
  <c r="I58" i="14"/>
  <c r="H58" i="14"/>
  <c r="I57" i="14"/>
  <c r="H57" i="14"/>
  <c r="K57" i="14" s="1"/>
  <c r="I56" i="14"/>
  <c r="H56" i="14"/>
  <c r="K56" i="14" s="1"/>
  <c r="I55" i="14"/>
  <c r="H55" i="14"/>
  <c r="I53" i="14"/>
  <c r="H53" i="14"/>
  <c r="K53" i="14" s="1"/>
  <c r="I52" i="14"/>
  <c r="H52" i="14"/>
  <c r="I64" i="14"/>
  <c r="I65" i="13"/>
  <c r="H65" i="13"/>
  <c r="K65" i="13" s="1"/>
  <c r="H64" i="13"/>
  <c r="K64" i="13" s="1"/>
  <c r="I63" i="13"/>
  <c r="H63" i="13"/>
  <c r="K63" i="13" s="1"/>
  <c r="I62" i="13"/>
  <c r="H62" i="13"/>
  <c r="K62" i="13" s="1"/>
  <c r="I61" i="13"/>
  <c r="I59" i="13"/>
  <c r="H59" i="13"/>
  <c r="K59" i="13" s="1"/>
  <c r="I58" i="13"/>
  <c r="H58" i="13"/>
  <c r="I57" i="13"/>
  <c r="H57" i="13"/>
  <c r="I56" i="13"/>
  <c r="H56" i="13"/>
  <c r="I55" i="13"/>
  <c r="H55" i="13"/>
  <c r="K55" i="13" s="1"/>
  <c r="I53" i="13"/>
  <c r="H53" i="13"/>
  <c r="I52" i="13"/>
  <c r="I66" i="13" s="1"/>
  <c r="E44" i="13" s="1"/>
  <c r="H52" i="13"/>
  <c r="I64" i="13"/>
  <c r="I65" i="12"/>
  <c r="H65" i="12"/>
  <c r="K65" i="12" s="1"/>
  <c r="I64" i="12"/>
  <c r="H64" i="12"/>
  <c r="I63" i="12"/>
  <c r="H63" i="12"/>
  <c r="K63" i="12" s="1"/>
  <c r="I62" i="12"/>
  <c r="H62" i="12"/>
  <c r="K62" i="12" s="1"/>
  <c r="I61" i="12"/>
  <c r="H61" i="12"/>
  <c r="K61" i="12" s="1"/>
  <c r="I59" i="12"/>
  <c r="H59" i="12"/>
  <c r="H58" i="12"/>
  <c r="I57" i="12"/>
  <c r="H57" i="12"/>
  <c r="I56" i="12"/>
  <c r="H56" i="12"/>
  <c r="K56" i="12" s="1"/>
  <c r="I55" i="12"/>
  <c r="H55" i="12"/>
  <c r="H53" i="12"/>
  <c r="I52" i="12"/>
  <c r="H52" i="12"/>
  <c r="I58" i="12"/>
  <c r="I65" i="11"/>
  <c r="H65" i="11"/>
  <c r="K65" i="11" s="1"/>
  <c r="I64" i="11"/>
  <c r="H64" i="11"/>
  <c r="I63" i="11"/>
  <c r="H63" i="11"/>
  <c r="K63" i="11" s="1"/>
  <c r="I62" i="11"/>
  <c r="H62" i="11"/>
  <c r="I61" i="11"/>
  <c r="H61" i="11"/>
  <c r="I59" i="11"/>
  <c r="H59" i="11"/>
  <c r="I58" i="11"/>
  <c r="H58" i="11"/>
  <c r="K58" i="11" s="1"/>
  <c r="I57" i="11"/>
  <c r="H57" i="11"/>
  <c r="K57" i="11" s="1"/>
  <c r="I56" i="11"/>
  <c r="H56" i="11"/>
  <c r="K56" i="11" s="1"/>
  <c r="I55" i="11"/>
  <c r="H55" i="11"/>
  <c r="I53" i="11"/>
  <c r="H53" i="11"/>
  <c r="I52" i="11"/>
  <c r="H52" i="11"/>
  <c r="H66" i="11" s="1"/>
  <c r="E43" i="11" s="1"/>
  <c r="H65" i="10"/>
  <c r="I64" i="10"/>
  <c r="H63" i="10"/>
  <c r="I62" i="10"/>
  <c r="H61" i="10"/>
  <c r="I59" i="10"/>
  <c r="H58" i="10"/>
  <c r="I57" i="10"/>
  <c r="H56" i="10"/>
  <c r="K56" i="10" s="1"/>
  <c r="I55" i="10"/>
  <c r="H55" i="10"/>
  <c r="K55" i="10" s="1"/>
  <c r="H53" i="10"/>
  <c r="I52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62" i="10" l="1"/>
  <c r="K60" i="10"/>
  <c r="K59" i="10"/>
  <c r="K63" i="10"/>
  <c r="K54" i="10"/>
  <c r="K58" i="10"/>
  <c r="I66" i="10"/>
  <c r="E44" i="10" s="1"/>
  <c r="J66" i="10"/>
  <c r="E45" i="10" s="1"/>
  <c r="I45" i="10" s="1"/>
  <c r="J45" i="10" s="1"/>
  <c r="H66" i="10"/>
  <c r="E43" i="10" s="1"/>
  <c r="K53" i="10"/>
  <c r="K57" i="10"/>
  <c r="K64" i="10"/>
  <c r="K65" i="10"/>
  <c r="G45" i="10"/>
  <c r="H45" i="10" s="1"/>
  <c r="K52" i="10"/>
  <c r="F66" i="10"/>
  <c r="K61" i="14"/>
  <c r="K60" i="14"/>
  <c r="K64" i="14"/>
  <c r="I66" i="14"/>
  <c r="E44" i="14" s="1"/>
  <c r="K63" i="14"/>
  <c r="K62" i="14"/>
  <c r="H66" i="14"/>
  <c r="E43" i="14" s="1"/>
  <c r="E47" i="14" s="1"/>
  <c r="K58" i="14"/>
  <c r="J66" i="14"/>
  <c r="E45" i="14" s="1"/>
  <c r="F45" i="14" s="1"/>
  <c r="K56" i="13"/>
  <c r="H66" i="13"/>
  <c r="E43" i="13" s="1"/>
  <c r="K57" i="13"/>
  <c r="K54" i="13"/>
  <c r="K61" i="13"/>
  <c r="K53" i="13"/>
  <c r="K57" i="12"/>
  <c r="H66" i="12"/>
  <c r="E43" i="12" s="1"/>
  <c r="K64" i="12"/>
  <c r="K54" i="12"/>
  <c r="K61" i="11"/>
  <c r="I66" i="11"/>
  <c r="E44" i="11" s="1"/>
  <c r="K62" i="11"/>
  <c r="K53" i="11"/>
  <c r="K59" i="11"/>
  <c r="K64" i="11"/>
  <c r="J45" i="11"/>
  <c r="H45" i="11"/>
  <c r="L45" i="14"/>
  <c r="L45" i="11"/>
  <c r="H45" i="12"/>
  <c r="L45" i="13"/>
  <c r="J45" i="13"/>
  <c r="E47" i="11"/>
  <c r="K58" i="12"/>
  <c r="K58" i="13"/>
  <c r="K59" i="12"/>
  <c r="K55" i="14"/>
  <c r="I66" i="12"/>
  <c r="E44" i="12" s="1"/>
  <c r="J66" i="12"/>
  <c r="E45" i="12" s="1"/>
  <c r="F45" i="12" s="1"/>
  <c r="K53" i="12"/>
  <c r="K59" i="14"/>
  <c r="K55" i="11"/>
  <c r="K55" i="12"/>
  <c r="J66" i="11"/>
  <c r="E45" i="11" s="1"/>
  <c r="F45" i="11" s="1"/>
  <c r="J66" i="13"/>
  <c r="E45" i="13" s="1"/>
  <c r="F45" i="13" s="1"/>
  <c r="K52" i="12"/>
  <c r="G45" i="13"/>
  <c r="H45" i="13" s="1"/>
  <c r="J45" i="14"/>
  <c r="K45" i="12"/>
  <c r="L45" i="12" s="1"/>
  <c r="I45" i="12"/>
  <c r="J45" i="12" s="1"/>
  <c r="K52" i="13"/>
  <c r="K52" i="11"/>
  <c r="K52" i="14"/>
  <c r="D94" i="9"/>
  <c r="D84" i="8"/>
  <c r="D94" i="8" s="1"/>
  <c r="K45" i="10" l="1"/>
  <c r="L45" i="10" s="1"/>
  <c r="F45" i="10"/>
  <c r="K66" i="10"/>
  <c r="E47" i="10"/>
  <c r="K66" i="14"/>
  <c r="K66" i="13"/>
  <c r="K66" i="12"/>
  <c r="K66" i="11"/>
  <c r="E47" i="12"/>
  <c r="E47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4" i="14" l="1"/>
  <c r="D73" i="14"/>
  <c r="D72" i="14"/>
  <c r="D71" i="14"/>
  <c r="D70" i="14"/>
  <c r="D46" i="14"/>
  <c r="D47" i="14" s="1"/>
  <c r="F47" i="14" s="1"/>
  <c r="D65" i="14"/>
  <c r="G65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F41" i="14"/>
  <c r="D74" i="13"/>
  <c r="D73" i="13"/>
  <c r="D72" i="13"/>
  <c r="D71" i="13"/>
  <c r="D70" i="13"/>
  <c r="D46" i="13"/>
  <c r="D47" i="13" s="1"/>
  <c r="F47" i="13" s="1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D65" i="13"/>
  <c r="D64" i="13"/>
  <c r="D63" i="13"/>
  <c r="G63" i="13" s="1"/>
  <c r="D62" i="13"/>
  <c r="G62" i="13" s="1"/>
  <c r="D61" i="13"/>
  <c r="D60" i="13"/>
  <c r="G60" i="13" s="1"/>
  <c r="D59" i="13"/>
  <c r="G59" i="13" s="1"/>
  <c r="D58" i="13"/>
  <c r="D57" i="13"/>
  <c r="D56" i="13"/>
  <c r="D55" i="13"/>
  <c r="G55" i="13" s="1"/>
  <c r="D54" i="13"/>
  <c r="G54" i="13" s="1"/>
  <c r="D53" i="13"/>
  <c r="D52" i="13"/>
  <c r="F41" i="13"/>
  <c r="D74" i="12"/>
  <c r="D73" i="12"/>
  <c r="D72" i="12"/>
  <c r="D71" i="12"/>
  <c r="D70" i="12"/>
  <c r="D46" i="12"/>
  <c r="D47" i="12" s="1"/>
  <c r="F47" i="12" s="1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D65" i="12"/>
  <c r="G65" i="12" s="1"/>
  <c r="D64" i="12"/>
  <c r="D63" i="12"/>
  <c r="G63" i="12" s="1"/>
  <c r="D62" i="12"/>
  <c r="G62" i="12" s="1"/>
  <c r="D61" i="12"/>
  <c r="D60" i="12"/>
  <c r="D59" i="12"/>
  <c r="D58" i="12"/>
  <c r="G58" i="12" s="1"/>
  <c r="D57" i="12"/>
  <c r="G57" i="12" s="1"/>
  <c r="D56" i="12"/>
  <c r="D55" i="12"/>
  <c r="G55" i="12" s="1"/>
  <c r="D54" i="12"/>
  <c r="G54" i="12" s="1"/>
  <c r="D53" i="12"/>
  <c r="D52" i="12"/>
  <c r="F41" i="12"/>
  <c r="D74" i="11"/>
  <c r="D73" i="11"/>
  <c r="D72" i="11"/>
  <c r="D71" i="11"/>
  <c r="D70" i="11"/>
  <c r="D46" i="11"/>
  <c r="D47" i="11" s="1"/>
  <c r="F47" i="11" s="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D65" i="11"/>
  <c r="G65" i="11" s="1"/>
  <c r="D64" i="11"/>
  <c r="D63" i="11"/>
  <c r="D62" i="11"/>
  <c r="D61" i="11"/>
  <c r="G61" i="11" s="1"/>
  <c r="D60" i="11"/>
  <c r="G60" i="11" s="1"/>
  <c r="D59" i="11"/>
  <c r="D58" i="11"/>
  <c r="G58" i="11" s="1"/>
  <c r="D57" i="11"/>
  <c r="G57" i="11" s="1"/>
  <c r="D56" i="11"/>
  <c r="D55" i="11"/>
  <c r="D54" i="11"/>
  <c r="D53" i="11"/>
  <c r="G53" i="11" s="1"/>
  <c r="D52" i="11"/>
  <c r="F41" i="11"/>
  <c r="D74" i="10"/>
  <c r="D73" i="10"/>
  <c r="D72" i="10"/>
  <c r="D71" i="10"/>
  <c r="D70" i="10"/>
  <c r="D46" i="10"/>
  <c r="D44" i="10"/>
  <c r="D43" i="10"/>
  <c r="D47" i="10" s="1"/>
  <c r="F47" i="10" s="1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D65" i="10"/>
  <c r="G65" i="10" s="1"/>
  <c r="D64" i="10"/>
  <c r="G64" i="10" s="1"/>
  <c r="D63" i="10"/>
  <c r="G63" i="10" s="1"/>
  <c r="D62" i="10"/>
  <c r="G62" i="10" s="1"/>
  <c r="D61" i="10"/>
  <c r="G61" i="10" s="1"/>
  <c r="D60" i="10"/>
  <c r="G60" i="10" s="1"/>
  <c r="D59" i="10"/>
  <c r="G59" i="10" s="1"/>
  <c r="D58" i="10"/>
  <c r="G58" i="10" s="1"/>
  <c r="D57" i="10"/>
  <c r="G57" i="10" s="1"/>
  <c r="D56" i="10"/>
  <c r="G56" i="10" s="1"/>
  <c r="D55" i="10"/>
  <c r="G55" i="10" s="1"/>
  <c r="D54" i="10"/>
  <c r="G54" i="10" s="1"/>
  <c r="D53" i="10"/>
  <c r="G53" i="10" s="1"/>
  <c r="D52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F55" i="9" s="1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4" i="14"/>
  <c r="F74" i="14" s="1"/>
  <c r="E73" i="14"/>
  <c r="F73" i="14" s="1"/>
  <c r="E71" i="14"/>
  <c r="E70" i="14"/>
  <c r="E74" i="13"/>
  <c r="E73" i="13"/>
  <c r="E71" i="13"/>
  <c r="E70" i="13"/>
  <c r="E74" i="12"/>
  <c r="E73" i="12"/>
  <c r="E71" i="12"/>
  <c r="E70" i="12"/>
  <c r="E74" i="11"/>
  <c r="E73" i="11"/>
  <c r="E71" i="11"/>
  <c r="E70" i="11"/>
  <c r="E74" i="10"/>
  <c r="E73" i="10"/>
  <c r="E71" i="10"/>
  <c r="E70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52" i="10" l="1"/>
  <c r="G66" i="10" s="1"/>
  <c r="D66" i="10"/>
  <c r="E66" i="11"/>
  <c r="D66" i="13"/>
  <c r="G52" i="13"/>
  <c r="G59" i="11"/>
  <c r="G56" i="12"/>
  <c r="M56" i="12" s="1"/>
  <c r="N56" i="12" s="1"/>
  <c r="G64" i="12"/>
  <c r="M64" i="12" s="1"/>
  <c r="N64" i="12" s="1"/>
  <c r="G53" i="13"/>
  <c r="Q53" i="13" s="1"/>
  <c r="R53" i="13" s="1"/>
  <c r="G61" i="13"/>
  <c r="O61" i="13" s="1"/>
  <c r="P61" i="13" s="1"/>
  <c r="E66" i="12"/>
  <c r="D66" i="14"/>
  <c r="G52" i="14"/>
  <c r="G66" i="14" s="1"/>
  <c r="G52" i="11"/>
  <c r="D66" i="11"/>
  <c r="G54" i="11"/>
  <c r="G62" i="11"/>
  <c r="Q62" i="11" s="1"/>
  <c r="R62" i="11" s="1"/>
  <c r="G59" i="12"/>
  <c r="O59" i="12" s="1"/>
  <c r="P59" i="12" s="1"/>
  <c r="G56" i="13"/>
  <c r="G64" i="13"/>
  <c r="G55" i="11"/>
  <c r="G63" i="11"/>
  <c r="L63" i="11" s="1"/>
  <c r="D66" i="12"/>
  <c r="G52" i="12"/>
  <c r="G66" i="12" s="1"/>
  <c r="G60" i="12"/>
  <c r="L60" i="12" s="1"/>
  <c r="G57" i="13"/>
  <c r="Q57" i="13" s="1"/>
  <c r="R57" i="13" s="1"/>
  <c r="G65" i="13"/>
  <c r="G56" i="11"/>
  <c r="G64" i="11"/>
  <c r="G53" i="12"/>
  <c r="G61" i="12"/>
  <c r="O61" i="12" s="1"/>
  <c r="P61" i="12" s="1"/>
  <c r="G58" i="13"/>
  <c r="E66" i="13"/>
  <c r="F51" i="8"/>
  <c r="Q53" i="11"/>
  <c r="R53" i="11" s="1"/>
  <c r="L59" i="13"/>
  <c r="L56" i="10"/>
  <c r="O64" i="10"/>
  <c r="P64" i="10" s="1"/>
  <c r="F70" i="13"/>
  <c r="M63" i="12"/>
  <c r="N63" i="12" s="1"/>
  <c r="M56" i="13"/>
  <c r="N56" i="13" s="1"/>
  <c r="M54" i="12"/>
  <c r="N54" i="12" s="1"/>
  <c r="L62" i="12"/>
  <c r="F74" i="12"/>
  <c r="L60" i="10"/>
  <c r="M55" i="11"/>
  <c r="N55" i="11" s="1"/>
  <c r="Q58" i="12"/>
  <c r="R58" i="12" s="1"/>
  <c r="O65" i="13"/>
  <c r="P65" i="13" s="1"/>
  <c r="O56" i="11"/>
  <c r="P56" i="11" s="1"/>
  <c r="L64" i="11"/>
  <c r="D75" i="14"/>
  <c r="L65" i="12"/>
  <c r="L52" i="13"/>
  <c r="G72" i="7"/>
  <c r="H72" i="7" s="1"/>
  <c r="I72" i="7"/>
  <c r="J72" i="7" s="1"/>
  <c r="K72" i="7"/>
  <c r="L72" i="7" s="1"/>
  <c r="G74" i="10"/>
  <c r="H74" i="10" s="1"/>
  <c r="I74" i="10"/>
  <c r="J74" i="10" s="1"/>
  <c r="K74" i="10"/>
  <c r="L74" i="10" s="1"/>
  <c r="K69" i="8"/>
  <c r="L69" i="8" s="1"/>
  <c r="G69" i="8"/>
  <c r="I69" i="8"/>
  <c r="J69" i="8" s="1"/>
  <c r="G71" i="11"/>
  <c r="I71" i="11"/>
  <c r="J71" i="11" s="1"/>
  <c r="K71" i="11"/>
  <c r="L71" i="11" s="1"/>
  <c r="F70" i="14"/>
  <c r="G70" i="8"/>
  <c r="H70" i="8" s="1"/>
  <c r="I70" i="8"/>
  <c r="J70" i="8" s="1"/>
  <c r="K70" i="8"/>
  <c r="L70" i="8" s="1"/>
  <c r="K73" i="11"/>
  <c r="L73" i="11" s="1"/>
  <c r="G73" i="11"/>
  <c r="H73" i="11" s="1"/>
  <c r="I73" i="11"/>
  <c r="J73" i="11" s="1"/>
  <c r="L65" i="11"/>
  <c r="Q65" i="11"/>
  <c r="R65" i="11" s="1"/>
  <c r="M65" i="11"/>
  <c r="N65" i="11" s="1"/>
  <c r="O65" i="11"/>
  <c r="P65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4" i="11"/>
  <c r="H74" i="11" s="1"/>
  <c r="I74" i="11"/>
  <c r="J74" i="11" s="1"/>
  <c r="K74" i="11"/>
  <c r="L74" i="11" s="1"/>
  <c r="L62" i="11"/>
  <c r="L54" i="13"/>
  <c r="Q62" i="13"/>
  <c r="R62" i="13" s="1"/>
  <c r="L57" i="11"/>
  <c r="Q57" i="11"/>
  <c r="R57" i="11" s="1"/>
  <c r="M57" i="11"/>
  <c r="N57" i="11" s="1"/>
  <c r="O57" i="11"/>
  <c r="P57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3" i="11"/>
  <c r="M53" i="11"/>
  <c r="N53" i="11" s="1"/>
  <c r="O53" i="11"/>
  <c r="P53" i="11" s="1"/>
  <c r="D75" i="11"/>
  <c r="G70" i="11"/>
  <c r="H70" i="11" s="1"/>
  <c r="I70" i="11"/>
  <c r="K70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4" i="10"/>
  <c r="N54" i="10" s="1"/>
  <c r="G73" i="10"/>
  <c r="H73" i="10" s="1"/>
  <c r="I73" i="10"/>
  <c r="J73" i="10" s="1"/>
  <c r="K73" i="10"/>
  <c r="L73" i="10" s="1"/>
  <c r="I71" i="10"/>
  <c r="J71" i="10" s="1"/>
  <c r="G71" i="10"/>
  <c r="H71" i="10" s="1"/>
  <c r="K71" i="10"/>
  <c r="L71" i="10" s="1"/>
  <c r="I46" i="10"/>
  <c r="J46" i="10" s="1"/>
  <c r="G46" i="10"/>
  <c r="H46" i="10" s="1"/>
  <c r="K46" i="10"/>
  <c r="L46" i="10" s="1"/>
  <c r="G70" i="10"/>
  <c r="K70" i="10"/>
  <c r="I70" i="10"/>
  <c r="L59" i="10"/>
  <c r="M59" i="10"/>
  <c r="N59" i="10" s="1"/>
  <c r="Q59" i="10"/>
  <c r="R59" i="10" s="1"/>
  <c r="O59" i="10"/>
  <c r="P59" i="10" s="1"/>
  <c r="L62" i="10"/>
  <c r="M62" i="10"/>
  <c r="N62" i="10" s="1"/>
  <c r="Q62" i="10"/>
  <c r="R62" i="10" s="1"/>
  <c r="O62" i="10"/>
  <c r="P62" i="10" s="1"/>
  <c r="O59" i="13"/>
  <c r="P59" i="13" s="1"/>
  <c r="Q59" i="13"/>
  <c r="R59" i="13" s="1"/>
  <c r="L52" i="14"/>
  <c r="O52" i="14"/>
  <c r="Q52" i="14"/>
  <c r="M52" i="14"/>
  <c r="L60" i="14"/>
  <c r="O60" i="14"/>
  <c r="P60" i="14" s="1"/>
  <c r="Q60" i="14"/>
  <c r="R60" i="14" s="1"/>
  <c r="M60" i="14"/>
  <c r="N60" i="14" s="1"/>
  <c r="O60" i="12"/>
  <c r="P60" i="12" s="1"/>
  <c r="Q60" i="12"/>
  <c r="R60" i="12" s="1"/>
  <c r="M60" i="12"/>
  <c r="N60" i="12" s="1"/>
  <c r="L56" i="14"/>
  <c r="O56" i="14"/>
  <c r="P56" i="14" s="1"/>
  <c r="Q56" i="14"/>
  <c r="R56" i="14" s="1"/>
  <c r="M56" i="14"/>
  <c r="N56" i="14" s="1"/>
  <c r="L58" i="14"/>
  <c r="M58" i="14"/>
  <c r="N58" i="14" s="1"/>
  <c r="O58" i="14"/>
  <c r="P58" i="14" s="1"/>
  <c r="Q58" i="14"/>
  <c r="R58" i="14" s="1"/>
  <c r="L62" i="14"/>
  <c r="M62" i="14"/>
  <c r="N62" i="14" s="1"/>
  <c r="O62" i="14"/>
  <c r="P62" i="14" s="1"/>
  <c r="Q62" i="14"/>
  <c r="R62" i="14" s="1"/>
  <c r="L57" i="12"/>
  <c r="Q57" i="12"/>
  <c r="R57" i="12" s="1"/>
  <c r="O57" i="12"/>
  <c r="P57" i="12" s="1"/>
  <c r="M57" i="12"/>
  <c r="N57" i="12" s="1"/>
  <c r="L60" i="13"/>
  <c r="O60" i="13"/>
  <c r="P60" i="13" s="1"/>
  <c r="Q60" i="13"/>
  <c r="R60" i="13" s="1"/>
  <c r="M60" i="13"/>
  <c r="N60" i="13" s="1"/>
  <c r="L53" i="14"/>
  <c r="Q53" i="14"/>
  <c r="R53" i="14" s="1"/>
  <c r="M53" i="14"/>
  <c r="N53" i="14" s="1"/>
  <c r="O53" i="14"/>
  <c r="P53" i="14" s="1"/>
  <c r="L63" i="14"/>
  <c r="M63" i="14"/>
  <c r="N63" i="14" s="1"/>
  <c r="O63" i="14"/>
  <c r="P63" i="14" s="1"/>
  <c r="Q63" i="14"/>
  <c r="R63" i="14" s="1"/>
  <c r="I74" i="14"/>
  <c r="J74" i="14" s="1"/>
  <c r="K74" i="14"/>
  <c r="L74" i="14" s="1"/>
  <c r="G74" i="14"/>
  <c r="H74" i="14" s="1"/>
  <c r="L53" i="13"/>
  <c r="I70" i="14"/>
  <c r="K70" i="14"/>
  <c r="G70" i="14"/>
  <c r="L61" i="13"/>
  <c r="Q61" i="13"/>
  <c r="R61" i="13" s="1"/>
  <c r="M61" i="13"/>
  <c r="N61" i="13" s="1"/>
  <c r="L54" i="14"/>
  <c r="M54" i="14"/>
  <c r="N54" i="14" s="1"/>
  <c r="O54" i="14"/>
  <c r="P54" i="14" s="1"/>
  <c r="Q54" i="14"/>
  <c r="R54" i="14" s="1"/>
  <c r="L64" i="14"/>
  <c r="O64" i="14"/>
  <c r="P64" i="14" s="1"/>
  <c r="Q64" i="14"/>
  <c r="R64" i="14" s="1"/>
  <c r="M64" i="14"/>
  <c r="N64" i="14" s="1"/>
  <c r="I70" i="12"/>
  <c r="K70" i="12"/>
  <c r="G70" i="12"/>
  <c r="G73" i="13"/>
  <c r="H73" i="13" s="1"/>
  <c r="I73" i="13"/>
  <c r="J73" i="13" s="1"/>
  <c r="K73" i="13"/>
  <c r="L73" i="13" s="1"/>
  <c r="L57" i="14"/>
  <c r="Q57" i="14"/>
  <c r="R57" i="14" s="1"/>
  <c r="M57" i="14"/>
  <c r="N57" i="14" s="1"/>
  <c r="O57" i="14"/>
  <c r="P57" i="14" s="1"/>
  <c r="L55" i="14"/>
  <c r="M55" i="14"/>
  <c r="N55" i="14" s="1"/>
  <c r="O55" i="14"/>
  <c r="P55" i="14" s="1"/>
  <c r="Q55" i="14"/>
  <c r="R55" i="14" s="1"/>
  <c r="L65" i="14"/>
  <c r="Q65" i="14"/>
  <c r="R65" i="14" s="1"/>
  <c r="M65" i="14"/>
  <c r="N65" i="14" s="1"/>
  <c r="O65" i="14"/>
  <c r="P65" i="14" s="1"/>
  <c r="K71" i="12"/>
  <c r="L71" i="12" s="1"/>
  <c r="I71" i="12"/>
  <c r="J71" i="12" s="1"/>
  <c r="G71" i="12"/>
  <c r="H71" i="12" s="1"/>
  <c r="I74" i="13"/>
  <c r="J74" i="13" s="1"/>
  <c r="K74" i="13"/>
  <c r="L74" i="13" s="1"/>
  <c r="G74" i="13"/>
  <c r="H74" i="13" s="1"/>
  <c r="G73" i="12"/>
  <c r="H73" i="12" s="1"/>
  <c r="I73" i="12"/>
  <c r="J73" i="12" s="1"/>
  <c r="K73" i="12"/>
  <c r="L73" i="12" s="1"/>
  <c r="L55" i="13"/>
  <c r="M55" i="13"/>
  <c r="N55" i="13" s="1"/>
  <c r="Q55" i="13"/>
  <c r="R55" i="13" s="1"/>
  <c r="O55" i="13"/>
  <c r="P55" i="13" s="1"/>
  <c r="I74" i="12"/>
  <c r="J74" i="12" s="1"/>
  <c r="K74" i="12"/>
  <c r="L74" i="12" s="1"/>
  <c r="G74" i="12"/>
  <c r="H74" i="12" s="1"/>
  <c r="K46" i="13"/>
  <c r="L46" i="13" s="1"/>
  <c r="I46" i="13"/>
  <c r="J46" i="13" s="1"/>
  <c r="G46" i="13"/>
  <c r="H46" i="13" s="1"/>
  <c r="K71" i="14"/>
  <c r="L71" i="14" s="1"/>
  <c r="G71" i="14"/>
  <c r="H71" i="14" s="1"/>
  <c r="I71" i="14"/>
  <c r="J71" i="14" s="1"/>
  <c r="L61" i="14"/>
  <c r="Q61" i="14"/>
  <c r="R61" i="14" s="1"/>
  <c r="M61" i="14"/>
  <c r="N61" i="14" s="1"/>
  <c r="O61" i="14"/>
  <c r="P61" i="14" s="1"/>
  <c r="I70" i="13"/>
  <c r="K70" i="13"/>
  <c r="G70" i="13"/>
  <c r="L59" i="14"/>
  <c r="M59" i="14"/>
  <c r="N59" i="14" s="1"/>
  <c r="O59" i="14"/>
  <c r="P59" i="14" s="1"/>
  <c r="Q59" i="14"/>
  <c r="R59" i="14" s="1"/>
  <c r="K71" i="13"/>
  <c r="L71" i="13" s="1"/>
  <c r="I71" i="13"/>
  <c r="J71" i="13" s="1"/>
  <c r="G71" i="13"/>
  <c r="H71" i="13" s="1"/>
  <c r="G73" i="14"/>
  <c r="H73" i="14" s="1"/>
  <c r="I73" i="14"/>
  <c r="J73" i="14" s="1"/>
  <c r="K73" i="14"/>
  <c r="L73" i="14" s="1"/>
  <c r="F72" i="7"/>
  <c r="F46" i="10"/>
  <c r="F71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5" i="10"/>
  <c r="F53" i="9"/>
  <c r="F60" i="9"/>
  <c r="F70" i="12"/>
  <c r="F61" i="9"/>
  <c r="D46" i="9"/>
  <c r="F54" i="9"/>
  <c r="F62" i="9"/>
  <c r="D75" i="12"/>
  <c r="D75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1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3" i="12"/>
  <c r="F70" i="8"/>
  <c r="I56" i="9"/>
  <c r="J56" i="9" s="1"/>
  <c r="F73" i="11"/>
  <c r="G44" i="10"/>
  <c r="H44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4" i="13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4" i="10"/>
  <c r="F66" i="3"/>
  <c r="K57" i="3"/>
  <c r="K53" i="3"/>
  <c r="D95" i="14"/>
  <c r="F72" i="8"/>
  <c r="I59" i="9"/>
  <c r="D95" i="11"/>
  <c r="F74" i="13"/>
  <c r="I63" i="7"/>
  <c r="F71" i="12"/>
  <c r="I56" i="8"/>
  <c r="H52" i="8"/>
  <c r="G44" i="12"/>
  <c r="H44" i="12" s="1"/>
  <c r="D95" i="13"/>
  <c r="I53" i="6"/>
  <c r="D95" i="10"/>
  <c r="D95" i="12"/>
  <c r="D94" i="6"/>
  <c r="I57" i="8"/>
  <c r="I56" i="7"/>
  <c r="F45" i="7"/>
  <c r="I60" i="8"/>
  <c r="I57" i="9"/>
  <c r="I57" i="7"/>
  <c r="I59" i="7"/>
  <c r="I61" i="9"/>
  <c r="K43" i="12"/>
  <c r="I62" i="8"/>
  <c r="I58" i="9"/>
  <c r="K44" i="11"/>
  <c r="L44" i="11" s="1"/>
  <c r="I46" i="11"/>
  <c r="J46" i="11" s="1"/>
  <c r="E72" i="11"/>
  <c r="E75" i="11" s="1"/>
  <c r="G43" i="14"/>
  <c r="E72" i="14"/>
  <c r="E75" i="14" s="1"/>
  <c r="K46" i="14"/>
  <c r="L46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70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K43" i="10"/>
  <c r="F73" i="10"/>
  <c r="G43" i="13"/>
  <c r="F73" i="13"/>
  <c r="F74" i="11"/>
  <c r="G43" i="11"/>
  <c r="G65" i="9"/>
  <c r="E43" i="9" s="1"/>
  <c r="F43" i="9" s="1"/>
  <c r="E72" i="10"/>
  <c r="E75" i="10" s="1"/>
  <c r="F46" i="13"/>
  <c r="F70" i="11"/>
  <c r="E72" i="12"/>
  <c r="G72" i="12" s="1"/>
  <c r="H72" i="12" s="1"/>
  <c r="K46" i="12"/>
  <c r="L46" i="12" s="1"/>
  <c r="F71" i="10"/>
  <c r="F71" i="13"/>
  <c r="F70" i="9"/>
  <c r="F72" i="9"/>
  <c r="E72" i="13"/>
  <c r="G72" i="13" s="1"/>
  <c r="H72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53" i="13" l="1"/>
  <c r="N53" i="13" s="1"/>
  <c r="O53" i="13"/>
  <c r="P53" i="13" s="1"/>
  <c r="Q56" i="12"/>
  <c r="R56" i="12" s="1"/>
  <c r="O62" i="11"/>
  <c r="P62" i="11" s="1"/>
  <c r="M62" i="11"/>
  <c r="N62" i="11" s="1"/>
  <c r="G66" i="11"/>
  <c r="G66" i="13"/>
  <c r="G47" i="13"/>
  <c r="H47" i="13" s="1"/>
  <c r="F75" i="14"/>
  <c r="L52" i="12"/>
  <c r="O56" i="12"/>
  <c r="P56" i="12" s="1"/>
  <c r="L56" i="12"/>
  <c r="M59" i="13"/>
  <c r="N59" i="13" s="1"/>
  <c r="O62" i="12"/>
  <c r="P62" i="12" s="1"/>
  <c r="L54" i="12"/>
  <c r="M56" i="11"/>
  <c r="N56" i="11" s="1"/>
  <c r="Q60" i="10"/>
  <c r="R60" i="10" s="1"/>
  <c r="Q64" i="10"/>
  <c r="R64" i="10" s="1"/>
  <c r="Q65" i="13"/>
  <c r="R65" i="13" s="1"/>
  <c r="L64" i="10"/>
  <c r="M64" i="10"/>
  <c r="N64" i="10" s="1"/>
  <c r="L65" i="13"/>
  <c r="Q56" i="10"/>
  <c r="R56" i="10" s="1"/>
  <c r="M56" i="10"/>
  <c r="N56" i="10" s="1"/>
  <c r="O56" i="10"/>
  <c r="P56" i="10" s="1"/>
  <c r="O63" i="12"/>
  <c r="P63" i="12" s="1"/>
  <c r="F75" i="11"/>
  <c r="Q61" i="12"/>
  <c r="R61" i="12" s="1"/>
  <c r="Q62" i="12"/>
  <c r="R62" i="12" s="1"/>
  <c r="O62" i="13"/>
  <c r="P62" i="13" s="1"/>
  <c r="L63" i="12"/>
  <c r="M61" i="12"/>
  <c r="N61" i="12" s="1"/>
  <c r="M54" i="13"/>
  <c r="N54" i="13" s="1"/>
  <c r="M52" i="13"/>
  <c r="L57" i="13"/>
  <c r="Q64" i="12"/>
  <c r="R64" i="12" s="1"/>
  <c r="M62" i="12"/>
  <c r="N62" i="12" s="1"/>
  <c r="M65" i="13"/>
  <c r="N65" i="13" s="1"/>
  <c r="Q56" i="13"/>
  <c r="R56" i="13" s="1"/>
  <c r="M57" i="13"/>
  <c r="N57" i="13" s="1"/>
  <c r="O52" i="12"/>
  <c r="P52" i="12" s="1"/>
  <c r="O57" i="13"/>
  <c r="P57" i="13" s="1"/>
  <c r="M52" i="12"/>
  <c r="N52" i="12" s="1"/>
  <c r="Q63" i="12"/>
  <c r="R63" i="12" s="1"/>
  <c r="O64" i="12"/>
  <c r="P64" i="12" s="1"/>
  <c r="O56" i="13"/>
  <c r="P56" i="13" s="1"/>
  <c r="L61" i="12"/>
  <c r="O54" i="12"/>
  <c r="P54" i="12" s="1"/>
  <c r="L59" i="12"/>
  <c r="L64" i="12"/>
  <c r="L56" i="13"/>
  <c r="Q54" i="12"/>
  <c r="R54" i="12" s="1"/>
  <c r="M58" i="12"/>
  <c r="N58" i="12" s="1"/>
  <c r="O54" i="13"/>
  <c r="P54" i="13" s="1"/>
  <c r="Q52" i="12"/>
  <c r="R52" i="12" s="1"/>
  <c r="J64" i="8"/>
  <c r="L58" i="12"/>
  <c r="M65" i="12"/>
  <c r="N65" i="12" s="1"/>
  <c r="O65" i="12"/>
  <c r="P65" i="12" s="1"/>
  <c r="Q54" i="13"/>
  <c r="R54" i="13" s="1"/>
  <c r="J59" i="9"/>
  <c r="M60" i="10"/>
  <c r="N60" i="10" s="1"/>
  <c r="L56" i="11"/>
  <c r="M59" i="12"/>
  <c r="N59" i="12" s="1"/>
  <c r="Q52" i="13"/>
  <c r="R52" i="13" s="1"/>
  <c r="L55" i="11"/>
  <c r="J60" i="9"/>
  <c r="Q63" i="11"/>
  <c r="R63" i="11" s="1"/>
  <c r="M62" i="13"/>
  <c r="N62" i="13" s="1"/>
  <c r="Q59" i="12"/>
  <c r="R59" i="12" s="1"/>
  <c r="O58" i="12"/>
  <c r="P58" i="12" s="1"/>
  <c r="O60" i="10"/>
  <c r="P60" i="10" s="1"/>
  <c r="Q64" i="11"/>
  <c r="R64" i="11" s="1"/>
  <c r="Q55" i="11"/>
  <c r="R55" i="11" s="1"/>
  <c r="O63" i="11"/>
  <c r="P63" i="11" s="1"/>
  <c r="J58" i="9"/>
  <c r="L62" i="13"/>
  <c r="O64" i="11"/>
  <c r="P64" i="11" s="1"/>
  <c r="O55" i="11"/>
  <c r="P55" i="11" s="1"/>
  <c r="M63" i="11"/>
  <c r="N63" i="11" s="1"/>
  <c r="M64" i="11"/>
  <c r="N64" i="11" s="1"/>
  <c r="O54" i="10"/>
  <c r="P54" i="10" s="1"/>
  <c r="O52" i="13"/>
  <c r="P52" i="13" s="1"/>
  <c r="Q56" i="11"/>
  <c r="R56" i="11" s="1"/>
  <c r="J57" i="9"/>
  <c r="Q54" i="10"/>
  <c r="R54" i="10" s="1"/>
  <c r="Q65" i="12"/>
  <c r="R65" i="12" s="1"/>
  <c r="L54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L59" i="11"/>
  <c r="M59" i="11"/>
  <c r="N59" i="11" s="1"/>
  <c r="O59" i="11"/>
  <c r="P59" i="11" s="1"/>
  <c r="Q59" i="11"/>
  <c r="R59" i="11" s="1"/>
  <c r="O63" i="8"/>
  <c r="P63" i="8" s="1"/>
  <c r="G71" i="7"/>
  <c r="H71" i="7" s="1"/>
  <c r="O51" i="8"/>
  <c r="G43" i="7"/>
  <c r="G71" i="8"/>
  <c r="H71" i="8" s="1"/>
  <c r="G44" i="7"/>
  <c r="H44" i="7" s="1"/>
  <c r="H71" i="11"/>
  <c r="G46" i="11"/>
  <c r="H46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4" i="11"/>
  <c r="M54" i="11"/>
  <c r="N54" i="11" s="1"/>
  <c r="O54" i="11"/>
  <c r="P54" i="11" s="1"/>
  <c r="Q54" i="11"/>
  <c r="R54" i="11" s="1"/>
  <c r="I43" i="12"/>
  <c r="K63" i="8"/>
  <c r="L63" i="8" s="1"/>
  <c r="K60" i="7"/>
  <c r="L60" i="7" s="1"/>
  <c r="K43" i="11"/>
  <c r="K47" i="11" s="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O55" i="8"/>
  <c r="P55" i="8" s="1"/>
  <c r="I43" i="11"/>
  <c r="L70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60" i="11"/>
  <c r="O60" i="11"/>
  <c r="P60" i="11" s="1"/>
  <c r="Q60" i="11"/>
  <c r="R60" i="11" s="1"/>
  <c r="M60" i="11"/>
  <c r="N60" i="11" s="1"/>
  <c r="I46" i="14"/>
  <c r="J46" i="14" s="1"/>
  <c r="M55" i="8"/>
  <c r="N55" i="8" s="1"/>
  <c r="J70" i="11"/>
  <c r="J69" i="7"/>
  <c r="K72" i="11"/>
  <c r="L72" i="11" s="1"/>
  <c r="G44" i="8"/>
  <c r="H44" i="8" s="1"/>
  <c r="I44" i="11"/>
  <c r="J44" i="11" s="1"/>
  <c r="K43" i="8"/>
  <c r="K52" i="7"/>
  <c r="L52" i="7" s="1"/>
  <c r="H45" i="8"/>
  <c r="H69" i="7"/>
  <c r="I72" i="11"/>
  <c r="J72" i="11" s="1"/>
  <c r="K44" i="8"/>
  <c r="L44" i="8" s="1"/>
  <c r="O58" i="7"/>
  <c r="P58" i="7" s="1"/>
  <c r="K56" i="7"/>
  <c r="L56" i="7" s="1"/>
  <c r="M56" i="7"/>
  <c r="N56" i="7" s="1"/>
  <c r="O56" i="7"/>
  <c r="P56" i="7" s="1"/>
  <c r="L52" i="11"/>
  <c r="O52" i="11"/>
  <c r="Q52" i="11"/>
  <c r="M52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2" i="11"/>
  <c r="H72" i="11" s="1"/>
  <c r="K44" i="7"/>
  <c r="L44" i="7" s="1"/>
  <c r="K46" i="11"/>
  <c r="L46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8" i="11"/>
  <c r="N58" i="11" s="1"/>
  <c r="O58" i="11"/>
  <c r="P58" i="11" s="1"/>
  <c r="Q58" i="11"/>
  <c r="R58" i="11" s="1"/>
  <c r="K61" i="7"/>
  <c r="L61" i="7" s="1"/>
  <c r="M61" i="7"/>
  <c r="N61" i="7" s="1"/>
  <c r="O61" i="7"/>
  <c r="P61" i="7" s="1"/>
  <c r="L61" i="11"/>
  <c r="M61" i="11"/>
  <c r="N61" i="11" s="1"/>
  <c r="O61" i="11"/>
  <c r="P61" i="11" s="1"/>
  <c r="Q61" i="11"/>
  <c r="R61" i="11" s="1"/>
  <c r="I71" i="7"/>
  <c r="J71" i="7" s="1"/>
  <c r="I71" i="8"/>
  <c r="G72" i="10"/>
  <c r="H72" i="10" s="1"/>
  <c r="K72" i="10"/>
  <c r="L72" i="10" s="1"/>
  <c r="I72" i="10"/>
  <c r="J72" i="10" s="1"/>
  <c r="I43" i="10"/>
  <c r="G43" i="10"/>
  <c r="G47" i="10" s="1"/>
  <c r="H47" i="10" s="1"/>
  <c r="K44" i="10"/>
  <c r="L44" i="10" s="1"/>
  <c r="I44" i="10"/>
  <c r="J44" i="10" s="1"/>
  <c r="F75" i="10"/>
  <c r="J70" i="10"/>
  <c r="H70" i="10"/>
  <c r="L70" i="10"/>
  <c r="L65" i="10"/>
  <c r="M65" i="10"/>
  <c r="N65" i="10" s="1"/>
  <c r="Q65" i="10"/>
  <c r="R65" i="10" s="1"/>
  <c r="O65" i="10"/>
  <c r="P65" i="10" s="1"/>
  <c r="L63" i="10"/>
  <c r="M63" i="10"/>
  <c r="N63" i="10" s="1"/>
  <c r="Q63" i="10"/>
  <c r="R63" i="10" s="1"/>
  <c r="O63" i="10"/>
  <c r="P63" i="10" s="1"/>
  <c r="M53" i="10"/>
  <c r="N53" i="10" s="1"/>
  <c r="Q53" i="10"/>
  <c r="R53" i="10" s="1"/>
  <c r="O53" i="10"/>
  <c r="P53" i="10" s="1"/>
  <c r="L52" i="10"/>
  <c r="O52" i="10"/>
  <c r="P52" i="10" s="1"/>
  <c r="M52" i="10"/>
  <c r="N52" i="10" s="1"/>
  <c r="Q52" i="10"/>
  <c r="R52" i="10" s="1"/>
  <c r="L61" i="10"/>
  <c r="M61" i="10"/>
  <c r="N61" i="10" s="1"/>
  <c r="Q61" i="10"/>
  <c r="R61" i="10" s="1"/>
  <c r="O61" i="10"/>
  <c r="P61" i="10" s="1"/>
  <c r="L57" i="10"/>
  <c r="M57" i="10"/>
  <c r="N57" i="10" s="1"/>
  <c r="Q57" i="10"/>
  <c r="R57" i="10" s="1"/>
  <c r="O57" i="10"/>
  <c r="P57" i="10" s="1"/>
  <c r="L55" i="10"/>
  <c r="O55" i="10"/>
  <c r="P55" i="10" s="1"/>
  <c r="M55" i="10"/>
  <c r="N55" i="10" s="1"/>
  <c r="Q55" i="10"/>
  <c r="R55" i="10" s="1"/>
  <c r="L58" i="10"/>
  <c r="O58" i="10"/>
  <c r="M58" i="10"/>
  <c r="Q58" i="10"/>
  <c r="L43" i="10"/>
  <c r="H43" i="13"/>
  <c r="L43" i="12"/>
  <c r="H43" i="14"/>
  <c r="K43" i="13"/>
  <c r="K47" i="13" s="1"/>
  <c r="J70" i="13"/>
  <c r="O64" i="13"/>
  <c r="P64" i="13" s="1"/>
  <c r="Q64" i="13"/>
  <c r="R64" i="13" s="1"/>
  <c r="M64" i="13"/>
  <c r="N64" i="13" s="1"/>
  <c r="L70" i="13"/>
  <c r="G46" i="14"/>
  <c r="H46" i="14" s="1"/>
  <c r="H70" i="14"/>
  <c r="I43" i="13"/>
  <c r="I47" i="13" s="1"/>
  <c r="J47" i="13" s="1"/>
  <c r="G75" i="12"/>
  <c r="H75" i="12" s="1"/>
  <c r="H70" i="12"/>
  <c r="L70" i="14"/>
  <c r="I72" i="13"/>
  <c r="J72" i="13" s="1"/>
  <c r="L55" i="12"/>
  <c r="M55" i="12"/>
  <c r="N55" i="12" s="1"/>
  <c r="O55" i="12"/>
  <c r="P55" i="12" s="1"/>
  <c r="Q55" i="12"/>
  <c r="R55" i="12" s="1"/>
  <c r="L63" i="13"/>
  <c r="M63" i="13"/>
  <c r="N63" i="13" s="1"/>
  <c r="O63" i="13"/>
  <c r="P63" i="13" s="1"/>
  <c r="Q63" i="13"/>
  <c r="R63" i="13" s="1"/>
  <c r="L70" i="12"/>
  <c r="J70" i="14"/>
  <c r="K72" i="13"/>
  <c r="L72" i="13" s="1"/>
  <c r="R52" i="14"/>
  <c r="Q66" i="14"/>
  <c r="R66" i="14" s="1"/>
  <c r="N52" i="13"/>
  <c r="L53" i="12"/>
  <c r="Q53" i="12"/>
  <c r="R53" i="12" s="1"/>
  <c r="O53" i="12"/>
  <c r="P53" i="12" s="1"/>
  <c r="M53" i="12"/>
  <c r="N53" i="12" s="1"/>
  <c r="I72" i="12"/>
  <c r="J72" i="12" s="1"/>
  <c r="K43" i="14"/>
  <c r="K47" i="14" s="1"/>
  <c r="I72" i="14"/>
  <c r="J72" i="14" s="1"/>
  <c r="I44" i="13"/>
  <c r="J44" i="13" s="1"/>
  <c r="P52" i="14"/>
  <c r="O66" i="14"/>
  <c r="P66" i="14" s="1"/>
  <c r="I44" i="14"/>
  <c r="J44" i="14" s="1"/>
  <c r="K44" i="14"/>
  <c r="L44" i="14" s="1"/>
  <c r="G44" i="14"/>
  <c r="H44" i="14" s="1"/>
  <c r="K72" i="14"/>
  <c r="L72" i="14" s="1"/>
  <c r="J70" i="12"/>
  <c r="M66" i="14"/>
  <c r="N66" i="14" s="1"/>
  <c r="N52" i="14"/>
  <c r="G72" i="14"/>
  <c r="H72" i="14" s="1"/>
  <c r="G46" i="12"/>
  <c r="H46" i="12" s="1"/>
  <c r="K72" i="12"/>
  <c r="L72" i="12" s="1"/>
  <c r="I43" i="14"/>
  <c r="I47" i="14" s="1"/>
  <c r="J47" i="14" s="1"/>
  <c r="I46" i="12"/>
  <c r="J46" i="12" s="1"/>
  <c r="L58" i="13"/>
  <c r="O58" i="13"/>
  <c r="P58" i="13" s="1"/>
  <c r="M58" i="13"/>
  <c r="N58" i="13" s="1"/>
  <c r="Q58" i="13"/>
  <c r="R58" i="13" s="1"/>
  <c r="G75" i="13"/>
  <c r="H75" i="13" s="1"/>
  <c r="H70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3" i="10"/>
  <c r="L64" i="13"/>
  <c r="L58" i="11"/>
  <c r="J54" i="9"/>
  <c r="F65" i="8"/>
  <c r="J58" i="8"/>
  <c r="E46" i="9"/>
  <c r="F46" i="9" s="1"/>
  <c r="J61" i="7"/>
  <c r="M58" i="3"/>
  <c r="N58" i="3" s="1"/>
  <c r="F74" i="7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4" i="14"/>
  <c r="M59" i="3"/>
  <c r="N59" i="3" s="1"/>
  <c r="F44" i="13"/>
  <c r="J64" i="9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L66" i="14"/>
  <c r="F72" i="13"/>
  <c r="F46" i="12"/>
  <c r="E46" i="8"/>
  <c r="F46" i="8" s="1"/>
  <c r="F43" i="8"/>
  <c r="F71" i="7"/>
  <c r="F44" i="7"/>
  <c r="J58" i="7"/>
  <c r="F43" i="13"/>
  <c r="F43" i="12"/>
  <c r="E75" i="13"/>
  <c r="F75" i="13" s="1"/>
  <c r="F43" i="11"/>
  <c r="F72" i="11"/>
  <c r="H65" i="9"/>
  <c r="J51" i="7"/>
  <c r="H69" i="9"/>
  <c r="F46" i="14"/>
  <c r="F43" i="14"/>
  <c r="F46" i="11"/>
  <c r="E46" i="7"/>
  <c r="F46" i="7" s="1"/>
  <c r="I52" i="9"/>
  <c r="M52" i="9" s="1"/>
  <c r="N52" i="9" s="1"/>
  <c r="F72" i="10"/>
  <c r="F43" i="10"/>
  <c r="J53" i="8"/>
  <c r="J60" i="7"/>
  <c r="F72" i="14"/>
  <c r="J62" i="8"/>
  <c r="J57" i="8"/>
  <c r="E75" i="12"/>
  <c r="F75" i="12" s="1"/>
  <c r="F72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K47" i="10" l="1"/>
  <c r="J43" i="10"/>
  <c r="I47" i="10"/>
  <c r="J47" i="10" s="1"/>
  <c r="K47" i="12"/>
  <c r="J43" i="12"/>
  <c r="I47" i="12"/>
  <c r="J47" i="12" s="1"/>
  <c r="I47" i="11"/>
  <c r="J47" i="11" s="1"/>
  <c r="G47" i="11"/>
  <c r="H47" i="11" s="1"/>
  <c r="H43" i="12"/>
  <c r="G47" i="12"/>
  <c r="H47" i="12" s="1"/>
  <c r="G47" i="14"/>
  <c r="H47" i="14" s="1"/>
  <c r="H43" i="10"/>
  <c r="L47" i="12"/>
  <c r="I75" i="10"/>
  <c r="J75" i="10" s="1"/>
  <c r="I74" i="9"/>
  <c r="J74" i="9" s="1"/>
  <c r="I75" i="11"/>
  <c r="J75" i="11" s="1"/>
  <c r="G46" i="8"/>
  <c r="H46" i="8" s="1"/>
  <c r="K75" i="14"/>
  <c r="L75" i="14" s="1"/>
  <c r="K74" i="7"/>
  <c r="L74" i="7" s="1"/>
  <c r="G75" i="14"/>
  <c r="H75" i="14" s="1"/>
  <c r="L47" i="10"/>
  <c r="I74" i="7"/>
  <c r="J74" i="7" s="1"/>
  <c r="K75" i="12"/>
  <c r="L75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6" i="11"/>
  <c r="N66" i="11" s="1"/>
  <c r="N52" i="11"/>
  <c r="L47" i="11"/>
  <c r="L43" i="11"/>
  <c r="L51" i="7"/>
  <c r="Q66" i="11"/>
  <c r="R66" i="11" s="1"/>
  <c r="R52" i="11"/>
  <c r="N53" i="7"/>
  <c r="O52" i="8"/>
  <c r="P52" i="8" s="1"/>
  <c r="I75" i="12"/>
  <c r="J75" i="12" s="1"/>
  <c r="O66" i="12"/>
  <c r="P66" i="12" s="1"/>
  <c r="O66" i="11"/>
  <c r="P66" i="11" s="1"/>
  <c r="P52" i="11"/>
  <c r="K46" i="8"/>
  <c r="L46" i="8" s="1"/>
  <c r="L43" i="8"/>
  <c r="P54" i="7"/>
  <c r="M52" i="8"/>
  <c r="G75" i="11"/>
  <c r="H75" i="11" s="1"/>
  <c r="I46" i="8"/>
  <c r="J46" i="8" s="1"/>
  <c r="J43" i="8"/>
  <c r="K75" i="11"/>
  <c r="L75" i="11" s="1"/>
  <c r="K52" i="8"/>
  <c r="L66" i="10"/>
  <c r="I75" i="14"/>
  <c r="J75" i="14" s="1"/>
  <c r="K55" i="7"/>
  <c r="L55" i="7" s="1"/>
  <c r="J43" i="11"/>
  <c r="G75" i="10"/>
  <c r="H75" i="10" s="1"/>
  <c r="O55" i="7"/>
  <c r="P55" i="7" s="1"/>
  <c r="K74" i="8"/>
  <c r="L74" i="8" s="1"/>
  <c r="G46" i="7"/>
  <c r="H46" i="7" s="1"/>
  <c r="H43" i="7"/>
  <c r="K75" i="10"/>
  <c r="L75" i="10" s="1"/>
  <c r="Q66" i="10"/>
  <c r="R66" i="10" s="1"/>
  <c r="R58" i="10"/>
  <c r="O66" i="10"/>
  <c r="P66" i="10" s="1"/>
  <c r="P58" i="10"/>
  <c r="M66" i="10"/>
  <c r="N66" i="10" s="1"/>
  <c r="N58" i="10"/>
  <c r="I46" i="9"/>
  <c r="J46" i="9" s="1"/>
  <c r="L43" i="14"/>
  <c r="L47" i="14"/>
  <c r="O66" i="13"/>
  <c r="P66" i="13" s="1"/>
  <c r="Q66" i="12"/>
  <c r="R66" i="12" s="1"/>
  <c r="J43" i="13"/>
  <c r="K75" i="13"/>
  <c r="L75" i="13" s="1"/>
  <c r="M66" i="13"/>
  <c r="N66" i="13" s="1"/>
  <c r="L43" i="13"/>
  <c r="L47" i="13"/>
  <c r="J43" i="14"/>
  <c r="L66" i="13"/>
  <c r="M66" i="12"/>
  <c r="N66" i="12" s="1"/>
  <c r="Q66" i="13"/>
  <c r="R66" i="13" s="1"/>
  <c r="I75" i="13"/>
  <c r="J75" i="13" s="1"/>
  <c r="I65" i="8"/>
  <c r="J65" i="8" s="1"/>
  <c r="L66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6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<sst xmlns="http://schemas.openxmlformats.org/spreadsheetml/2006/main" count="1953" uniqueCount="217">
  <si>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</si>
  <si>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</si>
  <si>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</si>
  <si>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</si>
  <si>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</si>
  <si>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</si>
  <si>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</si>
  <si>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</si>
  <si>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</si>
  <si>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</si>
  <si>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</si>
  <si>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</si>
  <si>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</si>
  <si>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</si>
  <si>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</si>
  <si>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</si>
  <si>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</si>
  <si>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</si>
  <si>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</si>
  <si>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</si>
  <si>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</si>
  <si>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</si>
  <si>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</si>
  <si>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</si>
  <si>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</si>
  <si>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</si>
  <si>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</si>
  <si>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</si>
  <si>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</si>
  <si>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</si>
  <si>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</si>
  <si>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</si>
  <si>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</si>
  <si>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</si>
  <si>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</si>
  <si>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</si>
  <si>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</si>
  <si>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</si>
  <si>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</si>
  <si>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</si>
  <si>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</si>
  <si>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</si>
  <si>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</si>
  <si>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</si>
  <si>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</si>
  <si>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</si>
  <si>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</si>
  <si>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</si>
  <si>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</si>
  <si>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</si>
  <si>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</si>
  <si>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</si>
  <si>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</si>
  <si>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</si>
  <si>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</si>
  <si>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</si>
  <si>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</si>
  <si>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</si>
  <si>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</si>
  <si>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</si>
  <si>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</si>
  <si>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</si>
  <si>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</si>
  <si>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</si>
  <si>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</si>
  <si>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</si>
  <si>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</si>
  <si>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</si>
  <si>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</si>
  <si>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</si>
  <si>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</si>
  <si>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</si>
  <si>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</si>
  <si>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</si>
  <si>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</si>
  <si>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</si>
  <si>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</si>
  <si>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</si>
  <si>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</si>
  <si>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</si>
  <si>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</si>
  <si>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</si>
  <si>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</si>
  <si>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</si>
  <si>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</si>
  <si>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</si>
  <si>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</si>
  <si>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</si>
  <si>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</si>
  <si>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</si>
  <si>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</si>
  <si>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</si>
  <si>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</si>
  <si>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</si>
  <si>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</si>
  <si>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</si>
  <si>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</si>
  <si>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</si>
  <si>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</si>
  <si>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</si>
  <si>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</si>
  <si>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</si>
  <si>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</si>
  <si>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</si>
  <si>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</si>
  <si>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</si>
  <si>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</si>
  <si>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</si>
  <si>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</si>
  <si>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</si>
  <si>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</si>
  <si>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</si>
  <si>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</si>
  <si>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</si>
  <si>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</si>
  <si>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</si>
  <si>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</si>
  <si>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</si>
  <si>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</si>
  <si>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</si>
  <si>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</si>
  <si>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</si>
  <si>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</si>
  <si>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</si>
  <si>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</si>
  <si>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</si>
  <si>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</si>
  <si>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</si>
  <si>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</si>
  <si>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</si>
  <si>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</si>
  <si>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</si>
  <si>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</si>
  <si>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</si>
  <si>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</si>
  <si>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</si>
  <si>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</si>
  <si>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</si>
  <si>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</si>
  <si>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</si>
  <si>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</si>
  <si>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</si>
  <si>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</si>
  <si>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</si>
  <si>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</si>
  <si>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</si>
  <si>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</si>
  <si>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</si>
  <si>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</si>
  <si>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</si>
  <si>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</si>
  <si>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</si>
  <si>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</si>
  <si>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</si>
  <si>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</si>
  <si>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</si>
  <si>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</si>
  <si>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</si>
  <si>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</si>
  <si>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</si>
  <si>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</si>
  <si>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</si>
  <si>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</si>
  <si>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</si>
  <si>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</si>
  <si>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</si>
  <si>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</si>
  <si>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</si>
  <si>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</si>
  <si>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</si>
  <si>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</si>
  <si>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</si>
  <si>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</si>
  <si>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</si>
  <si>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</si>
  <si>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</si>
  <si>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</si>
  <si>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</si>
  <si>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</si>
  <si>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</si>
  <si>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</si>
  <si>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</si>
  <si>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</si>
  <si>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</si>
  <si>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</si>
  <si>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</si>
  <si>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</si>
  <si>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</si>
  <si>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</si>
  <si>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</si>
  <si>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</si>
  <si>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</si>
  <si>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</si>
  <si>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</si>
  <si>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</si>
  <si>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</si>
  <si>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</si>
  <si>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</si>
  <si>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</si>
  <si>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</si>
  <si>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</si>
  <si>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</si>
  <si>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</si>
  <si>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</si>
  <si>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</si>
  <si>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</si>
  <si>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</si>
  <si>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</si>
  <si>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</si>
  <si>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</si>
  <si>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</si>
  <si>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</si>
  <si>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</si>
  <si>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</si>
  <si>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Eka/Wahyu</t>
  </si>
  <si>
    <t>FOOD, BEVERAGES &amp; BAKERY</t>
  </si>
  <si>
    <t>DATA PENCAPAIAN — GLOBAL — 14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</si>
</sst>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59" t="s">
        <v>179</v>
      </c>
      <c r="C41" s="260"/>
      <c r="D41" s="26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59" t="s">
        <v>181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59" t="s">
        <v>190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5"/>
  <sheetViews>
    <sheetView showGridLines="0" tabSelected="1" topLeftCell="A13" zoomScale="91" zoomScaleNormal="91" workbookViewId="0">
      <selection activeCell="E24" sqref="E2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6" width="14.85546875" bestFit="1" customWidth="1"/>
    <col min="7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13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149108350.62808999</v>
      </c>
      <c r="N8" s="11">
        <f>SUM(D22)</f>
        <v>22951362.704489</v>
      </c>
      <c r="O8" s="171">
        <f>SUM(E22)</f>
        <v>70885406.059819996</v>
      </c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115485659.04902799</v>
      </c>
      <c r="N9" s="11">
        <f>SUM(D13,D14)</f>
        <v>53472443.716664001</v>
      </c>
      <c r="O9" s="171">
        <f>SUM(E13,E14)</f>
        <v>227585370.12939999</v>
      </c>
    </row>
    <row r="10" spans="2:15" x14ac:dyDescent="0.25">
      <c r="B10" s="72" t="s">
        <v>112</v>
      </c>
      <c r="C10" s="234">
        <v>82775497.680877998</v>
      </c>
      <c r="D10" s="234">
        <v>18365003.349192999</v>
      </c>
      <c r="E10" s="234">
        <v>118082576.943204</v>
      </c>
      <c r="F10" s="234">
        <v>91965539.170000002</v>
      </c>
      <c r="G10" s="234">
        <v>311188617.14327502</v>
      </c>
      <c r="H10" s="111"/>
      <c r="I10" s="111"/>
      <c r="J10" s="111"/>
      <c r="M10" s="11">
        <f>SUM(C15)</f>
        <v>475815587.48084301</v>
      </c>
      <c r="N10" s="11">
        <f>SUM(D15)</f>
        <v>19304694.919906002</v>
      </c>
      <c r="O10" s="171">
        <f>SUM(E15)</f>
        <v>93503968.566112995</v>
      </c>
    </row>
    <row r="11" spans="2:15" x14ac:dyDescent="0.25">
      <c r="B11" s="72" t="s">
        <v>214</v>
      </c>
      <c r="C11" s="234">
        <v>161739071.949276</v>
      </c>
      <c r="D11" s="234">
        <v>43584082.101790003</v>
      </c>
      <c r="E11" s="234">
        <v>66519082.249693997</v>
      </c>
      <c r="F11" s="234">
        <v>36475676.399999999</v>
      </c>
      <c r="G11" s="234">
        <v>308317912.70076001</v>
      </c>
      <c r="H11" s="111"/>
      <c r="I11" s="111"/>
      <c r="J11" s="111"/>
      <c r="M11" s="11">
        <f>SUM(C12)</f>
        <v>1200000</v>
      </c>
      <c r="N11" s="11">
        <f>SUM(D12)</f>
        <v>8122463</v>
      </c>
      <c r="O11" s="171">
        <f>SUM(E12)</f>
        <v>137927928.59944999</v>
      </c>
    </row>
    <row r="12" spans="2:15" x14ac:dyDescent="0.25">
      <c r="B12" s="72" t="s">
        <v>214</v>
      </c>
      <c r="C12" s="234">
        <v>1200000</v>
      </c>
      <c r="D12" s="234">
        <v>8122463</v>
      </c>
      <c r="E12" s="234">
        <v>137927928.59944999</v>
      </c>
      <c r="F12" s="234" t="s">
        <v>166</v>
      </c>
      <c r="G12" s="234">
        <v>147250391.59944999</v>
      </c>
      <c r="H12" s="111"/>
      <c r="I12" s="111"/>
      <c r="J12" s="111"/>
      <c r="M12" s="11">
        <f>SUM(C25,C26)</f>
        <v>80496761.376083001</v>
      </c>
      <c r="N12" s="11">
        <f>SUM(D25,D26)</f>
        <v>55759043.966347001</v>
      </c>
      <c r="O12" s="171">
        <f>SUM(E25,E26)</f>
        <v>99792274.229773998</v>
      </c>
    </row>
    <row r="13" spans="2:15" x14ac:dyDescent="0.25">
      <c r="B13" s="72" t="s">
        <v>70</v>
      </c>
      <c r="C13" s="234">
        <v>91411657.271514997</v>
      </c>
      <c r="D13" s="234">
        <v>38283776.776693001</v>
      </c>
      <c r="E13" s="234">
        <v>90947424.969799995</v>
      </c>
      <c r="F13" s="234">
        <v>44281779.299999997</v>
      </c>
      <c r="G13" s="234">
        <v>264924638.31800801</v>
      </c>
      <c r="H13" s="111"/>
      <c r="I13" s="111"/>
      <c r="J13" s="111"/>
      <c r="M13" s="11">
        <f>SUM(C17)</f>
        <v>384219324.11275601</v>
      </c>
      <c r="N13" s="11">
        <f>SUM(D17)</f>
        <v>37658161.839961</v>
      </c>
      <c r="O13" s="171">
        <f>SUM(E17)</f>
        <v>182937747.799705</v>
      </c>
    </row>
    <row r="14" spans="2:15" x14ac:dyDescent="0.25">
      <c r="B14" s="72" t="s">
        <v>114</v>
      </c>
      <c r="C14" s="234">
        <v>24074001.777513001</v>
      </c>
      <c r="D14" s="234">
        <v>15188666.939971</v>
      </c>
      <c r="E14" s="234">
        <v>136637945.15959999</v>
      </c>
      <c r="F14" s="234">
        <v>32417792.800000001</v>
      </c>
      <c r="G14" s="234">
        <v>208318406.677084</v>
      </c>
      <c r="H14" s="111"/>
      <c r="I14" s="111"/>
      <c r="J14" s="111"/>
      <c r="M14" s="11">
        <f>SUM(C23)</f>
        <v>184218038.67814901</v>
      </c>
      <c r="N14" s="11">
        <f>SUM(D23)</f>
        <v>49685424.409878999</v>
      </c>
      <c r="O14" s="171">
        <f>SUM(E23)</f>
        <v>118783109.91615701</v>
      </c>
    </row>
    <row r="15" spans="2:15" x14ac:dyDescent="0.25">
      <c r="B15" s="81" t="s">
        <v>115</v>
      </c>
      <c r="C15" s="234">
        <v>475815587.48084301</v>
      </c>
      <c r="D15" s="234">
        <v>19304694.919906002</v>
      </c>
      <c r="E15" s="234">
        <v>93503968.566112995</v>
      </c>
      <c r="F15" s="234">
        <v>213748808.91986501</v>
      </c>
      <c r="G15" s="234">
        <v>802373059.88672698</v>
      </c>
      <c r="H15" s="111"/>
      <c r="I15" s="111"/>
      <c r="J15" s="111"/>
      <c r="M15" s="11">
        <f>SUM(C11)</f>
        <v>161739071.949276</v>
      </c>
      <c r="N15" s="11">
        <f>SUM(D11)</f>
        <v>43584082.101790003</v>
      </c>
      <c r="O15" s="171">
        <f>SUM(E11)</f>
        <v>66519082.249693997</v>
      </c>
    </row>
    <row r="16" spans="2:15" x14ac:dyDescent="0.25">
      <c r="B16" s="72" t="s">
        <v>118</v>
      </c>
      <c r="C16" s="234">
        <v>263923749.65781599</v>
      </c>
      <c r="D16" s="234">
        <v>1135216.2149980001</v>
      </c>
      <c r="E16" s="234">
        <v>90756797.669964001</v>
      </c>
      <c r="F16" s="234">
        <v>6097297.3600000003</v>
      </c>
      <c r="G16" s="234">
        <v>361913060.90277803</v>
      </c>
      <c r="H16" s="111"/>
      <c r="I16" s="111"/>
      <c r="J16" s="111"/>
      <c r="M16" s="11">
        <f>SUM(C24)</f>
        <v>237199793.180006</v>
      </c>
      <c r="N16" s="11">
        <f>SUM(D24)</f>
        <v>33712481.989983998</v>
      </c>
      <c r="O16" s="171">
        <f>SUM(E24)</f>
        <v>115040947.379971</v>
      </c>
    </row>
    <row r="17" spans="2:15" x14ac:dyDescent="0.25">
      <c r="B17" s="72" t="s">
        <v>120</v>
      </c>
      <c r="C17" s="234">
        <v>384219324.11275601</v>
      </c>
      <c r="D17" s="234">
        <v>37658161.839961</v>
      </c>
      <c r="E17" s="234">
        <v>182937747.799705</v>
      </c>
      <c r="F17" s="234">
        <v>742818193.46996295</v>
      </c>
      <c r="G17" s="234">
        <v>1347633427.2223849</v>
      </c>
      <c r="H17" s="111"/>
      <c r="I17" s="111"/>
      <c r="J17" s="111"/>
      <c r="M17" s="11">
        <f>SUM(C10)</f>
        <v>82775497.680877998</v>
      </c>
      <c r="N17" s="11">
        <f>SUM(D10)</f>
        <v>18365003.349192999</v>
      </c>
      <c r="O17" s="171">
        <f>SUM(E10)</f>
        <v>118082576.943204</v>
      </c>
    </row>
    <row r="18" spans="2:15" x14ac:dyDescent="0.25">
      <c r="B18" s="72" t="s">
        <v>122</v>
      </c>
      <c r="C18" s="234">
        <v>61250861.904845998</v>
      </c>
      <c r="D18" s="234">
        <v>10352698.12992</v>
      </c>
      <c r="E18" s="234">
        <v>46392795.71926</v>
      </c>
      <c r="F18" s="234">
        <v>27897297.899999999</v>
      </c>
      <c r="G18" s="234">
        <v>145893653.654026</v>
      </c>
      <c r="H18" s="111"/>
      <c r="I18" s="111"/>
      <c r="J18" s="111"/>
      <c r="M18" s="11">
        <f>SUM(C27)</f>
        <v>179929426.85589901</v>
      </c>
      <c r="N18" s="11">
        <f>SUM(D27)</f>
        <v>144655764.49020401</v>
      </c>
      <c r="O18" s="171">
        <f>SUM(E27)</f>
        <v>163575996.32839599</v>
      </c>
    </row>
    <row r="19" spans="2:15" x14ac:dyDescent="0.25">
      <c r="B19" s="72" t="s">
        <v>123</v>
      </c>
      <c r="C19" s="234">
        <v>10388050</v>
      </c>
      <c r="D19" s="234">
        <v>91792198.770892993</v>
      </c>
      <c r="E19" s="234">
        <v>17310495</v>
      </c>
      <c r="F19" s="234">
        <v>54691893.020000003</v>
      </c>
      <c r="G19" s="234">
        <v>174182636.79089299</v>
      </c>
      <c r="H19" s="111"/>
      <c r="I19" s="111"/>
      <c r="J19" s="111"/>
      <c r="M19" s="11">
        <f>SUM(C18,C19)</f>
        <v>71638911.904845998</v>
      </c>
      <c r="N19" s="11">
        <f>SUM(D18,D19)</f>
        <v>102144896.900813</v>
      </c>
      <c r="O19" s="171">
        <f>SUM(E18,E19)</f>
        <v>63703290.71926</v>
      </c>
    </row>
    <row r="20" spans="2:15" x14ac:dyDescent="0.25">
      <c r="B20" s="72" t="s">
        <v>170</v>
      </c>
      <c r="C20" s="234">
        <v>110997176.3</v>
      </c>
      <c r="D20" s="234">
        <v>0</v>
      </c>
      <c r="E20" s="234">
        <v>0</v>
      </c>
      <c r="F20" s="234">
        <v>5225225.08</v>
      </c>
      <c r="G20" s="234">
        <v>116222401.38</v>
      </c>
      <c r="H20" s="111"/>
      <c r="I20" s="111"/>
      <c r="J20" s="111"/>
      <c r="M20" s="14">
        <f>SUM(C31,C36)</f>
        <v>411000</v>
      </c>
      <c r="N20" s="10" t="s">
        <v>119</v>
      </c>
    </row>
    <row r="21" spans="2:15" x14ac:dyDescent="0.25">
      <c r="B21" s="72" t="s">
        <v>171</v>
      </c>
      <c r="C21" s="234">
        <v>153590447.63999999</v>
      </c>
      <c r="D21" s="234">
        <v>0</v>
      </c>
      <c r="E21" s="234">
        <v>0</v>
      </c>
      <c r="F21" s="234">
        <v>7603603.4000000004</v>
      </c>
      <c r="G21" s="234">
        <v>161194051.03999999</v>
      </c>
      <c r="H21" s="111"/>
      <c r="I21" s="111"/>
      <c r="J21" s="111"/>
      <c r="M21" s="14">
        <f>SUM(C34,C35)+M20</f>
        <v>467623259.89235204</v>
      </c>
      <c r="N21" s="10" t="s">
        <v>121</v>
      </c>
    </row>
    <row r="22" spans="2:15" x14ac:dyDescent="0.25">
      <c r="B22" s="72" t="s">
        <v>124</v>
      </c>
      <c r="C22" s="234">
        <v>149108350.62808999</v>
      </c>
      <c r="D22" s="234">
        <v>22951362.704489</v>
      </c>
      <c r="E22" s="234">
        <v>70885406.059819996</v>
      </c>
      <c r="F22" s="234">
        <v>295888073.05992502</v>
      </c>
      <c r="G22" s="234">
        <v>538833192.45232403</v>
      </c>
      <c r="H22" s="111"/>
      <c r="I22" s="111"/>
      <c r="J22" s="111"/>
    </row>
    <row r="23" spans="2:15" x14ac:dyDescent="0.25">
      <c r="B23" s="72" t="s">
        <v>125</v>
      </c>
      <c r="C23" s="234">
        <v>184218038.67814901</v>
      </c>
      <c r="D23" s="234">
        <v>49685424.409878999</v>
      </c>
      <c r="E23" s="234">
        <v>118783109.91615701</v>
      </c>
      <c r="F23" s="234">
        <v>201234110.76965901</v>
      </c>
      <c r="G23" s="234">
        <v>553920683.773844</v>
      </c>
      <c r="H23" s="111"/>
      <c r="I23" s="111"/>
      <c r="J23" s="111"/>
    </row>
    <row r="24" spans="2:15" x14ac:dyDescent="0.25">
      <c r="B24" s="72" t="s">
        <v>126</v>
      </c>
      <c r="C24" s="234">
        <v>237199793.180006</v>
      </c>
      <c r="D24" s="234">
        <v>33712481.989983998</v>
      </c>
      <c r="E24" s="234">
        <v>115040947.379971</v>
      </c>
      <c r="F24" s="234">
        <v>358072039.07963401</v>
      </c>
      <c r="G24" s="234">
        <v>744025261.62959504</v>
      </c>
      <c r="H24" s="111"/>
      <c r="I24" s="111"/>
      <c r="J24" s="111"/>
    </row>
    <row r="25" spans="2:15" x14ac:dyDescent="0.25">
      <c r="B25" s="72" t="s">
        <v>184</v>
      </c>
      <c r="C25" s="234">
        <v>80496761.376083001</v>
      </c>
      <c r="D25" s="234">
        <v>55759043.966347001</v>
      </c>
      <c r="E25" s="234">
        <v>99792274.229773998</v>
      </c>
      <c r="F25" s="234">
        <v>39121450.049999997</v>
      </c>
      <c r="G25" s="234">
        <v>275169529.62220401</v>
      </c>
      <c r="H25" s="111"/>
      <c r="I25" s="111"/>
      <c r="J25" s="111"/>
    </row>
    <row r="26" spans="2:15" x14ac:dyDescent="0.25">
      <c r="B26" s="72" t="s">
        <v>185</v>
      </c>
      <c r="C26" s="15"/>
      <c r="D26" s="15"/>
      <c r="E26" s="15"/>
      <c r="F26" s="15"/>
      <c r="G26" s="15"/>
      <c r="H26" s="111"/>
      <c r="I26" s="111"/>
      <c r="J26" s="111"/>
    </row>
    <row r="27" spans="2:15" x14ac:dyDescent="0.25">
      <c r="B27" s="72" t="s">
        <v>127</v>
      </c>
      <c r="C27" s="234">
        <v>179929426.85589901</v>
      </c>
      <c r="D27" s="234">
        <v>144655764.49020401</v>
      </c>
      <c r="E27" s="234">
        <v>163575996.32839599</v>
      </c>
      <c r="F27" s="234">
        <v>10414702.926999999</v>
      </c>
      <c r="G27" s="234">
        <v>498575890.60149902</v>
      </c>
      <c r="H27" s="111"/>
      <c r="I27" s="111"/>
      <c r="J27" s="111"/>
    </row>
    <row r="28" spans="2:15" x14ac:dyDescent="0.25">
      <c r="G28" s="111"/>
      <c r="H28" s="111"/>
      <c r="I28" s="111"/>
    </row>
    <row r="29" spans="2:15" x14ac:dyDescent="0.25">
      <c r="B29" s="79" t="s">
        <v>128</v>
      </c>
      <c r="C29" s="79"/>
      <c r="G29" s="111"/>
      <c r="H29" s="111"/>
      <c r="I29" s="111"/>
    </row>
    <row r="30" spans="2:15" x14ac:dyDescent="0.25">
      <c r="B30" s="80" t="s">
        <v>129</v>
      </c>
      <c r="C30" s="80" t="s">
        <v>130</v>
      </c>
      <c r="G30" s="111"/>
      <c r="H30" s="111"/>
      <c r="I30" s="111"/>
    </row>
    <row r="31" spans="2:15" x14ac:dyDescent="0.25">
      <c r="B31" s="73"/>
      <c r="C31" s="107"/>
      <c r="G31" s="111"/>
      <c r="H31" s="111"/>
      <c r="I31" s="111"/>
    </row>
    <row r="32" spans="2:15" x14ac:dyDescent="0.25">
      <c r="B32" s="81" t="s">
        <v>131</v>
      </c>
      <c r="C32" s="234">
        <v>130042612.599346</v>
      </c>
      <c r="G32" s="111"/>
      <c r="H32" s="111"/>
      <c r="I32" s="111"/>
    </row>
    <row r="33" spans="2:19" x14ac:dyDescent="0.25">
      <c r="B33" s="81" t="s">
        <v>132</v>
      </c>
      <c r="C33" s="234">
        <v>162860126.90538001</v>
      </c>
      <c r="G33" s="111"/>
      <c r="H33" s="111"/>
      <c r="I33" s="111"/>
    </row>
    <row r="34" spans="2:19" x14ac:dyDescent="0.25">
      <c r="B34" s="81" t="s">
        <v>133</v>
      </c>
      <c r="C34" s="234">
        <v>75834074.030520007</v>
      </c>
      <c r="G34" s="111"/>
      <c r="H34" s="111"/>
      <c r="I34" s="111"/>
    </row>
    <row r="35" spans="2:19" x14ac:dyDescent="0.25">
      <c r="B35" s="81" t="s">
        <v>134</v>
      </c>
      <c r="C35" s="234">
        <v>391378185.86183202</v>
      </c>
      <c r="G35" s="111"/>
      <c r="H35" s="111"/>
      <c r="I35" s="111"/>
    </row>
    <row r="36" spans="2:19" x14ac:dyDescent="0.25">
      <c r="B36" s="81" t="s">
        <v>135</v>
      </c>
      <c r="C36" s="234">
        <v>411000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ht="18.75" x14ac:dyDescent="0.25">
      <c r="B41" s="259" t="s">
        <v>216</v>
      </c>
      <c r="C41" s="260"/>
      <c r="D41" s="261"/>
      <c r="E41" s="66" t="s">
        <v>137</v>
      </c>
      <c r="F41" s="174">
        <f ca="1">IF(MONTH(TODAY())=8,DAY(TODAY())/DAY(EOMONTH(TODAY(),0)),IF(MONTH(TODAY())&gt;8,1,0))</f>
        <v>0.45161290322580644</v>
      </c>
      <c r="G41" s="192" t="s">
        <v>188</v>
      </c>
      <c r="H41" s="198">
        <v>1</v>
      </c>
      <c r="I41" s="201" t="s">
        <v>188</v>
      </c>
      <c r="J41" s="199">
        <v>1</v>
      </c>
      <c r="K41" s="194" t="s">
        <v>189</v>
      </c>
      <c r="L41" s="200">
        <v>1</v>
      </c>
      <c r="S41" s="173">
        <v>0.7</v>
      </c>
    </row>
    <row r="42" spans="2:19" ht="31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x14ac:dyDescent="0.25">
      <c r="B43" s="109" t="s">
        <v>142</v>
      </c>
      <c r="C43" s="41" t="s">
        <v>143</v>
      </c>
      <c r="D43" s="45">
        <f>SUM(TARGETS!Y5:Y7,TARGETS!Y8:Y13,TARGETS!Y14:Y18)</f>
        <v>4927597521</v>
      </c>
      <c r="E43" s="46">
        <f>H66</f>
        <v>2388414046.8358545</v>
      </c>
      <c r="F43" s="176">
        <f>IFERROR(E43/D43,0)</f>
        <v>0.48470152780480191</v>
      </c>
      <c r="G43" s="184">
        <f>D43*$H$41-E43</f>
        <v>2539183474.1641455</v>
      </c>
      <c r="H43" s="184">
        <f ca="1">IFERROR(G43/$C$3,0)</f>
        <v>195321805.70493427</v>
      </c>
      <c r="I43" s="204">
        <f>D43*$J$41-E43</f>
        <v>2539183474.1641455</v>
      </c>
      <c r="J43" s="204">
        <f ca="1">IFERROR(I43/$C$3,0)</f>
        <v>195321805.70493427</v>
      </c>
      <c r="K43" s="185">
        <f>D43*$L$41-E43</f>
        <v>2539183474.1641455</v>
      </c>
      <c r="L43" s="185">
        <f ca="1">IFERROR(K43/$C$3,0)</f>
        <v>195321805.70493427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SUM(TARGETS!Z5:Z6,TARGETS!Z8:Z12,TARGETS!Z14:Z18)</f>
        <v>1294442997.4659395</v>
      </c>
      <c r="E44" s="46">
        <f>I66</f>
        <v>589415823.38922989</v>
      </c>
      <c r="F44" s="176">
        <f>IFERROR(E44/D44,0)</f>
        <v>0.45534320518021815</v>
      </c>
      <c r="G44" s="184">
        <f>D44*$H$41-E44</f>
        <v>705027174.07670963</v>
      </c>
      <c r="H44" s="184">
        <f ca="1">IFERROR(G44/$C$3,0)</f>
        <v>54232859.544362277</v>
      </c>
      <c r="I44" s="204">
        <f>D44*$J$41-E44</f>
        <v>705027174.07670963</v>
      </c>
      <c r="J44" s="204">
        <f ca="1">IFERROR(I44/$C$3,0)</f>
        <v>54232859.544362277</v>
      </c>
      <c r="K44" s="185">
        <f>D44*$L$41-E44</f>
        <v>705027174.07670963</v>
      </c>
      <c r="L44" s="185">
        <f ca="1">IFERROR(K44/$C$3,0)</f>
        <v>54232859.544362277</v>
      </c>
      <c r="S44" s="173">
        <v>0.85</v>
      </c>
    </row>
    <row r="45" spans="2:19" x14ac:dyDescent="0.25">
      <c r="B45" s="109" t="s">
        <v>209</v>
      </c>
      <c r="C45" s="41" t="s">
        <v>143</v>
      </c>
      <c r="D45" s="45">
        <f>SUM(TARGETS!AA5:AA18)</f>
        <v>3216211725</v>
      </c>
      <c r="E45" s="46">
        <f>J66</f>
        <v>1458337698.920944</v>
      </c>
      <c r="F45" s="176">
        <f>IFERROR(E45/D45,0)</f>
        <v>0.45343336310389948</v>
      </c>
      <c r="G45" s="184">
        <f>IF(D45=0,0,D45*$H$41-E45)</f>
        <v>1757874026.079056</v>
      </c>
      <c r="H45" s="184">
        <f ca="1">IFERROR(G45/$C$3,0)</f>
        <v>135221078.92915815</v>
      </c>
      <c r="I45" s="204">
        <f>IF(D45=0,0,D45*$J$41-E45)</f>
        <v>1757874026.079056</v>
      </c>
      <c r="J45" s="204">
        <f ca="1">IFERROR(I45/$C$3,0)</f>
        <v>135221078.92915815</v>
      </c>
      <c r="K45" s="185">
        <f>IF(D45=0,0,D45*$L$41-E45)</f>
        <v>1757874026.079056</v>
      </c>
      <c r="L45" s="185">
        <f ca="1">IFERROR(K45/$C$3,0)</f>
        <v>135221078.92915815</v>
      </c>
      <c r="S45" s="173">
        <v>0.9</v>
      </c>
    </row>
    <row r="46" spans="2:19" x14ac:dyDescent="0.25">
      <c r="B46" s="109" t="s">
        <v>144</v>
      </c>
      <c r="C46" s="41" t="s">
        <v>143</v>
      </c>
      <c r="D46" s="45">
        <f>SUM(TARGETS!K22:K26)</f>
        <v>1865957446.8085108</v>
      </c>
      <c r="E46" s="46">
        <f>SUM(C32,C33)+M21</f>
        <v>760525999.39707804</v>
      </c>
      <c r="F46" s="176">
        <f>IFERROR(E46/D46,0)</f>
        <v>0.407579497966507</v>
      </c>
      <c r="G46" s="184">
        <f>D46*$H$41-E46</f>
        <v>1105431447.4114327</v>
      </c>
      <c r="H46" s="184">
        <f ca="1">IFERROR(G46/$C$3,0)</f>
        <v>85033188.262417898</v>
      </c>
      <c r="I46" s="204">
        <f>D46*$J$41-E46</f>
        <v>1105431447.4114327</v>
      </c>
      <c r="J46" s="204">
        <f ca="1">IFERROR(I46/$C$3,0)</f>
        <v>85033188.262417898</v>
      </c>
      <c r="K46" s="185">
        <f>D46*$L$41-E46</f>
        <v>1105431447.4114327</v>
      </c>
      <c r="L46" s="185">
        <f ca="1">IFERROR(K46/$C$3,0)</f>
        <v>85033188.262417898</v>
      </c>
      <c r="S46" s="173">
        <v>0.95</v>
      </c>
    </row>
    <row r="47" spans="2:19" x14ac:dyDescent="0.25">
      <c r="B47" s="256" t="s">
        <v>145</v>
      </c>
      <c r="C47" s="257"/>
      <c r="D47" s="47">
        <f>SUM(D43:D46)</f>
        <v>11304209690.274448</v>
      </c>
      <c r="E47" s="47">
        <f>SUM(E43:E46)</f>
        <v>5196693568.5431061</v>
      </c>
      <c r="F47" s="177">
        <f>IFERROR(E47/D47,0)</f>
        <v>0.45971312554596983</v>
      </c>
      <c r="G47" s="181">
        <f>SUM(G43:G46)</f>
        <v>6107516121.7313442</v>
      </c>
      <c r="H47" s="181">
        <f ca="1">IFERROR(G47/$C$3,0)</f>
        <v>469808932.44087261</v>
      </c>
      <c r="I47" s="186">
        <f>SUM(I43:I46)</f>
        <v>6107516121.7313442</v>
      </c>
      <c r="J47" s="186">
        <f ca="1">IFERROR(I47/$C$3,0)</f>
        <v>469808932.44087261</v>
      </c>
      <c r="K47" s="186">
        <f>SUM(K43:K46)</f>
        <v>6107516121.7313442</v>
      </c>
      <c r="L47" s="186">
        <f ca="1">IFERROR(K47/$C$3,0)</f>
        <v>469808932.44087261</v>
      </c>
      <c r="S47" s="173">
        <v>1</v>
      </c>
    </row>
    <row r="48" spans="2:19" x14ac:dyDescent="0.25">
      <c r="G48" s="111"/>
      <c r="H48" s="111"/>
      <c r="I48" s="111"/>
      <c r="S48" s="173"/>
    </row>
    <row r="49" spans="2:18" ht="18.95" customHeight="1" x14ac:dyDescent="0.25">
      <c r="B49" s="262" t="s">
        <v>215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100%</v>
      </c>
      <c r="N50" s="272" t="str">
        <f>"PER HARI"&amp;CHAR(10)&amp;TEXT($H$41,"0%")</f>
        <v>PER HARI
100%</v>
      </c>
      <c r="O50" s="274" t="str">
        <f>"SELISIH"&amp;CHAR(10)&amp;TEXT($J$41,"0%")</f>
        <v>SELISIH
100%</v>
      </c>
      <c r="P50" s="274" t="str">
        <f>"PER HARI"&amp;CHAR(10)&amp;TEXT($J$41,"0%")</f>
        <v>PER HARI
100%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5.75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x14ac:dyDescent="0.25">
      <c r="B52" s="50" t="s">
        <v>67</v>
      </c>
      <c r="C52" s="55" t="s">
        <v>68</v>
      </c>
      <c r="D52" s="118">
        <f>TARGETS!Y5</f>
        <v>306848843</v>
      </c>
      <c r="E52" s="118">
        <f>TARGETS!Z5</f>
        <v>60640123.605248079</v>
      </c>
      <c r="F52" s="118">
        <f>TARGETS!AA5</f>
        <v>198385865</v>
      </c>
      <c r="G52" s="118">
        <f t="shared" ref="G52:G65" si="0">SUM(D52:F52)</f>
        <v>565874831.60524809</v>
      </c>
      <c r="H52" s="114">
        <f>M8</f>
        <v>149108350.62808999</v>
      </c>
      <c r="I52" s="114">
        <f>N8</f>
        <v>22951362.704489</v>
      </c>
      <c r="J52" s="114">
        <f>SUM(O8)</f>
        <v>70885406.059819996</v>
      </c>
      <c r="K52" s="114">
        <f t="shared" ref="K52:K65" si="1">SUM(H52:J52)</f>
        <v>242945119.39239898</v>
      </c>
      <c r="L52" s="187">
        <f t="shared" ref="L52:L66" si="2">IFERROR(K52/G52,0)</f>
        <v>0.4293266033819233</v>
      </c>
      <c r="M52" s="184">
        <f t="shared" ref="M52:M65" si="3">G52*$H$41-K52</f>
        <v>322929712.21284914</v>
      </c>
      <c r="N52" s="184">
        <f t="shared" ref="N52:N66" ca="1" si="4">IFERROR(M52/$C$3,0)</f>
        <v>24840747.093296088</v>
      </c>
      <c r="O52" s="180">
        <f t="shared" ref="O52:O65" si="5">G52*$J$41-K52</f>
        <v>322929712.21284914</v>
      </c>
      <c r="P52" s="180">
        <f t="shared" ref="P52:P66" ca="1" si="6">IFERROR(O52/$C$3,0)</f>
        <v>24840747.093296088</v>
      </c>
      <c r="Q52" s="185">
        <f t="shared" ref="Q52:Q65" si="7">G52*$L$41-K52</f>
        <v>322929712.21284914</v>
      </c>
      <c r="R52" s="185">
        <f t="shared" ref="R52:R66" ca="1" si="8">IFERROR(Q52/$C$3,0)</f>
        <v>24840747.093296088</v>
      </c>
    </row>
    <row r="53" spans="2:18" x14ac:dyDescent="0.25">
      <c r="B53" s="53" t="s">
        <v>69</v>
      </c>
      <c r="C53" s="56" t="s">
        <v>70</v>
      </c>
      <c r="D53" s="119">
        <f>TARGETS!Y6</f>
        <v>222144871</v>
      </c>
      <c r="E53" s="119">
        <f>TARGETS!Z6</f>
        <v>165576502.41228893</v>
      </c>
      <c r="F53" s="119">
        <f>TARGETS!AA6</f>
        <v>449309820</v>
      </c>
      <c r="G53" s="119">
        <f t="shared" si="0"/>
        <v>837031193.4122889</v>
      </c>
      <c r="H53" s="114">
        <f>M9</f>
        <v>115485659.04902799</v>
      </c>
      <c r="I53" s="114">
        <f>N9</f>
        <v>53472443.716664001</v>
      </c>
      <c r="J53" s="114">
        <f>SUM(O9)</f>
        <v>227585370.12939999</v>
      </c>
      <c r="K53" s="114">
        <f t="shared" si="1"/>
        <v>396543472.89509201</v>
      </c>
      <c r="L53" s="187">
        <f t="shared" si="2"/>
        <v>0.47374993431071588</v>
      </c>
      <c r="M53" s="184">
        <f t="shared" si="3"/>
        <v>440487720.51719689</v>
      </c>
      <c r="N53" s="184">
        <f t="shared" ca="1" si="4"/>
        <v>33883670.809015147</v>
      </c>
      <c r="O53" s="180">
        <f t="shared" si="5"/>
        <v>440487720.51719689</v>
      </c>
      <c r="P53" s="180">
        <f t="shared" ca="1" si="6"/>
        <v>33883670.809015147</v>
      </c>
      <c r="Q53" s="185">
        <f t="shared" si="7"/>
        <v>440487720.51719689</v>
      </c>
      <c r="R53" s="185">
        <f t="shared" ca="1" si="8"/>
        <v>33883670.809015147</v>
      </c>
    </row>
    <row r="54" spans="2:18" x14ac:dyDescent="0.25">
      <c r="B54" s="136" t="s">
        <v>173</v>
      </c>
      <c r="C54" s="137" t="s">
        <v>174</v>
      </c>
      <c r="D54" s="138">
        <f>TARGETS!Y7</f>
        <v>262953105</v>
      </c>
      <c r="E54" s="138">
        <f>TARGETS!Z7</f>
        <v>0</v>
      </c>
      <c r="F54" s="138">
        <f>TARGETS!AA7</f>
        <v>0</v>
      </c>
      <c r="G54" s="138">
        <f t="shared" si="0"/>
        <v>262953105</v>
      </c>
      <c r="H54" s="114">
        <f>SUM(C20)</f>
        <v>110997176.3</v>
      </c>
      <c r="I54" s="114">
        <f>SUM(D20)</f>
        <v>0</v>
      </c>
      <c r="J54" s="114">
        <f>SUM(E20)</f>
        <v>0</v>
      </c>
      <c r="K54" s="114">
        <f t="shared" si="1"/>
        <v>110997176.3</v>
      </c>
      <c r="L54" s="187">
        <f t="shared" si="2"/>
        <v>0.42211776240482118</v>
      </c>
      <c r="M54" s="184">
        <f t="shared" si="3"/>
        <v>151955928.69999999</v>
      </c>
      <c r="N54" s="184">
        <f t="shared" ca="1" si="4"/>
        <v>11688917.592307691</v>
      </c>
      <c r="O54" s="180">
        <f t="shared" si="5"/>
        <v>151955928.69999999</v>
      </c>
      <c r="P54" s="180">
        <f t="shared" ca="1" si="6"/>
        <v>11688917.592307691</v>
      </c>
      <c r="Q54" s="185">
        <f t="shared" si="7"/>
        <v>151955928.69999999</v>
      </c>
      <c r="R54" s="185">
        <f t="shared" ca="1" si="8"/>
        <v>11688917.592307691</v>
      </c>
    </row>
    <row r="55" spans="2:18" x14ac:dyDescent="0.25">
      <c r="B55" s="53" t="s">
        <v>71</v>
      </c>
      <c r="C55" s="56" t="s">
        <v>72</v>
      </c>
      <c r="D55" s="119">
        <f>TARGETS!Y8</f>
        <v>633046146</v>
      </c>
      <c r="E55" s="119">
        <f>TARGETS!Z8</f>
        <v>35794312.055859983</v>
      </c>
      <c r="F55" s="119">
        <f>TARGETS!AA8</f>
        <v>109338663</v>
      </c>
      <c r="G55" s="119">
        <f t="shared" si="0"/>
        <v>778179121.05586004</v>
      </c>
      <c r="H55" s="114">
        <f t="shared" ref="H55:I59" si="9">M10</f>
        <v>475815587.48084301</v>
      </c>
      <c r="I55" s="114">
        <f t="shared" si="9"/>
        <v>19304694.919906002</v>
      </c>
      <c r="J55" s="114">
        <f>SUM(O10)</f>
        <v>93503968.566112995</v>
      </c>
      <c r="K55" s="114">
        <f t="shared" si="1"/>
        <v>588624250.96686196</v>
      </c>
      <c r="L55" s="187">
        <f t="shared" si="2"/>
        <v>0.75641228997277188</v>
      </c>
      <c r="M55" s="184">
        <f t="shared" si="3"/>
        <v>189554870.08899808</v>
      </c>
      <c r="N55" s="184">
        <f t="shared" ca="1" si="4"/>
        <v>14581143.852999853</v>
      </c>
      <c r="O55" s="180">
        <f t="shared" si="5"/>
        <v>189554870.08899808</v>
      </c>
      <c r="P55" s="180">
        <f t="shared" ca="1" si="6"/>
        <v>14581143.852999853</v>
      </c>
      <c r="Q55" s="185">
        <f t="shared" si="7"/>
        <v>189554870.08899808</v>
      </c>
      <c r="R55" s="185">
        <f t="shared" ca="1" si="8"/>
        <v>14581143.852999853</v>
      </c>
    </row>
    <row r="56" spans="2:18" x14ac:dyDescent="0.25">
      <c r="B56" s="50" t="s">
        <v>73</v>
      </c>
      <c r="C56" s="55" t="s">
        <v>191</v>
      </c>
      <c r="D56" s="118">
        <f>TARGETS!Y9</f>
        <v>5575802</v>
      </c>
      <c r="E56" s="118">
        <f>TARGETS!Z9</f>
        <v>54597557.63085559</v>
      </c>
      <c r="F56" s="118">
        <f>TARGETS!AA9</f>
        <v>490733908</v>
      </c>
      <c r="G56" s="118">
        <f t="shared" si="0"/>
        <v>550907267.63085556</v>
      </c>
      <c r="H56" s="114">
        <f t="shared" si="9"/>
        <v>1200000</v>
      </c>
      <c r="I56" s="114">
        <f t="shared" si="9"/>
        <v>8122463</v>
      </c>
      <c r="J56" s="114">
        <f>SUM(O11)</f>
        <v>137927928.59944999</v>
      </c>
      <c r="K56" s="114">
        <f t="shared" si="1"/>
        <v>147250391.59944999</v>
      </c>
      <c r="L56" s="187">
        <f t="shared" si="2"/>
        <v>0.26728707398014856</v>
      </c>
      <c r="M56" s="184">
        <f t="shared" si="3"/>
        <v>403656876.03140557</v>
      </c>
      <c r="N56" s="184">
        <f t="shared" ca="1" si="4"/>
        <v>31050528.925492737</v>
      </c>
      <c r="O56" s="180">
        <f t="shared" si="5"/>
        <v>403656876.03140557</v>
      </c>
      <c r="P56" s="180">
        <f t="shared" ca="1" si="6"/>
        <v>31050528.925492737</v>
      </c>
      <c r="Q56" s="185">
        <f t="shared" si="7"/>
        <v>403656876.03140557</v>
      </c>
      <c r="R56" s="185">
        <f t="shared" ca="1" si="8"/>
        <v>31050528.925492737</v>
      </c>
    </row>
    <row r="57" spans="2:18" x14ac:dyDescent="0.25">
      <c r="B57" s="53" t="s">
        <v>75</v>
      </c>
      <c r="C57" s="56" t="s">
        <v>99</v>
      </c>
      <c r="D57" s="119">
        <f>TARGETS!Y10</f>
        <v>309612765</v>
      </c>
      <c r="E57" s="119">
        <f>TARGETS!Z10</f>
        <v>107263766.34102874</v>
      </c>
      <c r="F57" s="119">
        <f>TARGETS!AA10</f>
        <v>209576770</v>
      </c>
      <c r="G57" s="119">
        <f t="shared" si="0"/>
        <v>626453301.34102869</v>
      </c>
      <c r="H57" s="114">
        <f t="shared" si="9"/>
        <v>80496761.376083001</v>
      </c>
      <c r="I57" s="114">
        <f t="shared" si="9"/>
        <v>55759043.966347001</v>
      </c>
      <c r="J57" s="114">
        <f>SUM(O12)</f>
        <v>99792274.229773998</v>
      </c>
      <c r="K57" s="114">
        <f t="shared" si="1"/>
        <v>236048079.57220399</v>
      </c>
      <c r="L57" s="187">
        <f t="shared" si="2"/>
        <v>0.37680075923760536</v>
      </c>
      <c r="M57" s="184">
        <f t="shared" si="3"/>
        <v>390405221.7688247</v>
      </c>
      <c r="N57" s="184">
        <f t="shared" ca="1" si="4"/>
        <v>30031170.905294206</v>
      </c>
      <c r="O57" s="180">
        <f t="shared" si="5"/>
        <v>390405221.7688247</v>
      </c>
      <c r="P57" s="180">
        <f t="shared" ca="1" si="6"/>
        <v>30031170.905294206</v>
      </c>
      <c r="Q57" s="185">
        <f t="shared" si="7"/>
        <v>390405221.7688247</v>
      </c>
      <c r="R57" s="185">
        <f t="shared" ca="1" si="8"/>
        <v>30031170.905294206</v>
      </c>
    </row>
    <row r="58" spans="2:18" x14ac:dyDescent="0.25">
      <c r="B58" s="50" t="s">
        <v>76</v>
      </c>
      <c r="C58" s="55" t="s">
        <v>77</v>
      </c>
      <c r="D58" s="118">
        <f>TARGETS!Y11</f>
        <v>706692044</v>
      </c>
      <c r="E58" s="118">
        <f>TARGETS!Z11</f>
        <v>85448443.319925025</v>
      </c>
      <c r="F58" s="118">
        <f>TARGETS!AA11</f>
        <v>368550890</v>
      </c>
      <c r="G58" s="118">
        <f t="shared" si="0"/>
        <v>1160691377.3199251</v>
      </c>
      <c r="H58" s="114">
        <f t="shared" si="9"/>
        <v>384219324.11275601</v>
      </c>
      <c r="I58" s="114">
        <f t="shared" si="9"/>
        <v>37658161.839961</v>
      </c>
      <c r="J58" s="114">
        <f>SUM(O13)</f>
        <v>182937747.799705</v>
      </c>
      <c r="K58" s="114">
        <f t="shared" si="1"/>
        <v>604815233.75242198</v>
      </c>
      <c r="L58" s="187">
        <f t="shared" si="2"/>
        <v>0.52108187031505349</v>
      </c>
      <c r="M58" s="184">
        <f t="shared" si="3"/>
        <v>555876143.56750309</v>
      </c>
      <c r="N58" s="184">
        <f t="shared" ca="1" si="4"/>
        <v>42759703.351346388</v>
      </c>
      <c r="O58" s="180">
        <f t="shared" si="5"/>
        <v>555876143.56750309</v>
      </c>
      <c r="P58" s="180">
        <f t="shared" ca="1" si="6"/>
        <v>42759703.351346388</v>
      </c>
      <c r="Q58" s="185">
        <f t="shared" si="7"/>
        <v>555876143.56750309</v>
      </c>
      <c r="R58" s="185">
        <f t="shared" ca="1" si="8"/>
        <v>42759703.351346388</v>
      </c>
    </row>
    <row r="59" spans="2:18" x14ac:dyDescent="0.25">
      <c r="B59" s="53" t="s">
        <v>78</v>
      </c>
      <c r="C59" s="56" t="s">
        <v>79</v>
      </c>
      <c r="D59" s="119">
        <f>TARGETS!Y12</f>
        <v>302084971</v>
      </c>
      <c r="E59" s="119">
        <f>TARGETS!Z12</f>
        <v>88976480.286837116</v>
      </c>
      <c r="F59" s="119">
        <f>TARGETS!AA12</f>
        <v>275026731</v>
      </c>
      <c r="G59" s="119">
        <f t="shared" si="0"/>
        <v>666088182.2868371</v>
      </c>
      <c r="H59" s="114">
        <f t="shared" si="9"/>
        <v>184218038.67814901</v>
      </c>
      <c r="I59" s="114">
        <f t="shared" si="9"/>
        <v>49685424.409878999</v>
      </c>
      <c r="J59" s="114">
        <f>SUM(O14)</f>
        <v>118783109.91615701</v>
      </c>
      <c r="K59" s="114">
        <f t="shared" si="1"/>
        <v>352686573.00418502</v>
      </c>
      <c r="L59" s="187">
        <f t="shared" si="2"/>
        <v>0.52948931145021849</v>
      </c>
      <c r="M59" s="184">
        <f t="shared" si="3"/>
        <v>313401609.28265208</v>
      </c>
      <c r="N59" s="184">
        <f t="shared" ca="1" si="4"/>
        <v>24107816.098665543</v>
      </c>
      <c r="O59" s="180">
        <f t="shared" si="5"/>
        <v>313401609.28265208</v>
      </c>
      <c r="P59" s="180">
        <f t="shared" ca="1" si="6"/>
        <v>24107816.098665543</v>
      </c>
      <c r="Q59" s="185">
        <f t="shared" si="7"/>
        <v>313401609.28265208</v>
      </c>
      <c r="R59" s="185">
        <f t="shared" ca="1" si="8"/>
        <v>24107816.098665543</v>
      </c>
    </row>
    <row r="60" spans="2:18" x14ac:dyDescent="0.25">
      <c r="B60" s="136" t="s">
        <v>173</v>
      </c>
      <c r="C60" s="137" t="s">
        <v>175</v>
      </c>
      <c r="D60" s="138">
        <f>TARGETS!Y13</f>
        <v>443846716</v>
      </c>
      <c r="E60" s="138">
        <f>TARGETS!Z13</f>
        <v>0</v>
      </c>
      <c r="F60" s="138">
        <f>TARGETS!AA13</f>
        <v>0</v>
      </c>
      <c r="G60" s="138">
        <f t="shared" si="0"/>
        <v>443846716</v>
      </c>
      <c r="H60" s="114">
        <f>SUM(C21)</f>
        <v>153590447.63999999</v>
      </c>
      <c r="I60" s="114">
        <f>SUM(D21)</f>
        <v>0</v>
      </c>
      <c r="J60" s="114">
        <f>SUM(E21)</f>
        <v>0</v>
      </c>
      <c r="K60" s="114">
        <f t="shared" si="1"/>
        <v>153590447.63999999</v>
      </c>
      <c r="L60" s="187">
        <f t="shared" si="2"/>
        <v>0.34604389782169748</v>
      </c>
      <c r="M60" s="184">
        <f t="shared" si="3"/>
        <v>290256268.36000001</v>
      </c>
      <c r="N60" s="184">
        <f t="shared" ca="1" si="4"/>
        <v>22327405.258461539</v>
      </c>
      <c r="O60" s="180">
        <f t="shared" si="5"/>
        <v>290256268.36000001</v>
      </c>
      <c r="P60" s="180">
        <f t="shared" ca="1" si="6"/>
        <v>22327405.258461539</v>
      </c>
      <c r="Q60" s="185">
        <f t="shared" si="7"/>
        <v>290256268.36000001</v>
      </c>
      <c r="R60" s="185">
        <f t="shared" ca="1" si="8"/>
        <v>22327405.258461539</v>
      </c>
    </row>
    <row r="61" spans="2:18" x14ac:dyDescent="0.25">
      <c r="B61" s="53" t="s">
        <v>80</v>
      </c>
      <c r="C61" s="56" t="s">
        <v>191</v>
      </c>
      <c r="D61" s="119">
        <f>TARGETS!Y14</f>
        <v>387829132</v>
      </c>
      <c r="E61" s="119">
        <f>TARGETS!Z14</f>
        <v>101974877.61343271</v>
      </c>
      <c r="F61" s="119">
        <f>TARGETS!AA14</f>
        <v>140889511</v>
      </c>
      <c r="G61" s="119">
        <f t="shared" si="0"/>
        <v>630693520.61343265</v>
      </c>
      <c r="H61" s="114">
        <f t="shared" ref="H61:I65" si="10">M15</f>
        <v>161739071.949276</v>
      </c>
      <c r="I61" s="114">
        <f t="shared" si="10"/>
        <v>43584082.101790003</v>
      </c>
      <c r="J61" s="114">
        <f>SUM(O15)</f>
        <v>66519082.249693997</v>
      </c>
      <c r="K61" s="114">
        <f t="shared" si="1"/>
        <v>271842236.30076003</v>
      </c>
      <c r="L61" s="187">
        <f t="shared" si="2"/>
        <v>0.43102113374552764</v>
      </c>
      <c r="M61" s="184">
        <f t="shared" si="3"/>
        <v>358851284.31267262</v>
      </c>
      <c r="N61" s="184">
        <f t="shared" ca="1" si="4"/>
        <v>27603944.947128661</v>
      </c>
      <c r="O61" s="180">
        <f t="shared" si="5"/>
        <v>358851284.31267262</v>
      </c>
      <c r="P61" s="180">
        <f t="shared" ca="1" si="6"/>
        <v>27603944.947128661</v>
      </c>
      <c r="Q61" s="185">
        <f t="shared" si="7"/>
        <v>358851284.31267262</v>
      </c>
      <c r="R61" s="185">
        <f t="shared" ca="1" si="8"/>
        <v>27603944.947128661</v>
      </c>
    </row>
    <row r="62" spans="2:18" x14ac:dyDescent="0.25">
      <c r="B62" s="50" t="s">
        <v>82</v>
      </c>
      <c r="C62" s="55" t="s">
        <v>83</v>
      </c>
      <c r="D62" s="118">
        <f>TARGETS!Y15</f>
        <v>518888039</v>
      </c>
      <c r="E62" s="118">
        <f>TARGETS!Z15</f>
        <v>55257406.157477453</v>
      </c>
      <c r="F62" s="118">
        <f>TARGETS!AA15</f>
        <v>193954669</v>
      </c>
      <c r="G62" s="118">
        <f t="shared" si="0"/>
        <v>768100114.1574775</v>
      </c>
      <c r="H62" s="114">
        <f t="shared" si="10"/>
        <v>237199793.180006</v>
      </c>
      <c r="I62" s="114">
        <f t="shared" si="10"/>
        <v>33712481.989983998</v>
      </c>
      <c r="J62" s="114">
        <f>SUM(O16)</f>
        <v>115040947.379971</v>
      </c>
      <c r="K62" s="114">
        <f t="shared" si="1"/>
        <v>385953222.54996097</v>
      </c>
      <c r="L62" s="187">
        <f t="shared" si="2"/>
        <v>0.50247775704773823</v>
      </c>
      <c r="M62" s="184">
        <f t="shared" si="3"/>
        <v>382146891.60751653</v>
      </c>
      <c r="N62" s="184">
        <f t="shared" ca="1" si="4"/>
        <v>29395914.739039734</v>
      </c>
      <c r="O62" s="180">
        <f t="shared" si="5"/>
        <v>382146891.60751653</v>
      </c>
      <c r="P62" s="180">
        <f t="shared" ca="1" si="6"/>
        <v>29395914.739039734</v>
      </c>
      <c r="Q62" s="185">
        <f t="shared" si="7"/>
        <v>382146891.60751653</v>
      </c>
      <c r="R62" s="185">
        <f t="shared" ca="1" si="8"/>
        <v>29395914.739039734</v>
      </c>
    </row>
    <row r="63" spans="2:18" x14ac:dyDescent="0.25">
      <c r="B63" s="53" t="s">
        <v>84</v>
      </c>
      <c r="C63" s="56" t="s">
        <v>85</v>
      </c>
      <c r="D63" s="119">
        <f>TARGETS!Y16</f>
        <v>210599044</v>
      </c>
      <c r="E63" s="119">
        <f>TARGETS!Z16</f>
        <v>32662674.187332422</v>
      </c>
      <c r="F63" s="119">
        <f>TARGETS!AA16</f>
        <v>285268852</v>
      </c>
      <c r="G63" s="119">
        <f t="shared" si="0"/>
        <v>528530570.18733239</v>
      </c>
      <c r="H63" s="114">
        <f t="shared" si="10"/>
        <v>82775497.680877998</v>
      </c>
      <c r="I63" s="114">
        <f t="shared" si="10"/>
        <v>18365003.349192999</v>
      </c>
      <c r="J63" s="114">
        <f>SUM(O17)</f>
        <v>118082576.943204</v>
      </c>
      <c r="K63" s="114">
        <f t="shared" si="1"/>
        <v>219223077.97327501</v>
      </c>
      <c r="L63" s="187">
        <f t="shared" si="2"/>
        <v>0.41477842595854686</v>
      </c>
      <c r="M63" s="184">
        <f t="shared" si="3"/>
        <v>309307492.21405739</v>
      </c>
      <c r="N63" s="184">
        <f t="shared" ca="1" si="4"/>
        <v>23792884.016465954</v>
      </c>
      <c r="O63" s="180">
        <f t="shared" si="5"/>
        <v>309307492.21405739</v>
      </c>
      <c r="P63" s="180">
        <f t="shared" ca="1" si="6"/>
        <v>23792884.016465954</v>
      </c>
      <c r="Q63" s="185">
        <f t="shared" si="7"/>
        <v>309307492.21405739</v>
      </c>
      <c r="R63" s="185">
        <f t="shared" ca="1" si="8"/>
        <v>23792884.016465954</v>
      </c>
    </row>
    <row r="64" spans="2:18" x14ac:dyDescent="0.25">
      <c r="B64" s="50" t="s">
        <v>86</v>
      </c>
      <c r="C64" s="55" t="s">
        <v>87</v>
      </c>
      <c r="D64" s="118">
        <f>TARGETS!Y17</f>
        <v>452060736</v>
      </c>
      <c r="E64" s="118">
        <f>TARGETS!Z17</f>
        <v>310428849.14490294</v>
      </c>
      <c r="F64" s="118">
        <f>TARGETS!AA17</f>
        <v>267991724</v>
      </c>
      <c r="G64" s="118">
        <f t="shared" si="0"/>
        <v>1030481309.1449029</v>
      </c>
      <c r="H64" s="114">
        <f t="shared" si="10"/>
        <v>179929426.85589901</v>
      </c>
      <c r="I64" s="114">
        <f t="shared" si="10"/>
        <v>144655764.49020401</v>
      </c>
      <c r="J64" s="114">
        <f>SUM(O18)</f>
        <v>163575996.32839599</v>
      </c>
      <c r="K64" s="114">
        <f t="shared" si="1"/>
        <v>488161187.67449903</v>
      </c>
      <c r="L64" s="187">
        <f t="shared" si="2"/>
        <v>0.47372153511408849</v>
      </c>
      <c r="M64" s="184">
        <f t="shared" si="3"/>
        <v>542320121.47040391</v>
      </c>
      <c r="N64" s="184">
        <f t="shared" ca="1" si="4"/>
        <v>41716932.420800298</v>
      </c>
      <c r="O64" s="180">
        <f t="shared" si="5"/>
        <v>542320121.47040391</v>
      </c>
      <c r="P64" s="180">
        <f t="shared" ca="1" si="6"/>
        <v>41716932.420800298</v>
      </c>
      <c r="Q64" s="185">
        <f t="shared" si="7"/>
        <v>542320121.47040391</v>
      </c>
      <c r="R64" s="185">
        <f t="shared" ca="1" si="8"/>
        <v>41716932.420800298</v>
      </c>
    </row>
    <row r="65" spans="2:18" x14ac:dyDescent="0.25">
      <c r="B65" s="53" t="s">
        <v>88</v>
      </c>
      <c r="C65" s="56" t="s">
        <v>89</v>
      </c>
      <c r="D65" s="119">
        <f>TARGETS!Y18</f>
        <v>165415307</v>
      </c>
      <c r="E65" s="119">
        <f>TARGETS!Z18</f>
        <v>195822004.71075061</v>
      </c>
      <c r="F65" s="119">
        <f>TARGETS!AA18</f>
        <v>227184322</v>
      </c>
      <c r="G65" s="119">
        <f t="shared" si="0"/>
        <v>588421633.71075058</v>
      </c>
      <c r="H65" s="114">
        <f t="shared" si="10"/>
        <v>71638911.904845998</v>
      </c>
      <c r="I65" s="114">
        <f t="shared" si="10"/>
        <v>102144896.900813</v>
      </c>
      <c r="J65" s="114">
        <f>SUM(O19)</f>
        <v>63703290.71926</v>
      </c>
      <c r="K65" s="114">
        <f t="shared" si="1"/>
        <v>237487099.524919</v>
      </c>
      <c r="L65" s="187">
        <f t="shared" si="2"/>
        <v>0.40360021780174749</v>
      </c>
      <c r="M65" s="184">
        <f t="shared" si="3"/>
        <v>350934534.18583155</v>
      </c>
      <c r="N65" s="184">
        <f t="shared" ca="1" si="4"/>
        <v>26994964.168140888</v>
      </c>
      <c r="O65" s="180">
        <f t="shared" si="5"/>
        <v>350934534.18583155</v>
      </c>
      <c r="P65" s="180">
        <f t="shared" ca="1" si="6"/>
        <v>26994964.168140888</v>
      </c>
      <c r="Q65" s="185">
        <f t="shared" si="7"/>
        <v>350934534.18583155</v>
      </c>
      <c r="R65" s="185">
        <f t="shared" ca="1" si="8"/>
        <v>26994964.168140888</v>
      </c>
    </row>
    <row r="66" spans="2:18" x14ac:dyDescent="0.25">
      <c r="B66" s="57" t="s">
        <v>151</v>
      </c>
      <c r="C66" s="58"/>
      <c r="D66" s="134">
        <f t="shared" ref="D66:K66" si="11">SUM(D52:D65)</f>
        <v>4927597521</v>
      </c>
      <c r="E66" s="134">
        <f t="shared" si="11"/>
        <v>1294442997.4659395</v>
      </c>
      <c r="F66" s="134">
        <f t="shared" si="11"/>
        <v>3216211725</v>
      </c>
      <c r="G66" s="134">
        <f t="shared" si="11"/>
        <v>9438252243.4659405</v>
      </c>
      <c r="H66" s="135">
        <f t="shared" si="11"/>
        <v>2388414046.8358545</v>
      </c>
      <c r="I66" s="135">
        <f t="shared" si="11"/>
        <v>589415823.38922989</v>
      </c>
      <c r="J66" s="135">
        <f t="shared" si="11"/>
        <v>1458337698.920944</v>
      </c>
      <c r="K66" s="135">
        <f t="shared" si="11"/>
        <v>4436167569.1460285</v>
      </c>
      <c r="L66" s="189">
        <f t="shared" si="2"/>
        <v>0.47002002645322044</v>
      </c>
      <c r="M66" s="181">
        <f>SUM(M52:M65)</f>
        <v>5002084674.319912</v>
      </c>
      <c r="N66" s="181">
        <f t="shared" ca="1" si="4"/>
        <v>384775744.17845476</v>
      </c>
      <c r="O66" s="181">
        <f>SUM(O52:O65)</f>
        <v>5002084674.319912</v>
      </c>
      <c r="P66" s="181">
        <f t="shared" ca="1" si="6"/>
        <v>384775744.17845476</v>
      </c>
      <c r="Q66" s="186">
        <f>SUM(Q52:Q65)</f>
        <v>5002084674.319912</v>
      </c>
      <c r="R66" s="186">
        <f t="shared" ca="1" si="8"/>
        <v>384775744.17845476</v>
      </c>
    </row>
    <row r="67" spans="2:18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85"/>
      <c r="G68" s="269" t="s">
        <v>187</v>
      </c>
      <c r="H68" s="270"/>
      <c r="I68" s="270"/>
      <c r="J68" s="270"/>
      <c r="K68" s="270"/>
      <c r="L68" s="271"/>
    </row>
    <row r="69" spans="2:18" ht="31.5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x14ac:dyDescent="0.25">
      <c r="B70" s="50" t="s">
        <v>92</v>
      </c>
      <c r="C70" s="55" t="s">
        <v>93</v>
      </c>
      <c r="D70" s="116">
        <f>TARGETS!K22</f>
        <v>298101474.90070933</v>
      </c>
      <c r="E70" s="114">
        <f>IFERROR(C32,0)</f>
        <v>130042612.599346</v>
      </c>
      <c r="F70" s="187">
        <f t="shared" ref="F70:F75" si="12">IFERROR(E70/D70,0)</f>
        <v>0.43623605902205004</v>
      </c>
      <c r="G70" s="184">
        <f>D70*$H$41-E70</f>
        <v>168058862.30136335</v>
      </c>
      <c r="H70" s="184">
        <f t="shared" ref="H70:H75" ca="1" si="13">IFERROR(G70/$C$3,0)</f>
        <v>12927604.792412566</v>
      </c>
      <c r="I70" s="204">
        <f>D70*$J$41-E70</f>
        <v>168058862.30136335</v>
      </c>
      <c r="J70" s="204">
        <f t="shared" ref="J70:J75" ca="1" si="14">IFERROR(I70/$C$3,0)</f>
        <v>12927604.792412566</v>
      </c>
      <c r="K70" s="185">
        <f>D70*$L$41-E70</f>
        <v>168058862.30136335</v>
      </c>
      <c r="L70" s="185">
        <f t="shared" ref="L70:L75" ca="1" si="15">IFERROR(K70/$C$3,0)</f>
        <v>12927604.792412566</v>
      </c>
    </row>
    <row r="71" spans="2:18" x14ac:dyDescent="0.25">
      <c r="B71" s="53" t="s">
        <v>94</v>
      </c>
      <c r="C71" s="56" t="s">
        <v>99</v>
      </c>
      <c r="D71" s="117">
        <f>TARGETS!K23</f>
        <v>441402383.90070933</v>
      </c>
      <c r="E71" s="114">
        <f>IFERROR(C33,0)</f>
        <v>162860126.90538001</v>
      </c>
      <c r="F71" s="187">
        <f t="shared" si="12"/>
        <v>0.36896068722187592</v>
      </c>
      <c r="G71" s="184">
        <f>D71*$H$41-E71</f>
        <v>278542256.99532932</v>
      </c>
      <c r="H71" s="184">
        <f t="shared" ca="1" si="13"/>
        <v>21426327.461179178</v>
      </c>
      <c r="I71" s="204">
        <f>D71*$J$41-E71</f>
        <v>278542256.99532932</v>
      </c>
      <c r="J71" s="204">
        <f t="shared" ca="1" si="14"/>
        <v>21426327.461179178</v>
      </c>
      <c r="K71" s="185">
        <f>D71*$L$41-E71</f>
        <v>278542256.99532932</v>
      </c>
      <c r="L71" s="185">
        <f t="shared" ca="1" si="15"/>
        <v>21426327.461179178</v>
      </c>
    </row>
    <row r="72" spans="2:18" x14ac:dyDescent="0.25">
      <c r="B72" s="50" t="s">
        <v>96</v>
      </c>
      <c r="C72" s="55" t="s">
        <v>97</v>
      </c>
      <c r="D72" s="116">
        <f>TARGETS!K24</f>
        <v>1126453588.0070922</v>
      </c>
      <c r="E72" s="114">
        <f>M21+M7</f>
        <v>467623259.89235204</v>
      </c>
      <c r="F72" s="187">
        <f t="shared" si="12"/>
        <v>0.41512874109590731</v>
      </c>
      <c r="G72" s="184">
        <f>D72*$H$41-E72</f>
        <v>658830328.11474013</v>
      </c>
      <c r="H72" s="184">
        <f t="shared" ca="1" si="13"/>
        <v>50679256.008826166</v>
      </c>
      <c r="I72" s="204">
        <f>D72*$J$41-E72</f>
        <v>658830328.11474013</v>
      </c>
      <c r="J72" s="204">
        <f t="shared" ca="1" si="14"/>
        <v>50679256.008826166</v>
      </c>
      <c r="K72" s="185">
        <f>D72*$L$41-E72</f>
        <v>658830328.11474013</v>
      </c>
      <c r="L72" s="185">
        <f t="shared" ca="1" si="15"/>
        <v>50679256.008826166</v>
      </c>
    </row>
    <row r="73" spans="2:18" hidden="1" x14ac:dyDescent="0.25">
      <c r="B73" s="53" t="s">
        <v>98</v>
      </c>
      <c r="C73" s="56" t="s">
        <v>99</v>
      </c>
      <c r="D73" s="117">
        <f>TARGETS!K25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8" hidden="1" x14ac:dyDescent="0.25">
      <c r="B74" s="50" t="s">
        <v>100</v>
      </c>
      <c r="C74" s="108" t="s">
        <v>101</v>
      </c>
      <c r="D74" s="116">
        <f>TARGETS!K26</f>
        <v>0</v>
      </c>
      <c r="E74" s="114">
        <f>0</f>
        <v>0</v>
      </c>
      <c r="F74" s="187">
        <f t="shared" si="12"/>
        <v>0</v>
      </c>
      <c r="G74" s="184">
        <f>D74*$H$41-E74</f>
        <v>0</v>
      </c>
      <c r="H74" s="184">
        <f t="shared" ca="1" si="13"/>
        <v>0</v>
      </c>
      <c r="I74" s="204">
        <f>D74*$J$41-E74</f>
        <v>0</v>
      </c>
      <c r="J74" s="204">
        <f t="shared" ca="1" si="14"/>
        <v>0</v>
      </c>
      <c r="K74" s="185">
        <f>D74*$L$41-E74</f>
        <v>0</v>
      </c>
      <c r="L74" s="185">
        <f t="shared" ca="1" si="15"/>
        <v>0</v>
      </c>
    </row>
    <row r="75" spans="2:18" x14ac:dyDescent="0.25">
      <c r="B75" s="57" t="s">
        <v>151</v>
      </c>
      <c r="C75" s="58"/>
      <c r="D75" s="115">
        <f>SUM(D70:D74)</f>
        <v>1865957446.8085108</v>
      </c>
      <c r="E75" s="115">
        <f>SUM(E70:E74)</f>
        <v>760525999.39707804</v>
      </c>
      <c r="F75" s="177">
        <f t="shared" si="12"/>
        <v>0.407579497966507</v>
      </c>
      <c r="G75" s="181">
        <f>SUM(G70:G74)</f>
        <v>1105431447.4114327</v>
      </c>
      <c r="H75" s="181">
        <f t="shared" ca="1" si="13"/>
        <v>85033188.262417898</v>
      </c>
      <c r="I75" s="186">
        <f>SUM(I70:I74)</f>
        <v>1105431447.4114327</v>
      </c>
      <c r="J75" s="186">
        <f t="shared" ca="1" si="14"/>
        <v>85033188.262417898</v>
      </c>
      <c r="K75" s="186">
        <f>SUM(K70:K74)</f>
        <v>1105431447.4114327</v>
      </c>
      <c r="L75" s="186">
        <f t="shared" ca="1" si="15"/>
        <v>85033188.262417898</v>
      </c>
    </row>
    <row r="78" spans="2:18" ht="20.100000000000001" customHeight="1" x14ac:dyDescent="0.25">
      <c r="B78" s="249" t="s">
        <v>172</v>
      </c>
      <c r="C78" s="250"/>
      <c r="D78" s="251"/>
    </row>
    <row r="79" spans="2:18" ht="15.75" x14ac:dyDescent="0.25">
      <c r="B79" s="268" t="s">
        <v>41</v>
      </c>
      <c r="C79" s="268" t="s">
        <v>42</v>
      </c>
      <c r="D79" s="231" t="s">
        <v>138</v>
      </c>
    </row>
    <row r="80" spans="2:18" ht="15.75" x14ac:dyDescent="0.25">
      <c r="B80" s="258"/>
      <c r="C80" s="258"/>
      <c r="D80" s="70" t="s">
        <v>169</v>
      </c>
    </row>
    <row r="81" spans="2:4" x14ac:dyDescent="0.25">
      <c r="B81" s="50" t="s">
        <v>67</v>
      </c>
      <c r="C81" s="55" t="s">
        <v>68</v>
      </c>
      <c r="D81" s="131">
        <f>SUM(F22)</f>
        <v>295888073.05992502</v>
      </c>
    </row>
    <row r="82" spans="2:4" x14ac:dyDescent="0.25">
      <c r="B82" s="53" t="s">
        <v>69</v>
      </c>
      <c r="C82" s="56" t="s">
        <v>70</v>
      </c>
      <c r="D82" s="132">
        <f>SUM(F13,F14)</f>
        <v>76699572.099999994</v>
      </c>
    </row>
    <row r="83" spans="2:4" x14ac:dyDescent="0.25">
      <c r="B83" s="53" t="s">
        <v>173</v>
      </c>
      <c r="C83" s="56" t="s">
        <v>174</v>
      </c>
      <c r="D83" s="132">
        <f>SUM(F20)</f>
        <v>5225225.08</v>
      </c>
    </row>
    <row r="84" spans="2:4" x14ac:dyDescent="0.25">
      <c r="B84" s="50" t="s">
        <v>71</v>
      </c>
      <c r="C84" s="55" t="s">
        <v>72</v>
      </c>
      <c r="D84" s="131">
        <f>SUM(F15)</f>
        <v>213748808.91986501</v>
      </c>
    </row>
    <row r="85" spans="2:4" x14ac:dyDescent="0.25">
      <c r="B85" s="53" t="s">
        <v>73</v>
      </c>
      <c r="C85" s="56" t="s">
        <v>191</v>
      </c>
      <c r="D85" s="132">
        <f>0</f>
        <v>0</v>
      </c>
    </row>
    <row r="86" spans="2:4" x14ac:dyDescent="0.25">
      <c r="B86" s="50" t="s">
        <v>75</v>
      </c>
      <c r="C86" s="55" t="s">
        <v>99</v>
      </c>
      <c r="D86" s="131">
        <f>SUM(F25,F26)</f>
        <v>39121450.049999997</v>
      </c>
    </row>
    <row r="87" spans="2:4" x14ac:dyDescent="0.25">
      <c r="B87" s="53" t="s">
        <v>76</v>
      </c>
      <c r="C87" s="56" t="s">
        <v>77</v>
      </c>
      <c r="D87" s="132">
        <f>SUM(F17)</f>
        <v>742818193.46996295</v>
      </c>
    </row>
    <row r="88" spans="2:4" x14ac:dyDescent="0.25">
      <c r="B88" s="50" t="s">
        <v>78</v>
      </c>
      <c r="C88" s="55" t="s">
        <v>79</v>
      </c>
      <c r="D88" s="131">
        <f>SUM(F23)</f>
        <v>201234110.76965901</v>
      </c>
    </row>
    <row r="89" spans="2:4" x14ac:dyDescent="0.25">
      <c r="B89" s="53" t="s">
        <v>173</v>
      </c>
      <c r="C89" s="56" t="s">
        <v>175</v>
      </c>
      <c r="D89" s="132">
        <f>SUM(F21)</f>
        <v>7603603.4000000004</v>
      </c>
    </row>
    <row r="90" spans="2:4" x14ac:dyDescent="0.25">
      <c r="B90" s="53" t="s">
        <v>80</v>
      </c>
      <c r="C90" s="56" t="s">
        <v>191</v>
      </c>
      <c r="D90" s="132">
        <f>SUM(F11)</f>
        <v>36475676.399999999</v>
      </c>
    </row>
    <row r="91" spans="2:4" x14ac:dyDescent="0.25">
      <c r="B91" s="50" t="s">
        <v>82</v>
      </c>
      <c r="C91" s="55" t="s">
        <v>83</v>
      </c>
      <c r="D91" s="131">
        <f>SUM(F24)</f>
        <v>358072039.07963401</v>
      </c>
    </row>
    <row r="92" spans="2:4" x14ac:dyDescent="0.25">
      <c r="B92" s="53" t="s">
        <v>84</v>
      </c>
      <c r="C92" s="56" t="s">
        <v>85</v>
      </c>
      <c r="D92" s="132">
        <f>SUM(F10)</f>
        <v>91965539.170000002</v>
      </c>
    </row>
    <row r="93" spans="2:4" x14ac:dyDescent="0.25">
      <c r="B93" s="50" t="s">
        <v>86</v>
      </c>
      <c r="C93" s="55" t="s">
        <v>87</v>
      </c>
      <c r="D93" s="131">
        <f>SUM(F27)</f>
        <v>10414702.926999999</v>
      </c>
    </row>
    <row r="94" spans="2:4" x14ac:dyDescent="0.25">
      <c r="B94" s="53" t="s">
        <v>88</v>
      </c>
      <c r="C94" s="56" t="s">
        <v>89</v>
      </c>
      <c r="D94" s="132">
        <f>SUM(F18,F19)</f>
        <v>82589190.920000002</v>
      </c>
    </row>
    <row r="95" spans="2:4" x14ac:dyDescent="0.25">
      <c r="B95" s="57" t="s">
        <v>151</v>
      </c>
      <c r="C95" s="58"/>
      <c r="D95" s="120">
        <f>SUM(D81:D94)</f>
        <v>2161856185.346046</v>
      </c>
    </row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14" priority="1">
      <formula>L52&gt;=$F$42-0.05</formula>
    </cfRule>
    <cfRule type="expression" dxfId="13" priority="2">
      <formula>AND(L52&gt;=$F$42-0.2,L52&lt;$F$42-0.05)</formula>
    </cfRule>
    <cfRule type="expression" dxfId="12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162</v>
      </c>
      <c r="C41" s="260"/>
      <c r="D41" s="261"/>
      <c r="E41" s="66" t="s">
        <v>137</v>
      </c>
      <c r="F41" s="174">
        <f ca="1">IF(MONTH(TODAY())=9,DAY(TODAY())/DAY(EOMONTH(TODAY(),0)),IF(MONTH(TODAY())&gt;9,1,0))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SUM(TARGETS!AB5:AB18)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SUM(TARGETS!AC5:AC18)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SUM(TARGETS!AD5:AD18)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SUM(TARGETS!L22:L26)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TARGETS!AB5</f>
        <v>0</v>
      </c>
      <c r="E52" s="118">
        <f>TARGETS!AC5</f>
        <v>0</v>
      </c>
      <c r="F52" s="118">
        <f>TARGETS!AD5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TARGETS!AB6</f>
        <v>0</v>
      </c>
      <c r="E53" s="119">
        <f>TARGETS!AC6</f>
        <v>0</v>
      </c>
      <c r="F53" s="119">
        <f>TARGETS!AD6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TARGETS!AB7</f>
        <v>0</v>
      </c>
      <c r="E54" s="138">
        <f>TARGETS!AC7</f>
        <v>0</v>
      </c>
      <c r="F54" s="138">
        <f>TARGETS!AD7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TARGETS!AB8</f>
        <v>0</v>
      </c>
      <c r="E55" s="119">
        <f>TARGETS!AC8</f>
        <v>0</v>
      </c>
      <c r="F55" s="119">
        <f>TARGETS!AD8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TARGETS!AB9</f>
        <v>0</v>
      </c>
      <c r="E56" s="118">
        <f>TARGETS!AC9</f>
        <v>0</v>
      </c>
      <c r="F56" s="118">
        <f>TARGETS!AD9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TARGETS!AB10</f>
        <v>0</v>
      </c>
      <c r="E57" s="119">
        <f>TARGETS!AC10</f>
        <v>0</v>
      </c>
      <c r="F57" s="119">
        <f>TARGETS!AD10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TARGETS!AB11</f>
        <v>0</v>
      </c>
      <c r="E58" s="118">
        <f>TARGETS!AC11</f>
        <v>0</v>
      </c>
      <c r="F58" s="118">
        <f>TARGETS!AD11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TARGETS!AB12</f>
        <v>0</v>
      </c>
      <c r="E59" s="119">
        <f>TARGETS!AC12</f>
        <v>0</v>
      </c>
      <c r="F59" s="119">
        <f>TARGETS!AD12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TARGETS!AB13</f>
        <v>0</v>
      </c>
      <c r="E60" s="138">
        <f>TARGETS!AC13</f>
        <v>0</v>
      </c>
      <c r="F60" s="138">
        <f>TARGETS!AD13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TARGETS!AB14</f>
        <v>0</v>
      </c>
      <c r="E61" s="119">
        <f>TARGETS!AC14</f>
        <v>0</v>
      </c>
      <c r="F61" s="119">
        <f>TARGETS!AD14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TARGETS!AB15</f>
        <v>0</v>
      </c>
      <c r="E62" s="118">
        <f>TARGETS!AC15</f>
        <v>0</v>
      </c>
      <c r="F62" s="118">
        <f>TARGETS!AD15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TARGETS!AB16</f>
        <v>0</v>
      </c>
      <c r="E63" s="119">
        <f>TARGETS!AC16</f>
        <v>0</v>
      </c>
      <c r="F63" s="119">
        <f>TARGETS!AD16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TARGETS!AB17</f>
        <v>0</v>
      </c>
      <c r="E64" s="118">
        <f>TARGETS!AC17</f>
        <v>0</v>
      </c>
      <c r="F64" s="118">
        <f>TARGETS!AD17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TARGETS!AB18</f>
        <v>0</v>
      </c>
      <c r="E65" s="119">
        <f>TARGETS!AC18</f>
        <v>0</v>
      </c>
      <c r="F65" s="119">
        <f>TARGETS!AD18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TARGETS!L22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TARGETS!L23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TARGETS!L24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TARGETS!L25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TARGETS!L26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11" priority="1">
      <formula>L52&gt;=$F$42-0.05</formula>
    </cfRule>
    <cfRule type="expression" dxfId="10" priority="2">
      <formula>AND(L52&gt;=$F$42-0.2,L52&lt;$F$42-0.05)</formula>
    </cfRule>
    <cfRule type="expression" dxfId="9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164</v>
      </c>
      <c r="C41" s="260"/>
      <c r="D41" s="261"/>
      <c r="E41" s="66" t="s">
        <v>137</v>
      </c>
      <c r="F41" s="174">
        <f ca="1">IF(MONTH(TODAY())=10,DAY(TODAY())/DAY(EOMONTH(TODAY(),0)),IF(MONTH(TODAY())&gt;10,1,0))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SUM(TARGETS!AG5:AG18)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TARGETS!AE5</f>
        <v>0</v>
      </c>
      <c r="E52" s="118">
        <f>TARGETS!AF5</f>
        <v>0</v>
      </c>
      <c r="F52" s="118">
        <f>TARGETS!AG5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TARGETS!AE6</f>
        <v>0</v>
      </c>
      <c r="E53" s="119">
        <f>TARGETS!AF6</f>
        <v>0</v>
      </c>
      <c r="F53" s="119">
        <f>TARGETS!AG6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TARGETS!AE7</f>
        <v>0</v>
      </c>
      <c r="E54" s="138">
        <f>TARGETS!AF7</f>
        <v>0</v>
      </c>
      <c r="F54" s="138">
        <f>TARGETS!AG7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TARGETS!AE8</f>
        <v>0</v>
      </c>
      <c r="E55" s="119">
        <f>TARGETS!AF8</f>
        <v>0</v>
      </c>
      <c r="F55" s="119">
        <f>TARGETS!AG8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TARGETS!AE9</f>
        <v>0</v>
      </c>
      <c r="E56" s="118">
        <f>TARGETS!AF9</f>
        <v>0</v>
      </c>
      <c r="F56" s="118">
        <f>TARGETS!AG9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TARGETS!AE10</f>
        <v>0</v>
      </c>
      <c r="E57" s="119">
        <f>TARGETS!AF10</f>
        <v>0</v>
      </c>
      <c r="F57" s="119">
        <f>TARGETS!AG10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TARGETS!AE11</f>
        <v>0</v>
      </c>
      <c r="E58" s="118">
        <f>TARGETS!AF11</f>
        <v>0</v>
      </c>
      <c r="F58" s="118">
        <f>TARGETS!AG11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TARGETS!AE12</f>
        <v>0</v>
      </c>
      <c r="E59" s="119">
        <f>TARGETS!AF12</f>
        <v>0</v>
      </c>
      <c r="F59" s="119">
        <f>TARGETS!AG12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TARGETS!AE13</f>
        <v>0</v>
      </c>
      <c r="E60" s="138">
        <f>TARGETS!AF13</f>
        <v>0</v>
      </c>
      <c r="F60" s="138">
        <f>TARGETS!AG13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TARGETS!AE14</f>
        <v>0</v>
      </c>
      <c r="E61" s="119">
        <f>TARGETS!AF14</f>
        <v>0</v>
      </c>
      <c r="F61" s="119">
        <f>TARGETS!AG14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TARGETS!AE15</f>
        <v>0</v>
      </c>
      <c r="E62" s="118">
        <f>TARGETS!AF15</f>
        <v>0</v>
      </c>
      <c r="F62" s="118">
        <f>TARGETS!AG15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TARGETS!AE16</f>
        <v>0</v>
      </c>
      <c r="E63" s="119">
        <f>TARGETS!AF16</f>
        <v>0</v>
      </c>
      <c r="F63" s="119">
        <f>TARGETS!AG16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TARGETS!AE17</f>
        <v>0</v>
      </c>
      <c r="E64" s="118">
        <f>TARGETS!AF17</f>
        <v>0</v>
      </c>
      <c r="F64" s="118">
        <f>TARGETS!AG17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TARGETS!AE18</f>
        <v>0</v>
      </c>
      <c r="E65" s="119">
        <f>TARGETS!AF18</f>
        <v>0</v>
      </c>
      <c r="F65" s="119">
        <f>TARGETS!AG18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TARGETS!M22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TARGETS!M23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TARGETS!M24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176</v>
      </c>
      <c r="C41" s="260"/>
      <c r="D41" s="261"/>
      <c r="E41" s="66" t="s">
        <v>137</v>
      </c>
      <c r="F41" s="174">
        <f ca="1">IF(MONTH(TODAY())=11,DAY(TODAY())/DAY(EOMONTH(TODAY(),0)),IF(MONTH(TODAY())&gt;11,1,0))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SUM(TARGETS!AH5:AH18)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SUM(TARGETS!AI5:AI18)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SUM(TARGETS!AJ5:AJ18)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SUM(TARGETS!N22:N26)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TARGETS!AH5</f>
        <v>0</v>
      </c>
      <c r="E52" s="118">
        <f>TARGETS!AI5</f>
        <v>0</v>
      </c>
      <c r="F52" s="118">
        <f>TARGETS!AJ5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TARGETS!AH6</f>
        <v>0</v>
      </c>
      <c r="E53" s="119">
        <f>TARGETS!AI6</f>
        <v>0</v>
      </c>
      <c r="F53" s="119">
        <f>TARGETS!AJ6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TARGETS!AH7</f>
        <v>0</v>
      </c>
      <c r="E54" s="138">
        <f>TARGETS!AI7</f>
        <v>0</v>
      </c>
      <c r="F54" s="138">
        <f>TARGETS!AJ7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TARGETS!AH8</f>
        <v>0</v>
      </c>
      <c r="E55" s="119">
        <f>TARGETS!AI8</f>
        <v>0</v>
      </c>
      <c r="F55" s="119">
        <f>TARGETS!AJ8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TARGETS!AH9</f>
        <v>0</v>
      </c>
      <c r="E56" s="118">
        <f>TARGETS!AI9</f>
        <v>0</v>
      </c>
      <c r="F56" s="118">
        <f>TARGETS!AJ9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TARGETS!AH10</f>
        <v>0</v>
      </c>
      <c r="E57" s="119">
        <f>TARGETS!AI10</f>
        <v>0</v>
      </c>
      <c r="F57" s="119">
        <f>TARGETS!AJ10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TARGETS!AH11</f>
        <v>0</v>
      </c>
      <c r="E58" s="118">
        <f>TARGETS!AI11</f>
        <v>0</v>
      </c>
      <c r="F58" s="118">
        <f>TARGETS!AJ11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TARGETS!AH12</f>
        <v>0</v>
      </c>
      <c r="E59" s="119">
        <f>TARGETS!AI12</f>
        <v>0</v>
      </c>
      <c r="F59" s="119">
        <f>TARGETS!AJ12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TARGETS!AH13</f>
        <v>0</v>
      </c>
      <c r="E60" s="138">
        <f>TARGETS!AI13</f>
        <v>0</v>
      </c>
      <c r="F60" s="138">
        <f>TARGETS!AJ13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TARGETS!AH14</f>
        <v>0</v>
      </c>
      <c r="E61" s="119">
        <f>TARGETS!AI14</f>
        <v>0</v>
      </c>
      <c r="F61" s="119">
        <f>TARGETS!AJ14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TARGETS!AH15</f>
        <v>0</v>
      </c>
      <c r="E62" s="118">
        <f>TARGETS!AI15</f>
        <v>0</v>
      </c>
      <c r="F62" s="118">
        <f>TARGETS!AJ15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TARGETS!AH16</f>
        <v>0</v>
      </c>
      <c r="E63" s="119">
        <f>TARGETS!AI16</f>
        <v>0</v>
      </c>
      <c r="F63" s="119">
        <f>TARGETS!AJ16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TARGETS!AH17</f>
        <v>0</v>
      </c>
      <c r="E64" s="118">
        <f>TARGETS!AI17</f>
        <v>0</v>
      </c>
      <c r="F64" s="118">
        <f>TARGETS!AJ17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TARGETS!AH18</f>
        <v>0</v>
      </c>
      <c r="E65" s="119">
        <f>TARGETS!AI18</f>
        <v>0</v>
      </c>
      <c r="F65" s="119">
        <f>TARGETS!AJ18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TARGETS!N22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TARGETS!N23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TARGETS!N24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TARGETS!N25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TARGETS!N26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5" priority="1">
      <formula>L52&gt;=$F$42-0.05</formula>
    </cfRule>
    <cfRule type="expression" dxfId="4" priority="2">
      <formula>AND(L52&gt;=$F$42-0.2,L52&lt;$F$42-0.05)</formula>
    </cfRule>
    <cfRule type="expression" dxfId="3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178</v>
      </c>
      <c r="C41" s="260"/>
      <c r="D41" s="261"/>
      <c r="E41" s="66" t="s">
        <v>137</v>
      </c>
      <c r="F41" s="174">
        <f ca="1">IF(MONTH(TODAY())=12,DAY(TODAY())/DAY(EOMONTH(TODAY(),0)),IF(MONTH(TODAY())&gt;12,1,0))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SUM(TARGETS!AK5:AK18)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SUM(TARGETS!AL5:AL18)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SUM(TARGETS!AM5:AM18)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SUM(TARGETS!O22:O26)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TARGETS!AK5</f>
        <v>0</v>
      </c>
      <c r="E52" s="118">
        <v>0</v>
      </c>
      <c r="F52" s="118">
        <f>TARGETS!AM5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TARGETS!AK6</f>
        <v>0</v>
      </c>
      <c r="E53" s="119">
        <v>0</v>
      </c>
      <c r="F53" s="119">
        <f>TARGETS!AM6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TARGETS!AK7</f>
        <v>0</v>
      </c>
      <c r="E54" s="138">
        <v>0</v>
      </c>
      <c r="F54" s="138">
        <f>TARGETS!AM7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TARGETS!AK8</f>
        <v>0</v>
      </c>
      <c r="E55" s="119">
        <v>0</v>
      </c>
      <c r="F55" s="119">
        <f>TARGETS!AM8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TARGETS!AK9</f>
        <v>0</v>
      </c>
      <c r="E56" s="118">
        <v>0</v>
      </c>
      <c r="F56" s="118">
        <f>TARGETS!AM9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TARGETS!AK10</f>
        <v>0</v>
      </c>
      <c r="E57" s="119">
        <v>0</v>
      </c>
      <c r="F57" s="119">
        <f>TARGETS!AM10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TARGETS!AK11</f>
        <v>0</v>
      </c>
      <c r="E58" s="118">
        <v>0</v>
      </c>
      <c r="F58" s="118">
        <f>TARGETS!AM11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TARGETS!AK12</f>
        <v>0</v>
      </c>
      <c r="E59" s="119">
        <v>0</v>
      </c>
      <c r="F59" s="119">
        <f>TARGETS!AM12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TARGETS!AK13</f>
        <v>0</v>
      </c>
      <c r="E60" s="138">
        <v>0</v>
      </c>
      <c r="F60" s="138">
        <f>TARGETS!AM13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TARGETS!AK14</f>
        <v>0</v>
      </c>
      <c r="E61" s="119">
        <v>0</v>
      </c>
      <c r="F61" s="119">
        <f>TARGETS!AM14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TARGETS!AK15</f>
        <v>0</v>
      </c>
      <c r="E62" s="118">
        <v>0</v>
      </c>
      <c r="F62" s="118">
        <f>TARGETS!AM15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TARGETS!AK16</f>
        <v>0</v>
      </c>
      <c r="E63" s="119">
        <v>0</v>
      </c>
      <c r="F63" s="119">
        <f>TARGETS!AM16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TARGETS!AK17</f>
        <v>0</v>
      </c>
      <c r="E64" s="118">
        <v>0</v>
      </c>
      <c r="F64" s="118">
        <f>TARGETS!AM17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TARGETS!AK18</f>
        <v>0</v>
      </c>
      <c r="E65" s="119">
        <v>0</v>
      </c>
      <c r="F65" s="119">
        <f>TARGETS!AM18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TARGETS!O22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TARGETS!O23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TARGETS!O24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TARGETS!O25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TARGETS!O26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2" priority="1">
      <formula>L52&gt;=$F$42-0.05</formula>
    </cfRule>
    <cfRule type="expression" dxfId="1" priority="2">
      <formula>AND(L52&gt;=$F$42-0.2,L52&lt;$F$42-0.05)</formula>
    </cfRule>
    <cfRule type="expression" dxfId="0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2026-08-14T00:54:53Z</dcterms:modified>
  <dc:language>en-US</dc:language>
</cp:coreProperties>
</file>