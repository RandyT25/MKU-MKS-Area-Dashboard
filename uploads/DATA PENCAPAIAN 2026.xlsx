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definedNames>
    <definedName name="_xlnm._FilterDatabase" localSheetId="11" hidden="1">OKT!$B$42:$L$47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14" l="1"/>
  <c r="U93" i="14"/>
  <c r="T93" i="14"/>
  <c r="D93" i="14"/>
  <c r="U92" i="14"/>
  <c r="T92" i="14"/>
  <c r="D92" i="14" s="1"/>
  <c r="U91" i="14"/>
  <c r="T91" i="14"/>
  <c r="D91" i="14" s="1"/>
  <c r="U90" i="14"/>
  <c r="T90" i="14"/>
  <c r="D90" i="14"/>
  <c r="U89" i="14"/>
  <c r="T89" i="14"/>
  <c r="D89" i="14" s="1"/>
  <c r="U88" i="14"/>
  <c r="D88" i="14" s="1"/>
  <c r="T88" i="14"/>
  <c r="U87" i="14"/>
  <c r="T87" i="14"/>
  <c r="D87" i="14" s="1"/>
  <c r="U86" i="14"/>
  <c r="T86" i="14"/>
  <c r="D86" i="14"/>
  <c r="U85" i="14"/>
  <c r="T85" i="14"/>
  <c r="D85" i="14"/>
  <c r="U84" i="14"/>
  <c r="T84" i="14"/>
  <c r="D84" i="14" s="1"/>
  <c r="U83" i="14"/>
  <c r="T83" i="14"/>
  <c r="D83" i="14" s="1"/>
  <c r="U82" i="14"/>
  <c r="T82" i="14"/>
  <c r="D82" i="14"/>
  <c r="U81" i="14"/>
  <c r="T81" i="14"/>
  <c r="D81" i="14" s="1"/>
  <c r="U80" i="14"/>
  <c r="D80" i="14" s="1"/>
  <c r="T80" i="14"/>
  <c r="D94" i="13"/>
  <c r="U93" i="13"/>
  <c r="T93" i="13"/>
  <c r="D93" i="13"/>
  <c r="U92" i="13"/>
  <c r="T92" i="13"/>
  <c r="D92" i="13" s="1"/>
  <c r="U91" i="13"/>
  <c r="T91" i="13"/>
  <c r="D91" i="13" s="1"/>
  <c r="U90" i="13"/>
  <c r="T90" i="13"/>
  <c r="D90" i="13"/>
  <c r="U89" i="13"/>
  <c r="T89" i="13"/>
  <c r="D89" i="13" s="1"/>
  <c r="U88" i="13"/>
  <c r="T88" i="13"/>
  <c r="D88" i="13"/>
  <c r="U87" i="13"/>
  <c r="T87" i="13"/>
  <c r="D87" i="13" s="1"/>
  <c r="U86" i="13"/>
  <c r="D86" i="13" s="1"/>
  <c r="T86" i="13"/>
  <c r="U85" i="13"/>
  <c r="T85" i="13"/>
  <c r="D85" i="13"/>
  <c r="U84" i="13"/>
  <c r="T84" i="13"/>
  <c r="D84" i="13" s="1"/>
  <c r="U83" i="13"/>
  <c r="T83" i="13"/>
  <c r="D83" i="13"/>
  <c r="U82" i="13"/>
  <c r="T82" i="13"/>
  <c r="D82" i="13"/>
  <c r="U81" i="13"/>
  <c r="T81" i="13"/>
  <c r="D81" i="13" s="1"/>
  <c r="U80" i="13"/>
  <c r="T80" i="13"/>
  <c r="D80" i="13"/>
  <c r="D95" i="12"/>
  <c r="E69" i="14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D95" i="14" l="1"/>
  <c r="D95" i="13"/>
  <c r="J64" i="1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D73" i="14" l="1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U88" i="12"/>
  <c r="T88" i="12"/>
  <c r="U87" i="12"/>
  <c r="T87" i="12"/>
  <c r="D87" i="12" s="1"/>
  <c r="U86" i="12"/>
  <c r="T86" i="12"/>
  <c r="U85" i="12"/>
  <c r="T85" i="12"/>
  <c r="U84" i="12"/>
  <c r="T84" i="12"/>
  <c r="U83" i="12"/>
  <c r="T83" i="12"/>
  <c r="D83" i="12" s="1"/>
  <c r="U82" i="12"/>
  <c r="T82" i="12"/>
  <c r="U81" i="12"/>
  <c r="T81" i="12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F52" i="4" l="1"/>
  <c r="F56" i="4"/>
  <c r="F60" i="4"/>
  <c r="F54" i="6"/>
  <c r="F58" i="6"/>
  <c r="F61" i="6"/>
  <c r="I56" i="7"/>
  <c r="I61" i="7"/>
  <c r="J61" i="7" s="1"/>
  <c r="F54" i="7"/>
  <c r="F58" i="7"/>
  <c r="F61" i="7"/>
  <c r="I53" i="8"/>
  <c r="F57" i="8"/>
  <c r="F60" i="8"/>
  <c r="F64" i="8"/>
  <c r="F69" i="8"/>
  <c r="I52" i="9"/>
  <c r="I57" i="9"/>
  <c r="D81" i="12"/>
  <c r="D85" i="12"/>
  <c r="D89" i="12"/>
  <c r="I62" i="9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K72" i="7"/>
  <c r="F52" i="8"/>
  <c r="F55" i="8"/>
  <c r="F59" i="8"/>
  <c r="F62" i="8"/>
  <c r="I55" i="9"/>
  <c r="I60" i="9"/>
  <c r="I64" i="9"/>
  <c r="M64" i="9" s="1"/>
  <c r="N64" i="9" s="1"/>
  <c r="L53" i="4"/>
  <c r="L57" i="4"/>
  <c r="I55" i="6"/>
  <c r="I60" i="6"/>
  <c r="I53" i="6"/>
  <c r="F57" i="6"/>
  <c r="F60" i="6"/>
  <c r="F64" i="6"/>
  <c r="I55" i="7"/>
  <c r="I60" i="7"/>
  <c r="I64" i="7"/>
  <c r="M64" i="7" s="1"/>
  <c r="N64" i="7" s="1"/>
  <c r="I53" i="7"/>
  <c r="F57" i="7"/>
  <c r="F60" i="7"/>
  <c r="F64" i="7"/>
  <c r="F69" i="7"/>
  <c r="F53" i="8"/>
  <c r="F56" i="8"/>
  <c r="I59" i="8"/>
  <c r="M59" i="8" s="1"/>
  <c r="N59" i="8" s="1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F53" i="6"/>
  <c r="F56" i="6"/>
  <c r="I59" i="6"/>
  <c r="F63" i="6"/>
  <c r="I54" i="7"/>
  <c r="M54" i="7" s="1"/>
  <c r="N54" i="7" s="1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J54" i="8" s="1"/>
  <c r="I58" i="8"/>
  <c r="I63" i="8"/>
  <c r="I53" i="9"/>
  <c r="F57" i="9"/>
  <c r="J57" i="9" s="1"/>
  <c r="F60" i="9"/>
  <c r="O60" i="9" s="1"/>
  <c r="P60" i="9" s="1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O59" i="9" s="1"/>
  <c r="P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F59" i="6"/>
  <c r="M59" i="6" s="1"/>
  <c r="N59" i="6" s="1"/>
  <c r="F62" i="6"/>
  <c r="I57" i="7"/>
  <c r="I62" i="7"/>
  <c r="F52" i="7"/>
  <c r="F55" i="7"/>
  <c r="F59" i="7"/>
  <c r="J59" i="7" s="1"/>
  <c r="F62" i="7"/>
  <c r="H65" i="8"/>
  <c r="D46" i="8"/>
  <c r="F54" i="8"/>
  <c r="K54" i="8" s="1"/>
  <c r="L54" i="8" s="1"/>
  <c r="F58" i="8"/>
  <c r="O58" i="8" s="1"/>
  <c r="P58" i="8" s="1"/>
  <c r="F61" i="8"/>
  <c r="I54" i="9"/>
  <c r="I58" i="9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E65" i="10"/>
  <c r="G56" i="12"/>
  <c r="D65" i="14"/>
  <c r="I51" i="4"/>
  <c r="L53" i="5"/>
  <c r="G44" i="13"/>
  <c r="D74" i="11"/>
  <c r="K62" i="11"/>
  <c r="K56" i="12"/>
  <c r="K61" i="11"/>
  <c r="K64" i="12"/>
  <c r="K63" i="10"/>
  <c r="K62" i="12"/>
  <c r="I55" i="4"/>
  <c r="G65" i="4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I61" i="8"/>
  <c r="M61" i="8" s="1"/>
  <c r="N61" i="8" s="1"/>
  <c r="F70" i="9"/>
  <c r="D65" i="10"/>
  <c r="G57" i="10"/>
  <c r="K72" i="10"/>
  <c r="L72" i="10" s="1"/>
  <c r="E66" i="12"/>
  <c r="K53" i="12"/>
  <c r="M53" i="12" s="1"/>
  <c r="N53" i="12" s="1"/>
  <c r="G63" i="12"/>
  <c r="F70" i="12"/>
  <c r="F65" i="13"/>
  <c r="G54" i="13"/>
  <c r="K57" i="13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M57" i="14" s="1"/>
  <c r="N57" i="14" s="1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G63" i="13"/>
  <c r="O63" i="13" s="1"/>
  <c r="P63" i="13" s="1"/>
  <c r="F65" i="14"/>
  <c r="K63" i="12"/>
  <c r="L63" i="12" s="1"/>
  <c r="J65" i="13"/>
  <c r="E44" i="13" s="1"/>
  <c r="F44" i="13" s="1"/>
  <c r="K54" i="13"/>
  <c r="M54" i="13" s="1"/>
  <c r="N54" i="13" s="1"/>
  <c r="G58" i="13"/>
  <c r="K64" i="13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M57" i="4" s="1"/>
  <c r="N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G61" i="12"/>
  <c r="K73" i="12"/>
  <c r="L73" i="12" s="1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9" i="12"/>
  <c r="E65" i="13"/>
  <c r="K52" i="13"/>
  <c r="M52" i="13" s="1"/>
  <c r="N52" i="13" s="1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L52" i="5"/>
  <c r="L56" i="5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F53" i="7"/>
  <c r="J53" i="7" s="1"/>
  <c r="O53" i="8"/>
  <c r="P53" i="8" s="1"/>
  <c r="M53" i="8"/>
  <c r="N53" i="8" s="1"/>
  <c r="K53" i="8"/>
  <c r="L53" i="8" s="1"/>
  <c r="J53" i="8"/>
  <c r="M54" i="8"/>
  <c r="N54" i="8" s="1"/>
  <c r="M56" i="8"/>
  <c r="N56" i="8" s="1"/>
  <c r="O57" i="8"/>
  <c r="P57" i="8" s="1"/>
  <c r="M57" i="8"/>
  <c r="N57" i="8" s="1"/>
  <c r="M58" i="8"/>
  <c r="N58" i="8" s="1"/>
  <c r="K58" i="8"/>
  <c r="L58" i="8" s="1"/>
  <c r="O59" i="8"/>
  <c r="P59" i="8" s="1"/>
  <c r="K59" i="8"/>
  <c r="L59" i="8" s="1"/>
  <c r="J59" i="8"/>
  <c r="O61" i="8"/>
  <c r="P61" i="8" s="1"/>
  <c r="O63" i="8"/>
  <c r="P63" i="8" s="1"/>
  <c r="K63" i="8"/>
  <c r="L63" i="8" s="1"/>
  <c r="O64" i="8"/>
  <c r="P64" i="8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2" i="12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5" i="12"/>
  <c r="R55" i="12" s="1"/>
  <c r="Q58" i="12"/>
  <c r="R58" i="12" s="1"/>
  <c r="M58" i="12"/>
  <c r="N58" i="12" s="1"/>
  <c r="M60" i="12"/>
  <c r="N60" i="12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M57" i="12"/>
  <c r="N57" i="12" s="1"/>
  <c r="Q65" i="12"/>
  <c r="R65" i="12" s="1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Q55" i="14"/>
  <c r="R55" i="14" s="1"/>
  <c r="O55" i="14"/>
  <c r="P55" i="14" s="1"/>
  <c r="L56" i="14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4" i="12" l="1"/>
  <c r="P54" i="12" s="1"/>
  <c r="D96" i="12"/>
  <c r="O57" i="14"/>
  <c r="P57" i="14" s="1"/>
  <c r="O65" i="12"/>
  <c r="P65" i="12" s="1"/>
  <c r="Q52" i="13"/>
  <c r="R52" i="13" s="1"/>
  <c r="O54" i="7"/>
  <c r="P54" i="7" s="1"/>
  <c r="J55" i="4"/>
  <c r="M58" i="5"/>
  <c r="N58" i="5" s="1"/>
  <c r="K43" i="6"/>
  <c r="J58" i="8"/>
  <c r="Q56" i="14"/>
  <c r="R56" i="14" s="1"/>
  <c r="M54" i="14"/>
  <c r="N54" i="14" s="1"/>
  <c r="O57" i="12"/>
  <c r="P57" i="12" s="1"/>
  <c r="O58" i="12"/>
  <c r="P58" i="12" s="1"/>
  <c r="E74" i="9"/>
  <c r="L59" i="14"/>
  <c r="J56" i="8"/>
  <c r="M51" i="4"/>
  <c r="N51" i="4" s="1"/>
  <c r="Q64" i="12"/>
  <c r="R64" i="12" s="1"/>
  <c r="M51" i="5"/>
  <c r="N51" i="5" s="1"/>
  <c r="M61" i="12"/>
  <c r="N61" i="12" s="1"/>
  <c r="K62" i="7"/>
  <c r="L62" i="7" s="1"/>
  <c r="J55" i="6"/>
  <c r="O60" i="6"/>
  <c r="P60" i="6" s="1"/>
  <c r="L57" i="14"/>
  <c r="Q52" i="10"/>
  <c r="R52" i="10" s="1"/>
  <c r="K43" i="7"/>
  <c r="L54" i="12"/>
  <c r="Q60" i="13"/>
  <c r="R60" i="13" s="1"/>
  <c r="J59" i="9"/>
  <c r="J58" i="9"/>
  <c r="K53" i="9"/>
  <c r="L53" i="9" s="1"/>
  <c r="K60" i="7"/>
  <c r="L60" i="7" s="1"/>
  <c r="K57" i="6"/>
  <c r="L57" i="6" s="1"/>
  <c r="Q58" i="14"/>
  <c r="R58" i="14" s="1"/>
  <c r="M64" i="11"/>
  <c r="N64" i="11" s="1"/>
  <c r="M60" i="9"/>
  <c r="N60" i="9" s="1"/>
  <c r="K54" i="7"/>
  <c r="L54" i="7" s="1"/>
  <c r="L55" i="14"/>
  <c r="M65" i="12"/>
  <c r="N65" i="12" s="1"/>
  <c r="K64" i="8"/>
  <c r="L64" i="8" s="1"/>
  <c r="G43" i="7"/>
  <c r="J64" i="6"/>
  <c r="J52" i="5"/>
  <c r="J56" i="3"/>
  <c r="G43" i="12"/>
  <c r="H43" i="12" s="1"/>
  <c r="J55" i="8"/>
  <c r="L64" i="13"/>
  <c r="O57" i="13"/>
  <c r="P57" i="13" s="1"/>
  <c r="Q54" i="10"/>
  <c r="R54" i="10" s="1"/>
  <c r="J54" i="9"/>
  <c r="L59" i="12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74" i="7" l="1"/>
  <c r="J74" i="7" s="1"/>
  <c r="F46" i="12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<sst xmlns="http://schemas.openxmlformats.org/spreadsheetml/2006/main" count="2130" uniqueCount="231">
  <si>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</si>
  <si>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</si>
  <si>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</si>
  <si>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</si>
  <si>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</si>
  <si>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</si>
  <si>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</si>
  <si>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</si>
  <si>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</si>
  <si>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</si>
  <si>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</si>
  <si>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</si>
  <si>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</si>
  <si>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</si>
  <si>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</si>
  <si>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</si>
  <si>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</si>
  <si>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</si>
  <si>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</si>
  <si>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</si>
  <si>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</si>
  <si>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</si>
  <si>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</si>
  <si>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</si>
  <si>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</si>
  <si>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</si>
  <si>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</si>
  <si>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</si>
  <si>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</si>
  <si>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</si>
  <si>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</si>
  <si>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</si>
  <si>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</si>
  <si>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</si>
  <si>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</si>
  <si>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</si>
  <si>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</si>
  <si>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</si>
  <si>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</si>
  <si>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</si>
  <si>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</si>
  <si>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</si>
  <si>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</si>
  <si>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</si>
  <si>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</si>
  <si>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</si>
  <si>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</si>
  <si>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</si>
  <si>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</si>
  <si>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</si>
  <si>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</si>
  <si>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</si>
  <si>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</si>
  <si>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</si>
  <si>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</si>
  <si>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</si>
  <si>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</si>
  <si>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</si>
  <si>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</si>
  <si>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</si>
  <si>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</si>
  <si>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</si>
  <si>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</si>
  <si>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</si>
  <si>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</si>
  <si>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</si>
  <si>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</si>
  <si>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</si>
  <si>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</si>
  <si>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</si>
  <si>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</si>
  <si>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</si>
  <si>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</si>
  <si>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</si>
  <si>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</si>
  <si>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</si>
  <si>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</si>
  <si>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</si>
  <si>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</si>
  <si>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</si>
  <si>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</si>
  <si>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</si>
  <si>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</si>
  <si>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</si>
  <si>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</si>
  <si>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</si>
  <si>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</si>
  <si>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</si>
  <si>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</si>
  <si>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</si>
  <si>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</si>
  <si>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</si>
  <si>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</si>
  <si>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</si>
  <si>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</si>
  <si>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</si>
  <si>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</si>
  <si>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</si>
  <si>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</si>
  <si>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</si>
  <si>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</si>
  <si>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</si>
  <si>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</si>
  <si>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</si>
  <si>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</si>
  <si>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</si>
  <si>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</si>
  <si>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</si>
  <si>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</si>
  <si>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</si>
  <si>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</si>
  <si>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</si>
  <si>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</si>
  <si>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</si>
  <si>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</si>
  <si>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</si>
  <si>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</si>
  <si>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</si>
  <si>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</si>
  <si>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</si>
  <si>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</si>
  <si>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</si>
  <si>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</si>
  <si>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</si>
  <si>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</si>
  <si>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</si>
  <si>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</si>
  <si>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</si>
  <si>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</si>
  <si>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</si>
  <si>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</si>
  <si>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</si>
  <si>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</si>
  <si>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</si>
  <si>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</si>
  <si>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</si>
  <si>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</si>
  <si>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</si>
  <si>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</si>
  <si>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</si>
  <si>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</si>
  <si>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</si>
  <si>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</si>
  <si>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</si>
  <si>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</si>
  <si>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</si>
  <si>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</si>
  <si>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</si>
  <si>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</si>
  <si>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</si>
  <si>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</si>
  <si>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</si>
  <si>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</si>
  <si>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</si>
  <si>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</si>
  <si>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</si>
  <si>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</si>
  <si>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</si>
  <si>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</si>
  <si>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</si>
  <si>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</si>
  <si>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</si>
  <si>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</si>
  <si>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</si>
  <si>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</si>
  <si>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</si>
  <si>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</si>
  <si>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</si>
  <si>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</si>
  <si>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</si>
  <si>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</si>
  <si>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</si>
  <si>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</si>
  <si>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</si>
  <si>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</si>
  <si>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</si>
  <si>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</si>
  <si>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</si>
  <si>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</si>
  <si>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</si>
  <si>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</si>
  <si>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</si>
  <si>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</si>
  <si>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</si>
  <si>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</si>
  <si>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</si>
  <si>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</si>
  <si>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</si>
  <si>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</si>
  <si>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</si>
  <si>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</si>
  <si>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</si>
  <si>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</si>
  <si>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</si>
  <si>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</si>
  <si>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</si>
  <si>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</si>
  <si>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</si>
  <si>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</si>
  <si>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</si>
  <si>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</si>
  <si>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</si>
  <si>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</si>
  <si>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</si>
  <si>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</si>
  <si>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</si>
  <si>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</si>
  <si>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</si>
  <si>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</si>
  <si>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</si>
  <si>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</si>
  <si>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</si>
  <si>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</si>
  <si>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</si>
  <si>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</si>
  <si>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</si>
  <si>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</si>
  <si>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</si>
  <si>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</si>
  <si>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</si>
  <si>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</si>
  <si>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</si>
  <si>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</si>
  <si>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</si>
  <si>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</si>
  <si>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</si>
  <si>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</si>
  <si>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</si>
  <si>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</si>
  <si>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BALIAN ALL AREA</t>
  </si>
  <si>
    <t>DATA PENCAPAIAN — GLOBAL —  29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</si>
</sst>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1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4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0" t="s">
        <v>0</v>
      </c>
      <c r="C1" s="240"/>
    </row>
    <row r="3" spans="2:3" x14ac:dyDescent="0.25">
      <c r="B3" s="241" t="s">
        <v>1</v>
      </c>
      <c r="C3" s="241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2" t="s">
        <v>14</v>
      </c>
      <c r="C11" s="242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1" t="s">
        <v>28</v>
      </c>
      <c r="C3" s="241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3" t="s">
        <v>102</v>
      </c>
      <c r="C29" s="243"/>
      <c r="D29" s="243"/>
      <c r="E29" s="243"/>
      <c r="F29" s="243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8" t="s">
        <v>145</v>
      </c>
      <c r="C44" s="249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0" t="s">
        <v>41</v>
      </c>
      <c r="C47" s="250" t="s">
        <v>42</v>
      </c>
      <c r="D47" s="251" t="s">
        <v>137</v>
      </c>
      <c r="E47" s="252"/>
      <c r="F47" s="253"/>
      <c r="G47" s="98" t="s">
        <v>138</v>
      </c>
      <c r="H47" s="98"/>
      <c r="I47" s="98"/>
      <c r="J47" s="250" t="s">
        <v>139</v>
      </c>
      <c r="K47" s="99" t="s">
        <v>147</v>
      </c>
      <c r="L47" s="99"/>
      <c r="M47" s="99"/>
      <c r="N47" s="247" t="s">
        <v>148</v>
      </c>
    </row>
    <row r="48" spans="2:14" ht="15.75" x14ac:dyDescent="0.25">
      <c r="B48" s="250"/>
      <c r="C48" s="250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0"/>
      <c r="K48" s="101" t="s">
        <v>142</v>
      </c>
      <c r="L48" s="101" t="s">
        <v>110</v>
      </c>
      <c r="M48" s="101" t="s">
        <v>145</v>
      </c>
      <c r="N48" s="247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4" t="s">
        <v>144</v>
      </c>
      <c r="C63" s="245"/>
      <c r="D63" s="245"/>
      <c r="E63" s="245"/>
      <c r="F63" s="245"/>
      <c r="G63" s="245"/>
      <c r="H63" s="246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8" t="s">
        <v>145</v>
      </c>
      <c r="C44" s="249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0" t="s">
        <v>41</v>
      </c>
      <c r="C47" s="250" t="s">
        <v>42</v>
      </c>
      <c r="D47" s="251" t="s">
        <v>137</v>
      </c>
      <c r="E47" s="252"/>
      <c r="F47" s="253"/>
      <c r="G47" s="98" t="s">
        <v>138</v>
      </c>
      <c r="H47" s="98"/>
      <c r="I47" s="98"/>
      <c r="J47" s="250" t="s">
        <v>139</v>
      </c>
      <c r="K47" s="99" t="s">
        <v>147</v>
      </c>
      <c r="L47" s="99"/>
      <c r="M47" s="99"/>
      <c r="N47" s="247" t="s">
        <v>148</v>
      </c>
    </row>
    <row r="48" spans="2:14" ht="15.75" x14ac:dyDescent="0.25">
      <c r="B48" s="250"/>
      <c r="C48" s="250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0"/>
      <c r="K48" s="101" t="s">
        <v>142</v>
      </c>
      <c r="L48" s="101" t="s">
        <v>110</v>
      </c>
      <c r="M48" s="101" t="s">
        <v>145</v>
      </c>
      <c r="N48" s="247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4" t="s">
        <v>144</v>
      </c>
      <c r="C63" s="245"/>
      <c r="D63" s="245"/>
      <c r="E63" s="245"/>
      <c r="F63" s="245"/>
      <c r="G63" s="245"/>
      <c r="H63" s="246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1" t="s">
        <v>145</v>
      </c>
      <c r="C44" s="26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3" t="s">
        <v>41</v>
      </c>
      <c r="C47" s="263" t="s">
        <v>42</v>
      </c>
      <c r="D47" s="258" t="s">
        <v>137</v>
      </c>
      <c r="E47" s="259"/>
      <c r="F47" s="260"/>
      <c r="G47" s="69" t="s">
        <v>138</v>
      </c>
      <c r="H47" s="69"/>
      <c r="I47" s="69"/>
      <c r="J47" s="263" t="s">
        <v>139</v>
      </c>
      <c r="K47" s="35" t="s">
        <v>147</v>
      </c>
      <c r="L47" s="35"/>
      <c r="M47" s="35"/>
      <c r="N47" s="257" t="s">
        <v>148</v>
      </c>
    </row>
    <row r="48" spans="2:17" ht="15.75" x14ac:dyDescent="0.25">
      <c r="B48" s="263"/>
      <c r="C48" s="263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3"/>
      <c r="K48" s="34" t="s">
        <v>142</v>
      </c>
      <c r="L48" s="34" t="s">
        <v>110</v>
      </c>
      <c r="M48" s="34" t="s">
        <v>145</v>
      </c>
      <c r="N48" s="257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4" t="s">
        <v>144</v>
      </c>
      <c r="C63" s="255"/>
      <c r="D63" s="255"/>
      <c r="E63" s="255"/>
      <c r="F63" s="255"/>
      <c r="G63" s="255"/>
      <c r="H63" s="256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4" t="s">
        <v>177</v>
      </c>
      <c r="C41" s="275"/>
      <c r="D41" s="276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1" t="s">
        <v>145</v>
      </c>
      <c r="C46" s="262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  <c r="Q48"/>
      <c r="R48"/>
    </row>
    <row r="49" spans="2:18" s="139" customFormat="1" ht="33.950000000000003" customHeight="1" x14ac:dyDescent="0.25">
      <c r="B49" s="282" t="s">
        <v>41</v>
      </c>
      <c r="C49" s="282" t="s">
        <v>42</v>
      </c>
      <c r="D49" s="279" t="s">
        <v>137</v>
      </c>
      <c r="E49" s="280"/>
      <c r="F49" s="281"/>
      <c r="G49" s="140" t="s">
        <v>138</v>
      </c>
      <c r="H49" s="140"/>
      <c r="I49" s="140"/>
      <c r="J49" s="279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2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2"/>
      <c r="C50" s="282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9"/>
      <c r="K50" s="269"/>
      <c r="L50" s="269"/>
      <c r="M50" s="271"/>
      <c r="N50" s="188"/>
      <c r="O50" s="183"/>
      <c r="P50" s="273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4" t="s">
        <v>170</v>
      </c>
      <c r="C77" s="255"/>
      <c r="D77" s="256"/>
      <c r="G77"/>
      <c r="H77"/>
      <c r="I77"/>
    </row>
    <row r="78" spans="1:19" ht="20.100000000000001" customHeight="1" x14ac:dyDescent="0.25">
      <c r="B78" s="264" t="s">
        <v>41</v>
      </c>
      <c r="C78" s="264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3"/>
      <c r="C79" s="263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3" t="s">
        <v>178</v>
      </c>
      <c r="C41" s="284"/>
      <c r="D41" s="285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1" t="s">
        <v>145</v>
      </c>
      <c r="C46" s="262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33.950000000000003" customHeight="1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72" t="str">
        <f>"SELISIH"&amp;CHAR(10)&amp;TEXT($L$41,"0%")</f>
        <v>SELISIH
100%</v>
      </c>
      <c r="P49" s="272" t="str">
        <f>"PER HARI"&amp;CHAR(10)&amp;TEXT($L$41,"0%")</f>
        <v>PER HARI
100%</v>
      </c>
    </row>
    <row r="50" spans="2:16" ht="22.5" customHeight="1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73"/>
      <c r="P50" s="273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8.75" customHeight="1" x14ac:dyDescent="0.25">
      <c r="B78" s="264" t="s">
        <v>41</v>
      </c>
      <c r="C78" s="264" t="s">
        <v>42</v>
      </c>
      <c r="D78" s="231" t="s">
        <v>138</v>
      </c>
    </row>
    <row r="79" spans="2:16" ht="18" customHeight="1" x14ac:dyDescent="0.25">
      <c r="B79" s="263"/>
      <c r="C79" s="263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4" t="s">
        <v>179</v>
      </c>
      <c r="C41" s="275"/>
      <c r="D41" s="276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1" t="s">
        <v>145</v>
      </c>
      <c r="C46" s="262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33.950000000000003" customHeight="1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72" t="str">
        <f>"SELISIH"&amp;CHAR(10)&amp;TEXT($L$41,"0%")</f>
        <v>SELISIH
100%</v>
      </c>
      <c r="P49" s="272" t="str">
        <f>"PER HARI"&amp;CHAR(10)&amp;TEXT($L$41,"0%")</f>
        <v>PER HARI
100%</v>
      </c>
    </row>
    <row r="50" spans="2:16" ht="19.5" customHeight="1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73"/>
      <c r="P50" s="273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5.75" x14ac:dyDescent="0.25">
      <c r="B78" s="264" t="s">
        <v>41</v>
      </c>
      <c r="C78" s="264" t="s">
        <v>42</v>
      </c>
      <c r="D78" s="231" t="s">
        <v>138</v>
      </c>
    </row>
    <row r="79" spans="2:16" ht="15.75" x14ac:dyDescent="0.25">
      <c r="B79" s="263"/>
      <c r="C79" s="263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4" t="s">
        <v>188</v>
      </c>
      <c r="C41" s="275"/>
      <c r="D41" s="276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1" t="s">
        <v>145</v>
      </c>
      <c r="C46" s="262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15.75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86" t="str">
        <f>"SELISIH"&amp;CHAR(10)&amp;TEXT($L$41,"0%")</f>
        <v>SELISIH
100%</v>
      </c>
      <c r="P49" s="286" t="str">
        <f>"PER HARI"&amp;CHAR(10)&amp;TEXT($L$41,"0%")</f>
        <v>PER HARI
100%</v>
      </c>
    </row>
    <row r="50" spans="2:16" ht="15.75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87"/>
      <c r="P50" s="287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5.75" x14ac:dyDescent="0.25">
      <c r="B78" s="264" t="s">
        <v>41</v>
      </c>
      <c r="C78" s="264" t="s">
        <v>42</v>
      </c>
      <c r="D78" s="231" t="s">
        <v>138</v>
      </c>
    </row>
    <row r="79" spans="2:16" ht="15.75" x14ac:dyDescent="0.25">
      <c r="B79" s="263"/>
      <c r="C79" s="263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4" t="s">
        <v>218</v>
      </c>
      <c r="C40" s="275"/>
      <c r="D40" s="276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1" t="s">
        <v>145</v>
      </c>
      <c r="C46" s="262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7" t="s">
        <v>212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5.75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7"/>
      <c r="G67" s="265" t="s">
        <v>185</v>
      </c>
      <c r="H67" s="266"/>
      <c r="I67" s="266"/>
      <c r="J67" s="266"/>
      <c r="K67" s="266"/>
      <c r="L67" s="267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4" t="s">
        <v>170</v>
      </c>
      <c r="C77" s="255"/>
      <c r="D77" s="256"/>
    </row>
    <row r="78" spans="2:21" ht="15.75" x14ac:dyDescent="0.25">
      <c r="B78" s="264" t="s">
        <v>41</v>
      </c>
      <c r="C78" s="264" t="s">
        <v>42</v>
      </c>
      <c r="D78" s="231" t="s">
        <v>138</v>
      </c>
    </row>
    <row r="79" spans="2:21" ht="15.75" x14ac:dyDescent="0.25">
      <c r="B79" s="263"/>
      <c r="C79" s="263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226</v>
      </c>
      <c r="C40" s="275"/>
      <c r="D40" s="276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212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95%</v>
      </c>
      <c r="N49" s="268" t="str">
        <f>"PER HARI"&amp;CHAR(10)&amp;TEXT($H$40,"0%")</f>
        <v>PER HARI
95%</v>
      </c>
      <c r="O49" s="270" t="str">
        <f>"SELISIH"&amp;CHAR(10)&amp;TEXT($J$40,"0%")</f>
        <v>SELISIH
100%</v>
      </c>
      <c r="P49" s="270" t="str">
        <f>"PER HARI"&amp;CHAR(10)&amp;TEXT($J$40,"0%")</f>
        <v>PER HARI
100%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topLeftCell="A18" zoomScale="80" zoomScaleNormal="80" workbookViewId="0">
      <selection activeCell="E34" sqref="E3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1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9">
        <v>181838881.34438601</v>
      </c>
      <c r="D10" s="239">
        <v>48782899.217996001</v>
      </c>
      <c r="E10" s="239">
        <v>216244642.85777801</v>
      </c>
      <c r="F10" s="239">
        <v>154623424.32992399</v>
      </c>
      <c r="G10" s="239">
        <v>605151347.75008404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9">
        <v>3670270.2599940002</v>
      </c>
      <c r="D11" s="239">
        <v>37900456</v>
      </c>
      <c r="E11" s="239">
        <v>327900908.15999299</v>
      </c>
      <c r="F11" s="239">
        <v>0</v>
      </c>
      <c r="G11" s="239">
        <v>369471634.41998702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9">
        <v>184861775.87623501</v>
      </c>
      <c r="D12" s="239">
        <v>55241683.483390003</v>
      </c>
      <c r="E12" s="239">
        <v>159188370.49957499</v>
      </c>
      <c r="F12" s="239">
        <v>115308107.01000001</v>
      </c>
      <c r="G12" s="239">
        <v>529032436.86919999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9">
        <v>28996188.485427</v>
      </c>
      <c r="D13" s="239">
        <v>45966839.709779002</v>
      </c>
      <c r="E13" s="239">
        <v>231794543.82927099</v>
      </c>
      <c r="F13" s="239">
        <v>82572975.980000004</v>
      </c>
      <c r="G13" s="239">
        <v>391270548.00447702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9">
        <v>437593146.98973697</v>
      </c>
      <c r="D14" s="239">
        <v>38788320.403894</v>
      </c>
      <c r="E14" s="239">
        <v>152741961.263538</v>
      </c>
      <c r="F14" s="239">
        <v>309619467.28971499</v>
      </c>
      <c r="G14" s="239">
        <v>936906895.94688404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9">
        <v>1425969810.3053341</v>
      </c>
      <c r="D15" s="239">
        <v>9568842.5199989993</v>
      </c>
      <c r="E15" s="239">
        <v>27707335.979908001</v>
      </c>
      <c r="F15" s="239">
        <v>17014054.386999998</v>
      </c>
      <c r="G15" s="239">
        <v>1480260043.192241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9">
        <v>521764213.63217503</v>
      </c>
      <c r="D16" s="239">
        <v>67905212.979720995</v>
      </c>
      <c r="E16" s="239">
        <v>336708020.17935401</v>
      </c>
      <c r="F16" s="239">
        <v>1150887381.3997531</v>
      </c>
      <c r="G16" s="239">
        <v>2291604828.1910028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9">
        <v>147288629.33749199</v>
      </c>
      <c r="D17" s="239">
        <v>22741585.966366</v>
      </c>
      <c r="E17" s="239">
        <v>113715495.83733501</v>
      </c>
      <c r="F17" s="239">
        <v>36743784.674999997</v>
      </c>
      <c r="G17" s="239">
        <v>320489495.81619298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9">
        <v>18296335.959989998</v>
      </c>
      <c r="D18" s="239">
        <v>83605958.709668994</v>
      </c>
      <c r="E18" s="239">
        <v>53475245</v>
      </c>
      <c r="F18" s="239">
        <v>128054056.81999999</v>
      </c>
      <c r="G18" s="239">
        <v>283431596.48965901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9">
        <v>19889995.640000001</v>
      </c>
      <c r="D19" s="239">
        <v>0</v>
      </c>
      <c r="E19" s="239">
        <v>0</v>
      </c>
      <c r="F19" s="239">
        <v>13405405.039999999</v>
      </c>
      <c r="G19" s="239">
        <v>36495400.68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9">
        <v>143859574.81999999</v>
      </c>
      <c r="D20" s="239">
        <v>0</v>
      </c>
      <c r="E20" s="239">
        <v>0</v>
      </c>
      <c r="F20" s="239">
        <v>13729729.359999999</v>
      </c>
      <c r="G20" s="239">
        <v>157589304.18000001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39">
        <v>264878449.53367499</v>
      </c>
      <c r="D21" s="239">
        <v>41908895.254446998</v>
      </c>
      <c r="E21" s="239">
        <v>132668519.29973499</v>
      </c>
      <c r="F21" s="239">
        <v>395841086.40983999</v>
      </c>
      <c r="G21" s="239">
        <v>880870950.497697</v>
      </c>
      <c r="H21" s="111"/>
      <c r="I21" s="111"/>
      <c r="J21" s="111"/>
      <c r="M21" s="14">
        <f>SUM(C34,C35)+M20</f>
        <v>759222992.68318701</v>
      </c>
      <c r="N21" s="10" t="s">
        <v>223</v>
      </c>
    </row>
    <row r="22" spans="2:15" ht="15" customHeight="1" x14ac:dyDescent="0.25">
      <c r="B22" s="72" t="s">
        <v>224</v>
      </c>
      <c r="C22" s="239">
        <v>202142628.03509599</v>
      </c>
      <c r="D22" s="239">
        <v>64686578.009547003</v>
      </c>
      <c r="E22" s="239">
        <v>134151640.71991999</v>
      </c>
      <c r="F22" s="239">
        <v>103492793.409978</v>
      </c>
      <c r="G22" s="239">
        <v>524853640.174541</v>
      </c>
      <c r="H22" s="111"/>
      <c r="I22" s="111"/>
      <c r="J22" s="111"/>
    </row>
    <row r="23" spans="2:15" ht="15" customHeight="1" x14ac:dyDescent="0.25">
      <c r="B23" s="72" t="s">
        <v>125</v>
      </c>
      <c r="C23" s="239">
        <v>287434557.990942</v>
      </c>
      <c r="D23" s="239">
        <v>64000668.739918999</v>
      </c>
      <c r="E23" s="239">
        <v>176732688.810204</v>
      </c>
      <c r="F23" s="239">
        <v>295618025.59945601</v>
      </c>
      <c r="G23" s="239">
        <v>828970441.14052105</v>
      </c>
      <c r="H23" s="111"/>
      <c r="I23" s="111"/>
      <c r="J23" s="111"/>
    </row>
    <row r="24" spans="2:15" ht="15" customHeight="1" x14ac:dyDescent="0.25">
      <c r="B24" s="72" t="s">
        <v>126</v>
      </c>
      <c r="C24" s="239">
        <v>439244813.22403198</v>
      </c>
      <c r="D24" s="239">
        <v>68146946.838856995</v>
      </c>
      <c r="E24" s="239">
        <v>199079105.03990501</v>
      </c>
      <c r="F24" s="239">
        <v>651857309.90925097</v>
      </c>
      <c r="G24" s="239">
        <v>1386267175.0120449</v>
      </c>
      <c r="H24" s="111"/>
      <c r="I24" s="111"/>
      <c r="J24" s="111"/>
    </row>
    <row r="25" spans="2:15" ht="15" customHeight="1" x14ac:dyDescent="0.25">
      <c r="B25" s="72" t="s">
        <v>219</v>
      </c>
      <c r="C25" s="239">
        <v>292699549.89259303</v>
      </c>
      <c r="D25" s="239">
        <v>87112730.847988993</v>
      </c>
      <c r="E25" s="239">
        <v>101552429.549521</v>
      </c>
      <c r="F25" s="239">
        <v>75549351.290000007</v>
      </c>
      <c r="G25" s="239">
        <v>558274061.58010304</v>
      </c>
      <c r="H25" s="111"/>
      <c r="I25" s="111"/>
      <c r="J25" s="111"/>
    </row>
    <row r="26" spans="2:15" ht="15" customHeight="1" x14ac:dyDescent="0.25">
      <c r="B26" s="237" t="s">
        <v>127</v>
      </c>
      <c r="C26" s="239">
        <v>492067062.50596201</v>
      </c>
      <c r="D26" s="239">
        <v>167809230.83659801</v>
      </c>
      <c r="E26" s="239">
        <v>228219676.907231</v>
      </c>
      <c r="F26" s="239">
        <v>19107676.0658</v>
      </c>
      <c r="G26" s="239">
        <v>907203646.31559098</v>
      </c>
      <c r="H26" s="111"/>
      <c r="I26" s="111"/>
      <c r="J26" s="111"/>
    </row>
    <row r="27" spans="2:15" ht="15" customHeight="1" x14ac:dyDescent="0.25">
      <c r="B27" s="238" t="s">
        <v>228</v>
      </c>
      <c r="C27" s="239">
        <v>0</v>
      </c>
      <c r="D27" s="239">
        <v>0</v>
      </c>
      <c r="E27" s="239">
        <v>0</v>
      </c>
      <c r="F27" s="239">
        <v>5837838.0999999996</v>
      </c>
      <c r="G27" s="239">
        <v>8837838.0999999996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5"/>
      <c r="G31" s="111"/>
      <c r="H31" s="111"/>
      <c r="I31" s="111"/>
    </row>
    <row r="32" spans="2:15" ht="15" customHeight="1" x14ac:dyDescent="0.25">
      <c r="B32" s="81" t="s">
        <v>131</v>
      </c>
      <c r="C32" s="299">
        <v>235390673.29898599</v>
      </c>
      <c r="G32" s="111"/>
      <c r="H32" s="111"/>
      <c r="I32" s="111"/>
    </row>
    <row r="33" spans="2:19" ht="15" customHeight="1" x14ac:dyDescent="0.25">
      <c r="B33" s="81" t="s">
        <v>132</v>
      </c>
      <c r="C33" s="299">
        <v>428570914.095191</v>
      </c>
      <c r="G33" s="111"/>
      <c r="H33" s="111"/>
      <c r="I33" s="111"/>
    </row>
    <row r="34" spans="2:19" ht="15" customHeight="1" x14ac:dyDescent="0.25">
      <c r="B34" s="81" t="s">
        <v>133</v>
      </c>
      <c r="C34" s="299">
        <v>137918180.97458601</v>
      </c>
      <c r="G34" s="111"/>
      <c r="H34" s="111"/>
      <c r="I34" s="111"/>
    </row>
    <row r="35" spans="2:19" ht="15" customHeight="1" x14ac:dyDescent="0.25">
      <c r="B35" s="81" t="s">
        <v>134</v>
      </c>
      <c r="C35" s="300">
        <v>621304811.708601</v>
      </c>
      <c r="G35" s="111"/>
      <c r="H35" s="111"/>
      <c r="I35" s="111"/>
    </row>
    <row r="36" spans="2:19" ht="15" customHeight="1" x14ac:dyDescent="0.25">
      <c r="B36" s="81" t="s">
        <v>135</v>
      </c>
      <c r="C36" s="236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74" t="s">
        <v>230</v>
      </c>
      <c r="C41" s="275"/>
      <c r="D41" s="276"/>
      <c r="E41" s="66" t="s">
        <v>137</v>
      </c>
      <c r="F41" s="174">
        <f ca="1">IF(MONTH(TODAY())=10,DAY(TODAY())/DAY(EOMONTH(TODAY(),0)),IF(MONTH(TODAY())&gt;10,1,0))</f>
        <v>0.93548387096774188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3666526073.5277357</v>
      </c>
      <c r="F43" s="176">
        <f>IFERROR(E43/D43,0)</f>
        <v>0.82124647346215895</v>
      </c>
      <c r="G43" s="184">
        <f>D43*$H$41-E43</f>
        <v>798060615.13179302</v>
      </c>
      <c r="H43" s="184">
        <f ca="1">IFERROR(G43/$C$3,0)</f>
        <v>399030307.56589651</v>
      </c>
      <c r="I43" s="204">
        <f>D43*$J$41-E43</f>
        <v>798060615.13179302</v>
      </c>
      <c r="J43" s="204">
        <f ca="1">IFERROR(I43/$C$3,0)</f>
        <v>399030307.56589651</v>
      </c>
      <c r="K43" s="185">
        <f>D43*$L$41-E43</f>
        <v>798060615.13179302</v>
      </c>
      <c r="L43" s="185">
        <f ca="1">IFERROR(K43/$C$3,0)</f>
        <v>399030307.56589651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894598006.99817204</v>
      </c>
      <c r="F44" s="176">
        <f>IFERROR(E44/D44,0)</f>
        <v>0.69895489588913151</v>
      </c>
      <c r="G44" s="184">
        <f>D44*$H$41-E44</f>
        <v>385310056.11105824</v>
      </c>
      <c r="H44" s="184">
        <f ca="1">IFERROR(G44/$C$3,0)</f>
        <v>192655028.05552912</v>
      </c>
      <c r="I44" s="204">
        <f>D44*$J$41-E44</f>
        <v>385310056.11105824</v>
      </c>
      <c r="J44" s="204">
        <f ca="1">IFERROR(I44/$C$3,0)</f>
        <v>192655028.05552912</v>
      </c>
      <c r="K44" s="185">
        <f>D44*$L$41-E44</f>
        <v>385310056.11105824</v>
      </c>
      <c r="L44" s="185">
        <f ca="1">IFERROR(K44/$C$3,0)</f>
        <v>192655028.05552912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2564173247.9533596</v>
      </c>
      <c r="F45" s="176">
        <f>IFERROR(E45/D45,0)</f>
        <v>0.87994737946921819</v>
      </c>
      <c r="G45" s="184">
        <f>IF(D45=0,0,D45*$H$41-E45)</f>
        <v>349834234.51685572</v>
      </c>
      <c r="H45" s="184">
        <f ca="1">IFERROR(G45/$C$3,0)</f>
        <v>174917117.25842786</v>
      </c>
      <c r="I45" s="204">
        <f>IF(D45=0,0,D45*$J$41-E45)</f>
        <v>349834234.51685572</v>
      </c>
      <c r="J45" s="204">
        <f ca="1">IFERROR(I45/$C$3,0)</f>
        <v>174917117.25842786</v>
      </c>
      <c r="K45" s="185">
        <f>IF(D45=0,0,D45*$L$41-E45)</f>
        <v>349834234.51685572</v>
      </c>
      <c r="L45" s="185">
        <f ca="1">IFERROR(K45/$C$3,0)</f>
        <v>174917117.25842786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1423184580.077364</v>
      </c>
      <c r="F46" s="176">
        <f>IFERROR(E46/D46,0)</f>
        <v>0.79963748073683327</v>
      </c>
      <c r="G46" s="184">
        <f>D46*$H$41-E46</f>
        <v>356602653.96518922</v>
      </c>
      <c r="H46" s="184">
        <f ca="1">IFERROR(G46/$C$3,0)</f>
        <v>178301326.98259461</v>
      </c>
      <c r="I46" s="204">
        <f>D46*$J$41-E46</f>
        <v>356602653.96518922</v>
      </c>
      <c r="J46" s="204">
        <f ca="1">IFERROR(I46/$C$3,0)</f>
        <v>178301326.98259461</v>
      </c>
      <c r="K46" s="185">
        <f>D46*$L$41-E46</f>
        <v>356602653.96518922</v>
      </c>
      <c r="L46" s="185">
        <f ca="1">IFERROR(K46/$C$3,0)</f>
        <v>178301326.98259461</v>
      </c>
      <c r="S46" s="173">
        <v>0.95</v>
      </c>
    </row>
    <row r="47" spans="2:19" ht="15" customHeight="1" x14ac:dyDescent="0.25">
      <c r="B47" s="261" t="s">
        <v>145</v>
      </c>
      <c r="C47" s="262"/>
      <c r="D47" s="47">
        <f>SUM(D43:D46)</f>
        <v>10438289468.281527</v>
      </c>
      <c r="E47" s="47">
        <f>SUM(E43:E46)</f>
        <v>8548481908.5566311</v>
      </c>
      <c r="F47" s="177">
        <f>IFERROR(E47/D47,0)</f>
        <v>0.81895428695789774</v>
      </c>
      <c r="G47" s="181">
        <f>SUM(G43:G46)</f>
        <v>1889807559.7248962</v>
      </c>
      <c r="H47" s="181">
        <f ca="1">IFERROR(G47/$C$3,0)</f>
        <v>944903779.8624481</v>
      </c>
      <c r="I47" s="186">
        <f>SUM(I43:I46)</f>
        <v>1889807559.7248962</v>
      </c>
      <c r="J47" s="186">
        <f ca="1">IFERROR(I47/$C$3,0)</f>
        <v>944903779.8624481</v>
      </c>
      <c r="K47" s="186">
        <f>SUM(K43:K46)</f>
        <v>1889807559.7248962</v>
      </c>
      <c r="L47" s="186">
        <f ca="1">IFERROR(K47/$C$3,0)</f>
        <v>944903779.8624481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77" t="s">
        <v>212</v>
      </c>
      <c r="C49" s="278"/>
      <c r="D49" s="278"/>
      <c r="E49" s="278"/>
      <c r="F49" s="278"/>
      <c r="G49" s="278"/>
      <c r="H49" s="278"/>
      <c r="I49" s="278"/>
      <c r="J49" s="278"/>
      <c r="K49" s="278"/>
      <c r="L49" s="288"/>
      <c r="M49" s="265" t="s">
        <v>185</v>
      </c>
      <c r="N49" s="266"/>
      <c r="O49" s="266"/>
      <c r="P49" s="266"/>
      <c r="Q49" s="266"/>
      <c r="R49" s="267"/>
    </row>
    <row r="50" spans="2:21" ht="17.100000000000001" customHeight="1" x14ac:dyDescent="0.25">
      <c r="B50" s="289" t="s">
        <v>41</v>
      </c>
      <c r="C50" s="289" t="s">
        <v>42</v>
      </c>
      <c r="D50" s="258" t="s">
        <v>137</v>
      </c>
      <c r="E50" s="259"/>
      <c r="F50" s="259"/>
      <c r="G50" s="260"/>
      <c r="H50" s="290" t="s">
        <v>138</v>
      </c>
      <c r="I50" s="291"/>
      <c r="J50" s="291"/>
      <c r="K50" s="292"/>
      <c r="L50" s="293" t="s">
        <v>139</v>
      </c>
      <c r="M50" s="268" t="str">
        <f>"SELISIH"&amp;CHAR(10)&amp;TEXT($H$41,"0%")</f>
        <v>SELISIH
100%</v>
      </c>
      <c r="N50" s="268" t="str">
        <f>"PER HARI"&amp;CHAR(10)&amp;TEXT($H$41,"0%")</f>
        <v>PER HARI
100%</v>
      </c>
      <c r="O50" s="270" t="str">
        <f>"SELISIH"&amp;CHAR(10)&amp;TEXT($J$41,"0%")</f>
        <v>SELISIH
100%</v>
      </c>
      <c r="P50" s="270" t="str">
        <f>"PER HARI"&amp;CHAR(10)&amp;TEXT($J$41,"0%")</f>
        <v>PER HARI
100%</v>
      </c>
      <c r="Q50" s="272" t="str">
        <f>"SELISIH"&amp;CHAR(10)&amp;TEXT($L$41,"0%")</f>
        <v>SELISIH
100%</v>
      </c>
      <c r="R50" s="272" t="str">
        <f>"PER HARI"&amp;CHAR(10)&amp;TEXT($L$41,"0%")</f>
        <v>PER HARI
100%</v>
      </c>
    </row>
    <row r="51" spans="2:21" ht="17.100000000000001" customHeight="1" x14ac:dyDescent="0.25">
      <c r="B51" s="264"/>
      <c r="C51" s="264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4"/>
      <c r="M51" s="269"/>
      <c r="N51" s="269"/>
      <c r="O51" s="271"/>
      <c r="P51" s="271"/>
      <c r="Q51" s="273"/>
      <c r="R51" s="273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264878449.53367499</v>
      </c>
      <c r="I52" s="114">
        <f t="shared" ref="I52:I65" si="1">SUMIF($B$10:$B$26,$T52,D$10:D$26)+SUMIF($B$10:$B$26,$U52,D$10:D$26)</f>
        <v>41908895.254446998</v>
      </c>
      <c r="J52" s="114">
        <f t="shared" ref="J52:J65" si="2">SUMIF($B$10:$B$26,$T52,E$10:E$26)+SUMIF($B$10:$B$26,$U52,E$10:E$26)</f>
        <v>132668519.29973499</v>
      </c>
      <c r="K52" s="114">
        <f t="shared" ref="K52:K65" si="3">SUM(H52:J52)</f>
        <v>439455864.08785701</v>
      </c>
      <c r="L52" s="187">
        <f t="shared" ref="L52:L66" si="4">IFERROR(K52/G52,0)</f>
        <v>0.88558105318401259</v>
      </c>
      <c r="M52" s="184">
        <f t="shared" ref="M52:M65" si="5">G52*$H$41-K52</f>
        <v>56778627.95309186</v>
      </c>
      <c r="N52" s="184">
        <f t="shared" ref="N52:N66" ca="1" si="6">IFERROR(M52/$C$3,0)</f>
        <v>28389313.97654593</v>
      </c>
      <c r="O52" s="180">
        <f t="shared" ref="O52:O65" si="7">G52*$J$41-K52</f>
        <v>56778627.95309186</v>
      </c>
      <c r="P52" s="180">
        <f t="shared" ref="P52:P66" ca="1" si="8">IFERROR(O52/$C$3,0)</f>
        <v>28389313.97654593</v>
      </c>
      <c r="Q52" s="185">
        <f t="shared" ref="Q52:Q65" si="9">G52*$L$41-K52</f>
        <v>56778627.95309186</v>
      </c>
      <c r="R52" s="185">
        <f t="shared" ref="R52:R66" ca="1" si="10">IFERROR(Q52/$C$3,0)</f>
        <v>28389313.97654593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213857964.361662</v>
      </c>
      <c r="I53" s="114">
        <f t="shared" si="1"/>
        <v>101208523.193169</v>
      </c>
      <c r="J53" s="114">
        <f t="shared" si="2"/>
        <v>390982914.32884598</v>
      </c>
      <c r="K53" s="114">
        <f t="shared" si="3"/>
        <v>706049401.88367701</v>
      </c>
      <c r="L53" s="187">
        <f t="shared" si="4"/>
        <v>0.92006491684792835</v>
      </c>
      <c r="M53" s="184">
        <f t="shared" si="5"/>
        <v>61341451.690598965</v>
      </c>
      <c r="N53" s="184">
        <f t="shared" ca="1" si="6"/>
        <v>30670725.845299482</v>
      </c>
      <c r="O53" s="180">
        <f t="shared" si="7"/>
        <v>61341451.690598965</v>
      </c>
      <c r="P53" s="180">
        <f t="shared" ca="1" si="8"/>
        <v>30670725.845299482</v>
      </c>
      <c r="Q53" s="185">
        <f t="shared" si="9"/>
        <v>61341451.690598965</v>
      </c>
      <c r="R53" s="185">
        <f t="shared" ca="1" si="10"/>
        <v>30670725.845299482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19889995.640000001</v>
      </c>
      <c r="I54" s="114">
        <f t="shared" si="1"/>
        <v>0</v>
      </c>
      <c r="J54" s="114">
        <f t="shared" si="2"/>
        <v>0</v>
      </c>
      <c r="K54" s="114">
        <f t="shared" si="3"/>
        <v>19889995.640000001</v>
      </c>
      <c r="L54" s="187">
        <f t="shared" si="4"/>
        <v>7.5640847196817906E-2</v>
      </c>
      <c r="M54" s="184">
        <f t="shared" si="5"/>
        <v>243063109.42301077</v>
      </c>
      <c r="N54" s="184">
        <f t="shared" ca="1" si="6"/>
        <v>121531554.71150538</v>
      </c>
      <c r="O54" s="180">
        <f t="shared" si="7"/>
        <v>243063109.42301077</v>
      </c>
      <c r="P54" s="180">
        <f t="shared" ca="1" si="8"/>
        <v>121531554.71150538</v>
      </c>
      <c r="Q54" s="185">
        <f t="shared" si="9"/>
        <v>243063109.42301077</v>
      </c>
      <c r="R54" s="185">
        <f t="shared" ca="1" si="10"/>
        <v>121531554.71150538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437593146.98973697</v>
      </c>
      <c r="I55" s="114">
        <f t="shared" si="1"/>
        <v>38788320.403894</v>
      </c>
      <c r="J55" s="114">
        <f t="shared" si="2"/>
        <v>152741961.263538</v>
      </c>
      <c r="K55" s="114">
        <f t="shared" si="3"/>
        <v>629123428.65716898</v>
      </c>
      <c r="L55" s="187">
        <f t="shared" si="4"/>
        <v>0.88791671758958246</v>
      </c>
      <c r="M55" s="184">
        <f t="shared" si="5"/>
        <v>79415352.282830954</v>
      </c>
      <c r="N55" s="184">
        <f t="shared" ca="1" si="6"/>
        <v>39707676.141415477</v>
      </c>
      <c r="O55" s="180">
        <f t="shared" si="7"/>
        <v>79415352.282830954</v>
      </c>
      <c r="P55" s="180">
        <f t="shared" ca="1" si="8"/>
        <v>39707676.141415477</v>
      </c>
      <c r="Q55" s="185">
        <f t="shared" si="9"/>
        <v>79415352.282830954</v>
      </c>
      <c r="R55" s="185">
        <f t="shared" ca="1" si="10"/>
        <v>39707676.141415477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3670270.2599940002</v>
      </c>
      <c r="I56" s="114">
        <f t="shared" si="1"/>
        <v>37900456</v>
      </c>
      <c r="J56" s="114">
        <f t="shared" si="2"/>
        <v>327900908.15999299</v>
      </c>
      <c r="K56" s="114">
        <f t="shared" si="3"/>
        <v>369471634.41998696</v>
      </c>
      <c r="L56" s="187">
        <f t="shared" si="4"/>
        <v>0.68777168083316531</v>
      </c>
      <c r="M56" s="184">
        <f t="shared" si="5"/>
        <v>167729365.15069866</v>
      </c>
      <c r="N56" s="184">
        <f t="shared" ca="1" si="6"/>
        <v>83864682.575349331</v>
      </c>
      <c r="O56" s="180">
        <f t="shared" si="7"/>
        <v>167729365.15069866</v>
      </c>
      <c r="P56" s="180">
        <f t="shared" ca="1" si="8"/>
        <v>83864682.575349331</v>
      </c>
      <c r="Q56" s="185">
        <f t="shared" si="9"/>
        <v>167729365.15069866</v>
      </c>
      <c r="R56" s="185">
        <f t="shared" ca="1" si="10"/>
        <v>83864682.575349331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202142628.03509599</v>
      </c>
      <c r="I57" s="114">
        <f t="shared" si="1"/>
        <v>64686578.009547003</v>
      </c>
      <c r="J57" s="114">
        <f t="shared" si="2"/>
        <v>134151640.71991999</v>
      </c>
      <c r="K57" s="114">
        <f t="shared" si="3"/>
        <v>400980846.76456296</v>
      </c>
      <c r="L57" s="187">
        <f t="shared" si="4"/>
        <v>0.72013562021498256</v>
      </c>
      <c r="M57" s="184">
        <f t="shared" si="5"/>
        <v>155832113.8897897</v>
      </c>
      <c r="N57" s="184">
        <f t="shared" ca="1" si="6"/>
        <v>77916056.94489485</v>
      </c>
      <c r="O57" s="180">
        <f t="shared" si="7"/>
        <v>155832113.8897897</v>
      </c>
      <c r="P57" s="180">
        <f t="shared" ca="1" si="8"/>
        <v>77916056.94489485</v>
      </c>
      <c r="Q57" s="185">
        <f t="shared" si="9"/>
        <v>155832113.8897897</v>
      </c>
      <c r="R57" s="185">
        <f t="shared" ca="1" si="10"/>
        <v>77916056.94489485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521764213.63217503</v>
      </c>
      <c r="I58" s="114">
        <f t="shared" si="1"/>
        <v>67905212.979720995</v>
      </c>
      <c r="J58" s="114">
        <f t="shared" si="2"/>
        <v>336708020.17935401</v>
      </c>
      <c r="K58" s="114">
        <f t="shared" si="3"/>
        <v>926377446.79124999</v>
      </c>
      <c r="L58" s="187">
        <f t="shared" si="4"/>
        <v>0.84906884719347309</v>
      </c>
      <c r="M58" s="184">
        <f t="shared" si="5"/>
        <v>164673590.88763094</v>
      </c>
      <c r="N58" s="184">
        <f t="shared" ca="1" si="6"/>
        <v>82336795.44381547</v>
      </c>
      <c r="O58" s="180">
        <f t="shared" si="7"/>
        <v>164673590.88763094</v>
      </c>
      <c r="P58" s="180">
        <f t="shared" ca="1" si="8"/>
        <v>82336795.44381547</v>
      </c>
      <c r="Q58" s="185">
        <f t="shared" si="9"/>
        <v>164673590.88763094</v>
      </c>
      <c r="R58" s="185">
        <f t="shared" ca="1" si="10"/>
        <v>82336795.44381547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287434557.990942</v>
      </c>
      <c r="I59" s="114">
        <f t="shared" si="1"/>
        <v>64000668.739918999</v>
      </c>
      <c r="J59" s="114">
        <f t="shared" si="2"/>
        <v>176732688.810204</v>
      </c>
      <c r="K59" s="114">
        <f t="shared" si="3"/>
        <v>528167915.54106498</v>
      </c>
      <c r="L59" s="187">
        <f t="shared" si="4"/>
        <v>0.88552238444985854</v>
      </c>
      <c r="M59" s="184">
        <f t="shared" si="5"/>
        <v>68279926.79009831</v>
      </c>
      <c r="N59" s="184">
        <f t="shared" ca="1" si="6"/>
        <v>34139963.395049155</v>
      </c>
      <c r="O59" s="180">
        <f t="shared" si="7"/>
        <v>68279926.79009831</v>
      </c>
      <c r="P59" s="180">
        <f t="shared" ca="1" si="8"/>
        <v>34139963.395049155</v>
      </c>
      <c r="Q59" s="185">
        <f t="shared" si="9"/>
        <v>68279926.79009831</v>
      </c>
      <c r="R59" s="185">
        <f t="shared" ca="1" si="10"/>
        <v>34139963.395049155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143859574.81999999</v>
      </c>
      <c r="I60" s="114">
        <f t="shared" si="1"/>
        <v>0</v>
      </c>
      <c r="J60" s="114">
        <f t="shared" si="2"/>
        <v>0</v>
      </c>
      <c r="K60" s="114">
        <f t="shared" si="3"/>
        <v>143859574.81999999</v>
      </c>
      <c r="L60" s="187">
        <f t="shared" si="4"/>
        <v>0.32411994900800556</v>
      </c>
      <c r="M60" s="184">
        <f t="shared" si="5"/>
        <v>299987140.75642002</v>
      </c>
      <c r="N60" s="184">
        <f t="shared" ca="1" si="6"/>
        <v>149993570.37821001</v>
      </c>
      <c r="O60" s="180">
        <f t="shared" si="7"/>
        <v>299987140.75642002</v>
      </c>
      <c r="P60" s="180">
        <f t="shared" ca="1" si="8"/>
        <v>149993570.37821001</v>
      </c>
      <c r="Q60" s="185">
        <f t="shared" si="9"/>
        <v>299987140.75642002</v>
      </c>
      <c r="R60" s="185">
        <f t="shared" ca="1" si="10"/>
        <v>149993570.37821001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292699549.89259303</v>
      </c>
      <c r="I61" s="114">
        <f t="shared" si="1"/>
        <v>87112730.847988993</v>
      </c>
      <c r="J61" s="114">
        <f t="shared" si="2"/>
        <v>101552429.549521</v>
      </c>
      <c r="K61" s="114">
        <f t="shared" si="3"/>
        <v>481364710.29010296</v>
      </c>
      <c r="L61" s="187">
        <f t="shared" si="4"/>
        <v>0.85796628046804824</v>
      </c>
      <c r="M61" s="184">
        <f t="shared" si="5"/>
        <v>79688470.06041503</v>
      </c>
      <c r="N61" s="184">
        <f t="shared" ca="1" si="6"/>
        <v>39844235.030207515</v>
      </c>
      <c r="O61" s="180">
        <f t="shared" si="7"/>
        <v>79688470.06041503</v>
      </c>
      <c r="P61" s="180">
        <f t="shared" ca="1" si="8"/>
        <v>39844235.030207515</v>
      </c>
      <c r="Q61" s="185">
        <f t="shared" si="9"/>
        <v>79688470.06041503</v>
      </c>
      <c r="R61" s="185">
        <f t="shared" ca="1" si="10"/>
        <v>39844235.030207515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439244813.22403198</v>
      </c>
      <c r="I62" s="114">
        <f t="shared" si="1"/>
        <v>68146946.838856995</v>
      </c>
      <c r="J62" s="114">
        <f t="shared" si="2"/>
        <v>199079105.03990501</v>
      </c>
      <c r="K62" s="114">
        <f t="shared" si="3"/>
        <v>706470865.10279393</v>
      </c>
      <c r="L62" s="187">
        <f t="shared" si="4"/>
        <v>1.0114696532242029</v>
      </c>
      <c r="M62" s="184">
        <f t="shared" si="5"/>
        <v>-8011091.3954781294</v>
      </c>
      <c r="N62" s="184">
        <f t="shared" ca="1" si="6"/>
        <v>-4005545.6977390647</v>
      </c>
      <c r="O62" s="180">
        <f t="shared" si="7"/>
        <v>-8011091.3954781294</v>
      </c>
      <c r="P62" s="180">
        <f t="shared" ca="1" si="8"/>
        <v>-4005545.6977390647</v>
      </c>
      <c r="Q62" s="185">
        <f t="shared" si="9"/>
        <v>-8011091.3954781294</v>
      </c>
      <c r="R62" s="185">
        <f t="shared" ca="1" si="10"/>
        <v>-4005545.6977390647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181838881.34438601</v>
      </c>
      <c r="I63" s="114">
        <f t="shared" si="1"/>
        <v>48782899.217996001</v>
      </c>
      <c r="J63" s="114">
        <f t="shared" si="2"/>
        <v>216244642.85777801</v>
      </c>
      <c r="K63" s="114">
        <f t="shared" si="3"/>
        <v>446866423.42016006</v>
      </c>
      <c r="L63" s="187">
        <f t="shared" si="4"/>
        <v>0.97379807736973378</v>
      </c>
      <c r="M63" s="184">
        <f t="shared" si="5"/>
        <v>12023806.294775844</v>
      </c>
      <c r="N63" s="184">
        <f t="shared" ca="1" si="6"/>
        <v>6011903.1473879218</v>
      </c>
      <c r="O63" s="180">
        <f t="shared" si="7"/>
        <v>12023806.294775844</v>
      </c>
      <c r="P63" s="180">
        <f t="shared" ca="1" si="8"/>
        <v>6011903.1473879218</v>
      </c>
      <c r="Q63" s="185">
        <f t="shared" si="9"/>
        <v>12023806.294775844</v>
      </c>
      <c r="R63" s="185">
        <f t="shared" ca="1" si="10"/>
        <v>6011903.1473879218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492067062.50596201</v>
      </c>
      <c r="I64" s="114">
        <f t="shared" si="1"/>
        <v>167809230.83659801</v>
      </c>
      <c r="J64" s="114">
        <f t="shared" si="2"/>
        <v>228219676.907231</v>
      </c>
      <c r="K64" s="114">
        <f t="shared" si="3"/>
        <v>888095970.24979103</v>
      </c>
      <c r="L64" s="187">
        <f t="shared" si="4"/>
        <v>0.92429028162699389</v>
      </c>
      <c r="M64" s="184">
        <f t="shared" si="5"/>
        <v>72744999.1981498</v>
      </c>
      <c r="N64" s="184">
        <f t="shared" ca="1" si="6"/>
        <v>36372499.5990749</v>
      </c>
      <c r="O64" s="180">
        <f t="shared" si="7"/>
        <v>72744999.1981498</v>
      </c>
      <c r="P64" s="180">
        <f t="shared" ca="1" si="8"/>
        <v>36372499.5990749</v>
      </c>
      <c r="Q64" s="185">
        <f t="shared" si="9"/>
        <v>72744999.1981498</v>
      </c>
      <c r="R64" s="185">
        <f t="shared" ca="1" si="10"/>
        <v>36372499.5990749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165584965.29748198</v>
      </c>
      <c r="I65" s="114">
        <f t="shared" si="1"/>
        <v>106347544.67603499</v>
      </c>
      <c r="J65" s="114">
        <f t="shared" si="2"/>
        <v>167190740.83733499</v>
      </c>
      <c r="K65" s="114">
        <f t="shared" si="3"/>
        <v>439123250.81085193</v>
      </c>
      <c r="L65" s="187">
        <f t="shared" si="4"/>
        <v>0.84645158998185743</v>
      </c>
      <c r="M65" s="184">
        <f t="shared" si="5"/>
        <v>79658042.777673244</v>
      </c>
      <c r="N65" s="184">
        <f t="shared" ca="1" si="6"/>
        <v>39829021.388836622</v>
      </c>
      <c r="O65" s="180">
        <f t="shared" si="7"/>
        <v>79658042.777673244</v>
      </c>
      <c r="P65" s="180">
        <f t="shared" ca="1" si="8"/>
        <v>39829021.388836622</v>
      </c>
      <c r="Q65" s="185">
        <f t="shared" si="9"/>
        <v>79658042.777673244</v>
      </c>
      <c r="R65" s="185">
        <f t="shared" ca="1" si="10"/>
        <v>39829021.388836622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3666526073.5277357</v>
      </c>
      <c r="I66" s="135">
        <f t="shared" si="12"/>
        <v>894598006.99817204</v>
      </c>
      <c r="J66" s="135">
        <f t="shared" si="12"/>
        <v>2564173247.9533596</v>
      </c>
      <c r="K66" s="135">
        <f t="shared" si="12"/>
        <v>7125297328.479269</v>
      </c>
      <c r="L66" s="189">
        <f t="shared" si="4"/>
        <v>0.82292492809012208</v>
      </c>
      <c r="M66" s="181">
        <f>SUM(M52:M65)</f>
        <v>1533204905.759706</v>
      </c>
      <c r="N66" s="181">
        <f t="shared" ca="1" si="6"/>
        <v>766602452.87985301</v>
      </c>
      <c r="O66" s="181">
        <f>SUM(O52:O65)</f>
        <v>1533204905.759706</v>
      </c>
      <c r="P66" s="181">
        <f t="shared" ca="1" si="8"/>
        <v>766602452.87985301</v>
      </c>
      <c r="Q66" s="186">
        <f>SUM(Q52:Q65)</f>
        <v>1533204905.759706</v>
      </c>
      <c r="R66" s="186">
        <f t="shared" ca="1" si="10"/>
        <v>766602452.87985301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95" t="s">
        <v>144</v>
      </c>
      <c r="C68" s="296"/>
      <c r="D68" s="296"/>
      <c r="E68" s="296"/>
      <c r="F68" s="298"/>
      <c r="G68" s="265" t="s">
        <v>185</v>
      </c>
      <c r="H68" s="266"/>
      <c r="I68" s="266"/>
      <c r="J68" s="266"/>
      <c r="K68" s="266"/>
      <c r="L68" s="267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235390673.29898599</v>
      </c>
      <c r="F70" s="187">
        <f t="shared" ref="F70:F75" si="13">IFERROR(E70/D70,0)</f>
        <v>0.87383012545912786</v>
      </c>
      <c r="G70" s="184">
        <f>D70*$H$41-E70</f>
        <v>33987397.381865174</v>
      </c>
      <c r="H70" s="184">
        <f t="shared" ref="H70:H75" ca="1" si="14">IFERROR(G70/$C$3,0)</f>
        <v>16993698.690932587</v>
      </c>
      <c r="I70" s="204">
        <f>D70*$J$41-E70</f>
        <v>33987397.381865174</v>
      </c>
      <c r="J70" s="204">
        <f t="shared" ref="J70:J75" ca="1" si="15">IFERROR(I70/$C$3,0)</f>
        <v>16993698.690932587</v>
      </c>
      <c r="K70" s="185">
        <f>D70*$L$41-E70</f>
        <v>33987397.381865174</v>
      </c>
      <c r="L70" s="185">
        <f t="shared" ref="L70:L75" ca="1" si="16">IFERROR(K70/$C$3,0)</f>
        <v>16993698.690932587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428570914.095191</v>
      </c>
      <c r="F71" s="187">
        <f t="shared" si="13"/>
        <v>1.0385091928516206</v>
      </c>
      <c r="G71" s="184">
        <f>D71*$H$41-E71</f>
        <v>-15891934.4143399</v>
      </c>
      <c r="H71" s="184">
        <f t="shared" ca="1" si="14"/>
        <v>-7945967.20716995</v>
      </c>
      <c r="I71" s="204">
        <f>D71*$J$41-E71</f>
        <v>-15891934.4143399</v>
      </c>
      <c r="J71" s="204">
        <f t="shared" ca="1" si="15"/>
        <v>-7945967.20716995</v>
      </c>
      <c r="K71" s="185">
        <f>D71*$L$41-E71</f>
        <v>-15891934.4143399</v>
      </c>
      <c r="L71" s="185">
        <f t="shared" ca="1" si="16"/>
        <v>-7945967.20716995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759222992.68318701</v>
      </c>
      <c r="F72" s="187">
        <f t="shared" si="13"/>
        <v>0.69162987769672191</v>
      </c>
      <c r="G72" s="184">
        <f>D72*$H$41-E72</f>
        <v>338507190.99766397</v>
      </c>
      <c r="H72" s="184">
        <f t="shared" ca="1" si="14"/>
        <v>169253595.49883199</v>
      </c>
      <c r="I72" s="204">
        <f>D72*$J$41-E72</f>
        <v>338507190.99766397</v>
      </c>
      <c r="J72" s="204">
        <f t="shared" ca="1" si="15"/>
        <v>169253595.49883199</v>
      </c>
      <c r="K72" s="185">
        <f>D72*$L$41-E72</f>
        <v>338507190.99766397</v>
      </c>
      <c r="L72" s="185">
        <f t="shared" ca="1" si="16"/>
        <v>169253595.49883199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1423184580.077364</v>
      </c>
      <c r="F75" s="177">
        <f t="shared" si="13"/>
        <v>0.79963748073683327</v>
      </c>
      <c r="G75" s="181">
        <f>SUM(G70:G74)</f>
        <v>356602653.96518922</v>
      </c>
      <c r="H75" s="181">
        <f t="shared" ca="1" si="14"/>
        <v>178301326.98259461</v>
      </c>
      <c r="I75" s="186">
        <f>SUM(I70:I74)</f>
        <v>356602653.96518922</v>
      </c>
      <c r="J75" s="186">
        <f t="shared" ca="1" si="15"/>
        <v>178301326.98259461</v>
      </c>
      <c r="K75" s="186">
        <f>SUM(K70:K74)</f>
        <v>356602653.96518922</v>
      </c>
      <c r="L75" s="186">
        <f t="shared" ca="1" si="16"/>
        <v>178301326.98259461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4" t="s">
        <v>170</v>
      </c>
      <c r="C78" s="255"/>
      <c r="D78" s="256"/>
    </row>
    <row r="79" spans="2:21" ht="17.100000000000001" customHeight="1" x14ac:dyDescent="0.25">
      <c r="B79" s="264" t="s">
        <v>41</v>
      </c>
      <c r="C79" s="264" t="s">
        <v>42</v>
      </c>
      <c r="D79" s="231" t="s">
        <v>138</v>
      </c>
    </row>
    <row r="80" spans="2:21" ht="17.100000000000001" customHeight="1" x14ac:dyDescent="0.25">
      <c r="B80" s="263"/>
      <c r="C80" s="263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395841086.40983999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197881082.99000001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13405405.039999999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309619467.28971499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103492793.409978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1150887381.3997531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295618025.59945601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13729729.359999999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75549351.290000007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651857309.90925097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154623424.32992399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19107676.0658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164797841.495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 t="s">
        <v>229</v>
      </c>
      <c r="C95" s="56" t="s">
        <v>227</v>
      </c>
      <c r="D95" s="132">
        <f>SUMIF($B$10:$B$27,$T95,$F$10:$F$27)+SUMIF($B$10:$B$27,$U95,$F$10:$F$27)</f>
        <v>5837838.0999999996</v>
      </c>
      <c r="T95" t="s">
        <v>227</v>
      </c>
      <c r="U95" t="s">
        <v>217</v>
      </c>
    </row>
    <row r="96" spans="2:21" ht="15.95" customHeight="1" x14ac:dyDescent="0.25">
      <c r="B96" s="57" t="s">
        <v>151</v>
      </c>
      <c r="C96" s="58"/>
      <c r="D96" s="120">
        <f>SUM(D81:D95)</f>
        <v>3552248412.6887174</v>
      </c>
    </row>
    <row r="97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76" zoomScaleNormal="100" workbookViewId="0">
      <selection activeCell="B77" sqref="B77:V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174</v>
      </c>
      <c r="C40" s="275"/>
      <c r="D40" s="276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H83" sqref="H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176</v>
      </c>
      <c r="C40" s="275"/>
      <c r="D40" s="276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2026-10-29T00:51:26Z</dcterms:modified>
  <dc:language>en-US</dc:language>
</cp:coreProperties>
</file>