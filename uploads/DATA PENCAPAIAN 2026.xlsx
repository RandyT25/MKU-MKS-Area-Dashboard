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firstSheet="1" activeTab="7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4" i="8" l="1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D92" i="8"/>
  <c r="D91" i="8"/>
  <c r="D90" i="8"/>
  <c r="D94" i="8" s="1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F63" i="8" s="1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E93" i="8"/>
  <c r="E92" i="8"/>
  <c r="E90" i="8"/>
  <c r="E89" i="8"/>
  <c r="G89" i="8" s="1"/>
  <c r="F64" i="8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1" i="8" l="1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H89" i="8"/>
  <c r="H93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F44" i="8" l="1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<sst xmlns="http://schemas.openxmlformats.org/spreadsheetml/2006/main" count="1875" uniqueCount="185">
  <si>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</si>
  <si>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</si>
  <si>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</si>
  <si>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</si>
  <si>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</si>
  <si>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</si>
  <si>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</si>
  <si>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</si>
  <si>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</si>
  <si>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</si>
  <si>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</si>
  <si>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</si>
  <si>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</si>
  <si>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</si>
  <si>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</si>
  <si>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</si>
  <si>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</si>
  <si>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</si>
  <si>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</si>
  <si>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</si>
  <si>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</si>
  <si>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</si>
  <si>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</si>
  <si>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</si>
  <si>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</si>
  <si>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</si>
  <si>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</si>
  <si>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</si>
  <si>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</si>
  <si>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</si>
  <si>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</si>
  <si>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</si>
  <si>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</si>
  <si>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</si>
  <si>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</si>
  <si>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</si>
  <si>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</si>
  <si>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</si>
  <si>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</si>
  <si>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</si>
  <si>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</si>
  <si>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</si>
  <si>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</si>
  <si>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</si>
  <si>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</si>
  <si>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</si>
  <si>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</si>
  <si>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</si>
  <si>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</si>
  <si>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</si>
  <si>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</si>
  <si>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</si>
  <si>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</si>
  <si>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</si>
  <si>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</si>
  <si>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</si>
  <si>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</si>
  <si>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</si>
  <si>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</si>
  <si>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</si>
  <si>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</si>
  <si>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</si>
  <si>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</si>
  <si>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</si>
  <si>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</si>
  <si>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</si>
  <si>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</si>
  <si>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</si>
  <si>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</si>
  <si>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</si>
  <si>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</si>
  <si>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</si>
  <si>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</si>
  <si>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</si>
  <si>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</si>
  <si>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</si>
  <si>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</si>
  <si>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</si>
  <si>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</si>
  <si>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</si>
  <si>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</si>
  <si>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</si>
  <si>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</si>
  <si>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</si>
  <si>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</si>
  <si>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</si>
  <si>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</si>
  <si>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</si>
  <si>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</si>
  <si>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</si>
  <si>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</si>
  <si>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</si>
  <si>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</si>
  <si>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</si>
  <si>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</si>
  <si>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</si>
  <si>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</si>
  <si>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</si>
  <si>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</si>
  <si>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</si>
  <si>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</si>
  <si>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</si>
  <si>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</si>
  <si>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</si>
  <si>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</si>
  <si>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</si>
  <si>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</si>
  <si>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</si>
  <si>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</si>
  <si>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</si>
  <si>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</si>
  <si>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</si>
  <si>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</si>
  <si>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</si>
  <si>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</si>
  <si>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</si>
  <si>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</si>
  <si>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</si>
  <si>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</si>
  <si>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</si>
  <si>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</si>
  <si>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</si>
  <si>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</si>
  <si>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</si>
  <si>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</si>
  <si>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</si>
  <si>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</si>
  <si>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</si>
  <si>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</si>
  <si>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</si>
  <si>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</si>
  <si>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</si>
  <si>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</si>
  <si>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</si>
  <si>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</si>
  <si>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</si>
  <si>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</si>
  <si>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</si>
  <si>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</si>
  <si>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</si>
  <si>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</si>
  <si>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</si>
  <si>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</si>
  <si>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</si>
  <si>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</si>
  <si>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</si>
  <si>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</si>
  <si>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</si>
  <si>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</si>
  <si>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</si>
  <si>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</si>
  <si>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</si>
  <si>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</si>
  <si>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</si>
  <si>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</si>
  <si>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</si>
  <si>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</si>
  <si>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</si>
  <si>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</si>
  <si>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</si>
  <si>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</si>
  <si>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</si>
  <si>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</si>
  <si>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</si>
  <si>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</si>
  <si>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</si>
  <si>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</si>
  <si>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</si>
  <si>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</si>
  <si>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</si>
  <si>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</si>
  <si>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</si>
  <si>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</si>
  <si>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</si>
  <si>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</si>
  <si>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</si>
  <si>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</si>
  <si>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</si>
  <si>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</si>
  <si>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</si>
  <si>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</si>
  <si>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</si>
  <si>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</si>
  <si>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</si>
  <si>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25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</si>
</sst>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50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164" fontId="0" fillId="0" borderId="0" xfId="0" applyNumberFormat="1"/>
    <xf numFmtId="41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8" t="s">
        <v>0</v>
      </c>
      <c r="C1" s="208"/>
    </row>
    <row r="3" spans="2:3" x14ac:dyDescent="0.25">
      <c r="B3" s="209" t="s">
        <v>1</v>
      </c>
      <c r="C3" s="209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10" t="s">
        <v>14</v>
      </c>
      <c r="C11" s="210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0" zoomScale="110" zoomScaleNormal="110" workbookViewId="0">
      <selection activeCell="I25" sqref="I2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2.85546875" bestFit="1" customWidth="1"/>
    <col min="10" max="11" width="11.28515625" bestFit="1" customWidth="1"/>
    <col min="12" max="13" width="11.140625" bestFit="1" customWidth="1"/>
    <col min="14" max="15" width="11.285156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9" t="s">
        <v>28</v>
      </c>
      <c r="C3" s="209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1" t="s">
        <v>102</v>
      </c>
      <c r="C29" s="211"/>
      <c r="D29" s="211"/>
      <c r="E29" s="211"/>
      <c r="F29" s="211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3" t="s">
        <v>146</v>
      </c>
      <c r="C44" s="214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5" t="s">
        <v>41</v>
      </c>
      <c r="C47" s="215" t="s">
        <v>42</v>
      </c>
      <c r="D47" s="216" t="s">
        <v>138</v>
      </c>
      <c r="E47" s="217"/>
      <c r="F47" s="218"/>
      <c r="G47" s="101" t="s">
        <v>139</v>
      </c>
      <c r="H47" s="101"/>
      <c r="I47" s="101"/>
      <c r="J47" s="215" t="s">
        <v>140</v>
      </c>
      <c r="K47" s="102" t="s">
        <v>148</v>
      </c>
      <c r="L47" s="102"/>
      <c r="M47" s="102"/>
      <c r="N47" s="212" t="s">
        <v>149</v>
      </c>
    </row>
    <row r="48" spans="2:14" ht="15.75" x14ac:dyDescent="0.25">
      <c r="B48" s="215"/>
      <c r="C48" s="215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5"/>
      <c r="K48" s="104" t="s">
        <v>143</v>
      </c>
      <c r="L48" s="104" t="s">
        <v>111</v>
      </c>
      <c r="M48" s="104" t="s">
        <v>146</v>
      </c>
      <c r="N48" s="21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3" t="s">
        <v>146</v>
      </c>
      <c r="C44" s="214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5" t="s">
        <v>41</v>
      </c>
      <c r="C47" s="215" t="s">
        <v>42</v>
      </c>
      <c r="D47" s="216" t="s">
        <v>138</v>
      </c>
      <c r="E47" s="217"/>
      <c r="F47" s="218"/>
      <c r="G47" s="101" t="s">
        <v>139</v>
      </c>
      <c r="H47" s="101"/>
      <c r="I47" s="101"/>
      <c r="J47" s="215" t="s">
        <v>140</v>
      </c>
      <c r="K47" s="102" t="s">
        <v>148</v>
      </c>
      <c r="L47" s="102"/>
      <c r="M47" s="102"/>
      <c r="N47" s="212" t="s">
        <v>149</v>
      </c>
    </row>
    <row r="48" spans="2:14" ht="15.75" x14ac:dyDescent="0.25">
      <c r="B48" s="215"/>
      <c r="C48" s="215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5"/>
      <c r="K48" s="104" t="s">
        <v>143</v>
      </c>
      <c r="L48" s="104" t="s">
        <v>111</v>
      </c>
      <c r="M48" s="104" t="s">
        <v>146</v>
      </c>
      <c r="N48" s="212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3" t="s">
        <v>146</v>
      </c>
      <c r="C44" s="224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5" t="s">
        <v>41</v>
      </c>
      <c r="C47" s="225" t="s">
        <v>42</v>
      </c>
      <c r="D47" s="220" t="s">
        <v>138</v>
      </c>
      <c r="E47" s="221"/>
      <c r="F47" s="222"/>
      <c r="G47" s="70" t="s">
        <v>139</v>
      </c>
      <c r="H47" s="70"/>
      <c r="I47" s="70"/>
      <c r="J47" s="225" t="s">
        <v>140</v>
      </c>
      <c r="K47" s="35" t="s">
        <v>148</v>
      </c>
      <c r="L47" s="35"/>
      <c r="M47" s="35"/>
      <c r="N47" s="219" t="s">
        <v>149</v>
      </c>
    </row>
    <row r="48" spans="2:17" ht="15.75" x14ac:dyDescent="0.25">
      <c r="B48" s="225"/>
      <c r="C48" s="225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5"/>
      <c r="K48" s="34" t="s">
        <v>143</v>
      </c>
      <c r="L48" s="34" t="s">
        <v>111</v>
      </c>
      <c r="M48" s="34" t="s">
        <v>146</v>
      </c>
      <c r="N48" s="219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6" t="s">
        <v>182</v>
      </c>
      <c r="C41" s="227"/>
      <c r="D41" s="228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3" t="s">
        <v>146</v>
      </c>
      <c r="C46" s="224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37"/>
      <c r="L48" s="238"/>
      <c r="M48" s="238"/>
      <c r="N48" s="239"/>
    </row>
    <row r="49" spans="2:14" s="158" customFormat="1" ht="20.100000000000001" customHeight="1" x14ac:dyDescent="0.25">
      <c r="B49" s="236" t="s">
        <v>41</v>
      </c>
      <c r="C49" s="236" t="s">
        <v>42</v>
      </c>
      <c r="D49" s="233" t="s">
        <v>138</v>
      </c>
      <c r="E49" s="234"/>
      <c r="F49" s="235"/>
      <c r="G49" s="159" t="s">
        <v>139</v>
      </c>
      <c r="H49" s="159"/>
      <c r="I49" s="159"/>
      <c r="J49" s="236" t="s">
        <v>140</v>
      </c>
      <c r="K49" s="160" t="s">
        <v>148</v>
      </c>
      <c r="L49" s="160"/>
      <c r="M49" s="160"/>
      <c r="N49" s="229" t="s">
        <v>149</v>
      </c>
    </row>
    <row r="50" spans="2:14" s="158" customFormat="1" ht="20.100000000000001" customHeight="1" x14ac:dyDescent="0.25">
      <c r="B50" s="236"/>
      <c r="C50" s="236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6"/>
      <c r="K50" s="163" t="s">
        <v>143</v>
      </c>
      <c r="L50" s="163" t="s">
        <v>111</v>
      </c>
      <c r="M50" s="163" t="s">
        <v>146</v>
      </c>
      <c r="N50" s="229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5" t="s">
        <v>41</v>
      </c>
      <c r="C68" s="225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5"/>
      <c r="C69" s="225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30" t="s">
        <v>145</v>
      </c>
      <c r="C87" s="231"/>
      <c r="D87" s="231"/>
      <c r="E87" s="231"/>
      <c r="F87" s="232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4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5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168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205">
        <v>197567845.80000001</v>
      </c>
      <c r="D22" s="205" t="s">
        <v>168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173</v>
      </c>
      <c r="C23" s="205">
        <v>300521523.82997501</v>
      </c>
      <c r="D23" s="205" t="s">
        <v>168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7" t="s">
        <v>183</v>
      </c>
      <c r="C41" s="248"/>
      <c r="D41" s="249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126558816.0423214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111117465.94333816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21954502.947942544</v>
      </c>
      <c r="I45" s="116"/>
    </row>
    <row r="46" spans="2:14" ht="18.75" customHeight="1" x14ac:dyDescent="0.25">
      <c r="B46" s="223" t="s">
        <v>146</v>
      </c>
      <c r="C46" s="224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259630784.93360209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3"/>
      <c r="L48" s="244"/>
      <c r="M48" s="244"/>
      <c r="N48" s="245"/>
    </row>
    <row r="49" spans="2:14" ht="20.100000000000001" customHeight="1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6" t="s">
        <v>149</v>
      </c>
    </row>
    <row r="50" spans="2:14" ht="22.5" customHeight="1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6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30388824.665312659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27189926.997453999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8781084.4399999976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-8069741.4972054241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26158875.522305228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16137500.890988732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-5023427.1337479111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22162885.64705801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20722428.034004997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15122389.531456077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35447231.481175646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23674865.632434569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6921136.5925990818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18062301.181824077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237676281.98565975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5" t="s">
        <v>41</v>
      </c>
      <c r="C68" s="225" t="s">
        <v>42</v>
      </c>
      <c r="D68" s="134" t="s">
        <v>139</v>
      </c>
    </row>
    <row r="69" spans="2:14" ht="18" customHeight="1" x14ac:dyDescent="0.25">
      <c r="B69" s="225"/>
      <c r="C69" s="225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-2672595.5832544924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-3705896.5475764871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28332995.078773547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21954502.947942566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5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296324484.52852398</v>
      </c>
      <c r="N8" s="11">
        <f>D24</f>
        <v>53198556.223471999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496431704.69514</v>
      </c>
      <c r="N9" s="11">
        <f>D12+D13</f>
        <v>120019480.528742</v>
      </c>
    </row>
    <row r="10" spans="2:14" x14ac:dyDescent="0.25">
      <c r="B10" s="74" t="s">
        <v>113</v>
      </c>
      <c r="C10" s="205">
        <v>281014362.03701502</v>
      </c>
      <c r="D10" s="205">
        <v>31377289.693994999</v>
      </c>
      <c r="E10" s="205">
        <v>134723140.53999999</v>
      </c>
      <c r="F10" s="205">
        <v>447114792.27100998</v>
      </c>
      <c r="H10" s="116"/>
      <c r="I10" s="116"/>
      <c r="J10" s="116"/>
      <c r="M10" s="11">
        <f>C14</f>
        <v>839454924.55033195</v>
      </c>
      <c r="N10" s="11">
        <f>D14</f>
        <v>25301590.525097001</v>
      </c>
    </row>
    <row r="11" spans="2:14" x14ac:dyDescent="0.25">
      <c r="B11" s="74" t="s">
        <v>114</v>
      </c>
      <c r="C11" s="205">
        <v>312361408.84544998</v>
      </c>
      <c r="D11" s="205">
        <v>78376728.510130003</v>
      </c>
      <c r="E11" s="205">
        <v>3184684.68</v>
      </c>
      <c r="F11" s="205">
        <v>393922822.03557998</v>
      </c>
      <c r="H11" s="116"/>
      <c r="I11" s="116"/>
      <c r="J11" s="116"/>
      <c r="M11" s="11">
        <f>C17</f>
        <v>312830431.85913801</v>
      </c>
      <c r="N11" s="11">
        <f>D17</f>
        <v>50693884.710000001</v>
      </c>
    </row>
    <row r="12" spans="2:14" x14ac:dyDescent="0.25">
      <c r="B12" s="74" t="s">
        <v>70</v>
      </c>
      <c r="C12" s="205">
        <v>280223965.94231999</v>
      </c>
      <c r="D12" s="205">
        <v>73350909.038929</v>
      </c>
      <c r="E12" s="205">
        <v>49116048.439999998</v>
      </c>
      <c r="F12" s="205">
        <v>402690923.42124897</v>
      </c>
      <c r="H12" s="116"/>
      <c r="I12" s="116"/>
      <c r="J12" s="116"/>
      <c r="M12" s="11">
        <f>C16</f>
        <v>475630323.88770801</v>
      </c>
      <c r="N12" s="11">
        <f>D16</f>
        <v>85076007.132786006</v>
      </c>
    </row>
    <row r="13" spans="2:14" x14ac:dyDescent="0.25">
      <c r="B13" s="74" t="s">
        <v>115</v>
      </c>
      <c r="C13" s="205">
        <v>216207738.75281999</v>
      </c>
      <c r="D13" s="205">
        <v>46668571.489813</v>
      </c>
      <c r="E13" s="205">
        <v>29847724.800000001</v>
      </c>
      <c r="F13" s="205">
        <v>292724035.042633</v>
      </c>
      <c r="H13" s="116"/>
      <c r="I13" s="116"/>
      <c r="J13" s="116"/>
      <c r="M13" s="11">
        <f>C19</f>
        <v>893006078.16387904</v>
      </c>
      <c r="N13" s="11">
        <f>D19</f>
        <v>71857298.289833993</v>
      </c>
    </row>
    <row r="14" spans="2:14" x14ac:dyDescent="0.25">
      <c r="B14" s="74" t="s">
        <v>116</v>
      </c>
      <c r="C14" s="205">
        <v>839454924.55033195</v>
      </c>
      <c r="D14" s="205">
        <v>25301590.525097001</v>
      </c>
      <c r="E14" s="205">
        <v>235041405.61000001</v>
      </c>
      <c r="F14" s="205">
        <v>1099797920.6854291</v>
      </c>
      <c r="H14" s="116"/>
      <c r="I14" s="116"/>
      <c r="J14" s="116"/>
      <c r="M14" s="11">
        <f>C25</f>
        <v>395976957.20361203</v>
      </c>
      <c r="N14" s="11">
        <f>D25</f>
        <v>56424982.309926003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312361408.84544998</v>
      </c>
      <c r="N15" s="11">
        <f>D11</f>
        <v>78376728.510130003</v>
      </c>
    </row>
    <row r="16" spans="2:14" x14ac:dyDescent="0.25">
      <c r="B16" s="74" t="s">
        <v>74</v>
      </c>
      <c r="C16" s="205">
        <v>475630323.88770801</v>
      </c>
      <c r="D16" s="205">
        <v>85076007.132786006</v>
      </c>
      <c r="E16" s="205">
        <v>31767414.07</v>
      </c>
      <c r="F16" s="205">
        <v>592473745.09049404</v>
      </c>
      <c r="H16" s="116"/>
      <c r="I16" s="116"/>
      <c r="J16" s="116"/>
      <c r="M16" s="11">
        <f>C26</f>
        <v>465859381.86678499</v>
      </c>
      <c r="N16" s="11">
        <f>D26</f>
        <v>40714137.095458999</v>
      </c>
    </row>
    <row r="17" spans="2:14" x14ac:dyDescent="0.25">
      <c r="B17" s="74" t="s">
        <v>118</v>
      </c>
      <c r="C17" s="205">
        <v>312830431.85913801</v>
      </c>
      <c r="D17" s="205">
        <v>50693884.710000001</v>
      </c>
      <c r="E17" s="205" t="s">
        <v>168</v>
      </c>
      <c r="F17" s="205">
        <v>363524316.56913799</v>
      </c>
      <c r="H17" s="116"/>
      <c r="I17" s="116"/>
      <c r="J17" s="116"/>
      <c r="M17" s="11">
        <f>C10</f>
        <v>281014362.03701502</v>
      </c>
      <c r="N17" s="11">
        <f>D10</f>
        <v>31377289.693994999</v>
      </c>
    </row>
    <row r="18" spans="2:14" x14ac:dyDescent="0.25">
      <c r="B18" s="74" t="s">
        <v>119</v>
      </c>
      <c r="C18" s="205">
        <v>414904276.00798702</v>
      </c>
      <c r="D18" s="205">
        <v>3400376.6299919998</v>
      </c>
      <c r="E18" s="205">
        <v>8932432.3200000003</v>
      </c>
      <c r="F18" s="205">
        <v>427237084.95797902</v>
      </c>
      <c r="H18" s="116"/>
      <c r="I18" s="116"/>
      <c r="J18" s="116"/>
      <c r="M18" s="11">
        <f>C27</f>
        <v>670411415.19487202</v>
      </c>
      <c r="N18" s="11">
        <f>D27</f>
        <v>166809077.126995</v>
      </c>
    </row>
    <row r="19" spans="2:14" x14ac:dyDescent="0.25">
      <c r="B19" s="74" t="s">
        <v>121</v>
      </c>
      <c r="C19" s="205">
        <v>893006078.16387904</v>
      </c>
      <c r="D19" s="205">
        <v>71857298.289833993</v>
      </c>
      <c r="E19" s="205">
        <v>1144280579.6099501</v>
      </c>
      <c r="F19" s="205">
        <v>2109143956.063663</v>
      </c>
      <c r="H19" s="116"/>
      <c r="I19" s="116"/>
      <c r="J19" s="116"/>
      <c r="M19" s="11">
        <f>C20+C21</f>
        <v>162167475.51242</v>
      </c>
      <c r="N19" s="11">
        <f>D20+D21</f>
        <v>132022524.166824</v>
      </c>
    </row>
    <row r="20" spans="2:14" x14ac:dyDescent="0.25">
      <c r="B20" s="74" t="s">
        <v>123</v>
      </c>
      <c r="C20" s="205">
        <v>110428375.01242</v>
      </c>
      <c r="D20" s="205">
        <v>21539772.839754</v>
      </c>
      <c r="E20" s="205">
        <v>8237838</v>
      </c>
      <c r="F20" s="205">
        <v>140205985.85217401</v>
      </c>
      <c r="H20" s="116"/>
      <c r="I20" s="116"/>
      <c r="J20" s="116"/>
      <c r="M20" s="14">
        <f>IFERROR(C31,0)+IFERROR(C15,0)+IFERROR(C36,0)</f>
        <v>411000</v>
      </c>
      <c r="N20" s="10" t="s">
        <v>120</v>
      </c>
    </row>
    <row r="21" spans="2:14" x14ac:dyDescent="0.25">
      <c r="B21" s="74" t="s">
        <v>124</v>
      </c>
      <c r="C21" s="205">
        <v>51739100.5</v>
      </c>
      <c r="D21" s="205">
        <v>110482751.32707</v>
      </c>
      <c r="E21" s="205">
        <v>76810812.239999995</v>
      </c>
      <c r="F21" s="205">
        <v>239032664.06707001</v>
      </c>
      <c r="H21" s="116"/>
      <c r="I21" s="116"/>
      <c r="J21" s="116"/>
      <c r="M21" s="14">
        <f>IFERROR(C34,0)+IFERROR(C35,0)+M20</f>
        <v>724412838.92821896</v>
      </c>
      <c r="N21" s="10" t="s">
        <v>122</v>
      </c>
    </row>
    <row r="22" spans="2:14" x14ac:dyDescent="0.25">
      <c r="B22" s="74" t="s">
        <v>172</v>
      </c>
      <c r="C22" s="205">
        <v>184864971.30000001</v>
      </c>
      <c r="D22" s="205" t="s">
        <v>168</v>
      </c>
      <c r="E22" s="205">
        <v>9369369.1199999992</v>
      </c>
      <c r="F22" s="205">
        <v>194234340.41999999</v>
      </c>
      <c r="H22" s="116"/>
      <c r="I22" s="116"/>
      <c r="J22" s="116"/>
    </row>
    <row r="23" spans="2:14" x14ac:dyDescent="0.25">
      <c r="B23" s="74" t="s">
        <v>173</v>
      </c>
      <c r="C23" s="205">
        <v>358352859.48000002</v>
      </c>
      <c r="D23" s="205" t="s">
        <v>168</v>
      </c>
      <c r="E23" s="205">
        <v>12870720.380000001</v>
      </c>
      <c r="F23" s="205">
        <v>371223579.86000001</v>
      </c>
      <c r="H23" s="116"/>
      <c r="I23" s="116"/>
      <c r="J23" s="116"/>
    </row>
    <row r="24" spans="2:14" x14ac:dyDescent="0.25">
      <c r="B24" s="74" t="s">
        <v>125</v>
      </c>
      <c r="C24" s="205">
        <v>296324484.52852398</v>
      </c>
      <c r="D24" s="205">
        <v>53198556.223471999</v>
      </c>
      <c r="E24" s="205">
        <v>354712671.39986998</v>
      </c>
      <c r="F24" s="205">
        <v>704235712.15186596</v>
      </c>
      <c r="H24" s="116"/>
      <c r="I24" s="116"/>
      <c r="J24" s="116"/>
    </row>
    <row r="25" spans="2:14" x14ac:dyDescent="0.25">
      <c r="B25" s="74" t="s">
        <v>126</v>
      </c>
      <c r="C25" s="205">
        <v>395976957.20361203</v>
      </c>
      <c r="D25" s="205">
        <v>56424982.309926003</v>
      </c>
      <c r="E25" s="205">
        <v>248244358.60947901</v>
      </c>
      <c r="F25" s="205">
        <v>700646298.12301695</v>
      </c>
      <c r="H25" s="116"/>
      <c r="I25" s="116"/>
      <c r="J25" s="116"/>
    </row>
    <row r="26" spans="2:14" x14ac:dyDescent="0.25">
      <c r="B26" s="74" t="s">
        <v>127</v>
      </c>
      <c r="C26" s="205">
        <v>465859381.86678499</v>
      </c>
      <c r="D26" s="205">
        <v>40714137.095458999</v>
      </c>
      <c r="E26" s="205">
        <v>523397034.06948</v>
      </c>
      <c r="F26" s="205">
        <v>1029970553.031724</v>
      </c>
      <c r="H26" s="116"/>
      <c r="I26" s="116"/>
      <c r="J26" s="116"/>
    </row>
    <row r="27" spans="2:14" x14ac:dyDescent="0.25">
      <c r="B27" s="74" t="s">
        <v>128</v>
      </c>
      <c r="C27" s="205">
        <v>670411415.19487202</v>
      </c>
      <c r="D27" s="205">
        <v>166809077.126995</v>
      </c>
      <c r="E27" s="205">
        <v>15391027.368000001</v>
      </c>
      <c r="F27" s="205">
        <v>852611519.68986702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172359227.41485301</v>
      </c>
      <c r="G32" s="116"/>
      <c r="H32" s="116"/>
      <c r="I32" s="116"/>
    </row>
    <row r="33" spans="2:14" x14ac:dyDescent="0.25">
      <c r="B33" s="84" t="s">
        <v>133</v>
      </c>
      <c r="C33" s="206">
        <v>279969644.74289101</v>
      </c>
      <c r="G33" s="116"/>
      <c r="H33" s="116"/>
      <c r="I33" s="116"/>
    </row>
    <row r="34" spans="2:14" x14ac:dyDescent="0.25">
      <c r="B34" s="84" t="s">
        <v>134</v>
      </c>
      <c r="C34" s="205">
        <v>146443071.10850999</v>
      </c>
      <c r="G34" s="116"/>
      <c r="H34" s="116"/>
      <c r="I34" s="116"/>
    </row>
    <row r="35" spans="2:14" x14ac:dyDescent="0.25">
      <c r="B35" s="84" t="s">
        <v>135</v>
      </c>
      <c r="C35" s="205">
        <v>577558767.81970894</v>
      </c>
      <c r="G35" s="116"/>
      <c r="H35" s="116"/>
      <c r="I35" s="116"/>
    </row>
    <row r="36" spans="2:14" x14ac:dyDescent="0.25">
      <c r="B36" s="84" t="s">
        <v>136</v>
      </c>
      <c r="C36" s="205">
        <v>411000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6" t="s">
        <v>184</v>
      </c>
      <c r="C41" s="227"/>
      <c r="D41" s="228"/>
      <c r="E41" s="67" t="s">
        <v>138</v>
      </c>
      <c r="F41" s="73">
        <f ca="1">IF(MONTH(TODAY())=6,DAY(TODAY())/DAY(EOMONTH(TODAY(),0)),IF(MONTH(TODAY())&gt;6,1,0))</f>
        <v>0.83333333333333337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6144686779.1248751</v>
      </c>
      <c r="F43" s="44">
        <f>IFERROR(E43/D43,0)</f>
        <v>0.84645961370272216</v>
      </c>
      <c r="G43" s="118">
        <f>D43-E43</f>
        <v>1114592552.8751249</v>
      </c>
      <c r="H43" s="118">
        <f ca="1">IFERROR(G43/C3,0)</f>
        <v>222918510.57502499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911871556.31326008</v>
      </c>
      <c r="F44" s="44">
        <f>IFERROR(E44/D44,0)</f>
        <v>0.50395652020936232</v>
      </c>
      <c r="G44" s="118">
        <f>D44-E44</f>
        <v>897553502.68673992</v>
      </c>
      <c r="H44" s="118">
        <f ca="1">IFERROR(G44/C3,0)</f>
        <v>179510700.53734797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1176741711.085963</v>
      </c>
      <c r="F45" s="44">
        <f>IFERROR(E45/D45,0)</f>
        <v>0.64272934823821526</v>
      </c>
      <c r="G45" s="118">
        <f>D45-E45</f>
        <v>654109352.91403699</v>
      </c>
      <c r="H45" s="118">
        <f ca="1">IFERROR(G45/C3,0)</f>
        <v>130821870.58280739</v>
      </c>
      <c r="I45" s="116"/>
    </row>
    <row r="46" spans="2:14" ht="18.75" customHeight="1" x14ac:dyDescent="0.25">
      <c r="B46" s="223" t="s">
        <v>146</v>
      </c>
      <c r="C46" s="224"/>
      <c r="D46" s="47">
        <f>D43+D44+D45</f>
        <v>10899555455</v>
      </c>
      <c r="E46" s="47">
        <f>E43+E44+E45</f>
        <v>8233300046.5240984</v>
      </c>
      <c r="F46" s="43">
        <f>IFERROR(E46/D46,0)</f>
        <v>0.7553794354747928</v>
      </c>
      <c r="G46" s="119">
        <f>G43+G44+G45</f>
        <v>2666255408.4759016</v>
      </c>
      <c r="H46" s="119">
        <f ca="1">IFERROR(G46/C3,0)</f>
        <v>533251081.6951803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3"/>
      <c r="L48" s="244"/>
      <c r="M48" s="244"/>
      <c r="N48" s="245"/>
    </row>
    <row r="49" spans="2:14" ht="21.75" customHeight="1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6" t="s">
        <v>149</v>
      </c>
    </row>
    <row r="50" spans="2:14" ht="19.5" customHeight="1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6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296324484.52852398</v>
      </c>
      <c r="H51" s="122">
        <f>N8</f>
        <v>53198556.223471999</v>
      </c>
      <c r="I51" s="122">
        <f t="shared" ref="I51:I64" si="1">G51+H51</f>
        <v>349523040.75199598</v>
      </c>
      <c r="J51" s="61">
        <f t="shared" ref="J51:J64" si="2">IFERROR(I51/F51,0)</f>
        <v>0.63146208274179549</v>
      </c>
      <c r="K51" s="51">
        <f t="shared" ref="K51:M64" si="3">D51-G51</f>
        <v>155358993.47147602</v>
      </c>
      <c r="L51" s="51">
        <f t="shared" si="3"/>
        <v>48631866.776528001</v>
      </c>
      <c r="M51" s="51">
        <f t="shared" si="3"/>
        <v>203990860.24800402</v>
      </c>
      <c r="N51" s="51">
        <f ca="1">IFERROR(M51/C3,0)</f>
        <v>40798172.049600802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496431704.69514</v>
      </c>
      <c r="H52" s="122">
        <f>N9</f>
        <v>120019480.528742</v>
      </c>
      <c r="I52" s="122">
        <f t="shared" si="1"/>
        <v>616451185.22388196</v>
      </c>
      <c r="J52" s="61">
        <f t="shared" si="2"/>
        <v>0.75611353936062609</v>
      </c>
      <c r="K52" s="54">
        <f t="shared" si="3"/>
        <v>93750666.304859996</v>
      </c>
      <c r="L52" s="54">
        <f t="shared" si="3"/>
        <v>105087325.471258</v>
      </c>
      <c r="M52" s="54">
        <f t="shared" si="3"/>
        <v>198837991.77611804</v>
      </c>
      <c r="N52" s="54">
        <f ca="1">IFERROR(M52/C3,0)</f>
        <v>39767598.355223611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184864971.30000001</v>
      </c>
      <c r="H53" s="122">
        <f>IF(D22="",0,D22)</f>
        <v>0</v>
      </c>
      <c r="I53" s="122">
        <f>G53+H53</f>
        <v>184864971.30000001</v>
      </c>
      <c r="J53" s="61">
        <f>IFERROR(I53/F53,0)</f>
        <v>0.76557116583190488</v>
      </c>
      <c r="K53" s="54">
        <f>D53-G53</f>
        <v>56608296.699999988</v>
      </c>
      <c r="L53" s="54">
        <f>E53-H53</f>
        <v>0</v>
      </c>
      <c r="M53" s="54">
        <f>F53-I53</f>
        <v>56608296.699999988</v>
      </c>
      <c r="N53" s="54">
        <f ca="1">IFERROR(M53/C3,0)</f>
        <v>11321659.339999998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839454924.55033195</v>
      </c>
      <c r="H54" s="122">
        <f t="shared" ref="H54:H58" si="4">N10</f>
        <v>25301590.525097001</v>
      </c>
      <c r="I54" s="122">
        <f t="shared" si="1"/>
        <v>864756515.07542896</v>
      </c>
      <c r="J54" s="61">
        <f t="shared" si="2"/>
        <v>1.1908715423953258</v>
      </c>
      <c r="K54" s="54">
        <f>D54-G54</f>
        <v>-193742452.55033195</v>
      </c>
      <c r="L54" s="54">
        <f t="shared" si="3"/>
        <v>55140257.474903002</v>
      </c>
      <c r="M54" s="54">
        <f t="shared" si="3"/>
        <v>-138602195.07542896</v>
      </c>
      <c r="N54" s="54">
        <f ca="1">IFERROR(M54/C3,0)</f>
        <v>-27720439.015085794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312830431.85913801</v>
      </c>
      <c r="H55" s="122">
        <f t="shared" si="4"/>
        <v>50693884.710000001</v>
      </c>
      <c r="I55" s="122">
        <f t="shared" si="1"/>
        <v>363524316.56913799</v>
      </c>
      <c r="J55" s="61">
        <f t="shared" si="2"/>
        <v>0.6167301243232175</v>
      </c>
      <c r="K55" s="54">
        <f t="shared" si="3"/>
        <v>196088400.14086199</v>
      </c>
      <c r="L55" s="54">
        <f t="shared" si="3"/>
        <v>29825519.289999999</v>
      </c>
      <c r="M55" s="54">
        <f t="shared" si="3"/>
        <v>225913919.43086201</v>
      </c>
      <c r="N55" s="54">
        <f ca="1">IFERROR(M55/C3,0)</f>
        <v>45182783.886172399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475630323.88770801</v>
      </c>
      <c r="H56" s="122">
        <f t="shared" si="4"/>
        <v>85076007.132786006</v>
      </c>
      <c r="I56" s="122">
        <f t="shared" si="1"/>
        <v>560706331.02049398</v>
      </c>
      <c r="J56" s="61">
        <f t="shared" si="2"/>
        <v>1.0737127395185013</v>
      </c>
      <c r="K56" s="54">
        <f t="shared" si="3"/>
        <v>-35567039.887708008</v>
      </c>
      <c r="L56" s="54">
        <f t="shared" si="3"/>
        <v>-2926682.1327860057</v>
      </c>
      <c r="M56" s="54">
        <f t="shared" si="3"/>
        <v>-38493722.020493984</v>
      </c>
      <c r="N56" s="54">
        <f ca="1">IFERROR(M56/C3,0)</f>
        <v>-7698744.4040987967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893006078.16387904</v>
      </c>
      <c r="H57" s="122">
        <f t="shared" si="4"/>
        <v>71857298.289833993</v>
      </c>
      <c r="I57" s="122">
        <f t="shared" si="1"/>
        <v>964863376.45371306</v>
      </c>
      <c r="J57" s="61">
        <f t="shared" si="2"/>
        <v>0.85976030718732199</v>
      </c>
      <c r="K57" s="54">
        <f t="shared" si="3"/>
        <v>103752266.83612096</v>
      </c>
      <c r="L57" s="54">
        <f t="shared" si="3"/>
        <v>53631299.710166007</v>
      </c>
      <c r="M57" s="54">
        <f t="shared" si="3"/>
        <v>157383566.54628694</v>
      </c>
      <c r="N57" s="54">
        <f ca="1">IFERROR(M57/C3,0)</f>
        <v>31476713.309257388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395976957.20361203</v>
      </c>
      <c r="H58" s="122">
        <f t="shared" si="4"/>
        <v>56424982.309926003</v>
      </c>
      <c r="I58" s="122">
        <f>G58+H58</f>
        <v>452401939.513538</v>
      </c>
      <c r="J58" s="61">
        <f>IFERROR(I58/F58,0)</f>
        <v>0.7095071035189684</v>
      </c>
      <c r="K58" s="54">
        <f t="shared" si="3"/>
        <v>144310101.79638797</v>
      </c>
      <c r="L58" s="54">
        <f t="shared" si="3"/>
        <v>40916443.690073997</v>
      </c>
      <c r="M58" s="54">
        <f t="shared" si="3"/>
        <v>185226545.486462</v>
      </c>
      <c r="N58" s="54">
        <f ca="1">IFERROR(M58/C3,0)</f>
        <v>37045309.097292401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358352859.48000002</v>
      </c>
      <c r="H59" s="122">
        <f>IF(D23="",0,D23)</f>
        <v>0</v>
      </c>
      <c r="I59" s="122">
        <f>G59+H59</f>
        <v>358352859.48000002</v>
      </c>
      <c r="J59" s="61">
        <f>IFERROR(I59/F59,0)</f>
        <v>0.88671865623151858</v>
      </c>
      <c r="K59" s="54">
        <f>D59-G59</f>
        <v>45780804.519999981</v>
      </c>
      <c r="L59" s="54">
        <f>E59-H59</f>
        <v>0</v>
      </c>
      <c r="M59" s="54">
        <f>F59-I59</f>
        <v>45780804.519999981</v>
      </c>
      <c r="N59" s="54">
        <f ca="1">IFERROR(M59/C3,0)</f>
        <v>9156160.9039999954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312361408.84544998</v>
      </c>
      <c r="H60" s="122">
        <f t="shared" ref="H60:H64" si="5">N15</f>
        <v>78376728.510130003</v>
      </c>
      <c r="I60" s="122">
        <f t="shared" si="1"/>
        <v>390738137.35557997</v>
      </c>
      <c r="J60" s="61">
        <f t="shared" si="2"/>
        <v>0.639462288624282</v>
      </c>
      <c r="K60" s="54">
        <f t="shared" si="3"/>
        <v>126655900.15455002</v>
      </c>
      <c r="L60" s="54">
        <f t="shared" si="3"/>
        <v>93647683.489869997</v>
      </c>
      <c r="M60" s="54">
        <f t="shared" si="3"/>
        <v>220303583.64442003</v>
      </c>
      <c r="N60" s="54">
        <f ca="1">IFERROR(M60/C3,0)</f>
        <v>44060716.728884004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465859381.86678499</v>
      </c>
      <c r="H61" s="122">
        <f t="shared" si="5"/>
        <v>40714137.095458999</v>
      </c>
      <c r="I61" s="122">
        <f t="shared" si="1"/>
        <v>506573518.96224397</v>
      </c>
      <c r="J61" s="61">
        <f t="shared" si="2"/>
        <v>0.66748277966112601</v>
      </c>
      <c r="K61" s="54">
        <f t="shared" si="3"/>
        <v>200770214.13321501</v>
      </c>
      <c r="L61" s="54">
        <f t="shared" si="3"/>
        <v>51587484.904541001</v>
      </c>
      <c r="M61" s="54">
        <f t="shared" si="3"/>
        <v>252357699.03775603</v>
      </c>
      <c r="N61" s="54">
        <f ca="1">IFERROR(M61/C3,0)</f>
        <v>50471539.807551205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281014362.03701502</v>
      </c>
      <c r="H62" s="122">
        <f t="shared" si="5"/>
        <v>31377289.693994999</v>
      </c>
      <c r="I62" s="122">
        <f t="shared" si="1"/>
        <v>312391651.73101002</v>
      </c>
      <c r="J62" s="61">
        <f t="shared" si="2"/>
        <v>0.60206475247052571</v>
      </c>
      <c r="K62" s="54">
        <f t="shared" si="3"/>
        <v>140528660.96298498</v>
      </c>
      <c r="L62" s="54">
        <f t="shared" si="3"/>
        <v>65946886.306005001</v>
      </c>
      <c r="M62" s="54">
        <f t="shared" si="3"/>
        <v>206475547.26898998</v>
      </c>
      <c r="N62" s="54">
        <f ca="1">IFERROR(M62/C3,0)</f>
        <v>41295109.453797996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670411415.19487202</v>
      </c>
      <c r="H63" s="122">
        <f t="shared" si="5"/>
        <v>166809077.126995</v>
      </c>
      <c r="I63" s="122">
        <f t="shared" si="1"/>
        <v>837220492.32186699</v>
      </c>
      <c r="J63" s="61">
        <f t="shared" si="2"/>
        <v>0.85281167380097034</v>
      </c>
      <c r="K63" s="54">
        <f t="shared" si="3"/>
        <v>-52060473.194872022</v>
      </c>
      <c r="L63" s="54">
        <f t="shared" si="3"/>
        <v>196557888.873005</v>
      </c>
      <c r="M63" s="54">
        <f t="shared" si="3"/>
        <v>144497415.67813301</v>
      </c>
      <c r="N63" s="54">
        <f ca="1">IFERROR(M63/C3,0)</f>
        <v>28899483.135626603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162167475.51242</v>
      </c>
      <c r="H64" s="122">
        <f t="shared" si="5"/>
        <v>132022524.166824</v>
      </c>
      <c r="I64" s="122">
        <f t="shared" si="1"/>
        <v>294189999.67924398</v>
      </c>
      <c r="J64" s="61">
        <f t="shared" si="2"/>
        <v>0.50198296611731519</v>
      </c>
      <c r="K64" s="54">
        <f t="shared" si="3"/>
        <v>132358213.48758</v>
      </c>
      <c r="L64" s="54">
        <f t="shared" si="3"/>
        <v>159507528.83317602</v>
      </c>
      <c r="M64" s="54">
        <f t="shared" si="3"/>
        <v>291865742.32075602</v>
      </c>
      <c r="N64" s="54">
        <f ca="1">IFERROR(M64/C3,0)</f>
        <v>58373148.464151204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6144686779.1248751</v>
      </c>
      <c r="H65" s="152">
        <f>SUM(H51:H64)</f>
        <v>911871556.31326008</v>
      </c>
      <c r="I65" s="152">
        <f>SUM(I51:I64)</f>
        <v>7056558335.4381351</v>
      </c>
      <c r="J65" s="153">
        <f>IFERROR(I65/F65,0)</f>
        <v>0.77812199308660157</v>
      </c>
      <c r="K65" s="154">
        <f>SUM(K51:K64)</f>
        <v>1114592552.8751249</v>
      </c>
      <c r="L65" s="154">
        <f>SUM(L51:L64)</f>
        <v>897553502.68673992</v>
      </c>
      <c r="M65" s="154">
        <f>SUM(M51:M64)</f>
        <v>2012146055.5618649</v>
      </c>
      <c r="N65" s="154">
        <f ca="1">IFERROR(M65/C3,0)</f>
        <v>402429211.11237299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207">
        <v>354712671.39986998</v>
      </c>
    </row>
    <row r="71" spans="2:14" ht="20.100000000000001" customHeight="1" x14ac:dyDescent="0.25">
      <c r="B71" s="53" t="s">
        <v>69</v>
      </c>
      <c r="C71" s="56" t="s">
        <v>70</v>
      </c>
      <c r="D71" s="192">
        <v>78963773.239999995</v>
      </c>
    </row>
    <row r="72" spans="2:14" ht="20.100000000000001" customHeight="1" x14ac:dyDescent="0.25">
      <c r="B72" s="53" t="s">
        <v>175</v>
      </c>
      <c r="C72" s="56" t="s">
        <v>176</v>
      </c>
      <c r="D72" s="207">
        <v>9369369.1199999992</v>
      </c>
    </row>
    <row r="73" spans="2:14" ht="20.100000000000001" customHeight="1" x14ac:dyDescent="0.25">
      <c r="B73" s="50" t="s">
        <v>71</v>
      </c>
      <c r="C73" s="55" t="s">
        <v>72</v>
      </c>
      <c r="D73" s="207">
        <v>235041405.61000001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207">
        <v>31767414.07</v>
      </c>
    </row>
    <row r="76" spans="2:14" ht="20.100000000000001" customHeight="1" x14ac:dyDescent="0.25">
      <c r="B76" s="53" t="s">
        <v>76</v>
      </c>
      <c r="C76" s="56" t="s">
        <v>77</v>
      </c>
      <c r="D76" s="207">
        <v>1144280579.6099501</v>
      </c>
    </row>
    <row r="77" spans="2:14" ht="20.100000000000001" customHeight="1" x14ac:dyDescent="0.25">
      <c r="B77" s="50" t="s">
        <v>78</v>
      </c>
      <c r="C77" s="55" t="s">
        <v>79</v>
      </c>
      <c r="D77" s="207">
        <v>248244358.60947901</v>
      </c>
    </row>
    <row r="78" spans="2:14" ht="20.100000000000001" customHeight="1" x14ac:dyDescent="0.25">
      <c r="B78" s="53" t="s">
        <v>175</v>
      </c>
      <c r="C78" s="56" t="s">
        <v>177</v>
      </c>
      <c r="D78" s="207">
        <v>12870720.380000001</v>
      </c>
    </row>
    <row r="79" spans="2:14" ht="20.100000000000001" customHeight="1" x14ac:dyDescent="0.25">
      <c r="B79" s="53" t="s">
        <v>80</v>
      </c>
      <c r="C79" s="56" t="s">
        <v>81</v>
      </c>
      <c r="D79" s="207">
        <v>3184684.68</v>
      </c>
    </row>
    <row r="80" spans="2:14" ht="20.100000000000001" customHeight="1" x14ac:dyDescent="0.25">
      <c r="B80" s="50" t="s">
        <v>82</v>
      </c>
      <c r="C80" s="55" t="s">
        <v>83</v>
      </c>
      <c r="D80" s="207">
        <v>523397034.06948</v>
      </c>
    </row>
    <row r="81" spans="2:9" ht="20.100000000000001" customHeight="1" x14ac:dyDescent="0.25">
      <c r="B81" s="53" t="s">
        <v>84</v>
      </c>
      <c r="C81" s="56" t="s">
        <v>85</v>
      </c>
      <c r="D81" s="207">
        <v>134723140.53999999</v>
      </c>
    </row>
    <row r="82" spans="2:9" ht="20.100000000000001" customHeight="1" x14ac:dyDescent="0.25">
      <c r="B82" s="50" t="s">
        <v>86</v>
      </c>
      <c r="C82" s="55" t="s">
        <v>87</v>
      </c>
      <c r="D82" s="207">
        <v>15391027.368000001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85048650.239999995</v>
      </c>
    </row>
    <row r="84" spans="2:9" ht="20.100000000000001" customHeight="1" x14ac:dyDescent="0.25">
      <c r="B84" s="57" t="s">
        <v>152</v>
      </c>
      <c r="C84" s="58"/>
      <c r="D84" s="129">
        <f>SUM(D70:D83)</f>
        <v>2876994828.936779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172359227.41485301</v>
      </c>
      <c r="F89" s="61">
        <f t="shared" ref="F89:F94" si="7">IFERROR(E89/D89,0)</f>
        <v>0.60364547893007092</v>
      </c>
      <c r="G89" s="125">
        <f>D89-E89</f>
        <v>113171325.58514699</v>
      </c>
      <c r="H89" s="125">
        <f ca="1">IFERROR(G89/C3,0)</f>
        <v>22634265.117029399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279969644.74289101</v>
      </c>
      <c r="F90" s="61">
        <f t="shared" si="7"/>
        <v>0.65286638120523677</v>
      </c>
      <c r="G90" s="126">
        <f>D90-E90</f>
        <v>148861817.25710899</v>
      </c>
      <c r="H90" s="126">
        <f ca="1">IFERROR(G90/C3,0)</f>
        <v>29772363.451421797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724412838.92821896</v>
      </c>
      <c r="F91" s="61">
        <f t="shared" si="7"/>
        <v>0.6488311189232443</v>
      </c>
      <c r="G91" s="125">
        <f>D91-E91</f>
        <v>392076210.07178104</v>
      </c>
      <c r="H91" s="125">
        <f ca="1">IFERROR(G91/C3,0)</f>
        <v>78415242.014356211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1176741711.085963</v>
      </c>
      <c r="F94" s="43">
        <f t="shared" si="7"/>
        <v>0.64272934823821526</v>
      </c>
      <c r="G94" s="119">
        <f>SUM(G89:G93)</f>
        <v>654109352.91403699</v>
      </c>
      <c r="H94" s="119">
        <f ca="1">IFERROR(G94/C3,0)</f>
        <v>130821870.58280739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7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178</v>
      </c>
      <c r="C41" s="227"/>
      <c r="D41" s="228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3"/>
      <c r="L48" s="244"/>
      <c r="M48" s="244"/>
      <c r="N48" s="245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6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6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162</v>
      </c>
      <c r="C41" s="227"/>
      <c r="D41" s="228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3"/>
      <c r="L48" s="244"/>
      <c r="M48" s="244"/>
      <c r="N48" s="245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6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6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164</v>
      </c>
      <c r="C41" s="227"/>
      <c r="D41" s="228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3"/>
      <c r="L48" s="244"/>
      <c r="M48" s="244"/>
      <c r="N48" s="245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6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6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166</v>
      </c>
      <c r="C41" s="227"/>
      <c r="D41" s="228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3"/>
      <c r="L48" s="244"/>
      <c r="M48" s="244"/>
      <c r="N48" s="245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6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6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179</v>
      </c>
      <c r="C41" s="227"/>
      <c r="D41" s="228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3"/>
      <c r="L48" s="244"/>
      <c r="M48" s="244"/>
      <c r="N48" s="245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6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6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181</v>
      </c>
      <c r="C41" s="227"/>
      <c r="D41" s="228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3"/>
      <c r="L48" s="244"/>
      <c r="M48" s="244"/>
      <c r="N48" s="245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6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6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2026-06-25T00:51:03Z</dcterms:modified>
  <dc:language>en-US</dc:language>
</cp:coreProperties>
</file>