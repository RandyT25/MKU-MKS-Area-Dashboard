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Volumes/NO NAME/"/>
    </mc:Choice>
  </mc:AlternateContent>
  <xr:revisionPtr revIDLastSave="0" documentId="13_ncr:1_{7CF7CAC5-8641-8A42-8E3B-F284D7880F32}" xr6:coauthVersionLast="47" xr6:coauthVersionMax="47" xr10:uidLastSave="{00000000-0000-0000-0000-000000000000}"/>
  <bookViews>
    <workbookView xWindow="0" yWindow="600" windowWidth="28800" windowHeight="16320" tabRatio="500" activeTab="10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4" i="11" s="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Q61" i="11"/>
  <c r="R61" i="11" s="1"/>
  <c r="O61" i="11"/>
  <c r="P61" i="11" s="1"/>
  <c r="M61" i="11"/>
  <c r="N61" i="11" s="1"/>
  <c r="O63" i="11"/>
  <c r="P63" i="11" s="1"/>
  <c r="M63" i="11"/>
  <c r="N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0" i="14" l="1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41" authorId="0" shapeId="0" xr:uid="{00000000-0006-0000-0800-000001000000}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 xr:uid="{00000000-0006-0000-08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00000000-0006-0000-0900-000001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 xr:uid="{00000000-0006-0000-09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 xr:uid="{00000000-0006-0000-0900-000003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 xr:uid="{00000000-0006-0000-0900-000004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<sst xmlns="http://schemas.openxmlformats.org/spreadsheetml/2006/main" count="2120" uniqueCount="226">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</sst>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3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9"/>
  <sheetViews>
    <sheetView showGridLines="0" zoomScale="171" zoomScaleNormal="110" workbookViewId="0">
      <selection activeCell="B16" sqref="B16:C17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268" t="s">
        <v>0</v>
      </c>
      <c r="C1" s="268"/>
    </row>
    <row r="3" spans="2:3" x14ac:dyDescent="0.2">
      <c r="B3" s="269" t="s">
        <v>1</v>
      </c>
      <c r="C3" s="269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270" t="s">
        <v>14</v>
      </c>
      <c r="C11" s="270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  <row r="19" spans="2:3" x14ac:dyDescent="0.2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M29"/>
  <sheetViews>
    <sheetView showGridLines="0" topLeftCell="A7" zoomScale="86" zoomScaleNormal="86" workbookViewId="0">
      <selection activeCell="L35" sqref="L35"/>
    </sheetView>
  </sheetViews>
  <sheetFormatPr baseColWidth="10" defaultColWidth="8.6640625" defaultRowHeight="15" x14ac:dyDescent="0.2"/>
  <cols>
    <col min="1" max="1" width="2" customWidth="1"/>
    <col min="2" max="2" width="32.6640625" bestFit="1" customWidth="1"/>
    <col min="3" max="3" width="14.33203125" bestFit="1" customWidth="1"/>
    <col min="4" max="5" width="12.83203125" bestFit="1" customWidth="1"/>
    <col min="6" max="6" width="11.1640625" bestFit="1" customWidth="1"/>
    <col min="7" max="12" width="12.83203125" bestFit="1" customWidth="1"/>
    <col min="13" max="14" width="11.1640625" bestFit="1" customWidth="1"/>
    <col min="15" max="15" width="8.33203125" bestFit="1" customWidth="1"/>
    <col min="16" max="17" width="11.1640625" bestFit="1" customWidth="1"/>
    <col min="18" max="18" width="8.33203125" bestFit="1" customWidth="1"/>
    <col min="19" max="20" width="11.1640625" bestFit="1" customWidth="1"/>
    <col min="21" max="21" width="8.33203125" bestFit="1" customWidth="1"/>
    <col min="22" max="22" width="12.83203125" bestFit="1" customWidth="1"/>
    <col min="23" max="23" width="11.1640625" bestFit="1" customWidth="1"/>
    <col min="24" max="24" width="8.33203125" bestFit="1" customWidth="1"/>
    <col min="25" max="30" width="11.1640625" bestFit="1" customWidth="1"/>
    <col min="31" max="31" width="6.1640625" bestFit="1" customWidth="1"/>
    <col min="32" max="32" width="8.83203125" bestFit="1" customWidth="1"/>
    <col min="33" max="33" width="8.33203125" bestFit="1" customWidth="1"/>
    <col min="34" max="34" width="6.1640625" bestFit="1" customWidth="1"/>
    <col min="35" max="35" width="5.6640625" bestFit="1" customWidth="1"/>
    <col min="36" max="36" width="8.33203125" bestFit="1" customWidth="1"/>
    <col min="37" max="37" width="6.1640625" bestFit="1" customWidth="1"/>
    <col min="39" max="39" width="8.33203125" bestFit="1" customWidth="1"/>
  </cols>
  <sheetData>
    <row r="1" spans="2:39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">
      <c r="B3" s="269" t="s">
        <v>28</v>
      </c>
      <c r="C3" s="269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8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">
      <c r="B14" s="125" t="s">
        <v>80</v>
      </c>
      <c r="C14" s="126" t="s">
        <v>222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8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">
      <c r="B29" s="271" t="s">
        <v>102</v>
      </c>
      <c r="C29" s="271"/>
      <c r="D29" s="271"/>
      <c r="E29" s="271"/>
      <c r="F29" s="271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M68" sqref="M68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">
      <c r="G2" s="216" t="s">
        <v>193</v>
      </c>
      <c r="J2" s="217">
        <f ca="1">E3</f>
        <v>31</v>
      </c>
    </row>
    <row r="3" spans="2:17" ht="16" x14ac:dyDescent="0.2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">
      <c r="G4" s="216" t="s">
        <v>195</v>
      </c>
      <c r="J4" s="218">
        <v>0</v>
      </c>
    </row>
    <row r="5" spans="2:17" x14ac:dyDescent="0.2">
      <c r="G5" s="216" t="s">
        <v>196</v>
      </c>
      <c r="J5" s="218"/>
    </row>
    <row r="6" spans="2:17" x14ac:dyDescent="0.2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">
      <c r="B22" s="81" t="s">
        <v>124</v>
      </c>
      <c r="C22" s="82"/>
      <c r="D22" s="82"/>
      <c r="E22" s="82"/>
    </row>
    <row r="23" spans="2:17" x14ac:dyDescent="0.2">
      <c r="B23" s="81" t="s">
        <v>125</v>
      </c>
      <c r="C23" s="82"/>
      <c r="D23" s="82"/>
      <c r="E23" s="82"/>
    </row>
    <row r="24" spans="2:17" x14ac:dyDescent="0.2">
      <c r="B24" s="81" t="s">
        <v>126</v>
      </c>
      <c r="C24" s="82"/>
      <c r="D24" s="82"/>
      <c r="E24" s="82"/>
    </row>
    <row r="25" spans="2:17" x14ac:dyDescent="0.2">
      <c r="B25" s="81" t="s">
        <v>127</v>
      </c>
      <c r="C25" s="82"/>
      <c r="D25" s="82"/>
      <c r="E25" s="82"/>
    </row>
    <row r="27" spans="2:17" x14ac:dyDescent="0.2">
      <c r="B27" s="79" t="s">
        <v>128</v>
      </c>
      <c r="C27" s="79"/>
    </row>
    <row r="28" spans="2:17" x14ac:dyDescent="0.2">
      <c r="B28" s="80" t="s">
        <v>129</v>
      </c>
      <c r="C28" s="80" t="s">
        <v>130</v>
      </c>
    </row>
    <row r="29" spans="2:17" x14ac:dyDescent="0.2">
      <c r="B29" s="73"/>
      <c r="C29" s="82"/>
    </row>
    <row r="30" spans="2:17" x14ac:dyDescent="0.2">
      <c r="B30" s="81" t="s">
        <v>131</v>
      </c>
      <c r="C30" s="82"/>
    </row>
    <row r="31" spans="2:17" x14ac:dyDescent="0.2">
      <c r="B31" s="81" t="s">
        <v>132</v>
      </c>
      <c r="C31" s="82"/>
    </row>
    <row r="32" spans="2:17" x14ac:dyDescent="0.2">
      <c r="B32" s="81" t="s">
        <v>133</v>
      </c>
      <c r="C32" s="82"/>
    </row>
    <row r="33" spans="2:14" x14ac:dyDescent="0.2">
      <c r="B33" s="81" t="s">
        <v>134</v>
      </c>
      <c r="C33" s="82"/>
    </row>
    <row r="34" spans="2:14" x14ac:dyDescent="0.2">
      <c r="B34" s="81" t="s">
        <v>135</v>
      </c>
      <c r="C34" s="82"/>
    </row>
    <row r="35" spans="2:14" x14ac:dyDescent="0.2">
      <c r="B35" s="81"/>
      <c r="C35" s="82"/>
    </row>
    <row r="36" spans="2:14" x14ac:dyDescent="0.2">
      <c r="B36" s="73"/>
      <c r="C36" s="82"/>
    </row>
    <row r="39" spans="2:14" ht="20" customHeight="1" x14ac:dyDescent="0.2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6" x14ac:dyDescent="0.2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">
      <c r="B44" s="276" t="s">
        <v>145</v>
      </c>
      <c r="C44" s="277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9" x14ac:dyDescent="0.2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" customHeight="1" x14ac:dyDescent="0.2">
      <c r="B47" s="278" t="s">
        <v>41</v>
      </c>
      <c r="C47" s="278" t="s">
        <v>42</v>
      </c>
      <c r="D47" s="279" t="s">
        <v>137</v>
      </c>
      <c r="E47" s="280"/>
      <c r="F47" s="281"/>
      <c r="G47" s="98" t="s">
        <v>138</v>
      </c>
      <c r="H47" s="98"/>
      <c r="I47" s="98"/>
      <c r="J47" s="278" t="s">
        <v>139</v>
      </c>
      <c r="K47" s="99" t="s">
        <v>147</v>
      </c>
      <c r="L47" s="99"/>
      <c r="M47" s="99"/>
      <c r="N47" s="275" t="s">
        <v>148</v>
      </c>
    </row>
    <row r="48" spans="2:14" ht="16" x14ac:dyDescent="0.2">
      <c r="B48" s="278"/>
      <c r="C48" s="27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78"/>
      <c r="K48" s="101" t="s">
        <v>142</v>
      </c>
      <c r="L48" s="101" t="s">
        <v>110</v>
      </c>
      <c r="M48" s="101" t="s">
        <v>145</v>
      </c>
      <c r="N48" s="275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9" x14ac:dyDescent="0.2">
      <c r="B63" s="272" t="s">
        <v>144</v>
      </c>
      <c r="C63" s="273"/>
      <c r="D63" s="273"/>
      <c r="E63" s="273"/>
      <c r="F63" s="273"/>
      <c r="G63" s="273"/>
      <c r="H63" s="274"/>
    </row>
    <row r="64" spans="2:14" x14ac:dyDescent="0.2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M68" sqref="M68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">
      <c r="G2" s="216" t="s">
        <v>193</v>
      </c>
      <c r="J2" s="217">
        <f ca="1">E3</f>
        <v>28</v>
      </c>
    </row>
    <row r="3" spans="2:17" ht="16" x14ac:dyDescent="0.2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">
      <c r="G4" s="216" t="s">
        <v>195</v>
      </c>
      <c r="J4" s="218">
        <v>0</v>
      </c>
    </row>
    <row r="5" spans="2:17" x14ac:dyDescent="0.2">
      <c r="G5" s="216" t="s">
        <v>196</v>
      </c>
      <c r="J5" s="218"/>
    </row>
    <row r="6" spans="2:17" x14ac:dyDescent="0.2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">
      <c r="B22" s="81" t="s">
        <v>124</v>
      </c>
      <c r="C22" s="82"/>
      <c r="D22" s="82"/>
      <c r="E22" s="82"/>
    </row>
    <row r="23" spans="2:17" x14ac:dyDescent="0.2">
      <c r="B23" s="81" t="s">
        <v>125</v>
      </c>
      <c r="C23" s="82"/>
      <c r="D23" s="82"/>
      <c r="E23" s="82"/>
    </row>
    <row r="24" spans="2:17" x14ac:dyDescent="0.2">
      <c r="B24" s="81" t="s">
        <v>126</v>
      </c>
      <c r="C24" s="82"/>
      <c r="D24" s="82"/>
      <c r="E24" s="82"/>
    </row>
    <row r="25" spans="2:17" x14ac:dyDescent="0.2">
      <c r="B25" s="81" t="s">
        <v>127</v>
      </c>
      <c r="C25" s="82"/>
      <c r="D25" s="82"/>
      <c r="E25" s="82"/>
    </row>
    <row r="27" spans="2:17" x14ac:dyDescent="0.2">
      <c r="B27" s="79" t="s">
        <v>128</v>
      </c>
      <c r="C27" s="79"/>
    </row>
    <row r="28" spans="2:17" x14ac:dyDescent="0.2">
      <c r="B28" s="80" t="s">
        <v>129</v>
      </c>
      <c r="C28" s="80" t="s">
        <v>130</v>
      </c>
    </row>
    <row r="29" spans="2:17" x14ac:dyDescent="0.2">
      <c r="B29" s="73"/>
      <c r="C29" s="82"/>
    </row>
    <row r="30" spans="2:17" x14ac:dyDescent="0.2">
      <c r="B30" s="81" t="s">
        <v>131</v>
      </c>
      <c r="C30" s="82"/>
    </row>
    <row r="31" spans="2:17" x14ac:dyDescent="0.2">
      <c r="B31" s="81" t="s">
        <v>132</v>
      </c>
      <c r="C31" s="82"/>
    </row>
    <row r="32" spans="2:17" x14ac:dyDescent="0.2">
      <c r="B32" s="81" t="s">
        <v>133</v>
      </c>
      <c r="C32" s="82"/>
    </row>
    <row r="33" spans="2:14" x14ac:dyDescent="0.2">
      <c r="B33" s="81" t="s">
        <v>134</v>
      </c>
      <c r="C33" s="82"/>
    </row>
    <row r="34" spans="2:14" x14ac:dyDescent="0.2">
      <c r="B34" s="81" t="s">
        <v>135</v>
      </c>
      <c r="C34" s="82"/>
    </row>
    <row r="35" spans="2:14" x14ac:dyDescent="0.2">
      <c r="B35" s="81"/>
      <c r="C35" s="82"/>
    </row>
    <row r="36" spans="2:14" x14ac:dyDescent="0.2">
      <c r="B36" s="73"/>
      <c r="C36" s="82"/>
    </row>
    <row r="39" spans="2:14" ht="20" customHeight="1" x14ac:dyDescent="0.2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6" x14ac:dyDescent="0.2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">
      <c r="B44" s="276" t="s">
        <v>145</v>
      </c>
      <c r="C44" s="277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9" x14ac:dyDescent="0.2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" customHeight="1" x14ac:dyDescent="0.2">
      <c r="B47" s="278" t="s">
        <v>41</v>
      </c>
      <c r="C47" s="278" t="s">
        <v>42</v>
      </c>
      <c r="D47" s="279" t="s">
        <v>137</v>
      </c>
      <c r="E47" s="280"/>
      <c r="F47" s="281"/>
      <c r="G47" s="98" t="s">
        <v>138</v>
      </c>
      <c r="H47" s="98"/>
      <c r="I47" s="98"/>
      <c r="J47" s="278" t="s">
        <v>139</v>
      </c>
      <c r="K47" s="99" t="s">
        <v>147</v>
      </c>
      <c r="L47" s="99"/>
      <c r="M47" s="99"/>
      <c r="N47" s="275" t="s">
        <v>148</v>
      </c>
    </row>
    <row r="48" spans="2:14" ht="16" x14ac:dyDescent="0.2">
      <c r="B48" s="278"/>
      <c r="C48" s="278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78"/>
      <c r="K48" s="101" t="s">
        <v>142</v>
      </c>
      <c r="L48" s="101" t="s">
        <v>110</v>
      </c>
      <c r="M48" s="101" t="s">
        <v>145</v>
      </c>
      <c r="N48" s="275"/>
    </row>
    <row r="49" spans="2:14" x14ac:dyDescent="0.2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9" x14ac:dyDescent="0.2">
      <c r="B63" s="272" t="s">
        <v>144</v>
      </c>
      <c r="C63" s="273"/>
      <c r="D63" s="273"/>
      <c r="E63" s="273"/>
      <c r="F63" s="273"/>
      <c r="G63" s="273"/>
      <c r="H63" s="274"/>
    </row>
    <row r="64" spans="2:14" x14ac:dyDescent="0.2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M68" sqref="M68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">
      <c r="G2" s="216" t="s">
        <v>193</v>
      </c>
      <c r="J2" s="217">
        <f ca="1">E3</f>
        <v>31</v>
      </c>
    </row>
    <row r="3" spans="2:17" ht="16" x14ac:dyDescent="0.2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">
      <c r="G4" s="216" t="s">
        <v>195</v>
      </c>
      <c r="J4" s="218">
        <v>0</v>
      </c>
    </row>
    <row r="5" spans="2:17" x14ac:dyDescent="0.2">
      <c r="G5" s="216" t="s">
        <v>196</v>
      </c>
      <c r="J5" s="218"/>
    </row>
    <row r="6" spans="2:17" x14ac:dyDescent="0.2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79" t="s">
        <v>128</v>
      </c>
      <c r="C27" s="16"/>
    </row>
    <row r="28" spans="2:17" x14ac:dyDescent="0.2">
      <c r="B28" s="12" t="s">
        <v>129</v>
      </c>
      <c r="C28" s="12" t="s">
        <v>130</v>
      </c>
    </row>
    <row r="29" spans="2:17" x14ac:dyDescent="0.2">
      <c r="B29" s="72" t="s">
        <v>166</v>
      </c>
      <c r="C29" s="15">
        <v>3087270.2699850001</v>
      </c>
    </row>
    <row r="30" spans="2:17" x14ac:dyDescent="0.2">
      <c r="B30" s="72" t="s">
        <v>131</v>
      </c>
      <c r="C30" s="15">
        <v>174213927.33888301</v>
      </c>
    </row>
    <row r="31" spans="2:17" x14ac:dyDescent="0.2">
      <c r="B31" s="72" t="s">
        <v>132</v>
      </c>
      <c r="C31" s="15">
        <v>309778739.936719</v>
      </c>
    </row>
    <row r="32" spans="2:17" x14ac:dyDescent="0.2">
      <c r="B32" s="72" t="s">
        <v>133</v>
      </c>
      <c r="C32" s="15">
        <v>276397406.795636</v>
      </c>
    </row>
    <row r="33" spans="2:17" x14ac:dyDescent="0.2">
      <c r="B33" s="72" t="s">
        <v>134</v>
      </c>
      <c r="C33" s="15">
        <v>399290297.73101801</v>
      </c>
    </row>
    <row r="34" spans="2:17" x14ac:dyDescent="0.2">
      <c r="B34" s="72" t="s">
        <v>135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237" t="s">
        <v>145</v>
      </c>
      <c r="C44" s="238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240" t="s">
        <v>41</v>
      </c>
      <c r="C47" s="240" t="s">
        <v>42</v>
      </c>
      <c r="D47" s="254" t="s">
        <v>137</v>
      </c>
      <c r="E47" s="255"/>
      <c r="F47" s="256"/>
      <c r="G47" s="69" t="s">
        <v>138</v>
      </c>
      <c r="H47" s="69"/>
      <c r="I47" s="69"/>
      <c r="J47" s="240" t="s">
        <v>139</v>
      </c>
      <c r="K47" s="35" t="s">
        <v>147</v>
      </c>
      <c r="L47" s="35"/>
      <c r="M47" s="35"/>
      <c r="N47" s="282" t="s">
        <v>148</v>
      </c>
    </row>
    <row r="48" spans="2:17" ht="17" x14ac:dyDescent="0.2">
      <c r="B48" s="240"/>
      <c r="C48" s="240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40"/>
      <c r="K48" s="34" t="s">
        <v>142</v>
      </c>
      <c r="L48" s="34" t="s">
        <v>110</v>
      </c>
      <c r="M48" s="34" t="s">
        <v>145</v>
      </c>
      <c r="N48" s="282"/>
    </row>
    <row r="49" spans="2:14" ht="16" x14ac:dyDescent="0.2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ht="16" x14ac:dyDescent="0.2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244" t="s">
        <v>144</v>
      </c>
      <c r="C63" s="245"/>
      <c r="D63" s="245"/>
      <c r="E63" s="245"/>
      <c r="F63" s="245"/>
      <c r="G63" s="245"/>
      <c r="H63" s="246"/>
      <c r="I63" s="24"/>
      <c r="J63" s="24"/>
      <c r="K63" s="24"/>
      <c r="L63" s="24"/>
      <c r="M63" s="24"/>
      <c r="N63" s="24"/>
    </row>
    <row r="64" spans="2:14" ht="16" x14ac:dyDescent="0.2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94"/>
  <sheetViews>
    <sheetView showGridLines="0" topLeftCell="A29" zoomScaleNormal="100" workbookViewId="0">
      <selection activeCell="M68" sqref="M68"/>
    </sheetView>
  </sheetViews>
  <sheetFormatPr baseColWidth="10" defaultColWidth="8.6640625" defaultRowHeight="15" x14ac:dyDescent="0.2"/>
  <cols>
    <col min="1" max="1" width="2" customWidth="1"/>
    <col min="2" max="2" width="33.6640625" customWidth="1"/>
    <col min="3" max="3" width="17" customWidth="1"/>
    <col min="4" max="4" width="15.83203125" customWidth="1"/>
    <col min="5" max="5" width="15.5" customWidth="1"/>
    <col min="6" max="6" width="15.6640625" bestFit="1" customWidth="1"/>
    <col min="7" max="9" width="15.33203125" style="111" customWidth="1"/>
    <col min="10" max="18" width="15.33203125" customWidth="1"/>
  </cols>
  <sheetData>
    <row r="1" spans="2:14" ht="19" x14ac:dyDescent="0.2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">
      <c r="G2" s="221" t="s">
        <v>193</v>
      </c>
      <c r="J2" s="217">
        <f ca="1">E3</f>
        <v>30</v>
      </c>
    </row>
    <row r="3" spans="2:14" ht="16" x14ac:dyDescent="0.2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">
      <c r="G4" s="221" t="s">
        <v>195</v>
      </c>
      <c r="J4" s="218">
        <v>0</v>
      </c>
    </row>
    <row r="5" spans="2:14" x14ac:dyDescent="0.2">
      <c r="G5" s="221" t="s">
        <v>196</v>
      </c>
      <c r="J5" s="218"/>
    </row>
    <row r="6" spans="2:14" x14ac:dyDescent="0.2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">
      <c r="B29" s="79" t="s">
        <v>128</v>
      </c>
      <c r="C29" s="79"/>
    </row>
    <row r="30" spans="2:18" x14ac:dyDescent="0.2">
      <c r="B30" s="80" t="s">
        <v>129</v>
      </c>
      <c r="C30" s="80" t="s">
        <v>130</v>
      </c>
    </row>
    <row r="31" spans="2:18" x14ac:dyDescent="0.2">
      <c r="B31" s="73"/>
      <c r="C31" s="15"/>
    </row>
    <row r="32" spans="2:18" x14ac:dyDescent="0.2">
      <c r="B32" s="81" t="s">
        <v>131</v>
      </c>
      <c r="C32" s="15">
        <v>240237597.65824801</v>
      </c>
    </row>
    <row r="33" spans="2:19" x14ac:dyDescent="0.2">
      <c r="B33" s="81" t="s">
        <v>132</v>
      </c>
      <c r="C33" s="15">
        <v>449933743.924721</v>
      </c>
    </row>
    <row r="34" spans="2:19" x14ac:dyDescent="0.2">
      <c r="B34" s="81" t="s">
        <v>133</v>
      </c>
      <c r="C34" s="15">
        <v>318278585.086043</v>
      </c>
    </row>
    <row r="35" spans="2:19" x14ac:dyDescent="0.2">
      <c r="B35" s="81" t="s">
        <v>134</v>
      </c>
      <c r="C35" s="15">
        <v>267561093.287265</v>
      </c>
    </row>
    <row r="36" spans="2:19" x14ac:dyDescent="0.2">
      <c r="B36" s="81" t="s">
        <v>135</v>
      </c>
      <c r="C36" s="15">
        <v>311290805.19997603</v>
      </c>
    </row>
    <row r="37" spans="2:19" x14ac:dyDescent="0.2">
      <c r="B37" s="81"/>
      <c r="C37" s="82"/>
    </row>
    <row r="38" spans="2:19" x14ac:dyDescent="0.2">
      <c r="B38" s="73"/>
      <c r="C38" s="82"/>
    </row>
    <row r="40" spans="2:19" x14ac:dyDescent="0.2">
      <c r="S40" s="178" t="s">
        <v>186</v>
      </c>
    </row>
    <row r="41" spans="2:19" ht="28" customHeight="1" x14ac:dyDescent="0.2">
      <c r="B41" s="234" t="s">
        <v>179</v>
      </c>
      <c r="C41" s="235"/>
      <c r="D41" s="236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4" customHeight="1" x14ac:dyDescent="0.2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" customHeight="1" x14ac:dyDescent="0.2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" customHeight="1" x14ac:dyDescent="0.2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" customHeight="1" x14ac:dyDescent="0.2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" customHeight="1" x14ac:dyDescent="0.2">
      <c r="B46" s="237" t="s">
        <v>145</v>
      </c>
      <c r="C46" s="238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">
      <c r="S47" s="173">
        <v>1</v>
      </c>
    </row>
    <row r="48" spans="2:19" s="139" customFormat="1" ht="20" customHeight="1" x14ac:dyDescent="0.2">
      <c r="B48" s="250" t="s">
        <v>146</v>
      </c>
      <c r="C48" s="251"/>
      <c r="D48" s="251"/>
      <c r="E48" s="251"/>
      <c r="F48" s="251"/>
      <c r="G48" s="251"/>
      <c r="H48" s="251"/>
      <c r="I48" s="251"/>
      <c r="J48" s="251"/>
      <c r="K48" s="247" t="s">
        <v>187</v>
      </c>
      <c r="L48" s="248"/>
      <c r="M48" s="248"/>
      <c r="N48" s="248"/>
      <c r="O48" s="248"/>
      <c r="P48" s="249"/>
      <c r="Q48"/>
      <c r="R48"/>
    </row>
    <row r="49" spans="2:18" s="139" customFormat="1" ht="34" customHeight="1" x14ac:dyDescent="0.2">
      <c r="B49" s="286" t="s">
        <v>41</v>
      </c>
      <c r="C49" s="286" t="s">
        <v>42</v>
      </c>
      <c r="D49" s="283" t="s">
        <v>137</v>
      </c>
      <c r="E49" s="284"/>
      <c r="F49" s="285"/>
      <c r="G49" s="140" t="s">
        <v>138</v>
      </c>
      <c r="H49" s="140"/>
      <c r="I49" s="140"/>
      <c r="J49" s="283" t="s">
        <v>139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6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0" t="str">
        <f>"PER HARI"&amp;CHAR(10)&amp;TEXT($L$41,"0%")</f>
        <v>PER HARI
100%</v>
      </c>
      <c r="Q49"/>
      <c r="R49"/>
    </row>
    <row r="50" spans="2:18" s="139" customFormat="1" ht="20" customHeight="1" x14ac:dyDescent="0.2">
      <c r="B50" s="286"/>
      <c r="C50" s="286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83"/>
      <c r="K50" s="263"/>
      <c r="L50" s="263"/>
      <c r="M50" s="267"/>
      <c r="N50" s="188"/>
      <c r="O50" s="183"/>
      <c r="P50" s="261"/>
      <c r="Q50"/>
      <c r="R50"/>
    </row>
    <row r="51" spans="2:18" s="139" customFormat="1" ht="20" customHeight="1" x14ac:dyDescent="0.2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" customHeight="1" x14ac:dyDescent="0.2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" customHeight="1" x14ac:dyDescent="0.2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" customHeight="1" x14ac:dyDescent="0.2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" customHeight="1" x14ac:dyDescent="0.2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" customHeight="1" x14ac:dyDescent="0.2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" customHeight="1" x14ac:dyDescent="0.2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" customHeight="1" x14ac:dyDescent="0.2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" customHeight="1" x14ac:dyDescent="0.2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" customHeight="1" x14ac:dyDescent="0.2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" customHeight="1" x14ac:dyDescent="0.2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" customHeight="1" x14ac:dyDescent="0.2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" customHeight="1" x14ac:dyDescent="0.2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" customHeight="1" x14ac:dyDescent="0.2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" customHeight="1" x14ac:dyDescent="0.2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9" customHeight="1" x14ac:dyDescent="0.2">
      <c r="A67" s="139"/>
      <c r="B67" s="244" t="s">
        <v>144</v>
      </c>
      <c r="C67" s="245"/>
      <c r="D67" s="245"/>
      <c r="E67" s="245"/>
      <c r="F67" s="245"/>
      <c r="G67" s="245"/>
      <c r="H67" s="245"/>
      <c r="I67" s="245"/>
      <c r="J67" s="245"/>
      <c r="K67" s="245"/>
      <c r="L67" s="246"/>
      <c r="M67" s="139"/>
      <c r="N67" s="139"/>
      <c r="O67" s="139"/>
      <c r="P67" s="139"/>
      <c r="Q67" s="139"/>
      <c r="R67" s="139"/>
      <c r="S67" s="139"/>
    </row>
    <row r="68" spans="1:19" ht="34" customHeight="1" x14ac:dyDescent="0.2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6" x14ac:dyDescent="0.2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6" x14ac:dyDescent="0.2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6" x14ac:dyDescent="0.2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6" x14ac:dyDescent="0.2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6" x14ac:dyDescent="0.2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6" x14ac:dyDescent="0.2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">
      <c r="G75"/>
      <c r="H75"/>
      <c r="I75"/>
    </row>
    <row r="76" spans="1:19" x14ac:dyDescent="0.2">
      <c r="G76"/>
      <c r="H76"/>
      <c r="I76"/>
    </row>
    <row r="77" spans="1:19" ht="20" customHeight="1" x14ac:dyDescent="0.2">
      <c r="B77" s="244" t="s">
        <v>172</v>
      </c>
      <c r="C77" s="245"/>
      <c r="D77" s="246"/>
      <c r="G77"/>
      <c r="H77"/>
      <c r="I77"/>
    </row>
    <row r="78" spans="1:19" ht="20" customHeight="1" x14ac:dyDescent="0.2">
      <c r="B78" s="239" t="s">
        <v>41</v>
      </c>
      <c r="C78" s="239" t="s">
        <v>42</v>
      </c>
      <c r="D78" s="231" t="s">
        <v>138</v>
      </c>
      <c r="G78"/>
      <c r="H78"/>
      <c r="I78"/>
    </row>
    <row r="79" spans="1:19" ht="20" customHeight="1" x14ac:dyDescent="0.2">
      <c r="B79" s="240"/>
      <c r="C79" s="240"/>
      <c r="D79" s="70" t="s">
        <v>169</v>
      </c>
      <c r="G79"/>
      <c r="H79"/>
      <c r="I79"/>
    </row>
    <row r="80" spans="1:19" s="139" customFormat="1" ht="20" customHeight="1" x14ac:dyDescent="0.2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" customHeight="1" x14ac:dyDescent="0.2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" customHeight="1" x14ac:dyDescent="0.2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" customHeight="1" x14ac:dyDescent="0.2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" customHeight="1" x14ac:dyDescent="0.2">
      <c r="B84" s="151" t="s">
        <v>73</v>
      </c>
      <c r="C84" s="152" t="s">
        <v>74</v>
      </c>
      <c r="D84" s="158">
        <f>0</f>
        <v>0</v>
      </c>
    </row>
    <row r="85" spans="2:4" s="139" customFormat="1" ht="20" customHeight="1" x14ac:dyDescent="0.2">
      <c r="B85" s="149" t="s">
        <v>75</v>
      </c>
      <c r="C85" s="150" t="s">
        <v>74</v>
      </c>
      <c r="D85" s="157">
        <v>2883783.76</v>
      </c>
    </row>
    <row r="86" spans="2:4" s="139" customFormat="1" ht="20" customHeight="1" x14ac:dyDescent="0.2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" customHeight="1" x14ac:dyDescent="0.2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" customHeight="1" x14ac:dyDescent="0.2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" customHeight="1" x14ac:dyDescent="0.2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" customHeight="1" x14ac:dyDescent="0.2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" customHeight="1" x14ac:dyDescent="0.2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" customHeight="1" x14ac:dyDescent="0.2">
      <c r="B92" s="149" t="s">
        <v>86</v>
      </c>
      <c r="C92" s="150" t="s">
        <v>87</v>
      </c>
      <c r="D92" s="157">
        <f>0</f>
        <v>0</v>
      </c>
    </row>
    <row r="93" spans="2:4" s="139" customFormat="1" ht="20" customHeight="1" x14ac:dyDescent="0.2">
      <c r="B93" s="151" t="s">
        <v>88</v>
      </c>
      <c r="C93" s="152" t="s">
        <v>89</v>
      </c>
      <c r="D93" s="158">
        <f>0</f>
        <v>0</v>
      </c>
    </row>
    <row r="94" spans="2:4" s="139" customFormat="1" ht="20" customHeight="1" x14ac:dyDescent="0.2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5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S94"/>
  <sheetViews>
    <sheetView showGridLines="0" topLeftCell="A69" zoomScaleNormal="100" workbookViewId="0">
      <selection activeCell="M68" sqref="M68"/>
    </sheetView>
  </sheetViews>
  <sheetFormatPr baseColWidth="10" defaultColWidth="8.6640625" defaultRowHeight="15" x14ac:dyDescent="0.2"/>
  <cols>
    <col min="1" max="1" width="2" customWidth="1"/>
    <col min="2" max="2" width="31.5" customWidth="1"/>
    <col min="3" max="3" width="16.1640625" customWidth="1"/>
    <col min="4" max="4" width="17.5" customWidth="1"/>
    <col min="5" max="5" width="16.83203125" customWidth="1"/>
    <col min="6" max="6" width="15.1640625" customWidth="1"/>
    <col min="7" max="18" width="15.33203125" customWidth="1"/>
  </cols>
  <sheetData>
    <row r="1" spans="2:14" ht="19" x14ac:dyDescent="0.2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">
      <c r="G2" s="221" t="s">
        <v>193</v>
      </c>
      <c r="H2" s="111"/>
      <c r="I2" s="111"/>
      <c r="J2" s="217">
        <f ca="1">E3</f>
        <v>31</v>
      </c>
    </row>
    <row r="3" spans="2:14" ht="16" x14ac:dyDescent="0.2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">
      <c r="G4" s="221" t="s">
        <v>195</v>
      </c>
      <c r="H4" s="111"/>
      <c r="I4" s="111"/>
      <c r="J4" s="218">
        <v>0</v>
      </c>
    </row>
    <row r="5" spans="2:14" x14ac:dyDescent="0.2">
      <c r="G5" s="221" t="s">
        <v>196</v>
      </c>
      <c r="H5" s="111"/>
      <c r="I5" s="111"/>
      <c r="J5" s="218"/>
    </row>
    <row r="6" spans="2:14" x14ac:dyDescent="0.2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">
      <c r="C28" s="15"/>
      <c r="D28" s="15"/>
      <c r="E28" s="15"/>
      <c r="F28" s="15"/>
      <c r="G28" s="111"/>
      <c r="H28" s="111"/>
      <c r="I28" s="111"/>
    </row>
    <row r="29" spans="2:14" x14ac:dyDescent="0.2">
      <c r="B29" s="79" t="s">
        <v>128</v>
      </c>
      <c r="C29" s="79"/>
      <c r="G29" s="111"/>
      <c r="H29" s="111"/>
      <c r="I29" s="111"/>
    </row>
    <row r="30" spans="2:14" x14ac:dyDescent="0.2">
      <c r="B30" s="80" t="s">
        <v>129</v>
      </c>
      <c r="C30" s="80" t="s">
        <v>130</v>
      </c>
      <c r="G30" s="111"/>
      <c r="H30" s="111"/>
      <c r="I30" s="111"/>
    </row>
    <row r="31" spans="2:14" x14ac:dyDescent="0.2">
      <c r="B31" s="73"/>
      <c r="C31" s="107"/>
      <c r="G31" s="111"/>
      <c r="H31" s="111"/>
      <c r="I31" s="111"/>
    </row>
    <row r="32" spans="2:14" x14ac:dyDescent="0.2">
      <c r="B32" s="81" t="s">
        <v>131</v>
      </c>
      <c r="C32" s="15">
        <v>291427595.82048202</v>
      </c>
      <c r="G32" s="111"/>
      <c r="H32" s="111"/>
      <c r="I32" s="111"/>
    </row>
    <row r="33" spans="2:19" x14ac:dyDescent="0.2">
      <c r="B33" s="81" t="s">
        <v>132</v>
      </c>
      <c r="C33" s="15">
        <v>436148035.92440403</v>
      </c>
      <c r="G33" s="111"/>
      <c r="H33" s="111"/>
      <c r="I33" s="111"/>
    </row>
    <row r="34" spans="2:19" x14ac:dyDescent="0.2">
      <c r="B34" s="81" t="s">
        <v>133</v>
      </c>
      <c r="C34" s="15">
        <v>135628039.89320499</v>
      </c>
      <c r="G34" s="111"/>
      <c r="H34" s="111"/>
      <c r="I34" s="111"/>
    </row>
    <row r="35" spans="2:19" x14ac:dyDescent="0.2">
      <c r="B35" s="81" t="s">
        <v>134</v>
      </c>
      <c r="C35" s="15">
        <v>513829145.026452</v>
      </c>
      <c r="G35" s="111"/>
      <c r="H35" s="111"/>
      <c r="I35" s="111"/>
    </row>
    <row r="36" spans="2:19" x14ac:dyDescent="0.2">
      <c r="B36" s="81" t="s">
        <v>135</v>
      </c>
      <c r="C36" s="15">
        <v>296173392</v>
      </c>
      <c r="G36" s="111"/>
      <c r="H36" s="111"/>
      <c r="I36" s="111"/>
    </row>
    <row r="37" spans="2:19" x14ac:dyDescent="0.2">
      <c r="B37" s="81"/>
      <c r="C37" s="82"/>
      <c r="G37" s="111"/>
      <c r="H37" s="111"/>
      <c r="I37" s="111"/>
    </row>
    <row r="38" spans="2:19" x14ac:dyDescent="0.2">
      <c r="B38" s="73"/>
      <c r="C38" s="82"/>
      <c r="G38" s="111"/>
      <c r="H38" s="111"/>
      <c r="I38" s="111"/>
    </row>
    <row r="39" spans="2:19" x14ac:dyDescent="0.2">
      <c r="G39" s="111"/>
      <c r="H39" s="111"/>
      <c r="I39" s="111"/>
    </row>
    <row r="40" spans="2:19" x14ac:dyDescent="0.2">
      <c r="G40" s="111"/>
      <c r="H40" s="111"/>
      <c r="I40" s="111"/>
      <c r="S40" s="178" t="s">
        <v>186</v>
      </c>
    </row>
    <row r="41" spans="2:19" ht="28" customHeight="1" x14ac:dyDescent="0.2">
      <c r="B41" s="287" t="s">
        <v>180</v>
      </c>
      <c r="C41" s="288"/>
      <c r="D41" s="289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4" customHeight="1" x14ac:dyDescent="0.2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" customHeight="1" x14ac:dyDescent="0.2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" customHeight="1" x14ac:dyDescent="0.2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" customHeight="1" x14ac:dyDescent="0.2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">
      <c r="B46" s="237" t="s">
        <v>145</v>
      </c>
      <c r="C46" s="238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">
      <c r="G47" s="111"/>
      <c r="H47" s="111"/>
      <c r="I47" s="111"/>
      <c r="S47" s="173">
        <v>1</v>
      </c>
    </row>
    <row r="48" spans="2:19" ht="25.5" customHeight="1" x14ac:dyDescent="0.2">
      <c r="B48" s="250" t="s">
        <v>146</v>
      </c>
      <c r="C48" s="251"/>
      <c r="D48" s="251"/>
      <c r="E48" s="251"/>
      <c r="F48" s="251"/>
      <c r="G48" s="251"/>
      <c r="H48" s="251"/>
      <c r="I48" s="251"/>
      <c r="J48" s="251"/>
      <c r="K48" s="247" t="s">
        <v>187</v>
      </c>
      <c r="L48" s="248"/>
      <c r="M48" s="248"/>
      <c r="N48" s="248"/>
      <c r="O48" s="248"/>
      <c r="P48" s="249"/>
    </row>
    <row r="49" spans="2:16" ht="34" customHeight="1" x14ac:dyDescent="0.2">
      <c r="B49" s="240" t="s">
        <v>41</v>
      </c>
      <c r="C49" s="240" t="s">
        <v>42</v>
      </c>
      <c r="D49" s="254" t="s">
        <v>137</v>
      </c>
      <c r="E49" s="255"/>
      <c r="F49" s="256"/>
      <c r="G49" s="112" t="s">
        <v>138</v>
      </c>
      <c r="H49" s="112"/>
      <c r="I49" s="112"/>
      <c r="J49" s="254" t="s">
        <v>139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0" t="str">
        <f>"SELISIH"&amp;CHAR(10)&amp;TEXT($L$41,"0%")</f>
        <v>SELISIH
100%</v>
      </c>
      <c r="P49" s="260" t="str">
        <f>"PER HARI"&amp;CHAR(10)&amp;TEXT($L$41,"0%")</f>
        <v>PER HARI
100%</v>
      </c>
    </row>
    <row r="50" spans="2:16" ht="22.5" customHeight="1" x14ac:dyDescent="0.2">
      <c r="B50" s="240"/>
      <c r="C50" s="24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4"/>
      <c r="K50" s="263"/>
      <c r="L50" s="263"/>
      <c r="M50" s="267"/>
      <c r="N50" s="267"/>
      <c r="O50" s="261"/>
      <c r="P50" s="261"/>
    </row>
    <row r="51" spans="2:16" ht="20" customHeight="1" x14ac:dyDescent="0.2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" customHeight="1" x14ac:dyDescent="0.2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" customHeight="1" x14ac:dyDescent="0.2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" customHeight="1" x14ac:dyDescent="0.2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" customHeight="1" x14ac:dyDescent="0.2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" customHeight="1" x14ac:dyDescent="0.2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" customHeight="1" x14ac:dyDescent="0.2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" customHeight="1" x14ac:dyDescent="0.2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" customHeight="1" x14ac:dyDescent="0.2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" customHeight="1" x14ac:dyDescent="0.2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" customHeight="1" x14ac:dyDescent="0.2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" customHeight="1" x14ac:dyDescent="0.2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" customHeight="1" x14ac:dyDescent="0.2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" customHeight="1" x14ac:dyDescent="0.2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" customHeight="1" x14ac:dyDescent="0.2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">
      <c r="G66" s="111"/>
      <c r="H66" s="111"/>
      <c r="I66" s="111"/>
    </row>
    <row r="67" spans="2:16" ht="19" customHeight="1" x14ac:dyDescent="0.2">
      <c r="B67" s="244" t="s">
        <v>144</v>
      </c>
      <c r="C67" s="245"/>
      <c r="D67" s="245"/>
      <c r="E67" s="245"/>
      <c r="F67" s="245"/>
      <c r="G67" s="245"/>
      <c r="H67" s="245"/>
      <c r="I67" s="245"/>
      <c r="J67" s="245"/>
      <c r="K67" s="245"/>
      <c r="L67" s="246"/>
    </row>
    <row r="68" spans="2:16" ht="34" customHeight="1" x14ac:dyDescent="0.2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ht="16" x14ac:dyDescent="0.2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ht="16" x14ac:dyDescent="0.2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ht="16" x14ac:dyDescent="0.2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ht="16" x14ac:dyDescent="0.2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t="16" x14ac:dyDescent="0.2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ht="16" x14ac:dyDescent="0.2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" customHeight="1" x14ac:dyDescent="0.2">
      <c r="B77" s="244" t="s">
        <v>172</v>
      </c>
      <c r="C77" s="245"/>
      <c r="D77" s="246"/>
    </row>
    <row r="78" spans="2:16" ht="18.75" customHeight="1" x14ac:dyDescent="0.2">
      <c r="B78" s="239" t="s">
        <v>41</v>
      </c>
      <c r="C78" s="239" t="s">
        <v>42</v>
      </c>
      <c r="D78" s="231" t="s">
        <v>138</v>
      </c>
    </row>
    <row r="79" spans="2:16" ht="18" customHeight="1" x14ac:dyDescent="0.2">
      <c r="B79" s="240"/>
      <c r="C79" s="240"/>
      <c r="D79" s="70" t="s">
        <v>169</v>
      </c>
    </row>
    <row r="80" spans="2:16" ht="20" customHeight="1" x14ac:dyDescent="0.2">
      <c r="B80" s="167" t="s">
        <v>67</v>
      </c>
      <c r="C80" s="168" t="s">
        <v>68</v>
      </c>
      <c r="D80" s="157">
        <f>IF(E24="",0,E24)</f>
        <v>126214286.45999999</v>
      </c>
    </row>
    <row r="81" spans="2:4" ht="20" customHeight="1" x14ac:dyDescent="0.2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" customHeight="1" x14ac:dyDescent="0.2">
      <c r="B82" s="167" t="s">
        <v>173</v>
      </c>
      <c r="C82" s="168" t="s">
        <v>174</v>
      </c>
      <c r="D82" s="158">
        <f>IF(E22="",0,E22)</f>
        <v>12832432.08</v>
      </c>
    </row>
    <row r="83" spans="2:4" ht="20" customHeight="1" x14ac:dyDescent="0.2">
      <c r="B83" s="167" t="s">
        <v>71</v>
      </c>
      <c r="C83" s="168" t="s">
        <v>72</v>
      </c>
      <c r="D83" s="157">
        <f>IF(E14="",0,E14)</f>
        <v>260324322.93000001</v>
      </c>
    </row>
    <row r="84" spans="2:4" ht="20" customHeight="1" x14ac:dyDescent="0.2">
      <c r="B84" s="167" t="s">
        <v>73</v>
      </c>
      <c r="C84" s="168" t="s">
        <v>74</v>
      </c>
      <c r="D84" s="158">
        <f>0</f>
        <v>0</v>
      </c>
    </row>
    <row r="85" spans="2:4" ht="20" customHeight="1" x14ac:dyDescent="0.2">
      <c r="B85" s="167" t="s">
        <v>75</v>
      </c>
      <c r="C85" s="168" t="s">
        <v>74</v>
      </c>
      <c r="D85" s="158">
        <f>IF(E16="",0,E16)</f>
        <v>14439639.5</v>
      </c>
    </row>
    <row r="86" spans="2:4" ht="20" customHeight="1" x14ac:dyDescent="0.2">
      <c r="B86" s="167" t="s">
        <v>76</v>
      </c>
      <c r="C86" s="168" t="s">
        <v>77</v>
      </c>
      <c r="D86" s="158">
        <f>IF(E19="",0,E19)</f>
        <v>709237967.049927</v>
      </c>
    </row>
    <row r="87" spans="2:4" ht="20" customHeight="1" x14ac:dyDescent="0.2">
      <c r="B87" s="167" t="s">
        <v>78</v>
      </c>
      <c r="C87" s="168" t="s">
        <v>79</v>
      </c>
      <c r="D87" s="157">
        <f>IF(E25="",0,E25)</f>
        <v>247976756.949745</v>
      </c>
    </row>
    <row r="88" spans="2:4" ht="20" customHeight="1" x14ac:dyDescent="0.2">
      <c r="B88" s="167" t="s">
        <v>173</v>
      </c>
      <c r="C88" s="168" t="s">
        <v>175</v>
      </c>
      <c r="D88" s="158">
        <f>IF(E23="",0,E23)</f>
        <v>13813693.32</v>
      </c>
    </row>
    <row r="89" spans="2:4" ht="20" customHeight="1" x14ac:dyDescent="0.2">
      <c r="B89" s="167" t="s">
        <v>80</v>
      </c>
      <c r="C89" s="168" t="s">
        <v>81</v>
      </c>
      <c r="D89" s="158">
        <f>IF(E11="",0,E11)</f>
        <v>40868468.799999997</v>
      </c>
    </row>
    <row r="90" spans="2:4" ht="20" customHeight="1" x14ac:dyDescent="0.2">
      <c r="B90" s="167" t="s">
        <v>82</v>
      </c>
      <c r="C90" s="168" t="s">
        <v>83</v>
      </c>
      <c r="D90" s="157">
        <f>IF(E26="",0,E26)</f>
        <v>469103962.04973102</v>
      </c>
    </row>
    <row r="91" spans="2:4" ht="20" customHeight="1" x14ac:dyDescent="0.2">
      <c r="B91" s="167" t="s">
        <v>84</v>
      </c>
      <c r="C91" s="168" t="s">
        <v>85</v>
      </c>
      <c r="D91" s="158">
        <f>IF(E10="",0,E10)</f>
        <v>162788612.639999</v>
      </c>
    </row>
    <row r="92" spans="2:4" ht="20" customHeight="1" x14ac:dyDescent="0.2">
      <c r="B92" s="167" t="s">
        <v>86</v>
      </c>
      <c r="C92" s="168" t="s">
        <v>87</v>
      </c>
      <c r="D92" s="158">
        <f>IF(E27="",0,E27)</f>
        <v>19182702.936000001</v>
      </c>
    </row>
    <row r="93" spans="2:4" ht="20" customHeight="1" x14ac:dyDescent="0.2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" customHeight="1" x14ac:dyDescent="0.2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6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S94"/>
  <sheetViews>
    <sheetView showGridLines="0" topLeftCell="A52" zoomScaleNormal="100" workbookViewId="0">
      <selection activeCell="M68" sqref="M68"/>
    </sheetView>
  </sheetViews>
  <sheetFormatPr baseColWidth="10" defaultColWidth="8.6640625" defaultRowHeight="15" x14ac:dyDescent="0.2"/>
  <cols>
    <col min="1" max="1" width="2" customWidth="1"/>
    <col min="2" max="2" width="45.33203125" customWidth="1"/>
    <col min="3" max="3" width="16.6640625" customWidth="1"/>
    <col min="4" max="4" width="18.33203125" customWidth="1"/>
    <col min="5" max="5" width="15.33203125" customWidth="1"/>
    <col min="6" max="6" width="14.33203125" bestFit="1" customWidth="1"/>
    <col min="7" max="18" width="15.33203125" customWidth="1"/>
  </cols>
  <sheetData>
    <row r="1" spans="2:14" ht="19" x14ac:dyDescent="0.2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">
      <c r="G2" s="221" t="s">
        <v>193</v>
      </c>
      <c r="H2" s="111"/>
      <c r="I2" s="111"/>
      <c r="J2" s="217">
        <f ca="1">E3</f>
        <v>30</v>
      </c>
    </row>
    <row r="3" spans="2:14" ht="16" x14ac:dyDescent="0.2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">
      <c r="G4" s="221" t="s">
        <v>195</v>
      </c>
      <c r="H4" s="111"/>
      <c r="I4" s="111"/>
      <c r="J4" s="218">
        <v>0</v>
      </c>
    </row>
    <row r="5" spans="2:14" x14ac:dyDescent="0.2">
      <c r="G5" s="221" t="s">
        <v>196</v>
      </c>
      <c r="H5" s="111"/>
      <c r="I5" s="111"/>
      <c r="J5" s="218"/>
    </row>
    <row r="6" spans="2:14" x14ac:dyDescent="0.2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">
      <c r="G28" s="111"/>
      <c r="H28" s="111"/>
      <c r="I28" s="111"/>
    </row>
    <row r="29" spans="2:14" x14ac:dyDescent="0.2">
      <c r="B29" s="79" t="s">
        <v>128</v>
      </c>
      <c r="C29" s="79"/>
      <c r="G29" s="111"/>
      <c r="H29" s="111"/>
      <c r="I29" s="111"/>
    </row>
    <row r="30" spans="2:14" x14ac:dyDescent="0.2">
      <c r="B30" s="80" t="s">
        <v>129</v>
      </c>
      <c r="C30" s="80" t="s">
        <v>130</v>
      </c>
      <c r="G30" s="111"/>
      <c r="H30" s="111"/>
      <c r="I30" s="111"/>
    </row>
    <row r="31" spans="2:14" x14ac:dyDescent="0.2">
      <c r="B31" s="73"/>
      <c r="C31" s="107"/>
      <c r="G31" s="111"/>
      <c r="H31" s="111"/>
      <c r="I31" s="111"/>
    </row>
    <row r="32" spans="2:14" x14ac:dyDescent="0.2">
      <c r="B32" s="81" t="s">
        <v>131</v>
      </c>
      <c r="C32" s="15">
        <v>185272533.73476499</v>
      </c>
      <c r="G32" s="111"/>
      <c r="H32" s="111"/>
      <c r="I32" s="111"/>
    </row>
    <row r="33" spans="2:19" x14ac:dyDescent="0.2">
      <c r="B33" s="81" t="s">
        <v>132</v>
      </c>
      <c r="C33" s="171">
        <v>334871676.45744997</v>
      </c>
      <c r="G33" s="111"/>
      <c r="H33" s="111"/>
      <c r="I33" s="111"/>
    </row>
    <row r="34" spans="2:19" x14ac:dyDescent="0.2">
      <c r="B34" s="81" t="s">
        <v>133</v>
      </c>
      <c r="C34" s="15">
        <v>164253111.869317</v>
      </c>
      <c r="G34" s="111"/>
      <c r="H34" s="111"/>
      <c r="I34" s="111"/>
    </row>
    <row r="35" spans="2:19" x14ac:dyDescent="0.2">
      <c r="B35" s="81" t="s">
        <v>134</v>
      </c>
      <c r="C35" s="15">
        <v>734691552.09052098</v>
      </c>
      <c r="G35" s="111"/>
      <c r="H35" s="111"/>
      <c r="I35" s="111"/>
    </row>
    <row r="36" spans="2:19" x14ac:dyDescent="0.2">
      <c r="B36" s="81" t="s">
        <v>135</v>
      </c>
      <c r="C36" s="15">
        <v>309645249.995</v>
      </c>
      <c r="G36" s="111"/>
      <c r="H36" s="111"/>
      <c r="I36" s="111"/>
    </row>
    <row r="37" spans="2:19" x14ac:dyDescent="0.2">
      <c r="B37" s="81"/>
      <c r="C37" s="82"/>
      <c r="G37" s="111"/>
      <c r="H37" s="111"/>
      <c r="I37" s="111"/>
    </row>
    <row r="38" spans="2:19" x14ac:dyDescent="0.2">
      <c r="B38" s="73"/>
      <c r="C38" s="82"/>
      <c r="G38" s="111"/>
      <c r="H38" s="111"/>
      <c r="I38" s="111"/>
    </row>
    <row r="39" spans="2:19" ht="20" customHeight="1" x14ac:dyDescent="0.2">
      <c r="G39" s="111"/>
      <c r="H39" s="111"/>
      <c r="I39" s="111"/>
    </row>
    <row r="40" spans="2:19" x14ac:dyDescent="0.2">
      <c r="G40" s="111"/>
      <c r="H40" s="111"/>
      <c r="I40" s="111"/>
      <c r="S40" s="178" t="s">
        <v>186</v>
      </c>
    </row>
    <row r="41" spans="2:19" ht="28" customHeight="1" x14ac:dyDescent="0.2">
      <c r="B41" s="234" t="s">
        <v>181</v>
      </c>
      <c r="C41" s="235"/>
      <c r="D41" s="236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4" customHeight="1" x14ac:dyDescent="0.2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" customHeight="1" x14ac:dyDescent="0.2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" customHeight="1" x14ac:dyDescent="0.2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" customHeight="1" x14ac:dyDescent="0.2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">
      <c r="B46" s="237" t="s">
        <v>145</v>
      </c>
      <c r="C46" s="238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" customHeight="1" x14ac:dyDescent="0.2">
      <c r="G47" s="111"/>
      <c r="H47" s="111"/>
      <c r="I47" s="111"/>
      <c r="S47" s="173">
        <v>1</v>
      </c>
    </row>
    <row r="48" spans="2:19" ht="80" customHeight="1" x14ac:dyDescent="0.2">
      <c r="B48" s="250" t="s">
        <v>146</v>
      </c>
      <c r="C48" s="251"/>
      <c r="D48" s="251"/>
      <c r="E48" s="251"/>
      <c r="F48" s="251"/>
      <c r="G48" s="251"/>
      <c r="H48" s="251"/>
      <c r="I48" s="251"/>
      <c r="J48" s="251"/>
      <c r="K48" s="247" t="s">
        <v>187</v>
      </c>
      <c r="L48" s="248"/>
      <c r="M48" s="248"/>
      <c r="N48" s="248"/>
      <c r="O48" s="248"/>
      <c r="P48" s="249"/>
    </row>
    <row r="49" spans="2:16" ht="34" customHeight="1" x14ac:dyDescent="0.2">
      <c r="B49" s="240" t="s">
        <v>41</v>
      </c>
      <c r="C49" s="240" t="s">
        <v>42</v>
      </c>
      <c r="D49" s="254" t="s">
        <v>137</v>
      </c>
      <c r="E49" s="255"/>
      <c r="F49" s="256"/>
      <c r="G49" s="112" t="s">
        <v>138</v>
      </c>
      <c r="H49" s="112"/>
      <c r="I49" s="112"/>
      <c r="J49" s="254" t="s">
        <v>139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0" t="str">
        <f>"SELISIH"&amp;CHAR(10)&amp;TEXT($L$41,"0%")</f>
        <v>SELISIH
100%</v>
      </c>
      <c r="P49" s="260" t="str">
        <f>"PER HARI"&amp;CHAR(10)&amp;TEXT($L$41,"0%")</f>
        <v>PER HARI
100%</v>
      </c>
    </row>
    <row r="50" spans="2:16" ht="19.5" customHeight="1" x14ac:dyDescent="0.2">
      <c r="B50" s="240"/>
      <c r="C50" s="24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4"/>
      <c r="K50" s="263"/>
      <c r="L50" s="263"/>
      <c r="M50" s="267"/>
      <c r="N50" s="267"/>
      <c r="O50" s="261"/>
      <c r="P50" s="261"/>
    </row>
    <row r="51" spans="2:16" ht="20" customHeight="1" x14ac:dyDescent="0.2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" customHeight="1" x14ac:dyDescent="0.2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" customHeight="1" x14ac:dyDescent="0.2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" customHeight="1" x14ac:dyDescent="0.2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" customHeight="1" x14ac:dyDescent="0.2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" customHeight="1" x14ac:dyDescent="0.2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" customHeight="1" x14ac:dyDescent="0.2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" customHeight="1" x14ac:dyDescent="0.2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" customHeight="1" x14ac:dyDescent="0.2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" customHeight="1" x14ac:dyDescent="0.2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" customHeight="1" x14ac:dyDescent="0.2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" customHeight="1" x14ac:dyDescent="0.2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" customHeight="1" x14ac:dyDescent="0.2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" customHeight="1" x14ac:dyDescent="0.2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" customHeight="1" x14ac:dyDescent="0.2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">
      <c r="G66" s="111"/>
      <c r="H66" s="111"/>
      <c r="I66" s="111"/>
    </row>
    <row r="67" spans="2:16" ht="19" customHeight="1" x14ac:dyDescent="0.2">
      <c r="B67" s="244" t="s">
        <v>144</v>
      </c>
      <c r="C67" s="245"/>
      <c r="D67" s="245"/>
      <c r="E67" s="245"/>
      <c r="F67" s="245"/>
      <c r="G67" s="245"/>
      <c r="H67" s="245"/>
      <c r="I67" s="245"/>
      <c r="J67" s="245"/>
      <c r="K67" s="245"/>
      <c r="L67" s="246"/>
    </row>
    <row r="68" spans="2:16" ht="34" customHeight="1" x14ac:dyDescent="0.2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ht="16" x14ac:dyDescent="0.2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ht="16" x14ac:dyDescent="0.2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ht="16" x14ac:dyDescent="0.2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ht="16" x14ac:dyDescent="0.2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t="16" x14ac:dyDescent="0.2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ht="16" x14ac:dyDescent="0.2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" customHeight="1" x14ac:dyDescent="0.2">
      <c r="B77" s="244" t="s">
        <v>172</v>
      </c>
      <c r="C77" s="245"/>
      <c r="D77" s="246"/>
    </row>
    <row r="78" spans="2:16" ht="17" x14ac:dyDescent="0.2">
      <c r="B78" s="239" t="s">
        <v>41</v>
      </c>
      <c r="C78" s="239" t="s">
        <v>42</v>
      </c>
      <c r="D78" s="231" t="s">
        <v>138</v>
      </c>
    </row>
    <row r="79" spans="2:16" ht="17" x14ac:dyDescent="0.2">
      <c r="B79" s="240"/>
      <c r="C79" s="240"/>
      <c r="D79" s="70" t="s">
        <v>169</v>
      </c>
    </row>
    <row r="80" spans="2:16" ht="20" customHeight="1" x14ac:dyDescent="0.2">
      <c r="B80" s="50" t="s">
        <v>67</v>
      </c>
      <c r="C80" s="55" t="s">
        <v>68</v>
      </c>
      <c r="D80" s="107">
        <v>379329022.35987002</v>
      </c>
    </row>
    <row r="81" spans="2:4" ht="20" customHeight="1" x14ac:dyDescent="0.2">
      <c r="B81" s="53" t="s">
        <v>69</v>
      </c>
      <c r="C81" s="56" t="s">
        <v>70</v>
      </c>
      <c r="D81" s="158">
        <v>89366430.819999993</v>
      </c>
    </row>
    <row r="82" spans="2:4" ht="20" customHeight="1" x14ac:dyDescent="0.2">
      <c r="B82" s="53" t="s">
        <v>173</v>
      </c>
      <c r="C82" s="56" t="s">
        <v>174</v>
      </c>
      <c r="D82" s="107">
        <v>12540540.199999999</v>
      </c>
    </row>
    <row r="83" spans="2:4" ht="20" customHeight="1" x14ac:dyDescent="0.2">
      <c r="B83" s="50" t="s">
        <v>71</v>
      </c>
      <c r="C83" s="55" t="s">
        <v>72</v>
      </c>
      <c r="D83" s="107">
        <v>266587982.37</v>
      </c>
    </row>
    <row r="84" spans="2:4" ht="20" customHeight="1" x14ac:dyDescent="0.2">
      <c r="B84" s="53" t="s">
        <v>73</v>
      </c>
      <c r="C84" s="56" t="s">
        <v>74</v>
      </c>
      <c r="D84" s="158">
        <f>0</f>
        <v>0</v>
      </c>
    </row>
    <row r="85" spans="2:4" ht="20" customHeight="1" x14ac:dyDescent="0.2">
      <c r="B85" s="50" t="s">
        <v>75</v>
      </c>
      <c r="C85" s="55" t="s">
        <v>74</v>
      </c>
      <c r="D85" s="107">
        <v>34044891.530000001</v>
      </c>
    </row>
    <row r="86" spans="2:4" ht="20" customHeight="1" x14ac:dyDescent="0.2">
      <c r="B86" s="53" t="s">
        <v>76</v>
      </c>
      <c r="C86" s="56" t="s">
        <v>77</v>
      </c>
      <c r="D86" s="107">
        <v>1329858796.62995</v>
      </c>
    </row>
    <row r="87" spans="2:4" ht="20" customHeight="1" x14ac:dyDescent="0.2">
      <c r="B87" s="50" t="s">
        <v>78</v>
      </c>
      <c r="C87" s="55" t="s">
        <v>79</v>
      </c>
      <c r="D87" s="107">
        <v>314812287.69929397</v>
      </c>
    </row>
    <row r="88" spans="2:4" ht="20" customHeight="1" x14ac:dyDescent="0.2">
      <c r="B88" s="53" t="s">
        <v>173</v>
      </c>
      <c r="C88" s="56" t="s">
        <v>175</v>
      </c>
      <c r="D88" s="107">
        <v>17519368.899999999</v>
      </c>
    </row>
    <row r="89" spans="2:4" ht="20" customHeight="1" x14ac:dyDescent="0.2">
      <c r="B89" s="53" t="s">
        <v>80</v>
      </c>
      <c r="C89" s="56" t="s">
        <v>81</v>
      </c>
      <c r="D89" s="107">
        <v>22719654.219999999</v>
      </c>
    </row>
    <row r="90" spans="2:4" ht="20" customHeight="1" x14ac:dyDescent="0.2">
      <c r="B90" s="50" t="s">
        <v>82</v>
      </c>
      <c r="C90" s="55" t="s">
        <v>83</v>
      </c>
      <c r="D90" s="107">
        <v>581028250.50941503</v>
      </c>
    </row>
    <row r="91" spans="2:4" ht="20" customHeight="1" x14ac:dyDescent="0.2">
      <c r="B91" s="53" t="s">
        <v>84</v>
      </c>
      <c r="C91" s="56" t="s">
        <v>85</v>
      </c>
      <c r="D91" s="107">
        <v>158162238.56999999</v>
      </c>
    </row>
    <row r="92" spans="2:4" ht="20" customHeight="1" x14ac:dyDescent="0.2">
      <c r="B92" s="50" t="s">
        <v>86</v>
      </c>
      <c r="C92" s="55" t="s">
        <v>87</v>
      </c>
      <c r="D92" s="107">
        <v>17184216.607000001</v>
      </c>
    </row>
    <row r="93" spans="2:4" ht="20" customHeight="1" x14ac:dyDescent="0.2">
      <c r="B93" s="53" t="s">
        <v>88</v>
      </c>
      <c r="C93" s="56" t="s">
        <v>89</v>
      </c>
      <c r="D93" s="158">
        <v>100075677.56</v>
      </c>
    </row>
    <row r="94" spans="2:4" ht="20" customHeight="1" x14ac:dyDescent="0.2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7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baseColWidth="10" defaultColWidth="8.6640625" defaultRowHeight="15" x14ac:dyDescent="0.2"/>
  <cols>
    <col min="1" max="1" width="2" customWidth="1"/>
    <col min="2" max="2" width="32.5" customWidth="1"/>
    <col min="3" max="3" width="16.5" customWidth="1"/>
    <col min="4" max="4" width="22.1640625" customWidth="1"/>
    <col min="5" max="5" width="20.5" bestFit="1" customWidth="1"/>
    <col min="6" max="6" width="15.6640625" customWidth="1"/>
    <col min="7" max="7" width="20.83203125" bestFit="1" customWidth="1"/>
    <col min="8" max="8" width="20" bestFit="1" customWidth="1"/>
    <col min="9" max="9" width="20.5" bestFit="1" customWidth="1"/>
    <col min="10" max="10" width="18" bestFit="1" customWidth="1"/>
    <col min="11" max="11" width="19.5" bestFit="1" customWidth="1"/>
    <col min="12" max="12" width="18.5" bestFit="1" customWidth="1"/>
    <col min="13" max="13" width="20.5" bestFit="1" customWidth="1"/>
    <col min="14" max="14" width="18" bestFit="1" customWidth="1"/>
    <col min="15" max="15" width="20.83203125" bestFit="1" customWidth="1"/>
    <col min="16" max="16" width="17.5" bestFit="1" customWidth="1"/>
    <col min="17" max="18" width="15.33203125" customWidth="1"/>
  </cols>
  <sheetData>
    <row r="1" spans="2:14" ht="19" x14ac:dyDescent="0.2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">
      <c r="G2" s="221" t="s">
        <v>193</v>
      </c>
      <c r="H2" s="111"/>
      <c r="I2" s="111"/>
      <c r="J2" s="217">
        <f ca="1">E3</f>
        <v>31</v>
      </c>
    </row>
    <row r="3" spans="2:14" ht="16" x14ac:dyDescent="0.2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">
      <c r="G4" s="221" t="s">
        <v>195</v>
      </c>
      <c r="H4" s="111"/>
      <c r="I4" s="111"/>
      <c r="J4" s="218">
        <v>0</v>
      </c>
    </row>
    <row r="5" spans="2:14" x14ac:dyDescent="0.2">
      <c r="G5" s="221" t="s">
        <v>196</v>
      </c>
      <c r="H5" s="111"/>
      <c r="I5" s="111"/>
      <c r="J5" s="218"/>
    </row>
    <row r="6" spans="2:14" x14ac:dyDescent="0.2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">
      <c r="G28" s="111"/>
      <c r="H28" s="111"/>
      <c r="I28" s="111"/>
    </row>
    <row r="29" spans="2:14" x14ac:dyDescent="0.2">
      <c r="B29" s="79" t="s">
        <v>128</v>
      </c>
      <c r="C29" s="79"/>
      <c r="G29" s="111"/>
      <c r="H29" s="111"/>
      <c r="I29" s="111"/>
    </row>
    <row r="30" spans="2:14" x14ac:dyDescent="0.2">
      <c r="B30" s="80" t="s">
        <v>129</v>
      </c>
      <c r="C30" s="80" t="s">
        <v>130</v>
      </c>
      <c r="G30" s="111"/>
      <c r="H30" s="111"/>
      <c r="I30" s="111"/>
    </row>
    <row r="31" spans="2:14" x14ac:dyDescent="0.2">
      <c r="B31" s="73"/>
      <c r="C31" s="107"/>
      <c r="G31" s="111"/>
      <c r="H31" s="111"/>
      <c r="I31" s="111"/>
    </row>
    <row r="32" spans="2:14" x14ac:dyDescent="0.2">
      <c r="B32" s="81" t="s">
        <v>131</v>
      </c>
      <c r="C32" s="171">
        <v>247017208.86305001</v>
      </c>
      <c r="G32" s="111"/>
      <c r="H32" s="111"/>
      <c r="I32" s="111"/>
    </row>
    <row r="33" spans="2:19" x14ac:dyDescent="0.2">
      <c r="B33" s="81" t="s">
        <v>132</v>
      </c>
      <c r="C33" s="15">
        <v>603527981.52019799</v>
      </c>
      <c r="G33" s="111"/>
      <c r="H33" s="111"/>
      <c r="I33" s="111"/>
    </row>
    <row r="34" spans="2:19" x14ac:dyDescent="0.2">
      <c r="B34" s="81" t="s">
        <v>133</v>
      </c>
      <c r="C34" s="15">
        <v>132378030.09105299</v>
      </c>
      <c r="G34" s="111"/>
      <c r="H34" s="111"/>
      <c r="I34" s="111"/>
    </row>
    <row r="35" spans="2:19" x14ac:dyDescent="0.2">
      <c r="B35" s="81" t="s">
        <v>134</v>
      </c>
      <c r="C35" s="15">
        <v>506220615.42076802</v>
      </c>
      <c r="G35" s="111"/>
      <c r="H35" s="111"/>
      <c r="I35" s="111"/>
    </row>
    <row r="36" spans="2:19" x14ac:dyDescent="0.2">
      <c r="B36" s="81" t="s">
        <v>135</v>
      </c>
      <c r="C36" s="15">
        <v>31764000</v>
      </c>
      <c r="G36" s="111"/>
      <c r="H36" s="111"/>
      <c r="I36" s="111"/>
    </row>
    <row r="37" spans="2:19" x14ac:dyDescent="0.2">
      <c r="B37" s="81"/>
      <c r="C37" s="82"/>
      <c r="G37" s="111"/>
      <c r="H37" s="111"/>
      <c r="I37" s="111"/>
    </row>
    <row r="38" spans="2:19" x14ac:dyDescent="0.2">
      <c r="B38" s="73"/>
      <c r="C38" s="82"/>
      <c r="G38" s="111"/>
      <c r="H38" s="111"/>
      <c r="I38" s="111"/>
    </row>
    <row r="39" spans="2:19" x14ac:dyDescent="0.2">
      <c r="G39" s="111"/>
      <c r="H39" s="111"/>
      <c r="I39" s="111"/>
    </row>
    <row r="40" spans="2:19" x14ac:dyDescent="0.2">
      <c r="G40" s="111"/>
      <c r="H40" s="111"/>
      <c r="I40" s="111"/>
      <c r="S40" s="172" t="s">
        <v>186</v>
      </c>
    </row>
    <row r="41" spans="2:19" s="191" customFormat="1" ht="28" customHeight="1" x14ac:dyDescent="0.2">
      <c r="B41" s="234" t="s">
        <v>190</v>
      </c>
      <c r="C41" s="235"/>
      <c r="D41" s="236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30" x14ac:dyDescent="0.2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16" x14ac:dyDescent="0.2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ht="16" x14ac:dyDescent="0.2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ht="16" x14ac:dyDescent="0.2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">
      <c r="B46" s="237" t="s">
        <v>145</v>
      </c>
      <c r="C46" s="238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">
      <c r="G47" s="111"/>
      <c r="H47" s="111"/>
      <c r="I47" s="111"/>
      <c r="S47" s="173">
        <v>1</v>
      </c>
    </row>
    <row r="48" spans="2:19" ht="19" x14ac:dyDescent="0.2">
      <c r="B48" s="250" t="s">
        <v>146</v>
      </c>
      <c r="C48" s="251"/>
      <c r="D48" s="251"/>
      <c r="E48" s="251"/>
      <c r="F48" s="251"/>
      <c r="G48" s="251"/>
      <c r="H48" s="251"/>
      <c r="I48" s="251"/>
      <c r="J48" s="251"/>
      <c r="K48" s="247" t="s">
        <v>187</v>
      </c>
      <c r="L48" s="248"/>
      <c r="M48" s="248"/>
      <c r="N48" s="248"/>
      <c r="O48" s="248"/>
      <c r="P48" s="249"/>
    </row>
    <row r="49" spans="2:16" ht="17" x14ac:dyDescent="0.2">
      <c r="B49" s="240" t="s">
        <v>41</v>
      </c>
      <c r="C49" s="240" t="s">
        <v>42</v>
      </c>
      <c r="D49" s="254" t="s">
        <v>137</v>
      </c>
      <c r="E49" s="255"/>
      <c r="F49" s="256"/>
      <c r="G49" s="112" t="s">
        <v>138</v>
      </c>
      <c r="H49" s="112"/>
      <c r="I49" s="112"/>
      <c r="J49" s="254" t="s">
        <v>139</v>
      </c>
      <c r="K49" s="262" t="str">
        <f>"SELISIH"&amp;CHAR(10)&amp;TEXT($H$41,"0%")</f>
        <v>SELISIH
90%</v>
      </c>
      <c r="L49" s="262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90" t="str">
        <f>"SELISIH"&amp;CHAR(10)&amp;TEXT($L$41,"0%")</f>
        <v>SELISIH
100%</v>
      </c>
      <c r="P49" s="290" t="str">
        <f>"PER HARI"&amp;CHAR(10)&amp;TEXT($L$41,"0%")</f>
        <v>PER HARI
100%</v>
      </c>
    </row>
    <row r="50" spans="2:16" ht="17" x14ac:dyDescent="0.2">
      <c r="B50" s="240"/>
      <c r="C50" s="24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4"/>
      <c r="K50" s="263"/>
      <c r="L50" s="263"/>
      <c r="M50" s="267"/>
      <c r="N50" s="267"/>
      <c r="O50" s="291"/>
      <c r="P50" s="291"/>
    </row>
    <row r="51" spans="2:16" ht="16" x14ac:dyDescent="0.2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ht="16" x14ac:dyDescent="0.2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ht="16" x14ac:dyDescent="0.2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ht="16" x14ac:dyDescent="0.2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ht="16" x14ac:dyDescent="0.2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ht="16" x14ac:dyDescent="0.2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ht="16" x14ac:dyDescent="0.2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ht="16" x14ac:dyDescent="0.2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ht="16" x14ac:dyDescent="0.2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ht="16" x14ac:dyDescent="0.2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ht="16" x14ac:dyDescent="0.2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ht="16" x14ac:dyDescent="0.2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ht="16" x14ac:dyDescent="0.2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ht="16" x14ac:dyDescent="0.2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ht="16" x14ac:dyDescent="0.2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">
      <c r="G66" s="111"/>
      <c r="H66" s="111"/>
      <c r="I66" s="111"/>
    </row>
    <row r="67" spans="2:16" ht="19" customHeight="1" x14ac:dyDescent="0.2">
      <c r="B67" s="244" t="s">
        <v>144</v>
      </c>
      <c r="C67" s="245"/>
      <c r="D67" s="245"/>
      <c r="E67" s="245"/>
      <c r="F67" s="245"/>
      <c r="G67" s="245"/>
      <c r="H67" s="245"/>
      <c r="I67" s="245"/>
      <c r="J67" s="245"/>
      <c r="K67" s="245"/>
      <c r="L67" s="246"/>
    </row>
    <row r="68" spans="2:16" ht="30" x14ac:dyDescent="0.2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ht="16" x14ac:dyDescent="0.2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ht="16" x14ac:dyDescent="0.2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ht="16" x14ac:dyDescent="0.2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t="16" hidden="1" x14ac:dyDescent="0.2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t="16" hidden="1" x14ac:dyDescent="0.2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ht="16" x14ac:dyDescent="0.2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" customHeight="1" x14ac:dyDescent="0.2">
      <c r="B77" s="244" t="s">
        <v>172</v>
      </c>
      <c r="C77" s="245"/>
      <c r="D77" s="246"/>
    </row>
    <row r="78" spans="2:16" ht="17" x14ac:dyDescent="0.2">
      <c r="B78" s="239" t="s">
        <v>41</v>
      </c>
      <c r="C78" s="239" t="s">
        <v>42</v>
      </c>
      <c r="D78" s="231" t="s">
        <v>138</v>
      </c>
    </row>
    <row r="79" spans="2:16" ht="17" x14ac:dyDescent="0.2">
      <c r="B79" s="240"/>
      <c r="C79" s="240"/>
      <c r="D79" s="70" t="s">
        <v>169</v>
      </c>
    </row>
    <row r="80" spans="2:16" ht="16" x14ac:dyDescent="0.2">
      <c r="B80" s="50" t="s">
        <v>67</v>
      </c>
      <c r="C80" s="55" t="s">
        <v>68</v>
      </c>
      <c r="D80" s="131">
        <f>IF(E22="",0,E22)</f>
        <v>503698656.98984998</v>
      </c>
    </row>
    <row r="81" spans="2:4" ht="16" x14ac:dyDescent="0.2">
      <c r="B81" s="53" t="s">
        <v>69</v>
      </c>
      <c r="C81" s="56" t="s">
        <v>70</v>
      </c>
      <c r="D81" s="131">
        <f>IF(E13="",0,E13)+IF(E14="",0,E14)</f>
        <v>124442745.86</v>
      </c>
    </row>
    <row r="82" spans="2:4" ht="16" x14ac:dyDescent="0.2">
      <c r="B82" s="53" t="s">
        <v>173</v>
      </c>
      <c r="C82" s="56" t="s">
        <v>174</v>
      </c>
      <c r="D82" s="131">
        <f>IF(E20="",0,E20)</f>
        <v>11387387.08</v>
      </c>
    </row>
    <row r="83" spans="2:4" ht="16" x14ac:dyDescent="0.2">
      <c r="B83" s="50" t="s">
        <v>71</v>
      </c>
      <c r="C83" s="55" t="s">
        <v>72</v>
      </c>
      <c r="D83" s="131">
        <f>IF(E15="",0,E15)</f>
        <v>410218259.94994998</v>
      </c>
    </row>
    <row r="84" spans="2:4" ht="16" x14ac:dyDescent="0.2">
      <c r="B84" s="53" t="s">
        <v>73</v>
      </c>
      <c r="C84" s="56" t="s">
        <v>182</v>
      </c>
      <c r="D84" s="131">
        <f>0</f>
        <v>0</v>
      </c>
    </row>
    <row r="85" spans="2:4" ht="16" x14ac:dyDescent="0.2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ht="16" x14ac:dyDescent="0.2">
      <c r="B86" s="53" t="s">
        <v>76</v>
      </c>
      <c r="C86" s="56" t="s">
        <v>77</v>
      </c>
      <c r="D86" s="131">
        <f>IF(E17="",0,E17)</f>
        <v>1305012954.6799581</v>
      </c>
    </row>
    <row r="87" spans="2:4" ht="16" x14ac:dyDescent="0.2">
      <c r="B87" s="50" t="s">
        <v>78</v>
      </c>
      <c r="C87" s="55" t="s">
        <v>79</v>
      </c>
      <c r="D87" s="131">
        <f>IF(E23="",0,E23)</f>
        <v>310958467.80928099</v>
      </c>
    </row>
    <row r="88" spans="2:4" ht="16" x14ac:dyDescent="0.2">
      <c r="B88" s="53" t="s">
        <v>173</v>
      </c>
      <c r="C88" s="56" t="s">
        <v>175</v>
      </c>
      <c r="D88" s="131">
        <f>IF(E21="",0,E21)</f>
        <v>15855585.16</v>
      </c>
    </row>
    <row r="89" spans="2:4" ht="16" x14ac:dyDescent="0.2">
      <c r="B89" s="53" t="s">
        <v>80</v>
      </c>
      <c r="C89" s="56" t="s">
        <v>81</v>
      </c>
      <c r="D89" s="131">
        <f>IF(E11="",0,E11)</f>
        <v>123485070.23999999</v>
      </c>
    </row>
    <row r="90" spans="2:4" ht="16" x14ac:dyDescent="0.2">
      <c r="B90" s="50" t="s">
        <v>82</v>
      </c>
      <c r="C90" s="55" t="s">
        <v>83</v>
      </c>
      <c r="D90" s="131">
        <f>IF(E24="",0,E24)</f>
        <v>792137124.23901403</v>
      </c>
    </row>
    <row r="91" spans="2:4" ht="16" x14ac:dyDescent="0.2">
      <c r="B91" s="53" t="s">
        <v>84</v>
      </c>
      <c r="C91" s="56" t="s">
        <v>85</v>
      </c>
      <c r="D91" s="131">
        <f>IF(E10="",0,E10)</f>
        <v>178626089.13999999</v>
      </c>
    </row>
    <row r="92" spans="2:4" ht="16" x14ac:dyDescent="0.2">
      <c r="B92" s="50" t="s">
        <v>86</v>
      </c>
      <c r="C92" s="55" t="s">
        <v>87</v>
      </c>
      <c r="D92" s="131">
        <f>IF(E27="",0,E27)</f>
        <v>17830594.9778</v>
      </c>
    </row>
    <row r="93" spans="2:4" ht="16" x14ac:dyDescent="0.2">
      <c r="B93" s="53" t="s">
        <v>88</v>
      </c>
      <c r="C93" s="56" t="s">
        <v>89</v>
      </c>
      <c r="D93" s="131">
        <f>IF(E18="",0,E18)+IF(E19="",0,E19)</f>
        <v>92389191</v>
      </c>
    </row>
    <row r="94" spans="2:4" ht="16" x14ac:dyDescent="0.2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800-000000000000}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U94"/>
  <sheetViews>
    <sheetView showGridLines="0" topLeftCell="F1" zoomScale="87" zoomScaleNormal="91" workbookViewId="0">
      <selection activeCell="M9" sqref="M9"/>
    </sheetView>
  </sheetViews>
  <sheetFormatPr baseColWidth="10" defaultColWidth="8.6640625" defaultRowHeight="15" x14ac:dyDescent="0.2"/>
  <cols>
    <col min="1" max="1" width="2" customWidth="1"/>
    <col min="2" max="2" width="37.5" customWidth="1"/>
    <col min="3" max="3" width="16.33203125" customWidth="1"/>
    <col min="4" max="4" width="16.5" customWidth="1"/>
    <col min="5" max="7" width="18.5" customWidth="1"/>
    <col min="8" max="18" width="16.5" customWidth="1"/>
  </cols>
  <sheetData>
    <row r="1" spans="2:15" ht="19" x14ac:dyDescent="0.2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">
      <c r="G2" s="221" t="s">
        <v>193</v>
      </c>
      <c r="H2" s="111"/>
      <c r="I2" s="111"/>
      <c r="J2" s="217">
        <f ca="1">E3</f>
        <v>31</v>
      </c>
    </row>
    <row r="3" spans="2:15" ht="16" x14ac:dyDescent="0.2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">
      <c r="G4" s="221" t="s">
        <v>195</v>
      </c>
      <c r="H4" s="111"/>
      <c r="I4" s="111"/>
      <c r="J4" s="218">
        <v>0</v>
      </c>
    </row>
    <row r="5" spans="2:15" x14ac:dyDescent="0.2">
      <c r="G5" s="221" t="s">
        <v>196</v>
      </c>
      <c r="H5" s="111"/>
      <c r="I5" s="111"/>
      <c r="J5" s="218">
        <v>0</v>
      </c>
    </row>
    <row r="6" spans="2:15" x14ac:dyDescent="0.2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">
      <c r="B11" s="72" t="s">
        <v>216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">
      <c r="B12" s="72" t="s">
        <v>215</v>
      </c>
      <c r="C12" s="15">
        <v>3123423.4199979999</v>
      </c>
      <c r="D12" s="15">
        <v>30403216.600000001</v>
      </c>
      <c r="E12" s="15">
        <v>352954956.67859</v>
      </c>
      <c r="F12" s="15" t="s">
        <v>166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">
      <c r="B20" s="72" t="s">
        <v>170</v>
      </c>
      <c r="C20" s="15">
        <v>186237371.06</v>
      </c>
      <c r="D20" s="15" t="s">
        <v>166</v>
      </c>
      <c r="E20" s="15" t="s">
        <v>166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224</v>
      </c>
    </row>
    <row r="21" spans="2:15" x14ac:dyDescent="0.2">
      <c r="B21" s="72" t="s">
        <v>171</v>
      </c>
      <c r="C21" s="15">
        <v>427491232.60000002</v>
      </c>
      <c r="D21" s="15" t="s">
        <v>166</v>
      </c>
      <c r="E21" s="15" t="s">
        <v>166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225</v>
      </c>
    </row>
    <row r="22" spans="2:15" x14ac:dyDescent="0.2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">
      <c r="B25" s="72" t="s">
        <v>184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">
      <c r="G27" s="111"/>
      <c r="H27" s="111"/>
      <c r="I27" s="111"/>
    </row>
    <row r="28" spans="2:15" x14ac:dyDescent="0.2">
      <c r="B28" s="79" t="s">
        <v>128</v>
      </c>
      <c r="C28" s="79"/>
      <c r="G28" s="111"/>
      <c r="H28" s="111"/>
      <c r="I28" s="111"/>
    </row>
    <row r="29" spans="2:15" x14ac:dyDescent="0.2">
      <c r="B29" s="80" t="s">
        <v>129</v>
      </c>
      <c r="C29" s="80" t="s">
        <v>130</v>
      </c>
      <c r="G29" s="111"/>
      <c r="H29" s="111"/>
      <c r="I29" s="111"/>
    </row>
    <row r="30" spans="2:15" x14ac:dyDescent="0.2">
      <c r="B30" s="73"/>
      <c r="C30" s="107"/>
      <c r="G30" s="111"/>
      <c r="H30" s="111"/>
      <c r="I30" s="111"/>
    </row>
    <row r="31" spans="2:15" x14ac:dyDescent="0.2">
      <c r="B31" s="81" t="s">
        <v>131</v>
      </c>
      <c r="C31" s="15">
        <v>270468251.94897401</v>
      </c>
      <c r="G31" s="111"/>
      <c r="H31" s="111"/>
      <c r="I31" s="111"/>
    </row>
    <row r="32" spans="2:15" x14ac:dyDescent="0.2">
      <c r="B32" s="81" t="s">
        <v>132</v>
      </c>
      <c r="C32" s="15">
        <v>459125956.89144701</v>
      </c>
      <c r="G32" s="111"/>
      <c r="H32" s="111"/>
      <c r="I32" s="111"/>
    </row>
    <row r="33" spans="2:19" x14ac:dyDescent="0.2">
      <c r="B33" s="81" t="s">
        <v>133</v>
      </c>
      <c r="C33" s="15">
        <v>154558519.26416701</v>
      </c>
      <c r="G33" s="111"/>
      <c r="H33" s="111"/>
      <c r="I33" s="111"/>
    </row>
    <row r="34" spans="2:19" x14ac:dyDescent="0.2">
      <c r="B34" s="81" t="s">
        <v>134</v>
      </c>
      <c r="C34" s="15">
        <v>647244327.04264998</v>
      </c>
      <c r="G34" s="111"/>
      <c r="H34" s="111"/>
      <c r="I34" s="111"/>
    </row>
    <row r="35" spans="2:19" x14ac:dyDescent="0.2">
      <c r="B35" s="81" t="s">
        <v>135</v>
      </c>
      <c r="C35" s="15">
        <v>155439124.9975</v>
      </c>
      <c r="G35" s="111"/>
      <c r="H35" s="111"/>
      <c r="I35" s="111"/>
    </row>
    <row r="36" spans="2:19" x14ac:dyDescent="0.2">
      <c r="B36" s="81"/>
      <c r="C36" s="82"/>
      <c r="G36" s="111"/>
      <c r="H36" s="111"/>
      <c r="I36" s="111"/>
    </row>
    <row r="37" spans="2:19" x14ac:dyDescent="0.2">
      <c r="B37" s="73"/>
      <c r="C37" s="82"/>
      <c r="G37" s="111"/>
      <c r="H37" s="111"/>
      <c r="I37" s="111"/>
    </row>
    <row r="38" spans="2:19" x14ac:dyDescent="0.2">
      <c r="G38" s="111"/>
      <c r="H38" s="111"/>
      <c r="I38" s="111"/>
    </row>
    <row r="39" spans="2:19" x14ac:dyDescent="0.2">
      <c r="G39" s="111"/>
      <c r="H39" s="111"/>
      <c r="I39" s="111"/>
      <c r="S39" s="172" t="s">
        <v>186</v>
      </c>
    </row>
    <row r="40" spans="2:19" ht="20" x14ac:dyDescent="0.2">
      <c r="B40" s="234" t="s">
        <v>220</v>
      </c>
      <c r="C40" s="235"/>
      <c r="D40" s="236"/>
      <c r="E40" s="66" t="s">
        <v>137</v>
      </c>
      <c r="F40" s="174">
        <f ca="1">IF(MONTH(TODAY())=8,DAY(TODAY())/DAY(EOMONTH(TODAY(),0)),IF(MONTH(TODAY())&gt;8,1,0))</f>
        <v>1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x14ac:dyDescent="0.2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6" x14ac:dyDescent="0.2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ht="16" x14ac:dyDescent="0.2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ht="16" x14ac:dyDescent="0.2">
      <c r="B44" s="109" t="s">
        <v>209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ht="16" x14ac:dyDescent="0.2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">
      <c r="B46" s="237" t="s">
        <v>145</v>
      </c>
      <c r="C46" s="238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">
      <c r="G47" s="111"/>
      <c r="H47" s="111"/>
      <c r="I47" s="111"/>
      <c r="S47" s="173"/>
    </row>
    <row r="48" spans="2:19" ht="19" customHeight="1" x14ac:dyDescent="0.2">
      <c r="B48" s="250" t="s">
        <v>214</v>
      </c>
      <c r="C48" s="251"/>
      <c r="D48" s="251"/>
      <c r="E48" s="251"/>
      <c r="F48" s="251"/>
      <c r="G48" s="251"/>
      <c r="H48" s="251"/>
      <c r="I48" s="251"/>
      <c r="J48" s="251"/>
      <c r="K48" s="251"/>
      <c r="L48" s="252"/>
      <c r="M48" s="247" t="s">
        <v>187</v>
      </c>
      <c r="N48" s="248"/>
      <c r="O48" s="248"/>
      <c r="P48" s="248"/>
      <c r="Q48" s="248"/>
      <c r="R48" s="249"/>
    </row>
    <row r="49" spans="2:21" ht="17" customHeight="1" x14ac:dyDescent="0.2">
      <c r="B49" s="253" t="s">
        <v>41</v>
      </c>
      <c r="C49" s="253" t="s">
        <v>42</v>
      </c>
      <c r="D49" s="254" t="s">
        <v>137</v>
      </c>
      <c r="E49" s="255"/>
      <c r="F49" s="255"/>
      <c r="G49" s="256"/>
      <c r="H49" s="257" t="s">
        <v>138</v>
      </c>
      <c r="I49" s="258"/>
      <c r="J49" s="258"/>
      <c r="K49" s="259"/>
      <c r="L49" s="264" t="s">
        <v>139</v>
      </c>
      <c r="M49" s="262" t="str">
        <f>"SELISIH"&amp;CHAR(10)&amp;TEXT($H$40,"0%")</f>
        <v>SELISIH
90%</v>
      </c>
      <c r="N49" s="262" t="str">
        <f>"PER HARI"&amp;CHAR(10)&amp;TEXT($H$40,"0%")</f>
        <v>PER HARI
90%</v>
      </c>
      <c r="O49" s="266" t="str">
        <f>"SELISIH"&amp;CHAR(10)&amp;TEXT($J$40,"0%")</f>
        <v>SELISIH
95%</v>
      </c>
      <c r="P49" s="266" t="str">
        <f>"PER HARI"&amp;CHAR(10)&amp;TEXT($J$40,"0%")</f>
        <v>PER HARI
95%</v>
      </c>
      <c r="Q49" s="260" t="str">
        <f>"SELISIH"&amp;CHAR(10)&amp;TEXT($L$40,"0%")</f>
        <v>SELISIH
100%</v>
      </c>
      <c r="R49" s="260" t="str">
        <f>"PER HARI"&amp;CHAR(10)&amp;TEXT($L$40,"0%")</f>
        <v>PER HARI
100%</v>
      </c>
    </row>
    <row r="50" spans="2:21" ht="17" x14ac:dyDescent="0.2">
      <c r="B50" s="239"/>
      <c r="C50" s="23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65"/>
      <c r="M50" s="263"/>
      <c r="N50" s="263"/>
      <c r="O50" s="267"/>
      <c r="P50" s="267"/>
      <c r="Q50" s="261"/>
      <c r="R50" s="261"/>
      <c r="T50" s="172" t="s">
        <v>217</v>
      </c>
      <c r="U50" s="172" t="s">
        <v>218</v>
      </c>
    </row>
    <row r="51" spans="2:21" ht="16" x14ac:dyDescent="0.2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219</v>
      </c>
    </row>
    <row r="52" spans="2:21" ht="16" x14ac:dyDescent="0.2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ht="16" x14ac:dyDescent="0.2">
      <c r="B53" s="136" t="s">
        <v>173</v>
      </c>
      <c r="C53" s="137" t="s">
        <v>174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170</v>
      </c>
      <c r="U53" t="s">
        <v>219</v>
      </c>
    </row>
    <row r="54" spans="2:21" ht="16" x14ac:dyDescent="0.2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219</v>
      </c>
    </row>
    <row r="55" spans="2:21" ht="16" x14ac:dyDescent="0.2">
      <c r="B55" s="50" t="s">
        <v>73</v>
      </c>
      <c r="C55" s="55" t="s">
        <v>191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215</v>
      </c>
      <c r="U55" t="s">
        <v>219</v>
      </c>
    </row>
    <row r="56" spans="2:21" ht="16" x14ac:dyDescent="0.2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184</v>
      </c>
      <c r="U56" t="s">
        <v>219</v>
      </c>
    </row>
    <row r="57" spans="2:21" ht="16" x14ac:dyDescent="0.2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219</v>
      </c>
    </row>
    <row r="58" spans="2:21" ht="16" x14ac:dyDescent="0.2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219</v>
      </c>
    </row>
    <row r="59" spans="2:21" ht="16" x14ac:dyDescent="0.2">
      <c r="B59" s="136" t="s">
        <v>173</v>
      </c>
      <c r="C59" s="137" t="s">
        <v>175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171</v>
      </c>
      <c r="U59" t="s">
        <v>219</v>
      </c>
    </row>
    <row r="60" spans="2:21" ht="16" x14ac:dyDescent="0.2">
      <c r="B60" s="53" t="s">
        <v>80</v>
      </c>
      <c r="C60" s="56" t="s">
        <v>191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216</v>
      </c>
      <c r="U60" t="s">
        <v>219</v>
      </c>
    </row>
    <row r="61" spans="2:21" ht="16" x14ac:dyDescent="0.2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219</v>
      </c>
    </row>
    <row r="62" spans="2:21" ht="16" x14ac:dyDescent="0.2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219</v>
      </c>
    </row>
    <row r="63" spans="2:21" ht="16" x14ac:dyDescent="0.2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219</v>
      </c>
    </row>
    <row r="64" spans="2:21" ht="16" x14ac:dyDescent="0.2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ht="16" x14ac:dyDescent="0.2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">
      <c r="G66" s="111"/>
      <c r="H66" s="111"/>
      <c r="I66" s="111"/>
    </row>
    <row r="67" spans="2:21" ht="19" customHeight="1" x14ac:dyDescent="0.2">
      <c r="B67" s="241" t="s">
        <v>144</v>
      </c>
      <c r="C67" s="242"/>
      <c r="D67" s="242"/>
      <c r="E67" s="242"/>
      <c r="F67" s="292"/>
      <c r="G67" s="247" t="s">
        <v>187</v>
      </c>
      <c r="H67" s="248"/>
      <c r="I67" s="248"/>
      <c r="J67" s="248"/>
      <c r="K67" s="248"/>
      <c r="L67" s="249"/>
    </row>
    <row r="68" spans="2:21" ht="30" x14ac:dyDescent="0.2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6" x14ac:dyDescent="0.2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ht="16" x14ac:dyDescent="0.2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ht="16" x14ac:dyDescent="0.2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t="16" hidden="1" x14ac:dyDescent="0.2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t="16" hidden="1" x14ac:dyDescent="0.2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6" x14ac:dyDescent="0.2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" customHeight="1" x14ac:dyDescent="0.2">
      <c r="B77" s="244" t="s">
        <v>172</v>
      </c>
      <c r="C77" s="245"/>
      <c r="D77" s="246"/>
    </row>
    <row r="78" spans="2:21" ht="17" x14ac:dyDescent="0.2">
      <c r="B78" s="239" t="s">
        <v>41</v>
      </c>
      <c r="C78" s="239" t="s">
        <v>42</v>
      </c>
      <c r="D78" s="231" t="s">
        <v>138</v>
      </c>
    </row>
    <row r="79" spans="2:21" ht="17" x14ac:dyDescent="0.2">
      <c r="B79" s="240"/>
      <c r="C79" s="240"/>
      <c r="D79" s="70" t="s">
        <v>169</v>
      </c>
      <c r="T79" s="172" t="s">
        <v>217</v>
      </c>
      <c r="U79" s="172" t="s">
        <v>218</v>
      </c>
    </row>
    <row r="80" spans="2:21" ht="16" x14ac:dyDescent="0.2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ht="16" x14ac:dyDescent="0.2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ht="16" x14ac:dyDescent="0.2">
      <c r="B82" s="53" t="s">
        <v>173</v>
      </c>
      <c r="C82" s="56" t="s">
        <v>174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ht="16" x14ac:dyDescent="0.2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ht="16" x14ac:dyDescent="0.2">
      <c r="B84" s="53" t="s">
        <v>73</v>
      </c>
      <c r="C84" s="56" t="s">
        <v>191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ht="16" x14ac:dyDescent="0.2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ht="16" x14ac:dyDescent="0.2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ht="16" x14ac:dyDescent="0.2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ht="16" x14ac:dyDescent="0.2">
      <c r="B88" s="53" t="s">
        <v>173</v>
      </c>
      <c r="C88" s="56" t="s">
        <v>175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ht="16" x14ac:dyDescent="0.2">
      <c r="B89" s="53" t="s">
        <v>80</v>
      </c>
      <c r="C89" s="56" t="s">
        <v>191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ht="16" x14ac:dyDescent="0.2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ht="16" x14ac:dyDescent="0.2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ht="16" x14ac:dyDescent="0.2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ht="16" x14ac:dyDescent="0.2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ht="16" x14ac:dyDescent="0.2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 xr:uid="{00000000-0002-0000-0900-000000000000}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U95"/>
  <sheetViews>
    <sheetView showGridLines="0" tabSelected="1" topLeftCell="A52" zoomScale="115" zoomScaleNormal="100" workbookViewId="0">
      <selection activeCell="G79" sqref="G79"/>
    </sheetView>
  </sheetViews>
  <sheetFormatPr baseColWidth="10" defaultColWidth="8.6640625" defaultRowHeight="15" x14ac:dyDescent="0.2"/>
  <cols>
    <col min="1" max="1" width="2" customWidth="1"/>
    <col min="2" max="2" width="37.5" customWidth="1"/>
    <col min="3" max="3" width="16.33203125" customWidth="1"/>
    <col min="4" max="18" width="16.5" customWidth="1"/>
  </cols>
  <sheetData>
    <row r="1" spans="2:15" ht="19" customHeight="1" x14ac:dyDescent="0.2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">
      <c r="G2" s="221" t="s">
        <v>193</v>
      </c>
      <c r="H2" s="111"/>
      <c r="I2" s="111"/>
      <c r="J2" s="217">
        <f ca="1">E3</f>
        <v>30</v>
      </c>
    </row>
    <row r="3" spans="2:15" ht="16" customHeight="1" x14ac:dyDescent="0.2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">
      <c r="G4" s="221" t="s">
        <v>195</v>
      </c>
      <c r="H4" s="111"/>
      <c r="I4" s="111"/>
      <c r="J4" s="218">
        <v>0</v>
      </c>
    </row>
    <row r="5" spans="2:15" ht="15" customHeight="1" x14ac:dyDescent="0.2">
      <c r="G5" s="221" t="s">
        <v>196</v>
      </c>
      <c r="H5" s="111"/>
      <c r="I5" s="111"/>
      <c r="J5" s="218"/>
    </row>
    <row r="6" spans="2:15" ht="15" customHeight="1" x14ac:dyDescent="0.2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210</v>
      </c>
    </row>
    <row r="7" spans="2:15" ht="15" customHeight="1" x14ac:dyDescent="0.2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">
      <c r="B10" s="72" t="s">
        <v>112</v>
      </c>
      <c r="C10" s="15">
        <v>11593886.506886</v>
      </c>
      <c r="D10" s="15">
        <v>2662865.14</v>
      </c>
      <c r="E10" s="15">
        <v>11099900.843951</v>
      </c>
      <c r="F10" s="15">
        <v>15505405.379993999</v>
      </c>
      <c r="G10" s="15">
        <v>40862057.870830998</v>
      </c>
      <c r="H10" s="111"/>
      <c r="I10" s="111"/>
      <c r="M10" s="11"/>
      <c r="N10" s="11"/>
      <c r="O10" s="171"/>
    </row>
    <row r="11" spans="2:15" ht="15" customHeight="1" x14ac:dyDescent="0.2">
      <c r="B11" s="72" t="s">
        <v>183</v>
      </c>
      <c r="C11" s="15">
        <v>2250000</v>
      </c>
      <c r="D11" s="15" t="s">
        <v>166</v>
      </c>
      <c r="E11" s="15">
        <v>11936936.999949999</v>
      </c>
      <c r="F11" s="15"/>
      <c r="G11" s="15">
        <v>14186936.999949999</v>
      </c>
      <c r="H11" s="111"/>
      <c r="I11" s="111"/>
      <c r="M11" s="11"/>
      <c r="N11" s="11"/>
      <c r="O11" s="171"/>
    </row>
    <row r="12" spans="2:15" ht="15" customHeight="1" x14ac:dyDescent="0.2">
      <c r="B12" s="72" t="s">
        <v>70</v>
      </c>
      <c r="C12" s="15">
        <v>23833729.459924001</v>
      </c>
      <c r="D12" s="15">
        <v>5688770.3097829996</v>
      </c>
      <c r="E12" s="15">
        <v>10342027.439937999</v>
      </c>
      <c r="F12" s="15" t="s">
        <v>166</v>
      </c>
      <c r="G12" s="15">
        <v>39864527.209645003</v>
      </c>
      <c r="H12" s="111"/>
      <c r="I12" s="111"/>
      <c r="M12" s="11"/>
      <c r="N12" s="11"/>
      <c r="O12" s="171"/>
    </row>
    <row r="13" spans="2:15" ht="15" customHeight="1" x14ac:dyDescent="0.2">
      <c r="B13" s="72" t="s">
        <v>114</v>
      </c>
      <c r="C13" s="15">
        <v>5922405.6749379998</v>
      </c>
      <c r="D13" s="15">
        <v>1048977.48</v>
      </c>
      <c r="E13" s="15">
        <v>10612567.579998</v>
      </c>
      <c r="F13" s="15">
        <v>2216216.2999999998</v>
      </c>
      <c r="G13" s="15">
        <v>19800167.034936</v>
      </c>
      <c r="H13" s="111"/>
      <c r="I13" s="111"/>
      <c r="M13" s="11"/>
      <c r="N13" s="11"/>
      <c r="O13" s="171"/>
    </row>
    <row r="14" spans="2:15" ht="15" customHeight="1" x14ac:dyDescent="0.2">
      <c r="B14" s="72" t="s">
        <v>115</v>
      </c>
      <c r="C14" s="15">
        <v>31296920.275835998</v>
      </c>
      <c r="D14" s="15">
        <v>6245670.6699999999</v>
      </c>
      <c r="E14" s="15">
        <v>11979135.229971001</v>
      </c>
      <c r="F14" s="15">
        <v>31895856.619964998</v>
      </c>
      <c r="G14" s="15">
        <v>81417582.795772001</v>
      </c>
      <c r="H14" s="111"/>
      <c r="I14" s="111"/>
      <c r="M14" s="11"/>
      <c r="N14" s="11"/>
      <c r="O14" s="171"/>
    </row>
    <row r="15" spans="2:15" ht="15" customHeight="1" x14ac:dyDescent="0.2">
      <c r="B15" s="72" t="s">
        <v>118</v>
      </c>
      <c r="C15" s="15">
        <v>6624198.3202</v>
      </c>
      <c r="D15" s="15">
        <v>414519.24999899999</v>
      </c>
      <c r="E15" s="15">
        <v>40540.53</v>
      </c>
      <c r="F15" s="15">
        <v>162162.17000000001</v>
      </c>
      <c r="G15" s="15">
        <v>7241420.2701989999</v>
      </c>
      <c r="H15" s="111"/>
      <c r="I15" s="111"/>
      <c r="M15" s="11"/>
      <c r="N15" s="11"/>
      <c r="O15" s="171"/>
    </row>
    <row r="16" spans="2:15" ht="15" customHeight="1" x14ac:dyDescent="0.2">
      <c r="B16" s="72" t="s">
        <v>120</v>
      </c>
      <c r="C16" s="15">
        <v>23561792.318969999</v>
      </c>
      <c r="D16" s="15">
        <v>4630342.1999840001</v>
      </c>
      <c r="E16" s="15">
        <v>10412837.909964999</v>
      </c>
      <c r="F16" s="15">
        <v>8816216.1600000001</v>
      </c>
      <c r="G16" s="15">
        <v>47421188.588918999</v>
      </c>
      <c r="H16" s="111"/>
      <c r="I16" s="111"/>
      <c r="M16" s="11"/>
      <c r="N16" s="11"/>
      <c r="O16" s="171"/>
    </row>
    <row r="17" spans="2:15" ht="15" customHeight="1" x14ac:dyDescent="0.2">
      <c r="B17" s="72" t="s">
        <v>122</v>
      </c>
      <c r="C17" s="15">
        <v>8054068.1119520003</v>
      </c>
      <c r="D17" s="15">
        <v>1113513.54</v>
      </c>
      <c r="E17" s="15">
        <v>4223873.6399999997</v>
      </c>
      <c r="F17" s="15" t="s">
        <v>166</v>
      </c>
      <c r="G17" s="15">
        <v>13391455.291952001</v>
      </c>
      <c r="H17" s="111"/>
      <c r="I17" s="111"/>
      <c r="J17" s="111"/>
      <c r="M17" s="11"/>
      <c r="N17" s="11"/>
      <c r="O17" s="171"/>
    </row>
    <row r="18" spans="2:15" ht="15" customHeight="1" x14ac:dyDescent="0.2">
      <c r="B18" s="72" t="s">
        <v>123</v>
      </c>
      <c r="C18" s="15">
        <v>1055650</v>
      </c>
      <c r="D18" s="15">
        <v>1446206</v>
      </c>
      <c r="E18" s="15">
        <v>1744420</v>
      </c>
      <c r="F18" s="15">
        <v>10205405.640000001</v>
      </c>
      <c r="G18" s="15">
        <v>14451681.640000001</v>
      </c>
      <c r="H18" s="111"/>
      <c r="I18" s="111"/>
      <c r="J18" s="111"/>
      <c r="M18" s="11"/>
      <c r="N18" s="11"/>
      <c r="O18" s="171"/>
    </row>
    <row r="19" spans="2:15" ht="15" customHeight="1" x14ac:dyDescent="0.2">
      <c r="B19" s="72" t="s">
        <v>170</v>
      </c>
      <c r="C19" s="15"/>
      <c r="D19" s="15"/>
      <c r="E19" s="15"/>
      <c r="F19" s="15"/>
      <c r="G19" s="15"/>
      <c r="H19" s="111"/>
      <c r="I19" s="111"/>
      <c r="J19" s="111"/>
      <c r="M19" s="11"/>
      <c r="N19" s="11"/>
      <c r="O19" s="171"/>
    </row>
    <row r="20" spans="2:15" ht="15" customHeight="1" x14ac:dyDescent="0.2">
      <c r="B20" s="72" t="s">
        <v>171</v>
      </c>
      <c r="C20" s="15">
        <v>11726827.539999999</v>
      </c>
      <c r="D20" s="15" t="s">
        <v>166</v>
      </c>
      <c r="E20" s="15" t="s">
        <v>166</v>
      </c>
      <c r="F20" s="15" t="s">
        <v>166</v>
      </c>
      <c r="G20" s="15">
        <v>11726827.539999999</v>
      </c>
      <c r="H20" s="111"/>
      <c r="I20" s="111"/>
      <c r="J20" s="111"/>
      <c r="M20" s="14">
        <f>SUM(C30,C35)+M7</f>
        <v>0</v>
      </c>
      <c r="N20" s="10" t="s">
        <v>224</v>
      </c>
    </row>
    <row r="21" spans="2:15" ht="15" customHeight="1" x14ac:dyDescent="0.2">
      <c r="B21" s="72" t="s">
        <v>124</v>
      </c>
      <c r="C21" s="15">
        <v>13464387.055478999</v>
      </c>
      <c r="D21" s="15">
        <v>3753482.019998</v>
      </c>
      <c r="E21" s="15">
        <v>10275810.839976</v>
      </c>
      <c r="F21" s="15">
        <v>10901802.140000001</v>
      </c>
      <c r="G21" s="15">
        <v>38395482.055453002</v>
      </c>
      <c r="H21" s="111"/>
      <c r="I21" s="111"/>
      <c r="J21" s="111"/>
      <c r="M21" s="14">
        <f>SUM(C33,C34)+M20</f>
        <v>41616486.679724999</v>
      </c>
      <c r="N21" s="10" t="s">
        <v>225</v>
      </c>
    </row>
    <row r="22" spans="2:15" ht="15" customHeight="1" x14ac:dyDescent="0.2">
      <c r="B22" s="72" t="s">
        <v>125</v>
      </c>
      <c r="C22" s="15">
        <v>10463048.682995001</v>
      </c>
      <c r="D22" s="15">
        <v>3429000</v>
      </c>
      <c r="E22" s="15">
        <v>9211801.8739749994</v>
      </c>
      <c r="F22" s="15">
        <v>15783784.109965</v>
      </c>
      <c r="G22" s="15">
        <v>38887634.666934997</v>
      </c>
      <c r="H22" s="111"/>
      <c r="I22" s="111"/>
      <c r="J22" s="111"/>
    </row>
    <row r="23" spans="2:15" ht="15" customHeight="1" x14ac:dyDescent="0.2">
      <c r="B23" s="72" t="s">
        <v>126</v>
      </c>
      <c r="C23" s="15">
        <v>24512838.195022002</v>
      </c>
      <c r="D23" s="15">
        <v>1843234.24</v>
      </c>
      <c r="E23" s="15">
        <v>13657342.49997</v>
      </c>
      <c r="F23" s="15">
        <v>59667568.499966003</v>
      </c>
      <c r="G23" s="15">
        <v>99680983.434957996</v>
      </c>
      <c r="H23" s="111"/>
      <c r="I23" s="111"/>
      <c r="J23" s="111"/>
    </row>
    <row r="24" spans="2:15" ht="15" customHeight="1" x14ac:dyDescent="0.2">
      <c r="B24" s="72" t="s">
        <v>184</v>
      </c>
      <c r="C24" s="15">
        <v>2209063.110992</v>
      </c>
      <c r="D24" s="15">
        <v>2162500</v>
      </c>
      <c r="E24" s="15">
        <v>8865446.4699659999</v>
      </c>
      <c r="F24" s="15">
        <v>9729729.5999999996</v>
      </c>
      <c r="G24" s="15">
        <v>22966739.180957999</v>
      </c>
      <c r="H24" s="111"/>
      <c r="I24" s="111"/>
      <c r="J24" s="111"/>
    </row>
    <row r="25" spans="2:15" ht="15" customHeight="1" x14ac:dyDescent="0.2">
      <c r="B25" s="72" t="s">
        <v>221</v>
      </c>
      <c r="C25" s="15">
        <v>10401487.573958</v>
      </c>
      <c r="D25" s="15">
        <v>9980036.3164300006</v>
      </c>
      <c r="E25" s="15">
        <v>4519851.3599960003</v>
      </c>
      <c r="F25" s="15" t="s">
        <v>166</v>
      </c>
      <c r="G25" s="15">
        <v>24901375.250383999</v>
      </c>
      <c r="H25" s="111"/>
      <c r="I25" s="111"/>
      <c r="J25" s="111"/>
    </row>
    <row r="26" spans="2:15" ht="15" customHeight="1" x14ac:dyDescent="0.2">
      <c r="B26" s="72" t="s">
        <v>127</v>
      </c>
      <c r="C26" s="15">
        <v>7172302.6099969996</v>
      </c>
      <c r="D26" s="15">
        <v>2730000</v>
      </c>
      <c r="E26" s="15">
        <v>25968474.319915</v>
      </c>
      <c r="F26" s="15" t="s">
        <v>166</v>
      </c>
      <c r="G26" s="15">
        <v>35870776.929912001</v>
      </c>
      <c r="H26" s="111"/>
      <c r="I26" s="111"/>
      <c r="J26" s="111"/>
    </row>
    <row r="27" spans="2:15" ht="15" customHeight="1" x14ac:dyDescent="0.2">
      <c r="G27" s="111"/>
      <c r="H27" s="111"/>
      <c r="I27" s="111"/>
    </row>
    <row r="28" spans="2:15" ht="15" customHeight="1" x14ac:dyDescent="0.2">
      <c r="B28" s="79" t="s">
        <v>128</v>
      </c>
      <c r="C28" s="79"/>
      <c r="G28" s="111"/>
      <c r="H28" s="111"/>
      <c r="I28" s="111"/>
    </row>
    <row r="29" spans="2:15" ht="15" customHeight="1" x14ac:dyDescent="0.2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">
      <c r="B30" s="73"/>
      <c r="C30" s="107"/>
      <c r="G30" s="111"/>
      <c r="H30" s="111"/>
      <c r="I30" s="111"/>
    </row>
    <row r="31" spans="2:15" ht="15" customHeight="1" x14ac:dyDescent="0.2">
      <c r="B31" s="81" t="s">
        <v>131</v>
      </c>
      <c r="C31" s="15">
        <v>4212837.8499999996</v>
      </c>
      <c r="G31" s="111"/>
      <c r="H31" s="111"/>
      <c r="I31" s="111"/>
    </row>
    <row r="32" spans="2:15" ht="15" customHeight="1" x14ac:dyDescent="0.2">
      <c r="B32" s="81" t="s">
        <v>132</v>
      </c>
      <c r="C32" s="15">
        <v>7640351.6199500002</v>
      </c>
      <c r="G32" s="111"/>
      <c r="H32" s="111"/>
      <c r="I32" s="111"/>
    </row>
    <row r="33" spans="2:19" ht="15" customHeight="1" x14ac:dyDescent="0.2">
      <c r="B33" s="81" t="s">
        <v>133</v>
      </c>
      <c r="C33" s="15">
        <v>29286757.199845001</v>
      </c>
      <c r="G33" s="111"/>
      <c r="H33" s="111"/>
      <c r="I33" s="111"/>
    </row>
    <row r="34" spans="2:19" ht="15" customHeight="1" x14ac:dyDescent="0.2">
      <c r="B34" s="81" t="s">
        <v>134</v>
      </c>
      <c r="C34" s="15">
        <v>12329729.47988</v>
      </c>
      <c r="G34" s="111"/>
      <c r="H34" s="111"/>
      <c r="I34" s="111"/>
    </row>
    <row r="35" spans="2:19" ht="15" customHeight="1" x14ac:dyDescent="0.2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">
      <c r="B36" s="81"/>
      <c r="C36" s="82"/>
      <c r="G36" s="111"/>
      <c r="H36" s="111"/>
      <c r="I36" s="111"/>
    </row>
    <row r="37" spans="2:19" ht="15" customHeight="1" x14ac:dyDescent="0.2">
      <c r="B37" s="73"/>
      <c r="C37" s="82"/>
      <c r="G37" s="111"/>
      <c r="H37" s="111"/>
      <c r="I37" s="111"/>
    </row>
    <row r="38" spans="2:19" ht="15" customHeight="1" x14ac:dyDescent="0.2">
      <c r="G38" s="111"/>
      <c r="H38" s="111"/>
      <c r="I38" s="111"/>
    </row>
    <row r="39" spans="2:19" ht="15" customHeight="1" x14ac:dyDescent="0.2">
      <c r="G39" s="111"/>
      <c r="H39" s="111"/>
      <c r="I39" s="111"/>
      <c r="S39" s="172" t="s">
        <v>186</v>
      </c>
    </row>
    <row r="40" spans="2:19" ht="20" customHeight="1" x14ac:dyDescent="0.2">
      <c r="B40" s="234" t="s">
        <v>162</v>
      </c>
      <c r="C40" s="235"/>
      <c r="D40" s="236"/>
      <c r="E40" s="66" t="s">
        <v>137</v>
      </c>
      <c r="F40" s="174">
        <f ca="1">IF(MONTH(TODAY())=9,DAY(TODAY())/DAY(EOMONTH(TODAY(),0)),IF(MONTH(TODAY())&gt;9,1,0))</f>
        <v>3.3333333333333333E-2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6" customHeight="1" x14ac:dyDescent="0.2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187518407.11694905</v>
      </c>
      <c r="F42" s="176">
        <f>IFERROR(E42/D42,0)</f>
        <v>4.15619015876059E-2</v>
      </c>
      <c r="G42" s="184">
        <f>D42*$H$40-E42</f>
        <v>3873089023.2125077</v>
      </c>
      <c r="H42" s="184">
        <f ca="1">IFERROR(G42/$C$3,0)</f>
        <v>148964962.4312503</v>
      </c>
      <c r="I42" s="204">
        <f>D42*$J$40-E42</f>
        <v>4098678324.8974771</v>
      </c>
      <c r="J42" s="204">
        <f ca="1">IFERROR(I42/$C$3,0)</f>
        <v>157641474.03451836</v>
      </c>
      <c r="K42" s="185">
        <f>D42*$L$40-E42</f>
        <v>4324267626.5824471</v>
      </c>
      <c r="L42" s="185">
        <f ca="1">IFERROR(K42/$C$3,0)</f>
        <v>166317985.63778642</v>
      </c>
      <c r="S42" s="173">
        <v>0.8</v>
      </c>
    </row>
    <row r="43" spans="2:19" ht="16" customHeight="1" x14ac:dyDescent="0.2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46734597.916195005</v>
      </c>
      <c r="F43" s="176">
        <f>IFERROR(E43/D43,0)</f>
        <v>3.3349332658310388E-2</v>
      </c>
      <c r="G43" s="184">
        <f>D43*$H$40-E43</f>
        <v>1214494181.5476785</v>
      </c>
      <c r="H43" s="184">
        <f ca="1">IFERROR(G43/$C$3,0)</f>
        <v>46711314.674910709</v>
      </c>
      <c r="I43" s="204">
        <f>D43*$J$40-E43</f>
        <v>1284562447.0734491</v>
      </c>
      <c r="J43" s="204">
        <f ca="1">IFERROR(I43/$C$3,0)</f>
        <v>49406247.964363426</v>
      </c>
      <c r="K43" s="185">
        <f>D43*$L$40-E43</f>
        <v>1354630712.59922</v>
      </c>
      <c r="L43" s="185">
        <f ca="1">IFERROR(K43/$C$3,0)</f>
        <v>52101181.253816158</v>
      </c>
      <c r="S43" s="173">
        <v>0.85</v>
      </c>
    </row>
    <row r="44" spans="2:19" ht="16" customHeight="1" x14ac:dyDescent="0.2">
      <c r="B44" s="109" t="s">
        <v>209</v>
      </c>
      <c r="C44" s="41" t="s">
        <v>143</v>
      </c>
      <c r="D44" s="45">
        <f>SUM(TARGETS!AD5:AD18)</f>
        <v>2944814196.3286853</v>
      </c>
      <c r="E44" s="46">
        <f>J65</f>
        <v>144850427.00757098</v>
      </c>
      <c r="F44" s="176">
        <f>IFERROR(E44/D44,0)</f>
        <v>4.9188307767653643E-2</v>
      </c>
      <c r="G44" s="184">
        <f>IF(D44=0,0,D44*$H$40-E44)</f>
        <v>2505482349.6882458</v>
      </c>
      <c r="H44" s="184">
        <f ca="1">IFERROR(G44/$C$3,0)</f>
        <v>96364705.757240221</v>
      </c>
      <c r="I44" s="204">
        <f>IF(D44=0,0,D44*$J$40-E44)</f>
        <v>2652723059.5046797</v>
      </c>
      <c r="J44" s="204">
        <f ca="1">IFERROR(I44/$C$3,0)</f>
        <v>102027809.98094922</v>
      </c>
      <c r="K44" s="185">
        <f>IF(D44=0,0,D44*$L$40-E44)</f>
        <v>2799963769.3211145</v>
      </c>
      <c r="L44" s="185">
        <f ca="1">IFERROR(K44/$C$3,0)</f>
        <v>107690914.20465825</v>
      </c>
      <c r="S44" s="173">
        <v>0.9</v>
      </c>
    </row>
    <row r="45" spans="2:19" ht="16" customHeight="1" x14ac:dyDescent="0.2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53469676.149674997</v>
      </c>
      <c r="F45" s="176">
        <f>IFERROR(E45/D45,0)</f>
        <v>3.0722185562771696E-2</v>
      </c>
      <c r="G45" s="184">
        <f>D45*$H$40-E45</f>
        <v>1512913302.5737295</v>
      </c>
      <c r="H45" s="184">
        <f ca="1">IFERROR(G45/$C$3,0)</f>
        <v>58188973.175912671</v>
      </c>
      <c r="I45" s="204">
        <f>D45*$J$40-E45</f>
        <v>1599934579.1694739</v>
      </c>
      <c r="J45" s="204">
        <f ca="1">IFERROR(I45/$C$3,0)</f>
        <v>61535945.35267207</v>
      </c>
      <c r="K45" s="185">
        <f>D45*$L$40-E45</f>
        <v>1686955855.7652187</v>
      </c>
      <c r="L45" s="185">
        <f ca="1">IFERROR(K45/$C$3,0)</f>
        <v>64882917.529431492</v>
      </c>
      <c r="S45" s="173">
        <v>0.95</v>
      </c>
    </row>
    <row r="46" spans="2:19" ht="15" customHeight="1" x14ac:dyDescent="0.2">
      <c r="B46" s="237" t="s">
        <v>145</v>
      </c>
      <c r="C46" s="238"/>
      <c r="D46" s="47">
        <f>SUM(D42:D45)</f>
        <v>10598391072.458391</v>
      </c>
      <c r="E46" s="47">
        <f>SUM(E42:E45)</f>
        <v>432573108.19039005</v>
      </c>
      <c r="F46" s="177">
        <f>IFERROR(E46/D46,0)</f>
        <v>4.0814978918309611E-2</v>
      </c>
      <c r="G46" s="181">
        <f>SUM(G42:G45)</f>
        <v>9105978857.0221615</v>
      </c>
      <c r="H46" s="181">
        <f ca="1">IFERROR(G46/$C$3,0)</f>
        <v>350229956.03931391</v>
      </c>
      <c r="I46" s="186">
        <f>SUM(I42:I45)</f>
        <v>9635898410.6450806</v>
      </c>
      <c r="J46" s="186">
        <f ca="1">IFERROR(I46/$C$3,0)</f>
        <v>370611477.33250308</v>
      </c>
      <c r="K46" s="186">
        <f>SUM(K42:K45)</f>
        <v>10165817964.268002</v>
      </c>
      <c r="L46" s="186">
        <f ca="1">IFERROR(K46/$C$3,0)</f>
        <v>390992998.62569237</v>
      </c>
      <c r="S46" s="173">
        <v>1</v>
      </c>
    </row>
    <row r="47" spans="2:19" ht="15" customHeight="1" x14ac:dyDescent="0.2">
      <c r="G47" s="111"/>
      <c r="H47" s="111"/>
      <c r="I47" s="111"/>
      <c r="S47" s="173"/>
    </row>
    <row r="48" spans="2:19" ht="19" customHeight="1" x14ac:dyDescent="0.2">
      <c r="B48" s="250" t="s">
        <v>146</v>
      </c>
      <c r="C48" s="251"/>
      <c r="D48" s="251"/>
      <c r="E48" s="251"/>
      <c r="F48" s="251"/>
      <c r="G48" s="251"/>
      <c r="H48" s="251"/>
      <c r="I48" s="251"/>
      <c r="J48" s="251"/>
      <c r="K48" s="251"/>
      <c r="L48" s="252"/>
      <c r="M48" s="247" t="s">
        <v>187</v>
      </c>
      <c r="N48" s="248"/>
      <c r="O48" s="248"/>
      <c r="P48" s="248"/>
      <c r="Q48" s="248"/>
      <c r="R48" s="249"/>
    </row>
    <row r="49" spans="2:21" ht="17" customHeight="1" x14ac:dyDescent="0.2">
      <c r="B49" s="253" t="s">
        <v>41</v>
      </c>
      <c r="C49" s="253" t="s">
        <v>42</v>
      </c>
      <c r="D49" s="254" t="s">
        <v>137</v>
      </c>
      <c r="E49" s="255"/>
      <c r="F49" s="255"/>
      <c r="G49" s="256"/>
      <c r="H49" s="257" t="s">
        <v>138</v>
      </c>
      <c r="I49" s="258"/>
      <c r="J49" s="258"/>
      <c r="K49" s="259"/>
      <c r="L49" s="264" t="s">
        <v>139</v>
      </c>
      <c r="M49" s="262" t="str">
        <f>"SELISIH"&amp;CHAR(10)&amp;TEXT($H$40,"0%")</f>
        <v>SELISIH
90%</v>
      </c>
      <c r="N49" s="262" t="str">
        <f>"PER HARI"&amp;CHAR(10)&amp;TEXT($H$40,"0%")</f>
        <v>PER HARI
90%</v>
      </c>
      <c r="O49" s="266" t="str">
        <f>"SELISIH"&amp;CHAR(10)&amp;TEXT($J$40,"0%")</f>
        <v>SELISIH
95%</v>
      </c>
      <c r="P49" s="266" t="str">
        <f>"PER HARI"&amp;CHAR(10)&amp;TEXT($J$40,"0%")</f>
        <v>PER HARI
95%</v>
      </c>
      <c r="Q49" s="260" t="str">
        <f>"SELISIH"&amp;CHAR(10)&amp;TEXT($L$40,"0%")</f>
        <v>SELISIH
100%</v>
      </c>
      <c r="R49" s="260" t="str">
        <f>"PER HARI"&amp;CHAR(10)&amp;TEXT($L$40,"0%")</f>
        <v>PER HARI
100%</v>
      </c>
    </row>
    <row r="50" spans="2:21" ht="17" customHeight="1" x14ac:dyDescent="0.2">
      <c r="B50" s="239"/>
      <c r="C50" s="23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65"/>
      <c r="M50" s="263"/>
      <c r="N50" s="263"/>
      <c r="O50" s="267"/>
      <c r="P50" s="267"/>
      <c r="Q50" s="261"/>
      <c r="R50" s="261"/>
      <c r="T50" s="178" t="s">
        <v>217</v>
      </c>
      <c r="U50" s="178" t="s">
        <v>218</v>
      </c>
    </row>
    <row r="51" spans="2:21" ht="16" customHeight="1" x14ac:dyDescent="0.2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13464387.055478999</v>
      </c>
      <c r="I51" s="114">
        <f t="shared" ref="I51:I64" si="1">SUMIF($B$10:$B$26,$T51,D$10:D$26)+SUMIF($B$10:$B$26,$U51,D$10:D$26)</f>
        <v>3753482.019998</v>
      </c>
      <c r="J51" s="114">
        <f t="shared" ref="J51:J64" si="2">SUMIF($B$10:$B$26,$T51,E$10:E$26)+SUMIF($B$10:$B$26,$U51,E$10:E$26)</f>
        <v>10275810.839976</v>
      </c>
      <c r="K51" s="114">
        <f t="shared" ref="K51:K64" si="3">SUM(H51:J51)</f>
        <v>27493679.915453002</v>
      </c>
      <c r="L51" s="187">
        <f t="shared" ref="L51:L65" si="4">IFERROR(K51/G51,0)</f>
        <v>5.3451430839767881E-2</v>
      </c>
      <c r="M51" s="184">
        <f t="shared" ref="M51:M64" si="5">G51*$H$40-K51</f>
        <v>435437087.98268014</v>
      </c>
      <c r="N51" s="184">
        <f t="shared" ref="N51:N65" ca="1" si="6">IFERROR(M51/$C$3,0)</f>
        <v>16747580.307026159</v>
      </c>
      <c r="O51" s="180">
        <f t="shared" ref="O51:O64" si="7">G51*$J$40-K51</f>
        <v>461155463.9770208</v>
      </c>
      <c r="P51" s="180">
        <f t="shared" ref="P51:P65" ca="1" si="8">IFERROR(O51/$C$3,0)</f>
        <v>17736748.614500798</v>
      </c>
      <c r="Q51" s="185">
        <f t="shared" ref="Q51:Q64" si="9">G51*$L$40-K51</f>
        <v>486873839.97136158</v>
      </c>
      <c r="R51" s="185">
        <f t="shared" ref="R51:R65" ca="1" si="10">IFERROR(Q51/$C$3,0)</f>
        <v>18725916.921975445</v>
      </c>
      <c r="T51" t="s">
        <v>124</v>
      </c>
      <c r="U51" t="s">
        <v>219</v>
      </c>
    </row>
    <row r="52" spans="2:21" ht="16" customHeight="1" x14ac:dyDescent="0.2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29756135.134862002</v>
      </c>
      <c r="I52" s="114">
        <f t="shared" si="1"/>
        <v>6737747.7897829991</v>
      </c>
      <c r="J52" s="114">
        <f t="shared" si="2"/>
        <v>20954595.019935999</v>
      </c>
      <c r="K52" s="114">
        <f t="shared" si="3"/>
        <v>57448477.944581002</v>
      </c>
      <c r="L52" s="187">
        <f t="shared" si="4"/>
        <v>7.3133967411303166E-2</v>
      </c>
      <c r="M52" s="184">
        <f t="shared" si="5"/>
        <v>649523015.3335464</v>
      </c>
      <c r="N52" s="184">
        <f t="shared" ca="1" si="6"/>
        <v>24981654.435905632</v>
      </c>
      <c r="O52" s="180">
        <f t="shared" si="7"/>
        <v>688799209.40455341</v>
      </c>
      <c r="P52" s="180">
        <f t="shared" ca="1" si="8"/>
        <v>26492277.284790516</v>
      </c>
      <c r="Q52" s="185">
        <f t="shared" si="9"/>
        <v>728075403.47556055</v>
      </c>
      <c r="R52" s="185">
        <f t="shared" ca="1" si="10"/>
        <v>28002900.133675404</v>
      </c>
      <c r="T52" t="s">
        <v>70</v>
      </c>
      <c r="U52" t="s">
        <v>114</v>
      </c>
    </row>
    <row r="53" spans="2:21" ht="16" customHeight="1" x14ac:dyDescent="0.2">
      <c r="B53" s="136" t="s">
        <v>173</v>
      </c>
      <c r="C53" s="137" t="s">
        <v>174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0</v>
      </c>
      <c r="I53" s="114">
        <f t="shared" si="1"/>
        <v>0</v>
      </c>
      <c r="J53" s="114">
        <f t="shared" si="2"/>
        <v>0</v>
      </c>
      <c r="K53" s="114">
        <f t="shared" si="3"/>
        <v>0</v>
      </c>
      <c r="L53" s="187">
        <f t="shared" si="4"/>
        <v>0</v>
      </c>
      <c r="M53" s="184">
        <f t="shared" si="5"/>
        <v>236657794.55670968</v>
      </c>
      <c r="N53" s="184">
        <f t="shared" ca="1" si="6"/>
        <v>9102222.8675657567</v>
      </c>
      <c r="O53" s="180">
        <f t="shared" si="7"/>
        <v>249805449.8098602</v>
      </c>
      <c r="P53" s="180">
        <f t="shared" ca="1" si="8"/>
        <v>9607901.9157638531</v>
      </c>
      <c r="Q53" s="185">
        <f t="shared" si="9"/>
        <v>262953105.06301075</v>
      </c>
      <c r="R53" s="185">
        <f t="shared" ca="1" si="10"/>
        <v>10113580.963961951</v>
      </c>
      <c r="T53" t="s">
        <v>170</v>
      </c>
      <c r="U53" t="s">
        <v>219</v>
      </c>
    </row>
    <row r="54" spans="2:21" ht="16" customHeight="1" x14ac:dyDescent="0.2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31296920.275835998</v>
      </c>
      <c r="I54" s="114">
        <f t="shared" si="1"/>
        <v>6245670.6699999999</v>
      </c>
      <c r="J54" s="114">
        <f t="shared" si="2"/>
        <v>11979135.229971001</v>
      </c>
      <c r="K54" s="114">
        <f t="shared" si="3"/>
        <v>49521726.175806999</v>
      </c>
      <c r="L54" s="187">
        <f t="shared" si="4"/>
        <v>6.8148682220862067E-2</v>
      </c>
      <c r="M54" s="184">
        <f t="shared" si="5"/>
        <v>604482901.73147202</v>
      </c>
      <c r="N54" s="184">
        <f t="shared" ca="1" si="6"/>
        <v>23249342.374287385</v>
      </c>
      <c r="O54" s="180">
        <f t="shared" si="7"/>
        <v>640816492.17076528</v>
      </c>
      <c r="P54" s="180">
        <f t="shared" ca="1" si="8"/>
        <v>24646788.160414048</v>
      </c>
      <c r="Q54" s="185">
        <f t="shared" si="9"/>
        <v>677150082.61005855</v>
      </c>
      <c r="R54" s="185">
        <f t="shared" ca="1" si="10"/>
        <v>26044233.946540713</v>
      </c>
      <c r="T54" t="s">
        <v>115</v>
      </c>
      <c r="U54" t="s">
        <v>219</v>
      </c>
    </row>
    <row r="55" spans="2:21" ht="16" customHeight="1" x14ac:dyDescent="0.2">
      <c r="B55" s="50" t="s">
        <v>73</v>
      </c>
      <c r="C55" s="55" t="s">
        <v>223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0</v>
      </c>
      <c r="J55" s="114">
        <f t="shared" si="2"/>
        <v>11936936.999949999</v>
      </c>
      <c r="K55" s="114">
        <f t="shared" si="3"/>
        <v>14186936.999949999</v>
      </c>
      <c r="L55" s="187">
        <f t="shared" si="4"/>
        <v>2.6408992185956017E-2</v>
      </c>
      <c r="M55" s="184">
        <f t="shared" si="5"/>
        <v>469293962.61366707</v>
      </c>
      <c r="N55" s="184">
        <f t="shared" ca="1" si="6"/>
        <v>18049767.792833351</v>
      </c>
      <c r="O55" s="180">
        <f t="shared" si="7"/>
        <v>496154012.59220135</v>
      </c>
      <c r="P55" s="180">
        <f t="shared" ca="1" si="8"/>
        <v>19082846.638161592</v>
      </c>
      <c r="Q55" s="185">
        <f t="shared" si="9"/>
        <v>523014062.57073563</v>
      </c>
      <c r="R55" s="185">
        <f t="shared" ca="1" si="10"/>
        <v>20115925.483489834</v>
      </c>
      <c r="T55" t="s">
        <v>183</v>
      </c>
      <c r="U55" t="s">
        <v>219</v>
      </c>
    </row>
    <row r="56" spans="2:21" ht="16" customHeight="1" x14ac:dyDescent="0.2">
      <c r="B56" s="53" t="s">
        <v>75</v>
      </c>
      <c r="C56" s="56" t="s">
        <v>99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2209063.110992</v>
      </c>
      <c r="I56" s="114">
        <f t="shared" si="1"/>
        <v>2162500</v>
      </c>
      <c r="J56" s="114">
        <f t="shared" si="2"/>
        <v>8865446.4699659999</v>
      </c>
      <c r="K56" s="114">
        <f t="shared" si="3"/>
        <v>13237009.580957999</v>
      </c>
      <c r="L56" s="187">
        <f t="shared" si="4"/>
        <v>2.3023048852793191E-2</v>
      </c>
      <c r="M56" s="184">
        <f t="shared" si="5"/>
        <v>504214380.06923854</v>
      </c>
      <c r="N56" s="184">
        <f t="shared" ca="1" si="6"/>
        <v>19392860.771893792</v>
      </c>
      <c r="O56" s="180">
        <f t="shared" si="7"/>
        <v>532961679.49424946</v>
      </c>
      <c r="P56" s="180">
        <f t="shared" ca="1" si="8"/>
        <v>20498526.13439421</v>
      </c>
      <c r="Q56" s="185">
        <f t="shared" si="9"/>
        <v>561708978.91926038</v>
      </c>
      <c r="R56" s="185">
        <f t="shared" ca="1" si="10"/>
        <v>21604191.496894632</v>
      </c>
      <c r="T56" t="s">
        <v>184</v>
      </c>
      <c r="U56" t="s">
        <v>219</v>
      </c>
    </row>
    <row r="57" spans="2:21" ht="16" customHeight="1" x14ac:dyDescent="0.2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23561792.318969999</v>
      </c>
      <c r="I57" s="114">
        <f t="shared" si="1"/>
        <v>4630342.1999840001</v>
      </c>
      <c r="J57" s="114">
        <f t="shared" si="2"/>
        <v>10412837.909964999</v>
      </c>
      <c r="K57" s="114">
        <f t="shared" si="3"/>
        <v>38604972.428918995</v>
      </c>
      <c r="L57" s="187">
        <f t="shared" si="4"/>
        <v>3.4804838645653709E-2</v>
      </c>
      <c r="M57" s="184">
        <f t="shared" si="5"/>
        <v>959660686.54335308</v>
      </c>
      <c r="N57" s="184">
        <f t="shared" ca="1" si="6"/>
        <v>36910026.405513577</v>
      </c>
      <c r="O57" s="180">
        <f t="shared" si="7"/>
        <v>1015119889.8195903</v>
      </c>
      <c r="P57" s="180">
        <f t="shared" ca="1" si="8"/>
        <v>39043072.685368858</v>
      </c>
      <c r="Q57" s="185">
        <f t="shared" si="9"/>
        <v>1070579093.0958277</v>
      </c>
      <c r="R57" s="185">
        <f t="shared" ca="1" si="10"/>
        <v>41176118.965224139</v>
      </c>
      <c r="T57" t="s">
        <v>120</v>
      </c>
      <c r="U57" t="s">
        <v>219</v>
      </c>
    </row>
    <row r="58" spans="2:21" ht="16" customHeight="1" x14ac:dyDescent="0.2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10463048.682995001</v>
      </c>
      <c r="I58" s="114">
        <f t="shared" si="1"/>
        <v>3429000</v>
      </c>
      <c r="J58" s="114">
        <f t="shared" si="2"/>
        <v>9211801.8739749994</v>
      </c>
      <c r="K58" s="114">
        <f t="shared" si="3"/>
        <v>23103850.55697</v>
      </c>
      <c r="L58" s="187">
        <f t="shared" si="4"/>
        <v>3.7592856657440346E-2</v>
      </c>
      <c r="M58" s="184">
        <f t="shared" si="5"/>
        <v>530018932.60235608</v>
      </c>
      <c r="N58" s="184">
        <f t="shared" ca="1" si="6"/>
        <v>20385343.561629079</v>
      </c>
      <c r="O58" s="180">
        <f t="shared" si="7"/>
        <v>560747976.11120737</v>
      </c>
      <c r="P58" s="180">
        <f t="shared" ca="1" si="8"/>
        <v>21567229.850431051</v>
      </c>
      <c r="Q58" s="185">
        <f t="shared" si="9"/>
        <v>591477019.62005889</v>
      </c>
      <c r="R58" s="185">
        <f t="shared" ca="1" si="10"/>
        <v>22749116.139233034</v>
      </c>
      <c r="T58" t="s">
        <v>125</v>
      </c>
      <c r="U58" t="s">
        <v>219</v>
      </c>
    </row>
    <row r="59" spans="2:21" ht="16" customHeight="1" x14ac:dyDescent="0.2">
      <c r="B59" s="136" t="s">
        <v>173</v>
      </c>
      <c r="C59" s="137" t="s">
        <v>175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11726827.539999999</v>
      </c>
      <c r="I59" s="114">
        <f t="shared" si="1"/>
        <v>0</v>
      </c>
      <c r="J59" s="114">
        <f t="shared" si="2"/>
        <v>0</v>
      </c>
      <c r="K59" s="114">
        <f t="shared" si="3"/>
        <v>11726827.539999999</v>
      </c>
      <c r="L59" s="187">
        <f t="shared" si="4"/>
        <v>2.6420895161453354E-2</v>
      </c>
      <c r="M59" s="184">
        <f t="shared" si="5"/>
        <v>387735216.478778</v>
      </c>
      <c r="N59" s="184">
        <f t="shared" ca="1" si="6"/>
        <v>14912892.941491462</v>
      </c>
      <c r="O59" s="180">
        <f t="shared" si="7"/>
        <v>409927552.257599</v>
      </c>
      <c r="P59" s="180">
        <f t="shared" ca="1" si="8"/>
        <v>15766444.317599962</v>
      </c>
      <c r="Q59" s="185">
        <f t="shared" si="9"/>
        <v>432119888.03641999</v>
      </c>
      <c r="R59" s="185">
        <f t="shared" ca="1" si="10"/>
        <v>16619995.693708461</v>
      </c>
      <c r="T59" t="s">
        <v>171</v>
      </c>
      <c r="U59" t="s">
        <v>219</v>
      </c>
    </row>
    <row r="60" spans="2:21" ht="16" customHeight="1" x14ac:dyDescent="0.2">
      <c r="B60" s="53" t="s">
        <v>80</v>
      </c>
      <c r="C60" s="56" t="s">
        <v>222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10401487.573958</v>
      </c>
      <c r="I60" s="114">
        <f t="shared" si="1"/>
        <v>9980036.3164300006</v>
      </c>
      <c r="J60" s="114">
        <f t="shared" si="2"/>
        <v>4519851.3599960003</v>
      </c>
      <c r="K60" s="114">
        <f t="shared" si="3"/>
        <v>24901375.250384003</v>
      </c>
      <c r="L60" s="187">
        <f t="shared" si="4"/>
        <v>4.2993729646857777E-2</v>
      </c>
      <c r="M60" s="184">
        <f t="shared" si="5"/>
        <v>496366212.12636137</v>
      </c>
      <c r="N60" s="184">
        <f t="shared" ca="1" si="6"/>
        <v>19091008.158706207</v>
      </c>
      <c r="O60" s="180">
        <f t="shared" si="7"/>
        <v>525325522.5361805</v>
      </c>
      <c r="P60" s="180">
        <f t="shared" ca="1" si="8"/>
        <v>20204827.789853096</v>
      </c>
      <c r="Q60" s="185">
        <f t="shared" si="9"/>
        <v>554284832.94599974</v>
      </c>
      <c r="R60" s="185">
        <f t="shared" ca="1" si="10"/>
        <v>21318647.420999989</v>
      </c>
      <c r="T60" t="s">
        <v>221</v>
      </c>
      <c r="U60" t="s">
        <v>219</v>
      </c>
    </row>
    <row r="61" spans="2:21" ht="16" customHeight="1" x14ac:dyDescent="0.2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24512838.195022002</v>
      </c>
      <c r="I61" s="114">
        <f t="shared" si="1"/>
        <v>1843234.24</v>
      </c>
      <c r="J61" s="114">
        <f t="shared" si="2"/>
        <v>13657342.49997</v>
      </c>
      <c r="K61" s="114">
        <f t="shared" si="3"/>
        <v>40013414.934992</v>
      </c>
      <c r="L61" s="187">
        <f t="shared" si="4"/>
        <v>5.5838427134998828E-2</v>
      </c>
      <c r="M61" s="184">
        <f t="shared" si="5"/>
        <v>604920106.46287143</v>
      </c>
      <c r="N61" s="184">
        <f t="shared" ca="1" si="6"/>
        <v>23266157.940879669</v>
      </c>
      <c r="O61" s="180">
        <f t="shared" si="7"/>
        <v>640749746.54053044</v>
      </c>
      <c r="P61" s="180">
        <f t="shared" ca="1" si="8"/>
        <v>24644221.020789631</v>
      </c>
      <c r="Q61" s="185">
        <f t="shared" si="9"/>
        <v>676579386.61818957</v>
      </c>
      <c r="R61" s="185">
        <f t="shared" ca="1" si="10"/>
        <v>26022284.1006996</v>
      </c>
      <c r="T61" t="s">
        <v>126</v>
      </c>
      <c r="U61" t="s">
        <v>219</v>
      </c>
    </row>
    <row r="62" spans="2:21" ht="16" customHeight="1" x14ac:dyDescent="0.2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11593886.506886</v>
      </c>
      <c r="I62" s="114">
        <f t="shared" si="1"/>
        <v>2662865.14</v>
      </c>
      <c r="J62" s="114">
        <f t="shared" si="2"/>
        <v>11099900.843951</v>
      </c>
      <c r="K62" s="114">
        <f t="shared" si="3"/>
        <v>25356652.490837</v>
      </c>
      <c r="L62" s="187">
        <f t="shared" si="4"/>
        <v>5.3156008829621973E-2</v>
      </c>
      <c r="M62" s="184">
        <f t="shared" si="5"/>
        <v>403964279.31388438</v>
      </c>
      <c r="N62" s="184">
        <f t="shared" ca="1" si="6"/>
        <v>15537087.66591863</v>
      </c>
      <c r="O62" s="180">
        <f t="shared" si="7"/>
        <v>427815442.19192445</v>
      </c>
      <c r="P62" s="180">
        <f t="shared" ca="1" si="8"/>
        <v>16454440.084304787</v>
      </c>
      <c r="Q62" s="185">
        <f t="shared" si="9"/>
        <v>451666605.06996453</v>
      </c>
      <c r="R62" s="185">
        <f t="shared" ca="1" si="10"/>
        <v>17371792.502690945</v>
      </c>
      <c r="T62" t="s">
        <v>112</v>
      </c>
      <c r="U62" t="s">
        <v>219</v>
      </c>
    </row>
    <row r="63" spans="2:21" ht="16" customHeight="1" x14ac:dyDescent="0.2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7172302.6099969996</v>
      </c>
      <c r="I63" s="114">
        <f t="shared" si="1"/>
        <v>2730000</v>
      </c>
      <c r="J63" s="114">
        <f t="shared" si="2"/>
        <v>25968474.319915</v>
      </c>
      <c r="K63" s="114">
        <f t="shared" si="3"/>
        <v>35870776.929912001</v>
      </c>
      <c r="L63" s="187">
        <f t="shared" si="4"/>
        <v>3.6641194790740267E-2</v>
      </c>
      <c r="M63" s="184">
        <f t="shared" si="5"/>
        <v>845205820.63451397</v>
      </c>
      <c r="N63" s="184">
        <f t="shared" ca="1" si="6"/>
        <v>32507916.178250536</v>
      </c>
      <c r="O63" s="180">
        <f t="shared" si="7"/>
        <v>894154520.49920416</v>
      </c>
      <c r="P63" s="180">
        <f t="shared" ca="1" si="8"/>
        <v>34390558.480738625</v>
      </c>
      <c r="Q63" s="185">
        <f t="shared" si="9"/>
        <v>943103220.36389458</v>
      </c>
      <c r="R63" s="185">
        <f t="shared" ca="1" si="10"/>
        <v>36273200.783226714</v>
      </c>
      <c r="T63" t="s">
        <v>127</v>
      </c>
      <c r="U63" t="s">
        <v>219</v>
      </c>
    </row>
    <row r="64" spans="2:21" ht="16" customHeight="1" x14ac:dyDescent="0.2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9109718.1119519994</v>
      </c>
      <c r="I64" s="114">
        <f t="shared" si="1"/>
        <v>2559719.54</v>
      </c>
      <c r="J64" s="114">
        <f t="shared" si="2"/>
        <v>5968293.6399999997</v>
      </c>
      <c r="K64" s="114">
        <f t="shared" si="3"/>
        <v>17637731.291951999</v>
      </c>
      <c r="L64" s="187">
        <f t="shared" si="4"/>
        <v>3.2850178488128247E-2</v>
      </c>
      <c r="M64" s="184">
        <f t="shared" si="5"/>
        <v>465585157.99899971</v>
      </c>
      <c r="N64" s="184">
        <f t="shared" ca="1" si="6"/>
        <v>17907121.461499989</v>
      </c>
      <c r="O64" s="180">
        <f t="shared" si="7"/>
        <v>492430874.07071918</v>
      </c>
      <c r="P64" s="180">
        <f t="shared" ca="1" si="8"/>
        <v>18939649.002719969</v>
      </c>
      <c r="Q64" s="185">
        <f t="shared" si="9"/>
        <v>519276590.14243877</v>
      </c>
      <c r="R64" s="185">
        <f t="shared" ca="1" si="10"/>
        <v>19972176.543939952</v>
      </c>
      <c r="T64" t="s">
        <v>122</v>
      </c>
      <c r="U64" t="s">
        <v>123</v>
      </c>
    </row>
    <row r="65" spans="2:21" ht="16" customHeight="1" x14ac:dyDescent="0.2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187518407.11694905</v>
      </c>
      <c r="I65" s="135">
        <f t="shared" si="12"/>
        <v>46734597.916195005</v>
      </c>
      <c r="J65" s="135">
        <f t="shared" si="12"/>
        <v>144850427.00757098</v>
      </c>
      <c r="K65" s="135">
        <f t="shared" si="12"/>
        <v>379103432.04071498</v>
      </c>
      <c r="L65" s="189">
        <f t="shared" si="4"/>
        <v>4.279802515662693E-2</v>
      </c>
      <c r="M65" s="181">
        <f>SUM(M51:M64)</f>
        <v>7593065554.448432</v>
      </c>
      <c r="N65" s="181">
        <f t="shared" ca="1" si="6"/>
        <v>292040982.86340123</v>
      </c>
      <c r="O65" s="181">
        <f>SUM(O51:O64)</f>
        <v>8035963831.475605</v>
      </c>
      <c r="P65" s="181">
        <f t="shared" ca="1" si="8"/>
        <v>309075531.97983098</v>
      </c>
      <c r="Q65" s="186">
        <f>SUM(Q51:Q64)</f>
        <v>8478862108.5027819</v>
      </c>
      <c r="R65" s="186">
        <f t="shared" ca="1" si="10"/>
        <v>326110081.09626085</v>
      </c>
    </row>
    <row r="66" spans="2:21" ht="15" customHeight="1" x14ac:dyDescent="0.2">
      <c r="G66" s="111"/>
      <c r="H66" s="111"/>
      <c r="I66" s="111"/>
    </row>
    <row r="67" spans="2:21" ht="19" customHeight="1" x14ac:dyDescent="0.2">
      <c r="B67" s="241" t="s">
        <v>144</v>
      </c>
      <c r="C67" s="242"/>
      <c r="D67" s="242"/>
      <c r="E67" s="242"/>
      <c r="F67" s="243"/>
      <c r="G67" s="247" t="s">
        <v>187</v>
      </c>
      <c r="H67" s="248"/>
      <c r="I67" s="248"/>
      <c r="J67" s="248"/>
      <c r="K67" s="248"/>
      <c r="L67" s="249"/>
    </row>
    <row r="68" spans="2:21" ht="30" customHeight="1" x14ac:dyDescent="0.2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6" customHeight="1" x14ac:dyDescent="0.2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4212837.8499999996</v>
      </c>
      <c r="F69" s="187">
        <f t="shared" ref="F69:F74" si="13">IFERROR(E69/D69,0)</f>
        <v>1.6439861450559843E-2</v>
      </c>
      <c r="G69" s="184">
        <f>D69*$H$40-E69</f>
        <v>226418915.12446818</v>
      </c>
      <c r="H69" s="184">
        <f t="shared" ref="H69:H74" ca="1" si="14">IFERROR(G69/$C$3,0)</f>
        <v>8708419.8124795444</v>
      </c>
      <c r="I69" s="204">
        <f>D69*$J$40-E69</f>
        <v>239231790.28971639</v>
      </c>
      <c r="J69" s="204">
        <f t="shared" ref="J69:J74" ca="1" si="15">IFERROR(I69/$C$3,0)</f>
        <v>9201222.7034506314</v>
      </c>
      <c r="K69" s="185">
        <f>D69*$L$40-E69</f>
        <v>252044665.45496464</v>
      </c>
      <c r="L69" s="185">
        <f t="shared" ref="L69:L74" ca="1" si="16">IFERROR(K69/$C$3,0)</f>
        <v>9694025.5944217164</v>
      </c>
    </row>
    <row r="70" spans="2:21" ht="16" customHeight="1" x14ac:dyDescent="0.2">
      <c r="B70" s="53" t="s">
        <v>94</v>
      </c>
      <c r="C70" s="56" t="s">
        <v>95</v>
      </c>
      <c r="D70" s="117">
        <f>TARGETS!L23</f>
        <v>399558412.3049646</v>
      </c>
      <c r="E70" s="114">
        <f>IFERROR($C$32,0)</f>
        <v>7640351.6199500002</v>
      </c>
      <c r="F70" s="187">
        <f t="shared" si="13"/>
        <v>1.9121989137644461E-2</v>
      </c>
      <c r="G70" s="184">
        <f>D70*$H$40-E70</f>
        <v>351962219.45451814</v>
      </c>
      <c r="H70" s="184">
        <f t="shared" ca="1" si="14"/>
        <v>13537008.440558391</v>
      </c>
      <c r="I70" s="204">
        <f>D70*$J$40-E70</f>
        <v>371940140.06976634</v>
      </c>
      <c r="J70" s="204">
        <f t="shared" ca="1" si="15"/>
        <v>14305390.002683321</v>
      </c>
      <c r="K70" s="185">
        <f>D70*$L$40-E70</f>
        <v>391918060.68501461</v>
      </c>
      <c r="L70" s="185">
        <f t="shared" ca="1" si="16"/>
        <v>15073771.564808253</v>
      </c>
    </row>
    <row r="71" spans="2:21" ht="16" x14ac:dyDescent="0.2">
      <c r="B71" s="50" t="s">
        <v>96</v>
      </c>
      <c r="C71" s="55" t="s">
        <v>97</v>
      </c>
      <c r="D71" s="116">
        <f>TARGETS!L24</f>
        <v>1084609616.3049645</v>
      </c>
      <c r="E71" s="114">
        <f>M21</f>
        <v>41616486.679724999</v>
      </c>
      <c r="F71" s="187">
        <f t="shared" si="13"/>
        <v>3.8370014477193702E-2</v>
      </c>
      <c r="G71" s="184">
        <f>D71*$H$40-E71</f>
        <v>934532167.99474311</v>
      </c>
      <c r="H71" s="184">
        <f t="shared" ca="1" si="14"/>
        <v>35943544.922874734</v>
      </c>
      <c r="I71" s="204">
        <f>D71*$J$40-E71</f>
        <v>988762648.80999124</v>
      </c>
      <c r="J71" s="204">
        <f t="shared" ca="1" si="15"/>
        <v>38029332.646538123</v>
      </c>
      <c r="K71" s="185">
        <f>D71*$L$40-E71</f>
        <v>1042993129.6252395</v>
      </c>
      <c r="L71" s="185">
        <f t="shared" ca="1" si="16"/>
        <v>40115120.370201521</v>
      </c>
    </row>
    <row r="72" spans="2:21" ht="16" hidden="1" x14ac:dyDescent="0.2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t="16" hidden="1" x14ac:dyDescent="0.2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6" x14ac:dyDescent="0.2">
      <c r="B74" s="57" t="s">
        <v>151</v>
      </c>
      <c r="C74" s="58"/>
      <c r="D74" s="115">
        <f>SUM(D69:D73)</f>
        <v>1740425531.9148936</v>
      </c>
      <c r="E74" s="115">
        <f>SUM(E69:E73)</f>
        <v>53469676.149674997</v>
      </c>
      <c r="F74" s="177">
        <f t="shared" si="13"/>
        <v>3.0722185562771696E-2</v>
      </c>
      <c r="G74" s="181">
        <f>SUM(G69:G73)</f>
        <v>1512913302.5737295</v>
      </c>
      <c r="H74" s="181">
        <f t="shared" ca="1" si="14"/>
        <v>58188973.175912671</v>
      </c>
      <c r="I74" s="186">
        <f>SUM(I69:I73)</f>
        <v>1599934579.1694741</v>
      </c>
      <c r="J74" s="186">
        <f t="shared" ca="1" si="15"/>
        <v>61535945.352672085</v>
      </c>
      <c r="K74" s="186">
        <f>SUM(K69:K73)</f>
        <v>1686955855.7652187</v>
      </c>
      <c r="L74" s="186">
        <f t="shared" ca="1" si="16"/>
        <v>64882917.529431492</v>
      </c>
    </row>
    <row r="75" spans="2:21" ht="15" customHeight="1" x14ac:dyDescent="0.2"/>
    <row r="76" spans="2:21" ht="15" customHeight="1" x14ac:dyDescent="0.2"/>
    <row r="77" spans="2:21" ht="20" customHeight="1" x14ac:dyDescent="0.2">
      <c r="B77" s="244" t="s">
        <v>172</v>
      </c>
      <c r="C77" s="245"/>
      <c r="D77" s="246"/>
    </row>
    <row r="78" spans="2:21" ht="17" customHeight="1" x14ac:dyDescent="0.2">
      <c r="B78" s="239" t="s">
        <v>41</v>
      </c>
      <c r="C78" s="239" t="s">
        <v>42</v>
      </c>
      <c r="D78" s="231" t="s">
        <v>138</v>
      </c>
    </row>
    <row r="79" spans="2:21" ht="17" customHeight="1" x14ac:dyDescent="0.2">
      <c r="B79" s="240"/>
      <c r="C79" s="240"/>
      <c r="D79" s="70" t="s">
        <v>169</v>
      </c>
      <c r="T79" s="178" t="s">
        <v>217</v>
      </c>
      <c r="U79" s="178" t="s">
        <v>218</v>
      </c>
    </row>
    <row r="80" spans="2:21" ht="16" customHeight="1" x14ac:dyDescent="0.2">
      <c r="B80" s="50" t="s">
        <v>67</v>
      </c>
      <c r="C80" s="55" t="s">
        <v>68</v>
      </c>
      <c r="D80" s="131">
        <f>SUMIF($B$10:$B$26,$T80,$F$10:$F$26)+SUMIF($B$10:$B$26,$U80,$F$10:$F$26)</f>
        <v>10901802.140000001</v>
      </c>
      <c r="T80" t="str">
        <f t="shared" ref="T80:U93" si="17">T51</f>
        <v>Picrom Stalyon</v>
      </c>
      <c r="U80" t="str">
        <f t="shared" si="17"/>
        <v>n/a</v>
      </c>
    </row>
    <row r="81" spans="2:21" ht="16" customHeight="1" x14ac:dyDescent="0.2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2216216.2999999998</v>
      </c>
      <c r="T81" t="str">
        <f t="shared" si="17"/>
        <v>I MADE LUIH</v>
      </c>
      <c r="U81" t="str">
        <f t="shared" si="17"/>
        <v>I Made Luih (Sanur)</v>
      </c>
    </row>
    <row r="82" spans="2:21" ht="16" customHeight="1" x14ac:dyDescent="0.2">
      <c r="B82" s="53" t="s">
        <v>173</v>
      </c>
      <c r="C82" s="56" t="s">
        <v>174</v>
      </c>
      <c r="D82" s="132">
        <f t="shared" si="18"/>
        <v>0</v>
      </c>
      <c r="T82" t="str">
        <f t="shared" si="17"/>
        <v>NN Made Luih</v>
      </c>
      <c r="U82" t="str">
        <f t="shared" si="17"/>
        <v>n/a</v>
      </c>
    </row>
    <row r="83" spans="2:21" ht="16" customHeight="1" x14ac:dyDescent="0.2">
      <c r="B83" s="50" t="s">
        <v>71</v>
      </c>
      <c r="C83" s="55" t="s">
        <v>72</v>
      </c>
      <c r="D83" s="131">
        <f t="shared" si="18"/>
        <v>31895856.619964998</v>
      </c>
      <c r="T83" t="str">
        <f t="shared" si="17"/>
        <v>Juni</v>
      </c>
      <c r="U83" t="str">
        <f t="shared" si="17"/>
        <v>n/a</v>
      </c>
    </row>
    <row r="84" spans="2:21" ht="16" customHeight="1" x14ac:dyDescent="0.2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6" customHeight="1" x14ac:dyDescent="0.2">
      <c r="B85" s="50" t="s">
        <v>75</v>
      </c>
      <c r="C85" s="55" t="s">
        <v>74</v>
      </c>
      <c r="D85" s="131">
        <f t="shared" si="18"/>
        <v>9729729.5999999996</v>
      </c>
      <c r="T85" t="str">
        <f t="shared" si="17"/>
        <v>Vacant Hotel Kuta Seminyak</v>
      </c>
      <c r="U85" t="str">
        <f t="shared" si="17"/>
        <v>n/a</v>
      </c>
    </row>
    <row r="86" spans="2:21" ht="16" customHeight="1" x14ac:dyDescent="0.2">
      <c r="B86" s="53" t="s">
        <v>76</v>
      </c>
      <c r="C86" s="56" t="s">
        <v>77</v>
      </c>
      <c r="D86" s="132">
        <f t="shared" si="18"/>
        <v>8816216.1600000001</v>
      </c>
      <c r="T86" t="str">
        <f t="shared" si="17"/>
        <v>Monica</v>
      </c>
      <c r="U86" t="str">
        <f t="shared" si="17"/>
        <v>n/a</v>
      </c>
    </row>
    <row r="87" spans="2:21" ht="16" customHeight="1" x14ac:dyDescent="0.2">
      <c r="B87" s="50" t="s">
        <v>78</v>
      </c>
      <c r="C87" s="55" t="s">
        <v>79</v>
      </c>
      <c r="D87" s="131">
        <f t="shared" si="18"/>
        <v>15783784.109965</v>
      </c>
      <c r="T87" t="str">
        <f t="shared" si="17"/>
        <v>Sujana</v>
      </c>
      <c r="U87" t="str">
        <f t="shared" si="17"/>
        <v>n/a</v>
      </c>
    </row>
    <row r="88" spans="2:21" ht="16" customHeight="1" x14ac:dyDescent="0.2">
      <c r="B88" s="53" t="s">
        <v>173</v>
      </c>
      <c r="C88" s="56" t="s">
        <v>175</v>
      </c>
      <c r="D88" s="132">
        <f t="shared" si="18"/>
        <v>0</v>
      </c>
      <c r="T88" t="str">
        <f t="shared" si="17"/>
        <v>NN Sujana</v>
      </c>
      <c r="U88" t="str">
        <f t="shared" si="17"/>
        <v>n/a</v>
      </c>
    </row>
    <row r="89" spans="2:21" ht="16" customHeight="1" x14ac:dyDescent="0.2">
      <c r="B89" s="53" t="s">
        <v>80</v>
      </c>
      <c r="C89" s="56" t="s">
        <v>81</v>
      </c>
      <c r="D89" s="132">
        <f t="shared" si="18"/>
        <v>0</v>
      </c>
      <c r="T89" t="str">
        <f t="shared" si="17"/>
        <v>Wahyu</v>
      </c>
      <c r="U89" t="str">
        <f t="shared" si="17"/>
        <v>n/a</v>
      </c>
    </row>
    <row r="90" spans="2:21" ht="16" customHeight="1" x14ac:dyDescent="0.2">
      <c r="B90" s="50" t="s">
        <v>82</v>
      </c>
      <c r="C90" s="55" t="s">
        <v>83</v>
      </c>
      <c r="D90" s="131">
        <f t="shared" si="18"/>
        <v>59667568.499966003</v>
      </c>
      <c r="T90" t="str">
        <f t="shared" si="17"/>
        <v>Taufik</v>
      </c>
      <c r="U90" t="str">
        <f t="shared" si="17"/>
        <v>n/a</v>
      </c>
    </row>
    <row r="91" spans="2:21" ht="16" customHeight="1" x14ac:dyDescent="0.2">
      <c r="B91" s="53" t="s">
        <v>84</v>
      </c>
      <c r="C91" s="56" t="s">
        <v>85</v>
      </c>
      <c r="D91" s="132">
        <f t="shared" si="18"/>
        <v>15505405.379993999</v>
      </c>
      <c r="T91" t="str">
        <f t="shared" si="17"/>
        <v>Dewi Kristiani</v>
      </c>
      <c r="U91" t="str">
        <f t="shared" si="17"/>
        <v>n/a</v>
      </c>
    </row>
    <row r="92" spans="2:21" ht="16" customHeight="1" x14ac:dyDescent="0.2">
      <c r="B92" s="50" t="s">
        <v>86</v>
      </c>
      <c r="C92" s="55" t="s">
        <v>87</v>
      </c>
      <c r="D92" s="131">
        <f t="shared" si="18"/>
        <v>0</v>
      </c>
      <c r="T92" t="str">
        <f t="shared" si="17"/>
        <v>Wira</v>
      </c>
      <c r="U92" t="str">
        <f t="shared" si="17"/>
        <v>n/a</v>
      </c>
    </row>
    <row r="93" spans="2:21" ht="16" customHeight="1" x14ac:dyDescent="0.2">
      <c r="B93" s="53" t="s">
        <v>88</v>
      </c>
      <c r="C93" s="56" t="s">
        <v>89</v>
      </c>
      <c r="D93" s="132">
        <f t="shared" si="18"/>
        <v>10205405.640000001</v>
      </c>
      <c r="T93" t="str">
        <f t="shared" si="17"/>
        <v>Ni Ketut Sriasih (GT)</v>
      </c>
      <c r="U93" t="str">
        <f t="shared" si="17"/>
        <v>Ni Ketut Sriasih (MT)</v>
      </c>
    </row>
    <row r="94" spans="2:21" ht="16" customHeight="1" x14ac:dyDescent="0.2">
      <c r="B94" s="57" t="s">
        <v>151</v>
      </c>
      <c r="C94" s="58"/>
      <c r="D94" s="120">
        <f>SUM(D80:D93)</f>
        <v>164721984.44989002</v>
      </c>
    </row>
    <row r="95" spans="2:21" ht="15" customHeight="1" x14ac:dyDescent="0.2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 xr:uid="{00000000-0002-0000-0A00-000000000000}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95"/>
  <sheetViews>
    <sheetView showGridLines="0" topLeftCell="B42" zoomScaleNormal="100" workbookViewId="0">
      <selection activeCell="G68" sqref="G68:L68"/>
    </sheetView>
  </sheetViews>
  <sheetFormatPr baseColWidth="10" defaultColWidth="8.6640625" defaultRowHeight="15" x14ac:dyDescent="0.2"/>
  <cols>
    <col min="1" max="1" width="2" customWidth="1"/>
    <col min="2" max="2" width="37.5" customWidth="1"/>
    <col min="3" max="3" width="16.33203125" customWidth="1"/>
    <col min="4" max="18" width="16.5" customWidth="1"/>
  </cols>
  <sheetData>
    <row r="1" spans="2:15" ht="19" customHeight="1" x14ac:dyDescent="0.2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">
      <c r="G2" s="221" t="s">
        <v>193</v>
      </c>
      <c r="H2" s="111"/>
      <c r="I2" s="111"/>
      <c r="J2" s="217">
        <f ca="1">E3</f>
        <v>31</v>
      </c>
    </row>
    <row r="3" spans="2:15" ht="16" customHeight="1" x14ac:dyDescent="0.2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">
      <c r="G4" s="221" t="s">
        <v>195</v>
      </c>
      <c r="H4" s="111"/>
      <c r="I4" s="111"/>
      <c r="J4" s="218">
        <v>0</v>
      </c>
    </row>
    <row r="5" spans="2:15" ht="15" customHeight="1" x14ac:dyDescent="0.2">
      <c r="G5" s="221" t="s">
        <v>196</v>
      </c>
      <c r="H5" s="111"/>
      <c r="I5" s="111"/>
      <c r="J5" s="218"/>
    </row>
    <row r="6" spans="2:15" ht="15" customHeight="1" x14ac:dyDescent="0.2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">
      <c r="B11" s="72" t="s">
        <v>221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224</v>
      </c>
    </row>
    <row r="21" spans="2:15" ht="15" customHeight="1" x14ac:dyDescent="0.2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225</v>
      </c>
    </row>
    <row r="22" spans="2:15" ht="15" customHeight="1" x14ac:dyDescent="0.2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">
      <c r="G27" s="111"/>
      <c r="H27" s="111"/>
      <c r="I27" s="111"/>
    </row>
    <row r="28" spans="2:15" ht="15" customHeight="1" x14ac:dyDescent="0.2">
      <c r="B28" s="79" t="s">
        <v>128</v>
      </c>
      <c r="C28" s="79"/>
      <c r="G28" s="111"/>
      <c r="H28" s="111"/>
      <c r="I28" s="111"/>
    </row>
    <row r="29" spans="2:15" ht="15" customHeight="1" x14ac:dyDescent="0.2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">
      <c r="B30" s="73"/>
      <c r="C30" s="107"/>
      <c r="G30" s="111"/>
      <c r="H30" s="111"/>
      <c r="I30" s="111"/>
    </row>
    <row r="31" spans="2:15" ht="15" customHeight="1" x14ac:dyDescent="0.2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">
      <c r="B36" s="81"/>
      <c r="C36" s="82"/>
      <c r="G36" s="111"/>
      <c r="H36" s="111"/>
      <c r="I36" s="111"/>
    </row>
    <row r="37" spans="2:19" ht="15" customHeight="1" x14ac:dyDescent="0.2">
      <c r="B37" s="73"/>
      <c r="C37" s="82"/>
      <c r="G37" s="111"/>
      <c r="H37" s="111"/>
      <c r="I37" s="111"/>
    </row>
    <row r="38" spans="2:19" ht="15" customHeight="1" x14ac:dyDescent="0.2">
      <c r="G38" s="111"/>
      <c r="H38" s="111"/>
      <c r="I38" s="111"/>
    </row>
    <row r="39" spans="2:19" ht="15" customHeight="1" x14ac:dyDescent="0.2">
      <c r="G39" s="111"/>
      <c r="H39" s="111"/>
      <c r="I39" s="111"/>
      <c r="S39" s="172" t="s">
        <v>186</v>
      </c>
    </row>
    <row r="40" spans="2:19" ht="20" customHeight="1" x14ac:dyDescent="0.2">
      <c r="B40" s="234" t="s">
        <v>164</v>
      </c>
      <c r="C40" s="235"/>
      <c r="D40" s="236"/>
      <c r="E40" s="66" t="s">
        <v>137</v>
      </c>
      <c r="F40" s="174">
        <f ca="1">IF(MONTH(TODAY())=10,DAY(TODAY())/DAY(EOMONTH(TODAY(),0)),IF(MONTH(TODAY())&gt;10,1,0))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6" customHeight="1" x14ac:dyDescent="0.2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6" customHeight="1" x14ac:dyDescent="0.2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6" customHeight="1" x14ac:dyDescent="0.2">
      <c r="B44" s="109" t="s">
        <v>209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6" customHeight="1" x14ac:dyDescent="0.2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">
      <c r="B46" s="237" t="s">
        <v>145</v>
      </c>
      <c r="C46" s="238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">
      <c r="G47" s="111"/>
      <c r="H47" s="111"/>
      <c r="I47" s="111"/>
      <c r="S47" s="173"/>
    </row>
    <row r="48" spans="2:19" ht="19" customHeight="1" x14ac:dyDescent="0.2">
      <c r="B48" s="250" t="s">
        <v>146</v>
      </c>
      <c r="C48" s="251"/>
      <c r="D48" s="251"/>
      <c r="E48" s="251"/>
      <c r="F48" s="251"/>
      <c r="G48" s="251"/>
      <c r="H48" s="251"/>
      <c r="I48" s="251"/>
      <c r="J48" s="251"/>
      <c r="K48" s="251"/>
      <c r="L48" s="252"/>
      <c r="M48" s="247" t="s">
        <v>187</v>
      </c>
      <c r="N48" s="248"/>
      <c r="O48" s="248"/>
      <c r="P48" s="248"/>
      <c r="Q48" s="248"/>
      <c r="R48" s="249"/>
    </row>
    <row r="49" spans="2:21" ht="17" customHeight="1" x14ac:dyDescent="0.2">
      <c r="B49" s="253" t="s">
        <v>41</v>
      </c>
      <c r="C49" s="253" t="s">
        <v>42</v>
      </c>
      <c r="D49" s="254" t="s">
        <v>137</v>
      </c>
      <c r="E49" s="255"/>
      <c r="F49" s="255"/>
      <c r="G49" s="256"/>
      <c r="H49" s="257" t="s">
        <v>138</v>
      </c>
      <c r="I49" s="258"/>
      <c r="J49" s="258"/>
      <c r="K49" s="259"/>
      <c r="L49" s="264" t="s">
        <v>139</v>
      </c>
      <c r="M49" s="262" t="str">
        <f>"SELISIH"&amp;CHAR(10)&amp;TEXT($H$40,"0%")</f>
        <v>SELISIH
90%</v>
      </c>
      <c r="N49" s="262" t="str">
        <f>"PER HARI"&amp;CHAR(10)&amp;TEXT($H$40,"0%")</f>
        <v>PER HARI
90%</v>
      </c>
      <c r="O49" s="266" t="str">
        <f>"SELISIH"&amp;CHAR(10)&amp;TEXT($J$40,"0%")</f>
        <v>SELISIH
95%</v>
      </c>
      <c r="P49" s="266" t="str">
        <f>"PER HARI"&amp;CHAR(10)&amp;TEXT($J$40,"0%")</f>
        <v>PER HARI
95%</v>
      </c>
      <c r="Q49" s="260" t="str">
        <f>"SELISIH"&amp;CHAR(10)&amp;TEXT($L$40,"0%")</f>
        <v>SELISIH
100%</v>
      </c>
      <c r="R49" s="260" t="str">
        <f>"PER HARI"&amp;CHAR(10)&amp;TEXT($L$40,"0%")</f>
        <v>PER HARI
100%</v>
      </c>
    </row>
    <row r="50" spans="2:21" ht="17" customHeight="1" x14ac:dyDescent="0.2">
      <c r="B50" s="239"/>
      <c r="C50" s="23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65"/>
      <c r="M50" s="263"/>
      <c r="N50" s="263"/>
      <c r="O50" s="267"/>
      <c r="P50" s="267"/>
      <c r="Q50" s="261"/>
      <c r="R50" s="261"/>
      <c r="T50" s="178" t="s">
        <v>217</v>
      </c>
      <c r="U50" s="178" t="s">
        <v>218</v>
      </c>
    </row>
    <row r="51" spans="2:21" ht="16" customHeight="1" x14ac:dyDescent="0.2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219</v>
      </c>
    </row>
    <row r="52" spans="2:21" ht="16" customHeight="1" x14ac:dyDescent="0.2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6" customHeight="1" x14ac:dyDescent="0.2">
      <c r="B53" s="136" t="s">
        <v>173</v>
      </c>
      <c r="C53" s="137" t="s">
        <v>174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170</v>
      </c>
      <c r="U53" t="s">
        <v>219</v>
      </c>
    </row>
    <row r="54" spans="2:21" ht="16" customHeight="1" x14ac:dyDescent="0.2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219</v>
      </c>
    </row>
    <row r="55" spans="2:21" ht="16" customHeight="1" x14ac:dyDescent="0.2">
      <c r="B55" s="50" t="s">
        <v>73</v>
      </c>
      <c r="C55" s="55" t="s">
        <v>223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183</v>
      </c>
      <c r="U55" t="s">
        <v>219</v>
      </c>
    </row>
    <row r="56" spans="2:21" ht="16" customHeight="1" x14ac:dyDescent="0.2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184</v>
      </c>
      <c r="U56" t="s">
        <v>219</v>
      </c>
    </row>
    <row r="57" spans="2:21" ht="16" customHeight="1" x14ac:dyDescent="0.2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219</v>
      </c>
    </row>
    <row r="58" spans="2:21" ht="16" customHeight="1" x14ac:dyDescent="0.2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219</v>
      </c>
    </row>
    <row r="59" spans="2:21" ht="16" customHeight="1" x14ac:dyDescent="0.2">
      <c r="B59" s="136" t="s">
        <v>173</v>
      </c>
      <c r="C59" s="137" t="s">
        <v>175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171</v>
      </c>
      <c r="U59" t="s">
        <v>219</v>
      </c>
    </row>
    <row r="60" spans="2:21" ht="16" customHeight="1" x14ac:dyDescent="0.2">
      <c r="B60" s="53" t="s">
        <v>80</v>
      </c>
      <c r="C60" s="56" t="s">
        <v>222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221</v>
      </c>
      <c r="U60" t="s">
        <v>219</v>
      </c>
    </row>
    <row r="61" spans="2:21" ht="16" customHeight="1" x14ac:dyDescent="0.2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219</v>
      </c>
    </row>
    <row r="62" spans="2:21" ht="16" customHeight="1" x14ac:dyDescent="0.2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219</v>
      </c>
    </row>
    <row r="63" spans="2:21" ht="16" customHeight="1" x14ac:dyDescent="0.2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219</v>
      </c>
    </row>
    <row r="64" spans="2:21" ht="16" customHeight="1" x14ac:dyDescent="0.2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6" customHeight="1" x14ac:dyDescent="0.2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">
      <c r="G66" s="111"/>
      <c r="H66" s="111"/>
      <c r="I66" s="111"/>
    </row>
    <row r="67" spans="2:21" ht="19" customHeight="1" x14ac:dyDescent="0.2">
      <c r="B67" s="241" t="s">
        <v>144</v>
      </c>
      <c r="C67" s="242"/>
      <c r="D67" s="242"/>
      <c r="E67" s="242"/>
      <c r="F67" s="243"/>
      <c r="G67" s="247" t="s">
        <v>187</v>
      </c>
      <c r="H67" s="248"/>
      <c r="I67" s="248"/>
      <c r="J67" s="248"/>
      <c r="K67" s="248"/>
      <c r="L67" s="249"/>
    </row>
    <row r="68" spans="2:21" ht="30" customHeight="1" x14ac:dyDescent="0.2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6" customHeight="1" x14ac:dyDescent="0.2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6" customHeight="1" x14ac:dyDescent="0.2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6" customHeight="1" x14ac:dyDescent="0.2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t="16" hidden="1" x14ac:dyDescent="0.2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t="16" hidden="1" x14ac:dyDescent="0.2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6" customHeight="1" x14ac:dyDescent="0.2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"/>
    <row r="76" spans="2:21" ht="15" customHeight="1" x14ac:dyDescent="0.2"/>
    <row r="77" spans="2:21" ht="20" customHeight="1" x14ac:dyDescent="0.2">
      <c r="B77" s="244" t="s">
        <v>172</v>
      </c>
      <c r="C77" s="245"/>
      <c r="D77" s="246"/>
    </row>
    <row r="78" spans="2:21" ht="17" customHeight="1" x14ac:dyDescent="0.2">
      <c r="B78" s="239" t="s">
        <v>41</v>
      </c>
      <c r="C78" s="239" t="s">
        <v>42</v>
      </c>
      <c r="D78" s="231" t="s">
        <v>138</v>
      </c>
    </row>
    <row r="79" spans="2:21" ht="17" customHeight="1" x14ac:dyDescent="0.2">
      <c r="B79" s="240"/>
      <c r="C79" s="240"/>
      <c r="D79" s="70" t="s">
        <v>169</v>
      </c>
      <c r="T79" s="178" t="s">
        <v>217</v>
      </c>
      <c r="U79" s="178" t="s">
        <v>218</v>
      </c>
    </row>
    <row r="80" spans="2:21" ht="16" customHeight="1" x14ac:dyDescent="0.2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6" customHeight="1" x14ac:dyDescent="0.2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6" customHeight="1" x14ac:dyDescent="0.2">
      <c r="B82" s="53" t="s">
        <v>173</v>
      </c>
      <c r="C82" s="56" t="s">
        <v>174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6" customHeight="1" x14ac:dyDescent="0.2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6" customHeight="1" x14ac:dyDescent="0.2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6" customHeight="1" x14ac:dyDescent="0.2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6" customHeight="1" x14ac:dyDescent="0.2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6" customHeight="1" x14ac:dyDescent="0.2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6" customHeight="1" x14ac:dyDescent="0.2">
      <c r="B88" s="53" t="s">
        <v>173</v>
      </c>
      <c r="C88" s="56" t="s">
        <v>175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6" customHeight="1" x14ac:dyDescent="0.2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6" customHeight="1" x14ac:dyDescent="0.2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6" customHeight="1" x14ac:dyDescent="0.2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6" customHeight="1" x14ac:dyDescent="0.2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6" customHeight="1" x14ac:dyDescent="0.2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6" customHeight="1" x14ac:dyDescent="0.2">
      <c r="B94" s="57" t="s">
        <v>151</v>
      </c>
      <c r="C94" s="58"/>
      <c r="D94" s="120">
        <f>SUM(D80:D93)</f>
        <v>0</v>
      </c>
    </row>
    <row r="95" spans="2:21" ht="15" customHeight="1" x14ac:dyDescent="0.2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 xr:uid="{00000000-0002-0000-0B00-000000000000}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U95"/>
  <sheetViews>
    <sheetView showGridLines="0" topLeftCell="B39" zoomScaleNormal="100" workbookViewId="0">
      <selection activeCell="G68" sqref="G68:L68"/>
    </sheetView>
  </sheetViews>
  <sheetFormatPr baseColWidth="10" defaultColWidth="8.6640625" defaultRowHeight="15" x14ac:dyDescent="0.2"/>
  <cols>
    <col min="1" max="1" width="2" customWidth="1"/>
    <col min="2" max="2" width="37.5" customWidth="1"/>
    <col min="3" max="3" width="16.33203125" customWidth="1"/>
    <col min="4" max="18" width="16.5" customWidth="1"/>
  </cols>
  <sheetData>
    <row r="1" spans="2:15" ht="19" customHeight="1" x14ac:dyDescent="0.2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">
      <c r="G2" s="221" t="s">
        <v>193</v>
      </c>
      <c r="H2" s="111"/>
      <c r="I2" s="111"/>
      <c r="J2" s="217">
        <f ca="1">E3</f>
        <v>30</v>
      </c>
    </row>
    <row r="3" spans="2:15" ht="16" customHeight="1" x14ac:dyDescent="0.2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">
      <c r="G4" s="221" t="s">
        <v>195</v>
      </c>
      <c r="H4" s="111"/>
      <c r="I4" s="111"/>
      <c r="J4" s="218">
        <v>0</v>
      </c>
    </row>
    <row r="5" spans="2:15" ht="15" customHeight="1" x14ac:dyDescent="0.2">
      <c r="G5" s="221" t="s">
        <v>196</v>
      </c>
      <c r="H5" s="111"/>
      <c r="I5" s="111"/>
      <c r="J5" s="218"/>
    </row>
    <row r="6" spans="2:15" ht="15" customHeight="1" x14ac:dyDescent="0.2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">
      <c r="B11" s="72" t="s">
        <v>221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224</v>
      </c>
    </row>
    <row r="21" spans="2:15" ht="15" customHeight="1" x14ac:dyDescent="0.2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225</v>
      </c>
    </row>
    <row r="22" spans="2:15" ht="15" customHeight="1" x14ac:dyDescent="0.2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">
      <c r="G27" s="111"/>
      <c r="H27" s="111"/>
      <c r="I27" s="111"/>
    </row>
    <row r="28" spans="2:15" ht="15" customHeight="1" x14ac:dyDescent="0.2">
      <c r="B28" s="79" t="s">
        <v>128</v>
      </c>
      <c r="C28" s="79"/>
      <c r="G28" s="111"/>
      <c r="H28" s="111"/>
      <c r="I28" s="111"/>
    </row>
    <row r="29" spans="2:15" ht="15" customHeight="1" x14ac:dyDescent="0.2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">
      <c r="B30" s="73"/>
      <c r="C30" s="107"/>
      <c r="G30" s="111"/>
      <c r="H30" s="111"/>
      <c r="I30" s="111"/>
    </row>
    <row r="31" spans="2:15" ht="15" customHeight="1" x14ac:dyDescent="0.2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">
      <c r="B36" s="81"/>
      <c r="C36" s="82"/>
      <c r="G36" s="111"/>
      <c r="H36" s="111"/>
      <c r="I36" s="111"/>
    </row>
    <row r="37" spans="2:19" ht="15" customHeight="1" x14ac:dyDescent="0.2">
      <c r="B37" s="73"/>
      <c r="C37" s="82"/>
      <c r="G37" s="111"/>
      <c r="H37" s="111"/>
      <c r="I37" s="111"/>
    </row>
    <row r="38" spans="2:19" ht="15" customHeight="1" x14ac:dyDescent="0.2">
      <c r="G38" s="111"/>
      <c r="H38" s="111"/>
      <c r="I38" s="111"/>
    </row>
    <row r="39" spans="2:19" ht="15" customHeight="1" x14ac:dyDescent="0.2">
      <c r="G39" s="111"/>
      <c r="H39" s="111"/>
      <c r="I39" s="111"/>
      <c r="S39" s="172" t="s">
        <v>186</v>
      </c>
    </row>
    <row r="40" spans="2:19" ht="20" customHeight="1" x14ac:dyDescent="0.2">
      <c r="B40" s="234" t="s">
        <v>176</v>
      </c>
      <c r="C40" s="235"/>
      <c r="D40" s="236"/>
      <c r="E40" s="66" t="s">
        <v>137</v>
      </c>
      <c r="F40" s="174">
        <f ca="1">IF(MONTH(TODAY())=11,DAY(TODAY())/DAY(EOMONTH(TODAY(),0)),IF(MONTH(TODAY())&gt;11,1,0))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6" customHeight="1" x14ac:dyDescent="0.2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6" customHeight="1" x14ac:dyDescent="0.2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6" customHeight="1" x14ac:dyDescent="0.2">
      <c r="B44" s="109" t="s">
        <v>209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6" customHeight="1" x14ac:dyDescent="0.2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">
      <c r="B46" s="237" t="s">
        <v>145</v>
      </c>
      <c r="C46" s="238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">
      <c r="G47" s="111"/>
      <c r="H47" s="111"/>
      <c r="I47" s="111"/>
      <c r="S47" s="173"/>
    </row>
    <row r="48" spans="2:19" ht="19" customHeight="1" x14ac:dyDescent="0.2">
      <c r="B48" s="250" t="s">
        <v>146</v>
      </c>
      <c r="C48" s="251"/>
      <c r="D48" s="251"/>
      <c r="E48" s="251"/>
      <c r="F48" s="251"/>
      <c r="G48" s="251"/>
      <c r="H48" s="251"/>
      <c r="I48" s="251"/>
      <c r="J48" s="251"/>
      <c r="K48" s="251"/>
      <c r="L48" s="252"/>
      <c r="M48" s="247" t="s">
        <v>187</v>
      </c>
      <c r="N48" s="248"/>
      <c r="O48" s="248"/>
      <c r="P48" s="248"/>
      <c r="Q48" s="248"/>
      <c r="R48" s="249"/>
    </row>
    <row r="49" spans="2:21" ht="17" customHeight="1" x14ac:dyDescent="0.2">
      <c r="B49" s="253" t="s">
        <v>41</v>
      </c>
      <c r="C49" s="253" t="s">
        <v>42</v>
      </c>
      <c r="D49" s="254" t="s">
        <v>137</v>
      </c>
      <c r="E49" s="255"/>
      <c r="F49" s="255"/>
      <c r="G49" s="256"/>
      <c r="H49" s="257" t="s">
        <v>138</v>
      </c>
      <c r="I49" s="258"/>
      <c r="J49" s="258"/>
      <c r="K49" s="259"/>
      <c r="L49" s="264" t="s">
        <v>139</v>
      </c>
      <c r="M49" s="262" t="str">
        <f>"SELISIH"&amp;CHAR(10)&amp;TEXT($H$40,"0%")</f>
        <v>SELISIH
90%</v>
      </c>
      <c r="N49" s="262" t="str">
        <f>"PER HARI"&amp;CHAR(10)&amp;TEXT($H$40,"0%")</f>
        <v>PER HARI
90%</v>
      </c>
      <c r="O49" s="266" t="str">
        <f>"SELISIH"&amp;CHAR(10)&amp;TEXT($J$40,"0%")</f>
        <v>SELISIH
95%</v>
      </c>
      <c r="P49" s="266" t="str">
        <f>"PER HARI"&amp;CHAR(10)&amp;TEXT($J$40,"0%")</f>
        <v>PER HARI
95%</v>
      </c>
      <c r="Q49" s="260" t="str">
        <f>"SELISIH"&amp;CHAR(10)&amp;TEXT($L$40,"0%")</f>
        <v>SELISIH
100%</v>
      </c>
      <c r="R49" s="260" t="str">
        <f>"PER HARI"&amp;CHAR(10)&amp;TEXT($L$40,"0%")</f>
        <v>PER HARI
100%</v>
      </c>
    </row>
    <row r="50" spans="2:21" ht="17" customHeight="1" x14ac:dyDescent="0.2">
      <c r="B50" s="239"/>
      <c r="C50" s="23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65"/>
      <c r="M50" s="263"/>
      <c r="N50" s="263"/>
      <c r="O50" s="267"/>
      <c r="P50" s="267"/>
      <c r="Q50" s="261"/>
      <c r="R50" s="261"/>
      <c r="T50" s="178" t="s">
        <v>217</v>
      </c>
      <c r="U50" s="178" t="s">
        <v>218</v>
      </c>
    </row>
    <row r="51" spans="2:21" ht="16" customHeight="1" x14ac:dyDescent="0.2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219</v>
      </c>
    </row>
    <row r="52" spans="2:21" ht="16" customHeight="1" x14ac:dyDescent="0.2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6" customHeight="1" x14ac:dyDescent="0.2">
      <c r="B53" s="136" t="s">
        <v>173</v>
      </c>
      <c r="C53" s="137" t="s">
        <v>174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170</v>
      </c>
      <c r="U53" t="s">
        <v>219</v>
      </c>
    </row>
    <row r="54" spans="2:21" ht="16" customHeight="1" x14ac:dyDescent="0.2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219</v>
      </c>
    </row>
    <row r="55" spans="2:21" ht="16" customHeight="1" x14ac:dyDescent="0.2">
      <c r="B55" s="50" t="s">
        <v>73</v>
      </c>
      <c r="C55" s="55" t="s">
        <v>223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183</v>
      </c>
      <c r="U55" t="s">
        <v>219</v>
      </c>
    </row>
    <row r="56" spans="2:21" ht="16" customHeight="1" x14ac:dyDescent="0.2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184</v>
      </c>
      <c r="U56" t="s">
        <v>219</v>
      </c>
    </row>
    <row r="57" spans="2:21" ht="16" customHeight="1" x14ac:dyDescent="0.2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219</v>
      </c>
    </row>
    <row r="58" spans="2:21" ht="16" customHeight="1" x14ac:dyDescent="0.2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219</v>
      </c>
    </row>
    <row r="59" spans="2:21" ht="16" customHeight="1" x14ac:dyDescent="0.2">
      <c r="B59" s="136" t="s">
        <v>173</v>
      </c>
      <c r="C59" s="137" t="s">
        <v>175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171</v>
      </c>
      <c r="U59" t="s">
        <v>219</v>
      </c>
    </row>
    <row r="60" spans="2:21" ht="16" customHeight="1" x14ac:dyDescent="0.2">
      <c r="B60" s="53" t="s">
        <v>80</v>
      </c>
      <c r="C60" s="56" t="s">
        <v>222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221</v>
      </c>
      <c r="U60" t="s">
        <v>219</v>
      </c>
    </row>
    <row r="61" spans="2:21" ht="16" customHeight="1" x14ac:dyDescent="0.2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219</v>
      </c>
    </row>
    <row r="62" spans="2:21" ht="16" customHeight="1" x14ac:dyDescent="0.2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219</v>
      </c>
    </row>
    <row r="63" spans="2:21" ht="16" customHeight="1" x14ac:dyDescent="0.2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219</v>
      </c>
    </row>
    <row r="64" spans="2:21" ht="16" customHeight="1" x14ac:dyDescent="0.2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6" customHeight="1" x14ac:dyDescent="0.2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">
      <c r="G66" s="111"/>
      <c r="H66" s="111"/>
      <c r="I66" s="111"/>
    </row>
    <row r="67" spans="2:21" ht="19" customHeight="1" x14ac:dyDescent="0.2">
      <c r="B67" s="241" t="s">
        <v>144</v>
      </c>
      <c r="C67" s="242"/>
      <c r="D67" s="242"/>
      <c r="E67" s="242"/>
      <c r="F67" s="243"/>
      <c r="G67" s="247" t="s">
        <v>187</v>
      </c>
      <c r="H67" s="248"/>
      <c r="I67" s="248"/>
      <c r="J67" s="248"/>
      <c r="K67" s="248"/>
      <c r="L67" s="249"/>
    </row>
    <row r="68" spans="2:21" ht="30" customHeight="1" x14ac:dyDescent="0.2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6" customHeight="1" x14ac:dyDescent="0.2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6" customHeight="1" x14ac:dyDescent="0.2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6" customHeight="1" x14ac:dyDescent="0.2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t="16" hidden="1" x14ac:dyDescent="0.2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t="16" hidden="1" x14ac:dyDescent="0.2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6" customHeight="1" x14ac:dyDescent="0.2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"/>
    <row r="76" spans="2:21" ht="15" customHeight="1" x14ac:dyDescent="0.2"/>
    <row r="77" spans="2:21" ht="20" customHeight="1" x14ac:dyDescent="0.2">
      <c r="B77" s="244" t="s">
        <v>172</v>
      </c>
      <c r="C77" s="245"/>
      <c r="D77" s="246"/>
    </row>
    <row r="78" spans="2:21" ht="17" customHeight="1" x14ac:dyDescent="0.2">
      <c r="B78" s="239" t="s">
        <v>41</v>
      </c>
      <c r="C78" s="239" t="s">
        <v>42</v>
      </c>
      <c r="D78" s="231" t="s">
        <v>138</v>
      </c>
    </row>
    <row r="79" spans="2:21" ht="17" customHeight="1" x14ac:dyDescent="0.2">
      <c r="B79" s="240"/>
      <c r="C79" s="240"/>
      <c r="D79" s="70" t="s">
        <v>169</v>
      </c>
      <c r="T79" s="178" t="s">
        <v>217</v>
      </c>
      <c r="U79" s="178" t="s">
        <v>218</v>
      </c>
    </row>
    <row r="80" spans="2:21" ht="16" customHeight="1" x14ac:dyDescent="0.2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6" customHeight="1" x14ac:dyDescent="0.2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6" customHeight="1" x14ac:dyDescent="0.2">
      <c r="B82" s="53" t="s">
        <v>173</v>
      </c>
      <c r="C82" s="56" t="s">
        <v>174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6" customHeight="1" x14ac:dyDescent="0.2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6" customHeight="1" x14ac:dyDescent="0.2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6" customHeight="1" x14ac:dyDescent="0.2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6" customHeight="1" x14ac:dyDescent="0.2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6" customHeight="1" x14ac:dyDescent="0.2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6" customHeight="1" x14ac:dyDescent="0.2">
      <c r="B88" s="53" t="s">
        <v>173</v>
      </c>
      <c r="C88" s="56" t="s">
        <v>175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6" customHeight="1" x14ac:dyDescent="0.2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6" customHeight="1" x14ac:dyDescent="0.2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6" customHeight="1" x14ac:dyDescent="0.2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6" customHeight="1" x14ac:dyDescent="0.2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6" customHeight="1" x14ac:dyDescent="0.2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6" customHeight="1" x14ac:dyDescent="0.2">
      <c r="B94" s="57" t="s">
        <v>151</v>
      </c>
      <c r="C94" s="58"/>
      <c r="D94" s="120">
        <f>SUM(D80:D93)</f>
        <v>0</v>
      </c>
    </row>
    <row r="95" spans="2:21" ht="15" customHeight="1" x14ac:dyDescent="0.2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 xr:uid="{00000000-0002-0000-0C00-000000000000}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U95"/>
  <sheetViews>
    <sheetView showGridLines="0" topLeftCell="B47" zoomScaleNormal="100" workbookViewId="0">
      <selection activeCell="G68" sqref="G68:L68"/>
    </sheetView>
  </sheetViews>
  <sheetFormatPr baseColWidth="10" defaultColWidth="8.6640625" defaultRowHeight="15" x14ac:dyDescent="0.2"/>
  <cols>
    <col min="1" max="1" width="2" customWidth="1"/>
    <col min="2" max="2" width="37.5" customWidth="1"/>
    <col min="3" max="3" width="16.33203125" customWidth="1"/>
    <col min="4" max="18" width="16.5" customWidth="1"/>
  </cols>
  <sheetData>
    <row r="1" spans="2:15" ht="19" customHeight="1" x14ac:dyDescent="0.2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">
      <c r="G2" s="221" t="s">
        <v>193</v>
      </c>
      <c r="H2" s="111"/>
      <c r="I2" s="111"/>
      <c r="J2" s="217">
        <f ca="1">E3</f>
        <v>31</v>
      </c>
    </row>
    <row r="3" spans="2:15" ht="16" customHeight="1" x14ac:dyDescent="0.2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">
      <c r="G4" s="221" t="s">
        <v>195</v>
      </c>
      <c r="H4" s="111"/>
      <c r="I4" s="111"/>
      <c r="J4" s="218">
        <v>0</v>
      </c>
    </row>
    <row r="5" spans="2:15" ht="15" customHeight="1" x14ac:dyDescent="0.2">
      <c r="G5" s="221" t="s">
        <v>196</v>
      </c>
      <c r="H5" s="111"/>
      <c r="I5" s="111"/>
      <c r="J5" s="218"/>
    </row>
    <row r="6" spans="2:15" ht="15" customHeight="1" x14ac:dyDescent="0.2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">
      <c r="B11" s="72" t="s">
        <v>221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224</v>
      </c>
    </row>
    <row r="21" spans="2:15" ht="15" customHeight="1" x14ac:dyDescent="0.2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225</v>
      </c>
    </row>
    <row r="22" spans="2:15" ht="15" customHeight="1" x14ac:dyDescent="0.2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">
      <c r="G27" s="111"/>
      <c r="H27" s="111"/>
      <c r="I27" s="111"/>
    </row>
    <row r="28" spans="2:15" ht="15" customHeight="1" x14ac:dyDescent="0.2">
      <c r="B28" s="79" t="s">
        <v>128</v>
      </c>
      <c r="C28" s="79"/>
      <c r="G28" s="111"/>
      <c r="H28" s="111"/>
      <c r="I28" s="111"/>
    </row>
    <row r="29" spans="2:15" ht="15" customHeight="1" x14ac:dyDescent="0.2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">
      <c r="B30" s="73"/>
      <c r="C30" s="107"/>
      <c r="G30" s="111"/>
      <c r="H30" s="111"/>
      <c r="I30" s="111"/>
    </row>
    <row r="31" spans="2:15" ht="15" customHeight="1" x14ac:dyDescent="0.2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">
      <c r="B36" s="81"/>
      <c r="C36" s="82"/>
      <c r="G36" s="111"/>
      <c r="H36" s="111"/>
      <c r="I36" s="111"/>
    </row>
    <row r="37" spans="2:19" ht="15" customHeight="1" x14ac:dyDescent="0.2">
      <c r="B37" s="73"/>
      <c r="C37" s="82"/>
      <c r="G37" s="111"/>
      <c r="H37" s="111"/>
      <c r="I37" s="111"/>
    </row>
    <row r="38" spans="2:19" ht="15" customHeight="1" x14ac:dyDescent="0.2">
      <c r="G38" s="111"/>
      <c r="H38" s="111"/>
      <c r="I38" s="111"/>
    </row>
    <row r="39" spans="2:19" ht="15" customHeight="1" x14ac:dyDescent="0.2">
      <c r="G39" s="111"/>
      <c r="H39" s="111"/>
      <c r="I39" s="111"/>
      <c r="S39" s="172" t="s">
        <v>186</v>
      </c>
    </row>
    <row r="40" spans="2:19" ht="20" customHeight="1" x14ac:dyDescent="0.2">
      <c r="B40" s="234" t="s">
        <v>178</v>
      </c>
      <c r="C40" s="235"/>
      <c r="D40" s="236"/>
      <c r="E40" s="66" t="s">
        <v>137</v>
      </c>
      <c r="F40" s="174">
        <f ca="1">IF(MONTH(TODAY())=12,DAY(TODAY())/DAY(EOMONTH(TODAY(),0)),IF(MONTH(TODAY())&gt;12,1,0))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6" customHeight="1" x14ac:dyDescent="0.2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6" customHeight="1" x14ac:dyDescent="0.2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6" customHeight="1" x14ac:dyDescent="0.2">
      <c r="B44" s="109" t="s">
        <v>209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6" customHeight="1" x14ac:dyDescent="0.2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">
      <c r="B46" s="237" t="s">
        <v>145</v>
      </c>
      <c r="C46" s="238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">
      <c r="G47" s="111"/>
      <c r="H47" s="111"/>
      <c r="I47" s="111"/>
      <c r="S47" s="173"/>
    </row>
    <row r="48" spans="2:19" ht="19" customHeight="1" x14ac:dyDescent="0.2">
      <c r="B48" s="250" t="s">
        <v>146</v>
      </c>
      <c r="C48" s="251"/>
      <c r="D48" s="251"/>
      <c r="E48" s="251"/>
      <c r="F48" s="251"/>
      <c r="G48" s="251"/>
      <c r="H48" s="251"/>
      <c r="I48" s="251"/>
      <c r="J48" s="251"/>
      <c r="K48" s="251"/>
      <c r="L48" s="252"/>
      <c r="M48" s="247" t="s">
        <v>187</v>
      </c>
      <c r="N48" s="248"/>
      <c r="O48" s="248"/>
      <c r="P48" s="248"/>
      <c r="Q48" s="248"/>
      <c r="R48" s="249"/>
    </row>
    <row r="49" spans="2:21" ht="17" customHeight="1" x14ac:dyDescent="0.2">
      <c r="B49" s="253" t="s">
        <v>41</v>
      </c>
      <c r="C49" s="253" t="s">
        <v>42</v>
      </c>
      <c r="D49" s="254" t="s">
        <v>137</v>
      </c>
      <c r="E49" s="255"/>
      <c r="F49" s="255"/>
      <c r="G49" s="256"/>
      <c r="H49" s="257" t="s">
        <v>138</v>
      </c>
      <c r="I49" s="258"/>
      <c r="J49" s="258"/>
      <c r="K49" s="259"/>
      <c r="L49" s="264" t="s">
        <v>139</v>
      </c>
      <c r="M49" s="262" t="str">
        <f>"SELISIH"&amp;CHAR(10)&amp;TEXT($H$40,"0%")</f>
        <v>SELISIH
90%</v>
      </c>
      <c r="N49" s="262" t="str">
        <f>"PER HARI"&amp;CHAR(10)&amp;TEXT($H$40,"0%")</f>
        <v>PER HARI
90%</v>
      </c>
      <c r="O49" s="266" t="str">
        <f>"SELISIH"&amp;CHAR(10)&amp;TEXT($J$40,"0%")</f>
        <v>SELISIH
95%</v>
      </c>
      <c r="P49" s="266" t="str">
        <f>"PER HARI"&amp;CHAR(10)&amp;TEXT($J$40,"0%")</f>
        <v>PER HARI
95%</v>
      </c>
      <c r="Q49" s="260" t="str">
        <f>"SELISIH"&amp;CHAR(10)&amp;TEXT($L$40,"0%")</f>
        <v>SELISIH
100%</v>
      </c>
      <c r="R49" s="260" t="str">
        <f>"PER HARI"&amp;CHAR(10)&amp;TEXT($L$40,"0%")</f>
        <v>PER HARI
100%</v>
      </c>
    </row>
    <row r="50" spans="2:21" ht="17" customHeight="1" x14ac:dyDescent="0.2">
      <c r="B50" s="239"/>
      <c r="C50" s="23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65"/>
      <c r="M50" s="263"/>
      <c r="N50" s="263"/>
      <c r="O50" s="267"/>
      <c r="P50" s="267"/>
      <c r="Q50" s="261"/>
      <c r="R50" s="261"/>
      <c r="T50" s="178" t="s">
        <v>217</v>
      </c>
      <c r="U50" s="178" t="s">
        <v>218</v>
      </c>
    </row>
    <row r="51" spans="2:21" ht="16" customHeight="1" x14ac:dyDescent="0.2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219</v>
      </c>
    </row>
    <row r="52" spans="2:21" ht="16" customHeight="1" x14ac:dyDescent="0.2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6" customHeight="1" x14ac:dyDescent="0.2">
      <c r="B53" s="136" t="s">
        <v>173</v>
      </c>
      <c r="C53" s="137" t="s">
        <v>174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170</v>
      </c>
      <c r="U53" t="s">
        <v>219</v>
      </c>
    </row>
    <row r="54" spans="2:21" ht="16" customHeight="1" x14ac:dyDescent="0.2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219</v>
      </c>
    </row>
    <row r="55" spans="2:21" ht="16" customHeight="1" x14ac:dyDescent="0.2">
      <c r="B55" s="50" t="s">
        <v>73</v>
      </c>
      <c r="C55" s="55" t="s">
        <v>223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183</v>
      </c>
      <c r="U55" t="s">
        <v>219</v>
      </c>
    </row>
    <row r="56" spans="2:21" ht="16" customHeight="1" x14ac:dyDescent="0.2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184</v>
      </c>
      <c r="U56" t="s">
        <v>219</v>
      </c>
    </row>
    <row r="57" spans="2:21" ht="16" customHeight="1" x14ac:dyDescent="0.2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219</v>
      </c>
    </row>
    <row r="58" spans="2:21" ht="16" customHeight="1" x14ac:dyDescent="0.2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219</v>
      </c>
    </row>
    <row r="59" spans="2:21" ht="16" customHeight="1" x14ac:dyDescent="0.2">
      <c r="B59" s="136" t="s">
        <v>173</v>
      </c>
      <c r="C59" s="137" t="s">
        <v>175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171</v>
      </c>
      <c r="U59" t="s">
        <v>219</v>
      </c>
    </row>
    <row r="60" spans="2:21" ht="16" customHeight="1" x14ac:dyDescent="0.2">
      <c r="B60" s="53" t="s">
        <v>80</v>
      </c>
      <c r="C60" s="56" t="s">
        <v>222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221</v>
      </c>
      <c r="U60" t="s">
        <v>219</v>
      </c>
    </row>
    <row r="61" spans="2:21" ht="16" customHeight="1" x14ac:dyDescent="0.2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219</v>
      </c>
    </row>
    <row r="62" spans="2:21" ht="16" customHeight="1" x14ac:dyDescent="0.2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219</v>
      </c>
    </row>
    <row r="63" spans="2:21" ht="16" customHeight="1" x14ac:dyDescent="0.2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219</v>
      </c>
    </row>
    <row r="64" spans="2:21" ht="16" customHeight="1" x14ac:dyDescent="0.2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6" customHeight="1" x14ac:dyDescent="0.2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">
      <c r="G66" s="111"/>
      <c r="H66" s="111"/>
      <c r="I66" s="111"/>
    </row>
    <row r="67" spans="2:21" ht="19" customHeight="1" x14ac:dyDescent="0.2">
      <c r="B67" s="241" t="s">
        <v>144</v>
      </c>
      <c r="C67" s="242"/>
      <c r="D67" s="242"/>
      <c r="E67" s="242"/>
      <c r="F67" s="243"/>
      <c r="G67" s="247" t="s">
        <v>187</v>
      </c>
      <c r="H67" s="248"/>
      <c r="I67" s="248"/>
      <c r="J67" s="248"/>
      <c r="K67" s="248"/>
      <c r="L67" s="249"/>
    </row>
    <row r="68" spans="2:21" ht="30" customHeight="1" x14ac:dyDescent="0.2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6" customHeight="1" x14ac:dyDescent="0.2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6" customHeight="1" x14ac:dyDescent="0.2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6" customHeight="1" x14ac:dyDescent="0.2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t="16" hidden="1" x14ac:dyDescent="0.2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t="16" hidden="1" x14ac:dyDescent="0.2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6" customHeight="1" x14ac:dyDescent="0.2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"/>
    <row r="76" spans="2:21" ht="15" customHeight="1" x14ac:dyDescent="0.2"/>
    <row r="77" spans="2:21" ht="20" customHeight="1" x14ac:dyDescent="0.2">
      <c r="B77" s="244" t="s">
        <v>172</v>
      </c>
      <c r="C77" s="245"/>
      <c r="D77" s="246"/>
    </row>
    <row r="78" spans="2:21" ht="17" customHeight="1" x14ac:dyDescent="0.2">
      <c r="B78" s="239" t="s">
        <v>41</v>
      </c>
      <c r="C78" s="239" t="s">
        <v>42</v>
      </c>
      <c r="D78" s="231" t="s">
        <v>138</v>
      </c>
    </row>
    <row r="79" spans="2:21" ht="17" customHeight="1" x14ac:dyDescent="0.2">
      <c r="B79" s="240"/>
      <c r="C79" s="240"/>
      <c r="D79" s="70" t="s">
        <v>169</v>
      </c>
      <c r="T79" s="178" t="s">
        <v>217</v>
      </c>
      <c r="U79" s="178" t="s">
        <v>218</v>
      </c>
    </row>
    <row r="80" spans="2:21" ht="16" customHeight="1" x14ac:dyDescent="0.2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6" customHeight="1" x14ac:dyDescent="0.2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6" customHeight="1" x14ac:dyDescent="0.2">
      <c r="B82" s="53" t="s">
        <v>173</v>
      </c>
      <c r="C82" s="56" t="s">
        <v>174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6" customHeight="1" x14ac:dyDescent="0.2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6" customHeight="1" x14ac:dyDescent="0.2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6" customHeight="1" x14ac:dyDescent="0.2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6" customHeight="1" x14ac:dyDescent="0.2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6" customHeight="1" x14ac:dyDescent="0.2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6" customHeight="1" x14ac:dyDescent="0.2">
      <c r="B88" s="53" t="s">
        <v>173</v>
      </c>
      <c r="C88" s="56" t="s">
        <v>175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6" customHeight="1" x14ac:dyDescent="0.2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6" customHeight="1" x14ac:dyDescent="0.2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6" customHeight="1" x14ac:dyDescent="0.2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6" customHeight="1" x14ac:dyDescent="0.2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6" customHeight="1" x14ac:dyDescent="0.2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6" customHeight="1" x14ac:dyDescent="0.2">
      <c r="B94" s="57" t="s">
        <v>151</v>
      </c>
      <c r="C94" s="58"/>
      <c r="D94" s="120">
        <f>SUM(D80:D93)</f>
        <v>0</v>
      </c>
    </row>
    <row r="95" spans="2:21" ht="15" customHeight="1" x14ac:dyDescent="0.2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 xr:uid="{00000000-0002-0000-0D00-000000000000}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cp:lastPrinted>2026-08-08T02:50:28Z</cp:lastPrinted>
  <dcterms:created xsi:type="dcterms:W3CDTF">2026-03-24T08:59:20Z</dcterms:created>
  <dcterms:modified xsi:type="dcterms:W3CDTF">2026-09-01T03:13:08Z</dcterms:modified>
  <dc:language>en-US</dc:language>
</cp:coreProperties>
</file>