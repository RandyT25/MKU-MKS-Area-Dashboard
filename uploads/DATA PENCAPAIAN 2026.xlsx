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65" i="10"/>
  <c r="K51" i="10"/>
  <c r="M51" i="10"/>
  <c r="M65" i="10" s="1"/>
  <c r="O51" i="10"/>
  <c r="K52" i="10"/>
  <c r="M52" i="10"/>
  <c r="O52" i="10"/>
  <c r="K53" i="10"/>
  <c r="M53" i="10"/>
  <c r="O53" i="10"/>
  <c r="K54" i="10"/>
  <c r="M54" i="10"/>
  <c r="O54" i="10"/>
  <c r="K55" i="10"/>
  <c r="M55" i="10"/>
  <c r="O55" i="10"/>
  <c r="K56" i="10"/>
  <c r="M56" i="10"/>
  <c r="O56" i="10"/>
  <c r="K57" i="10"/>
  <c r="M57" i="10"/>
  <c r="O57" i="10"/>
  <c r="K58" i="10"/>
  <c r="M58" i="10"/>
  <c r="O58" i="10"/>
  <c r="K59" i="10"/>
  <c r="M59" i="10"/>
  <c r="O59" i="10"/>
  <c r="K60" i="10"/>
  <c r="M60" i="10"/>
  <c r="O60" i="10"/>
  <c r="K61" i="10"/>
  <c r="M61" i="10"/>
  <c r="O61" i="10"/>
  <c r="K62" i="10"/>
  <c r="M62" i="10"/>
  <c r="O62" i="10"/>
  <c r="K63" i="10"/>
  <c r="M63" i="10"/>
  <c r="O63" i="10"/>
  <c r="K64" i="10"/>
  <c r="M64" i="10"/>
  <c r="O64" i="10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69" i="10"/>
  <c r="I69" i="10"/>
  <c r="K69" i="10"/>
  <c r="G70" i="10"/>
  <c r="G74" i="10" s="1"/>
  <c r="I70" i="10"/>
  <c r="K70" i="10"/>
  <c r="G71" i="10"/>
  <c r="I71" i="10"/>
  <c r="K71" i="10"/>
  <c r="G72" i="10"/>
  <c r="I72" i="10"/>
  <c r="K72" i="10"/>
  <c r="K74" i="10" s="1"/>
  <c r="G73" i="10"/>
  <c r="I73" i="10"/>
  <c r="K73" i="10"/>
  <c r="G68" i="10"/>
  <c r="H68" i="10"/>
  <c r="I68" i="10"/>
  <c r="J68" i="10"/>
  <c r="K68" i="10"/>
  <c r="L68" i="10"/>
  <c r="I46" i="10"/>
  <c r="G43" i="10"/>
  <c r="I43" i="10"/>
  <c r="K43" i="10"/>
  <c r="G44" i="10"/>
  <c r="I44" i="10"/>
  <c r="K44" i="10"/>
  <c r="G45" i="10"/>
  <c r="I45" i="10"/>
  <c r="K45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M17" i="10"/>
  <c r="G62" i="10" s="1"/>
  <c r="I62" i="10" s="1"/>
  <c r="N16" i="10"/>
  <c r="M16" i="10"/>
  <c r="G61" i="10" s="1"/>
  <c r="N15" i="10"/>
  <c r="H60" i="10" s="1"/>
  <c r="M15" i="10"/>
  <c r="G60" i="10" s="1"/>
  <c r="I60" i="10" s="1"/>
  <c r="N14" i="10"/>
  <c r="H58" i="10" s="1"/>
  <c r="M14" i="10"/>
  <c r="N13" i="10"/>
  <c r="M13" i="10"/>
  <c r="G57" i="10" s="1"/>
  <c r="I57" i="10" s="1"/>
  <c r="N12" i="10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I52" i="10" s="1"/>
  <c r="N8" i="10"/>
  <c r="M8" i="10"/>
  <c r="G51" i="10" s="1"/>
  <c r="N7" i="10"/>
  <c r="M7" i="10"/>
  <c r="H63" i="10"/>
  <c r="H62" i="10"/>
  <c r="H61" i="10"/>
  <c r="H59" i="10"/>
  <c r="G59" i="10"/>
  <c r="G58" i="10"/>
  <c r="I58" i="10" s="1"/>
  <c r="H57" i="10"/>
  <c r="H56" i="10"/>
  <c r="H53" i="10"/>
  <c r="G53" i="10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G74" i="6" l="1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0"/>
  <c r="O65" i="11"/>
  <c r="K46" i="10"/>
  <c r="K46" i="11"/>
  <c r="K74" i="11"/>
  <c r="G46" i="10"/>
  <c r="I74" i="10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L52" i="10"/>
  <c r="N53" i="10"/>
  <c r="L56" i="10"/>
  <c r="P58" i="10"/>
  <c r="L60" i="10"/>
  <c r="P62" i="10"/>
  <c r="N55" i="10"/>
  <c r="L62" i="10"/>
  <c r="P54" i="10"/>
  <c r="N57" i="10"/>
  <c r="N61" i="10"/>
  <c r="L64" i="10"/>
  <c r="L54" i="10"/>
  <c r="P64" i="10"/>
  <c r="L51" i="10"/>
  <c r="N52" i="10"/>
  <c r="P53" i="10"/>
  <c r="L55" i="10"/>
  <c r="N56" i="10"/>
  <c r="P57" i="10"/>
  <c r="L59" i="10"/>
  <c r="N60" i="10"/>
  <c r="P61" i="10"/>
  <c r="L63" i="10"/>
  <c r="N64" i="10"/>
  <c r="P52" i="10"/>
  <c r="P56" i="10"/>
  <c r="L58" i="10"/>
  <c r="N59" i="10"/>
  <c r="P60" i="10"/>
  <c r="N63" i="10"/>
  <c r="N51" i="10"/>
  <c r="N62" i="10"/>
  <c r="P59" i="10"/>
  <c r="L65" i="10"/>
  <c r="N54" i="10"/>
  <c r="N65" i="10"/>
  <c r="P63" i="10"/>
  <c r="P51" i="10"/>
  <c r="L61" i="10"/>
  <c r="N58" i="10"/>
  <c r="L57" i="10"/>
  <c r="P55" i="10"/>
  <c r="L53" i="10"/>
  <c r="P65" i="10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L44" i="10"/>
  <c r="J72" i="10"/>
  <c r="H71" i="10"/>
  <c r="H69" i="10"/>
  <c r="J70" i="10"/>
  <c r="L71" i="10"/>
  <c r="H73" i="10"/>
  <c r="H44" i="10"/>
  <c r="J45" i="10"/>
  <c r="L69" i="10"/>
  <c r="J43" i="10"/>
  <c r="J44" i="10"/>
  <c r="L70" i="10"/>
  <c r="H74" i="10"/>
  <c r="J46" i="10"/>
  <c r="L43" i="10"/>
  <c r="L74" i="10"/>
  <c r="J71" i="10"/>
  <c r="J69" i="10"/>
  <c r="J73" i="10"/>
  <c r="H45" i="10"/>
  <c r="H43" i="10"/>
  <c r="L45" i="10"/>
  <c r="H72" i="10"/>
  <c r="L72" i="10"/>
  <c r="H70" i="10"/>
  <c r="L46" i="10"/>
  <c r="H46" i="10"/>
  <c r="J74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D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F51" i="10" s="1"/>
  <c r="J51" i="10" s="1"/>
  <c r="D64" i="10"/>
  <c r="D63" i="10"/>
  <c r="F63" i="10" s="1"/>
  <c r="J63" i="10" s="1"/>
  <c r="D62" i="10"/>
  <c r="D61" i="10"/>
  <c r="D60" i="10"/>
  <c r="D59" i="10"/>
  <c r="D58" i="10"/>
  <c r="D57" i="10"/>
  <c r="D56" i="10"/>
  <c r="D55" i="10"/>
  <c r="F55" i="10" s="1"/>
  <c r="J55" i="10" s="1"/>
  <c r="D54" i="10"/>
  <c r="D53" i="10"/>
  <c r="F53" i="10" s="1"/>
  <c r="J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J61" i="10" s="1"/>
  <c r="F59" i="10"/>
  <c r="J59" i="10" s="1"/>
  <c r="F58" i="10"/>
  <c r="J58" i="10" s="1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J53" i="12" l="1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J60" i="10" s="1"/>
  <c r="F45" i="10"/>
  <c r="F53" i="11"/>
  <c r="J53" i="11" s="1"/>
  <c r="F70" i="11"/>
  <c r="F58" i="11"/>
  <c r="J58" i="11" s="1"/>
  <c r="F56" i="10"/>
  <c r="J56" i="10" s="1"/>
  <c r="F64" i="10"/>
  <c r="J64" i="10" s="1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J54" i="10" s="1"/>
  <c r="L51" i="3"/>
  <c r="L59" i="3"/>
  <c r="D65" i="11"/>
  <c r="D65" i="13"/>
  <c r="F60" i="8"/>
  <c r="D74" i="9"/>
  <c r="F70" i="7"/>
  <c r="E65" i="11"/>
  <c r="D65" i="14"/>
  <c r="F61" i="7"/>
  <c r="F51" i="9"/>
  <c r="F62" i="10"/>
  <c r="J62" i="10" s="1"/>
  <c r="F70" i="14"/>
  <c r="F57" i="10"/>
  <c r="J57" i="10" s="1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H43" i="13" l="1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46" i="9" l="1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<sst xmlns="http://schemas.openxmlformats.org/spreadsheetml/2006/main" count="1843" uniqueCount="193">
  <si>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</si>
  <si>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</si>
  <si>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</si>
  <si>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</si>
  <si>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</si>
  <si>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</si>
  <si>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</si>
  <si>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</si>
  <si>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</si>
  <si>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</si>
  <si>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</si>
  <si>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</si>
  <si>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</si>
  <si>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</si>
  <si>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</si>
  <si>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</si>
  <si>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</si>
  <si>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</si>
  <si>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</si>
  <si>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</si>
  <si>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</si>
  <si>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</si>
  <si>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</si>
  <si>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</si>
  <si>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</si>
  <si>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</si>
  <si>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</si>
  <si>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</si>
  <si>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</si>
  <si>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</si>
  <si>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</si>
  <si>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</si>
  <si>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</si>
  <si>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</si>
  <si>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</si>
  <si>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</si>
  <si>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</si>
  <si>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</si>
  <si>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</si>
  <si>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</si>
  <si>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</si>
  <si>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</si>
  <si>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</si>
  <si>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</si>
  <si>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</si>
  <si>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</si>
  <si>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</si>
  <si>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</si>
  <si>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</si>
  <si>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</si>
  <si>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</si>
  <si>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</si>
  <si>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</si>
  <si>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</si>
  <si>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</si>
  <si>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</si>
  <si>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</si>
  <si>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</si>
  <si>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</si>
  <si>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</si>
  <si>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</si>
  <si>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</si>
  <si>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</si>
  <si>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</si>
  <si>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</si>
  <si>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</si>
  <si>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</si>
  <si>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</si>
  <si>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</si>
  <si>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</si>
  <si>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</si>
  <si>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</si>
  <si>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</si>
  <si>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</si>
  <si>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</si>
  <si>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</si>
  <si>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</si>
  <si>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</si>
  <si>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</si>
  <si>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</si>
  <si>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</si>
  <si>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</si>
  <si>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</si>
  <si>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</si>
  <si>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</si>
  <si>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</si>
  <si>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</si>
  <si>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</si>
  <si>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</si>
  <si>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</si>
  <si>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</si>
  <si>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</si>
  <si>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</si>
  <si>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</si>
  <si>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</si>
  <si>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</si>
  <si>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</si>
  <si>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</si>
  <si>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</si>
  <si>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</si>
  <si>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</si>
  <si>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</si>
  <si>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</si>
  <si>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</si>
  <si>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</si>
  <si>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</si>
  <si>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</si>
  <si>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</si>
  <si>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</si>
  <si>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</si>
  <si>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</si>
  <si>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</si>
  <si>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</si>
  <si>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</si>
  <si>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</si>
  <si>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</si>
  <si>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</si>
  <si>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</si>
  <si>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</si>
  <si>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</si>
  <si>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</si>
  <si>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</si>
  <si>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</si>
  <si>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</si>
  <si>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</si>
  <si>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</si>
  <si>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</si>
  <si>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</si>
  <si>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</si>
  <si>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</si>
  <si>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</si>
  <si>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</si>
  <si>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</si>
  <si>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</si>
  <si>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</si>
  <si>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</si>
  <si>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</si>
  <si>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</si>
  <si>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</si>
  <si>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</si>
  <si>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</si>
  <si>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</si>
  <si>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</si>
  <si>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</si>
  <si>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</si>
  <si>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</si>
  <si>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</si>
  <si>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</si>
  <si>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</si>
  <si>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</si>
  <si>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</si>
  <si>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</si>
  <si>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</si>
  <si>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</si>
  <si>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</si>
  <si>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</si>
  <si>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</si>
  <si>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</si>
  <si>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</si>
  <si>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</si>
  <si>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</si>
  <si>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</si>
  <si>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</si>
  <si>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</si>
  <si>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</si>
  <si>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</si>
  <si>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</si>
  <si>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</si>
  <si>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</si>
  <si>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</si>
  <si>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</si>
  <si>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</si>
  <si>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</si>
  <si>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</si>
  <si>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</si>
  <si>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</si>
  <si>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</si>
  <si>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</si>
  <si>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</si>
  <si>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</si>
  <si>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</si>
  <si>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</si>
  <si>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</si>
  <si>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</si>
  <si>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</si>
  <si>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</si>
  <si>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</si>
  <si>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</si>
  <si>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</si>
  <si>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</si>
  <si>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</si>
  <si>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</si>
  <si>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29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</si>
</sst>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6" zoomScale="110" zoomScaleNormal="110" workbookViewId="0">
      <selection activeCell="K22" sqref="K22:K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175</v>
      </c>
      <c r="C7" s="138" t="s">
        <v>176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175</v>
      </c>
      <c r="C13" s="138" t="s">
        <v>177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168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188</v>
      </c>
    </row>
    <row r="41" spans="2:19" ht="27.95" customHeight="1" x14ac:dyDescent="0.25">
      <c r="B41" s="252" t="s">
        <v>181</v>
      </c>
      <c r="C41" s="253"/>
      <c r="D41" s="254"/>
      <c r="E41" s="67" t="s">
        <v>138</v>
      </c>
      <c r="F41" s="185"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  <c r="Q48"/>
      <c r="R48"/>
    </row>
    <row r="49" spans="2:18" s="148" customFormat="1" ht="33.950000000000003" customHeight="1" x14ac:dyDescent="0.25">
      <c r="B49" s="260" t="s">
        <v>41</v>
      </c>
      <c r="C49" s="260" t="s">
        <v>42</v>
      </c>
      <c r="D49" s="257" t="s">
        <v>138</v>
      </c>
      <c r="E49" s="258"/>
      <c r="F49" s="259"/>
      <c r="G49" s="149" t="s">
        <v>139</v>
      </c>
      <c r="H49" s="149"/>
      <c r="I49" s="149"/>
      <c r="J49" s="257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8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0"/>
      <c r="C50" s="26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7"/>
      <c r="K50" s="265"/>
      <c r="L50" s="265"/>
      <c r="M50" s="267"/>
      <c r="N50" s="202"/>
      <c r="O50" s="196"/>
      <c r="P50" s="269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175</v>
      </c>
      <c r="C53" s="164" t="s">
        <v>176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175</v>
      </c>
      <c r="C59" s="164" t="s">
        <v>177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5" t="s">
        <v>145</v>
      </c>
      <c r="C67" s="256"/>
      <c r="D67" s="256"/>
      <c r="E67" s="256"/>
      <c r="F67" s="256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174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171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175</v>
      </c>
      <c r="C82" s="162" t="s">
        <v>176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175</v>
      </c>
      <c r="C88" s="162" t="s">
        <v>177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3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70" t="s">
        <v>182</v>
      </c>
      <c r="C41" s="271"/>
      <c r="D41" s="272"/>
      <c r="E41" s="67" t="s">
        <v>138</v>
      </c>
      <c r="F41" s="185">
        <v>0.97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-17044617.662797611</v>
      </c>
      <c r="I43" s="218">
        <f>D43*$J$41-E43</f>
        <v>290830113.6116066</v>
      </c>
      <c r="J43" s="218">
        <f ca="1">IFERROR(I43/$C$3,0)</f>
        <v>96943371.203868866</v>
      </c>
      <c r="K43" s="198">
        <f>D43*$L$41-E43</f>
        <v>632794080.21160698</v>
      </c>
      <c r="L43" s="198">
        <f ca="1">IFERROR(K43/$C$3,0)</f>
        <v>210931360.07053566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136020282.43155155</v>
      </c>
      <c r="I44" s="218">
        <f>D44*$J$41-E44</f>
        <v>481824088.50567269</v>
      </c>
      <c r="J44" s="218">
        <f ca="1">IFERROR(I44/$C$3,0)</f>
        <v>160608029.5018909</v>
      </c>
      <c r="K44" s="198">
        <f>D44*$L$41-E44</f>
        <v>555587329.71669078</v>
      </c>
      <c r="L44" s="198">
        <f ca="1">IFERROR(K44/$C$3,0)</f>
        <v>185195776.57223025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-22841785.866904259</v>
      </c>
      <c r="I45" s="218">
        <f>D45*$J$41-E45</f>
        <v>20623578.569499731</v>
      </c>
      <c r="J45" s="218">
        <f ca="1">IFERROR(I45/$C$3,0)</f>
        <v>6874526.1898332434</v>
      </c>
      <c r="K45" s="198">
        <f>D45*$L$41-E45</f>
        <v>109772514.73971272</v>
      </c>
      <c r="L45" s="198">
        <f ca="1">IFERROR(K45/$C$3,0)</f>
        <v>36590838.246570908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96133878.901849672</v>
      </c>
      <c r="I46" s="199">
        <f>I43+I44+I45</f>
        <v>793277780.68677902</v>
      </c>
      <c r="J46" s="199">
        <f ca="1">IFERROR(I46/$C$3,0)</f>
        <v>264425926.89559302</v>
      </c>
      <c r="K46" s="199">
        <f>K43+K44+K45</f>
        <v>1298153924.6680105</v>
      </c>
      <c r="L46" s="199">
        <f ca="1">IFERROR(K46/$C$3,0)</f>
        <v>432717974.88933682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34482911.801499285</v>
      </c>
      <c r="M51" s="193">
        <f t="shared" ref="M51:M64" si="5">F51*$J$41-I51</f>
        <v>127696429.36553055</v>
      </c>
      <c r="N51" s="193">
        <f t="shared" ref="N51:N65" ca="1" si="6">IFERROR(M51/$C$3,0)</f>
        <v>42565476.455176853</v>
      </c>
      <c r="O51" s="198">
        <f t="shared" ref="O51:O64" si="7">F51*$L$41-I51</f>
        <v>151944123.3265633</v>
      </c>
      <c r="P51" s="198">
        <f t="shared" ref="P51:P65" ca="1" si="8">IFERROR(O51/$C$3,0)</f>
        <v>50648041.108854435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20425573.162423331</v>
      </c>
      <c r="M52" s="193">
        <f t="shared" si="5"/>
        <v>98613177.237269998</v>
      </c>
      <c r="N52" s="193">
        <f t="shared" ca="1" si="6"/>
        <v>32871059.079089999</v>
      </c>
      <c r="O52" s="198">
        <f t="shared" si="7"/>
        <v>135949634.98727</v>
      </c>
      <c r="P52" s="198">
        <f t="shared" ca="1" si="8"/>
        <v>45316544.995756663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6586031.8000000017</v>
      </c>
      <c r="M53" s="193">
        <f t="shared" si="5"/>
        <v>31831758.799999982</v>
      </c>
      <c r="N53" s="193">
        <f t="shared" ca="1" si="6"/>
        <v>10610586.26666666</v>
      </c>
      <c r="O53" s="198">
        <f t="shared" si="7"/>
        <v>43905422.199999988</v>
      </c>
      <c r="P53" s="198">
        <f t="shared" ca="1" si="8"/>
        <v>14635140.733333329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-35369379.122586846</v>
      </c>
      <c r="M54" s="193">
        <f t="shared" si="5"/>
        <v>-73228422.42689395</v>
      </c>
      <c r="N54" s="193">
        <f t="shared" ca="1" si="6"/>
        <v>-24409474.142297983</v>
      </c>
      <c r="O54" s="198">
        <f t="shared" si="7"/>
        <v>-40348707.486027122</v>
      </c>
      <c r="P54" s="198">
        <f t="shared" ca="1" si="8"/>
        <v>-13449569.16200904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27333705.897457916</v>
      </c>
      <c r="M55" s="193">
        <f t="shared" si="5"/>
        <v>106397747.65194988</v>
      </c>
      <c r="N55" s="193">
        <f t="shared" ca="1" si="6"/>
        <v>35465915.883983292</v>
      </c>
      <c r="O55" s="198">
        <f t="shared" si="7"/>
        <v>130794377.61152613</v>
      </c>
      <c r="P55" s="198">
        <f t="shared" ca="1" si="8"/>
        <v>43598125.870508708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8390560.6142261028</v>
      </c>
      <c r="M56" s="193">
        <f t="shared" si="5"/>
        <v>52929593.148810923</v>
      </c>
      <c r="N56" s="193">
        <f t="shared" ca="1" si="6"/>
        <v>17643197.716270309</v>
      </c>
      <c r="O56" s="198">
        <f t="shared" si="7"/>
        <v>80687504.454943657</v>
      </c>
      <c r="P56" s="198">
        <f t="shared" ca="1" si="8"/>
        <v>26895834.818314552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-43495275.934218407</v>
      </c>
      <c r="M57" s="193">
        <f t="shared" si="5"/>
        <v>-77801481.735697389</v>
      </c>
      <c r="N57" s="193">
        <f t="shared" ca="1" si="6"/>
        <v>-25933827.245232463</v>
      </c>
      <c r="O57" s="198">
        <f t="shared" si="7"/>
        <v>-25117135.668739557</v>
      </c>
      <c r="P57" s="198">
        <f t="shared" ca="1" si="8"/>
        <v>-8372378.5562465191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17969193.978430014</v>
      </c>
      <c r="M58" s="193">
        <f t="shared" si="5"/>
        <v>82361005.085290074</v>
      </c>
      <c r="N58" s="193">
        <f t="shared" ca="1" si="6"/>
        <v>27453668.361763358</v>
      </c>
      <c r="O58" s="198">
        <f t="shared" si="7"/>
        <v>110814428.23529005</v>
      </c>
      <c r="P58" s="198">
        <f t="shared" ca="1" si="8"/>
        <v>36938142.745096684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21066257.923341673</v>
      </c>
      <c r="M59" s="193">
        <f t="shared" si="5"/>
        <v>83405456.970024943</v>
      </c>
      <c r="N59" s="193">
        <f t="shared" ca="1" si="6"/>
        <v>27801818.990008313</v>
      </c>
      <c r="O59" s="198">
        <f t="shared" si="7"/>
        <v>103612140.17002499</v>
      </c>
      <c r="P59" s="198">
        <f t="shared" ca="1" si="8"/>
        <v>34537380.056674995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7121259.2451602817</v>
      </c>
      <c r="M60" s="193">
        <f t="shared" si="5"/>
        <v>48487862.696380615</v>
      </c>
      <c r="N60" s="193">
        <f t="shared" ca="1" si="6"/>
        <v>16162620.898793539</v>
      </c>
      <c r="O60" s="198">
        <f t="shared" si="7"/>
        <v>75611947.657280385</v>
      </c>
      <c r="P60" s="198">
        <f t="shared" ca="1" si="8"/>
        <v>25203982.552426796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36066345.914938591</v>
      </c>
      <c r="M61" s="193">
        <f t="shared" si="5"/>
        <v>142717597.57534701</v>
      </c>
      <c r="N61" s="193">
        <f t="shared" ca="1" si="6"/>
        <v>47572532.525115669</v>
      </c>
      <c r="O61" s="198">
        <f t="shared" si="7"/>
        <v>177236157.40587825</v>
      </c>
      <c r="P61" s="198">
        <f t="shared" ca="1" si="8"/>
        <v>59078719.135292746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24447870.127397161</v>
      </c>
      <c r="M62" s="193">
        <f t="shared" si="5"/>
        <v>95858969.272182167</v>
      </c>
      <c r="N62" s="193">
        <f t="shared" ca="1" si="6"/>
        <v>31952989.757394057</v>
      </c>
      <c r="O62" s="198">
        <f t="shared" si="7"/>
        <v>118374328.16217285</v>
      </c>
      <c r="P62" s="198">
        <f t="shared" ca="1" si="8"/>
        <v>39458109.387390949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-18903368.578758758</v>
      </c>
      <c r="M63" s="193">
        <f t="shared" si="5"/>
        <v>-11052211.386640549</v>
      </c>
      <c r="N63" s="193">
        <f t="shared" ca="1" si="6"/>
        <v>-3684070.4622135162</v>
      </c>
      <c r="O63" s="198">
        <f t="shared" si="7"/>
        <v>34605682.96299541</v>
      </c>
      <c r="P63" s="198">
        <f t="shared" ca="1" si="8"/>
        <v>11535227.654331803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12853977.939443925</v>
      </c>
      <c r="M64" s="193">
        <f t="shared" si="5"/>
        <v>64436719.86372602</v>
      </c>
      <c r="N64" s="193">
        <f t="shared" ca="1" si="6"/>
        <v>21478906.621242005</v>
      </c>
      <c r="O64" s="198">
        <f t="shared" si="7"/>
        <v>90311505.909120381</v>
      </c>
      <c r="P64" s="198">
        <f t="shared" ca="1" si="8"/>
        <v>30103835.303040128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118975664.76875429</v>
      </c>
      <c r="M65" s="194">
        <f>SUM(M51:M64)</f>
        <v>772654202.11728036</v>
      </c>
      <c r="N65" s="194">
        <f t="shared" ca="1" si="6"/>
        <v>257551400.70576012</v>
      </c>
      <c r="O65" s="199">
        <f>SUM(O51:O64)</f>
        <v>1188381409.9282987</v>
      </c>
      <c r="P65" s="199">
        <f t="shared" ca="1" si="8"/>
        <v>396127136.64276624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-13723146.568897804</v>
      </c>
      <c r="I69" s="218">
        <f>D69*$J$41-E69</f>
        <v>-27266208.811482966</v>
      </c>
      <c r="J69" s="218">
        <f t="shared" ref="J69:J74" ca="1" si="14">IFERROR(I69/$C$3,0)</f>
        <v>-9088736.2704943214</v>
      </c>
      <c r="K69" s="198">
        <f>D69*$L$41-E69</f>
        <v>-13362977.916272461</v>
      </c>
      <c r="L69" s="198">
        <f t="shared" ref="L69:L74" ca="1" si="15">IFERROR(K69/$C$3,0)</f>
        <v>-4454325.9720908208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-20097112.685511529</v>
      </c>
      <c r="I70" s="218">
        <f>D70*$J$41-E70</f>
        <v>-39410410.397208512</v>
      </c>
      <c r="J70" s="218">
        <f t="shared" ca="1" si="14"/>
        <v>-13136803.465736171</v>
      </c>
      <c r="K70" s="198">
        <f>D70*$L$41-E70</f>
        <v>-18529482.737882435</v>
      </c>
      <c r="L70" s="198">
        <f t="shared" ca="1" si="15"/>
        <v>-6176494.2459608121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10978473.387505094</v>
      </c>
      <c r="I71" s="218">
        <f>D71*$J$41-E71</f>
        <v>87300197.778191447</v>
      </c>
      <c r="J71" s="218">
        <f t="shared" ca="1" si="14"/>
        <v>29100065.926063817</v>
      </c>
      <c r="K71" s="198">
        <f>D71*$L$41-E71</f>
        <v>141664975.39386773</v>
      </c>
      <c r="L71" s="198">
        <f t="shared" ca="1" si="15"/>
        <v>47221658.46462258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-22841785.86690424</v>
      </c>
      <c r="I74" s="199">
        <f>SUM(I69:I73)</f>
        <v>20623578.569499969</v>
      </c>
      <c r="J74" s="199">
        <f t="shared" ca="1" si="14"/>
        <v>6874526.1898333235</v>
      </c>
      <c r="K74" s="199">
        <f>SUM(K69:K73)</f>
        <v>109772514.73971283</v>
      </c>
      <c r="L74" s="199">
        <f t="shared" ca="1" si="15"/>
        <v>36590838.246570945</v>
      </c>
    </row>
    <row r="77" spans="2:16" ht="18.75" x14ac:dyDescent="0.25">
      <c r="B77" s="127" t="s">
        <v>174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171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175</v>
      </c>
      <c r="C82" s="178" t="s">
        <v>176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175</v>
      </c>
      <c r="C88" s="178" t="s">
        <v>177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B29" zoomScaleNormal="100" workbookViewId="0">
      <selection activeCell="B48" sqref="B48:J4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183</v>
      </c>
      <c r="C41" s="253"/>
      <c r="D41" s="254"/>
      <c r="E41" s="67" t="s">
        <v>138</v>
      </c>
      <c r="F41" s="185">
        <f ca="1">IF(MONTH(TODAY())=6,DAY(TODAY())/DAY(EOMONTH(TODAY(),0)),IF(MONTH(TODAY())&gt;6,1,0))</f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175</v>
      </c>
      <c r="C82" s="56" t="s">
        <v>176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175</v>
      </c>
      <c r="C88" s="56" t="s">
        <v>177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94"/>
  <sheetViews>
    <sheetView showGridLines="0" tabSelected="1" topLeftCell="A29" zoomScaleNormal="100" workbookViewId="0">
      <selection activeCell="C82" sqref="C82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3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407223604.64775598</v>
      </c>
      <c r="N8" s="11">
        <f>D22</f>
        <v>59114738.493942998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575447023.69587898</v>
      </c>
      <c r="N9" s="11">
        <f>D13+D14</f>
        <v>144163271.43131801</v>
      </c>
    </row>
    <row r="10" spans="2:14" x14ac:dyDescent="0.25">
      <c r="B10" s="74" t="s">
        <v>113</v>
      </c>
      <c r="C10" s="233">
        <v>354017012.142784</v>
      </c>
      <c r="D10" s="233">
        <v>45693385.865496002</v>
      </c>
      <c r="E10" s="233">
        <v>163502936.41999999</v>
      </c>
      <c r="F10" s="233">
        <v>563213334.42828</v>
      </c>
      <c r="H10" s="116"/>
      <c r="I10" s="116"/>
      <c r="J10" s="116"/>
      <c r="M10" s="11">
        <f>C15</f>
        <v>935307454.684623</v>
      </c>
      <c r="N10" s="11">
        <f>D15</f>
        <v>27153077.618280001</v>
      </c>
    </row>
    <row r="11" spans="2:14" x14ac:dyDescent="0.25">
      <c r="B11" s="74" t="s">
        <v>114</v>
      </c>
      <c r="C11" s="233">
        <v>287377067.83353901</v>
      </c>
      <c r="D11" s="233">
        <v>122070479.20767599</v>
      </c>
      <c r="E11" s="233">
        <v>68988371.920000002</v>
      </c>
      <c r="F11" s="233">
        <v>478435918.96121502</v>
      </c>
      <c r="H11" s="116"/>
      <c r="I11" s="116"/>
      <c r="J11" s="116"/>
      <c r="M11" s="11">
        <f>C12</f>
        <v>317945947.47873902</v>
      </c>
      <c r="N11" s="11">
        <f>D12</f>
        <v>43800016.100000001</v>
      </c>
    </row>
    <row r="12" spans="2:14" x14ac:dyDescent="0.25">
      <c r="B12" s="74" t="s">
        <v>185</v>
      </c>
      <c r="C12" s="233">
        <v>317945947.47873902</v>
      </c>
      <c r="D12" s="233">
        <v>43800016.100000001</v>
      </c>
      <c r="E12" s="233" t="s">
        <v>168</v>
      </c>
      <c r="F12" s="233">
        <v>361745963.57873899</v>
      </c>
      <c r="H12" s="116"/>
      <c r="I12" s="116"/>
      <c r="J12" s="116"/>
      <c r="M12" s="11">
        <f>C25+C26</f>
        <v>387109246.96758699</v>
      </c>
      <c r="N12" s="11">
        <f>D25+D26</f>
        <v>103542884.59337699</v>
      </c>
    </row>
    <row r="13" spans="2:14" x14ac:dyDescent="0.25">
      <c r="B13" s="74" t="s">
        <v>70</v>
      </c>
      <c r="C13" s="233">
        <v>308835506.06908101</v>
      </c>
      <c r="D13" s="233">
        <v>106713510.291471</v>
      </c>
      <c r="E13" s="233">
        <v>53903503.439999998</v>
      </c>
      <c r="F13" s="233">
        <v>469452519.80055201</v>
      </c>
      <c r="H13" s="116"/>
      <c r="I13" s="116"/>
      <c r="J13" s="116"/>
      <c r="M13" s="11">
        <f>C17</f>
        <v>1299865060.2347419</v>
      </c>
      <c r="N13" s="11">
        <f>D17</f>
        <v>81713239.299614996</v>
      </c>
    </row>
    <row r="14" spans="2:14" x14ac:dyDescent="0.25">
      <c r="B14" s="74" t="s">
        <v>115</v>
      </c>
      <c r="C14" s="233">
        <v>266611517.626798</v>
      </c>
      <c r="D14" s="233">
        <v>37449761.139847003</v>
      </c>
      <c r="E14" s="233">
        <v>54645909.299999997</v>
      </c>
      <c r="F14" s="233">
        <v>358707188.06664503</v>
      </c>
      <c r="H14" s="116"/>
      <c r="I14" s="116"/>
      <c r="J14" s="116"/>
      <c r="M14" s="11">
        <f>C23</f>
        <v>460635082.39210498</v>
      </c>
      <c r="N14" s="11">
        <f>D23</f>
        <v>59713421.049920999</v>
      </c>
    </row>
    <row r="15" spans="2:14" x14ac:dyDescent="0.25">
      <c r="B15" s="84" t="s">
        <v>116</v>
      </c>
      <c r="C15" s="233">
        <v>935307454.684623</v>
      </c>
      <c r="D15" s="233">
        <v>27153077.618280001</v>
      </c>
      <c r="E15" s="233">
        <v>376647989.98995</v>
      </c>
      <c r="F15" s="233">
        <v>1339108522.2928531</v>
      </c>
      <c r="H15" s="116"/>
      <c r="I15" s="116"/>
      <c r="J15" s="116"/>
      <c r="M15" s="11">
        <f>C11</f>
        <v>287377067.83353901</v>
      </c>
      <c r="N15" s="11">
        <f>D11</f>
        <v>122070479.20767599</v>
      </c>
    </row>
    <row r="16" spans="2:14" x14ac:dyDescent="0.25">
      <c r="B16" s="74" t="s">
        <v>119</v>
      </c>
      <c r="C16" s="233">
        <v>1143069949.672065</v>
      </c>
      <c r="D16" s="233">
        <v>5663201.3874970004</v>
      </c>
      <c r="E16" s="233">
        <v>6897297.2400000002</v>
      </c>
      <c r="F16" s="233">
        <v>1155630448.299562</v>
      </c>
      <c r="H16" s="116"/>
      <c r="I16" s="116"/>
      <c r="J16" s="116"/>
      <c r="M16" s="11">
        <f>C24</f>
        <v>602143468.78970599</v>
      </c>
      <c r="N16" s="11">
        <f>D24</f>
        <v>59519526.099913001</v>
      </c>
    </row>
    <row r="17" spans="2:14" x14ac:dyDescent="0.25">
      <c r="B17" s="74" t="s">
        <v>121</v>
      </c>
      <c r="C17" s="233">
        <v>1299865060.2347419</v>
      </c>
      <c r="D17" s="233">
        <v>81713239.299614996</v>
      </c>
      <c r="E17" s="233">
        <v>1153001244.9299581</v>
      </c>
      <c r="F17" s="233">
        <v>2534579544.4643149</v>
      </c>
      <c r="H17" s="116"/>
      <c r="I17" s="116"/>
      <c r="J17" s="116"/>
      <c r="M17" s="11">
        <f>C10</f>
        <v>354017012.142784</v>
      </c>
      <c r="N17" s="11">
        <f>D10</f>
        <v>45693385.865496002</v>
      </c>
    </row>
    <row r="18" spans="2:14" x14ac:dyDescent="0.25">
      <c r="B18" s="74" t="s">
        <v>123</v>
      </c>
      <c r="C18" s="233">
        <v>218315653.51737499</v>
      </c>
      <c r="D18" s="233">
        <v>21641284.519788999</v>
      </c>
      <c r="E18" s="233">
        <v>7372973.1399999997</v>
      </c>
      <c r="F18" s="233">
        <v>247329911.17716399</v>
      </c>
      <c r="H18" s="116"/>
      <c r="I18" s="116"/>
      <c r="J18" s="116"/>
      <c r="M18" s="11">
        <f>C27</f>
        <v>825478362.72271204</v>
      </c>
      <c r="N18" s="11">
        <f>D27</f>
        <v>241254778.31563199</v>
      </c>
    </row>
    <row r="19" spans="2:14" x14ac:dyDescent="0.25">
      <c r="B19" s="74" t="s">
        <v>124</v>
      </c>
      <c r="C19" s="233">
        <v>61932011.799989</v>
      </c>
      <c r="D19" s="233">
        <v>117639397.71191099</v>
      </c>
      <c r="E19" s="233">
        <v>66151352.700000003</v>
      </c>
      <c r="F19" s="233">
        <v>245722762.2119</v>
      </c>
      <c r="H19" s="116"/>
      <c r="I19" s="116"/>
      <c r="J19" s="116"/>
      <c r="M19" s="11">
        <f>C18+C19</f>
        <v>280247665.31736398</v>
      </c>
      <c r="N19" s="11">
        <f>D18+D19</f>
        <v>139280682.2317</v>
      </c>
    </row>
    <row r="20" spans="2:14" x14ac:dyDescent="0.25">
      <c r="B20" s="74" t="s">
        <v>172</v>
      </c>
      <c r="C20" s="233">
        <v>195541479.69999999</v>
      </c>
      <c r="D20" s="233" t="s">
        <v>168</v>
      </c>
      <c r="E20" s="233">
        <v>9909909.6400000006</v>
      </c>
      <c r="F20" s="233">
        <v>205451389.34</v>
      </c>
      <c r="H20" s="116"/>
      <c r="I20" s="116"/>
      <c r="J20" s="116"/>
      <c r="M20" s="14">
        <f>IFERROR(C31,0)+IFERROR(C36,0)</f>
        <v>31353000</v>
      </c>
      <c r="N20" s="10" t="s">
        <v>120</v>
      </c>
    </row>
    <row r="21" spans="2:14" x14ac:dyDescent="0.25">
      <c r="B21" s="74" t="s">
        <v>173</v>
      </c>
      <c r="C21" s="233">
        <v>288524887.39999998</v>
      </c>
      <c r="D21" s="233" t="s">
        <v>168</v>
      </c>
      <c r="E21" s="233">
        <v>15585585.16</v>
      </c>
      <c r="F21" s="233">
        <v>304110472.56</v>
      </c>
      <c r="H21" s="116"/>
      <c r="I21" s="116"/>
      <c r="J21" s="116"/>
      <c r="M21" s="14">
        <f>IFERROR(C34,0)+IFERROR(C35,0)+M20</f>
        <v>665980519.43186998</v>
      </c>
      <c r="N21" s="10" t="s">
        <v>122</v>
      </c>
    </row>
    <row r="22" spans="2:14" x14ac:dyDescent="0.25">
      <c r="B22" s="74" t="s">
        <v>125</v>
      </c>
      <c r="C22" s="233">
        <v>407223604.64775598</v>
      </c>
      <c r="D22" s="233">
        <v>59114738.493942998</v>
      </c>
      <c r="E22" s="233">
        <v>455437220.02986997</v>
      </c>
      <c r="F22" s="233">
        <v>921775563.17156899</v>
      </c>
      <c r="H22" s="116"/>
      <c r="I22" s="116"/>
      <c r="J22" s="116"/>
    </row>
    <row r="23" spans="2:14" x14ac:dyDescent="0.25">
      <c r="B23" s="74" t="s">
        <v>126</v>
      </c>
      <c r="C23" s="233">
        <v>460635082.39210498</v>
      </c>
      <c r="D23" s="233">
        <v>59713421.049920999</v>
      </c>
      <c r="E23" s="233">
        <v>287579638.61934203</v>
      </c>
      <c r="F23" s="233">
        <v>807928142.06136799</v>
      </c>
      <c r="H23" s="116"/>
      <c r="I23" s="116"/>
      <c r="J23" s="116"/>
    </row>
    <row r="24" spans="2:14" x14ac:dyDescent="0.25">
      <c r="B24" s="74" t="s">
        <v>127</v>
      </c>
      <c r="C24" s="233">
        <v>602143468.78970599</v>
      </c>
      <c r="D24" s="233">
        <v>59519526.099913001</v>
      </c>
      <c r="E24" s="233">
        <v>712313159.18918705</v>
      </c>
      <c r="F24" s="233">
        <v>1373976154.0788059</v>
      </c>
      <c r="H24" s="116"/>
      <c r="I24" s="116"/>
      <c r="J24" s="116"/>
    </row>
    <row r="25" spans="2:14" x14ac:dyDescent="0.25">
      <c r="B25" s="74" t="s">
        <v>186</v>
      </c>
      <c r="C25" s="233">
        <v>261142186.16110799</v>
      </c>
      <c r="D25" s="233">
        <v>5989568.9099909998</v>
      </c>
      <c r="E25" s="233">
        <v>58476846.159999996</v>
      </c>
      <c r="F25" s="233">
        <v>325608601.23109901</v>
      </c>
      <c r="H25" s="116"/>
      <c r="I25" s="116"/>
      <c r="J25" s="116"/>
    </row>
    <row r="26" spans="2:14" x14ac:dyDescent="0.25">
      <c r="B26" s="74" t="s">
        <v>187</v>
      </c>
      <c r="C26" s="233">
        <v>125967060.80647901</v>
      </c>
      <c r="D26" s="233">
        <v>97553315.683385998</v>
      </c>
      <c r="E26" s="233" t="s">
        <v>168</v>
      </c>
      <c r="F26" s="233">
        <v>223520376.48986501</v>
      </c>
      <c r="H26" s="116"/>
      <c r="I26" s="116"/>
      <c r="J26" s="116"/>
    </row>
    <row r="27" spans="2:14" x14ac:dyDescent="0.25">
      <c r="B27" s="74" t="s">
        <v>128</v>
      </c>
      <c r="C27" s="233">
        <v>825478362.72271204</v>
      </c>
      <c r="D27" s="233">
        <v>241254778.31563199</v>
      </c>
      <c r="E27" s="233">
        <v>17636000.377799999</v>
      </c>
      <c r="F27" s="233">
        <v>1084369141.4161439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223617600.783254</v>
      </c>
      <c r="G32" s="116"/>
      <c r="H32" s="116"/>
      <c r="I32" s="116"/>
    </row>
    <row r="33" spans="2:19" x14ac:dyDescent="0.25">
      <c r="B33" s="84" t="s">
        <v>133</v>
      </c>
      <c r="C33" s="233">
        <v>589894197.26039803</v>
      </c>
      <c r="G33" s="116"/>
      <c r="H33" s="116"/>
      <c r="I33" s="116"/>
    </row>
    <row r="34" spans="2:19" x14ac:dyDescent="0.25">
      <c r="B34" s="84" t="s">
        <v>134</v>
      </c>
      <c r="C34" s="233">
        <v>128406904.01110201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31353000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s="205" customFormat="1" ht="27.95" customHeight="1" x14ac:dyDescent="0.25">
      <c r="B41" s="252" t="s">
        <v>192</v>
      </c>
      <c r="C41" s="253"/>
      <c r="D41" s="254"/>
      <c r="E41" s="67" t="s">
        <v>138</v>
      </c>
      <c r="F41" s="185">
        <f ca="1">IF(MONTH(TODAY())=7,DAY(TODAY())/DAY(EOMONTH(TODAY(),0)),IF(MONTH(TODAY())&gt;7,1,0))</f>
        <v>0.93548387096774188</v>
      </c>
      <c r="G41" s="206" t="s">
        <v>190</v>
      </c>
      <c r="H41" s="212">
        <v>0.9</v>
      </c>
      <c r="I41" s="207" t="s">
        <v>190</v>
      </c>
      <c r="J41" s="213">
        <v>0.95</v>
      </c>
      <c r="K41" s="208" t="s">
        <v>191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7216863364.0075359</v>
      </c>
      <c r="F43" s="187">
        <f>IFERROR(E43/D43,0)</f>
        <v>0.90802782991830533</v>
      </c>
      <c r="G43" s="209">
        <f>D43*$H$41-E43</f>
        <v>-63803938.294614792</v>
      </c>
      <c r="H43" s="209">
        <f ca="1">IFERROR(G43/C3,0)</f>
        <v>-21267979.431538265</v>
      </c>
      <c r="I43" s="210">
        <f>D43*$J$41-E43</f>
        <v>333588252.02276897</v>
      </c>
      <c r="J43" s="210">
        <f ca="1">IFERROR(I43/$C$3,0)</f>
        <v>111196084.00758965</v>
      </c>
      <c r="K43" s="211">
        <f>D43*$L$41-E43</f>
        <v>730980442.34015369</v>
      </c>
      <c r="L43" s="211">
        <f ca="1">IFERROR(K43/$C$3,0)</f>
        <v>243660147.44671789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1127019500.3068709</v>
      </c>
      <c r="F44" s="187">
        <f>IFERROR(E44/D44,0)</f>
        <v>0.76011007274288633</v>
      </c>
      <c r="G44" s="197">
        <f>D44*$H$41-E44</f>
        <v>207415585.67479515</v>
      </c>
      <c r="H44" s="197">
        <f ca="1">IFERROR(G44/C3,0)</f>
        <v>69138528.558265045</v>
      </c>
      <c r="I44" s="193">
        <f>D44*$J$41-E44</f>
        <v>281550868.22933197</v>
      </c>
      <c r="J44" s="193">
        <f ca="1">IFERROR(I44/$C$3,0)</f>
        <v>93850289.409777328</v>
      </c>
      <c r="K44" s="198">
        <f>D44*$L$41-E44</f>
        <v>355686150.78386903</v>
      </c>
      <c r="L44" s="198">
        <f ca="1">IFERROR(K44/$C$3,0)</f>
        <v>118562050.26128967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1479492317.475522</v>
      </c>
      <c r="F45" s="187">
        <f>IFERROR(E45/D45,0)</f>
        <v>0.79926596461321298</v>
      </c>
      <c r="G45" s="197">
        <f>D45*$H$41-E45</f>
        <v>186465129.33298898</v>
      </c>
      <c r="H45" s="197">
        <f ca="1">IFERROR(G45/C3,0)</f>
        <v>62155043.110996328</v>
      </c>
      <c r="I45" s="193">
        <f>D45*$J$41-E45</f>
        <v>279018320.8223505</v>
      </c>
      <c r="J45" s="193">
        <f ca="1">IFERROR(I45/$C$3,0)</f>
        <v>93006106.940783501</v>
      </c>
      <c r="K45" s="198">
        <f>D45*$L$41-E45</f>
        <v>371571512.31171227</v>
      </c>
      <c r="L45" s="198">
        <f ca="1">IFERROR(K45/$C$3,0)</f>
        <v>123857170.77057076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9823375181.7899284</v>
      </c>
      <c r="F46" s="188">
        <f>IFERROR(E46/D46,0)</f>
        <v>0.87074205893168499</v>
      </c>
      <c r="G46" s="194">
        <f>G43+G44+G45</f>
        <v>330076776.71316934</v>
      </c>
      <c r="H46" s="194">
        <f ca="1">IFERROR(G46/C3,0)</f>
        <v>110025592.23772311</v>
      </c>
      <c r="I46" s="194">
        <f>I43+I44+I45</f>
        <v>894157441.07445145</v>
      </c>
      <c r="J46" s="194">
        <f ca="1">IFERROR(I46/$C$3,0)</f>
        <v>298052480.35815048</v>
      </c>
      <c r="K46" s="199">
        <f>K43+K44+K45</f>
        <v>1458238105.435735</v>
      </c>
      <c r="L46" s="199">
        <f ca="1">IFERROR(K46/$C$3,0)</f>
        <v>486079368.47857833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407223604.64775598</v>
      </c>
      <c r="H51" s="119">
        <f>N8</f>
        <v>59114738.493942998</v>
      </c>
      <c r="I51" s="119">
        <f t="shared" ref="I51:I64" si="1">G51+H51</f>
        <v>466338343.14169896</v>
      </c>
      <c r="J51" s="200">
        <f t="shared" ref="J51:J64" si="2">IFERROR(I51/F51,0)</f>
        <v>0.82164622637108042</v>
      </c>
      <c r="K51" s="197">
        <f>F51*$H$41-I51</f>
        <v>44470926.537801445</v>
      </c>
      <c r="L51" s="197">
        <f ca="1">IFERROR(K51/$C$3,0)</f>
        <v>14823642.179267148</v>
      </c>
      <c r="M51" s="193">
        <f>F51*$J$41-I51</f>
        <v>72849219.297773719</v>
      </c>
      <c r="N51" s="193">
        <f ca="1">IFERROR(M51/$C$3,0)</f>
        <v>24283073.099257905</v>
      </c>
      <c r="O51" s="232">
        <f>F51*$L$41-I51</f>
        <v>101227512.05774593</v>
      </c>
      <c r="P51" s="232">
        <f ca="1">IFERROR(O51/$C$3,0)</f>
        <v>33742504.019248642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575447023.69587898</v>
      </c>
      <c r="H52" s="119">
        <f>N9</f>
        <v>144163271.43131801</v>
      </c>
      <c r="I52" s="119">
        <f t="shared" si="1"/>
        <v>719610295.12719703</v>
      </c>
      <c r="J52" s="200">
        <f t="shared" si="2"/>
        <v>0.8579840628646116</v>
      </c>
      <c r="K52" s="197">
        <f t="shared" ref="K52:K64" si="3">F52*$H$41-I52</f>
        <v>35239699.932297826</v>
      </c>
      <c r="L52" s="197">
        <f t="shared" ref="L52:L64" ca="1" si="4">IFERROR(K52/$C$3,0)</f>
        <v>11746566.644099275</v>
      </c>
      <c r="M52" s="193">
        <f t="shared" ref="M52:M64" si="5">F52*$J$41-I52</f>
        <v>77175810.768936276</v>
      </c>
      <c r="N52" s="193">
        <f t="shared" ref="N52:N64" ca="1" si="6">IFERROR(M52/$C$3,0)</f>
        <v>25725270.256312091</v>
      </c>
      <c r="O52" s="232">
        <f t="shared" ref="O52:O64" si="7">F52*$L$41-I52</f>
        <v>119111921.60557497</v>
      </c>
      <c r="P52" s="232">
        <f t="shared" ref="P52:P64" ca="1" si="8">IFERROR(O52/$C$3,0)</f>
        <v>39703973.868524991</v>
      </c>
    </row>
    <row r="53" spans="2:16" x14ac:dyDescent="0.25">
      <c r="B53" s="145" t="s">
        <v>175</v>
      </c>
      <c r="C53" s="146" t="s">
        <v>176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195541479.69999999</v>
      </c>
      <c r="H53" s="119">
        <f>IF(D20="",0,D20)</f>
        <v>0</v>
      </c>
      <c r="I53" s="119">
        <f>G53+H53</f>
        <v>195541479.69999999</v>
      </c>
      <c r="J53" s="200">
        <f>IFERROR(I53/F53,0)</f>
        <v>0.78544728573384914</v>
      </c>
      <c r="K53" s="197">
        <f t="shared" si="3"/>
        <v>28518536.709088147</v>
      </c>
      <c r="L53" s="197">
        <f t="shared" ca="1" si="4"/>
        <v>9506178.9030293822</v>
      </c>
      <c r="M53" s="193">
        <f t="shared" si="5"/>
        <v>40966315.398481935</v>
      </c>
      <c r="N53" s="193">
        <f t="shared" ca="1" si="6"/>
        <v>13655438.466160646</v>
      </c>
      <c r="O53" s="232">
        <f t="shared" si="7"/>
        <v>53414094.087875724</v>
      </c>
      <c r="P53" s="232">
        <f t="shared" ca="1" si="8"/>
        <v>17804698.029291909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935307454.684623</v>
      </c>
      <c r="H54" s="119">
        <f t="shared" ref="H54:H58" si="9">N10</f>
        <v>27153077.618280001</v>
      </c>
      <c r="I54" s="119">
        <f t="shared" si="1"/>
        <v>962460532.30290306</v>
      </c>
      <c r="J54" s="200">
        <f t="shared" si="2"/>
        <v>1.2341292195708753</v>
      </c>
      <c r="K54" s="197">
        <f t="shared" si="3"/>
        <v>-260577402.61425662</v>
      </c>
      <c r="L54" s="197">
        <f t="shared" ca="1" si="4"/>
        <v>-86859134.204752207</v>
      </c>
      <c r="M54" s="193">
        <f t="shared" si="5"/>
        <v>-221583895.4093318</v>
      </c>
      <c r="N54" s="193">
        <f t="shared" ca="1" si="6"/>
        <v>-73861298.469777271</v>
      </c>
      <c r="O54" s="232">
        <f t="shared" si="7"/>
        <v>-182590388.20440698</v>
      </c>
      <c r="P54" s="232">
        <f t="shared" ca="1" si="8"/>
        <v>-60863462.734802328</v>
      </c>
    </row>
    <row r="55" spans="2:16" x14ac:dyDescent="0.25">
      <c r="B55" s="50" t="s">
        <v>73</v>
      </c>
      <c r="C55" s="55" t="s">
        <v>184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317945947.47873902</v>
      </c>
      <c r="H55" s="119">
        <f t="shared" si="9"/>
        <v>43800016.100000001</v>
      </c>
      <c r="I55" s="119">
        <f t="shared" si="1"/>
        <v>361745963.57873905</v>
      </c>
      <c r="J55" s="200">
        <f t="shared" si="2"/>
        <v>0.65462736629360352</v>
      </c>
      <c r="K55" s="197">
        <f t="shared" si="3"/>
        <v>135592497.94051987</v>
      </c>
      <c r="L55" s="197">
        <f t="shared" ca="1" si="4"/>
        <v>45197499.313506626</v>
      </c>
      <c r="M55" s="193">
        <f t="shared" si="5"/>
        <v>163222412.46936756</v>
      </c>
      <c r="N55" s="193">
        <f t="shared" ca="1" si="6"/>
        <v>54407470.823122524</v>
      </c>
      <c r="O55" s="232">
        <f t="shared" si="7"/>
        <v>190852326.99821532</v>
      </c>
      <c r="P55" s="232">
        <f t="shared" ca="1" si="8"/>
        <v>63617442.332738437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387109246.96758699</v>
      </c>
      <c r="H56" s="119">
        <f t="shared" si="9"/>
        <v>103542884.59337699</v>
      </c>
      <c r="I56" s="119">
        <f t="shared" si="1"/>
        <v>490652131.56096399</v>
      </c>
      <c r="J56" s="200">
        <f t="shared" si="2"/>
        <v>0.78111369148843957</v>
      </c>
      <c r="K56" s="197">
        <f t="shared" si="3"/>
        <v>74677759.870599866</v>
      </c>
      <c r="L56" s="197">
        <f t="shared" ca="1" si="4"/>
        <v>24892586.62353329</v>
      </c>
      <c r="M56" s="193">
        <f t="shared" si="5"/>
        <v>106084976.06124222</v>
      </c>
      <c r="N56" s="193">
        <f t="shared" ca="1" si="6"/>
        <v>35361658.687080741</v>
      </c>
      <c r="O56" s="232">
        <f t="shared" si="7"/>
        <v>137492192.2518847</v>
      </c>
      <c r="P56" s="232">
        <f t="shared" ca="1" si="8"/>
        <v>45830730.750628233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1299865060.2347419</v>
      </c>
      <c r="H57" s="119">
        <f t="shared" si="9"/>
        <v>81713239.299614996</v>
      </c>
      <c r="I57" s="119">
        <f t="shared" si="1"/>
        <v>1381578299.5343568</v>
      </c>
      <c r="J57" s="200">
        <f t="shared" si="2"/>
        <v>1.1885746881052841</v>
      </c>
      <c r="K57" s="197">
        <f t="shared" si="3"/>
        <v>-335434138.78071749</v>
      </c>
      <c r="L57" s="197">
        <f t="shared" ca="1" si="4"/>
        <v>-111811379.5935725</v>
      </c>
      <c r="M57" s="193">
        <f t="shared" si="5"/>
        <v>-277315018.73884869</v>
      </c>
      <c r="N57" s="193">
        <f t="shared" ca="1" si="6"/>
        <v>-92438339.579616234</v>
      </c>
      <c r="O57" s="232">
        <f t="shared" si="7"/>
        <v>-219195898.69697976</v>
      </c>
      <c r="P57" s="232">
        <f t="shared" ca="1" si="8"/>
        <v>-73065299.565659925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460635082.39210498</v>
      </c>
      <c r="H58" s="119">
        <f t="shared" si="9"/>
        <v>59713421.049920999</v>
      </c>
      <c r="I58" s="119">
        <f>G58+H58</f>
        <v>520348503.44202596</v>
      </c>
      <c r="J58" s="200">
        <f>IFERROR(I58/F58,0)</f>
        <v>0.77922238243473374</v>
      </c>
      <c r="K58" s="197">
        <f t="shared" si="3"/>
        <v>80652781.498667419</v>
      </c>
      <c r="L58" s="197">
        <f t="shared" ca="1" si="4"/>
        <v>26884260.499555808</v>
      </c>
      <c r="M58" s="193">
        <f t="shared" si="5"/>
        <v>114041741.77315038</v>
      </c>
      <c r="N58" s="193">
        <f t="shared" ca="1" si="6"/>
        <v>38013913.924383461</v>
      </c>
      <c r="O58" s="232">
        <f t="shared" si="7"/>
        <v>147430702.04763335</v>
      </c>
      <c r="P58" s="232">
        <f t="shared" ca="1" si="8"/>
        <v>49143567.349211119</v>
      </c>
    </row>
    <row r="59" spans="2:16" x14ac:dyDescent="0.25">
      <c r="B59" s="145" t="s">
        <v>175</v>
      </c>
      <c r="C59" s="146" t="s">
        <v>177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32779792.823718827</v>
      </c>
      <c r="M59" s="193">
        <f t="shared" si="5"/>
        <v>119831837.68622071</v>
      </c>
      <c r="N59" s="193">
        <f t="shared" ca="1" si="6"/>
        <v>39943945.895406902</v>
      </c>
      <c r="O59" s="232">
        <f t="shared" si="7"/>
        <v>141324296.90128499</v>
      </c>
      <c r="P59" s="232">
        <f t="shared" ca="1" si="8"/>
        <v>47108098.967094995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287377067.83353901</v>
      </c>
      <c r="H60" s="119">
        <f t="shared" ref="H60:H64" si="10">N15</f>
        <v>122070479.20767599</v>
      </c>
      <c r="I60" s="119">
        <f t="shared" si="1"/>
        <v>409447547.041215</v>
      </c>
      <c r="J60" s="200">
        <f t="shared" si="2"/>
        <v>0.64746608885986889</v>
      </c>
      <c r="K60" s="197">
        <f t="shared" si="3"/>
        <v>159698542.11689776</v>
      </c>
      <c r="L60" s="197">
        <f t="shared" ca="1" si="4"/>
        <v>53232847.372299254</v>
      </c>
      <c r="M60" s="193">
        <f t="shared" si="5"/>
        <v>191317769.29234844</v>
      </c>
      <c r="N60" s="193">
        <f t="shared" ca="1" si="6"/>
        <v>63772589.764116146</v>
      </c>
      <c r="O60" s="232">
        <f t="shared" si="7"/>
        <v>222936996.46779913</v>
      </c>
      <c r="P60" s="232">
        <f t="shared" ca="1" si="8"/>
        <v>74312332.155933037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602143468.78970599</v>
      </c>
      <c r="H61" s="119">
        <f t="shared" si="10"/>
        <v>59519526.099913001</v>
      </c>
      <c r="I61" s="119">
        <f t="shared" si="1"/>
        <v>661662994.88961899</v>
      </c>
      <c r="J61" s="200">
        <f t="shared" si="2"/>
        <v>0.85953574054329296</v>
      </c>
      <c r="K61" s="197">
        <f t="shared" si="3"/>
        <v>31149028.289611697</v>
      </c>
      <c r="L61" s="197">
        <f t="shared" ca="1" si="4"/>
        <v>10383009.429870566</v>
      </c>
      <c r="M61" s="193">
        <f t="shared" si="5"/>
        <v>69638585.132902265</v>
      </c>
      <c r="N61" s="193">
        <f t="shared" ca="1" si="6"/>
        <v>23212861.710967422</v>
      </c>
      <c r="O61" s="232">
        <f t="shared" si="7"/>
        <v>108128141.97619283</v>
      </c>
      <c r="P61" s="232">
        <f t="shared" ca="1" si="8"/>
        <v>36042713.992064275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354017012.142784</v>
      </c>
      <c r="H62" s="119">
        <f t="shared" si="10"/>
        <v>45693385.865496002</v>
      </c>
      <c r="I62" s="119">
        <f t="shared" si="1"/>
        <v>399710398.00827998</v>
      </c>
      <c r="J62" s="200">
        <f t="shared" si="2"/>
        <v>0.75385537552729209</v>
      </c>
      <c r="K62" s="197">
        <f t="shared" si="3"/>
        <v>77489035.577808738</v>
      </c>
      <c r="L62" s="197">
        <f t="shared" ca="1" si="4"/>
        <v>25829678.525936246</v>
      </c>
      <c r="M62" s="193">
        <f t="shared" si="5"/>
        <v>104000115.22148031</v>
      </c>
      <c r="N62" s="193">
        <f t="shared" ca="1" si="6"/>
        <v>34666705.073826768</v>
      </c>
      <c r="O62" s="232">
        <f t="shared" si="7"/>
        <v>130511194.86515194</v>
      </c>
      <c r="P62" s="232">
        <f t="shared" ca="1" si="8"/>
        <v>43503731.621717311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825478362.72271204</v>
      </c>
      <c r="H63" s="119">
        <f t="shared" si="10"/>
        <v>241254778.31563199</v>
      </c>
      <c r="I63" s="119">
        <f t="shared" si="1"/>
        <v>1066733141.038344</v>
      </c>
      <c r="J63" s="200">
        <f t="shared" si="2"/>
        <v>1.0334835640717424</v>
      </c>
      <c r="K63" s="197">
        <f t="shared" si="3"/>
        <v>-137778041.6925509</v>
      </c>
      <c r="L63" s="197">
        <f t="shared" ca="1" si="4"/>
        <v>-45926013.897516966</v>
      </c>
      <c r="M63" s="193">
        <f t="shared" si="5"/>
        <v>-86169425.062229156</v>
      </c>
      <c r="N63" s="193">
        <f t="shared" ca="1" si="6"/>
        <v>-28723141.687409718</v>
      </c>
      <c r="O63" s="232">
        <f t="shared" si="7"/>
        <v>-34560808.431907296</v>
      </c>
      <c r="P63" s="232">
        <f t="shared" ca="1" si="8"/>
        <v>-11520269.477302432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280247665.31736398</v>
      </c>
      <c r="H64" s="119">
        <f t="shared" si="10"/>
        <v>139280682.2317</v>
      </c>
      <c r="I64" s="119">
        <f t="shared" si="1"/>
        <v>419528347.54906398</v>
      </c>
      <c r="J64" s="200">
        <f t="shared" si="2"/>
        <v>0.71092924842809124</v>
      </c>
      <c r="K64" s="197">
        <f t="shared" si="3"/>
        <v>111573043.52325511</v>
      </c>
      <c r="L64" s="197">
        <f t="shared" ca="1" si="4"/>
        <v>37191014.507751703</v>
      </c>
      <c r="M64" s="193">
        <f t="shared" si="5"/>
        <v>141078676.36060613</v>
      </c>
      <c r="N64" s="193">
        <f t="shared" ca="1" si="6"/>
        <v>47026225.453535378</v>
      </c>
      <c r="O64" s="232">
        <f t="shared" si="7"/>
        <v>170584309.19795722</v>
      </c>
      <c r="P64" s="232">
        <f t="shared" ca="1" si="8"/>
        <v>56861436.399319075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7216863364.0075359</v>
      </c>
      <c r="H65" s="144">
        <f>SUM(H51:H64)</f>
        <v>1127019500.3068709</v>
      </c>
      <c r="I65" s="144">
        <f>SUM(I51:I64)</f>
        <v>8343882864.3144064</v>
      </c>
      <c r="J65" s="203">
        <f>IFERROR(I65/F65,0)</f>
        <v>0.88477165641001931</v>
      </c>
      <c r="K65" s="194">
        <f>SUM(K51:K64)</f>
        <v>143611647.38017935</v>
      </c>
      <c r="L65" s="194">
        <f ca="1">IFERROR(K65/$C$3,0)</f>
        <v>47870549.126726449</v>
      </c>
      <c r="M65" s="194">
        <f>SUM(M51:M64)</f>
        <v>615139120.25210047</v>
      </c>
      <c r="N65" s="194">
        <f ca="1">IFERROR(M65/$C$3,0)</f>
        <v>205046373.41736683</v>
      </c>
      <c r="O65" s="194">
        <f>SUM(O51:O64)</f>
        <v>1086666593.124022</v>
      </c>
      <c r="P65" s="194">
        <f ca="1">IFERROR(O65/$C$3,0)</f>
        <v>362222197.70800734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223617600.783254</v>
      </c>
      <c r="F69" s="200">
        <f t="shared" ref="F69:F74" si="12">IFERROR(E69/D69,0)</f>
        <v>0.76284348167031213</v>
      </c>
      <c r="G69" s="197">
        <f>D69*$H$41-E69</f>
        <v>40205641.521001458</v>
      </c>
      <c r="H69" s="197">
        <f ca="1">IFERROR(G69/C3,0)</f>
        <v>13401880.507000485</v>
      </c>
      <c r="I69" s="193">
        <f>D69*$J$41-E69</f>
        <v>54862488.315682262</v>
      </c>
      <c r="J69" s="193">
        <f t="shared" ref="J69:J74" ca="1" si="13">IFERROR(I69/$C$3,0)</f>
        <v>18287496.105227422</v>
      </c>
      <c r="K69" s="198">
        <f>D69*$L$41-E69</f>
        <v>69519335.110363156</v>
      </c>
      <c r="L69" s="198">
        <f t="shared" ref="L69:L74" ca="1" si="14">IFERROR(K69/$C$3,0)</f>
        <v>23173111.703454386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589894197.26039803</v>
      </c>
      <c r="F70" s="200">
        <f t="shared" si="12"/>
        <v>1.3516110121114411</v>
      </c>
      <c r="G70" s="197">
        <f>D70*$H$41-E70</f>
        <v>-197100136.85614258</v>
      </c>
      <c r="H70" s="197">
        <f ca="1">IFERROR(G70/C3,0)</f>
        <v>-65700045.618714191</v>
      </c>
      <c r="I70" s="193">
        <f>D70*$J$41-E70</f>
        <v>-175278244.61146176</v>
      </c>
      <c r="J70" s="193">
        <f t="shared" ca="1" si="13"/>
        <v>-58426081.537153922</v>
      </c>
      <c r="K70" s="198">
        <f>D70*$L$41-E70</f>
        <v>-153456352.36678088</v>
      </c>
      <c r="L70" s="198">
        <f t="shared" ca="1" si="14"/>
        <v>-51152117.455593623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665980519.43186998</v>
      </c>
      <c r="F71" s="200">
        <f t="shared" si="12"/>
        <v>0.59383595410557588</v>
      </c>
      <c r="G71" s="197">
        <f>D71*$H$41-E71</f>
        <v>343359624.66813004</v>
      </c>
      <c r="H71" s="197">
        <f ca="1">IFERROR(G71/C3,0)</f>
        <v>114453208.22271001</v>
      </c>
      <c r="I71" s="193">
        <f>D71*$J$41-E71</f>
        <v>399434077.11812997</v>
      </c>
      <c r="J71" s="193">
        <f t="shared" ca="1" si="13"/>
        <v>133144692.37270999</v>
      </c>
      <c r="K71" s="198">
        <f>D71*$L$41-E71</f>
        <v>455508529.56813002</v>
      </c>
      <c r="L71" s="198">
        <f t="shared" ca="1" si="14"/>
        <v>151836176.52271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1479492317.475522</v>
      </c>
      <c r="F74" s="188">
        <f t="shared" si="12"/>
        <v>0.79926596461321298</v>
      </c>
      <c r="G74" s="194">
        <f>SUM(G69:G73)</f>
        <v>186465129.33298892</v>
      </c>
      <c r="H74" s="194">
        <f ca="1">IFERROR(G74/C3,0)</f>
        <v>62155043.110996306</v>
      </c>
      <c r="I74" s="194">
        <f>SUM(I69:I73)</f>
        <v>279018320.8223505</v>
      </c>
      <c r="J74" s="194">
        <f t="shared" ca="1" si="13"/>
        <v>93006106.940783501</v>
      </c>
      <c r="K74" s="199">
        <f>SUM(K69:K73)</f>
        <v>371571512.31171227</v>
      </c>
      <c r="L74" s="199">
        <f t="shared" ca="1" si="14"/>
        <v>123857170.77057076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455437220.02986997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108549412.73999999</v>
      </c>
    </row>
    <row r="82" spans="2:4" x14ac:dyDescent="0.25">
      <c r="B82" s="53" t="s">
        <v>175</v>
      </c>
      <c r="C82" s="56" t="s">
        <v>176</v>
      </c>
      <c r="D82" s="140">
        <f>IF(E20="",0,E20)</f>
        <v>9909909.6400000006</v>
      </c>
    </row>
    <row r="83" spans="2:4" x14ac:dyDescent="0.25">
      <c r="B83" s="50" t="s">
        <v>71</v>
      </c>
      <c r="C83" s="55" t="s">
        <v>72</v>
      </c>
      <c r="D83" s="140">
        <f>IF(E15="",0,E15)</f>
        <v>376647989.98995</v>
      </c>
    </row>
    <row r="84" spans="2:4" x14ac:dyDescent="0.25">
      <c r="B84" s="53" t="s">
        <v>73</v>
      </c>
      <c r="C84" s="56" t="s">
        <v>184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58476846.159999996</v>
      </c>
    </row>
    <row r="86" spans="2:4" x14ac:dyDescent="0.25">
      <c r="B86" s="53" t="s">
        <v>76</v>
      </c>
      <c r="C86" s="56" t="s">
        <v>77</v>
      </c>
      <c r="D86" s="140">
        <f>IF(E17="",0,E17)</f>
        <v>1153001244.9299581</v>
      </c>
    </row>
    <row r="87" spans="2:4" x14ac:dyDescent="0.25">
      <c r="B87" s="50" t="s">
        <v>78</v>
      </c>
      <c r="C87" s="55" t="s">
        <v>79</v>
      </c>
      <c r="D87" s="140">
        <f>IF(E23="",0,E23)</f>
        <v>287579638.61934203</v>
      </c>
    </row>
    <row r="88" spans="2:4" x14ac:dyDescent="0.25">
      <c r="B88" s="53" t="s">
        <v>175</v>
      </c>
      <c r="C88" s="56" t="s">
        <v>177</v>
      </c>
      <c r="D88" s="140">
        <f>IF(E21="",0,E21)</f>
        <v>15585585.16</v>
      </c>
    </row>
    <row r="89" spans="2:4" x14ac:dyDescent="0.25">
      <c r="B89" s="53" t="s">
        <v>80</v>
      </c>
      <c r="C89" s="56" t="s">
        <v>81</v>
      </c>
      <c r="D89" s="140">
        <f>IF(E11="",0,E11)</f>
        <v>68988371.920000002</v>
      </c>
    </row>
    <row r="90" spans="2:4" x14ac:dyDescent="0.25">
      <c r="B90" s="50" t="s">
        <v>82</v>
      </c>
      <c r="C90" s="55" t="s">
        <v>83</v>
      </c>
      <c r="D90" s="140">
        <f>IF(E24="",0,E24)</f>
        <v>712313159.18918705</v>
      </c>
    </row>
    <row r="91" spans="2:4" x14ac:dyDescent="0.25">
      <c r="B91" s="53" t="s">
        <v>84</v>
      </c>
      <c r="C91" s="56" t="s">
        <v>85</v>
      </c>
      <c r="D91" s="140">
        <f>IF(E10="",0,E10)</f>
        <v>163502936.41999999</v>
      </c>
    </row>
    <row r="92" spans="2:4" x14ac:dyDescent="0.25">
      <c r="B92" s="50" t="s">
        <v>86</v>
      </c>
      <c r="C92" s="55" t="s">
        <v>87</v>
      </c>
      <c r="D92" s="140">
        <f>IF(E27="",0,E27)</f>
        <v>17636000.377799999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73524325.840000004</v>
      </c>
    </row>
    <row r="94" spans="2:4" x14ac:dyDescent="0.25">
      <c r="B94" s="57" t="s">
        <v>152</v>
      </c>
      <c r="C94" s="58"/>
      <c r="D94" s="125">
        <f>SUM(D80:D93)</f>
        <v>3501152641.0161071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H38" sqref="H3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52" t="s">
        <v>162</v>
      </c>
      <c r="C41" s="253"/>
      <c r="D41" s="254"/>
      <c r="E41" s="67" t="s">
        <v>138</v>
      </c>
      <c r="F41" s="185">
        <f ca="1">IF(MONTH(TODAY())=8,DAY(TODAY())/DAY(EOMONTH(TODAY(),0)),IF(MONTH(TODAY())&gt;8,1,0))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TARGETS!R5</f>
        <v>0</v>
      </c>
      <c r="E51" s="123">
        <f>TARGETS!S5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TARGETS!R6</f>
        <v>0</v>
      </c>
      <c r="E52" s="124">
        <f>TARGETS!S6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x14ac:dyDescent="0.25">
      <c r="B53" s="145" t="s">
        <v>175</v>
      </c>
      <c r="C53" s="146" t="s">
        <v>176</v>
      </c>
      <c r="D53" s="147">
        <f>TARGETS!R7</f>
        <v>0</v>
      </c>
      <c r="E53" s="147">
        <f>TARGETS!S7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TARGETS!R8</f>
        <v>0</v>
      </c>
      <c r="E54" s="124">
        <f>TARGETS!S8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TARGETS!R9</f>
        <v>0</v>
      </c>
      <c r="E55" s="123">
        <f>TARGETS!S9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TARGETS!R10</f>
        <v>0</v>
      </c>
      <c r="E56" s="124">
        <f>TARGETS!S10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TARGETS!R11</f>
        <v>0</v>
      </c>
      <c r="E57" s="123">
        <f>TARGETS!S11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TARGETS!R12</f>
        <v>0</v>
      </c>
      <c r="E58" s="124">
        <f>TARGETS!S12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TARGETS!R13</f>
        <v>0</v>
      </c>
      <c r="E59" s="147">
        <f>TARGETS!S13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TARGETS!R14</f>
        <v>0</v>
      </c>
      <c r="E60" s="124">
        <f>TARGETS!S14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TARGETS!R15</f>
        <v>0</v>
      </c>
      <c r="E61" s="123">
        <f>TARGETS!S15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x14ac:dyDescent="0.25">
      <c r="B62" s="53" t="s">
        <v>84</v>
      </c>
      <c r="C62" s="56" t="s">
        <v>85</v>
      </c>
      <c r="D62" s="124">
        <f>TARGETS!R16</f>
        <v>0</v>
      </c>
      <c r="E62" s="124">
        <f>TARGETS!S16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TARGETS!R17</f>
        <v>0</v>
      </c>
      <c r="E63" s="123">
        <f>TARGETS!S17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TARGETS!R18</f>
        <v>0</v>
      </c>
      <c r="E64" s="124">
        <f>TARGETS!S18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TARGETS!K23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TARGETS!K24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52" t="s">
        <v>164</v>
      </c>
      <c r="C41" s="253"/>
      <c r="D41" s="254"/>
      <c r="E41" s="67" t="s">
        <v>138</v>
      </c>
      <c r="F41" s="185">
        <f ca="1">IF(MONTH(TODAY())=9,DAY(TODAY())/DAY(EOMONTH(TODAY(),0)),IF(MONTH(TODAY())&gt;9,1,0))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166</v>
      </c>
      <c r="C41" s="253"/>
      <c r="D41" s="254"/>
      <c r="E41" s="67" t="s">
        <v>138</v>
      </c>
      <c r="F41" s="185">
        <f ca="1">IF(MONTH(TODAY())=10,DAY(TODAY())/DAY(EOMONTH(TODAY(),0)),IF(MONTH(TODAY())&gt;10,1,0))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178</v>
      </c>
      <c r="C41" s="253"/>
      <c r="D41" s="254"/>
      <c r="E41" s="67" t="s">
        <v>138</v>
      </c>
      <c r="F41" s="185">
        <f ca="1">IF(MONTH(TODAY())=11,DAY(TODAY())/DAY(EOMONTH(TODAY(),0)),IF(MONTH(TODAY())&gt;11,1,0))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180</v>
      </c>
      <c r="C41" s="253"/>
      <c r="D41" s="254"/>
      <c r="E41" s="67" t="s">
        <v>138</v>
      </c>
      <c r="F41" s="185">
        <f ca="1">IF(MONTH(TODAY())=12,DAY(TODAY())/DAY(EOMONTH(TODAY(),0)),IF(MONTH(TODAY())&gt;12,1,0))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2026-07-24T08:17:10Z</cp:lastPrinted>
  <dcterms:created xsi:type="dcterms:W3CDTF">2026-03-24T08:59:20Z</dcterms:created>
  <dcterms:modified xsi:type="dcterms:W3CDTF">2026-07-29T00:45:37Z</dcterms:modified>
  <dc:language>en-US</dc:language>
</cp:coreProperties>
</file>