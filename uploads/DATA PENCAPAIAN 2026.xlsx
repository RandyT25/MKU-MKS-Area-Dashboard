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20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<sst xmlns="http://schemas.openxmlformats.org/spreadsheetml/2006/main" count="2112" uniqueCount="226">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</sst>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zoomScale="87" zoomScaleNormal="91" workbookViewId="0">
      <selection activeCell="J15" sqref="J1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abSelected="1" zoomScale="73" zoomScaleNormal="73" workbookViewId="0">
      <selection activeCell="J21" sqref="J2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25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19150680.195477001</v>
      </c>
      <c r="D10" s="234">
        <v>2662865.14</v>
      </c>
      <c r="E10" s="234">
        <v>22450306.233950999</v>
      </c>
      <c r="F10" s="234">
        <v>20442342.469994001</v>
      </c>
      <c r="G10" s="234">
        <v>64706194.039421998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4864932</v>
      </c>
      <c r="E11" s="234">
        <v>23873873.999899998</v>
      </c>
      <c r="F11" s="234">
        <v>0</v>
      </c>
      <c r="G11" s="234">
        <v>30988805.999899998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39598654.074519999</v>
      </c>
      <c r="D12" s="234">
        <v>10451949.368783001</v>
      </c>
      <c r="E12" s="234">
        <v>13492342.759938</v>
      </c>
      <c r="F12" s="234">
        <v>3243243.4</v>
      </c>
      <c r="G12" s="234">
        <v>66786189.603240997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6427594.8745379997</v>
      </c>
      <c r="D13" s="234">
        <v>1197477.48</v>
      </c>
      <c r="E13" s="234">
        <v>23893964.159947999</v>
      </c>
      <c r="F13" s="234">
        <v>2216216.2999999998</v>
      </c>
      <c r="G13" s="234">
        <v>33735252.814485997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53560602.875836</v>
      </c>
      <c r="D14" s="234">
        <v>7833292.2899860004</v>
      </c>
      <c r="E14" s="234">
        <v>29386567.639970999</v>
      </c>
      <c r="F14" s="234">
        <v>50263424.399965003</v>
      </c>
      <c r="G14" s="234">
        <v>141043887.20575801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69777555.270180002</v>
      </c>
      <c r="D15" s="234">
        <v>708717.44999899995</v>
      </c>
      <c r="E15" s="234">
        <v>3854145.63</v>
      </c>
      <c r="F15" s="234">
        <v>972973.02</v>
      </c>
      <c r="G15" s="234">
        <v>75313391.370178998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38824548.500950001</v>
      </c>
      <c r="D16" s="234">
        <v>5816927.7899839999</v>
      </c>
      <c r="E16" s="234">
        <v>38061396.549900003</v>
      </c>
      <c r="F16" s="234">
        <v>52232431.759999998</v>
      </c>
      <c r="G16" s="234">
        <v>134935304.60083401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8359068.1119520003</v>
      </c>
      <c r="D17" s="234">
        <v>1113513.54</v>
      </c>
      <c r="E17" s="234">
        <v>9115765.3399999999</v>
      </c>
      <c r="F17" s="234">
        <v>4621621.75</v>
      </c>
      <c r="G17" s="234">
        <v>23209968.741951998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2628550</v>
      </c>
      <c r="D18" s="234">
        <v>9101090.9480000008</v>
      </c>
      <c r="E18" s="234">
        <v>14253320.5</v>
      </c>
      <c r="F18" s="234">
        <v>10205405.640000001</v>
      </c>
      <c r="G18" s="234">
        <v>36188367.088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0</v>
      </c>
      <c r="D19" s="234">
        <v>0</v>
      </c>
      <c r="E19" s="234">
        <v>0</v>
      </c>
      <c r="F19" s="234">
        <v>0</v>
      </c>
      <c r="G19" s="234"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11726827.539999999</v>
      </c>
      <c r="D20" s="234">
        <v>0</v>
      </c>
      <c r="E20" s="234">
        <v>0</v>
      </c>
      <c r="F20" s="234">
        <v>2774774.7</v>
      </c>
      <c r="G20" s="234">
        <v>14501602.24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28646688.372466002</v>
      </c>
      <c r="D21" s="234">
        <v>6164630.6499979999</v>
      </c>
      <c r="E21" s="234">
        <v>18090000.029975999</v>
      </c>
      <c r="F21" s="234">
        <v>21427928.640000001</v>
      </c>
      <c r="G21" s="234">
        <v>74329247.692440003</v>
      </c>
      <c r="H21" s="111"/>
      <c r="I21" s="111"/>
      <c r="J21" s="111"/>
      <c r="M21" s="14">
        <f>SUM(C33,C34)+M20</f>
        <v>60432410.439611003</v>
      </c>
      <c r="N21" s="10" t="s">
        <v>224</v>
      </c>
    </row>
    <row r="22" spans="2:15" ht="15" customHeight="1" x14ac:dyDescent="0.25">
      <c r="B22" s="72" t="s">
        <v>125</v>
      </c>
      <c r="C22" s="234">
        <v>21210342.522978999</v>
      </c>
      <c r="D22" s="234">
        <v>4944945.96</v>
      </c>
      <c r="E22" s="234">
        <v>21837567.743944</v>
      </c>
      <c r="F22" s="234">
        <v>28680180.909965001</v>
      </c>
      <c r="G22" s="234">
        <v>76673037.136887997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63522617.112919003</v>
      </c>
      <c r="D23" s="234">
        <v>7323554.0599959996</v>
      </c>
      <c r="E23" s="234">
        <v>28646441.659965999</v>
      </c>
      <c r="F23" s="234">
        <v>86600001.079935998</v>
      </c>
      <c r="G23" s="234">
        <v>186092613.912817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5194522.5220889999</v>
      </c>
      <c r="D24" s="234">
        <v>2732797.3</v>
      </c>
      <c r="E24" s="234">
        <v>14582559.619937999</v>
      </c>
      <c r="F24" s="234">
        <v>10450450.300000001</v>
      </c>
      <c r="G24" s="234">
        <v>32960329.742027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15095379.462941</v>
      </c>
      <c r="D25" s="234">
        <v>17010013.611899</v>
      </c>
      <c r="E25" s="234">
        <v>6311022.539992</v>
      </c>
      <c r="F25" s="234">
        <v>0</v>
      </c>
      <c r="G25" s="234">
        <v>38416415.614831999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32321420.616347</v>
      </c>
      <c r="D26" s="234">
        <v>3276000</v>
      </c>
      <c r="E26" s="234">
        <v>31076582.219900001</v>
      </c>
      <c r="F26" s="234">
        <v>0</v>
      </c>
      <c r="G26" s="234">
        <v>66674002.836246997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16073090.059923001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25686568.179926001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36042140.099831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24390270.339779999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225</v>
      </c>
      <c r="C40" s="260"/>
      <c r="D40" s="261"/>
      <c r="E40" s="66" t="s">
        <v>137</v>
      </c>
      <c r="F40" s="174">
        <f ca="1">IF(MONTH(TODAY())=9,DAY(TODAY())/DAY(EOMONTH(TODAY(),0)),IF(MONTH(TODAY())&gt;9,1,0))</f>
        <v>6.6666666666666666E-2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348517496.783014</v>
      </c>
      <c r="F42" s="176">
        <f>IFERROR(E42/D42,0)</f>
        <v>7.724601614080763E-2</v>
      </c>
      <c r="G42" s="184">
        <f>D42*$H$40-E42</f>
        <v>3712089933.546443</v>
      </c>
      <c r="H42" s="184">
        <f ca="1">IFERROR(G42/$C$3,0)</f>
        <v>148483597.34185773</v>
      </c>
      <c r="I42" s="204">
        <f>D42*$J$40-E42</f>
        <v>3937679235.2314124</v>
      </c>
      <c r="J42" s="204">
        <f ca="1">IFERROR(I42/$C$3,0)</f>
        <v>157507169.40925649</v>
      </c>
      <c r="K42" s="185">
        <f>D42*$L$40-E42</f>
        <v>4163268536.9163823</v>
      </c>
      <c r="L42" s="185">
        <f ca="1">IFERROR(K42/$C$3,0)</f>
        <v>166530741.4766553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84493990.138646007</v>
      </c>
      <c r="F43" s="176">
        <f>IFERROR(E43/D43,0)</f>
        <v>6.0294050027233481E-2</v>
      </c>
      <c r="G43" s="184">
        <f>D43*$H$40-E43</f>
        <v>1176734789.3252273</v>
      </c>
      <c r="H43" s="184">
        <f ca="1">IFERROR(G43/$C$3,0)</f>
        <v>47069391.573009089</v>
      </c>
      <c r="I43" s="204">
        <f>D43*$J$40-E43</f>
        <v>1246803054.8509979</v>
      </c>
      <c r="J43" s="204">
        <f ca="1">IFERROR(I43/$C$3,0)</f>
        <v>49872122.194039918</v>
      </c>
      <c r="K43" s="185">
        <f>D43*$L$40-E43</f>
        <v>1316871320.3767691</v>
      </c>
      <c r="L43" s="185">
        <f ca="1">IFERROR(K43/$C$3,0)</f>
        <v>52674852.815070763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295071710.99732399</v>
      </c>
      <c r="F44" s="176">
        <f>IFERROR(E44/D44,0)</f>
        <v>0.10020045114058176</v>
      </c>
      <c r="G44" s="184">
        <f>IF(D44=0,0,D44*$H$40-E44)</f>
        <v>2355261065.698493</v>
      </c>
      <c r="H44" s="184">
        <f ca="1">IFERROR(G44/$C$3,0)</f>
        <v>94210442.627939716</v>
      </c>
      <c r="I44" s="204">
        <f>IF(D44=0,0,D44*$J$40-E44)</f>
        <v>2502501775.5149269</v>
      </c>
      <c r="J44" s="204">
        <f ca="1">IFERROR(I44/$C$3,0)</f>
        <v>100100071.02059707</v>
      </c>
      <c r="K44" s="185">
        <f>IF(D44=0,0,D44*$L$40-E44)</f>
        <v>2649742485.3313613</v>
      </c>
      <c r="L44" s="185">
        <f ca="1">IFERROR(K44/$C$3,0)</f>
        <v>105989699.41325445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102192068.67946</v>
      </c>
      <c r="F45" s="176">
        <f>IFERROR(E45/D45,0)</f>
        <v>5.8716714277929342E-2</v>
      </c>
      <c r="G45" s="184">
        <f>D45*$H$40-E45</f>
        <v>1464190910.0439444</v>
      </c>
      <c r="H45" s="184">
        <f ca="1">IFERROR(G45/$C$3,0)</f>
        <v>58567636.401757777</v>
      </c>
      <c r="I45" s="204">
        <f>D45*$J$40-E45</f>
        <v>1551212186.6396887</v>
      </c>
      <c r="J45" s="204">
        <f ca="1">IFERROR(I45/$C$3,0)</f>
        <v>62048487.465587549</v>
      </c>
      <c r="K45" s="185">
        <f>D45*$L$40-E45</f>
        <v>1638233463.2354336</v>
      </c>
      <c r="L45" s="185">
        <f ca="1">IFERROR(K45/$C$3,0)</f>
        <v>65529338.529417343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830275266.59844398</v>
      </c>
      <c r="F46" s="177">
        <f>IFERROR(E46/D46,0)</f>
        <v>7.8339746186196754E-2</v>
      </c>
      <c r="G46" s="181">
        <f>SUM(G42:G45)</f>
        <v>8708276698.6141071</v>
      </c>
      <c r="H46" s="181">
        <f ca="1">IFERROR(G46/$C$3,0)</f>
        <v>348331067.94456428</v>
      </c>
      <c r="I46" s="186">
        <f>SUM(I42:I45)</f>
        <v>9238196252.2370262</v>
      </c>
      <c r="J46" s="186">
        <f ca="1">IFERROR(I46/$C$3,0)</f>
        <v>369527850.08948106</v>
      </c>
      <c r="K46" s="186">
        <f>SUM(K42:K45)</f>
        <v>9768115805.8599472</v>
      </c>
      <c r="L46" s="186">
        <f ca="1">IFERROR(K46/$C$3,0)</f>
        <v>390724632.23439789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28646688.372466002</v>
      </c>
      <c r="I51" s="114">
        <f t="shared" ref="I51:I64" si="1">SUMIF($B$10:$B$26,$T51,D$10:D$26)+SUMIF($B$10:$B$26,$U51,D$10:D$26)</f>
        <v>6164630.6499979999</v>
      </c>
      <c r="J51" s="114">
        <f t="shared" ref="J51:J64" si="2">SUMIF($B$10:$B$26,$T51,E$10:E$26)+SUMIF($B$10:$B$26,$U51,E$10:E$26)</f>
        <v>18090000.029975999</v>
      </c>
      <c r="K51" s="114">
        <f t="shared" ref="K51:K64" si="3">SUM(H51:J51)</f>
        <v>52901319.052440003</v>
      </c>
      <c r="L51" s="187">
        <f t="shared" ref="L51:L65" si="4">IFERROR(K51/G51,0)</f>
        <v>0.10284731637814304</v>
      </c>
      <c r="M51" s="184">
        <f t="shared" ref="M51:M64" si="5">G51*$H$40-K51</f>
        <v>410029448.84569317</v>
      </c>
      <c r="N51" s="184">
        <f t="shared" ref="N51:N65" ca="1" si="6">IFERROR(M51/$C$3,0)</f>
        <v>16401177.953827728</v>
      </c>
      <c r="O51" s="180">
        <f t="shared" ref="O51:O64" si="7">G51*$J$40-K51</f>
        <v>435747824.84003383</v>
      </c>
      <c r="P51" s="180">
        <f t="shared" ref="P51:P65" ca="1" si="8">IFERROR(O51/$C$3,0)</f>
        <v>17429912.993601352</v>
      </c>
      <c r="Q51" s="185">
        <f t="shared" ref="Q51:Q64" si="9">G51*$L$40-K51</f>
        <v>461466200.83437461</v>
      </c>
      <c r="R51" s="185">
        <f t="shared" ref="R51:R65" ca="1" si="10">IFERROR(Q51/$C$3,0)</f>
        <v>18458648.033374984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46026248.949057996</v>
      </c>
      <c r="I52" s="114">
        <f t="shared" si="1"/>
        <v>11649426.848783001</v>
      </c>
      <c r="J52" s="114">
        <f t="shared" si="2"/>
        <v>37386306.919886</v>
      </c>
      <c r="K52" s="114">
        <f t="shared" si="3"/>
        <v>95061982.717727005</v>
      </c>
      <c r="L52" s="187">
        <f t="shared" si="4"/>
        <v>0.12101730445911497</v>
      </c>
      <c r="M52" s="184">
        <f t="shared" si="5"/>
        <v>611909510.56040049</v>
      </c>
      <c r="N52" s="184">
        <f t="shared" ca="1" si="6"/>
        <v>24476380.42241602</v>
      </c>
      <c r="O52" s="180">
        <f t="shared" si="7"/>
        <v>651185704.6314075</v>
      </c>
      <c r="P52" s="180">
        <f t="shared" ca="1" si="8"/>
        <v>26047428.185256299</v>
      </c>
      <c r="Q52" s="185">
        <f t="shared" si="9"/>
        <v>690461898.70241451</v>
      </c>
      <c r="R52" s="185">
        <f t="shared" ca="1" si="10"/>
        <v>27618475.948096581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0</v>
      </c>
      <c r="I53" s="114">
        <f t="shared" si="1"/>
        <v>0</v>
      </c>
      <c r="J53" s="114">
        <f t="shared" si="2"/>
        <v>0</v>
      </c>
      <c r="K53" s="114">
        <f t="shared" si="3"/>
        <v>0</v>
      </c>
      <c r="L53" s="187">
        <f t="shared" si="4"/>
        <v>0</v>
      </c>
      <c r="M53" s="184">
        <f t="shared" si="5"/>
        <v>236657794.55670968</v>
      </c>
      <c r="N53" s="184">
        <f t="shared" ca="1" si="6"/>
        <v>9466311.7822683863</v>
      </c>
      <c r="O53" s="180">
        <f t="shared" si="7"/>
        <v>249805449.8098602</v>
      </c>
      <c r="P53" s="180">
        <f t="shared" ca="1" si="8"/>
        <v>9992217.9923944082</v>
      </c>
      <c r="Q53" s="185">
        <f t="shared" si="9"/>
        <v>262953105.06301075</v>
      </c>
      <c r="R53" s="185">
        <f t="shared" ca="1" si="10"/>
        <v>10518124.20252043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53560602.875836</v>
      </c>
      <c r="I54" s="114">
        <f t="shared" si="1"/>
        <v>7833292.2899860004</v>
      </c>
      <c r="J54" s="114">
        <f t="shared" si="2"/>
        <v>29386567.639970999</v>
      </c>
      <c r="K54" s="114">
        <f t="shared" si="3"/>
        <v>90780462.805793002</v>
      </c>
      <c r="L54" s="187">
        <f t="shared" si="4"/>
        <v>0.12492635837555113</v>
      </c>
      <c r="M54" s="184">
        <f t="shared" si="5"/>
        <v>563224165.10148597</v>
      </c>
      <c r="N54" s="184">
        <f t="shared" ca="1" si="6"/>
        <v>22528966.604059439</v>
      </c>
      <c r="O54" s="180">
        <f t="shared" si="7"/>
        <v>599557755.54077923</v>
      </c>
      <c r="P54" s="180">
        <f t="shared" ca="1" si="8"/>
        <v>23982310.221631169</v>
      </c>
      <c r="Q54" s="185">
        <f t="shared" si="9"/>
        <v>635891345.9800725</v>
      </c>
      <c r="R54" s="185">
        <f t="shared" ca="1" si="10"/>
        <v>25435653.839202899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4864932</v>
      </c>
      <c r="J55" s="114">
        <f t="shared" si="2"/>
        <v>23873873.999899998</v>
      </c>
      <c r="K55" s="114">
        <f t="shared" si="3"/>
        <v>30988805.999899998</v>
      </c>
      <c r="L55" s="187">
        <f t="shared" si="4"/>
        <v>5.7685681941517776E-2</v>
      </c>
      <c r="M55" s="184">
        <f t="shared" si="5"/>
        <v>452492093.61371708</v>
      </c>
      <c r="N55" s="184">
        <f t="shared" ca="1" si="6"/>
        <v>18099683.744548682</v>
      </c>
      <c r="O55" s="180">
        <f t="shared" si="7"/>
        <v>479352143.59225136</v>
      </c>
      <c r="P55" s="180">
        <f t="shared" ca="1" si="8"/>
        <v>19174085.743690055</v>
      </c>
      <c r="Q55" s="185">
        <f t="shared" si="9"/>
        <v>506212193.57078564</v>
      </c>
      <c r="R55" s="185">
        <f t="shared" ca="1" si="10"/>
        <v>20248487.742831424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5194522.5220889999</v>
      </c>
      <c r="I56" s="114">
        <f t="shared" si="1"/>
        <v>2732797.3</v>
      </c>
      <c r="J56" s="114">
        <f t="shared" si="2"/>
        <v>14582559.619937999</v>
      </c>
      <c r="K56" s="114">
        <f t="shared" si="3"/>
        <v>22509879.442026999</v>
      </c>
      <c r="L56" s="187">
        <f t="shared" si="4"/>
        <v>3.9151294021105162E-2</v>
      </c>
      <c r="M56" s="184">
        <f t="shared" si="5"/>
        <v>494941510.20816958</v>
      </c>
      <c r="N56" s="184">
        <f t="shared" ca="1" si="6"/>
        <v>19797660.408326782</v>
      </c>
      <c r="O56" s="180">
        <f t="shared" si="7"/>
        <v>523688809.6331805</v>
      </c>
      <c r="P56" s="180">
        <f t="shared" ca="1" si="8"/>
        <v>20947552.38532722</v>
      </c>
      <c r="Q56" s="185">
        <f t="shared" si="9"/>
        <v>552436109.05819142</v>
      </c>
      <c r="R56" s="185">
        <f t="shared" ca="1" si="10"/>
        <v>22097444.362327658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38824548.500950001</v>
      </c>
      <c r="I57" s="114">
        <f t="shared" si="1"/>
        <v>5816927.7899839999</v>
      </c>
      <c r="J57" s="114">
        <f t="shared" si="2"/>
        <v>38061396.549900003</v>
      </c>
      <c r="K57" s="114">
        <f t="shared" si="3"/>
        <v>82702872.840834007</v>
      </c>
      <c r="L57" s="187">
        <f t="shared" si="4"/>
        <v>7.456190132131757E-2</v>
      </c>
      <c r="M57" s="184">
        <f t="shared" si="5"/>
        <v>915562786.13143802</v>
      </c>
      <c r="N57" s="184">
        <f t="shared" ca="1" si="6"/>
        <v>36622511.445257522</v>
      </c>
      <c r="O57" s="180">
        <f t="shared" si="7"/>
        <v>971021989.40767527</v>
      </c>
      <c r="P57" s="180">
        <f t="shared" ca="1" si="8"/>
        <v>38840879.576307014</v>
      </c>
      <c r="Q57" s="185">
        <f t="shared" si="9"/>
        <v>1026481192.6839126</v>
      </c>
      <c r="R57" s="185">
        <f t="shared" ca="1" si="10"/>
        <v>41059247.707356505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21210342.522978999</v>
      </c>
      <c r="I58" s="114">
        <f t="shared" si="1"/>
        <v>4944945.96</v>
      </c>
      <c r="J58" s="114">
        <f t="shared" si="2"/>
        <v>21837567.743944</v>
      </c>
      <c r="K58" s="114">
        <f t="shared" si="3"/>
        <v>47992856.226923004</v>
      </c>
      <c r="L58" s="187">
        <f t="shared" si="4"/>
        <v>7.8090384123246051E-2</v>
      </c>
      <c r="M58" s="184">
        <f t="shared" si="5"/>
        <v>505129926.93240309</v>
      </c>
      <c r="N58" s="184">
        <f t="shared" ca="1" si="6"/>
        <v>20205197.077296123</v>
      </c>
      <c r="O58" s="180">
        <f t="shared" si="7"/>
        <v>535858970.44125438</v>
      </c>
      <c r="P58" s="180">
        <f t="shared" ca="1" si="8"/>
        <v>21434358.817650177</v>
      </c>
      <c r="Q58" s="185">
        <f t="shared" si="9"/>
        <v>566588013.95010591</v>
      </c>
      <c r="R58" s="185">
        <f t="shared" ca="1" si="10"/>
        <v>22663520.558004238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11726827.539999999</v>
      </c>
      <c r="I59" s="114">
        <f t="shared" si="1"/>
        <v>0</v>
      </c>
      <c r="J59" s="114">
        <f t="shared" si="2"/>
        <v>0</v>
      </c>
      <c r="K59" s="114">
        <f t="shared" si="3"/>
        <v>11726827.539999999</v>
      </c>
      <c r="L59" s="187">
        <f t="shared" si="4"/>
        <v>2.6420895161453354E-2</v>
      </c>
      <c r="M59" s="184">
        <f t="shared" si="5"/>
        <v>387735216.478778</v>
      </c>
      <c r="N59" s="184">
        <f t="shared" ca="1" si="6"/>
        <v>15509408.65915112</v>
      </c>
      <c r="O59" s="180">
        <f t="shared" si="7"/>
        <v>409927552.257599</v>
      </c>
      <c r="P59" s="180">
        <f t="shared" ca="1" si="8"/>
        <v>16397102.090303959</v>
      </c>
      <c r="Q59" s="185">
        <f t="shared" si="9"/>
        <v>432119888.03641999</v>
      </c>
      <c r="R59" s="185">
        <f t="shared" ca="1" si="10"/>
        <v>17284795.5214568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15095379.462941</v>
      </c>
      <c r="I60" s="114">
        <f t="shared" si="1"/>
        <v>17010013.611899</v>
      </c>
      <c r="J60" s="114">
        <f t="shared" si="2"/>
        <v>6311022.539992</v>
      </c>
      <c r="K60" s="114">
        <f t="shared" si="3"/>
        <v>38416415.614831999</v>
      </c>
      <c r="L60" s="187">
        <f t="shared" si="4"/>
        <v>6.6328263814262323E-2</v>
      </c>
      <c r="M60" s="184">
        <f t="shared" si="5"/>
        <v>482851171.76191336</v>
      </c>
      <c r="N60" s="184">
        <f t="shared" ca="1" si="6"/>
        <v>19314046.870476533</v>
      </c>
      <c r="O60" s="180">
        <f t="shared" si="7"/>
        <v>511810482.17173249</v>
      </c>
      <c r="P60" s="180">
        <f t="shared" ca="1" si="8"/>
        <v>20472419.286869299</v>
      </c>
      <c r="Q60" s="185">
        <f t="shared" si="9"/>
        <v>540769792.58155167</v>
      </c>
      <c r="R60" s="185">
        <f t="shared" ca="1" si="10"/>
        <v>21630791.703262068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63522617.112919003</v>
      </c>
      <c r="I61" s="114">
        <f t="shared" si="1"/>
        <v>7323554.0599959996</v>
      </c>
      <c r="J61" s="114">
        <f t="shared" si="2"/>
        <v>28646441.659965999</v>
      </c>
      <c r="K61" s="114">
        <f t="shared" si="3"/>
        <v>99492612.832881004</v>
      </c>
      <c r="L61" s="187">
        <f t="shared" si="4"/>
        <v>0.13884121165777188</v>
      </c>
      <c r="M61" s="184">
        <f t="shared" si="5"/>
        <v>545440908.56498241</v>
      </c>
      <c r="N61" s="184">
        <f t="shared" ca="1" si="6"/>
        <v>21817636.342599295</v>
      </c>
      <c r="O61" s="180">
        <f t="shared" si="7"/>
        <v>581270548.64264143</v>
      </c>
      <c r="P61" s="180">
        <f t="shared" ca="1" si="8"/>
        <v>23250821.945705656</v>
      </c>
      <c r="Q61" s="185">
        <f t="shared" si="9"/>
        <v>617100188.72030056</v>
      </c>
      <c r="R61" s="185">
        <f t="shared" ca="1" si="10"/>
        <v>24684007.548812021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19150680.195477001</v>
      </c>
      <c r="I62" s="114">
        <f t="shared" si="1"/>
        <v>2662865.14</v>
      </c>
      <c r="J62" s="114">
        <f t="shared" si="2"/>
        <v>22450306.233950999</v>
      </c>
      <c r="K62" s="114">
        <f t="shared" si="3"/>
        <v>44263851.569427997</v>
      </c>
      <c r="L62" s="187">
        <f t="shared" si="4"/>
        <v>9.2791810185032991E-2</v>
      </c>
      <c r="M62" s="184">
        <f t="shared" si="5"/>
        <v>385057080.23529339</v>
      </c>
      <c r="N62" s="184">
        <f t="shared" ca="1" si="6"/>
        <v>15402283.209411735</v>
      </c>
      <c r="O62" s="180">
        <f t="shared" si="7"/>
        <v>408908243.11333346</v>
      </c>
      <c r="P62" s="180">
        <f t="shared" ca="1" si="8"/>
        <v>16356329.724533338</v>
      </c>
      <c r="Q62" s="185">
        <f t="shared" si="9"/>
        <v>432759405.99137354</v>
      </c>
      <c r="R62" s="185">
        <f t="shared" ca="1" si="10"/>
        <v>17310376.239654943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32321420.616347</v>
      </c>
      <c r="I63" s="114">
        <f t="shared" si="1"/>
        <v>3276000</v>
      </c>
      <c r="J63" s="114">
        <f t="shared" si="2"/>
        <v>31076582.219900001</v>
      </c>
      <c r="K63" s="114">
        <f t="shared" si="3"/>
        <v>66674002.836246997</v>
      </c>
      <c r="L63" s="187">
        <f t="shared" si="4"/>
        <v>6.8105999771755951E-2</v>
      </c>
      <c r="M63" s="184">
        <f t="shared" si="5"/>
        <v>814402594.72817898</v>
      </c>
      <c r="N63" s="184">
        <f t="shared" ca="1" si="6"/>
        <v>32576103.78912716</v>
      </c>
      <c r="O63" s="180">
        <f t="shared" si="7"/>
        <v>863351294.59286916</v>
      </c>
      <c r="P63" s="180">
        <f t="shared" ca="1" si="8"/>
        <v>34534051.783714764</v>
      </c>
      <c r="Q63" s="185">
        <f t="shared" si="9"/>
        <v>912299994.45755959</v>
      </c>
      <c r="R63" s="185">
        <f t="shared" ca="1" si="10"/>
        <v>36491999.778302386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10987618.111951999</v>
      </c>
      <c r="I64" s="114">
        <f t="shared" si="1"/>
        <v>10214604.488000002</v>
      </c>
      <c r="J64" s="114">
        <f t="shared" si="2"/>
        <v>23369085.84</v>
      </c>
      <c r="K64" s="114">
        <f t="shared" si="3"/>
        <v>44571308.439952001</v>
      </c>
      <c r="L64" s="187">
        <f t="shared" si="4"/>
        <v>8.3013819264268721E-2</v>
      </c>
      <c r="M64" s="184">
        <f t="shared" si="5"/>
        <v>438651580.85099971</v>
      </c>
      <c r="N64" s="184">
        <f t="shared" ca="1" si="6"/>
        <v>17546063.234039988</v>
      </c>
      <c r="O64" s="180">
        <f t="shared" si="7"/>
        <v>465497296.92271918</v>
      </c>
      <c r="P64" s="180">
        <f t="shared" ca="1" si="8"/>
        <v>18619891.876908768</v>
      </c>
      <c r="Q64" s="185">
        <f t="shared" si="9"/>
        <v>492343012.99443877</v>
      </c>
      <c r="R64" s="185">
        <f t="shared" ca="1" si="10"/>
        <v>19693720.519777551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348517496.783014</v>
      </c>
      <c r="I65" s="135">
        <f t="shared" si="12"/>
        <v>84493990.138646007</v>
      </c>
      <c r="J65" s="135">
        <f t="shared" si="12"/>
        <v>295071710.99732399</v>
      </c>
      <c r="K65" s="135">
        <f t="shared" si="12"/>
        <v>728083197.91898394</v>
      </c>
      <c r="L65" s="189">
        <f t="shared" si="4"/>
        <v>8.2195307103702181E-2</v>
      </c>
      <c r="M65" s="181">
        <f>SUM(M51:M64)</f>
        <v>7244085788.5701628</v>
      </c>
      <c r="N65" s="181">
        <f t="shared" ca="1" si="6"/>
        <v>289763431.54280651</v>
      </c>
      <c r="O65" s="181">
        <f>SUM(O51:O64)</f>
        <v>7686984065.5973368</v>
      </c>
      <c r="P65" s="181">
        <f t="shared" ca="1" si="8"/>
        <v>307479362.6238935</v>
      </c>
      <c r="Q65" s="186">
        <f>SUM(Q51:Q64)</f>
        <v>8129882342.6245127</v>
      </c>
      <c r="R65" s="186">
        <f t="shared" ca="1" si="10"/>
        <v>325195293.70498049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16073090.059923001</v>
      </c>
      <c r="F69" s="187">
        <f t="shared" ref="F69:F74" si="13">IFERROR(E69/D69,0)</f>
        <v>6.2722417305357422E-2</v>
      </c>
      <c r="G69" s="184">
        <f>D69*$H$40-E69</f>
        <v>214558662.91454518</v>
      </c>
      <c r="H69" s="184">
        <f t="shared" ref="H69:H74" ca="1" si="14">IFERROR(G69/$C$3,0)</f>
        <v>8582346.5165818073</v>
      </c>
      <c r="I69" s="204">
        <f>D69*$J$40-E69</f>
        <v>227371538.07979339</v>
      </c>
      <c r="J69" s="204">
        <f t="shared" ref="J69:J74" ca="1" si="15">IFERROR(I69/$C$3,0)</f>
        <v>9094861.5231917351</v>
      </c>
      <c r="K69" s="185">
        <f>D69*$L$40-E69</f>
        <v>240184413.24504164</v>
      </c>
      <c r="L69" s="185">
        <f t="shared" ref="L69:L74" ca="1" si="16">IFERROR(K69/$C$3,0)</f>
        <v>9607376.5298016649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25686568.179926001</v>
      </c>
      <c r="F70" s="187">
        <f t="shared" si="13"/>
        <v>6.4287391752674755E-2</v>
      </c>
      <c r="G70" s="184">
        <f>D70*$H$40-E70</f>
        <v>333916002.89454216</v>
      </c>
      <c r="H70" s="184">
        <f t="shared" ca="1" si="14"/>
        <v>13356640.115781687</v>
      </c>
      <c r="I70" s="204">
        <f>D70*$J$40-E70</f>
        <v>353893923.50979036</v>
      </c>
      <c r="J70" s="204">
        <f t="shared" ca="1" si="15"/>
        <v>14155756.940391615</v>
      </c>
      <c r="K70" s="185">
        <f>D70*$L$40-E70</f>
        <v>373871844.12503862</v>
      </c>
      <c r="L70" s="185">
        <f t="shared" ca="1" si="16"/>
        <v>14954873.765001545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60432410.439611003</v>
      </c>
      <c r="F71" s="187">
        <f t="shared" si="13"/>
        <v>5.5718121553717581E-2</v>
      </c>
      <c r="G71" s="184">
        <f>D71*$H$40-E71</f>
        <v>915716244.2348572</v>
      </c>
      <c r="H71" s="184">
        <f t="shared" ca="1" si="14"/>
        <v>36628649.769394286</v>
      </c>
      <c r="I71" s="204">
        <f>D71*$J$40-E71</f>
        <v>969946725.05010533</v>
      </c>
      <c r="J71" s="204">
        <f t="shared" ca="1" si="15"/>
        <v>38797869.002004214</v>
      </c>
      <c r="K71" s="185">
        <f>D71*$L$40-E71</f>
        <v>1024177205.8653536</v>
      </c>
      <c r="L71" s="185">
        <f t="shared" ca="1" si="16"/>
        <v>40967088.234614141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102192068.67946</v>
      </c>
      <c r="F74" s="177">
        <f t="shared" si="13"/>
        <v>5.8716714277929342E-2</v>
      </c>
      <c r="G74" s="181">
        <f>SUM(G69:G73)</f>
        <v>1464190910.0439444</v>
      </c>
      <c r="H74" s="181">
        <f t="shared" ca="1" si="14"/>
        <v>58567636.401757777</v>
      </c>
      <c r="I74" s="186">
        <f>SUM(I69:I73)</f>
        <v>1551212186.639689</v>
      </c>
      <c r="J74" s="186">
        <f t="shared" ca="1" si="15"/>
        <v>62048487.465587556</v>
      </c>
      <c r="K74" s="186">
        <f>SUM(K69:K73)</f>
        <v>1638233463.2354338</v>
      </c>
      <c r="L74" s="186">
        <f t="shared" ca="1" si="16"/>
        <v>65529338.529417351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21427928.640000001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5459459.6999999993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0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50263424.399965003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10450450.300000001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52232431.759999998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28680180.909965001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2774774.7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0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86600001.079935998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20442342.469994001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0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14827027.390000001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293158021.34985995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2026-09-02T00:47:50Z</dcterms:modified>
  <dc:language>en-US</dc:language>
</cp:coreProperties>
</file>