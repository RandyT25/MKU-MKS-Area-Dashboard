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<sst xmlns="http://schemas.openxmlformats.org/spreadsheetml/2006/main" count="1879" uniqueCount="189">
  <si>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</si>
  <si>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</si>
  <si>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</si>
  <si>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</si>
  <si>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</si>
  <si>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</si>
  <si>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</si>
  <si>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</si>
  <si>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</si>
  <si>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</si>
  <si>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</si>
  <si>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</si>
  <si>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</si>
  <si>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</si>
  <si>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</si>
  <si>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</si>
  <si>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</si>
  <si>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</si>
  <si>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</si>
  <si>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</si>
  <si>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</si>
  <si>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</si>
  <si>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</si>
  <si>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</si>
  <si>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</si>
  <si>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</si>
  <si>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</si>
  <si>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</si>
  <si>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</si>
  <si>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</si>
  <si>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</si>
  <si>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</si>
  <si>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</si>
  <si>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</si>
  <si>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</si>
  <si>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</si>
  <si>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</si>
  <si>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</si>
  <si>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</si>
  <si>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</si>
  <si>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</si>
  <si>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</si>
  <si>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</si>
  <si>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</si>
  <si>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</si>
  <si>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</si>
  <si>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</si>
  <si>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</si>
  <si>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</si>
  <si>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</si>
  <si>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</si>
  <si>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</si>
  <si>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</si>
  <si>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</si>
  <si>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</si>
  <si>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</si>
  <si>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</si>
  <si>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</si>
  <si>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</si>
  <si>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</si>
  <si>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</si>
  <si>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</si>
  <si>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</si>
  <si>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</si>
  <si>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</si>
  <si>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</si>
  <si>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</si>
  <si>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</si>
  <si>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</si>
  <si>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</si>
  <si>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</si>
  <si>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</si>
  <si>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</si>
  <si>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</si>
  <si>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</si>
  <si>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</si>
  <si>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</si>
  <si>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</si>
  <si>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</si>
  <si>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</si>
  <si>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</si>
  <si>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</si>
  <si>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</si>
  <si>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</si>
  <si>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</si>
  <si>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</si>
  <si>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</si>
  <si>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</si>
  <si>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</si>
  <si>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</si>
  <si>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</si>
  <si>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</si>
  <si>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</si>
  <si>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</si>
  <si>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</si>
  <si>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</si>
  <si>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</si>
  <si>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</si>
  <si>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</si>
  <si>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</si>
  <si>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</si>
  <si>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</si>
  <si>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</si>
  <si>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</si>
  <si>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</si>
  <si>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</si>
  <si>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</si>
  <si>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</si>
  <si>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</si>
  <si>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</si>
  <si>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</si>
  <si>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</si>
  <si>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</si>
  <si>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</si>
  <si>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</si>
  <si>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</si>
  <si>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</si>
  <si>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</si>
  <si>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</si>
  <si>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</si>
  <si>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</si>
  <si>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</si>
  <si>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</si>
  <si>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</si>
  <si>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</si>
  <si>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</si>
  <si>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</si>
  <si>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</si>
  <si>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</si>
  <si>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</si>
  <si>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</si>
  <si>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</si>
  <si>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</si>
  <si>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</si>
  <si>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</si>
  <si>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</si>
  <si>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</si>
  <si>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</si>
  <si>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</si>
  <si>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</si>
  <si>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</si>
  <si>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</si>
  <si>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</si>
  <si>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</si>
  <si>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</si>
  <si>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</si>
  <si>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</si>
  <si>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</si>
  <si>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</si>
  <si>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</si>
  <si>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</si>
  <si>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</si>
  <si>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</si>
  <si>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</si>
  <si>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</si>
  <si>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</si>
  <si>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</si>
  <si>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</si>
  <si>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</si>
  <si>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</si>
  <si>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</si>
  <si>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</si>
  <si>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</si>
  <si>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</si>
  <si>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</si>
  <si>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</si>
  <si>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</si>
  <si>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</si>
  <si>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</si>
  <si>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</si>
  <si>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</si>
  <si>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</si>
  <si>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</si>
  <si>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</si>
  <si>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</si>
  <si>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</si>
  <si>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</si>
  <si>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</si>
  <si>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</si>
  <si>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</si>
  <si>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</si>
  <si>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</si>
  <si>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</si>
  <si>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</si>
  <si>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</si>
  <si>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</si>
  <si>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</si>
  <si>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</si>
  <si>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23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</si>
</sst>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8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79099260.026450872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69448416.214586347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13721564.342464089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162269240.58350131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18993015.415820412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16993704.37340875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5488177.7749999985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-5043588.4357533902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16349297.201440766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10085938.056867957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-3139641.9585924447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13851803.529411256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12951517.521253124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9451493.4571600482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22154519.675734781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14796791.020271607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4325710.3703744262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11288938.238640048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148547676.24103734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-1670372.2395340577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-2316185.3422353044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17708121.924233466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13721564.342464104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6" zoomScaleNormal="100" workbookViewId="0">
      <selection activeCell="F75" sqref="F75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5.42578125" bestFit="1" customWidth="1"/>
    <col min="6" max="6" width="15.140625" bestFit="1" customWidth="1"/>
    <col min="7" max="7" width="16.85546875" customWidth="1"/>
    <col min="8" max="8" width="12.42578125" bestFit="1" customWidth="1"/>
    <col min="9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8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329491826.54362202</v>
      </c>
      <c r="N8" s="11">
        <f>D22</f>
        <v>43927738.473954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477107155.21809798</v>
      </c>
      <c r="N9" s="11">
        <f>D13+D14</f>
        <v>131999214.37135601</v>
      </c>
    </row>
    <row r="10" spans="2:14" x14ac:dyDescent="0.25">
      <c r="B10" s="74" t="s">
        <v>113</v>
      </c>
      <c r="C10" s="206">
        <v>293840547.76424998</v>
      </c>
      <c r="D10" s="206">
        <v>42093273.674698003</v>
      </c>
      <c r="E10" s="206">
        <v>126709703.23</v>
      </c>
      <c r="F10" s="206">
        <v>462643524.66894799</v>
      </c>
      <c r="H10" s="116"/>
      <c r="I10" s="116"/>
      <c r="J10" s="116"/>
      <c r="M10" s="11">
        <f>C15</f>
        <v>723262529.774665</v>
      </c>
      <c r="N10" s="11">
        <f>D15</f>
        <v>20294066.112318002</v>
      </c>
    </row>
    <row r="11" spans="2:14" x14ac:dyDescent="0.25">
      <c r="B11" s="74" t="s">
        <v>114</v>
      </c>
      <c r="C11" s="206">
        <v>238425936.676606</v>
      </c>
      <c r="D11" s="206">
        <v>83977743.072685003</v>
      </c>
      <c r="E11" s="206">
        <v>57220804.159999996</v>
      </c>
      <c r="F11" s="206">
        <v>379624483.90929103</v>
      </c>
      <c r="H11" s="116"/>
      <c r="I11" s="116"/>
      <c r="J11" s="116"/>
      <c r="M11" s="11">
        <f>C12</f>
        <v>264680181.478939</v>
      </c>
      <c r="N11" s="11">
        <f>D12</f>
        <v>32367613.199999999</v>
      </c>
    </row>
    <row r="12" spans="2:14" x14ac:dyDescent="0.25">
      <c r="B12" s="74" t="s">
        <v>185</v>
      </c>
      <c r="C12" s="206">
        <v>264680181.478939</v>
      </c>
      <c r="D12" s="206">
        <v>32367613.199999999</v>
      </c>
      <c r="E12" s="206" t="s">
        <v>168</v>
      </c>
      <c r="F12" s="206">
        <v>297047794.67893898</v>
      </c>
      <c r="H12" s="116"/>
      <c r="I12" s="116"/>
      <c r="J12" s="116"/>
      <c r="M12" s="11">
        <f>C25+C26</f>
        <v>284323603.62885201</v>
      </c>
      <c r="N12" s="11">
        <f>D25+D26</f>
        <v>85434945.816469997</v>
      </c>
    </row>
    <row r="13" spans="2:14" x14ac:dyDescent="0.25">
      <c r="B13" s="74" t="s">
        <v>70</v>
      </c>
      <c r="C13" s="206">
        <v>271523796.63511997</v>
      </c>
      <c r="D13" s="206">
        <v>100335228.18149</v>
      </c>
      <c r="E13" s="206">
        <v>45736841.359999999</v>
      </c>
      <c r="F13" s="206">
        <v>417595866.17660999</v>
      </c>
      <c r="H13" s="116"/>
      <c r="I13" s="116"/>
      <c r="J13" s="116"/>
      <c r="M13" s="11">
        <f>C17</f>
        <v>1097028321.7079871</v>
      </c>
      <c r="N13" s="11">
        <f>D17</f>
        <v>73524554.659632996</v>
      </c>
    </row>
    <row r="14" spans="2:14" x14ac:dyDescent="0.25">
      <c r="B14" s="74" t="s">
        <v>115</v>
      </c>
      <c r="C14" s="206">
        <v>205583358.58297801</v>
      </c>
      <c r="D14" s="206">
        <v>31663986.189865999</v>
      </c>
      <c r="E14" s="206">
        <v>35853805.840000004</v>
      </c>
      <c r="F14" s="206">
        <v>273101150.61284399</v>
      </c>
      <c r="H14" s="116"/>
      <c r="I14" s="116"/>
      <c r="J14" s="116"/>
      <c r="M14" s="11">
        <f>C23</f>
        <v>366144920.39577699</v>
      </c>
      <c r="N14" s="11">
        <f>D23</f>
        <v>55095356.079944998</v>
      </c>
    </row>
    <row r="15" spans="2:14" x14ac:dyDescent="0.25">
      <c r="B15" s="84" t="s">
        <v>116</v>
      </c>
      <c r="C15" s="206">
        <v>723262529.774665</v>
      </c>
      <c r="D15" s="206">
        <v>20294066.112318002</v>
      </c>
      <c r="E15" s="206">
        <v>283977138.55000001</v>
      </c>
      <c r="F15" s="206">
        <v>1027533734.436983</v>
      </c>
      <c r="H15" s="116"/>
      <c r="I15" s="116"/>
      <c r="J15" s="116"/>
      <c r="M15" s="11">
        <f>C11</f>
        <v>238425936.676606</v>
      </c>
      <c r="N15" s="11">
        <f>D11</f>
        <v>83977743.072685003</v>
      </c>
    </row>
    <row r="16" spans="2:14" x14ac:dyDescent="0.25">
      <c r="B16" s="74" t="s">
        <v>119</v>
      </c>
      <c r="C16" s="206">
        <v>1031053378.152101</v>
      </c>
      <c r="D16" s="206">
        <v>4392576.8539979998</v>
      </c>
      <c r="E16" s="206">
        <v>4929729.68</v>
      </c>
      <c r="F16" s="206">
        <v>1040375684.6860991</v>
      </c>
      <c r="H16" s="116"/>
      <c r="I16" s="116"/>
      <c r="J16" s="116"/>
      <c r="M16" s="11">
        <f>C24</f>
        <v>475039490.01682001</v>
      </c>
      <c r="N16" s="11">
        <f>D24</f>
        <v>46761369.339915</v>
      </c>
    </row>
    <row r="17" spans="2:14" x14ac:dyDescent="0.25">
      <c r="B17" s="74" t="s">
        <v>121</v>
      </c>
      <c r="C17" s="206">
        <v>1097028321.7079871</v>
      </c>
      <c r="D17" s="206">
        <v>73524554.659632996</v>
      </c>
      <c r="E17" s="206">
        <v>1030439209.569968</v>
      </c>
      <c r="F17" s="206">
        <v>2200992085.9375882</v>
      </c>
      <c r="H17" s="116"/>
      <c r="I17" s="116"/>
      <c r="J17" s="116"/>
      <c r="M17" s="11">
        <f>C10</f>
        <v>293840547.76424998</v>
      </c>
      <c r="N17" s="11">
        <f>D10</f>
        <v>42093273.674698003</v>
      </c>
    </row>
    <row r="18" spans="2:14" x14ac:dyDescent="0.25">
      <c r="B18" s="74" t="s">
        <v>123</v>
      </c>
      <c r="C18" s="206">
        <v>184904842.358401</v>
      </c>
      <c r="D18" s="206">
        <v>20527770.979789</v>
      </c>
      <c r="E18" s="206">
        <v>7372973.1399999997</v>
      </c>
      <c r="F18" s="206">
        <v>212805586.47819</v>
      </c>
      <c r="H18" s="116"/>
      <c r="I18" s="116"/>
      <c r="J18" s="116"/>
      <c r="M18" s="11">
        <f>C27</f>
        <v>681304843.25247502</v>
      </c>
      <c r="N18" s="11">
        <f>D27</f>
        <v>215862796.19588399</v>
      </c>
    </row>
    <row r="19" spans="2:14" x14ac:dyDescent="0.25">
      <c r="B19" s="74" t="s">
        <v>124</v>
      </c>
      <c r="C19" s="206">
        <v>54340723.799989</v>
      </c>
      <c r="D19" s="206">
        <v>112649944.05197901</v>
      </c>
      <c r="E19" s="206">
        <v>50540541.600000001</v>
      </c>
      <c r="F19" s="206">
        <v>217531209.45196801</v>
      </c>
      <c r="H19" s="116"/>
      <c r="I19" s="116"/>
      <c r="J19" s="116"/>
      <c r="M19" s="11">
        <f>C18+C19</f>
        <v>239245566.15838999</v>
      </c>
      <c r="N19" s="11">
        <f>D18+D19</f>
        <v>133177715.03176801</v>
      </c>
    </row>
    <row r="20" spans="2:14" x14ac:dyDescent="0.25">
      <c r="B20" s="74" t="s">
        <v>172</v>
      </c>
      <c r="C20" s="206">
        <v>143502429.69999999</v>
      </c>
      <c r="D20" s="206" t="s">
        <v>168</v>
      </c>
      <c r="E20" s="206">
        <v>6702702.5199999996</v>
      </c>
      <c r="F20" s="206">
        <v>150205132.22</v>
      </c>
      <c r="H20" s="116"/>
      <c r="I20" s="116"/>
      <c r="J20" s="116"/>
      <c r="M20" s="14">
        <f>IFERROR(C31,0)+IFERROR(C36,0)</f>
        <v>20036500</v>
      </c>
      <c r="N20" s="10" t="s">
        <v>120</v>
      </c>
    </row>
    <row r="21" spans="2:14" x14ac:dyDescent="0.25">
      <c r="B21" s="74" t="s">
        <v>173</v>
      </c>
      <c r="C21" s="206">
        <v>179514299.44</v>
      </c>
      <c r="D21" s="206" t="s">
        <v>168</v>
      </c>
      <c r="E21" s="206">
        <v>11765765.439999999</v>
      </c>
      <c r="F21" s="206">
        <v>191280064.88</v>
      </c>
      <c r="H21" s="116"/>
      <c r="I21" s="116"/>
      <c r="J21" s="116"/>
      <c r="M21" s="14">
        <f>IFERROR(C34,0)+IFERROR(C35,0)+M20</f>
        <v>519607424.33430505</v>
      </c>
      <c r="N21" s="10" t="s">
        <v>122</v>
      </c>
    </row>
    <row r="22" spans="2:14" x14ac:dyDescent="0.25">
      <c r="B22" s="74" t="s">
        <v>125</v>
      </c>
      <c r="C22" s="206">
        <v>329491826.54362202</v>
      </c>
      <c r="D22" s="206">
        <v>43927738.473954</v>
      </c>
      <c r="E22" s="206">
        <v>347695963.69989002</v>
      </c>
      <c r="F22" s="206">
        <v>721115528.717466</v>
      </c>
      <c r="H22" s="116"/>
      <c r="I22" s="116"/>
      <c r="J22" s="116"/>
    </row>
    <row r="23" spans="2:14" x14ac:dyDescent="0.25">
      <c r="B23" s="74" t="s">
        <v>126</v>
      </c>
      <c r="C23" s="206">
        <v>366144920.39577699</v>
      </c>
      <c r="D23" s="206">
        <v>55095356.079944998</v>
      </c>
      <c r="E23" s="206">
        <v>209125953.25949201</v>
      </c>
      <c r="F23" s="206">
        <v>630366229.73521399</v>
      </c>
      <c r="H23" s="116"/>
      <c r="I23" s="116"/>
      <c r="J23" s="116"/>
    </row>
    <row r="24" spans="2:14" x14ac:dyDescent="0.25">
      <c r="B24" s="74" t="s">
        <v>127</v>
      </c>
      <c r="C24" s="206">
        <v>475039490.01682001</v>
      </c>
      <c r="D24" s="206">
        <v>46761369.339915</v>
      </c>
      <c r="E24" s="206">
        <v>570876131.21934199</v>
      </c>
      <c r="F24" s="206">
        <v>1092676990.576077</v>
      </c>
      <c r="H24" s="116"/>
      <c r="I24" s="116"/>
      <c r="J24" s="116"/>
    </row>
    <row r="25" spans="2:14" x14ac:dyDescent="0.25">
      <c r="B25" s="74" t="s">
        <v>186</v>
      </c>
      <c r="C25" s="206">
        <v>189777479.04918101</v>
      </c>
      <c r="D25" s="206">
        <v>4271604.9499949999</v>
      </c>
      <c r="E25" s="206">
        <v>48943693.140000001</v>
      </c>
      <c r="F25" s="206">
        <v>242992777.13917601</v>
      </c>
      <c r="H25" s="116"/>
      <c r="I25" s="116"/>
      <c r="J25" s="116"/>
    </row>
    <row r="26" spans="2:14" x14ac:dyDescent="0.25">
      <c r="B26" s="74" t="s">
        <v>187</v>
      </c>
      <c r="C26" s="206">
        <v>94546124.579670995</v>
      </c>
      <c r="D26" s="206">
        <v>81163340.866475001</v>
      </c>
      <c r="E26" s="206" t="s">
        <v>168</v>
      </c>
      <c r="F26" s="206">
        <v>175709465.44614601</v>
      </c>
      <c r="H26" s="116"/>
      <c r="I26" s="116"/>
      <c r="J26" s="116"/>
    </row>
    <row r="27" spans="2:14" x14ac:dyDescent="0.25">
      <c r="B27" s="74" t="s">
        <v>128</v>
      </c>
      <c r="C27" s="206">
        <v>681304843.25247502</v>
      </c>
      <c r="D27" s="206">
        <v>215862796.19588399</v>
      </c>
      <c r="E27" s="206">
        <v>11973297.575999999</v>
      </c>
      <c r="F27" s="206">
        <v>909140937.02435899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169559535.36369401</v>
      </c>
      <c r="G32" s="116"/>
      <c r="H32" s="116"/>
      <c r="I32" s="116"/>
    </row>
    <row r="33" spans="2:14" x14ac:dyDescent="0.25">
      <c r="B33" s="84" t="s">
        <v>133</v>
      </c>
      <c r="C33" s="206">
        <v>545039394.09381199</v>
      </c>
      <c r="G33" s="116"/>
      <c r="H33" s="116"/>
      <c r="I33" s="116"/>
    </row>
    <row r="34" spans="2:14" x14ac:dyDescent="0.25">
      <c r="B34" s="84" t="s">
        <v>134</v>
      </c>
      <c r="C34" s="205">
        <v>99165242.876375005</v>
      </c>
      <c r="G34" s="116"/>
      <c r="H34" s="116"/>
      <c r="I34" s="116"/>
    </row>
    <row r="35" spans="2:14" x14ac:dyDescent="0.25">
      <c r="B35" s="84" t="s">
        <v>135</v>
      </c>
      <c r="C35" s="206">
        <v>400405681.45793003</v>
      </c>
      <c r="G35" s="116"/>
      <c r="H35" s="116"/>
      <c r="I35" s="116"/>
    </row>
    <row r="36" spans="2:14" x14ac:dyDescent="0.25">
      <c r="B36" s="84" t="s">
        <v>136</v>
      </c>
      <c r="C36" s="206">
        <v>20036500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0.74193548387096775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5792911651.7564812</v>
      </c>
      <c r="F43" s="44">
        <f>IFERROR(E43/D43,0)</f>
        <v>0.72886581479241797</v>
      </c>
      <c r="G43" s="118">
        <f>D43-E43</f>
        <v>2154932154.5912085</v>
      </c>
      <c r="H43" s="118">
        <f ca="1">IFERROR(G43/C3,0)</f>
        <v>269366519.32390106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964516386.02862597</v>
      </c>
      <c r="F44" s="44">
        <f>IFERROR(E44/D44,0)</f>
        <v>0.65051103387856357</v>
      </c>
      <c r="G44" s="118">
        <f>D44-E44</f>
        <v>518189265.062114</v>
      </c>
      <c r="H44" s="118">
        <f ca="1">IFERROR(G44/C3,0)</f>
        <v>64773658.13276425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1234206353.791811</v>
      </c>
      <c r="F45" s="44">
        <f>IFERROR(E45/D45,0)</f>
        <v>0.6667551566461507</v>
      </c>
      <c r="G45" s="118">
        <f>D45-E45</f>
        <v>616857475.99542332</v>
      </c>
      <c r="H45" s="118">
        <f ca="1">IFERROR(G45/C3,0)</f>
        <v>77107184.499427915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7991634391.5769176</v>
      </c>
      <c r="F46" s="43">
        <f>IFERROR(E46/D46,0)</f>
        <v>0.70837691277948378</v>
      </c>
      <c r="G46" s="119">
        <f>G43+G44+G45</f>
        <v>3289978895.6487455</v>
      </c>
      <c r="H46" s="119">
        <f ca="1">IFERROR(G46/C3,0)</f>
        <v>411247361.95609319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329491826.54362202</v>
      </c>
      <c r="H51" s="122">
        <f>N8</f>
        <v>43927738.473954</v>
      </c>
      <c r="I51" s="122">
        <f t="shared" ref="I51:I64" si="1">G51+H51</f>
        <v>373419565.01757604</v>
      </c>
      <c r="J51" s="61">
        <f t="shared" ref="J51:J64" si="2">IFERROR(I51/F51,0)</f>
        <v>0.65793169479223679</v>
      </c>
      <c r="K51" s="51">
        <f t="shared" ref="K51:M64" si="3">D51-G51</f>
        <v>161745350.58184141</v>
      </c>
      <c r="L51" s="51">
        <f t="shared" si="3"/>
        <v>32400939.600027449</v>
      </c>
      <c r="M51" s="51">
        <f t="shared" si="3"/>
        <v>194146290.18186885</v>
      </c>
      <c r="N51" s="51">
        <f ca="1">IFERROR(M51/C3,0)</f>
        <v>24268286.272733606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477107155.21809798</v>
      </c>
      <c r="H52" s="122">
        <f>N9</f>
        <v>131999214.37135601</v>
      </c>
      <c r="I52" s="122">
        <f t="shared" si="1"/>
        <v>609106369.58945394</v>
      </c>
      <c r="J52" s="61">
        <f t="shared" si="2"/>
        <v>0.72623135221362967</v>
      </c>
      <c r="K52" s="54">
        <f t="shared" si="3"/>
        <v>180350004.63365167</v>
      </c>
      <c r="L52" s="54">
        <f t="shared" si="3"/>
        <v>49265842.509666294</v>
      </c>
      <c r="M52" s="54">
        <f t="shared" si="3"/>
        <v>229615847.14331806</v>
      </c>
      <c r="N52" s="54">
        <f ca="1">IFERROR(M52/C3,0)</f>
        <v>28701980.892914757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143502429.69999999</v>
      </c>
      <c r="H53" s="122">
        <f>IF(D20="",0,D20)</f>
        <v>0</v>
      </c>
      <c r="I53" s="122">
        <f>G53+H53</f>
        <v>143502429.69999999</v>
      </c>
      <c r="J53" s="61">
        <f>IFERROR(I53/F53,0)</f>
        <v>0.57641782233111283</v>
      </c>
      <c r="K53" s="54">
        <f>D53-G53</f>
        <v>105453144.08787572</v>
      </c>
      <c r="L53" s="54">
        <f>E53-H53</f>
        <v>0</v>
      </c>
      <c r="M53" s="54">
        <f>F53-I53</f>
        <v>105453144.08787572</v>
      </c>
      <c r="N53" s="54">
        <f ca="1">IFERROR(M53/C3,0)</f>
        <v>13181643.010984465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723262529.774665</v>
      </c>
      <c r="H54" s="122">
        <f t="shared" ref="H54:H58" si="4">N10</f>
        <v>20294066.112318002</v>
      </c>
      <c r="I54" s="122">
        <f t="shared" si="1"/>
        <v>743556595.88698304</v>
      </c>
      <c r="J54" s="61">
        <f t="shared" si="2"/>
        <v>0.95343641696465986</v>
      </c>
      <c r="K54" s="54">
        <f>D54-G54</f>
        <v>5124747.7992377281</v>
      </c>
      <c r="L54" s="54">
        <f t="shared" si="3"/>
        <v>31188800.412275352</v>
      </c>
      <c r="M54" s="54">
        <f t="shared" si="3"/>
        <v>36313548.211513042</v>
      </c>
      <c r="N54" s="54">
        <f ca="1">IFERROR(M54/C3,0)</f>
        <v>4539193.5264391303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264680181.478939</v>
      </c>
      <c r="H55" s="122">
        <f t="shared" si="4"/>
        <v>32367613.199999999</v>
      </c>
      <c r="I55" s="122">
        <f t="shared" si="1"/>
        <v>297047794.67893898</v>
      </c>
      <c r="J55" s="61">
        <f t="shared" si="2"/>
        <v>0.53754743679861672</v>
      </c>
      <c r="K55" s="54">
        <f t="shared" si="3"/>
        <v>217631996.99842638</v>
      </c>
      <c r="L55" s="54">
        <f t="shared" si="3"/>
        <v>37918498.899588957</v>
      </c>
      <c r="M55" s="54">
        <f t="shared" si="3"/>
        <v>255550495.89801538</v>
      </c>
      <c r="N55" s="54">
        <f ca="1">IFERROR(M55/C3,0)</f>
        <v>31943811.987251922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284323603.62885201</v>
      </c>
      <c r="H56" s="122">
        <f t="shared" si="4"/>
        <v>85434945.816469997</v>
      </c>
      <c r="I56" s="122">
        <f t="shared" si="1"/>
        <v>369758549.44532204</v>
      </c>
      <c r="J56" s="61">
        <f t="shared" si="2"/>
        <v>0.58865221801397516</v>
      </c>
      <c r="K56" s="54">
        <f t="shared" si="3"/>
        <v>220868399.37423456</v>
      </c>
      <c r="L56" s="54">
        <f t="shared" si="3"/>
        <v>37517374.993292108</v>
      </c>
      <c r="M56" s="54">
        <f t="shared" si="3"/>
        <v>258385774.36752665</v>
      </c>
      <c r="N56" s="54">
        <f ca="1">IFERROR(M56/C3,0)</f>
        <v>32298221.795940831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1097028321.7079871</v>
      </c>
      <c r="H57" s="122">
        <f t="shared" si="4"/>
        <v>73524554.659632996</v>
      </c>
      <c r="I57" s="122">
        <f t="shared" si="1"/>
        <v>1170552876.36762</v>
      </c>
      <c r="J57" s="61">
        <f t="shared" si="2"/>
        <v>1.0070290771129682</v>
      </c>
      <c r="K57" s="54">
        <f t="shared" si="3"/>
        <v>-35782918.659268379</v>
      </c>
      <c r="L57" s="54">
        <f t="shared" si="3"/>
        <v>27612443.1290254</v>
      </c>
      <c r="M57" s="54">
        <f t="shared" si="3"/>
        <v>-8170475.5302429199</v>
      </c>
      <c r="N57" s="54">
        <f ca="1">IFERROR(M57/C3,0)</f>
        <v>-1021309.441280365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366144920.39577699</v>
      </c>
      <c r="H58" s="122">
        <f t="shared" si="4"/>
        <v>55095356.079944998</v>
      </c>
      <c r="I58" s="122">
        <f>G58+H58</f>
        <v>421240276.47572196</v>
      </c>
      <c r="J58" s="61">
        <f>IFERROR(I58/F58,0)</f>
        <v>0.6308077176000727</v>
      </c>
      <c r="K58" s="54">
        <f t="shared" si="3"/>
        <v>196969250.33831179</v>
      </c>
      <c r="L58" s="54">
        <f t="shared" si="3"/>
        <v>49569678.675625488</v>
      </c>
      <c r="M58" s="54">
        <f t="shared" si="3"/>
        <v>246538929.01393735</v>
      </c>
      <c r="N58" s="54">
        <f ca="1">IFERROR(M58/C3,0)</f>
        <v>30817366.126742169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179514299.44</v>
      </c>
      <c r="H59" s="122">
        <f>IF(D21="",0,D21)</f>
        <v>0</v>
      </c>
      <c r="I59" s="122">
        <f>G59+H59</f>
        <v>179514299.44</v>
      </c>
      <c r="J59" s="61">
        <f>IFERROR(I59/F59,0)</f>
        <v>0.41762158914363995</v>
      </c>
      <c r="K59" s="54">
        <f>D59-G59</f>
        <v>250334884.86128497</v>
      </c>
      <c r="L59" s="54">
        <f>E59-H59</f>
        <v>0</v>
      </c>
      <c r="M59" s="54">
        <f>F59-I59</f>
        <v>250334884.86128497</v>
      </c>
      <c r="N59" s="54">
        <f ca="1">IFERROR(M59/C3,0)</f>
        <v>31291860.607660621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238425936.676606</v>
      </c>
      <c r="H60" s="122">
        <f t="shared" ref="H60:H64" si="5">N15</f>
        <v>83977743.072685003</v>
      </c>
      <c r="I60" s="122">
        <f t="shared" si="1"/>
        <v>322403679.749291</v>
      </c>
      <c r="J60" s="61">
        <f t="shared" si="2"/>
        <v>0.50982220084051655</v>
      </c>
      <c r="K60" s="54">
        <f t="shared" si="3"/>
        <v>276295174.75024205</v>
      </c>
      <c r="L60" s="54">
        <f t="shared" si="3"/>
        <v>33685689.009481072</v>
      </c>
      <c r="M60" s="54">
        <f t="shared" si="3"/>
        <v>309980863.75972313</v>
      </c>
      <c r="N60" s="54">
        <f ca="1">IFERROR(M60/C3,0)</f>
        <v>38747607.969965391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475039490.01682001</v>
      </c>
      <c r="H61" s="122">
        <f t="shared" si="5"/>
        <v>46761369.339915</v>
      </c>
      <c r="I61" s="122">
        <f t="shared" si="1"/>
        <v>521800859.35673499</v>
      </c>
      <c r="J61" s="61">
        <f t="shared" si="2"/>
        <v>0.67784732035398076</v>
      </c>
      <c r="K61" s="54">
        <f t="shared" si="3"/>
        <v>223805686.222781</v>
      </c>
      <c r="L61" s="54">
        <f t="shared" si="3"/>
        <v>24184591.286295824</v>
      </c>
      <c r="M61" s="54">
        <f t="shared" si="3"/>
        <v>247990277.50907683</v>
      </c>
      <c r="N61" s="54">
        <f ca="1">IFERROR(M61/C3,0)</f>
        <v>30998784.688634604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293840547.76424998</v>
      </c>
      <c r="H62" s="122">
        <f t="shared" si="5"/>
        <v>42093273.674698003</v>
      </c>
      <c r="I62" s="122">
        <f t="shared" si="1"/>
        <v>335933821.43894798</v>
      </c>
      <c r="J62" s="61">
        <f t="shared" si="2"/>
        <v>0.63357250242944751</v>
      </c>
      <c r="K62" s="54">
        <f t="shared" si="3"/>
        <v>188029816.45311612</v>
      </c>
      <c r="L62" s="54">
        <f t="shared" si="3"/>
        <v>6257954.9813677892</v>
      </c>
      <c r="M62" s="54">
        <f t="shared" si="3"/>
        <v>194287771.43448395</v>
      </c>
      <c r="N62" s="54">
        <f ca="1">IFERROR(M62/C3,0)</f>
        <v>24285971.429310493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681304843.25247502</v>
      </c>
      <c r="H63" s="122">
        <f t="shared" si="5"/>
        <v>215862796.19588399</v>
      </c>
      <c r="I63" s="122">
        <f t="shared" si="1"/>
        <v>897167639.44835901</v>
      </c>
      <c r="J63" s="61">
        <f t="shared" si="2"/>
        <v>0.86920334047594117</v>
      </c>
      <c r="K63" s="54">
        <f t="shared" si="3"/>
        <v>24750085.740325451</v>
      </c>
      <c r="L63" s="54">
        <f t="shared" si="3"/>
        <v>110254607.41775233</v>
      </c>
      <c r="M63" s="54">
        <f t="shared" si="3"/>
        <v>135004693.15807772</v>
      </c>
      <c r="N63" s="54">
        <f ca="1">IFERROR(M63/C3,0)</f>
        <v>16875586.644759715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239245566.15838999</v>
      </c>
      <c r="H64" s="122">
        <f t="shared" si="5"/>
        <v>133177715.03176801</v>
      </c>
      <c r="I64" s="122">
        <f t="shared" si="1"/>
        <v>372423281.19015801</v>
      </c>
      <c r="J64" s="61">
        <f t="shared" si="2"/>
        <v>0.63110539476162142</v>
      </c>
      <c r="K64" s="54">
        <f t="shared" si="3"/>
        <v>139356531.4091472</v>
      </c>
      <c r="L64" s="54">
        <f t="shared" si="3"/>
        <v>78332844.147715971</v>
      </c>
      <c r="M64" s="54">
        <f t="shared" si="3"/>
        <v>217689375.55686319</v>
      </c>
      <c r="N64" s="54">
        <f ca="1">IFERROR(M64/C3,0)</f>
        <v>27211171.944607899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5792911651.7564812</v>
      </c>
      <c r="H65" s="152">
        <f>SUM(H51:H64)</f>
        <v>964516386.02862597</v>
      </c>
      <c r="I65" s="152">
        <f>SUM(I51:I64)</f>
        <v>6757428037.7851076</v>
      </c>
      <c r="J65" s="153">
        <f>IFERROR(I65/F65,0)</f>
        <v>0.71654658811583116</v>
      </c>
      <c r="K65" s="154">
        <f>SUM(K51:K64)</f>
        <v>2154932154.5912075</v>
      </c>
      <c r="L65" s="154">
        <f>SUM(L51:L64)</f>
        <v>518189265.062114</v>
      </c>
      <c r="M65" s="154">
        <f>SUM(M51:M64)</f>
        <v>2673121419.6533222</v>
      </c>
      <c r="N65" s="154">
        <f ca="1">IFERROR(M65/C3,0)</f>
        <v>334140177.45666528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347695963.69989002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81590647.200000003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283977138.55000001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48943693.140000001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1030439209.569968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209125953.25949201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11765765.439999999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57220804.159999996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570876131.21934199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126709703.23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11973297.575999999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57913514.740000002</v>
      </c>
    </row>
    <row r="84" spans="2:9" ht="20.100000000000001" customHeight="1" x14ac:dyDescent="0.25">
      <c r="B84" s="57" t="s">
        <v>152</v>
      </c>
      <c r="C84" s="58"/>
      <c r="D84" s="129">
        <f>SUM(D70:D83)</f>
        <v>2844934524.3046918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169559535.36369401</v>
      </c>
      <c r="F89" s="61">
        <f t="shared" ref="F89:F94" si="7">IFERROR(E89/D89,0)</f>
        <v>0.57843115145758761</v>
      </c>
      <c r="G89" s="125">
        <f>D89-E89</f>
        <v>123577400.52992314</v>
      </c>
      <c r="H89" s="125">
        <f ca="1">IFERROR(G89/C3,0)</f>
        <v>15447175.066240393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545039394.09381199</v>
      </c>
      <c r="F90" s="61">
        <f t="shared" si="7"/>
        <v>1.2488362328584652</v>
      </c>
      <c r="G90" s="126">
        <f>D90-E90</f>
        <v>-108601549.20019484</v>
      </c>
      <c r="H90" s="126">
        <f ca="1">IFERROR(G90/C3,0)</f>
        <v>-13575193.650024354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519607424.33430505</v>
      </c>
      <c r="F91" s="61">
        <f t="shared" si="7"/>
        <v>0.4633192136807972</v>
      </c>
      <c r="G91" s="125">
        <f>D91-E91</f>
        <v>601881624.66569495</v>
      </c>
      <c r="H91" s="125">
        <f ca="1">IFERROR(G91/C3,0)</f>
        <v>75235203.083211869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1234206353.791811</v>
      </c>
      <c r="F94" s="43">
        <f t="shared" si="7"/>
        <v>0.6667551566461507</v>
      </c>
      <c r="G94" s="119">
        <f>SUM(G89:G93)</f>
        <v>616857475.99542332</v>
      </c>
      <c r="H94" s="119">
        <f ca="1">IFERROR(G94/C3,0)</f>
        <v>77107184.499427915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2026-07-23T00:47:29Z</dcterms:modified>
  <dc:language>en-US</dc:language>
</cp:coreProperties>
</file>