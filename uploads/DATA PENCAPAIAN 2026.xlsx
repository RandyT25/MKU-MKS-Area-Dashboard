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12000" windowHeight="4335" tabRatio="500" firstSheet="1" activeTab="10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D92" i="12" s="1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K44" i="12" s="1"/>
  <c r="D43" i="12"/>
  <c r="D42" i="12"/>
  <c r="L41" i="12"/>
  <c r="K41" i="12"/>
  <c r="J41" i="12"/>
  <c r="I41" i="12"/>
  <c r="H41" i="12"/>
  <c r="G41" i="12"/>
  <c r="F40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D93" i="11" s="1"/>
  <c r="U92" i="11"/>
  <c r="T92" i="11"/>
  <c r="U91" i="11"/>
  <c r="T91" i="11"/>
  <c r="U90" i="11"/>
  <c r="T90" i="11"/>
  <c r="D90" i="11" s="1"/>
  <c r="U89" i="11"/>
  <c r="T89" i="11"/>
  <c r="D89" i="11" s="1"/>
  <c r="U88" i="11"/>
  <c r="T88" i="11"/>
  <c r="U87" i="11"/>
  <c r="T87" i="11"/>
  <c r="U86" i="11"/>
  <c r="T86" i="11"/>
  <c r="D86" i="11" s="1"/>
  <c r="U85" i="11"/>
  <c r="T85" i="11"/>
  <c r="D85" i="11" s="1"/>
  <c r="U84" i="11"/>
  <c r="T84" i="11"/>
  <c r="U83" i="11"/>
  <c r="T83" i="11"/>
  <c r="U82" i="11"/>
  <c r="T82" i="11"/>
  <c r="D82" i="11" s="1"/>
  <c r="U81" i="11"/>
  <c r="T81" i="11"/>
  <c r="D81" i="11" s="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G52" i="11" s="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I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D46" i="6" s="1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F59" i="5" s="1"/>
  <c r="E58" i="5"/>
  <c r="D58" i="5"/>
  <c r="E57" i="5"/>
  <c r="D57" i="5"/>
  <c r="E56" i="5"/>
  <c r="D56" i="5"/>
  <c r="E55" i="5"/>
  <c r="D55" i="5"/>
  <c r="F55" i="5" s="1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L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F59" i="3" s="1"/>
  <c r="E58" i="3"/>
  <c r="D58" i="3"/>
  <c r="F58" i="3" s="1"/>
  <c r="E57" i="3"/>
  <c r="D57" i="3"/>
  <c r="F57" i="3" s="1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L57" i="5" l="1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J60" i="6" s="1"/>
  <c r="I53" i="6"/>
  <c r="F57" i="6"/>
  <c r="F60" i="6"/>
  <c r="F64" i="6"/>
  <c r="I55" i="7"/>
  <c r="I60" i="7"/>
  <c r="I64" i="7"/>
  <c r="I53" i="7"/>
  <c r="F57" i="7"/>
  <c r="F60" i="7"/>
  <c r="F64" i="7"/>
  <c r="F69" i="7"/>
  <c r="F53" i="8"/>
  <c r="F56" i="8"/>
  <c r="I59" i="8"/>
  <c r="F63" i="8"/>
  <c r="M63" i="8" s="1"/>
  <c r="N63" i="8" s="1"/>
  <c r="I56" i="9"/>
  <c r="I61" i="9"/>
  <c r="D82" i="10"/>
  <c r="D86" i="10"/>
  <c r="D90" i="10"/>
  <c r="F54" i="9"/>
  <c r="F58" i="9"/>
  <c r="F61" i="9"/>
  <c r="J61" i="9" s="1"/>
  <c r="K70" i="9"/>
  <c r="D83" i="11"/>
  <c r="D87" i="11"/>
  <c r="D91" i="11"/>
  <c r="D82" i="13"/>
  <c r="D86" i="13"/>
  <c r="D90" i="13"/>
  <c r="F53" i="6"/>
  <c r="J53" i="6" s="1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F57" i="9"/>
  <c r="J57" i="9" s="1"/>
  <c r="F60" i="9"/>
  <c r="J60" i="9" s="1"/>
  <c r="F64" i="9"/>
  <c r="J64" i="9" s="1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F59" i="9"/>
  <c r="M59" i="9" s="1"/>
  <c r="N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M53" i="5" s="1"/>
  <c r="N53" i="5" s="1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F62" i="7"/>
  <c r="H65" i="8"/>
  <c r="D46" i="8"/>
  <c r="F54" i="8"/>
  <c r="O54" i="8" s="1"/>
  <c r="P54" i="8" s="1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O61" i="12" s="1"/>
  <c r="P61" i="12" s="1"/>
  <c r="G52" i="13"/>
  <c r="G59" i="13"/>
  <c r="O59" i="13" s="1"/>
  <c r="P59" i="13" s="1"/>
  <c r="G60" i="14"/>
  <c r="F52" i="3"/>
  <c r="F56" i="3"/>
  <c r="F60" i="3"/>
  <c r="F55" i="4"/>
  <c r="F53" i="9"/>
  <c r="O53" i="9" s="1"/>
  <c r="P53" i="9" s="1"/>
  <c r="F56" i="9"/>
  <c r="J56" i="9" s="1"/>
  <c r="I59" i="9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O55" i="12" s="1"/>
  <c r="P55" i="12" s="1"/>
  <c r="D65" i="14"/>
  <c r="I51" i="4"/>
  <c r="L53" i="5"/>
  <c r="L57" i="12"/>
  <c r="G44" i="13"/>
  <c r="D74" i="11"/>
  <c r="K62" i="11"/>
  <c r="K55" i="12"/>
  <c r="K61" i="11"/>
  <c r="Q61" i="11" s="1"/>
  <c r="R61" i="11" s="1"/>
  <c r="K63" i="12"/>
  <c r="K63" i="10"/>
  <c r="Q63" i="10" s="1"/>
  <c r="R63" i="10" s="1"/>
  <c r="K61" i="12"/>
  <c r="I55" i="4"/>
  <c r="J55" i="4" s="1"/>
  <c r="G65" i="4"/>
  <c r="J54" i="8"/>
  <c r="G54" i="10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Q63" i="11" s="1"/>
  <c r="R63" i="11" s="1"/>
  <c r="E61" i="3"/>
  <c r="F51" i="4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L52" i="12" s="1"/>
  <c r="G62" i="12"/>
  <c r="F69" i="12"/>
  <c r="F65" i="13"/>
  <c r="G54" i="13"/>
  <c r="K57" i="13"/>
  <c r="O57" i="13" s="1"/>
  <c r="P57" i="13" s="1"/>
  <c r="K61" i="13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G63" i="13"/>
  <c r="O63" i="13" s="1"/>
  <c r="F65" i="14"/>
  <c r="K62" i="12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Q58" i="12" s="1"/>
  <c r="R58" i="12" s="1"/>
  <c r="K73" i="6"/>
  <c r="L73" i="6" s="1"/>
  <c r="J55" i="7"/>
  <c r="K72" i="8"/>
  <c r="L72" i="8" s="1"/>
  <c r="F72" i="9"/>
  <c r="G55" i="10"/>
  <c r="K60" i="10"/>
  <c r="D65" i="11"/>
  <c r="G55" i="11"/>
  <c r="D46" i="12"/>
  <c r="G44" i="12"/>
  <c r="H44" i="12" s="1"/>
  <c r="G59" i="12"/>
  <c r="L59" i="12" s="1"/>
  <c r="G56" i="13"/>
  <c r="J65" i="14"/>
  <c r="E44" i="14" s="1"/>
  <c r="F44" i="14" s="1"/>
  <c r="K55" i="14"/>
  <c r="M55" i="14" s="1"/>
  <c r="N55" i="14" s="1"/>
  <c r="G58" i="14"/>
  <c r="L58" i="14" s="1"/>
  <c r="K60" i="14"/>
  <c r="L60" i="14" s="1"/>
  <c r="G63" i="14"/>
  <c r="O63" i="14" s="1"/>
  <c r="P63" i="14" s="1"/>
  <c r="G64" i="14"/>
  <c r="I51" i="3"/>
  <c r="J51" i="3" s="1"/>
  <c r="F68" i="3"/>
  <c r="I53" i="4"/>
  <c r="J53" i="4" s="1"/>
  <c r="I57" i="4"/>
  <c r="J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I44" i="12"/>
  <c r="J44" i="12" s="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F73" i="13"/>
  <c r="G52" i="14"/>
  <c r="G53" i="14"/>
  <c r="Q53" i="14" s="1"/>
  <c r="K54" i="14"/>
  <c r="O54" i="14" s="1"/>
  <c r="P54" i="14" s="1"/>
  <c r="K59" i="14"/>
  <c r="M59" i="14" s="1"/>
  <c r="N59" i="14" s="1"/>
  <c r="E42" i="4"/>
  <c r="G42" i="4" s="1"/>
  <c r="H42" i="4" s="1"/>
  <c r="E42" i="5"/>
  <c r="G42" i="5" s="1"/>
  <c r="H42" i="5" s="1"/>
  <c r="D65" i="8"/>
  <c r="G42" i="12"/>
  <c r="H42" i="12" s="1"/>
  <c r="K58" i="12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R53" i="14"/>
  <c r="H69" i="3"/>
  <c r="H69" i="5"/>
  <c r="J44" i="13"/>
  <c r="L50" i="3"/>
  <c r="G61" i="3"/>
  <c r="I49" i="3"/>
  <c r="K50" i="3"/>
  <c r="I50" i="3"/>
  <c r="J50" i="3" s="1"/>
  <c r="K52" i="3"/>
  <c r="I52" i="3"/>
  <c r="J52" i="3" s="1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43" i="3"/>
  <c r="F43" i="3" s="1"/>
  <c r="L52" i="3"/>
  <c r="L54" i="3"/>
  <c r="L56" i="3"/>
  <c r="L58" i="3"/>
  <c r="L60" i="3"/>
  <c r="H61" i="4"/>
  <c r="L50" i="4"/>
  <c r="M53" i="4"/>
  <c r="N53" i="4" s="1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O55" i="6"/>
  <c r="P55" i="6" s="1"/>
  <c r="M55" i="6"/>
  <c r="N55" i="6" s="1"/>
  <c r="K55" i="6"/>
  <c r="L55" i="6" s="1"/>
  <c r="K57" i="6"/>
  <c r="L57" i="6" s="1"/>
  <c r="M58" i="6"/>
  <c r="N58" i="6" s="1"/>
  <c r="K58" i="6"/>
  <c r="L58" i="6" s="1"/>
  <c r="O59" i="6"/>
  <c r="P59" i="6" s="1"/>
  <c r="O60" i="6"/>
  <c r="P60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M51" i="4"/>
  <c r="N51" i="4" s="1"/>
  <c r="L52" i="4"/>
  <c r="M55" i="4"/>
  <c r="N55" i="4" s="1"/>
  <c r="L56" i="4"/>
  <c r="L60" i="4"/>
  <c r="H65" i="4"/>
  <c r="H61" i="5"/>
  <c r="L50" i="5"/>
  <c r="L54" i="5"/>
  <c r="M56" i="5"/>
  <c r="N56" i="5" s="1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70" i="3"/>
  <c r="F70" i="3" s="1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O55" i="8"/>
  <c r="P55" i="8" s="1"/>
  <c r="K55" i="8"/>
  <c r="L55" i="8" s="1"/>
  <c r="O56" i="8"/>
  <c r="P56" i="8" s="1"/>
  <c r="M56" i="8"/>
  <c r="N56" i="8" s="1"/>
  <c r="O57" i="8"/>
  <c r="P57" i="8" s="1"/>
  <c r="M57" i="8"/>
  <c r="N57" i="8" s="1"/>
  <c r="K57" i="8"/>
  <c r="L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M60" i="8"/>
  <c r="N60" i="8" s="1"/>
  <c r="O61" i="8"/>
  <c r="P61" i="8" s="1"/>
  <c r="M61" i="8"/>
  <c r="N61" i="8" s="1"/>
  <c r="O62" i="8"/>
  <c r="P62" i="8" s="1"/>
  <c r="K62" i="8"/>
  <c r="L62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O54" i="10"/>
  <c r="P54" i="10" s="1"/>
  <c r="L54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J59" i="7"/>
  <c r="O60" i="7"/>
  <c r="P60" i="7" s="1"/>
  <c r="M60" i="7"/>
  <c r="N60" i="7" s="1"/>
  <c r="K60" i="7"/>
  <c r="L60" i="7" s="1"/>
  <c r="O61" i="7"/>
  <c r="P61" i="7" s="1"/>
  <c r="M61" i="7"/>
  <c r="N61" i="7" s="1"/>
  <c r="K61" i="7"/>
  <c r="L61" i="7" s="1"/>
  <c r="O62" i="7"/>
  <c r="P62" i="7" s="1"/>
  <c r="M62" i="7"/>
  <c r="N62" i="7" s="1"/>
  <c r="K62" i="7"/>
  <c r="L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M52" i="9"/>
  <c r="N52" i="9" s="1"/>
  <c r="K52" i="9"/>
  <c r="L52" i="9" s="1"/>
  <c r="M53" i="9"/>
  <c r="N53" i="9" s="1"/>
  <c r="K53" i="9"/>
  <c r="L53" i="9" s="1"/>
  <c r="O54" i="9"/>
  <c r="P54" i="9" s="1"/>
  <c r="M54" i="9"/>
  <c r="N54" i="9" s="1"/>
  <c r="K54" i="9"/>
  <c r="L54" i="9" s="1"/>
  <c r="O55" i="9"/>
  <c r="P55" i="9" s="1"/>
  <c r="M55" i="9"/>
  <c r="N55" i="9" s="1"/>
  <c r="K55" i="9"/>
  <c r="L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M58" i="9"/>
  <c r="N58" i="9" s="1"/>
  <c r="K58" i="9"/>
  <c r="L58" i="9" s="1"/>
  <c r="O59" i="9"/>
  <c r="P59" i="9" s="1"/>
  <c r="K59" i="9"/>
  <c r="L59" i="9" s="1"/>
  <c r="J59" i="9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I71" i="9"/>
  <c r="J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M62" i="10"/>
  <c r="N62" i="10" s="1"/>
  <c r="L63" i="10"/>
  <c r="F71" i="11"/>
  <c r="H65" i="11"/>
  <c r="E42" i="11" s="1"/>
  <c r="K51" i="11"/>
  <c r="K52" i="11"/>
  <c r="L52" i="11" s="1"/>
  <c r="K53" i="11"/>
  <c r="L53" i="11" s="1"/>
  <c r="K54" i="11"/>
  <c r="L54" i="11" s="1"/>
  <c r="K55" i="11"/>
  <c r="K56" i="11"/>
  <c r="K57" i="11"/>
  <c r="L57" i="11" s="1"/>
  <c r="K58" i="11"/>
  <c r="L58" i="11" s="1"/>
  <c r="K59" i="11"/>
  <c r="Q60" i="11"/>
  <c r="R60" i="11" s="1"/>
  <c r="M60" i="11"/>
  <c r="N60" i="11" s="1"/>
  <c r="L61" i="11"/>
  <c r="L63" i="1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O63" i="11"/>
  <c r="P63" i="11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G43" i="12"/>
  <c r="H43" i="12" s="1"/>
  <c r="O53" i="12"/>
  <c r="P53" i="12" s="1"/>
  <c r="M53" i="12"/>
  <c r="N53" i="12" s="1"/>
  <c r="Q54" i="12"/>
  <c r="R54" i="12" s="1"/>
  <c r="Q55" i="12"/>
  <c r="R55" i="12" s="1"/>
  <c r="M55" i="12"/>
  <c r="N55" i="12" s="1"/>
  <c r="Q57" i="12"/>
  <c r="R57" i="12" s="1"/>
  <c r="O57" i="12"/>
  <c r="P57" i="12" s="1"/>
  <c r="M57" i="12"/>
  <c r="N57" i="12" s="1"/>
  <c r="L58" i="12"/>
  <c r="M59" i="12"/>
  <c r="N59" i="12" s="1"/>
  <c r="Q61" i="12"/>
  <c r="R61" i="12" s="1"/>
  <c r="M61" i="12"/>
  <c r="N61" i="12" s="1"/>
  <c r="L62" i="12"/>
  <c r="Q63" i="12"/>
  <c r="R63" i="12" s="1"/>
  <c r="L64" i="12"/>
  <c r="D94" i="12"/>
  <c r="Q52" i="13"/>
  <c r="R52" i="13" s="1"/>
  <c r="M52" i="13"/>
  <c r="N52" i="13" s="1"/>
  <c r="O53" i="13"/>
  <c r="P53" i="13" s="1"/>
  <c r="M53" i="13"/>
  <c r="N53" i="13" s="1"/>
  <c r="M54" i="13"/>
  <c r="N54" i="13" s="1"/>
  <c r="Q55" i="13"/>
  <c r="R55" i="13" s="1"/>
  <c r="M55" i="13"/>
  <c r="N55" i="13" s="1"/>
  <c r="L56" i="13"/>
  <c r="L57" i="13"/>
  <c r="M57" i="13"/>
  <c r="N57" i="13" s="1"/>
  <c r="M58" i="13"/>
  <c r="N58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L44" i="12"/>
  <c r="G51" i="12"/>
  <c r="D65" i="12"/>
  <c r="K51" i="12"/>
  <c r="Q52" i="12"/>
  <c r="R52" i="12" s="1"/>
  <c r="O52" i="12"/>
  <c r="P52" i="12" s="1"/>
  <c r="Q56" i="12"/>
  <c r="R56" i="12" s="1"/>
  <c r="O56" i="12"/>
  <c r="P56" i="12" s="1"/>
  <c r="M56" i="12"/>
  <c r="N56" i="12" s="1"/>
  <c r="M58" i="12"/>
  <c r="N58" i="12" s="1"/>
  <c r="Q62" i="12"/>
  <c r="R62" i="12" s="1"/>
  <c r="M62" i="12"/>
  <c r="N62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M56" i="13"/>
  <c r="N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Q60" i="13"/>
  <c r="R60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61" i="13"/>
  <c r="R61" i="13" s="1"/>
  <c r="Q54" i="14"/>
  <c r="R54" i="14" s="1"/>
  <c r="M54" i="14"/>
  <c r="N54" i="14" s="1"/>
  <c r="L54" i="14"/>
  <c r="Q62" i="13"/>
  <c r="R62" i="13" s="1"/>
  <c r="M63" i="13"/>
  <c r="N63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G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H69" i="13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3" i="14"/>
  <c r="R63" i="14" s="1"/>
  <c r="M63" i="14"/>
  <c r="N63" i="14" s="1"/>
  <c r="L63" i="14"/>
  <c r="Q60" i="14"/>
  <c r="R60" i="14" s="1"/>
  <c r="M62" i="14"/>
  <c r="N62" i="14" s="1"/>
  <c r="Q62" i="14"/>
  <c r="R62" i="14" s="1"/>
  <c r="M64" i="14"/>
  <c r="N64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3" i="11" l="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G74" i="7"/>
  <c r="H74" i="7" s="1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J42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46" i="7" l="1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<sst xmlns="http://schemas.openxmlformats.org/spreadsheetml/2006/main" count="2117" uniqueCount="228">
  <si>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</si>
  <si>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</si>
  <si>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</si>
  <si>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</si>
  <si>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</si>
  <si>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</si>
  <si>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</si>
  <si>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</si>
  <si>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</si>
  <si>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</si>
  <si>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</si>
  <si>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</si>
  <si>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</si>
  <si>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</si>
  <si>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</si>
  <si>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</si>
  <si>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</si>
  <si>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</si>
  <si>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</si>
  <si>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</si>
  <si>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</si>
  <si>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</si>
  <si>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</si>
  <si>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</si>
  <si>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</si>
  <si>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</si>
  <si>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</si>
  <si>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</si>
  <si>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</si>
  <si>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</si>
  <si>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</si>
  <si>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</si>
  <si>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</si>
  <si>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</si>
  <si>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</si>
  <si>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</si>
  <si>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</si>
  <si>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</si>
  <si>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</si>
  <si>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</si>
  <si>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</si>
  <si>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</si>
  <si>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</si>
  <si>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</si>
  <si>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</si>
  <si>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</si>
  <si>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</si>
  <si>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</si>
  <si>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</si>
  <si>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</si>
  <si>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</si>
  <si>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</si>
  <si>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</si>
  <si>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</si>
  <si>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</si>
  <si>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</si>
  <si>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</si>
  <si>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</si>
  <si>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</si>
  <si>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</si>
  <si>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</si>
  <si>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</si>
  <si>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</si>
  <si>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</si>
  <si>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</si>
  <si>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</si>
  <si>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</si>
  <si>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</si>
  <si>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</si>
  <si>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</si>
  <si>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</si>
  <si>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</si>
  <si>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</si>
  <si>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</si>
  <si>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</si>
  <si>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</si>
  <si>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</si>
  <si>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</si>
  <si>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</si>
  <si>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</si>
  <si>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</si>
  <si>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</si>
  <si>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</si>
  <si>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</si>
  <si>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</si>
  <si>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</si>
  <si>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</si>
  <si>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</si>
  <si>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</si>
  <si>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</si>
  <si>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</si>
  <si>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</si>
  <si>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</si>
  <si>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</si>
  <si>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</si>
  <si>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</si>
  <si>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</si>
  <si>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</si>
  <si>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</si>
  <si>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</si>
  <si>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</si>
  <si>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</si>
  <si>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</si>
  <si>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</si>
  <si>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</si>
  <si>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</si>
  <si>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</si>
  <si>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</si>
  <si>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</si>
  <si>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</si>
  <si>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</si>
  <si>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</si>
  <si>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</si>
  <si>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</si>
  <si>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</si>
  <si>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</si>
  <si>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</si>
  <si>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</si>
  <si>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</si>
  <si>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</si>
  <si>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</si>
  <si>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</si>
  <si>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</si>
  <si>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</si>
  <si>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</si>
  <si>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</si>
  <si>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</si>
  <si>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</si>
  <si>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</si>
  <si>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</si>
  <si>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</si>
  <si>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</si>
  <si>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</si>
  <si>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</si>
  <si>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</si>
  <si>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</si>
  <si>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</si>
  <si>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</si>
  <si>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</si>
  <si>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</si>
  <si>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</si>
  <si>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</si>
  <si>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</si>
  <si>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</si>
  <si>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</si>
  <si>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</si>
  <si>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</si>
  <si>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</si>
  <si>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</si>
  <si>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</si>
  <si>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</si>
  <si>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</si>
  <si>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</si>
  <si>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</si>
  <si>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</si>
  <si>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</si>
  <si>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</si>
  <si>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</si>
  <si>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</si>
  <si>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</si>
  <si>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</si>
  <si>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</si>
  <si>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</si>
  <si>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</si>
  <si>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</si>
  <si>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</si>
  <si>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</si>
  <si>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</si>
  <si>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</si>
  <si>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</si>
  <si>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</si>
  <si>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</si>
  <si>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</si>
  <si>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</si>
  <si>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</si>
  <si>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</si>
  <si>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</si>
  <si>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</si>
  <si>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</si>
  <si>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</si>
  <si>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</si>
  <si>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</si>
  <si>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</si>
  <si>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</si>
  <si>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</si>
  <si>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</si>
  <si>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</si>
  <si>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</si>
  <si>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</si>
  <si>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</si>
  <si>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</si>
  <si>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</si>
  <si>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</si>
  <si>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</si>
  <si>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</si>
  <si>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</si>
  <si>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</si>
  <si>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</si>
  <si>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</si>
  <si>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</si>
  <si>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</si>
  <si>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</si>
  <si>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</si>
  <si>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</si>
  <si>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</si>
  <si>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</si>
  <si>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</si>
  <si>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</si>
  <si>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</si>
  <si>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</si>
  <si>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</si>
  <si>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</si>
  <si>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</si>
  <si>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</si>
  <si>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</si>
  <si>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</si>
  <si>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</si>
  <si>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</si>
  <si>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</si>
  <si>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</si>
  <si>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</si>
  <si>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</si>
  <si>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</si>
  <si>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</si>
  <si>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</si>
  <si>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</si>
  <si>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</si>
  <si>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15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</si>
</sst>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211</v>
      </c>
      <c r="C19" s="2" t="s">
        <v>212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zoomScale="86" zoomScaleNormal="86" workbookViewId="0">
      <selection activeCell="C11" sqref="C11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bestFit="1" customWidth="1"/>
    <col min="6" max="6" width="11.140625" bestFit="1" customWidth="1"/>
    <col min="7" max="12" width="12.85546875" bestFit="1" customWidth="1"/>
    <col min="13" max="14" width="11.140625" bestFit="1" customWidth="1"/>
    <col min="15" max="15" width="8.28515625" bestFit="1" customWidth="1"/>
    <col min="16" max="17" width="11.140625" bestFit="1" customWidth="1"/>
    <col min="18" max="18" width="8.28515625" bestFit="1" customWidth="1"/>
    <col min="19" max="20" width="11.140625" bestFit="1" customWidth="1"/>
    <col min="21" max="21" width="8.28515625" bestFit="1" customWidth="1"/>
    <col min="22" max="22" width="12.85546875" bestFit="1" customWidth="1"/>
    <col min="23" max="23" width="11.140625" bestFit="1" customWidth="1"/>
    <col min="24" max="24" width="8.28515625" bestFit="1" customWidth="1"/>
    <col min="25" max="30" width="11.140625" bestFit="1" customWidth="1"/>
    <col min="31" max="31" width="6.140625" bestFit="1" customWidth="1"/>
    <col min="32" max="32" width="8.85546875" bestFit="1" customWidth="1"/>
    <col min="33" max="33" width="8.28515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196</v>
      </c>
      <c r="G4" s="4" t="s">
        <v>45</v>
      </c>
      <c r="H4" s="4" t="s">
        <v>46</v>
      </c>
      <c r="I4" s="4" t="s">
        <v>197</v>
      </c>
      <c r="J4" s="4" t="s">
        <v>47</v>
      </c>
      <c r="K4" s="4" t="s">
        <v>48</v>
      </c>
      <c r="L4" s="4" t="s">
        <v>198</v>
      </c>
      <c r="M4" s="4" t="s">
        <v>49</v>
      </c>
      <c r="N4" s="4" t="s">
        <v>50</v>
      </c>
      <c r="O4" s="4" t="s">
        <v>199</v>
      </c>
      <c r="P4" s="4" t="s">
        <v>51</v>
      </c>
      <c r="Q4" s="4" t="s">
        <v>52</v>
      </c>
      <c r="R4" s="4" t="s">
        <v>200</v>
      </c>
      <c r="S4" s="4" t="s">
        <v>53</v>
      </c>
      <c r="T4" s="4" t="s">
        <v>54</v>
      </c>
      <c r="U4" s="4" t="s">
        <v>201</v>
      </c>
      <c r="V4" s="4" t="s">
        <v>55</v>
      </c>
      <c r="W4" s="4" t="s">
        <v>56</v>
      </c>
      <c r="X4" s="4" t="s">
        <v>202</v>
      </c>
      <c r="Y4" s="4" t="s">
        <v>57</v>
      </c>
      <c r="Z4" s="4" t="s">
        <v>58</v>
      </c>
      <c r="AA4" s="4" t="s">
        <v>203</v>
      </c>
      <c r="AB4" s="4" t="s">
        <v>59</v>
      </c>
      <c r="AC4" s="4" t="s">
        <v>60</v>
      </c>
      <c r="AD4" s="4" t="s">
        <v>204</v>
      </c>
      <c r="AE4" s="4" t="s">
        <v>61</v>
      </c>
      <c r="AF4" s="4" t="s">
        <v>62</v>
      </c>
      <c r="AG4" s="4" t="s">
        <v>205</v>
      </c>
      <c r="AH4" s="4" t="s">
        <v>63</v>
      </c>
      <c r="AI4" s="4" t="s">
        <v>64</v>
      </c>
      <c r="AJ4" s="4" t="s">
        <v>206</v>
      </c>
      <c r="AK4" s="4" t="s">
        <v>65</v>
      </c>
      <c r="AL4" s="4" t="s">
        <v>66</v>
      </c>
      <c r="AM4" s="4" t="s">
        <v>207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172</v>
      </c>
      <c r="C7" s="129" t="s">
        <v>173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226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172</v>
      </c>
      <c r="C13" s="129" t="s">
        <v>174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191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166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165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165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193</v>
      </c>
      <c r="J3" s="218">
        <v>0</v>
      </c>
    </row>
    <row r="4" spans="2:14" x14ac:dyDescent="0.25">
      <c r="G4" s="221" t="s">
        <v>194</v>
      </c>
      <c r="J4" s="218">
        <v>0</v>
      </c>
    </row>
    <row r="5" spans="2:14" x14ac:dyDescent="0.25">
      <c r="G5" s="221" t="s">
        <v>195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165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165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165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165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169</v>
      </c>
      <c r="C22" s="15">
        <v>38884328.600000001</v>
      </c>
      <c r="D22" s="15" t="s">
        <v>165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170</v>
      </c>
      <c r="C23" s="15">
        <v>120550492.72</v>
      </c>
      <c r="D23" s="15" t="s">
        <v>165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165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185</v>
      </c>
    </row>
    <row r="41" spans="2:19" ht="27.95" customHeight="1" x14ac:dyDescent="0.25">
      <c r="B41" s="259" t="s">
        <v>178</v>
      </c>
      <c r="C41" s="260"/>
      <c r="D41" s="261"/>
      <c r="E41" s="66" t="s">
        <v>137</v>
      </c>
      <c r="F41" s="174"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  <c r="Q48"/>
      <c r="R48"/>
    </row>
    <row r="49" spans="2:18" s="139" customFormat="1" ht="33.950000000000003" customHeight="1" x14ac:dyDescent="0.25">
      <c r="B49" s="267" t="s">
        <v>41</v>
      </c>
      <c r="C49" s="267" t="s">
        <v>42</v>
      </c>
      <c r="D49" s="264" t="s">
        <v>137</v>
      </c>
      <c r="E49" s="265"/>
      <c r="F49" s="266"/>
      <c r="G49" s="140" t="s">
        <v>138</v>
      </c>
      <c r="H49" s="140"/>
      <c r="I49" s="140"/>
      <c r="J49" s="264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6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67"/>
      <c r="C50" s="26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64"/>
      <c r="K50" s="273"/>
      <c r="L50" s="273"/>
      <c r="M50" s="275"/>
      <c r="N50" s="188"/>
      <c r="O50" s="183"/>
      <c r="P50" s="277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172</v>
      </c>
      <c r="C53" s="154" t="s">
        <v>173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172</v>
      </c>
      <c r="C59" s="154" t="s">
        <v>174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171</v>
      </c>
      <c r="C77" s="250"/>
      <c r="D77" s="251"/>
      <c r="G77"/>
      <c r="H77"/>
      <c r="I77"/>
    </row>
    <row r="78" spans="1:19" ht="20.100000000000001" customHeight="1" x14ac:dyDescent="0.25">
      <c r="B78" s="268" t="s">
        <v>41</v>
      </c>
      <c r="C78" s="268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168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172</v>
      </c>
      <c r="C82" s="152" t="s">
        <v>173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172</v>
      </c>
      <c r="C88" s="152" t="s">
        <v>174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165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169</v>
      </c>
      <c r="C22" s="15">
        <v>197567845.80000001</v>
      </c>
      <c r="D22" s="15" t="s">
        <v>165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170</v>
      </c>
      <c r="C23" s="15">
        <v>300521523.82997501</v>
      </c>
      <c r="D23" s="15" t="s">
        <v>165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78" t="s">
        <v>179</v>
      </c>
      <c r="C41" s="279"/>
      <c r="D41" s="280"/>
      <c r="E41" s="66" t="s">
        <v>137</v>
      </c>
      <c r="F41" s="174">
        <v>0.97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77"/>
      <c r="P50" s="277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8.75" customHeight="1" x14ac:dyDescent="0.25">
      <c r="B78" s="268" t="s">
        <v>41</v>
      </c>
      <c r="C78" s="268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168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172</v>
      </c>
      <c r="C82" s="168" t="s">
        <v>173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172</v>
      </c>
      <c r="C88" s="168" t="s">
        <v>174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165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169</v>
      </c>
      <c r="C22" s="15">
        <v>167671841.09999999</v>
      </c>
      <c r="D22" s="15" t="s">
        <v>165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170</v>
      </c>
      <c r="C23" s="15">
        <v>388937679.18000001</v>
      </c>
      <c r="D23" s="15" t="s">
        <v>165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59" t="s">
        <v>180</v>
      </c>
      <c r="C41" s="260"/>
      <c r="D41" s="261"/>
      <c r="E41" s="66" t="s">
        <v>137</v>
      </c>
      <c r="F41" s="174">
        <f ca="1">IF(MONTH(TODAY())=6,DAY(TODAY())/DAY(EOMONTH(TODAY(),0)),IF(MONTH(TODAY())&gt;6,1,0))</f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77"/>
      <c r="P50" s="277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68" t="s">
        <v>41</v>
      </c>
      <c r="C78" s="268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172</v>
      </c>
      <c r="C82" s="56" t="s">
        <v>173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172</v>
      </c>
      <c r="C88" s="56" t="s">
        <v>174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G1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182</v>
      </c>
      <c r="C12" s="15">
        <v>341819821.47863901</v>
      </c>
      <c r="D12" s="15">
        <v>43800016.100000001</v>
      </c>
      <c r="E12" s="15" t="s">
        <v>165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169</v>
      </c>
      <c r="C20" s="15">
        <v>195476199.69999999</v>
      </c>
      <c r="D20" s="15" t="s">
        <v>165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170</v>
      </c>
      <c r="C21" s="15">
        <v>288524887.39999998</v>
      </c>
      <c r="D21" s="15" t="s">
        <v>165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183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184</v>
      </c>
      <c r="C26" s="15">
        <v>138084633.55645701</v>
      </c>
      <c r="D26" s="15">
        <v>103844000.433377</v>
      </c>
      <c r="E26" s="15" t="s">
        <v>165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185</v>
      </c>
    </row>
    <row r="41" spans="2:19" s="191" customFormat="1" ht="27.95" customHeight="1" x14ac:dyDescent="0.25">
      <c r="B41" s="259" t="s">
        <v>189</v>
      </c>
      <c r="C41" s="260"/>
      <c r="D41" s="261"/>
      <c r="E41" s="66" t="s">
        <v>137</v>
      </c>
      <c r="F41" s="174">
        <f ca="1">IF(MONTH(TODAY())=7,DAY(TODAY())/DAY(EOMONTH(TODAY(),0)),IF(MONTH(TODAY())&gt;7,1,0))</f>
        <v>1</v>
      </c>
      <c r="G41" s="192" t="s">
        <v>187</v>
      </c>
      <c r="H41" s="198">
        <v>0.9</v>
      </c>
      <c r="I41" s="193" t="s">
        <v>187</v>
      </c>
      <c r="J41" s="199">
        <v>0.95</v>
      </c>
      <c r="K41" s="194" t="s">
        <v>188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172</v>
      </c>
      <c r="C53" s="137" t="s">
        <v>173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181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172</v>
      </c>
      <c r="C59" s="137" t="s">
        <v>174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68" t="s">
        <v>41</v>
      </c>
      <c r="C78" s="268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172</v>
      </c>
      <c r="C82" s="56" t="s">
        <v>173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181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172</v>
      </c>
      <c r="C88" s="56" t="s">
        <v>174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55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192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193</v>
      </c>
      <c r="H3" s="111"/>
      <c r="I3" s="111"/>
      <c r="J3" s="218">
        <v>2</v>
      </c>
    </row>
    <row r="4" spans="2:15" x14ac:dyDescent="0.25">
      <c r="G4" s="221" t="s">
        <v>194</v>
      </c>
      <c r="H4" s="111"/>
      <c r="I4" s="111"/>
      <c r="J4" s="218">
        <v>0</v>
      </c>
    </row>
    <row r="5" spans="2:15" x14ac:dyDescent="0.25">
      <c r="G5" s="221" t="s">
        <v>195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215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214</v>
      </c>
      <c r="C12" s="15">
        <v>3123423.4199979999</v>
      </c>
      <c r="D12" s="15">
        <v>30403216.600000001</v>
      </c>
      <c r="E12" s="15">
        <v>352954956.67859</v>
      </c>
      <c r="F12" s="15" t="s">
        <v>165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169</v>
      </c>
      <c r="C20" s="15">
        <v>186237371.06</v>
      </c>
      <c r="D20" s="15" t="s">
        <v>165</v>
      </c>
      <c r="E20" s="15" t="s">
        <v>165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223</v>
      </c>
    </row>
    <row r="21" spans="2:15" x14ac:dyDescent="0.25">
      <c r="B21" s="72" t="s">
        <v>170</v>
      </c>
      <c r="C21" s="15">
        <v>427491232.60000002</v>
      </c>
      <c r="D21" s="15" t="s">
        <v>165</v>
      </c>
      <c r="E21" s="15" t="s">
        <v>165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224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183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185</v>
      </c>
    </row>
    <row r="40" spans="2:19" ht="18.75" x14ac:dyDescent="0.25">
      <c r="B40" s="259" t="s">
        <v>219</v>
      </c>
      <c r="C40" s="260"/>
      <c r="D40" s="261"/>
      <c r="E40" s="66" t="s">
        <v>137</v>
      </c>
      <c r="F40" s="174">
        <f ca="1">IF(MONTH(TODAY())=8,DAY(TODAY())/DAY(EOMONTH(TODAY(),0)),IF(MONTH(TODAY())&gt;8,1,0))</f>
        <v>1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208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6" t="s">
        <v>145</v>
      </c>
      <c r="C46" s="257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62" t="s">
        <v>213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5.75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2" t="s">
        <v>216</v>
      </c>
      <c r="U50" s="172" t="s">
        <v>217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218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172</v>
      </c>
      <c r="C53" s="137" t="s">
        <v>173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169</v>
      </c>
      <c r="U53" t="s">
        <v>218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218</v>
      </c>
    </row>
    <row r="55" spans="2:21" x14ac:dyDescent="0.25">
      <c r="B55" s="50" t="s">
        <v>73</v>
      </c>
      <c r="C55" s="55" t="s">
        <v>190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214</v>
      </c>
      <c r="U55" t="s">
        <v>218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183</v>
      </c>
      <c r="U56" t="s">
        <v>218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218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218</v>
      </c>
    </row>
    <row r="59" spans="2:21" x14ac:dyDescent="0.25">
      <c r="B59" s="136" t="s">
        <v>172</v>
      </c>
      <c r="C59" s="137" t="s">
        <v>174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170</v>
      </c>
      <c r="U59" t="s">
        <v>218</v>
      </c>
    </row>
    <row r="60" spans="2:21" x14ac:dyDescent="0.25">
      <c r="B60" s="53" t="s">
        <v>80</v>
      </c>
      <c r="C60" s="56" t="s">
        <v>190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215</v>
      </c>
      <c r="U60" t="s">
        <v>218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218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218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218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85"/>
      <c r="G67" s="269" t="s">
        <v>186</v>
      </c>
      <c r="H67" s="270"/>
      <c r="I67" s="270"/>
      <c r="J67" s="270"/>
      <c r="K67" s="270"/>
      <c r="L67" s="271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49" t="s">
        <v>171</v>
      </c>
      <c r="C77" s="250"/>
      <c r="D77" s="251"/>
    </row>
    <row r="78" spans="2:21" ht="15.75" x14ac:dyDescent="0.25">
      <c r="B78" s="268" t="s">
        <v>41</v>
      </c>
      <c r="C78" s="268" t="s">
        <v>42</v>
      </c>
      <c r="D78" s="231" t="s">
        <v>138</v>
      </c>
    </row>
    <row r="79" spans="2:21" ht="15.75" x14ac:dyDescent="0.25">
      <c r="B79" s="258"/>
      <c r="C79" s="258"/>
      <c r="D79" s="70" t="s">
        <v>168</v>
      </c>
      <c r="T79" s="172" t="s">
        <v>216</v>
      </c>
      <c r="U79" s="172" t="s">
        <v>217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172</v>
      </c>
      <c r="C82" s="56" t="s">
        <v>173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190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172</v>
      </c>
      <c r="C88" s="56" t="s">
        <v>174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190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46" zoomScale="73" zoomScaleNormal="73" workbookViewId="0">
      <selection activeCell="F61" sqref="F61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14</v>
      </c>
      <c r="D3" s="76" t="s">
        <v>104</v>
      </c>
      <c r="E3" s="77">
        <f ca="1">DAY(EOMONTH(DATE(YEAR(TODAY()),9,1),0))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4">
        <v>97216448.761456996</v>
      </c>
      <c r="D10" s="234">
        <v>23128050.82</v>
      </c>
      <c r="E10" s="234">
        <v>115369270.523895</v>
      </c>
      <c r="F10" s="234">
        <v>87616734.749956995</v>
      </c>
      <c r="G10" s="234">
        <v>323330504.85530901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182</v>
      </c>
      <c r="C11" s="234">
        <v>4173423.4199979999</v>
      </c>
      <c r="D11" s="234">
        <v>8173668</v>
      </c>
      <c r="E11" s="234">
        <v>172635135.9993</v>
      </c>
      <c r="F11" s="234" t="s">
        <v>165</v>
      </c>
      <c r="G11" s="234">
        <v>184982227.41929799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4">
        <v>91706728.976816997</v>
      </c>
      <c r="D12" s="234">
        <v>50114229.631486997</v>
      </c>
      <c r="E12" s="234">
        <v>91828840.309686005</v>
      </c>
      <c r="F12" s="234">
        <v>36339283.75</v>
      </c>
      <c r="G12" s="234">
        <v>269989082.66799003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4">
        <v>20451403.544785999</v>
      </c>
      <c r="D13" s="234">
        <v>11385728.009987</v>
      </c>
      <c r="E13" s="234">
        <v>110224370.349769</v>
      </c>
      <c r="F13" s="234">
        <v>48944735.640000001</v>
      </c>
      <c r="G13" s="234">
        <v>191006237.54454201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4">
        <v>243299179.44867501</v>
      </c>
      <c r="D14" s="234">
        <v>22641180.565914001</v>
      </c>
      <c r="E14" s="234">
        <v>89583383.009923995</v>
      </c>
      <c r="F14" s="234">
        <v>217414914.14984</v>
      </c>
      <c r="G14" s="234">
        <v>572938657.174353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4">
        <v>513300118.391123</v>
      </c>
      <c r="D15" s="234">
        <v>7952668.2969239997</v>
      </c>
      <c r="E15" s="234">
        <v>30690917.85997</v>
      </c>
      <c r="F15" s="234">
        <v>12048648.960000001</v>
      </c>
      <c r="G15" s="234">
        <v>563992353.50801694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4">
        <v>239332510.527154</v>
      </c>
      <c r="D16" s="234">
        <v>24932116.839954998</v>
      </c>
      <c r="E16" s="234">
        <v>173790360.81968999</v>
      </c>
      <c r="F16" s="234">
        <v>512576661.13998199</v>
      </c>
      <c r="G16" s="234">
        <v>950631649.32678103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4">
        <v>65500918.065573998</v>
      </c>
      <c r="D17" s="234">
        <v>10163923.380899999</v>
      </c>
      <c r="E17" s="234">
        <v>53129214.029257998</v>
      </c>
      <c r="F17" s="234">
        <v>23000000.5</v>
      </c>
      <c r="G17" s="234">
        <v>151794055.975732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4">
        <v>8816270</v>
      </c>
      <c r="D18" s="234">
        <v>89597138.855749995</v>
      </c>
      <c r="E18" s="234">
        <v>38334282</v>
      </c>
      <c r="F18" s="234">
        <v>61232433.740000002</v>
      </c>
      <c r="G18" s="234">
        <v>197980124.59575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169</v>
      </c>
      <c r="C19" s="234">
        <v>60472267.460000001</v>
      </c>
      <c r="D19" s="234" t="s">
        <v>165</v>
      </c>
      <c r="E19" s="234" t="s">
        <v>165</v>
      </c>
      <c r="F19" s="234">
        <v>4684684.5599999996</v>
      </c>
      <c r="G19" s="234">
        <v>65156952.020000003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234">
        <v>101915659.56</v>
      </c>
      <c r="D20" s="234" t="s">
        <v>165</v>
      </c>
      <c r="E20" s="234" t="s">
        <v>165</v>
      </c>
      <c r="F20" s="234">
        <v>5723693.54</v>
      </c>
      <c r="G20" s="234">
        <v>107639353.09999999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124</v>
      </c>
      <c r="C21" s="234">
        <v>149619192.339046</v>
      </c>
      <c r="D21" s="234">
        <v>31844096.684974</v>
      </c>
      <c r="E21" s="234">
        <v>88558585.899890006</v>
      </c>
      <c r="F21" s="234">
        <v>223826336.25990999</v>
      </c>
      <c r="G21" s="234">
        <v>493848211.18382001</v>
      </c>
      <c r="H21" s="111"/>
      <c r="I21" s="111"/>
      <c r="J21" s="111"/>
      <c r="M21" s="14">
        <f>SUM(C33,C34)+M20</f>
        <v>367847681.28290999</v>
      </c>
      <c r="N21" s="10" t="s">
        <v>224</v>
      </c>
    </row>
    <row r="22" spans="2:15" ht="15" customHeight="1" x14ac:dyDescent="0.25">
      <c r="B22" s="72" t="s">
        <v>125</v>
      </c>
      <c r="C22" s="234">
        <v>134205157.25907899</v>
      </c>
      <c r="D22" s="234">
        <v>37451093.799973004</v>
      </c>
      <c r="E22" s="234">
        <v>106501082.50749999</v>
      </c>
      <c r="F22" s="234">
        <v>185945256.43967</v>
      </c>
      <c r="G22" s="234">
        <v>464102590.00622201</v>
      </c>
      <c r="H22" s="111"/>
      <c r="I22" s="111"/>
      <c r="J22" s="111"/>
    </row>
    <row r="23" spans="2:15" ht="15" customHeight="1" x14ac:dyDescent="0.25">
      <c r="B23" s="72" t="s">
        <v>126</v>
      </c>
      <c r="C23" s="234">
        <v>266345676.026207</v>
      </c>
      <c r="D23" s="234">
        <v>33822227.054963</v>
      </c>
      <c r="E23" s="234">
        <v>117236487.58991501</v>
      </c>
      <c r="F23" s="234">
        <v>329431621.62963599</v>
      </c>
      <c r="G23" s="234">
        <v>746836012.30072105</v>
      </c>
      <c r="H23" s="111"/>
      <c r="I23" s="111"/>
      <c r="J23" s="111"/>
    </row>
    <row r="24" spans="2:15" ht="15" customHeight="1" x14ac:dyDescent="0.25">
      <c r="B24" s="72" t="s">
        <v>225</v>
      </c>
      <c r="C24" s="234">
        <v>113441089.730461</v>
      </c>
      <c r="D24" s="234">
        <v>27162265.819968998</v>
      </c>
      <c r="E24" s="234">
        <v>93079035.878275007</v>
      </c>
      <c r="F24" s="234">
        <v>28644143.870000001</v>
      </c>
      <c r="G24" s="234">
        <v>262326535.29870501</v>
      </c>
      <c r="H24" s="111"/>
      <c r="I24" s="111"/>
      <c r="J24" s="111"/>
    </row>
    <row r="25" spans="2:15" ht="15" customHeight="1" x14ac:dyDescent="0.25">
      <c r="B25" s="72" t="s">
        <v>220</v>
      </c>
      <c r="C25" s="234">
        <v>148994604.18081501</v>
      </c>
      <c r="D25" s="234">
        <v>58721904.781634003</v>
      </c>
      <c r="E25" s="234">
        <v>59769779.527842999</v>
      </c>
      <c r="F25" s="234">
        <v>20000000.43</v>
      </c>
      <c r="G25" s="234">
        <v>287486288.92029202</v>
      </c>
      <c r="H25" s="111"/>
      <c r="I25" s="111"/>
      <c r="J25" s="111"/>
    </row>
    <row r="26" spans="2:15" ht="15" customHeight="1" x14ac:dyDescent="0.25">
      <c r="B26" s="72" t="s">
        <v>127</v>
      </c>
      <c r="C26" s="234">
        <v>256023408.716097</v>
      </c>
      <c r="D26" s="234">
        <v>162504689.06803399</v>
      </c>
      <c r="E26" s="234">
        <v>174759375.72681299</v>
      </c>
      <c r="F26" s="234">
        <v>9343459.6473999992</v>
      </c>
      <c r="G26" s="234">
        <v>602630933.15834403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234">
        <v>110102138.155559</v>
      </c>
      <c r="G31" s="111"/>
      <c r="H31" s="111"/>
      <c r="I31" s="111"/>
    </row>
    <row r="32" spans="2:15" ht="15" customHeight="1" x14ac:dyDescent="0.25">
      <c r="B32" s="81" t="s">
        <v>132</v>
      </c>
      <c r="C32" s="234">
        <v>85308067.049704999</v>
      </c>
      <c r="G32" s="111"/>
      <c r="H32" s="111"/>
      <c r="I32" s="111"/>
    </row>
    <row r="33" spans="2:19" ht="15" customHeight="1" x14ac:dyDescent="0.25">
      <c r="B33" s="81" t="s">
        <v>133</v>
      </c>
      <c r="C33" s="234">
        <v>82096451.309998006</v>
      </c>
      <c r="G33" s="111"/>
      <c r="H33" s="111"/>
      <c r="I33" s="111"/>
    </row>
    <row r="34" spans="2:19" ht="15" customHeight="1" x14ac:dyDescent="0.25">
      <c r="B34" s="81" t="s">
        <v>134</v>
      </c>
      <c r="C34" s="234">
        <v>285751229.97291201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227</v>
      </c>
      <c r="C40" s="260"/>
      <c r="D40" s="261"/>
      <c r="E40" s="66" t="s">
        <v>137</v>
      </c>
      <c r="F40" s="174">
        <f ca="1">IF(MONTH(TODAY())=9,DAY(TODAY())/DAY(EOMONTH(TODAY(),0)),IF(MONTH(TODAY())&gt;9,1,0))</f>
        <v>0.5</v>
      </c>
      <c r="G40" s="192" t="s">
        <v>187</v>
      </c>
      <c r="H40" s="198">
        <v>1</v>
      </c>
      <c r="I40" s="201" t="s">
        <v>187</v>
      </c>
      <c r="J40" s="199">
        <v>1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100%</v>
      </c>
      <c r="H41" s="182" t="str">
        <f>"PER HARI"&amp;CHAR(10)&amp;TEXT($H$40,"0%")</f>
        <v>PER HARI
100%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2001513938.016166</v>
      </c>
      <c r="F42" s="176">
        <f>IFERROR(E42/D42,0)</f>
        <v>0.44361898438145647</v>
      </c>
      <c r="G42" s="184">
        <f>D42*$H$40-E42</f>
        <v>2510272095.6832304</v>
      </c>
      <c r="H42" s="184">
        <f ca="1">IFERROR(G42/$C$3,0)</f>
        <v>179305149.6916593</v>
      </c>
      <c r="I42" s="204">
        <f>D42*$J$40-E42</f>
        <v>2510272095.6832304</v>
      </c>
      <c r="J42" s="204">
        <f ca="1">IFERROR(I42/$C$3,0)</f>
        <v>179305149.6916593</v>
      </c>
      <c r="K42" s="185">
        <f>D42*$L$40-E42</f>
        <v>2510272095.6832304</v>
      </c>
      <c r="L42" s="185">
        <f ca="1">IFERROR(K42/$C$3,0)</f>
        <v>179305149.6916593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591642313.31353998</v>
      </c>
      <c r="F43" s="176">
        <f>IFERROR(E43/D43,0)</f>
        <v>0.4221899235510097</v>
      </c>
      <c r="G43" s="184">
        <f>D43*$H$40-E43</f>
        <v>809722997.20187497</v>
      </c>
      <c r="H43" s="184">
        <f ca="1">IFERROR(G43/$C$3,0)</f>
        <v>57837356.94299107</v>
      </c>
      <c r="I43" s="204">
        <f>D43*$J$40-E43</f>
        <v>809722997.20187497</v>
      </c>
      <c r="J43" s="204">
        <f ca="1">IFERROR(I43/$C$3,0)</f>
        <v>57837356.94299107</v>
      </c>
      <c r="K43" s="185">
        <f>D43*$L$40-E43</f>
        <v>809722997.20187497</v>
      </c>
      <c r="L43" s="185">
        <f ca="1">IFERROR(K43/$C$3,0)</f>
        <v>57837356.94299107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SUM(TARGETS!AD5:AD18)</f>
        <v>2944814196.3286853</v>
      </c>
      <c r="E44" s="46">
        <f>J65</f>
        <v>1484799204.1717582</v>
      </c>
      <c r="F44" s="176">
        <f>IFERROR(E44/D44,0)</f>
        <v>0.50420811133784427</v>
      </c>
      <c r="G44" s="184">
        <f>IF(D44=0,0,D44*$H$40-E44)</f>
        <v>1460014992.1569271</v>
      </c>
      <c r="H44" s="184">
        <f ca="1">IFERROR(G44/$C$3,0)</f>
        <v>104286785.15406622</v>
      </c>
      <c r="I44" s="204">
        <f>IF(D44=0,0,D44*$J$40-E44)</f>
        <v>1460014992.1569271</v>
      </c>
      <c r="J44" s="204">
        <f ca="1">IFERROR(I44/$C$3,0)</f>
        <v>104286785.15406622</v>
      </c>
      <c r="K44" s="185">
        <f>IF(D44=0,0,D44*$L$40-E44)</f>
        <v>1460014992.1569271</v>
      </c>
      <c r="L44" s="185">
        <f ca="1">IFERROR(K44/$C$3,0)</f>
        <v>104286785.15406622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563257886.48817396</v>
      </c>
      <c r="F45" s="176">
        <f>IFERROR(E45/D45,0)</f>
        <v>0.32363228196753269</v>
      </c>
      <c r="G45" s="184">
        <f>D45*$H$40-E45</f>
        <v>1177167645.4267197</v>
      </c>
      <c r="H45" s="184">
        <f ca="1">IFERROR(G45/$C$3,0)</f>
        <v>84083403.244765684</v>
      </c>
      <c r="I45" s="204">
        <f>D45*$J$40-E45</f>
        <v>1177167645.4267197</v>
      </c>
      <c r="J45" s="204">
        <f ca="1">IFERROR(I45/$C$3,0)</f>
        <v>84083403.244765684</v>
      </c>
      <c r="K45" s="185">
        <f>D45*$L$40-E45</f>
        <v>1177167645.4267197</v>
      </c>
      <c r="L45" s="185">
        <f ca="1">IFERROR(K45/$C$3,0)</f>
        <v>84083403.244765684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10598391072.458391</v>
      </c>
      <c r="E46" s="47">
        <f>SUM(E42:E45)</f>
        <v>4641213341.9896383</v>
      </c>
      <c r="F46" s="177">
        <f>IFERROR(E46/D46,0)</f>
        <v>0.43791678475146772</v>
      </c>
      <c r="G46" s="181">
        <f>SUM(G42:G45)</f>
        <v>5957177730.4687519</v>
      </c>
      <c r="H46" s="181">
        <f ca="1">IFERROR(G46/$C$3,0)</f>
        <v>425512695.03348225</v>
      </c>
      <c r="I46" s="186">
        <f>SUM(I42:I45)</f>
        <v>5957177730.4687519</v>
      </c>
      <c r="J46" s="186">
        <f ca="1">IFERROR(I46/$C$3,0)</f>
        <v>425512695.03348225</v>
      </c>
      <c r="K46" s="186">
        <f>SUM(K42:K45)</f>
        <v>5957177730.4687519</v>
      </c>
      <c r="L46" s="186">
        <f ca="1">IFERROR(K46/$C$3,0)</f>
        <v>425512695.03348225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213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100%</v>
      </c>
      <c r="N49" s="272" t="str">
        <f>"PER HARI"&amp;CHAR(10)&amp;TEXT($H$40,"0%")</f>
        <v>PER HARI
100%</v>
      </c>
      <c r="O49" s="274" t="str">
        <f>"SELISIH"&amp;CHAR(10)&amp;TEXT($J$40,"0%")</f>
        <v>SELISIH
100%</v>
      </c>
      <c r="P49" s="274" t="str">
        <f>"PER HARI"&amp;CHAR(10)&amp;TEXT($J$40,"0%")</f>
        <v>PER HARI
100%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>SUMIF($B$10:$B$26,$T51,C$10:C$26)+SUMIF($B$10:$B$26,$U51,C$10:C$26)</f>
        <v>149619192.339046</v>
      </c>
      <c r="I51" s="114">
        <f t="shared" ref="I51:I64" si="1">SUMIF($B$10:$B$26,$T51,D$10:D$26)+SUMIF($B$10:$B$26,$U51,D$10:D$26)</f>
        <v>31844096.684974</v>
      </c>
      <c r="J51" s="114">
        <f t="shared" ref="J51:J64" si="2">SUMIF($B$10:$B$26,$T51,E$10:E$26)+SUMIF($B$10:$B$26,$U51,E$10:E$26)</f>
        <v>88558585.899890006</v>
      </c>
      <c r="K51" s="114">
        <f t="shared" ref="K51:K64" si="3">SUM(H51:J51)</f>
        <v>270021874.92391002</v>
      </c>
      <c r="L51" s="187">
        <f t="shared" ref="L51:L65" si="4">IFERROR(K51/G51,0)</f>
        <v>0.52495903120657328</v>
      </c>
      <c r="M51" s="184">
        <f t="shared" ref="M51:M64" si="5">G51*$H$40-K51</f>
        <v>244345644.96290457</v>
      </c>
      <c r="N51" s="184">
        <f t="shared" ref="N51:N65" ca="1" si="6">IFERROR(M51/$C$3,0)</f>
        <v>17453260.354493182</v>
      </c>
      <c r="O51" s="180">
        <f t="shared" ref="O51:O64" si="7">G51*$J$40-K51</f>
        <v>244345644.96290457</v>
      </c>
      <c r="P51" s="180">
        <f t="shared" ref="P51:P65" ca="1" si="8">IFERROR(O51/$C$3,0)</f>
        <v>17453260.354493182</v>
      </c>
      <c r="Q51" s="185">
        <f t="shared" ref="Q51:Q64" si="9">G51*$L$40-K51</f>
        <v>244345644.96290457</v>
      </c>
      <c r="R51" s="185">
        <f t="shared" ref="R51:R65" ca="1" si="10">IFERROR(Q51/$C$3,0)</f>
        <v>17453260.354493182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ref="H52:H64" si="11">SUMIF($B$10:$B$26,$T52,C$10:C$26)+SUMIF($B$10:$B$26,$U52,C$10:C$26)</f>
        <v>112158132.52160299</v>
      </c>
      <c r="I52" s="114">
        <f t="shared" si="1"/>
        <v>61499957.641473994</v>
      </c>
      <c r="J52" s="114">
        <f t="shared" si="2"/>
        <v>202053210.659455</v>
      </c>
      <c r="K52" s="114">
        <f t="shared" si="3"/>
        <v>375711300.822532</v>
      </c>
      <c r="L52" s="187">
        <f t="shared" si="4"/>
        <v>0.47829392550521432</v>
      </c>
      <c r="M52" s="184">
        <f t="shared" si="5"/>
        <v>409812580.59760958</v>
      </c>
      <c r="N52" s="184">
        <f t="shared" ca="1" si="6"/>
        <v>29272327.185543541</v>
      </c>
      <c r="O52" s="180">
        <f t="shared" si="7"/>
        <v>409812580.59760958</v>
      </c>
      <c r="P52" s="180">
        <f t="shared" ca="1" si="8"/>
        <v>29272327.185543541</v>
      </c>
      <c r="Q52" s="185">
        <f t="shared" si="9"/>
        <v>409812580.59760958</v>
      </c>
      <c r="R52" s="185">
        <f t="shared" ca="1" si="10"/>
        <v>29272327.185543541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1"/>
        <v>60472267.460000001</v>
      </c>
      <c r="I53" s="114">
        <f t="shared" si="1"/>
        <v>0</v>
      </c>
      <c r="J53" s="114">
        <f t="shared" si="2"/>
        <v>0</v>
      </c>
      <c r="K53" s="114">
        <f t="shared" si="3"/>
        <v>60472267.460000001</v>
      </c>
      <c r="L53" s="187">
        <f t="shared" si="4"/>
        <v>0.22997358196439321</v>
      </c>
      <c r="M53" s="184">
        <f t="shared" si="5"/>
        <v>202480837.60301074</v>
      </c>
      <c r="N53" s="184">
        <f t="shared" ca="1" si="6"/>
        <v>14462916.971643625</v>
      </c>
      <c r="O53" s="180">
        <f t="shared" si="7"/>
        <v>202480837.60301074</v>
      </c>
      <c r="P53" s="180">
        <f t="shared" ca="1" si="8"/>
        <v>14462916.971643625</v>
      </c>
      <c r="Q53" s="185">
        <f t="shared" si="9"/>
        <v>202480837.60301074</v>
      </c>
      <c r="R53" s="185">
        <f t="shared" ca="1" si="10"/>
        <v>14462916.971643625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1"/>
        <v>243299179.44867501</v>
      </c>
      <c r="I54" s="114">
        <f t="shared" si="1"/>
        <v>22641180.565914001</v>
      </c>
      <c r="J54" s="114">
        <f t="shared" si="2"/>
        <v>89583383.009923995</v>
      </c>
      <c r="K54" s="114">
        <f t="shared" si="3"/>
        <v>355523743.02451301</v>
      </c>
      <c r="L54" s="187">
        <f t="shared" si="4"/>
        <v>0.48924939529239142</v>
      </c>
      <c r="M54" s="184">
        <f t="shared" si="5"/>
        <v>371148065.76135254</v>
      </c>
      <c r="N54" s="184">
        <f t="shared" ca="1" si="6"/>
        <v>26510576.125810895</v>
      </c>
      <c r="O54" s="180">
        <f t="shared" si="7"/>
        <v>371148065.76135254</v>
      </c>
      <c r="P54" s="180">
        <f t="shared" ca="1" si="8"/>
        <v>26510576.125810895</v>
      </c>
      <c r="Q54" s="185">
        <f t="shared" si="9"/>
        <v>371148065.76135254</v>
      </c>
      <c r="R54" s="185">
        <f t="shared" ca="1" si="10"/>
        <v>26510576.125810895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1"/>
        <v>4173423.4199979999</v>
      </c>
      <c r="I55" s="114">
        <f t="shared" si="1"/>
        <v>8173668</v>
      </c>
      <c r="J55" s="114">
        <f t="shared" si="2"/>
        <v>172635135.9993</v>
      </c>
      <c r="K55" s="114">
        <f t="shared" si="3"/>
        <v>184982227.41929799</v>
      </c>
      <c r="L55" s="187">
        <f t="shared" si="4"/>
        <v>0.34434453317683705</v>
      </c>
      <c r="M55" s="184">
        <f t="shared" si="5"/>
        <v>352218772.15138763</v>
      </c>
      <c r="N55" s="184">
        <f t="shared" ca="1" si="6"/>
        <v>25158483.725099117</v>
      </c>
      <c r="O55" s="180">
        <f t="shared" si="7"/>
        <v>352218772.15138763</v>
      </c>
      <c r="P55" s="180">
        <f t="shared" ca="1" si="8"/>
        <v>25158483.725099117</v>
      </c>
      <c r="Q55" s="185">
        <f t="shared" si="9"/>
        <v>352218772.15138763</v>
      </c>
      <c r="R55" s="185">
        <f t="shared" ca="1" si="10"/>
        <v>25158483.725099117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226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1"/>
        <v>113441089.730461</v>
      </c>
      <c r="I56" s="114">
        <f t="shared" si="1"/>
        <v>27162265.819968998</v>
      </c>
      <c r="J56" s="114">
        <f t="shared" si="2"/>
        <v>93079035.878275007</v>
      </c>
      <c r="K56" s="114">
        <f t="shared" si="3"/>
        <v>233682391.42870501</v>
      </c>
      <c r="L56" s="187">
        <f t="shared" si="4"/>
        <v>0.40644233737203689</v>
      </c>
      <c r="M56" s="184">
        <f t="shared" si="5"/>
        <v>341263597.07151341</v>
      </c>
      <c r="N56" s="184">
        <f t="shared" ca="1" si="6"/>
        <v>24375971.219393816</v>
      </c>
      <c r="O56" s="180">
        <f t="shared" si="7"/>
        <v>341263597.07151341</v>
      </c>
      <c r="P56" s="180">
        <f t="shared" ca="1" si="8"/>
        <v>24375971.219393816</v>
      </c>
      <c r="Q56" s="185">
        <f t="shared" si="9"/>
        <v>341263597.07151341</v>
      </c>
      <c r="R56" s="185">
        <f t="shared" ca="1" si="10"/>
        <v>24375971.219393816</v>
      </c>
      <c r="T56" t="s">
        <v>225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1"/>
        <v>239332510.527154</v>
      </c>
      <c r="I57" s="114">
        <f t="shared" si="1"/>
        <v>24932116.839954998</v>
      </c>
      <c r="J57" s="114">
        <f t="shared" si="2"/>
        <v>173790360.81968999</v>
      </c>
      <c r="K57" s="114">
        <f t="shared" si="3"/>
        <v>438054988.18679899</v>
      </c>
      <c r="L57" s="187">
        <f t="shared" si="4"/>
        <v>0.39493444037131786</v>
      </c>
      <c r="M57" s="184">
        <f t="shared" si="5"/>
        <v>671129077.33794761</v>
      </c>
      <c r="N57" s="184">
        <f t="shared" ca="1" si="6"/>
        <v>47937791.23842483</v>
      </c>
      <c r="O57" s="180">
        <f t="shared" si="7"/>
        <v>671129077.33794761</v>
      </c>
      <c r="P57" s="180">
        <f t="shared" ca="1" si="8"/>
        <v>47937791.23842483</v>
      </c>
      <c r="Q57" s="185">
        <f t="shared" si="9"/>
        <v>671129077.33794761</v>
      </c>
      <c r="R57" s="185">
        <f t="shared" ca="1" si="10"/>
        <v>47937791.23842483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1"/>
        <v>134205157.25907899</v>
      </c>
      <c r="I58" s="114">
        <f t="shared" si="1"/>
        <v>37451093.799973004</v>
      </c>
      <c r="J58" s="114">
        <f t="shared" si="2"/>
        <v>106501082.50749999</v>
      </c>
      <c r="K58" s="114">
        <f t="shared" si="3"/>
        <v>278157333.56655198</v>
      </c>
      <c r="L58" s="187">
        <f t="shared" si="4"/>
        <v>0.45259679736928565</v>
      </c>
      <c r="M58" s="184">
        <f t="shared" si="5"/>
        <v>336423536.61047691</v>
      </c>
      <c r="N58" s="184">
        <f t="shared" ca="1" si="6"/>
        <v>24030252.615034066</v>
      </c>
      <c r="O58" s="180">
        <f t="shared" si="7"/>
        <v>336423536.61047691</v>
      </c>
      <c r="P58" s="180">
        <f t="shared" ca="1" si="8"/>
        <v>24030252.615034066</v>
      </c>
      <c r="Q58" s="185">
        <f t="shared" si="9"/>
        <v>336423536.61047691</v>
      </c>
      <c r="R58" s="185">
        <f t="shared" ca="1" si="10"/>
        <v>24030252.615034066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1"/>
        <v>101915659.56</v>
      </c>
      <c r="I59" s="114">
        <f t="shared" si="1"/>
        <v>0</v>
      </c>
      <c r="J59" s="114">
        <f t="shared" si="2"/>
        <v>0</v>
      </c>
      <c r="K59" s="114">
        <f t="shared" si="3"/>
        <v>101915659.56</v>
      </c>
      <c r="L59" s="187">
        <f t="shared" si="4"/>
        <v>0.22961904635847757</v>
      </c>
      <c r="M59" s="184">
        <f t="shared" si="5"/>
        <v>341931056.01642001</v>
      </c>
      <c r="N59" s="184">
        <f t="shared" ca="1" si="6"/>
        <v>24423646.858315714</v>
      </c>
      <c r="O59" s="180">
        <f t="shared" si="7"/>
        <v>341931056.01642001</v>
      </c>
      <c r="P59" s="180">
        <f t="shared" ca="1" si="8"/>
        <v>24423646.858315714</v>
      </c>
      <c r="Q59" s="185">
        <f t="shared" si="9"/>
        <v>341931056.01642001</v>
      </c>
      <c r="R59" s="185">
        <f t="shared" ca="1" si="10"/>
        <v>24423646.858315714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1"/>
        <v>148994604.18081501</v>
      </c>
      <c r="I60" s="114">
        <f t="shared" si="1"/>
        <v>58721904.781634003</v>
      </c>
      <c r="J60" s="114">
        <f t="shared" si="2"/>
        <v>59769779.527842999</v>
      </c>
      <c r="K60" s="114">
        <f t="shared" si="3"/>
        <v>267486288.49029201</v>
      </c>
      <c r="L60" s="187">
        <f t="shared" si="4"/>
        <v>0.46183124650577984</v>
      </c>
      <c r="M60" s="184">
        <f t="shared" si="5"/>
        <v>311699919.7060917</v>
      </c>
      <c r="N60" s="184">
        <f t="shared" ca="1" si="6"/>
        <v>22264279.979006551</v>
      </c>
      <c r="O60" s="180">
        <f t="shared" si="7"/>
        <v>311699919.7060917</v>
      </c>
      <c r="P60" s="180">
        <f t="shared" ca="1" si="8"/>
        <v>22264279.979006551</v>
      </c>
      <c r="Q60" s="185">
        <f t="shared" si="9"/>
        <v>311699919.7060917</v>
      </c>
      <c r="R60" s="185">
        <f t="shared" ca="1" si="10"/>
        <v>22264279.979006551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1"/>
        <v>266345676.026207</v>
      </c>
      <c r="I61" s="114">
        <f t="shared" si="1"/>
        <v>33822227.054963</v>
      </c>
      <c r="J61" s="114">
        <f t="shared" si="2"/>
        <v>117236487.58991501</v>
      </c>
      <c r="K61" s="114">
        <f t="shared" si="3"/>
        <v>417404390.671085</v>
      </c>
      <c r="L61" s="187">
        <f t="shared" si="4"/>
        <v>0.58248476647599645</v>
      </c>
      <c r="M61" s="184">
        <f t="shared" si="5"/>
        <v>299188410.88209653</v>
      </c>
      <c r="N61" s="184">
        <f t="shared" ca="1" si="6"/>
        <v>21370600.777292609</v>
      </c>
      <c r="O61" s="180">
        <f t="shared" si="7"/>
        <v>299188410.88209653</v>
      </c>
      <c r="P61" s="180">
        <f t="shared" ca="1" si="8"/>
        <v>21370600.777292609</v>
      </c>
      <c r="Q61" s="185">
        <f t="shared" si="9"/>
        <v>299188410.88209653</v>
      </c>
      <c r="R61" s="185">
        <f t="shared" ca="1" si="10"/>
        <v>21370600.777292609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1"/>
        <v>97216448.761456996</v>
      </c>
      <c r="I62" s="114">
        <f t="shared" si="1"/>
        <v>23128050.82</v>
      </c>
      <c r="J62" s="114">
        <f t="shared" si="2"/>
        <v>115369270.523895</v>
      </c>
      <c r="K62" s="114">
        <f t="shared" si="3"/>
        <v>235713770.10535198</v>
      </c>
      <c r="L62" s="187">
        <f t="shared" si="4"/>
        <v>0.4941347541640731</v>
      </c>
      <c r="M62" s="184">
        <f t="shared" si="5"/>
        <v>241309487.45544952</v>
      </c>
      <c r="N62" s="184">
        <f t="shared" ca="1" si="6"/>
        <v>17236391.961103536</v>
      </c>
      <c r="O62" s="180">
        <f t="shared" si="7"/>
        <v>241309487.45544952</v>
      </c>
      <c r="P62" s="180">
        <f t="shared" ca="1" si="8"/>
        <v>17236391.961103536</v>
      </c>
      <c r="Q62" s="185">
        <f t="shared" si="9"/>
        <v>241309487.45544952</v>
      </c>
      <c r="R62" s="185">
        <f t="shared" ca="1" si="10"/>
        <v>17236391.961103536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1"/>
        <v>256023408.716097</v>
      </c>
      <c r="I63" s="114">
        <f t="shared" si="1"/>
        <v>162504689.06803399</v>
      </c>
      <c r="J63" s="114">
        <f t="shared" si="2"/>
        <v>174759375.72681299</v>
      </c>
      <c r="K63" s="114">
        <f t="shared" si="3"/>
        <v>593287473.51094401</v>
      </c>
      <c r="L63" s="187">
        <f t="shared" si="4"/>
        <v>0.60602985896558847</v>
      </c>
      <c r="M63" s="184">
        <f t="shared" si="5"/>
        <v>385686523.78286254</v>
      </c>
      <c r="N63" s="184">
        <f t="shared" ca="1" si="6"/>
        <v>27549037.413061611</v>
      </c>
      <c r="O63" s="180">
        <f t="shared" si="7"/>
        <v>385686523.78286254</v>
      </c>
      <c r="P63" s="180">
        <f t="shared" ca="1" si="8"/>
        <v>27549037.413061611</v>
      </c>
      <c r="Q63" s="185">
        <f t="shared" si="9"/>
        <v>385686523.78286254</v>
      </c>
      <c r="R63" s="185">
        <f t="shared" ca="1" si="10"/>
        <v>27549037.413061611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1"/>
        <v>74317188.06557399</v>
      </c>
      <c r="I64" s="114">
        <f t="shared" si="1"/>
        <v>99761062.23664999</v>
      </c>
      <c r="J64" s="114">
        <f t="shared" si="2"/>
        <v>91463496.029257998</v>
      </c>
      <c r="K64" s="114">
        <f t="shared" si="3"/>
        <v>265541746.33148199</v>
      </c>
      <c r="L64" s="187">
        <f t="shared" si="4"/>
        <v>0.49457005658197989</v>
      </c>
      <c r="M64" s="184">
        <f t="shared" si="5"/>
        <v>271372575.10290879</v>
      </c>
      <c r="N64" s="184">
        <f t="shared" ca="1" si="6"/>
        <v>19383755.364493486</v>
      </c>
      <c r="O64" s="180">
        <f t="shared" si="7"/>
        <v>271372575.10290879</v>
      </c>
      <c r="P64" s="180">
        <f t="shared" ca="1" si="8"/>
        <v>19383755.364493486</v>
      </c>
      <c r="Q64" s="185">
        <f t="shared" si="9"/>
        <v>271372575.10290879</v>
      </c>
      <c r="R64" s="185">
        <f t="shared" ca="1" si="10"/>
        <v>19383755.364493486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2001513938.016166</v>
      </c>
      <c r="I65" s="135">
        <f t="shared" si="12"/>
        <v>591642313.31353998</v>
      </c>
      <c r="J65" s="135">
        <f t="shared" si="12"/>
        <v>1484799204.1717582</v>
      </c>
      <c r="K65" s="135">
        <f t="shared" si="12"/>
        <v>4077955455.5014639</v>
      </c>
      <c r="L65" s="189">
        <f t="shared" si="4"/>
        <v>0.46037156464838247</v>
      </c>
      <c r="M65" s="181">
        <f>SUM(M51:M64)</f>
        <v>4780010085.0420322</v>
      </c>
      <c r="N65" s="181">
        <f t="shared" ca="1" si="6"/>
        <v>341429291.78871661</v>
      </c>
      <c r="O65" s="181">
        <f>SUM(O51:O64)</f>
        <v>4780010085.0420322</v>
      </c>
      <c r="P65" s="181">
        <f t="shared" ca="1" si="8"/>
        <v>341429291.78871661</v>
      </c>
      <c r="Q65" s="186">
        <f>SUM(Q51:Q64)</f>
        <v>4780010085.0420322</v>
      </c>
      <c r="R65" s="186">
        <f t="shared" ca="1" si="10"/>
        <v>341429291.78871661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100%</v>
      </c>
      <c r="H68" s="232" t="str">
        <f>"PER HARI"&amp;CHAR(10)&amp;TEXT($H$40,"0%")</f>
        <v>PER HARI
100%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110102138.155559</v>
      </c>
      <c r="F69" s="187">
        <f t="shared" ref="F69:F74" si="13">IFERROR(E69/D69,0)</f>
        <v>0.42965429981782677</v>
      </c>
      <c r="G69" s="184">
        <f>D69*$H$40-E69</f>
        <v>146155365.14940563</v>
      </c>
      <c r="H69" s="184">
        <f t="shared" ref="H69:H74" ca="1" si="14">IFERROR(G69/$C$3,0)</f>
        <v>10439668.939243259</v>
      </c>
      <c r="I69" s="204">
        <f>D69*$J$40-E69</f>
        <v>146155365.14940563</v>
      </c>
      <c r="J69" s="204">
        <f t="shared" ref="J69:J74" ca="1" si="15">IFERROR(I69/$C$3,0)</f>
        <v>10439668.939243259</v>
      </c>
      <c r="K69" s="185">
        <f>D69*$L$40-E69</f>
        <v>146155365.14940563</v>
      </c>
      <c r="L69" s="185">
        <f t="shared" ref="L69:L74" ca="1" si="16">IFERROR(K69/$C$3,0)</f>
        <v>10439668.939243259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85308067.049704999</v>
      </c>
      <c r="F70" s="187">
        <f t="shared" si="13"/>
        <v>0.21350587153848549</v>
      </c>
      <c r="G70" s="184">
        <f>D70*$H$40-E70</f>
        <v>314250345.25525963</v>
      </c>
      <c r="H70" s="184">
        <f t="shared" ca="1" si="14"/>
        <v>22446453.232518546</v>
      </c>
      <c r="I70" s="204">
        <f>D70*$J$40-E70</f>
        <v>314250345.25525963</v>
      </c>
      <c r="J70" s="204">
        <f t="shared" ca="1" si="15"/>
        <v>22446453.232518546</v>
      </c>
      <c r="K70" s="185">
        <f>D70*$L$40-E70</f>
        <v>314250345.25525963</v>
      </c>
      <c r="L70" s="185">
        <f t="shared" ca="1" si="16"/>
        <v>22446453.232518546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367847681.28290999</v>
      </c>
      <c r="F71" s="187">
        <f t="shared" si="13"/>
        <v>0.33915214815823708</v>
      </c>
      <c r="G71" s="184">
        <f>D71*$H$40-E71</f>
        <v>716761935.02205455</v>
      </c>
      <c r="H71" s="184">
        <f t="shared" ca="1" si="14"/>
        <v>51197281.073003896</v>
      </c>
      <c r="I71" s="204">
        <f>D71*$J$40-E71</f>
        <v>716761935.02205455</v>
      </c>
      <c r="J71" s="204">
        <f t="shared" ca="1" si="15"/>
        <v>51197281.073003896</v>
      </c>
      <c r="K71" s="185">
        <f>D71*$L$40-E71</f>
        <v>716761935.02205455</v>
      </c>
      <c r="L71" s="185">
        <f t="shared" ca="1" si="16"/>
        <v>51197281.073003896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563257886.48817396</v>
      </c>
      <c r="F74" s="177">
        <f t="shared" si="13"/>
        <v>0.32363228196753269</v>
      </c>
      <c r="G74" s="181">
        <f>SUM(G69:G73)</f>
        <v>1177167645.4267197</v>
      </c>
      <c r="H74" s="181">
        <f t="shared" ca="1" si="14"/>
        <v>84083403.244765684</v>
      </c>
      <c r="I74" s="186">
        <f>SUM(I69:I73)</f>
        <v>1177167645.4267197</v>
      </c>
      <c r="J74" s="186">
        <f t="shared" ca="1" si="15"/>
        <v>84083403.244765684</v>
      </c>
      <c r="K74" s="186">
        <f>SUM(K69:K73)</f>
        <v>1177167645.4267197</v>
      </c>
      <c r="L74" s="186">
        <f t="shared" ca="1" si="16"/>
        <v>84083403.244765684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223826336.25990999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85284019.390000001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8"/>
        <v>4684684.5599999996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217414914.14984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8"/>
        <v>28644143.870000001</v>
      </c>
      <c r="T85" t="str">
        <f t="shared" si="17"/>
        <v>Ronald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512576661.13998199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185945256.43967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8"/>
        <v>5723693.54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20000000.43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329431621.62963599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87616734.749956995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9343459.6473999992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84232434.24000001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1794723960.0463951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1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163</v>
      </c>
      <c r="C40" s="260"/>
      <c r="D40" s="261"/>
      <c r="E40" s="66" t="s">
        <v>137</v>
      </c>
      <c r="F40" s="174">
        <f ca="1">IF(MONTH(TODAY())=10,DAY(TODAY())/DAY(EOMONTH(TODAY(),0)),IF(MONTH(TODAY())&gt;10,1,0))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164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175</v>
      </c>
      <c r="C40" s="260"/>
      <c r="D40" s="261"/>
      <c r="E40" s="66" t="s">
        <v>137</v>
      </c>
      <c r="F40" s="174">
        <f ca="1">IF(MONTH(TODAY())=11,DAY(TODAY())/DAY(EOMONTH(TODAY(),0)),IF(MONTH(TODAY())&gt;11,1,0))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176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177</v>
      </c>
      <c r="C40" s="260"/>
      <c r="D40" s="261"/>
      <c r="E40" s="66" t="s">
        <v>137</v>
      </c>
      <c r="F40" s="174">
        <f ca="1">IF(MONTH(TODAY())=12,DAY(TODAY())/DAY(EOMONTH(TODAY(),0)),IF(MONTH(TODAY())&gt;12,1,0))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2026-09-05T00:51:55Z</cp:lastPrinted>
  <dcterms:created xsi:type="dcterms:W3CDTF">2026-03-24T08:59:20Z</dcterms:created>
  <dcterms:modified xsi:type="dcterms:W3CDTF">2026-09-15T00:52:45Z</dcterms:modified>
  <dc:language>en-US</dc:language>
</cp:coreProperties>
</file>