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1" i="8" l="1"/>
  <c r="D72" i="8"/>
  <c r="D73" i="8"/>
  <c r="D74" i="8"/>
  <c r="D79" i="8"/>
  <c r="D82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F93" i="8" s="1"/>
  <c r="D92" i="8"/>
  <c r="D91" i="8"/>
  <c r="D90" i="8"/>
  <c r="D89" i="8"/>
  <c r="D45" i="8"/>
  <c r="D44" i="8"/>
  <c r="D43" i="8"/>
  <c r="E64" i="8"/>
  <c r="E63" i="8"/>
  <c r="E62" i="8"/>
  <c r="E61" i="8"/>
  <c r="F61" i="8" s="1"/>
  <c r="E60" i="8"/>
  <c r="E59" i="8"/>
  <c r="E58" i="8"/>
  <c r="F58" i="8" s="1"/>
  <c r="E57" i="8"/>
  <c r="E56" i="8"/>
  <c r="E55" i="8"/>
  <c r="E54" i="8"/>
  <c r="E53" i="8"/>
  <c r="E52" i="8"/>
  <c r="E51" i="8"/>
  <c r="D64" i="8"/>
  <c r="D63" i="8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D94" i="8"/>
  <c r="E93" i="8"/>
  <c r="E92" i="8"/>
  <c r="G92" i="8" s="1"/>
  <c r="E90" i="8"/>
  <c r="E89" i="8"/>
  <c r="G89" i="8" s="1"/>
  <c r="D70" i="8"/>
  <c r="F64" i="8"/>
  <c r="F63" i="8"/>
  <c r="H59" i="8"/>
  <c r="G59" i="8"/>
  <c r="K59" i="8" s="1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K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K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G90" i="8" l="1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52" i="8"/>
  <c r="J52" i="8" s="1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J52" i="7" l="1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<sst xmlns="http://schemas.openxmlformats.org/spreadsheetml/2006/main" count="1878" uniqueCount="185">
  <si>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</si>
  <si>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</si>
  <si>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</si>
  <si>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</si>
  <si>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</si>
  <si>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</si>
  <si>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</si>
  <si>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</si>
  <si>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</si>
  <si>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</si>
  <si>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</si>
  <si>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</si>
  <si>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</si>
  <si>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</si>
  <si>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</si>
  <si>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</si>
  <si>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</si>
  <si>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</si>
  <si>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</si>
  <si>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</si>
  <si>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</si>
  <si>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</si>
  <si>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</si>
  <si>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</si>
  <si>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</si>
  <si>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</si>
  <si>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</si>
  <si>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</si>
  <si>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</si>
  <si>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</si>
  <si>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</si>
  <si>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</si>
  <si>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</si>
  <si>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</si>
  <si>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</si>
  <si>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</si>
  <si>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</si>
  <si>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</si>
  <si>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</si>
  <si>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</si>
  <si>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</si>
  <si>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</si>
  <si>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</si>
  <si>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</si>
  <si>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</si>
  <si>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</si>
  <si>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</si>
  <si>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</si>
  <si>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</si>
  <si>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</si>
  <si>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</si>
  <si>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</si>
  <si>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</si>
  <si>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</si>
  <si>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</si>
  <si>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</si>
  <si>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</si>
  <si>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</si>
  <si>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</si>
  <si>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</si>
  <si>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</si>
  <si>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</si>
  <si>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</si>
  <si>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</si>
  <si>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</si>
  <si>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</si>
  <si>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</si>
  <si>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</si>
  <si>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</si>
  <si>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</si>
  <si>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</si>
  <si>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</si>
  <si>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</si>
  <si>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</si>
  <si>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</si>
  <si>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</si>
  <si>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</si>
  <si>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</si>
  <si>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</si>
  <si>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</si>
  <si>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</si>
  <si>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</si>
  <si>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</si>
  <si>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</si>
  <si>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</si>
  <si>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</si>
  <si>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</si>
  <si>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</si>
  <si>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</si>
  <si>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</si>
  <si>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</si>
  <si>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</si>
  <si>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</si>
  <si>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</si>
  <si>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</si>
  <si>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</si>
  <si>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</si>
  <si>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</si>
  <si>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</si>
  <si>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</si>
  <si>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</si>
  <si>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</si>
  <si>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</si>
  <si>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</si>
  <si>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</si>
  <si>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</si>
  <si>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</si>
  <si>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</si>
  <si>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</si>
  <si>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</si>
  <si>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</si>
  <si>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</si>
  <si>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</si>
  <si>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</si>
  <si>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</si>
  <si>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</si>
  <si>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</si>
  <si>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</si>
  <si>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</si>
  <si>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</si>
  <si>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</si>
  <si>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</si>
  <si>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</si>
  <si>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</si>
  <si>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</si>
  <si>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</si>
  <si>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</si>
  <si>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</si>
  <si>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</si>
  <si>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</si>
  <si>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</si>
  <si>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</si>
  <si>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</si>
  <si>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</si>
  <si>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</si>
  <si>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</si>
  <si>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</si>
  <si>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</si>
  <si>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</si>
  <si>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</si>
  <si>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</si>
  <si>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</si>
  <si>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</si>
  <si>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</si>
  <si>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</si>
  <si>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</si>
  <si>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</si>
  <si>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</si>
  <si>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</si>
  <si>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</si>
  <si>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</si>
  <si>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</si>
  <si>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</si>
  <si>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</si>
  <si>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</si>
  <si>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</si>
  <si>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</si>
  <si>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</si>
  <si>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</si>
  <si>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</si>
  <si>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</si>
  <si>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</si>
  <si>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</si>
  <si>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</si>
  <si>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</si>
  <si>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</si>
  <si>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</si>
  <si>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</si>
  <si>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</si>
  <si>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</si>
  <si>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</si>
  <si>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</si>
  <si>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</si>
  <si>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</si>
  <si>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</si>
  <si>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</si>
  <si>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</si>
  <si>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</si>
  <si>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</si>
  <si>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</si>
  <si>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</si>
  <si>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</si>
  <si>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</si>
  <si>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</si>
  <si>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06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</si>
</sst>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164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182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33" zoomScaleNormal="100" workbookViewId="0">
      <selection activeCell="B41" sqref="B41:D41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21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9" t="s">
        <v>183</v>
      </c>
      <c r="C41" s="240"/>
      <c r="D41" s="241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30133051.438647952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26456539.510318607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5227262.6066529863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61816853.555619545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7235434.4441220621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6473792.1422509523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2090734.39047619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-1921367.0231441488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6228303.6957869586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3842262.116902079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-1196054.0794637885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5276877.5350138117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4933911.4366678568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3600568.9360609706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8439817.0193275362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5636872.7696272787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1647889.6649045434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4300547.900434304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56589590.948966607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-636332.2817272601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-882356.3208515445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6745951.2092317967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5227262.6066529918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21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85072270.124280006</v>
      </c>
      <c r="N8" s="11">
        <f>D24</f>
        <v>24342576.659990001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149603134.68308198</v>
      </c>
      <c r="N9" s="11">
        <f>D12+D13</f>
        <v>27944511.576076999</v>
      </c>
    </row>
    <row r="10" spans="2:14" x14ac:dyDescent="0.25">
      <c r="B10" s="74" t="s">
        <v>113</v>
      </c>
      <c r="C10" s="205">
        <v>68630018.114123002</v>
      </c>
      <c r="D10" s="205">
        <v>11028671.691799</v>
      </c>
      <c r="E10" s="205">
        <v>40349719.649999999</v>
      </c>
      <c r="F10" s="205">
        <v>120008409.45592199</v>
      </c>
      <c r="H10" s="116"/>
      <c r="I10" s="116"/>
      <c r="J10" s="116"/>
      <c r="M10" s="11">
        <f>C14</f>
        <v>228165305.08983999</v>
      </c>
      <c r="N10" s="11">
        <f>D14</f>
        <v>6480445.8275939999</v>
      </c>
    </row>
    <row r="11" spans="2:14" x14ac:dyDescent="0.25">
      <c r="B11" s="74" t="s">
        <v>114</v>
      </c>
      <c r="C11" s="205">
        <v>104622545.667676</v>
      </c>
      <c r="D11" s="205">
        <v>19232014.304437999</v>
      </c>
      <c r="E11" s="205" t="s">
        <v>168</v>
      </c>
      <c r="F11" s="205">
        <v>123854559.972114</v>
      </c>
      <c r="H11" s="116"/>
      <c r="I11" s="116"/>
      <c r="J11" s="116"/>
      <c r="M11" s="11">
        <f>C17</f>
        <v>69734233.040000007</v>
      </c>
      <c r="N11" s="11">
        <f>D17</f>
        <v>3925392</v>
      </c>
    </row>
    <row r="12" spans="2:14" x14ac:dyDescent="0.25">
      <c r="B12" s="74" t="s">
        <v>70</v>
      </c>
      <c r="C12" s="205">
        <v>72797179.063658997</v>
      </c>
      <c r="D12" s="205">
        <v>25053538.606082</v>
      </c>
      <c r="E12" s="205">
        <v>1859459.44</v>
      </c>
      <c r="F12" s="205">
        <v>99710177.109741002</v>
      </c>
      <c r="H12" s="116"/>
      <c r="I12" s="116"/>
      <c r="J12" s="116"/>
      <c r="M12" s="11">
        <f>C16</f>
        <v>143216240.83604801</v>
      </c>
      <c r="N12" s="11">
        <f>D16</f>
        <v>33998734.009856999</v>
      </c>
    </row>
    <row r="13" spans="2:14" x14ac:dyDescent="0.25">
      <c r="B13" s="74" t="s">
        <v>115</v>
      </c>
      <c r="C13" s="205">
        <v>76805955.619423002</v>
      </c>
      <c r="D13" s="205">
        <v>2890972.9699949999</v>
      </c>
      <c r="E13" s="205">
        <v>5381171.0800000001</v>
      </c>
      <c r="F13" s="205">
        <v>85078099.669418007</v>
      </c>
      <c r="H13" s="116"/>
      <c r="I13" s="116"/>
      <c r="J13" s="116"/>
      <c r="M13" s="11">
        <f>C19</f>
        <v>187530673.70565599</v>
      </c>
      <c r="N13" s="11">
        <f>D19</f>
        <v>30024821.109944001</v>
      </c>
    </row>
    <row r="14" spans="2:14" x14ac:dyDescent="0.25">
      <c r="B14" s="74" t="s">
        <v>116</v>
      </c>
      <c r="C14" s="205">
        <v>228165305.08983999</v>
      </c>
      <c r="D14" s="205">
        <v>6480445.8275939999</v>
      </c>
      <c r="E14" s="205">
        <v>66451712.039999999</v>
      </c>
      <c r="F14" s="205">
        <v>301097462.957434</v>
      </c>
      <c r="H14" s="116"/>
      <c r="I14" s="116"/>
      <c r="J14" s="116"/>
      <c r="M14" s="11">
        <f>C25</f>
        <v>113083899.692844</v>
      </c>
      <c r="N14" s="11">
        <f>D25</f>
        <v>15654556.019983999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104622545.667676</v>
      </c>
      <c r="N15" s="11">
        <f>D11</f>
        <v>19232014.304437999</v>
      </c>
    </row>
    <row r="16" spans="2:14" x14ac:dyDescent="0.25">
      <c r="B16" s="74" t="s">
        <v>74</v>
      </c>
      <c r="C16" s="205">
        <v>143216240.83604801</v>
      </c>
      <c r="D16" s="205">
        <v>33998734.009856999</v>
      </c>
      <c r="E16" s="205">
        <v>7963693.5999999996</v>
      </c>
      <c r="F16" s="205">
        <v>185178668.445905</v>
      </c>
      <c r="H16" s="116"/>
      <c r="I16" s="116"/>
      <c r="J16" s="116"/>
      <c r="M16" s="11">
        <f>C26</f>
        <v>136943853.57716101</v>
      </c>
      <c r="N16" s="11">
        <f>D26</f>
        <v>11584324.495468</v>
      </c>
    </row>
    <row r="17" spans="2:14" x14ac:dyDescent="0.25">
      <c r="B17" s="74" t="s">
        <v>118</v>
      </c>
      <c r="C17" s="205">
        <v>69734233.040000007</v>
      </c>
      <c r="D17" s="205">
        <v>3925392</v>
      </c>
      <c r="E17" s="205" t="s">
        <v>168</v>
      </c>
      <c r="F17" s="205">
        <v>73659625.040000007</v>
      </c>
      <c r="H17" s="116"/>
      <c r="I17" s="116"/>
      <c r="J17" s="116"/>
      <c r="M17" s="11">
        <f>C10</f>
        <v>68630018.114123002</v>
      </c>
      <c r="N17" s="11">
        <f>D10</f>
        <v>11028671.691799</v>
      </c>
    </row>
    <row r="18" spans="2:14" x14ac:dyDescent="0.25">
      <c r="B18" s="74" t="s">
        <v>119</v>
      </c>
      <c r="C18" s="205">
        <v>131301106.353948</v>
      </c>
      <c r="D18" s="205">
        <v>531441.44999800005</v>
      </c>
      <c r="E18" s="205">
        <v>6237837.7599999998</v>
      </c>
      <c r="F18" s="205">
        <v>138070385.56394601</v>
      </c>
      <c r="H18" s="116"/>
      <c r="I18" s="116"/>
      <c r="J18" s="116"/>
      <c r="M18" s="11">
        <f>C27</f>
        <v>215334935.084598</v>
      </c>
      <c r="N18" s="11">
        <f>D27</f>
        <v>11198866.199999999</v>
      </c>
    </row>
    <row r="19" spans="2:14" x14ac:dyDescent="0.25">
      <c r="B19" s="74" t="s">
        <v>121</v>
      </c>
      <c r="C19" s="205">
        <v>187530673.70565599</v>
      </c>
      <c r="D19" s="205">
        <v>30024821.109944001</v>
      </c>
      <c r="E19" s="205">
        <v>390736047.13998002</v>
      </c>
      <c r="F19" s="205">
        <v>608291541.95558</v>
      </c>
      <c r="H19" s="116"/>
      <c r="I19" s="116"/>
      <c r="J19" s="116"/>
      <c r="M19" s="11">
        <f>C20+C21</f>
        <v>43742360.789889999</v>
      </c>
      <c r="N19" s="11">
        <f>D20+D21</f>
        <v>10206534.879948001</v>
      </c>
    </row>
    <row r="20" spans="2:14" x14ac:dyDescent="0.25">
      <c r="B20" s="74" t="s">
        <v>123</v>
      </c>
      <c r="C20" s="205">
        <v>29893672.789889999</v>
      </c>
      <c r="D20" s="205">
        <v>4154827.08</v>
      </c>
      <c r="E20" s="205">
        <v>1945946</v>
      </c>
      <c r="F20" s="205">
        <v>35994445.869889997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5">
        <v>13848688</v>
      </c>
      <c r="D21" s="205">
        <v>6051707.7999480003</v>
      </c>
      <c r="E21" s="205">
        <v>10735135.300000001</v>
      </c>
      <c r="F21" s="205">
        <v>30635531.099948</v>
      </c>
      <c r="H21" s="116"/>
      <c r="I21" s="116"/>
      <c r="J21" s="116"/>
      <c r="M21" s="14">
        <f>IFERROR(C34,0)+IFERROR(C35,0)+M20</f>
        <v>99533143.973503992</v>
      </c>
      <c r="N21" s="10" t="s">
        <v>122</v>
      </c>
    </row>
    <row r="22" spans="2:14" x14ac:dyDescent="0.25">
      <c r="B22" s="74" t="s">
        <v>172</v>
      </c>
      <c r="C22" s="205">
        <v>35091520</v>
      </c>
      <c r="D22" s="205" t="s">
        <v>168</v>
      </c>
      <c r="E22" s="205" t="s">
        <v>168</v>
      </c>
      <c r="F22" s="205">
        <v>35091520</v>
      </c>
      <c r="H22" s="116"/>
      <c r="I22" s="116"/>
      <c r="J22" s="116"/>
    </row>
    <row r="23" spans="2:14" x14ac:dyDescent="0.25">
      <c r="B23" s="74" t="s">
        <v>173</v>
      </c>
      <c r="C23" s="205">
        <v>92325602.239999995</v>
      </c>
      <c r="D23" s="205" t="s">
        <v>168</v>
      </c>
      <c r="E23" s="205">
        <v>1957927.88</v>
      </c>
      <c r="F23" s="205">
        <v>94283530.120000005</v>
      </c>
      <c r="H23" s="116"/>
      <c r="I23" s="116"/>
      <c r="J23" s="116"/>
    </row>
    <row r="24" spans="2:14" x14ac:dyDescent="0.25">
      <c r="B24" s="74" t="s">
        <v>125</v>
      </c>
      <c r="C24" s="205">
        <v>85072270.124280006</v>
      </c>
      <c r="D24" s="205">
        <v>24342576.659990001</v>
      </c>
      <c r="E24" s="205">
        <v>140854325.09990001</v>
      </c>
      <c r="F24" s="205">
        <v>250269171.88417</v>
      </c>
      <c r="H24" s="116"/>
      <c r="I24" s="116"/>
      <c r="J24" s="116"/>
    </row>
    <row r="25" spans="2:14" x14ac:dyDescent="0.25">
      <c r="B25" s="74" t="s">
        <v>126</v>
      </c>
      <c r="C25" s="205">
        <v>113083899.692844</v>
      </c>
      <c r="D25" s="205">
        <v>15654556.019983999</v>
      </c>
      <c r="E25" s="205">
        <v>71769820.739840001</v>
      </c>
      <c r="F25" s="205">
        <v>200508276.45266801</v>
      </c>
      <c r="H25" s="116"/>
      <c r="I25" s="116"/>
      <c r="J25" s="116"/>
    </row>
    <row r="26" spans="2:14" x14ac:dyDescent="0.25">
      <c r="B26" s="74" t="s">
        <v>127</v>
      </c>
      <c r="C26" s="205">
        <v>136943853.57716101</v>
      </c>
      <c r="D26" s="205">
        <v>11584324.495468</v>
      </c>
      <c r="E26" s="205">
        <v>167189100.54982001</v>
      </c>
      <c r="F26" s="205">
        <v>315717278.62244898</v>
      </c>
      <c r="H26" s="116"/>
      <c r="I26" s="116"/>
      <c r="J26" s="116"/>
    </row>
    <row r="27" spans="2:14" x14ac:dyDescent="0.25">
      <c r="B27" s="74" t="s">
        <v>128</v>
      </c>
      <c r="C27" s="205">
        <v>215334935.084598</v>
      </c>
      <c r="D27" s="205">
        <v>11198866.199999999</v>
      </c>
      <c r="E27" s="205" t="s">
        <v>168</v>
      </c>
      <c r="F27" s="205">
        <v>226533801.28459799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55119391.829728998</v>
      </c>
      <c r="G32" s="116"/>
      <c r="H32" s="116"/>
      <c r="I32" s="116"/>
    </row>
    <row r="33" spans="2:14" x14ac:dyDescent="0.25">
      <c r="B33" s="84" t="s">
        <v>133</v>
      </c>
      <c r="C33" s="206">
        <v>75442010.825186998</v>
      </c>
      <c r="G33" s="116"/>
      <c r="H33" s="116"/>
      <c r="I33" s="116"/>
    </row>
    <row r="34" spans="2:14" x14ac:dyDescent="0.25">
      <c r="B34" s="84" t="s">
        <v>134</v>
      </c>
      <c r="C34" s="205">
        <v>30812864.572184999</v>
      </c>
      <c r="G34" s="116"/>
      <c r="H34" s="116"/>
      <c r="I34" s="116"/>
    </row>
    <row r="35" spans="2:14" x14ac:dyDescent="0.25">
      <c r="B35" s="84" t="s">
        <v>135</v>
      </c>
      <c r="C35" s="205">
        <v>68720279.401318997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184</v>
      </c>
      <c r="C41" s="226"/>
      <c r="D41" s="227"/>
      <c r="E41" s="67" t="s">
        <v>138</v>
      </c>
      <c r="F41" s="73">
        <f ca="1">IF(MONTH(TODAY())=6,DAY(TODAY())/DAY(EOMONTH(TODAY(),0)),IF(MONTH(TODAY())&gt;6,1,0))</f>
        <v>0.2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1673096592.6451981</v>
      </c>
      <c r="F43" s="44">
        <f>IFERROR(E43/D43,0)</f>
        <v>0.23047695454698039</v>
      </c>
      <c r="G43" s="118">
        <f>D43-E43</f>
        <v>5586182739.3548021</v>
      </c>
      <c r="H43" s="118">
        <f ca="1">IFERROR(G43/C3,0)</f>
        <v>266008701.87403819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205621448.77509895</v>
      </c>
      <c r="F44" s="44">
        <f>IFERROR(E44/D44,0)</f>
        <v>0.11363910749016488</v>
      </c>
      <c r="G44" s="118">
        <f>D44-E44</f>
        <v>1603803610.224901</v>
      </c>
      <c r="H44" s="118">
        <f ca="1">IFERROR(G44/C3,0)</f>
        <v>76371600.486900046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230094546.62842</v>
      </c>
      <c r="F45" s="44">
        <f>IFERROR(E45/D45,0)</f>
        <v>0.12567627763544834</v>
      </c>
      <c r="G45" s="118">
        <f>D45-E45</f>
        <v>1600756517.3715801</v>
      </c>
      <c r="H45" s="118">
        <f ca="1">IFERROR(G45/C3,0)</f>
        <v>76226500.8272181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2108812588.048717</v>
      </c>
      <c r="F46" s="43">
        <f>IFERROR(E46/D46,0)</f>
        <v>0.19347693552780013</v>
      </c>
      <c r="G46" s="119">
        <f>G43+G44+G45</f>
        <v>8790742866.9512825</v>
      </c>
      <c r="H46" s="119">
        <f ca="1">IFERROR(G46/C3,0)</f>
        <v>418606803.18815631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85072270.124280006</v>
      </c>
      <c r="H51" s="122">
        <f>N8</f>
        <v>24342576.659990001</v>
      </c>
      <c r="I51" s="122">
        <f t="shared" ref="I51:I64" si="1">G51+H51</f>
        <v>109414846.78427</v>
      </c>
      <c r="J51" s="61">
        <f t="shared" ref="J51:J64" si="2">IFERROR(I51/F51,0)</f>
        <v>0.19767316879774263</v>
      </c>
      <c r="K51" s="51">
        <f t="shared" ref="K51:M64" si="3">D51-G51</f>
        <v>366611207.87572002</v>
      </c>
      <c r="L51" s="51">
        <f t="shared" si="3"/>
        <v>77487846.340010002</v>
      </c>
      <c r="M51" s="51">
        <f t="shared" si="3"/>
        <v>444099054.21573001</v>
      </c>
      <c r="N51" s="51">
        <f ca="1">IFERROR(M51/C3,0)</f>
        <v>21147574.010272857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149603134.68308198</v>
      </c>
      <c r="H52" s="122">
        <f>N9</f>
        <v>27944511.576076999</v>
      </c>
      <c r="I52" s="122">
        <f t="shared" si="1"/>
        <v>177547646.25915897</v>
      </c>
      <c r="J52" s="61">
        <f t="shared" si="2"/>
        <v>0.21777260298300141</v>
      </c>
      <c r="K52" s="54">
        <f t="shared" si="3"/>
        <v>440579236.31691802</v>
      </c>
      <c r="L52" s="54">
        <f t="shared" si="3"/>
        <v>197162294.42392302</v>
      </c>
      <c r="M52" s="54">
        <f t="shared" si="3"/>
        <v>637741530.74084103</v>
      </c>
      <c r="N52" s="54">
        <f ca="1">IFERROR(M52/C3,0)</f>
        <v>30368644.320992429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35091520</v>
      </c>
      <c r="H53" s="122">
        <f>IF(D22="",0,D22)</f>
        <v>0</v>
      </c>
      <c r="I53" s="122">
        <f>G53+H53</f>
        <v>35091520</v>
      </c>
      <c r="J53" s="61">
        <f>IFERROR(I53/F53,0)</f>
        <v>0.14532258701199174</v>
      </c>
      <c r="K53" s="54">
        <f>D53-G53</f>
        <v>206381748</v>
      </c>
      <c r="L53" s="54">
        <f>E53-H53</f>
        <v>0</v>
      </c>
      <c r="M53" s="54">
        <f>F53-I53</f>
        <v>206381748</v>
      </c>
      <c r="N53" s="54">
        <f ca="1">IFERROR(M53/C3,0)</f>
        <v>9827702.2857142854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228165305.08983999</v>
      </c>
      <c r="H54" s="122">
        <f t="shared" ref="H54:H58" si="4">N10</f>
        <v>6480445.8275939999</v>
      </c>
      <c r="I54" s="122">
        <f t="shared" si="1"/>
        <v>234645750.91743401</v>
      </c>
      <c r="J54" s="61">
        <f t="shared" si="2"/>
        <v>0.32313482748051958</v>
      </c>
      <c r="K54" s="54">
        <f>D54-G54</f>
        <v>417547166.91016001</v>
      </c>
      <c r="L54" s="54">
        <f t="shared" si="3"/>
        <v>73961402.172406003</v>
      </c>
      <c r="M54" s="54">
        <f t="shared" si="3"/>
        <v>491508569.08256602</v>
      </c>
      <c r="N54" s="54">
        <f ca="1">IFERROR(M54/C3,0)</f>
        <v>23405169.956312668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69734233.040000007</v>
      </c>
      <c r="H55" s="122">
        <f t="shared" si="4"/>
        <v>3925392</v>
      </c>
      <c r="I55" s="122">
        <f t="shared" si="1"/>
        <v>73659625.040000007</v>
      </c>
      <c r="J55" s="61">
        <f t="shared" si="2"/>
        <v>0.1249658073420266</v>
      </c>
      <c r="K55" s="54">
        <f t="shared" si="3"/>
        <v>439184598.95999998</v>
      </c>
      <c r="L55" s="54">
        <f t="shared" si="3"/>
        <v>76594012</v>
      </c>
      <c r="M55" s="54">
        <f t="shared" si="3"/>
        <v>515778610.95999998</v>
      </c>
      <c r="N55" s="54">
        <f ca="1">IFERROR(M55/C3,0)</f>
        <v>24560886.236190476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143216240.83604801</v>
      </c>
      <c r="H56" s="122">
        <f t="shared" si="4"/>
        <v>33998734.009856999</v>
      </c>
      <c r="I56" s="122">
        <f t="shared" si="1"/>
        <v>177214974.84590501</v>
      </c>
      <c r="J56" s="61">
        <f t="shared" si="2"/>
        <v>0.33935407110383464</v>
      </c>
      <c r="K56" s="54">
        <f t="shared" si="3"/>
        <v>296847043.16395199</v>
      </c>
      <c r="L56" s="54">
        <f t="shared" si="3"/>
        <v>48150590.990143001</v>
      </c>
      <c r="M56" s="54">
        <f t="shared" si="3"/>
        <v>344997634.15409499</v>
      </c>
      <c r="N56" s="54">
        <f ca="1">IFERROR(M56/C3,0)</f>
        <v>16428458.769242618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187530673.70565599</v>
      </c>
      <c r="H57" s="122">
        <f t="shared" si="4"/>
        <v>30024821.109944001</v>
      </c>
      <c r="I57" s="122">
        <f t="shared" si="1"/>
        <v>217555494.81559998</v>
      </c>
      <c r="J57" s="61">
        <f t="shared" si="2"/>
        <v>0.1938570616499331</v>
      </c>
      <c r="K57" s="54">
        <f t="shared" si="3"/>
        <v>809227671.29434395</v>
      </c>
      <c r="L57" s="54">
        <f t="shared" si="3"/>
        <v>95463776.890055999</v>
      </c>
      <c r="M57" s="54">
        <f t="shared" si="3"/>
        <v>904691448.18440008</v>
      </c>
      <c r="N57" s="54">
        <f ca="1">IFERROR(M57/C3,0)</f>
        <v>43080545.151638098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113083899.692844</v>
      </c>
      <c r="H58" s="122">
        <f t="shared" si="4"/>
        <v>15654556.019983999</v>
      </c>
      <c r="I58" s="122">
        <f>G58+H58</f>
        <v>128738455.71282801</v>
      </c>
      <c r="J58" s="61">
        <f>IFERROR(I58/F58,0)</f>
        <v>0.20190198327295245</v>
      </c>
      <c r="K58" s="54">
        <f t="shared" si="3"/>
        <v>427203159.30715597</v>
      </c>
      <c r="L58" s="54">
        <f t="shared" si="3"/>
        <v>81686869.980015993</v>
      </c>
      <c r="M58" s="54">
        <f t="shared" si="3"/>
        <v>508890029.28717196</v>
      </c>
      <c r="N58" s="54">
        <f ca="1">IFERROR(M58/C3,0)</f>
        <v>24232858.537484378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92325602.239999995</v>
      </c>
      <c r="H59" s="122">
        <f>IF(D23="",0,D23)</f>
        <v>0</v>
      </c>
      <c r="I59" s="122">
        <f>G59+H59</f>
        <v>92325602.239999995</v>
      </c>
      <c r="J59" s="61">
        <f>IFERROR(I59/F59,0)</f>
        <v>0.2284531343570527</v>
      </c>
      <c r="K59" s="54">
        <f>D59-G59</f>
        <v>311808061.75999999</v>
      </c>
      <c r="L59" s="54">
        <f>E59-H59</f>
        <v>0</v>
      </c>
      <c r="M59" s="54">
        <f>F59-I59</f>
        <v>311808061.75999999</v>
      </c>
      <c r="N59" s="54">
        <f ca="1">IFERROR(M59/C3,0)</f>
        <v>14848002.940952381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104622545.667676</v>
      </c>
      <c r="H60" s="122">
        <f t="shared" ref="H60:H64" si="5">N15</f>
        <v>19232014.304437999</v>
      </c>
      <c r="I60" s="122">
        <f t="shared" si="1"/>
        <v>123854559.972114</v>
      </c>
      <c r="J60" s="61">
        <f t="shared" si="2"/>
        <v>0.20269411353683001</v>
      </c>
      <c r="K60" s="54">
        <f t="shared" si="3"/>
        <v>334394763.33232403</v>
      </c>
      <c r="L60" s="54">
        <f t="shared" si="3"/>
        <v>152792397.69556201</v>
      </c>
      <c r="M60" s="54">
        <f t="shared" si="3"/>
        <v>487187161.02788603</v>
      </c>
      <c r="N60" s="54">
        <f ca="1">IFERROR(M60/C3,0)</f>
        <v>23199388.620375525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136943853.57716101</v>
      </c>
      <c r="H61" s="122">
        <f t="shared" si="5"/>
        <v>11584324.495468</v>
      </c>
      <c r="I61" s="122">
        <f t="shared" si="1"/>
        <v>148528178.072629</v>
      </c>
      <c r="J61" s="61">
        <f t="shared" si="2"/>
        <v>0.19570703451103655</v>
      </c>
      <c r="K61" s="54">
        <f t="shared" si="3"/>
        <v>529685742.42283899</v>
      </c>
      <c r="L61" s="54">
        <f t="shared" si="3"/>
        <v>80717297.504531994</v>
      </c>
      <c r="M61" s="54">
        <f t="shared" si="3"/>
        <v>610403039.92737103</v>
      </c>
      <c r="N61" s="54">
        <f ca="1">IFERROR(M61/C3,0)</f>
        <v>29066811.425112907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68630018.114123002</v>
      </c>
      <c r="H62" s="122">
        <f t="shared" si="5"/>
        <v>11028671.691799</v>
      </c>
      <c r="I62" s="122">
        <f t="shared" si="1"/>
        <v>79658689.805922002</v>
      </c>
      <c r="J62" s="61">
        <f t="shared" si="2"/>
        <v>0.15352423502477366</v>
      </c>
      <c r="K62" s="54">
        <f t="shared" si="3"/>
        <v>352913004.88587701</v>
      </c>
      <c r="L62" s="54">
        <f t="shared" si="3"/>
        <v>86295504.308201</v>
      </c>
      <c r="M62" s="54">
        <f t="shared" si="3"/>
        <v>439208509.19407797</v>
      </c>
      <c r="N62" s="54">
        <f ca="1">IFERROR(M62/C3,0)</f>
        <v>20914690.914003711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215334935.084598</v>
      </c>
      <c r="H63" s="122">
        <f t="shared" si="5"/>
        <v>11198866.199999999</v>
      </c>
      <c r="I63" s="122">
        <f t="shared" si="1"/>
        <v>226533801.28459799</v>
      </c>
      <c r="J63" s="61">
        <f t="shared" si="2"/>
        <v>0.23075243859623878</v>
      </c>
      <c r="K63" s="54">
        <f t="shared" si="3"/>
        <v>403016006.915402</v>
      </c>
      <c r="L63" s="54">
        <f t="shared" si="3"/>
        <v>352168099.80000001</v>
      </c>
      <c r="M63" s="54">
        <f t="shared" si="3"/>
        <v>755184106.71540201</v>
      </c>
      <c r="N63" s="54">
        <f ca="1">IFERROR(M63/C3,0)</f>
        <v>35961147.938828669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43742360.789889999</v>
      </c>
      <c r="H64" s="122">
        <f t="shared" si="5"/>
        <v>10206534.879948001</v>
      </c>
      <c r="I64" s="122">
        <f t="shared" si="1"/>
        <v>53948895.669837996</v>
      </c>
      <c r="J64" s="61">
        <f t="shared" si="2"/>
        <v>9.205420543399094E-2</v>
      </c>
      <c r="K64" s="54">
        <f t="shared" si="3"/>
        <v>250783328.21011001</v>
      </c>
      <c r="L64" s="54">
        <f t="shared" si="3"/>
        <v>281323518.12005198</v>
      </c>
      <c r="M64" s="54">
        <f t="shared" si="3"/>
        <v>532106846.33016199</v>
      </c>
      <c r="N64" s="54">
        <f ca="1">IFERROR(M64/C3,0)</f>
        <v>25338421.253817238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1673096592.6451981</v>
      </c>
      <c r="H65" s="152">
        <f>SUM(H51:H64)</f>
        <v>205621448.77509895</v>
      </c>
      <c r="I65" s="152">
        <f>SUM(I51:I64)</f>
        <v>1878718041.4202967</v>
      </c>
      <c r="J65" s="153">
        <f>IFERROR(I65/F65,0)</f>
        <v>0.20716498856052487</v>
      </c>
      <c r="K65" s="154">
        <f>SUM(K51:K64)</f>
        <v>5586182739.3548021</v>
      </c>
      <c r="L65" s="154">
        <f>SUM(L51:L64)</f>
        <v>1603803610.2249007</v>
      </c>
      <c r="M65" s="154">
        <f>SUM(M51:M64)</f>
        <v>7189986349.5797033</v>
      </c>
      <c r="N65" s="154">
        <f ca="1">IFERROR(M65/C3,0)</f>
        <v>342380302.36093825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140854325.09990001</v>
      </c>
    </row>
    <row r="71" spans="2:14" ht="20.100000000000001" customHeight="1" x14ac:dyDescent="0.25">
      <c r="B71" s="53" t="s">
        <v>69</v>
      </c>
      <c r="C71" s="56" t="s">
        <v>70</v>
      </c>
      <c r="D71" s="149">
        <f>IF(E12="",0,E12)+IF(E13="",0,E13)</f>
        <v>7240630.5199999996</v>
      </c>
    </row>
    <row r="72" spans="2:14" ht="20.100000000000001" customHeight="1" x14ac:dyDescent="0.25">
      <c r="B72" s="53" t="s">
        <v>175</v>
      </c>
      <c r="C72" s="56" t="s">
        <v>176</v>
      </c>
      <c r="D72" s="149">
        <f>IF(E22="",0,E22)</f>
        <v>0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66451712.039999999</v>
      </c>
    </row>
    <row r="74" spans="2:14" ht="20.100000000000001" customHeight="1" x14ac:dyDescent="0.25">
      <c r="B74" s="53" t="s">
        <v>73</v>
      </c>
      <c r="C74" s="56" t="s">
        <v>74</v>
      </c>
      <c r="D74" s="149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v>7963693.5999999996</v>
      </c>
    </row>
    <row r="76" spans="2:14" ht="20.100000000000001" customHeight="1" x14ac:dyDescent="0.25">
      <c r="B76" s="53" t="s">
        <v>76</v>
      </c>
      <c r="C76" s="56" t="s">
        <v>77</v>
      </c>
      <c r="D76" s="149">
        <v>390736047.13998002</v>
      </c>
    </row>
    <row r="77" spans="2:14" ht="20.100000000000001" customHeight="1" x14ac:dyDescent="0.25">
      <c r="B77" s="50" t="s">
        <v>78</v>
      </c>
      <c r="C77" s="55" t="s">
        <v>79</v>
      </c>
      <c r="D77" s="148">
        <v>71769820.739840001</v>
      </c>
    </row>
    <row r="78" spans="2:14" ht="20.100000000000001" customHeight="1" x14ac:dyDescent="0.25">
      <c r="B78" s="53" t="s">
        <v>175</v>
      </c>
      <c r="C78" s="56" t="s">
        <v>177</v>
      </c>
      <c r="D78" s="149">
        <v>1957927.88</v>
      </c>
    </row>
    <row r="79" spans="2:14" ht="20.100000000000001" customHeight="1" x14ac:dyDescent="0.25">
      <c r="B79" s="53" t="s">
        <v>80</v>
      </c>
      <c r="C79" s="56" t="s">
        <v>81</v>
      </c>
      <c r="D79" s="149">
        <f>IF(E11="",0,E11)</f>
        <v>0</v>
      </c>
    </row>
    <row r="80" spans="2:14" ht="20.100000000000001" customHeight="1" x14ac:dyDescent="0.25">
      <c r="B80" s="50" t="s">
        <v>82</v>
      </c>
      <c r="C80" s="55" t="s">
        <v>83</v>
      </c>
      <c r="D80" s="148">
        <v>167189100.54982001</v>
      </c>
    </row>
    <row r="81" spans="2:9" ht="20.100000000000001" customHeight="1" x14ac:dyDescent="0.25">
      <c r="B81" s="53" t="s">
        <v>84</v>
      </c>
      <c r="C81" s="56" t="s">
        <v>85</v>
      </c>
      <c r="D81" s="149">
        <v>40349719.649999999</v>
      </c>
    </row>
    <row r="82" spans="2:9" ht="20.100000000000001" customHeight="1" x14ac:dyDescent="0.25">
      <c r="B82" s="50" t="s">
        <v>86</v>
      </c>
      <c r="C82" s="55" t="s">
        <v>87</v>
      </c>
      <c r="D82" s="149">
        <f t="shared" ref="D82" si="7">IF(E11="",0,E11)</f>
        <v>0</v>
      </c>
    </row>
    <row r="83" spans="2:9" ht="20.100000000000001" customHeight="1" x14ac:dyDescent="0.25">
      <c r="B83" s="53" t="s">
        <v>88</v>
      </c>
      <c r="C83" s="56" t="s">
        <v>89</v>
      </c>
      <c r="D83" s="149">
        <v>12681081.300000001</v>
      </c>
    </row>
    <row r="84" spans="2:9" ht="20.100000000000001" customHeight="1" x14ac:dyDescent="0.25">
      <c r="B84" s="57" t="s">
        <v>152</v>
      </c>
      <c r="C84" s="58"/>
      <c r="D84" s="129">
        <f>SUM(D70:D83)</f>
        <v>907194058.51953995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55119391.829728998</v>
      </c>
      <c r="F89" s="61">
        <f t="shared" ref="F89:F94" si="8">IFERROR(E89/D89,0)</f>
        <v>0.193042009867606</v>
      </c>
      <c r="G89" s="125">
        <f>D89-E89</f>
        <v>230411161.17027101</v>
      </c>
      <c r="H89" s="125">
        <f ca="1">IFERROR(G89/C3,0)</f>
        <v>10971960.055727191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75442010.825186998</v>
      </c>
      <c r="F90" s="61">
        <f t="shared" si="8"/>
        <v>0.17592461726883976</v>
      </c>
      <c r="G90" s="126">
        <f>D90-E90</f>
        <v>353389451.17481303</v>
      </c>
      <c r="H90" s="126">
        <f ca="1">IFERROR(G90/C3,0)</f>
        <v>16828069.103562526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99533143.973503992</v>
      </c>
      <c r="F91" s="61">
        <f t="shared" si="8"/>
        <v>8.9148338770230068E-2</v>
      </c>
      <c r="G91" s="125">
        <f>D91-E91</f>
        <v>1016955905.0264961</v>
      </c>
      <c r="H91" s="125">
        <f ca="1">IFERROR(G91/C3,0)</f>
        <v>48426471.667928383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230094546.62842</v>
      </c>
      <c r="F94" s="43">
        <f t="shared" si="8"/>
        <v>0.12567627763544834</v>
      </c>
      <c r="G94" s="119">
        <f>SUM(G89:G93)</f>
        <v>1600756517.3715801</v>
      </c>
      <c r="H94" s="119">
        <f ca="1">IFERROR(G94/C3,0)</f>
        <v>76226500.8272181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179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181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2026-06-06T00:51:23Z</dcterms:modified>
  <dc:language>en-US</dc:language>
</cp:coreProperties>
</file>