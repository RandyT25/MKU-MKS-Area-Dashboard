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-105" yWindow="-105" windowWidth="19425" windowHeight="10305" tabRatio="500" firstSheet="1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9" l="1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84" i="9" l="1"/>
  <c r="D74" i="8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4" i="13" s="1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94" i="12" s="1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D54" i="10"/>
  <c r="F54" i="10" s="1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F52" i="9" s="1"/>
  <c r="E51" i="9"/>
  <c r="E65" i="9" s="1"/>
  <c r="D64" i="9"/>
  <c r="D63" i="9"/>
  <c r="D62" i="9"/>
  <c r="D61" i="9"/>
  <c r="D60" i="9"/>
  <c r="F60" i="9" s="1"/>
  <c r="D59" i="9"/>
  <c r="F59" i="9" s="1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F64" i="8" s="1"/>
  <c r="D63" i="8"/>
  <c r="F63" i="8" s="1"/>
  <c r="D62" i="8"/>
  <c r="F62" i="8" s="1"/>
  <c r="D61" i="8"/>
  <c r="D60" i="8"/>
  <c r="F60" i="8" s="1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G92" i="7" s="1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F64" i="14"/>
  <c r="F63" i="14"/>
  <c r="F62" i="14"/>
  <c r="F61" i="14"/>
  <c r="F60" i="14"/>
  <c r="H59" i="14"/>
  <c r="L59" i="14" s="1"/>
  <c r="G59" i="14"/>
  <c r="K59" i="14" s="1"/>
  <c r="F59" i="14"/>
  <c r="F57" i="14"/>
  <c r="F55" i="14"/>
  <c r="F54" i="14"/>
  <c r="H53" i="14"/>
  <c r="L53" i="14" s="1"/>
  <c r="G53" i="14"/>
  <c r="K53" i="14" s="1"/>
  <c r="F53" i="14"/>
  <c r="F52" i="14"/>
  <c r="F51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0" i="13"/>
  <c r="H59" i="13"/>
  <c r="L59" i="13" s="1"/>
  <c r="G59" i="13"/>
  <c r="F59" i="13"/>
  <c r="F58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1" i="12"/>
  <c r="H59" i="12"/>
  <c r="L59" i="12" s="1"/>
  <c r="G59" i="12"/>
  <c r="F59" i="12"/>
  <c r="F57" i="12"/>
  <c r="F56" i="12"/>
  <c r="F55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M15" i="12"/>
  <c r="G60" i="12" s="1"/>
  <c r="N14" i="12"/>
  <c r="H58" i="12" s="1"/>
  <c r="M14" i="12"/>
  <c r="G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5" i="11"/>
  <c r="F64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H59" i="10"/>
  <c r="L59" i="10" s="1"/>
  <c r="G59" i="10"/>
  <c r="F59" i="10"/>
  <c r="F58" i="10"/>
  <c r="F55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F64" i="9"/>
  <c r="F63" i="9"/>
  <c r="H59" i="9"/>
  <c r="G59" i="9"/>
  <c r="K59" i="9" s="1"/>
  <c r="F58" i="9"/>
  <c r="F56" i="9"/>
  <c r="F55" i="9"/>
  <c r="F54" i="9"/>
  <c r="H53" i="9"/>
  <c r="L53" i="9" s="1"/>
  <c r="G53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M8" i="9"/>
  <c r="G51" i="9" s="1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9" l="1"/>
  <c r="F90" i="7"/>
  <c r="K62" i="8"/>
  <c r="E65" i="11"/>
  <c r="D65" i="14"/>
  <c r="F61" i="7"/>
  <c r="F51" i="9"/>
  <c r="F65" i="9" s="1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E65" i="13"/>
  <c r="F54" i="12"/>
  <c r="F59" i="8"/>
  <c r="D94" i="8"/>
  <c r="L56" i="10"/>
  <c r="L60" i="12"/>
  <c r="L55" i="13"/>
  <c r="F63" i="13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F65" i="8" s="1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F65" i="12" s="1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J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H45" i="10" s="1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I52" i="12"/>
  <c r="K52" i="12"/>
  <c r="G65" i="12"/>
  <c r="E43" i="12" s="1"/>
  <c r="L51" i="8"/>
  <c r="I62" i="8"/>
  <c r="I58" i="9"/>
  <c r="J58" i="9" s="1"/>
  <c r="K61" i="10"/>
  <c r="I61" i="10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M61" i="9"/>
  <c r="N61" i="9" s="1"/>
  <c r="G89" i="9"/>
  <c r="K57" i="12"/>
  <c r="I57" i="12"/>
  <c r="F93" i="7"/>
  <c r="I58" i="8"/>
  <c r="J58" i="8" s="1"/>
  <c r="M56" i="9"/>
  <c r="N56" i="9" s="1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J63" i="11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46" i="9" s="1"/>
  <c r="E91" i="10"/>
  <c r="E94" i="10" s="1"/>
  <c r="F94" i="10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9" i="9" l="1"/>
  <c r="N59" i="9" s="1"/>
  <c r="J62" i="9"/>
  <c r="F44" i="10"/>
  <c r="M57" i="10"/>
  <c r="N57" i="10" s="1"/>
  <c r="J52" i="12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F46" i="9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12" l="1"/>
  <c r="J65" i="12" s="1"/>
  <c r="G70" i="3"/>
  <c r="H70" i="3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<sst xmlns="http://schemas.openxmlformats.org/spreadsheetml/2006/main" count="1878" uniqueCount="186">
  <si>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</si>
  <si>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</si>
  <si>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</si>
  <si>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</si>
  <si>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</si>
  <si>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</si>
  <si>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</si>
  <si>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</si>
  <si>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</si>
  <si>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</si>
  <si>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</si>
  <si>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</si>
  <si>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</si>
  <si>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</si>
  <si>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</si>
  <si>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</si>
  <si>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</si>
  <si>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</si>
  <si>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</si>
  <si>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</si>
  <si>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</si>
  <si>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</si>
  <si>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</si>
  <si>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</si>
  <si>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</si>
  <si>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</si>
  <si>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</si>
  <si>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</si>
  <si>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</si>
  <si>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</si>
  <si>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</si>
  <si>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</si>
  <si>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</si>
  <si>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</si>
  <si>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</si>
  <si>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</si>
  <si>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</si>
  <si>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</si>
  <si>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</si>
  <si>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</si>
  <si>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</si>
  <si>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</si>
  <si>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</si>
  <si>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</si>
  <si>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</si>
  <si>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</si>
  <si>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</si>
  <si>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</si>
  <si>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</si>
  <si>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</si>
  <si>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</si>
  <si>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</si>
  <si>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</si>
  <si>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</si>
  <si>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</si>
  <si>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</si>
  <si>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</si>
  <si>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</si>
  <si>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</si>
  <si>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</si>
  <si>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</si>
  <si>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</si>
  <si>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</si>
  <si>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</si>
  <si>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</si>
  <si>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</si>
  <si>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</si>
  <si>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</si>
  <si>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</si>
  <si>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</si>
  <si>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</si>
  <si>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</si>
  <si>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</si>
  <si>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</si>
  <si>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</si>
  <si>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</si>
  <si>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</si>
  <si>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</si>
  <si>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</si>
  <si>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</si>
  <si>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</si>
  <si>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</si>
  <si>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</si>
  <si>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</si>
  <si>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</si>
  <si>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</si>
  <si>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</si>
  <si>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</si>
  <si>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</si>
  <si>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</si>
  <si>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</si>
  <si>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</si>
  <si>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</si>
  <si>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</si>
  <si>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</si>
  <si>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</si>
  <si>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</si>
  <si>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</si>
  <si>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</si>
  <si>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</si>
  <si>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</si>
  <si>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</si>
  <si>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</si>
  <si>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</si>
  <si>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</si>
  <si>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</si>
  <si>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</si>
  <si>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</si>
  <si>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</si>
  <si>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</si>
  <si>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</si>
  <si>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</si>
  <si>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</si>
  <si>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</si>
  <si>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</si>
  <si>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</si>
  <si>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</si>
  <si>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</si>
  <si>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</si>
  <si>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</si>
  <si>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</si>
  <si>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</si>
  <si>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</si>
  <si>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</si>
  <si>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</si>
  <si>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</si>
  <si>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</si>
  <si>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</si>
  <si>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</si>
  <si>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</si>
  <si>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</si>
  <si>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</si>
  <si>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</si>
  <si>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</si>
  <si>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</si>
  <si>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</si>
  <si>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</si>
  <si>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</si>
  <si>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</si>
  <si>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</si>
  <si>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</si>
  <si>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</si>
  <si>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</si>
  <si>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</si>
  <si>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</si>
  <si>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</si>
  <si>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</si>
  <si>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</si>
  <si>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</si>
  <si>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</si>
  <si>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</si>
  <si>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</si>
  <si>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</si>
  <si>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</si>
  <si>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</si>
  <si>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</si>
  <si>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</si>
  <si>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</si>
  <si>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</si>
  <si>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</si>
  <si>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</si>
  <si>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</si>
  <si>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</si>
  <si>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</si>
  <si>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</si>
  <si>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</si>
  <si>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</si>
  <si>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</si>
  <si>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</si>
  <si>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</si>
  <si>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</si>
  <si>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</si>
  <si>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</si>
  <si>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</si>
  <si>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</si>
  <si>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</si>
  <si>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</si>
  <si>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</si>
  <si>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</si>
  <si>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</si>
  <si>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</si>
  <si>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</si>
  <si>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</si>
  <si>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</si>
  <si>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</si>
  <si>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DATA PENCAPAIAN — GLOBAL —  13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</si>
</sst>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8" width="9.5703125" customWidth="1"/>
    <col min="9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5703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17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9" t="s">
        <v>182</v>
      </c>
      <c r="C41" s="240"/>
      <c r="D41" s="241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37223181.188918054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32681607.630393576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6457206.7493948657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76361995.568706498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8937889.6074448992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7997037.3521923525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2582671.8941176464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-2373453.3815310071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7693786.9183250666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4746323.7914672736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-1477478.5687493857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6518495.7785464739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6094831.7747073527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4447761.6268988466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10425656.317992838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6963195.7742454624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2035628.4095879653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5312441.5240659043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69904788.819311693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-786057.52448661532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-1089969.5728166138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8333233.8466981016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6457206.7493948722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5703125" customWidth="1"/>
    <col min="4" max="4" width="17.42578125" customWidth="1"/>
    <col min="5" max="5" width="14.7109375" customWidth="1"/>
    <col min="6" max="6" width="14.5703125" customWidth="1"/>
    <col min="7" max="7" width="16.85546875" customWidth="1"/>
    <col min="8" max="8" width="12.5703125" bestFit="1" customWidth="1"/>
    <col min="9" max="9" width="14.28515625" bestFit="1" customWidth="1"/>
    <col min="10" max="10" width="10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17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164057036.23178601</v>
      </c>
      <c r="N8" s="11">
        <f>D24</f>
        <v>22816052.369982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245899669.137898</v>
      </c>
      <c r="N9" s="11">
        <f>D12+D13</f>
        <v>90201531.375606</v>
      </c>
    </row>
    <row r="10" spans="2:14" x14ac:dyDescent="0.25">
      <c r="B10" s="74" t="s">
        <v>113</v>
      </c>
      <c r="C10" s="206">
        <v>153748537.62764701</v>
      </c>
      <c r="D10" s="206">
        <v>16173197.919698</v>
      </c>
      <c r="E10" s="206">
        <v>66918781.799999997</v>
      </c>
      <c r="F10" s="206">
        <v>236840517.34734499</v>
      </c>
      <c r="H10" s="116"/>
      <c r="I10" s="116"/>
      <c r="J10" s="116"/>
      <c r="M10" s="11">
        <f>C14</f>
        <v>373221544.11683601</v>
      </c>
      <c r="N10" s="11">
        <f>D14</f>
        <v>4944927.9799870001</v>
      </c>
    </row>
    <row r="11" spans="2:14" x14ac:dyDescent="0.25">
      <c r="B11" s="74" t="s">
        <v>114</v>
      </c>
      <c r="C11" s="206">
        <v>140104398.70527101</v>
      </c>
      <c r="D11" s="206">
        <v>32688803.53788</v>
      </c>
      <c r="E11" s="206">
        <v>41988371.619999997</v>
      </c>
      <c r="F11" s="206">
        <v>214781573.86315101</v>
      </c>
      <c r="H11" s="116"/>
      <c r="I11" s="116"/>
      <c r="J11" s="116"/>
      <c r="M11" s="11">
        <f>C17</f>
        <v>189770271.219228</v>
      </c>
      <c r="N11" s="11">
        <f>D17</f>
        <v>20186105.800000001</v>
      </c>
    </row>
    <row r="12" spans="2:14" x14ac:dyDescent="0.25">
      <c r="B12" s="74" t="s">
        <v>70</v>
      </c>
      <c r="C12" s="206">
        <v>133119294.321468</v>
      </c>
      <c r="D12" s="206">
        <v>69104175.825736001</v>
      </c>
      <c r="E12" s="206">
        <v>19777468</v>
      </c>
      <c r="F12" s="206">
        <v>222000938.14720401</v>
      </c>
      <c r="H12" s="116"/>
      <c r="I12" s="116"/>
      <c r="J12" s="116"/>
      <c r="M12" s="11">
        <f>C16</f>
        <v>151036395.011498</v>
      </c>
      <c r="N12" s="11">
        <f>D16</f>
        <v>50467613.747371003</v>
      </c>
    </row>
    <row r="13" spans="2:14" x14ac:dyDescent="0.25">
      <c r="B13" s="74" t="s">
        <v>115</v>
      </c>
      <c r="C13" s="206">
        <v>112780374.81643</v>
      </c>
      <c r="D13" s="206">
        <v>21097355.549869999</v>
      </c>
      <c r="E13" s="206">
        <v>13655945.720000001</v>
      </c>
      <c r="F13" s="206">
        <v>147533676.08629999</v>
      </c>
      <c r="H13" s="116"/>
      <c r="I13" s="116"/>
      <c r="J13" s="116"/>
      <c r="M13" s="11">
        <f>C19</f>
        <v>621681477.90497899</v>
      </c>
      <c r="N13" s="11">
        <f>D19</f>
        <v>62784758.439654998</v>
      </c>
    </row>
    <row r="14" spans="2:14" x14ac:dyDescent="0.25">
      <c r="B14" s="74" t="s">
        <v>116</v>
      </c>
      <c r="C14" s="206">
        <v>373221544.11683601</v>
      </c>
      <c r="D14" s="206">
        <v>4944927.9799870001</v>
      </c>
      <c r="E14" s="206">
        <v>149721283.19999999</v>
      </c>
      <c r="F14" s="206">
        <v>527887755.29682302</v>
      </c>
      <c r="H14" s="116"/>
      <c r="I14" s="116"/>
      <c r="J14" s="116"/>
      <c r="M14" s="11">
        <f>C25</f>
        <v>194610241.90064001</v>
      </c>
      <c r="N14" s="11">
        <f>D25</f>
        <v>31048755.969946001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140104398.70527101</v>
      </c>
      <c r="N15" s="11">
        <f>D11</f>
        <v>32688803.53788</v>
      </c>
    </row>
    <row r="16" spans="2:14" x14ac:dyDescent="0.25">
      <c r="B16" s="74" t="s">
        <v>74</v>
      </c>
      <c r="C16" s="206">
        <v>151036395.011498</v>
      </c>
      <c r="D16" s="206">
        <v>50467613.747371003</v>
      </c>
      <c r="E16" s="206">
        <v>23893333.100000001</v>
      </c>
      <c r="F16" s="206">
        <v>225397341.85886899</v>
      </c>
      <c r="H16" s="116"/>
      <c r="I16" s="116"/>
      <c r="J16" s="116"/>
      <c r="M16" s="11">
        <f>C26</f>
        <v>243990930.39832601</v>
      </c>
      <c r="N16" s="11">
        <f>D26</f>
        <v>22205919.799991999</v>
      </c>
    </row>
    <row r="17" spans="2:14" x14ac:dyDescent="0.25">
      <c r="B17" s="74" t="s">
        <v>118</v>
      </c>
      <c r="C17" s="206">
        <v>189770271.219228</v>
      </c>
      <c r="D17" s="206">
        <v>20186105.800000001</v>
      </c>
      <c r="E17" s="206" t="s">
        <v>168</v>
      </c>
      <c r="F17" s="206">
        <v>209956377.01922801</v>
      </c>
      <c r="H17" s="116"/>
      <c r="I17" s="116"/>
      <c r="J17" s="116"/>
      <c r="M17" s="11">
        <f>C10</f>
        <v>153748537.62764701</v>
      </c>
      <c r="N17" s="11">
        <f>D10</f>
        <v>16173197.919698</v>
      </c>
    </row>
    <row r="18" spans="2:14" x14ac:dyDescent="0.25">
      <c r="B18" s="74" t="s">
        <v>119</v>
      </c>
      <c r="C18" s="206">
        <v>653499465.43382096</v>
      </c>
      <c r="D18" s="206">
        <v>3351063.3339979998</v>
      </c>
      <c r="E18" s="206">
        <v>3470270.24</v>
      </c>
      <c r="F18" s="206">
        <v>660320799.00781906</v>
      </c>
      <c r="H18" s="116"/>
      <c r="I18" s="116"/>
      <c r="J18" s="116"/>
      <c r="M18" s="11">
        <f>C27</f>
        <v>390912091.44749099</v>
      </c>
      <c r="N18" s="11">
        <f>D27</f>
        <v>91172517.719753996</v>
      </c>
    </row>
    <row r="19" spans="2:14" x14ac:dyDescent="0.25">
      <c r="B19" s="74" t="s">
        <v>121</v>
      </c>
      <c r="C19" s="206">
        <v>621681477.90497899</v>
      </c>
      <c r="D19" s="206">
        <v>62784758.439654998</v>
      </c>
      <c r="E19" s="206">
        <v>559275622.37997901</v>
      </c>
      <c r="F19" s="206">
        <v>1243741858.724613</v>
      </c>
      <c r="H19" s="116"/>
      <c r="I19" s="116"/>
      <c r="J19" s="116"/>
      <c r="M19" s="11">
        <f>C20+C21</f>
        <v>116721095.55628599</v>
      </c>
      <c r="N19" s="11">
        <f>D20+D21</f>
        <v>29963659.611789998</v>
      </c>
    </row>
    <row r="20" spans="2:14" x14ac:dyDescent="0.25">
      <c r="B20" s="74" t="s">
        <v>123</v>
      </c>
      <c r="C20" s="206">
        <v>93611936.856290996</v>
      </c>
      <c r="D20" s="206">
        <v>5596960.339989</v>
      </c>
      <c r="E20" s="206">
        <v>972973</v>
      </c>
      <c r="F20" s="206">
        <v>100181870.19628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6">
        <v>23109158.699995</v>
      </c>
      <c r="D21" s="206">
        <v>24366699.271800999</v>
      </c>
      <c r="E21" s="206">
        <v>13481081.380000001</v>
      </c>
      <c r="F21" s="206">
        <v>60956939.351796001</v>
      </c>
      <c r="H21" s="116"/>
      <c r="I21" s="116"/>
      <c r="J21" s="116"/>
      <c r="M21" s="14">
        <f>IFERROR(C34,0)+IFERROR(C35,0)+M20</f>
        <v>100529017.16275901</v>
      </c>
      <c r="N21" s="10" t="s">
        <v>122</v>
      </c>
    </row>
    <row r="22" spans="2:14" x14ac:dyDescent="0.25">
      <c r="B22" s="74" t="s">
        <v>172</v>
      </c>
      <c r="C22" s="206">
        <v>121521619.5</v>
      </c>
      <c r="D22" s="206" t="s">
        <v>168</v>
      </c>
      <c r="E22" s="206">
        <v>3783783.68</v>
      </c>
      <c r="F22" s="206">
        <v>125305403.18000001</v>
      </c>
      <c r="H22" s="116"/>
      <c r="I22" s="116"/>
      <c r="J22" s="116"/>
    </row>
    <row r="23" spans="2:14" x14ac:dyDescent="0.25">
      <c r="B23" s="74" t="s">
        <v>173</v>
      </c>
      <c r="C23" s="206">
        <v>157058366.74000001</v>
      </c>
      <c r="D23" s="206" t="s">
        <v>168</v>
      </c>
      <c r="E23" s="206">
        <v>5495495.3399999999</v>
      </c>
      <c r="F23" s="206">
        <v>162553862.08000001</v>
      </c>
      <c r="H23" s="116"/>
      <c r="I23" s="116"/>
      <c r="J23" s="116"/>
    </row>
    <row r="24" spans="2:14" x14ac:dyDescent="0.25">
      <c r="B24" s="74" t="s">
        <v>125</v>
      </c>
      <c r="C24" s="206">
        <v>164057036.23178601</v>
      </c>
      <c r="D24" s="206">
        <v>22816052.369982</v>
      </c>
      <c r="E24" s="206">
        <v>229942608.11995</v>
      </c>
      <c r="F24" s="206">
        <v>416815696.72171801</v>
      </c>
      <c r="H24" s="116"/>
      <c r="I24" s="116"/>
      <c r="J24" s="116"/>
    </row>
    <row r="25" spans="2:14" x14ac:dyDescent="0.25">
      <c r="B25" s="74" t="s">
        <v>126</v>
      </c>
      <c r="C25" s="206">
        <v>194610241.90064001</v>
      </c>
      <c r="D25" s="206">
        <v>31048755.969946001</v>
      </c>
      <c r="E25" s="206">
        <v>109730186.009737</v>
      </c>
      <c r="F25" s="206">
        <v>335389183.88032299</v>
      </c>
      <c r="H25" s="116"/>
      <c r="I25" s="116"/>
      <c r="J25" s="116"/>
    </row>
    <row r="26" spans="2:14" x14ac:dyDescent="0.25">
      <c r="B26" s="74" t="s">
        <v>127</v>
      </c>
      <c r="C26" s="206">
        <v>243990930.39832601</v>
      </c>
      <c r="D26" s="206">
        <v>22205919.799991999</v>
      </c>
      <c r="E26" s="206">
        <v>316961669.63966501</v>
      </c>
      <c r="F26" s="206">
        <v>583158519.83798301</v>
      </c>
      <c r="H26" s="116"/>
      <c r="I26" s="116"/>
      <c r="J26" s="116"/>
    </row>
    <row r="27" spans="2:14" x14ac:dyDescent="0.25">
      <c r="B27" s="74" t="s">
        <v>128</v>
      </c>
      <c r="C27" s="206">
        <v>390912091.44749099</v>
      </c>
      <c r="D27" s="206">
        <v>91172517.719753996</v>
      </c>
      <c r="E27" s="206">
        <v>4739892.0020000003</v>
      </c>
      <c r="F27" s="206">
        <v>486824501.169245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53528946.234638996</v>
      </c>
      <c r="G32" s="116"/>
      <c r="H32" s="116"/>
      <c r="I32" s="116"/>
    </row>
    <row r="33" spans="2:14" x14ac:dyDescent="0.25">
      <c r="B33" s="84" t="s">
        <v>133</v>
      </c>
      <c r="C33" s="206">
        <v>201446233.33853</v>
      </c>
      <c r="G33" s="116"/>
      <c r="H33" s="116"/>
      <c r="I33" s="116"/>
    </row>
    <row r="34" spans="2:14" x14ac:dyDescent="0.25">
      <c r="B34" s="84" t="s">
        <v>134</v>
      </c>
      <c r="C34" s="205">
        <v>44537576.609400004</v>
      </c>
      <c r="G34" s="116"/>
      <c r="H34" s="116"/>
      <c r="I34" s="116"/>
    </row>
    <row r="35" spans="2:14" x14ac:dyDescent="0.25">
      <c r="B35" s="84" t="s">
        <v>135</v>
      </c>
      <c r="C35" s="206">
        <v>55580440.553359002</v>
      </c>
      <c r="G35" s="116"/>
      <c r="H35" s="116"/>
      <c r="I35" s="116"/>
    </row>
    <row r="36" spans="2:14" x14ac:dyDescent="0.25">
      <c r="B36" s="84" t="s">
        <v>136</v>
      </c>
      <c r="C36" s="206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185</v>
      </c>
      <c r="C41" s="226"/>
      <c r="D41" s="227"/>
      <c r="E41" s="67" t="s">
        <v>138</v>
      </c>
      <c r="F41" s="73">
        <f ca="1">IF(MONTH(TODAY())=7,DAY(TODAY())/DAY(EOMONTH(TODAY(),0)),IF(MONTH(TODAY())&gt;7,1,0))</f>
        <v>0.41935483870967744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3264333675.4978857</v>
      </c>
      <c r="F43" s="44">
        <f>IFERROR(E43/D43,0)</f>
        <v>0.41071940453721129</v>
      </c>
      <c r="G43" s="118">
        <f>D43-E43</f>
        <v>4683510130.8498039</v>
      </c>
      <c r="H43" s="118">
        <f ca="1">IFERROR(G43/C3,0)</f>
        <v>275500595.9323414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474653844.27166104</v>
      </c>
      <c r="F44" s="44">
        <f>IFERROR(E44/D44,0)</f>
        <v>0.32012681945501853</v>
      </c>
      <c r="G44" s="118">
        <f>D44-E44</f>
        <v>1008051806.8190789</v>
      </c>
      <c r="H44" s="118">
        <f ca="1">IFERROR(G44/C3,0)</f>
        <v>59297165.107004642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355504196.735928</v>
      </c>
      <c r="F45" s="44">
        <f>IFERROR(E45/D45,0)</f>
        <v>0.19205399134009901</v>
      </c>
      <c r="G45" s="118">
        <f>D45-E45</f>
        <v>1495559633.0513062</v>
      </c>
      <c r="H45" s="118">
        <f ca="1">IFERROR(G45/C3,0)</f>
        <v>87974096.061841547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4094491716.5054746</v>
      </c>
      <c r="F46" s="43">
        <f>IFERROR(E46/D46,0)</f>
        <v>0.3629349466482536</v>
      </c>
      <c r="G46" s="119">
        <f>G43+G44+G45</f>
        <v>7187121570.7201881</v>
      </c>
      <c r="H46" s="119">
        <f ca="1">IFERROR(G46/C3,0)</f>
        <v>422771857.10118753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164057036.23178601</v>
      </c>
      <c r="H51" s="122">
        <f>N8</f>
        <v>22816052.369982</v>
      </c>
      <c r="I51" s="122">
        <f t="shared" ref="I51:I64" si="1">G51+H51</f>
        <v>186873088.60176802</v>
      </c>
      <c r="J51" s="61">
        <f t="shared" ref="J51:J64" si="2">IFERROR(I51/F51,0)</f>
        <v>0.32925357804707978</v>
      </c>
      <c r="K51" s="51">
        <f t="shared" ref="K51:M64" si="3">D51-G51</f>
        <v>327180140.89367741</v>
      </c>
      <c r="L51" s="51">
        <f t="shared" si="3"/>
        <v>53512625.703999445</v>
      </c>
      <c r="M51" s="51">
        <f t="shared" si="3"/>
        <v>380692766.59767687</v>
      </c>
      <c r="N51" s="51">
        <f ca="1">IFERROR(M51/C3,0)</f>
        <v>22393692.152804524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245899669.137898</v>
      </c>
      <c r="H52" s="122">
        <f>N9</f>
        <v>90201531.375606</v>
      </c>
      <c r="I52" s="122">
        <f t="shared" si="1"/>
        <v>336101200.51350403</v>
      </c>
      <c r="J52" s="61">
        <f t="shared" si="2"/>
        <v>0.40073005556330737</v>
      </c>
      <c r="K52" s="54">
        <f t="shared" si="3"/>
        <v>411557490.71385169</v>
      </c>
      <c r="L52" s="54">
        <f t="shared" si="3"/>
        <v>91063525.505416304</v>
      </c>
      <c r="M52" s="54">
        <f t="shared" si="3"/>
        <v>502621016.21926796</v>
      </c>
      <c r="N52" s="54">
        <f ca="1">IFERROR(M52/C3,0)</f>
        <v>29565942.130545173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C22</f>
        <v>121521619.5</v>
      </c>
      <c r="H53" s="122">
        <f>IF(D22="",0,D22)</f>
        <v>0</v>
      </c>
      <c r="I53" s="122">
        <f>G53+H53</f>
        <v>121521619.5</v>
      </c>
      <c r="J53" s="61">
        <f>IFERROR(I53/F53,0)</f>
        <v>0.48812572320049086</v>
      </c>
      <c r="K53" s="54">
        <f>D53-G53</f>
        <v>127433954.28787571</v>
      </c>
      <c r="L53" s="54">
        <f>E53-H53</f>
        <v>0</v>
      </c>
      <c r="M53" s="54">
        <f>F53-I53</f>
        <v>127433954.28787571</v>
      </c>
      <c r="N53" s="54">
        <f ca="1">IFERROR(M53/C3,0)</f>
        <v>7496114.9581103362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373221544.11683601</v>
      </c>
      <c r="H54" s="122">
        <f t="shared" ref="H54:H58" si="4">N10</f>
        <v>4944927.9799870001</v>
      </c>
      <c r="I54" s="122">
        <f t="shared" si="1"/>
        <v>378166472.09682304</v>
      </c>
      <c r="J54" s="61">
        <f t="shared" si="2"/>
        <v>0.48490953905405737</v>
      </c>
      <c r="K54" s="54">
        <f>D54-G54</f>
        <v>355165733.45706671</v>
      </c>
      <c r="L54" s="54">
        <f t="shared" si="3"/>
        <v>46537938.54460635</v>
      </c>
      <c r="M54" s="54">
        <f t="shared" si="3"/>
        <v>401703672.00167304</v>
      </c>
      <c r="N54" s="54">
        <f ca="1">IFERROR(M54/C3,0)</f>
        <v>23629627.764804296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189770271.219228</v>
      </c>
      <c r="H55" s="122">
        <f t="shared" si="4"/>
        <v>20186105.800000001</v>
      </c>
      <c r="I55" s="122">
        <f t="shared" si="1"/>
        <v>209956377.01922801</v>
      </c>
      <c r="J55" s="61">
        <f t="shared" si="2"/>
        <v>0.37994394951894928</v>
      </c>
      <c r="K55" s="54">
        <f t="shared" si="3"/>
        <v>292541907.25813735</v>
      </c>
      <c r="L55" s="54">
        <f t="shared" si="3"/>
        <v>50100006.299588963</v>
      </c>
      <c r="M55" s="54">
        <f t="shared" si="3"/>
        <v>342641913.55772638</v>
      </c>
      <c r="N55" s="54">
        <f ca="1">IFERROR(M55/C3,0)</f>
        <v>20155406.679866258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151036395.011498</v>
      </c>
      <c r="H56" s="122">
        <f t="shared" si="4"/>
        <v>50467613.747371003</v>
      </c>
      <c r="I56" s="122">
        <f t="shared" si="1"/>
        <v>201504008.75886899</v>
      </c>
      <c r="J56" s="61">
        <f t="shared" si="2"/>
        <v>0.3207925330531296</v>
      </c>
      <c r="K56" s="54">
        <f t="shared" si="3"/>
        <v>354155607.99158859</v>
      </c>
      <c r="L56" s="54">
        <f t="shared" si="3"/>
        <v>72484707.062391102</v>
      </c>
      <c r="M56" s="54">
        <f t="shared" si="3"/>
        <v>426640315.05397969</v>
      </c>
      <c r="N56" s="54">
        <f ca="1">IFERROR(M56/C3,0)</f>
        <v>25096489.120822337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621681477.90497899</v>
      </c>
      <c r="H57" s="122">
        <f t="shared" si="4"/>
        <v>62784758.439654998</v>
      </c>
      <c r="I57" s="122">
        <f t="shared" si="1"/>
        <v>684466236.34463394</v>
      </c>
      <c r="J57" s="61">
        <f t="shared" si="2"/>
        <v>0.58884772846831335</v>
      </c>
      <c r="K57" s="54">
        <f t="shared" si="3"/>
        <v>439563925.1437397</v>
      </c>
      <c r="L57" s="54">
        <f t="shared" si="3"/>
        <v>38352239.349003397</v>
      </c>
      <c r="M57" s="54">
        <f t="shared" si="3"/>
        <v>477916164.49274313</v>
      </c>
      <c r="N57" s="54">
        <f ca="1">IFERROR(M57/C3,0)</f>
        <v>28112715.558396656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194610241.90064001</v>
      </c>
      <c r="H58" s="122">
        <f t="shared" si="4"/>
        <v>31048755.969946001</v>
      </c>
      <c r="I58" s="122">
        <f>G58+H58</f>
        <v>225658997.87058601</v>
      </c>
      <c r="J58" s="61">
        <f>IFERROR(I58/F58,0)</f>
        <v>0.33792456550832262</v>
      </c>
      <c r="K58" s="54">
        <f t="shared" si="3"/>
        <v>368503928.83344877</v>
      </c>
      <c r="L58" s="54">
        <f t="shared" si="3"/>
        <v>73616278.785624489</v>
      </c>
      <c r="M58" s="54">
        <f t="shared" si="3"/>
        <v>442120207.61907327</v>
      </c>
      <c r="N58" s="54">
        <f ca="1">IFERROR(M58/C3,0)</f>
        <v>26007071.036416076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C23</f>
        <v>157058366.74000001</v>
      </c>
      <c r="H59" s="122">
        <f>IF(D23="",0,D23)</f>
        <v>0</v>
      </c>
      <c r="I59" s="122">
        <f>G59+H59</f>
        <v>157058366.74000001</v>
      </c>
      <c r="J59" s="61">
        <f>IFERROR(I59/F59,0)</f>
        <v>0.36538016698879311</v>
      </c>
      <c r="K59" s="54">
        <f>D59-G59</f>
        <v>272790817.56128496</v>
      </c>
      <c r="L59" s="54">
        <f>E59-H59</f>
        <v>0</v>
      </c>
      <c r="M59" s="54">
        <f>F59-I59</f>
        <v>272790817.56128496</v>
      </c>
      <c r="N59" s="54">
        <f ca="1">IFERROR(M59/C3,0)</f>
        <v>16046518.680075586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140104398.70527101</v>
      </c>
      <c r="H60" s="122">
        <f t="shared" ref="H60:H64" si="5">N15</f>
        <v>32688803.53788</v>
      </c>
      <c r="I60" s="122">
        <f t="shared" si="1"/>
        <v>172793202.24315101</v>
      </c>
      <c r="J60" s="61">
        <f t="shared" si="2"/>
        <v>0.27324071091988666</v>
      </c>
      <c r="K60" s="54">
        <f t="shared" si="3"/>
        <v>374616712.72157705</v>
      </c>
      <c r="L60" s="54">
        <f t="shared" si="3"/>
        <v>84974628.544286072</v>
      </c>
      <c r="M60" s="54">
        <f t="shared" si="3"/>
        <v>459591341.26586312</v>
      </c>
      <c r="N60" s="54">
        <f ca="1">IFERROR(M60/C3,0)</f>
        <v>27034784.780344889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243990930.39832601</v>
      </c>
      <c r="H61" s="122">
        <f t="shared" si="5"/>
        <v>22205919.799991999</v>
      </c>
      <c r="I61" s="122">
        <f t="shared" si="1"/>
        <v>266196850.198318</v>
      </c>
      <c r="J61" s="61">
        <f t="shared" si="2"/>
        <v>0.34580399468111933</v>
      </c>
      <c r="K61" s="54">
        <f t="shared" si="3"/>
        <v>454854245.84127498</v>
      </c>
      <c r="L61" s="54">
        <f t="shared" si="3"/>
        <v>48740040.826218829</v>
      </c>
      <c r="M61" s="54">
        <f t="shared" si="3"/>
        <v>503594286.66749382</v>
      </c>
      <c r="N61" s="54">
        <f ca="1">IFERROR(M61/C3,0)</f>
        <v>29623193.333381988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153748537.62764701</v>
      </c>
      <c r="H62" s="122">
        <f t="shared" si="5"/>
        <v>16173197.919698</v>
      </c>
      <c r="I62" s="122">
        <f t="shared" si="1"/>
        <v>169921735.54734501</v>
      </c>
      <c r="J62" s="61">
        <f t="shared" si="2"/>
        <v>0.32047305849331315</v>
      </c>
      <c r="K62" s="54">
        <f t="shared" si="3"/>
        <v>328121826.58971906</v>
      </c>
      <c r="L62" s="54">
        <f t="shared" si="3"/>
        <v>32178030.736367792</v>
      </c>
      <c r="M62" s="54">
        <f t="shared" si="3"/>
        <v>360299857.32608688</v>
      </c>
      <c r="N62" s="54">
        <f ca="1">IFERROR(M62/C3,0)</f>
        <v>21194109.254475698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390912091.44749099</v>
      </c>
      <c r="H63" s="122">
        <f t="shared" si="5"/>
        <v>91172517.719753996</v>
      </c>
      <c r="I63" s="122">
        <f t="shared" si="1"/>
        <v>482084609.16724497</v>
      </c>
      <c r="J63" s="61">
        <f t="shared" si="2"/>
        <v>0.46705825562082948</v>
      </c>
      <c r="K63" s="54">
        <f t="shared" si="3"/>
        <v>315142837.54530948</v>
      </c>
      <c r="L63" s="54">
        <f t="shared" si="3"/>
        <v>234944885.89388233</v>
      </c>
      <c r="M63" s="54">
        <f t="shared" si="3"/>
        <v>550087723.43919182</v>
      </c>
      <c r="N63" s="54">
        <f ca="1">IFERROR(M63/C3,0)</f>
        <v>32358101.378775988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116721095.55628599</v>
      </c>
      <c r="H64" s="122">
        <f t="shared" si="5"/>
        <v>29963659.611789998</v>
      </c>
      <c r="I64" s="122">
        <f t="shared" si="1"/>
        <v>146684755.16807598</v>
      </c>
      <c r="J64" s="61">
        <f t="shared" si="2"/>
        <v>0.24857076609180256</v>
      </c>
      <c r="K64" s="54">
        <f t="shared" si="3"/>
        <v>261881002.01125121</v>
      </c>
      <c r="L64" s="54">
        <f t="shared" si="3"/>
        <v>181546899.56769398</v>
      </c>
      <c r="M64" s="54">
        <f t="shared" si="3"/>
        <v>443427901.57894522</v>
      </c>
      <c r="N64" s="54">
        <f ca="1">IFERROR(M64/C3,0)</f>
        <v>26083994.210526191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3264333675.4978857</v>
      </c>
      <c r="H65" s="152">
        <f>SUM(H51:H64)</f>
        <v>474653844.27166104</v>
      </c>
      <c r="I65" s="152">
        <f>SUM(I51:I64)</f>
        <v>3738987519.769547</v>
      </c>
      <c r="J65" s="153">
        <f>IFERROR(I65/F65,0)</f>
        <v>0.39647610530480687</v>
      </c>
      <c r="K65" s="154">
        <f>SUM(K51:K64)</f>
        <v>4683510130.849803</v>
      </c>
      <c r="L65" s="154">
        <f>SUM(L51:L64)</f>
        <v>1008051806.8190789</v>
      </c>
      <c r="M65" s="154">
        <f>SUM(M51:M64)</f>
        <v>5691561937.6688814</v>
      </c>
      <c r="N65" s="154">
        <f ca="1">IFERROR(M65/C3,0)</f>
        <v>334797761.03934598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229942608.11995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IF(E12="",0,E12)+IF(E13="",0,E13)</f>
        <v>33433413.719999999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IF(E22="",0,E22)</f>
        <v>3783783.68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149721283.19999999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IF(E16="",0,E16)</f>
        <v>23893333.100000001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IF(E19="",0,E19)</f>
        <v>559275622.37997901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109730186.009737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IF(E23="",0,E23)</f>
        <v>5495495.3399999999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41988371.619999997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316961669.63966501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66918781.799999997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4739892.0020000003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IF(E20="",0,E20)+IF(E21="",0,E21)</f>
        <v>14454054.380000001</v>
      </c>
    </row>
    <row r="84" spans="2:9" ht="20.100000000000001" customHeight="1" x14ac:dyDescent="0.25">
      <c r="B84" s="57" t="s">
        <v>152</v>
      </c>
      <c r="C84" s="58"/>
      <c r="D84" s="129">
        <f>SUM(D70:D83)</f>
        <v>1560338494.9913311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53528946.234638996</v>
      </c>
      <c r="F89" s="61">
        <f t="shared" ref="F89:F94" si="7">IFERROR(E89/D89,0)</f>
        <v>0.18260730627976982</v>
      </c>
      <c r="G89" s="125">
        <f>D89-E89</f>
        <v>239607989.65897816</v>
      </c>
      <c r="H89" s="125">
        <f ca="1">IFERROR(G89/C3,0)</f>
        <v>14094587.626998715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201446233.33853</v>
      </c>
      <c r="F90" s="61">
        <f t="shared" si="7"/>
        <v>0.46156912306180287</v>
      </c>
      <c r="G90" s="126">
        <f>D90-E90</f>
        <v>234991611.55508715</v>
      </c>
      <c r="H90" s="126">
        <f ca="1">IFERROR(G90/C3,0)</f>
        <v>13823035.973828657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100529017.16275901</v>
      </c>
      <c r="F91" s="61">
        <f t="shared" si="7"/>
        <v>8.9638875432977147E-2</v>
      </c>
      <c r="G91" s="125">
        <f>D91-E91</f>
        <v>1020960031.8372409</v>
      </c>
      <c r="H91" s="125">
        <f ca="1">IFERROR(G91/C3,0)</f>
        <v>60056472.461014174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355504196.735928</v>
      </c>
      <c r="F94" s="43">
        <f t="shared" si="7"/>
        <v>0.19205399134009901</v>
      </c>
      <c r="G94" s="119">
        <f>SUM(G89:G93)</f>
        <v>1495559633.0513062</v>
      </c>
      <c r="H94" s="119">
        <f ca="1">IFERROR(G94/C3,0)</f>
        <v>87974096.061841547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2026-07-13T00:54:50Z</dcterms:modified>
  <dc:language>en-US</dc:language>
</cp:coreProperties>
</file>