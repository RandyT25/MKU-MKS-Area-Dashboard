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firstSheet="1" activeTab="7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4" i="8" l="1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D92" i="8"/>
  <c r="D91" i="8"/>
  <c r="D90" i="8"/>
  <c r="D94" i="8" s="1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F63" i="8" s="1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E93" i="8"/>
  <c r="E92" i="8"/>
  <c r="E90" i="8"/>
  <c r="E89" i="8"/>
  <c r="G89" i="8" s="1"/>
  <c r="F64" i="8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1" i="8" l="1"/>
  <c r="K57" i="8"/>
  <c r="K61" i="8"/>
  <c r="K59" i="8"/>
  <c r="G92" i="8"/>
  <c r="F58" i="8"/>
  <c r="F93" i="8"/>
  <c r="G90" i="8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N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H89" i="8"/>
  <c r="H93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F44" i="8" l="1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<sst xmlns="http://schemas.openxmlformats.org/spreadsheetml/2006/main" count="1875" uniqueCount="185">
  <si>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</si>
  <si>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</si>
  <si>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</si>
  <si>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</si>
  <si>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</si>
  <si>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</si>
  <si>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</si>
  <si>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</si>
  <si>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</si>
  <si>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</si>
  <si>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</si>
  <si>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</si>
  <si>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</si>
  <si>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</si>
  <si>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</si>
  <si>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</si>
  <si>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</si>
  <si>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</si>
  <si>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</si>
  <si>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</si>
  <si>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</si>
  <si>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</si>
  <si>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</si>
  <si>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</si>
  <si>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</si>
  <si>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</si>
  <si>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</si>
  <si>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</si>
  <si>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</si>
  <si>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</si>
  <si>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</si>
  <si>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</si>
  <si>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</si>
  <si>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</si>
  <si>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</si>
  <si>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</si>
  <si>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</si>
  <si>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</si>
  <si>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</si>
  <si>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</si>
  <si>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</si>
  <si>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</si>
  <si>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</si>
  <si>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</si>
  <si>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</si>
  <si>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</si>
  <si>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</si>
  <si>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</si>
  <si>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</si>
  <si>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</si>
  <si>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</si>
  <si>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</si>
  <si>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</si>
  <si>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</si>
  <si>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</si>
  <si>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</si>
  <si>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</si>
  <si>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</si>
  <si>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</si>
  <si>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</si>
  <si>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</si>
  <si>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</si>
  <si>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</si>
  <si>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</si>
  <si>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</si>
  <si>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</si>
  <si>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</si>
  <si>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</si>
  <si>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</si>
  <si>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</si>
  <si>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</si>
  <si>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</si>
  <si>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</si>
  <si>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</si>
  <si>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</si>
  <si>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</si>
  <si>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</si>
  <si>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</si>
  <si>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</si>
  <si>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</si>
  <si>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</si>
  <si>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</si>
  <si>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</si>
  <si>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</si>
  <si>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</si>
  <si>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</si>
  <si>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</si>
  <si>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</si>
  <si>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</si>
  <si>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</si>
  <si>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</si>
  <si>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</si>
  <si>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</si>
  <si>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</si>
  <si>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</si>
  <si>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</si>
  <si>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</si>
  <si>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</si>
  <si>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</si>
  <si>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</si>
  <si>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</si>
  <si>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</si>
  <si>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</si>
  <si>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</si>
  <si>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</si>
  <si>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</si>
  <si>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</si>
  <si>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</si>
  <si>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</si>
  <si>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</si>
  <si>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</si>
  <si>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</si>
  <si>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</si>
  <si>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</si>
  <si>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</si>
  <si>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</si>
  <si>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</si>
  <si>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</si>
  <si>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</si>
  <si>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</si>
  <si>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</si>
  <si>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</si>
  <si>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</si>
  <si>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</si>
  <si>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</si>
  <si>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</si>
  <si>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</si>
  <si>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</si>
  <si>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</si>
  <si>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</si>
  <si>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</si>
  <si>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</si>
  <si>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</si>
  <si>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</si>
  <si>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</si>
  <si>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</si>
  <si>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</si>
  <si>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</si>
  <si>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</si>
  <si>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</si>
  <si>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</si>
  <si>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</si>
  <si>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</si>
  <si>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</si>
  <si>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</si>
  <si>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</si>
  <si>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</si>
  <si>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</si>
  <si>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</si>
  <si>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</si>
  <si>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</si>
  <si>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</si>
  <si>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</si>
  <si>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</si>
  <si>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</si>
  <si>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</si>
  <si>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</si>
  <si>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</si>
  <si>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</si>
  <si>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</si>
  <si>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</si>
  <si>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</si>
  <si>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</si>
  <si>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</si>
  <si>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</si>
  <si>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</si>
  <si>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</si>
  <si>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</si>
  <si>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</si>
  <si>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</si>
  <si>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</si>
  <si>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</si>
  <si>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</si>
  <si>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</si>
  <si>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</si>
  <si>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</si>
  <si>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</si>
  <si>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</si>
  <si>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</si>
  <si>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</si>
  <si>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</si>
  <si>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</si>
  <si>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</si>
  <si>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</si>
  <si>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29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</si>
</sst>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50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164" fontId="0" fillId="0" borderId="0" xfId="0" applyNumberFormat="1"/>
    <xf numFmtId="41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8" t="s">
        <v>0</v>
      </c>
      <c r="C1" s="208"/>
    </row>
    <row r="3" spans="2:3" x14ac:dyDescent="0.25">
      <c r="B3" s="209" t="s">
        <v>1</v>
      </c>
      <c r="C3" s="209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10" t="s">
        <v>14</v>
      </c>
      <c r="C11" s="210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0" zoomScale="110" zoomScaleNormal="110" workbookViewId="0">
      <selection activeCell="I25" sqref="I2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2.85546875" bestFit="1" customWidth="1"/>
    <col min="10" max="11" width="11.28515625" bestFit="1" customWidth="1"/>
    <col min="12" max="13" width="11.140625" bestFit="1" customWidth="1"/>
    <col min="14" max="15" width="11.285156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9" t="s">
        <v>28</v>
      </c>
      <c r="C3" s="209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1" t="s">
        <v>102</v>
      </c>
      <c r="C29" s="211"/>
      <c r="D29" s="211"/>
      <c r="E29" s="211"/>
      <c r="F29" s="211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3" t="s">
        <v>146</v>
      </c>
      <c r="C44" s="214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5" t="s">
        <v>41</v>
      </c>
      <c r="C47" s="215" t="s">
        <v>42</v>
      </c>
      <c r="D47" s="216" t="s">
        <v>138</v>
      </c>
      <c r="E47" s="217"/>
      <c r="F47" s="218"/>
      <c r="G47" s="101" t="s">
        <v>139</v>
      </c>
      <c r="H47" s="101"/>
      <c r="I47" s="101"/>
      <c r="J47" s="215" t="s">
        <v>140</v>
      </c>
      <c r="K47" s="102" t="s">
        <v>148</v>
      </c>
      <c r="L47" s="102"/>
      <c r="M47" s="102"/>
      <c r="N47" s="212" t="s">
        <v>149</v>
      </c>
    </row>
    <row r="48" spans="2:14" ht="15.75" x14ac:dyDescent="0.25">
      <c r="B48" s="215"/>
      <c r="C48" s="215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5"/>
      <c r="K48" s="104" t="s">
        <v>143</v>
      </c>
      <c r="L48" s="104" t="s">
        <v>111</v>
      </c>
      <c r="M48" s="104" t="s">
        <v>146</v>
      </c>
      <c r="N48" s="21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3" t="s">
        <v>146</v>
      </c>
      <c r="C44" s="214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5" t="s">
        <v>41</v>
      </c>
      <c r="C47" s="215" t="s">
        <v>42</v>
      </c>
      <c r="D47" s="216" t="s">
        <v>138</v>
      </c>
      <c r="E47" s="217"/>
      <c r="F47" s="218"/>
      <c r="G47" s="101" t="s">
        <v>139</v>
      </c>
      <c r="H47" s="101"/>
      <c r="I47" s="101"/>
      <c r="J47" s="215" t="s">
        <v>140</v>
      </c>
      <c r="K47" s="102" t="s">
        <v>148</v>
      </c>
      <c r="L47" s="102"/>
      <c r="M47" s="102"/>
      <c r="N47" s="212" t="s">
        <v>149</v>
      </c>
    </row>
    <row r="48" spans="2:14" ht="15.75" x14ac:dyDescent="0.25">
      <c r="B48" s="215"/>
      <c r="C48" s="215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5"/>
      <c r="K48" s="104" t="s">
        <v>143</v>
      </c>
      <c r="L48" s="104" t="s">
        <v>111</v>
      </c>
      <c r="M48" s="104" t="s">
        <v>146</v>
      </c>
      <c r="N48" s="212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3" t="s">
        <v>146</v>
      </c>
      <c r="C44" s="224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5" t="s">
        <v>41</v>
      </c>
      <c r="C47" s="225" t="s">
        <v>42</v>
      </c>
      <c r="D47" s="220" t="s">
        <v>138</v>
      </c>
      <c r="E47" s="221"/>
      <c r="F47" s="222"/>
      <c r="G47" s="70" t="s">
        <v>139</v>
      </c>
      <c r="H47" s="70"/>
      <c r="I47" s="70"/>
      <c r="J47" s="225" t="s">
        <v>140</v>
      </c>
      <c r="K47" s="35" t="s">
        <v>148</v>
      </c>
      <c r="L47" s="35"/>
      <c r="M47" s="35"/>
      <c r="N47" s="219" t="s">
        <v>149</v>
      </c>
    </row>
    <row r="48" spans="2:17" ht="15.75" x14ac:dyDescent="0.25">
      <c r="B48" s="225"/>
      <c r="C48" s="225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5"/>
      <c r="K48" s="34" t="s">
        <v>143</v>
      </c>
      <c r="L48" s="34" t="s">
        <v>111</v>
      </c>
      <c r="M48" s="34" t="s">
        <v>146</v>
      </c>
      <c r="N48" s="219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6" t="s">
        <v>182</v>
      </c>
      <c r="C41" s="227"/>
      <c r="D41" s="228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3" t="s">
        <v>146</v>
      </c>
      <c r="C46" s="224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37"/>
      <c r="L48" s="238"/>
      <c r="M48" s="238"/>
      <c r="N48" s="239"/>
    </row>
    <row r="49" spans="2:14" s="158" customFormat="1" ht="20.100000000000001" customHeight="1" x14ac:dyDescent="0.25">
      <c r="B49" s="236" t="s">
        <v>41</v>
      </c>
      <c r="C49" s="236" t="s">
        <v>42</v>
      </c>
      <c r="D49" s="233" t="s">
        <v>138</v>
      </c>
      <c r="E49" s="234"/>
      <c r="F49" s="235"/>
      <c r="G49" s="159" t="s">
        <v>139</v>
      </c>
      <c r="H49" s="159"/>
      <c r="I49" s="159"/>
      <c r="J49" s="236" t="s">
        <v>140</v>
      </c>
      <c r="K49" s="160" t="s">
        <v>148</v>
      </c>
      <c r="L49" s="160"/>
      <c r="M49" s="160"/>
      <c r="N49" s="229" t="s">
        <v>149</v>
      </c>
    </row>
    <row r="50" spans="2:14" s="158" customFormat="1" ht="20.100000000000001" customHeight="1" x14ac:dyDescent="0.25">
      <c r="B50" s="236"/>
      <c r="C50" s="236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6"/>
      <c r="K50" s="163" t="s">
        <v>143</v>
      </c>
      <c r="L50" s="163" t="s">
        <v>111</v>
      </c>
      <c r="M50" s="163" t="s">
        <v>146</v>
      </c>
      <c r="N50" s="229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5" t="s">
        <v>41</v>
      </c>
      <c r="C68" s="225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5"/>
      <c r="C69" s="225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30" t="s">
        <v>145</v>
      </c>
      <c r="C87" s="231"/>
      <c r="D87" s="231"/>
      <c r="E87" s="231"/>
      <c r="F87" s="232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4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2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205">
        <v>297882183.23181498</v>
      </c>
      <c r="D10" s="205">
        <v>34050666.405826002</v>
      </c>
      <c r="E10" s="205">
        <v>162788612.639999</v>
      </c>
      <c r="F10" s="20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205">
        <v>374466810.62618703</v>
      </c>
      <c r="D11" s="205">
        <v>92402940.934527993</v>
      </c>
      <c r="E11" s="205">
        <v>40868468.799999997</v>
      </c>
      <c r="F11" s="20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205">
        <v>278227678.91783297</v>
      </c>
      <c r="D12" s="205">
        <v>62708999.627249002</v>
      </c>
      <c r="E12" s="205">
        <v>52162025.759999998</v>
      </c>
      <c r="F12" s="20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205">
        <v>236645733.92783001</v>
      </c>
      <c r="D13" s="205">
        <v>33197107.539818</v>
      </c>
      <c r="E13" s="205">
        <v>41510945.439999998</v>
      </c>
      <c r="F13" s="20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205">
        <v>670664362.43227303</v>
      </c>
      <c r="D14" s="205">
        <v>27278643.871089</v>
      </c>
      <c r="E14" s="205">
        <v>260324322.93000001</v>
      </c>
      <c r="F14" s="20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205">
        <v>413013469.09840298</v>
      </c>
      <c r="D16" s="205">
        <v>61457252.569306999</v>
      </c>
      <c r="E16" s="205">
        <v>14439639.5</v>
      </c>
      <c r="F16" s="20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205">
        <v>314350697.279998</v>
      </c>
      <c r="D17" s="205">
        <v>42787524.299999997</v>
      </c>
      <c r="E17" s="205" t="s">
        <v>168</v>
      </c>
      <c r="F17" s="20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205">
        <v>976940398.98976696</v>
      </c>
      <c r="D18" s="205">
        <v>11562280.951971</v>
      </c>
      <c r="E18" s="205">
        <v>11405405.380000001</v>
      </c>
      <c r="F18" s="20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205">
        <v>1005613301.6380841</v>
      </c>
      <c r="D19" s="205">
        <v>73190755.369811997</v>
      </c>
      <c r="E19" s="205">
        <v>709237967.049927</v>
      </c>
      <c r="F19" s="20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205">
        <v>234281528.32828599</v>
      </c>
      <c r="D20" s="205">
        <v>28741885.549775999</v>
      </c>
      <c r="E20" s="205">
        <v>3816216.3</v>
      </c>
      <c r="F20" s="20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205">
        <v>64055094</v>
      </c>
      <c r="D21" s="205">
        <v>100105707.120704</v>
      </c>
      <c r="E21" s="205">
        <v>79070271.780000001</v>
      </c>
      <c r="F21" s="20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205">
        <v>197567845.80000001</v>
      </c>
      <c r="D22" s="205" t="s">
        <v>168</v>
      </c>
      <c r="E22" s="205">
        <v>12832432.08</v>
      </c>
      <c r="F22" s="205">
        <v>210400277.88</v>
      </c>
      <c r="H22" s="116"/>
      <c r="I22" s="116"/>
      <c r="J22" s="116"/>
    </row>
    <row r="23" spans="2:14" x14ac:dyDescent="0.25">
      <c r="B23" s="74" t="s">
        <v>173</v>
      </c>
      <c r="C23" s="205">
        <v>300521523.82997501</v>
      </c>
      <c r="D23" s="205" t="s">
        <v>168</v>
      </c>
      <c r="E23" s="205">
        <v>13813693.32</v>
      </c>
      <c r="F23" s="205">
        <v>314335217.149975</v>
      </c>
      <c r="H23" s="116"/>
      <c r="I23" s="116"/>
      <c r="J23" s="116"/>
    </row>
    <row r="24" spans="2:14" x14ac:dyDescent="0.25">
      <c r="B24" s="74" t="s">
        <v>125</v>
      </c>
      <c r="C24" s="205">
        <v>288424016.78064901</v>
      </c>
      <c r="D24" s="205">
        <v>44585739.113441996</v>
      </c>
      <c r="E24" s="205">
        <v>126214286.45999999</v>
      </c>
      <c r="F24" s="205">
        <v>459224042.35409099</v>
      </c>
      <c r="H24" s="116"/>
      <c r="I24" s="116"/>
      <c r="J24" s="116"/>
    </row>
    <row r="25" spans="2:14" x14ac:dyDescent="0.25">
      <c r="B25" s="74" t="s">
        <v>126</v>
      </c>
      <c r="C25" s="205">
        <v>389875776.90495598</v>
      </c>
      <c r="D25" s="205">
        <v>68378257.859753996</v>
      </c>
      <c r="E25" s="205">
        <v>247976756.949745</v>
      </c>
      <c r="F25" s="205">
        <v>706230791.71445501</v>
      </c>
      <c r="H25" s="116"/>
      <c r="I25" s="116"/>
      <c r="J25" s="116"/>
    </row>
    <row r="26" spans="2:14" x14ac:dyDescent="0.25">
      <c r="B26" s="74" t="s">
        <v>127</v>
      </c>
      <c r="C26" s="205">
        <v>454249976.114806</v>
      </c>
      <c r="D26" s="205">
        <v>58885063.089941002</v>
      </c>
      <c r="E26" s="205">
        <v>469103962.04973102</v>
      </c>
      <c r="F26" s="205">
        <v>982239001.25447798</v>
      </c>
      <c r="H26" s="116"/>
      <c r="I26" s="116"/>
      <c r="J26" s="116"/>
    </row>
    <row r="27" spans="2:14" x14ac:dyDescent="0.25">
      <c r="B27" s="74" t="s">
        <v>128</v>
      </c>
      <c r="C27" s="205">
        <v>686645252.87729704</v>
      </c>
      <c r="D27" s="205">
        <v>191906951.15242499</v>
      </c>
      <c r="E27" s="205">
        <v>19182702.936000001</v>
      </c>
      <c r="F27" s="20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291427595.82048202</v>
      </c>
      <c r="G32" s="116"/>
      <c r="H32" s="116"/>
      <c r="I32" s="116"/>
    </row>
    <row r="33" spans="2:14" x14ac:dyDescent="0.25">
      <c r="B33" s="84" t="s">
        <v>133</v>
      </c>
      <c r="C33" s="205">
        <v>436148035.92440403</v>
      </c>
      <c r="G33" s="116"/>
      <c r="H33" s="116"/>
      <c r="I33" s="116"/>
    </row>
    <row r="34" spans="2:14" x14ac:dyDescent="0.25">
      <c r="B34" s="84" t="s">
        <v>134</v>
      </c>
      <c r="C34" s="205">
        <v>135628039.89320499</v>
      </c>
      <c r="G34" s="116"/>
      <c r="H34" s="116"/>
      <c r="I34" s="116"/>
    </row>
    <row r="35" spans="2:14" x14ac:dyDescent="0.25">
      <c r="B35" s="84" t="s">
        <v>135</v>
      </c>
      <c r="C35" s="205">
        <v>513829145.026452</v>
      </c>
      <c r="G35" s="116"/>
      <c r="H35" s="116"/>
      <c r="I35" s="116"/>
    </row>
    <row r="36" spans="2:14" x14ac:dyDescent="0.25">
      <c r="B36" s="84" t="s">
        <v>136</v>
      </c>
      <c r="C36" s="20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7" t="s">
        <v>183</v>
      </c>
      <c r="C41" s="248"/>
      <c r="D41" s="249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316397040.10580349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277793664.85834539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54886257.369856358</v>
      </c>
      <c r="I45" s="116"/>
    </row>
    <row r="46" spans="2:14" ht="18.75" customHeight="1" x14ac:dyDescent="0.25">
      <c r="B46" s="223" t="s">
        <v>146</v>
      </c>
      <c r="C46" s="224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649076962.33400524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3"/>
      <c r="L48" s="244"/>
      <c r="M48" s="244"/>
      <c r="N48" s="245"/>
    </row>
    <row r="49" spans="2:14" ht="20.100000000000001" customHeight="1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6" t="s">
        <v>149</v>
      </c>
    </row>
    <row r="50" spans="2:14" ht="22.5" customHeight="1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6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75972061.663281649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67974817.493634999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21952711.099999994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-20174353.743013561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65397188.805763066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40343752.227471828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-12558567.834369779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55407214.117645025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51806070.085012496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37805973.828640193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88618078.702939123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59187164.081086427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17302841.481497705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45155752.95456019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594190704.96414936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5" t="s">
        <v>41</v>
      </c>
      <c r="C68" s="225" t="s">
        <v>42</v>
      </c>
      <c r="D68" s="134" t="s">
        <v>139</v>
      </c>
    </row>
    <row r="69" spans="2:14" ht="18" customHeight="1" x14ac:dyDescent="0.25">
      <c r="B69" s="225"/>
      <c r="C69" s="225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0" t="s">
        <v>145</v>
      </c>
      <c r="C87" s="241"/>
      <c r="D87" s="241"/>
      <c r="E87" s="241"/>
      <c r="F87" s="242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-6681488.9581362307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-9264741.3689412177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70832487.696933866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54886257.369856417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7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2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314464563.64290702</v>
      </c>
      <c r="N8" s="11">
        <f>D24</f>
        <v>54527952.623471998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539289858.77096295</v>
      </c>
      <c r="N9" s="11">
        <f>D12+D13</f>
        <v>129784616.66623899</v>
      </c>
    </row>
    <row r="10" spans="2:14" x14ac:dyDescent="0.25">
      <c r="B10" s="74" t="s">
        <v>113</v>
      </c>
      <c r="C10" s="205">
        <v>305145633.79370898</v>
      </c>
      <c r="D10" s="205">
        <v>34369341.943994999</v>
      </c>
      <c r="E10" s="205">
        <v>150004401.21000001</v>
      </c>
      <c r="F10" s="205">
        <v>489519376.94770402</v>
      </c>
      <c r="H10" s="116"/>
      <c r="I10" s="116"/>
      <c r="J10" s="116"/>
      <c r="M10" s="11">
        <f>C14</f>
        <v>952550276.47129405</v>
      </c>
      <c r="N10" s="11">
        <f>D14</f>
        <v>24359117.545101002</v>
      </c>
    </row>
    <row r="11" spans="2:14" x14ac:dyDescent="0.25">
      <c r="B11" s="74" t="s">
        <v>114</v>
      </c>
      <c r="C11" s="205">
        <v>334432576.36944002</v>
      </c>
      <c r="D11" s="205">
        <v>81843497.900104001</v>
      </c>
      <c r="E11" s="205">
        <v>3184684.68</v>
      </c>
      <c r="F11" s="205">
        <v>419460758.94954401</v>
      </c>
      <c r="H11" s="116"/>
      <c r="I11" s="116"/>
      <c r="J11" s="116"/>
      <c r="M11" s="11">
        <f>C17</f>
        <v>344289891.47900599</v>
      </c>
      <c r="N11" s="11">
        <f>D17</f>
        <v>50693884.710000001</v>
      </c>
    </row>
    <row r="12" spans="2:14" x14ac:dyDescent="0.25">
      <c r="B12" s="74" t="s">
        <v>70</v>
      </c>
      <c r="C12" s="205">
        <v>301139434.99221802</v>
      </c>
      <c r="D12" s="205">
        <v>78169315.436425999</v>
      </c>
      <c r="E12" s="205">
        <v>52248480.840000004</v>
      </c>
      <c r="F12" s="205">
        <v>431557231.26864398</v>
      </c>
      <c r="H12" s="116"/>
      <c r="I12" s="116"/>
      <c r="J12" s="116"/>
      <c r="M12" s="11">
        <f>C16</f>
        <v>507865455.227467</v>
      </c>
      <c r="N12" s="11">
        <f>D16</f>
        <v>87700399.032780007</v>
      </c>
    </row>
    <row r="13" spans="2:14" x14ac:dyDescent="0.25">
      <c r="B13" s="74" t="s">
        <v>115</v>
      </c>
      <c r="C13" s="205">
        <v>238150423.778745</v>
      </c>
      <c r="D13" s="205">
        <v>51615301.229813002</v>
      </c>
      <c r="E13" s="205">
        <v>31661508.559999999</v>
      </c>
      <c r="F13" s="205">
        <v>321427233.56855798</v>
      </c>
      <c r="H13" s="116"/>
      <c r="I13" s="116"/>
      <c r="J13" s="116"/>
      <c r="M13" s="11">
        <f>C19</f>
        <v>950150884.01525795</v>
      </c>
      <c r="N13" s="11">
        <f>D19</f>
        <v>72945098.289833993</v>
      </c>
    </row>
    <row r="14" spans="2:14" x14ac:dyDescent="0.25">
      <c r="B14" s="74" t="s">
        <v>116</v>
      </c>
      <c r="C14" s="205">
        <v>952550276.47129405</v>
      </c>
      <c r="D14" s="205">
        <v>24359117.545101002</v>
      </c>
      <c r="E14" s="205">
        <v>255942486.59</v>
      </c>
      <c r="F14" s="205">
        <v>1232851880.606395</v>
      </c>
      <c r="H14" s="116"/>
      <c r="I14" s="116"/>
      <c r="J14" s="116"/>
      <c r="M14" s="11">
        <f>C25</f>
        <v>428386511.85815603</v>
      </c>
      <c r="N14" s="11">
        <f>D25</f>
        <v>70966633.229874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334432576.36944002</v>
      </c>
      <c r="N15" s="11">
        <f>D11</f>
        <v>81843497.900104001</v>
      </c>
    </row>
    <row r="16" spans="2:14" x14ac:dyDescent="0.25">
      <c r="B16" s="74" t="s">
        <v>74</v>
      </c>
      <c r="C16" s="205">
        <v>507865455.227467</v>
      </c>
      <c r="D16" s="205">
        <v>87700399.032780007</v>
      </c>
      <c r="E16" s="205">
        <v>31767414.07</v>
      </c>
      <c r="F16" s="205">
        <v>627333268.33024704</v>
      </c>
      <c r="H16" s="116"/>
      <c r="I16" s="116"/>
      <c r="J16" s="116"/>
      <c r="M16" s="11">
        <f>C26</f>
        <v>495799375.38565201</v>
      </c>
      <c r="N16" s="11">
        <f>D26</f>
        <v>48541692.915432997</v>
      </c>
    </row>
    <row r="17" spans="2:14" x14ac:dyDescent="0.25">
      <c r="B17" s="74" t="s">
        <v>118</v>
      </c>
      <c r="C17" s="205">
        <v>344289891.47900599</v>
      </c>
      <c r="D17" s="205">
        <v>50693884.710000001</v>
      </c>
      <c r="E17" s="205" t="s">
        <v>168</v>
      </c>
      <c r="F17" s="205">
        <v>394983776.18900597</v>
      </c>
      <c r="H17" s="116"/>
      <c r="I17" s="116"/>
      <c r="J17" s="116"/>
      <c r="M17" s="11">
        <f>C10</f>
        <v>305145633.79370898</v>
      </c>
      <c r="N17" s="11">
        <f>D10</f>
        <v>34369341.943994999</v>
      </c>
    </row>
    <row r="18" spans="2:14" x14ac:dyDescent="0.25">
      <c r="B18" s="74" t="s">
        <v>119</v>
      </c>
      <c r="C18" s="205">
        <v>469756661.567985</v>
      </c>
      <c r="D18" s="205">
        <v>7135511.989968</v>
      </c>
      <c r="E18" s="205">
        <v>10397891.779999999</v>
      </c>
      <c r="F18" s="205">
        <v>487290065.33795297</v>
      </c>
      <c r="H18" s="116"/>
      <c r="I18" s="116"/>
      <c r="J18" s="116"/>
      <c r="M18" s="11">
        <f>C27</f>
        <v>758764234.07459402</v>
      </c>
      <c r="N18" s="11">
        <f>D27</f>
        <v>225366001.69207501</v>
      </c>
    </row>
    <row r="19" spans="2:14" x14ac:dyDescent="0.25">
      <c r="B19" s="74" t="s">
        <v>121</v>
      </c>
      <c r="C19" s="205">
        <v>950150884.01525795</v>
      </c>
      <c r="D19" s="205">
        <v>72945098.289833993</v>
      </c>
      <c r="E19" s="205">
        <v>1206933551.7499499</v>
      </c>
      <c r="F19" s="205">
        <v>2230029534.0550418</v>
      </c>
      <c r="H19" s="116"/>
      <c r="I19" s="116"/>
      <c r="J19" s="116"/>
      <c r="M19" s="11">
        <f>C20+C21</f>
        <v>174186816.50234002</v>
      </c>
      <c r="N19" s="11">
        <f>D20+D21</f>
        <v>133030524.166824</v>
      </c>
    </row>
    <row r="20" spans="2:14" x14ac:dyDescent="0.25">
      <c r="B20" s="74" t="s">
        <v>123</v>
      </c>
      <c r="C20" s="205">
        <v>120802506.00234</v>
      </c>
      <c r="D20" s="205">
        <v>22547772.839754</v>
      </c>
      <c r="E20" s="205">
        <v>10497297.48</v>
      </c>
      <c r="F20" s="205">
        <v>153847576.32209399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205">
        <v>53384310.5</v>
      </c>
      <c r="D21" s="205">
        <v>110482751.32707</v>
      </c>
      <c r="E21" s="205">
        <v>80108109.620000005</v>
      </c>
      <c r="F21" s="205">
        <v>243975171.44707</v>
      </c>
      <c r="H21" s="116"/>
      <c r="I21" s="116"/>
      <c r="J21" s="116"/>
      <c r="M21" s="14">
        <f>IFERROR(C34,0)+IFERROR(C35,0)+M20</f>
        <v>1137168700.515739</v>
      </c>
      <c r="N21" s="10" t="s">
        <v>122</v>
      </c>
    </row>
    <row r="22" spans="2:14" x14ac:dyDescent="0.25">
      <c r="B22" s="74" t="s">
        <v>172</v>
      </c>
      <c r="C22" s="205">
        <v>167671841.09999999</v>
      </c>
      <c r="D22" s="205" t="s">
        <v>168</v>
      </c>
      <c r="E22" s="205">
        <v>9369369.1199999992</v>
      </c>
      <c r="F22" s="205">
        <v>177041210.22</v>
      </c>
      <c r="H22" s="116"/>
      <c r="I22" s="116"/>
      <c r="J22" s="116"/>
    </row>
    <row r="23" spans="2:14" x14ac:dyDescent="0.25">
      <c r="B23" s="74" t="s">
        <v>173</v>
      </c>
      <c r="C23" s="205">
        <v>388937679.18000001</v>
      </c>
      <c r="D23" s="205" t="s">
        <v>168</v>
      </c>
      <c r="E23" s="205">
        <v>12870720.380000001</v>
      </c>
      <c r="F23" s="205">
        <v>401808399.56</v>
      </c>
      <c r="H23" s="116"/>
      <c r="I23" s="116"/>
      <c r="J23" s="116"/>
    </row>
    <row r="24" spans="2:14" x14ac:dyDescent="0.25">
      <c r="B24" s="74" t="s">
        <v>125</v>
      </c>
      <c r="C24" s="205">
        <v>314464563.64290702</v>
      </c>
      <c r="D24" s="205">
        <v>54527952.623471998</v>
      </c>
      <c r="E24" s="205">
        <v>366957716.21986997</v>
      </c>
      <c r="F24" s="205">
        <v>735950232.48624897</v>
      </c>
      <c r="H24" s="116"/>
      <c r="I24" s="116"/>
      <c r="J24" s="116"/>
    </row>
    <row r="25" spans="2:14" x14ac:dyDescent="0.25">
      <c r="B25" s="74" t="s">
        <v>126</v>
      </c>
      <c r="C25" s="205">
        <v>428386511.85815603</v>
      </c>
      <c r="D25" s="205">
        <v>70966633.229874</v>
      </c>
      <c r="E25" s="205">
        <v>272870485.819354</v>
      </c>
      <c r="F25" s="205">
        <v>772223630.90738404</v>
      </c>
      <c r="H25" s="116"/>
      <c r="I25" s="116"/>
      <c r="J25" s="116"/>
    </row>
    <row r="26" spans="2:14" x14ac:dyDescent="0.25">
      <c r="B26" s="74" t="s">
        <v>127</v>
      </c>
      <c r="C26" s="205">
        <v>495799375.38565201</v>
      </c>
      <c r="D26" s="205">
        <v>48541692.915432997</v>
      </c>
      <c r="E26" s="205">
        <v>560811358.64941502</v>
      </c>
      <c r="F26" s="205">
        <v>1105152426.9505</v>
      </c>
      <c r="H26" s="116"/>
      <c r="I26" s="116"/>
      <c r="J26" s="116"/>
    </row>
    <row r="27" spans="2:14" x14ac:dyDescent="0.25">
      <c r="B27" s="74" t="s">
        <v>128</v>
      </c>
      <c r="C27" s="205">
        <v>758764234.07459402</v>
      </c>
      <c r="D27" s="205">
        <v>225366001.69207501</v>
      </c>
      <c r="E27" s="205">
        <v>15391027.368000001</v>
      </c>
      <c r="F27" s="205">
        <v>999521263.13466895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181126497.71479499</v>
      </c>
      <c r="G32" s="116"/>
      <c r="H32" s="116"/>
      <c r="I32" s="116"/>
    </row>
    <row r="33" spans="2:14" x14ac:dyDescent="0.25">
      <c r="B33" s="84" t="s">
        <v>133</v>
      </c>
      <c r="C33" s="206">
        <v>326116378.85758996</v>
      </c>
      <c r="G33" s="116"/>
      <c r="H33" s="116"/>
      <c r="I33" s="116"/>
    </row>
    <row r="34" spans="2:14" x14ac:dyDescent="0.25">
      <c r="B34" s="84" t="s">
        <v>134</v>
      </c>
      <c r="C34" s="205">
        <v>161002165.86935601</v>
      </c>
      <c r="G34" s="116"/>
      <c r="H34" s="116"/>
      <c r="I34" s="116"/>
    </row>
    <row r="35" spans="2:14" x14ac:dyDescent="0.25">
      <c r="B35" s="84" t="s">
        <v>135</v>
      </c>
      <c r="C35" s="205">
        <v>666521284.65138304</v>
      </c>
      <c r="G35" s="116"/>
      <c r="H35" s="116"/>
      <c r="I35" s="116"/>
    </row>
    <row r="36" spans="2:14" x14ac:dyDescent="0.25">
      <c r="B36" s="84" t="s">
        <v>136</v>
      </c>
      <c r="C36" s="205">
        <v>309645249.995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6" t="s">
        <v>184</v>
      </c>
      <c r="C41" s="227"/>
      <c r="D41" s="228"/>
      <c r="E41" s="67" t="s">
        <v>138</v>
      </c>
      <c r="F41" s="73">
        <f ca="1">IF(MONTH(TODAY())=6,DAY(TODAY())/DAY(EOMONTH(TODAY(),0)),IF(MONTH(TODAY())&gt;6,1,0))</f>
        <v>0.96666666666666667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6661935597.8707867</v>
      </c>
      <c r="F43" s="44">
        <f>IFERROR(E43/D43,0)</f>
        <v>0.91771308048499634</v>
      </c>
      <c r="G43" s="118">
        <f>D43-E43</f>
        <v>597343734.12921333</v>
      </c>
      <c r="H43" s="118">
        <f ca="1">IFERROR(G43/C3,0)</f>
        <v>298671867.06460667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1014128760.7157311</v>
      </c>
      <c r="F44" s="44">
        <f>IFERROR(E44/D44,0)</f>
        <v>0.56047016463682742</v>
      </c>
      <c r="G44" s="118">
        <f>D44-E44</f>
        <v>795296298.28426886</v>
      </c>
      <c r="H44" s="118">
        <f ca="1">IFERROR(G44/C3,0)</f>
        <v>397648149.14213443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1644411577.0881238</v>
      </c>
      <c r="F45" s="44">
        <f>IFERROR(E45/D45,0)</f>
        <v>0.89816785724528148</v>
      </c>
      <c r="G45" s="118">
        <f>D45-E45</f>
        <v>186439486.9118762</v>
      </c>
      <c r="H45" s="118">
        <f ca="1">IFERROR(G45/C3,0)</f>
        <v>93219743.455938101</v>
      </c>
      <c r="I45" s="116"/>
    </row>
    <row r="46" spans="2:14" ht="18.75" customHeight="1" x14ac:dyDescent="0.25">
      <c r="B46" s="223" t="s">
        <v>146</v>
      </c>
      <c r="C46" s="224"/>
      <c r="D46" s="47">
        <f>D43+D44+D45</f>
        <v>10899555455</v>
      </c>
      <c r="E46" s="47">
        <f>E43+E44+E45</f>
        <v>9320475935.6746407</v>
      </c>
      <c r="F46" s="43">
        <f>IFERROR(E46/D46,0)</f>
        <v>0.85512441072989065</v>
      </c>
      <c r="G46" s="119">
        <f>G43+G44+G45</f>
        <v>1579079519.3253584</v>
      </c>
      <c r="H46" s="119">
        <f ca="1">IFERROR(G46/C3,0)</f>
        <v>789539759.6626792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3"/>
      <c r="L48" s="244"/>
      <c r="M48" s="244"/>
      <c r="N48" s="245"/>
    </row>
    <row r="49" spans="2:14" ht="21.75" customHeight="1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6" t="s">
        <v>149</v>
      </c>
    </row>
    <row r="50" spans="2:14" ht="19.5" customHeight="1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6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314464563.64290702</v>
      </c>
      <c r="H51" s="122">
        <f>N8</f>
        <v>54527952.623471998</v>
      </c>
      <c r="I51" s="122">
        <f t="shared" ref="I51:I64" si="1">G51+H51</f>
        <v>368992516.266379</v>
      </c>
      <c r="J51" s="61">
        <f t="shared" ref="J51:J64" si="2">IFERROR(I51/F51,0)</f>
        <v>0.6666364035297806</v>
      </c>
      <c r="K51" s="51">
        <f t="shared" ref="K51:M64" si="3">D51-G51</f>
        <v>137218914.35709298</v>
      </c>
      <c r="L51" s="51">
        <f t="shared" si="3"/>
        <v>47302470.376528002</v>
      </c>
      <c r="M51" s="51">
        <f t="shared" si="3"/>
        <v>184521384.733621</v>
      </c>
      <c r="N51" s="51">
        <f ca="1">IFERROR(M51/C3,0)</f>
        <v>92260692.366810501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539289858.77096295</v>
      </c>
      <c r="H52" s="122">
        <f>N9</f>
        <v>129784616.66623899</v>
      </c>
      <c r="I52" s="122">
        <f t="shared" si="1"/>
        <v>669074475.43720198</v>
      </c>
      <c r="J52" s="61">
        <f t="shared" si="2"/>
        <v>0.82065909166018769</v>
      </c>
      <c r="K52" s="54">
        <f t="shared" si="3"/>
        <v>50892512.229037046</v>
      </c>
      <c r="L52" s="54">
        <f t="shared" si="3"/>
        <v>95322189.333761007</v>
      </c>
      <c r="M52" s="54">
        <f t="shared" si="3"/>
        <v>146214701.56279802</v>
      </c>
      <c r="N52" s="54">
        <f ca="1">IFERROR(M52/C3,0)</f>
        <v>73107350.781399012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36900713.450000003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952550276.47129405</v>
      </c>
      <c r="H54" s="122">
        <f t="shared" ref="H54:H58" si="4">N10</f>
        <v>24359117.545101002</v>
      </c>
      <c r="I54" s="122">
        <f t="shared" si="1"/>
        <v>976909394.01639509</v>
      </c>
      <c r="J54" s="61">
        <f t="shared" si="2"/>
        <v>1.3453192621871273</v>
      </c>
      <c r="K54" s="54">
        <f>D54-G54</f>
        <v>-306837804.47129405</v>
      </c>
      <c r="L54" s="54">
        <f t="shared" si="3"/>
        <v>56082730.454898998</v>
      </c>
      <c r="M54" s="54">
        <f t="shared" si="3"/>
        <v>-250755074.01639509</v>
      </c>
      <c r="N54" s="54">
        <f ca="1">IFERROR(M54/C3,0)</f>
        <v>-125377537.00819755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344289891.47900599</v>
      </c>
      <c r="H55" s="122">
        <f t="shared" si="4"/>
        <v>50693884.710000001</v>
      </c>
      <c r="I55" s="122">
        <f t="shared" si="1"/>
        <v>394983776.18900597</v>
      </c>
      <c r="J55" s="61">
        <f t="shared" si="2"/>
        <v>0.67010206000447847</v>
      </c>
      <c r="K55" s="54">
        <f t="shared" si="3"/>
        <v>164628940.52099401</v>
      </c>
      <c r="L55" s="54">
        <f t="shared" si="3"/>
        <v>29825519.289999999</v>
      </c>
      <c r="M55" s="54">
        <f t="shared" si="3"/>
        <v>194454459.81099403</v>
      </c>
      <c r="N55" s="54">
        <f ca="1">IFERROR(M55/C3,0)</f>
        <v>97227229.905497015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507865455.227467</v>
      </c>
      <c r="H56" s="122">
        <f t="shared" si="4"/>
        <v>87700399.032780007</v>
      </c>
      <c r="I56" s="122">
        <f t="shared" si="1"/>
        <v>595565854.26024699</v>
      </c>
      <c r="J56" s="61">
        <f t="shared" si="2"/>
        <v>1.1404662468811568</v>
      </c>
      <c r="K56" s="54">
        <f t="shared" si="3"/>
        <v>-67802171.227467</v>
      </c>
      <c r="L56" s="54">
        <f t="shared" si="3"/>
        <v>-5551074.0327800065</v>
      </c>
      <c r="M56" s="54">
        <f t="shared" si="3"/>
        <v>-73353245.260246992</v>
      </c>
      <c r="N56" s="54">
        <f ca="1">IFERROR(M56/C3,0)</f>
        <v>-36676622.630123496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950150884.01525795</v>
      </c>
      <c r="H57" s="122">
        <f t="shared" si="4"/>
        <v>72945098.289833993</v>
      </c>
      <c r="I57" s="122">
        <f t="shared" si="1"/>
        <v>1023095982.305092</v>
      </c>
      <c r="J57" s="61">
        <f t="shared" si="2"/>
        <v>0.91164960500595627</v>
      </c>
      <c r="K57" s="54">
        <f t="shared" si="3"/>
        <v>46607460.984742045</v>
      </c>
      <c r="L57" s="54">
        <f t="shared" si="3"/>
        <v>52543499.710166007</v>
      </c>
      <c r="M57" s="54">
        <f t="shared" si="3"/>
        <v>99150960.694908023</v>
      </c>
      <c r="N57" s="54">
        <f ca="1">IFERROR(M57/C3,0)</f>
        <v>49575480.347454011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428386511.85815603</v>
      </c>
      <c r="H58" s="122">
        <f t="shared" si="4"/>
        <v>70966633.229874</v>
      </c>
      <c r="I58" s="122">
        <f>G58+H58</f>
        <v>499353145.08803004</v>
      </c>
      <c r="J58" s="61">
        <f>IFERROR(I58/F58,0)</f>
        <v>0.78314121284595695</v>
      </c>
      <c r="K58" s="54">
        <f t="shared" si="3"/>
        <v>111900547.14184397</v>
      </c>
      <c r="L58" s="54">
        <f t="shared" si="3"/>
        <v>26374792.770126</v>
      </c>
      <c r="M58" s="54">
        <f t="shared" si="3"/>
        <v>138275339.91196996</v>
      </c>
      <c r="N58" s="54">
        <f ca="1">IFERROR(M58/C3,0)</f>
        <v>69137669.95598498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7597992.4099999964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334432576.36944002</v>
      </c>
      <c r="H60" s="122">
        <f t="shared" ref="H60:H64" si="5">N15</f>
        <v>81843497.900104001</v>
      </c>
      <c r="I60" s="122">
        <f t="shared" si="1"/>
        <v>416276074.26954401</v>
      </c>
      <c r="J60" s="61">
        <f t="shared" si="2"/>
        <v>0.68125638555136236</v>
      </c>
      <c r="K60" s="54">
        <f t="shared" si="3"/>
        <v>104584732.63055998</v>
      </c>
      <c r="L60" s="54">
        <f t="shared" si="3"/>
        <v>90180914.099895999</v>
      </c>
      <c r="M60" s="54">
        <f t="shared" si="3"/>
        <v>194765646.73045599</v>
      </c>
      <c r="N60" s="54">
        <f ca="1">IFERROR(M60/C3,0)</f>
        <v>97382823.365227997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495799375.38565201</v>
      </c>
      <c r="H61" s="122">
        <f t="shared" si="5"/>
        <v>48541692.915432997</v>
      </c>
      <c r="I61" s="122">
        <f t="shared" si="1"/>
        <v>544341068.301085</v>
      </c>
      <c r="J61" s="61">
        <f t="shared" si="2"/>
        <v>0.7172469064266177</v>
      </c>
      <c r="K61" s="54">
        <f t="shared" si="3"/>
        <v>170830220.61434799</v>
      </c>
      <c r="L61" s="54">
        <f t="shared" si="3"/>
        <v>43759929.084567003</v>
      </c>
      <c r="M61" s="54">
        <f t="shared" si="3"/>
        <v>214590149.698915</v>
      </c>
      <c r="N61" s="54">
        <f ca="1">IFERROR(M61/C3,0)</f>
        <v>107295074.8494575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305145633.79370898</v>
      </c>
      <c r="H62" s="122">
        <f t="shared" si="5"/>
        <v>34369341.943994999</v>
      </c>
      <c r="I62" s="122">
        <f t="shared" si="1"/>
        <v>339514975.73770398</v>
      </c>
      <c r="J62" s="61">
        <f t="shared" si="2"/>
        <v>0.65433886819602949</v>
      </c>
      <c r="K62" s="54">
        <f t="shared" si="3"/>
        <v>116397389.20629102</v>
      </c>
      <c r="L62" s="54">
        <f t="shared" si="3"/>
        <v>62954834.056005001</v>
      </c>
      <c r="M62" s="54">
        <f t="shared" si="3"/>
        <v>179352223.26229602</v>
      </c>
      <c r="N62" s="54">
        <f ca="1">IFERROR(M62/C3,0)</f>
        <v>89676111.63114801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758764234.07459402</v>
      </c>
      <c r="H63" s="122">
        <f t="shared" si="5"/>
        <v>225366001.69207501</v>
      </c>
      <c r="I63" s="122">
        <f t="shared" si="1"/>
        <v>984130235.76666903</v>
      </c>
      <c r="J63" s="61">
        <f t="shared" si="2"/>
        <v>1.0024572514640011</v>
      </c>
      <c r="K63" s="54">
        <f t="shared" si="3"/>
        <v>-140413292.07459402</v>
      </c>
      <c r="L63" s="54">
        <f t="shared" si="3"/>
        <v>138000964.30792499</v>
      </c>
      <c r="M63" s="54">
        <f t="shared" si="3"/>
        <v>-2412327.766669035</v>
      </c>
      <c r="N63" s="54">
        <f ca="1">IFERROR(M63/C3,0)</f>
        <v>-1206163.8833345175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174186816.50234002</v>
      </c>
      <c r="H64" s="122">
        <f t="shared" si="5"/>
        <v>133030524.166824</v>
      </c>
      <c r="I64" s="122">
        <f t="shared" si="1"/>
        <v>307217340.669164</v>
      </c>
      <c r="J64" s="61">
        <f t="shared" si="2"/>
        <v>0.52421180896673814</v>
      </c>
      <c r="K64" s="54">
        <f t="shared" si="3"/>
        <v>120338872.49765998</v>
      </c>
      <c r="L64" s="54">
        <f t="shared" si="3"/>
        <v>158499528.83317602</v>
      </c>
      <c r="M64" s="54">
        <f t="shared" si="3"/>
        <v>278838401.330836</v>
      </c>
      <c r="N64" s="54">
        <f ca="1">IFERROR(M64/C3,0)</f>
        <v>139419200.665418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6661935597.8707867</v>
      </c>
      <c r="H65" s="152">
        <f>SUM(H51:H64)</f>
        <v>1014128760.7157311</v>
      </c>
      <c r="I65" s="152">
        <f>SUM(I51:I64)</f>
        <v>7676064358.5865164</v>
      </c>
      <c r="J65" s="153">
        <f>IFERROR(I65/F65,0)</f>
        <v>0.84643451011639848</v>
      </c>
      <c r="K65" s="154">
        <f>SUM(K51:K64)</f>
        <v>597343734.12921405</v>
      </c>
      <c r="L65" s="154">
        <f>SUM(L51:L64)</f>
        <v>795296298.28426898</v>
      </c>
      <c r="M65" s="154">
        <f>SUM(M51:M64)</f>
        <v>1392640032.4134829</v>
      </c>
      <c r="N65" s="154">
        <f ca="1">IFERROR(M65/C3,0)</f>
        <v>696320016.20674145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207">
        <v>366957716.21986997</v>
      </c>
    </row>
    <row r="71" spans="2:14" ht="20.100000000000001" customHeight="1" x14ac:dyDescent="0.25">
      <c r="B71" s="53" t="s">
        <v>69</v>
      </c>
      <c r="C71" s="56" t="s">
        <v>70</v>
      </c>
      <c r="D71" s="192">
        <v>83909989.400000006</v>
      </c>
    </row>
    <row r="72" spans="2:14" ht="20.100000000000001" customHeight="1" x14ac:dyDescent="0.25">
      <c r="B72" s="53" t="s">
        <v>175</v>
      </c>
      <c r="C72" s="56" t="s">
        <v>176</v>
      </c>
      <c r="D72" s="207">
        <v>9369369.1199999992</v>
      </c>
    </row>
    <row r="73" spans="2:14" ht="20.100000000000001" customHeight="1" x14ac:dyDescent="0.25">
      <c r="B73" s="50" t="s">
        <v>71</v>
      </c>
      <c r="C73" s="55" t="s">
        <v>72</v>
      </c>
      <c r="D73" s="207">
        <v>255942486.59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207">
        <v>31767414.07</v>
      </c>
    </row>
    <row r="76" spans="2:14" ht="20.100000000000001" customHeight="1" x14ac:dyDescent="0.25">
      <c r="B76" s="53" t="s">
        <v>76</v>
      </c>
      <c r="C76" s="56" t="s">
        <v>77</v>
      </c>
      <c r="D76" s="207">
        <v>1206933551.7499499</v>
      </c>
    </row>
    <row r="77" spans="2:14" ht="20.100000000000001" customHeight="1" x14ac:dyDescent="0.25">
      <c r="B77" s="50" t="s">
        <v>78</v>
      </c>
      <c r="C77" s="55" t="s">
        <v>79</v>
      </c>
      <c r="D77" s="207">
        <v>272870485.819354</v>
      </c>
    </row>
    <row r="78" spans="2:14" ht="20.100000000000001" customHeight="1" x14ac:dyDescent="0.25">
      <c r="B78" s="53" t="s">
        <v>175</v>
      </c>
      <c r="C78" s="56" t="s">
        <v>177</v>
      </c>
      <c r="D78" s="207">
        <v>12870720.380000001</v>
      </c>
    </row>
    <row r="79" spans="2:14" ht="20.100000000000001" customHeight="1" x14ac:dyDescent="0.25">
      <c r="B79" s="53" t="s">
        <v>80</v>
      </c>
      <c r="C79" s="56" t="s">
        <v>81</v>
      </c>
      <c r="D79" s="207">
        <v>3184684.68</v>
      </c>
    </row>
    <row r="80" spans="2:14" ht="20.100000000000001" customHeight="1" x14ac:dyDescent="0.25">
      <c r="B80" s="50" t="s">
        <v>82</v>
      </c>
      <c r="C80" s="55" t="s">
        <v>83</v>
      </c>
      <c r="D80" s="207">
        <v>560811358.64941502</v>
      </c>
    </row>
    <row r="81" spans="2:9" ht="20.100000000000001" customHeight="1" x14ac:dyDescent="0.25">
      <c r="B81" s="53" t="s">
        <v>84</v>
      </c>
      <c r="C81" s="56" t="s">
        <v>85</v>
      </c>
      <c r="D81" s="207">
        <v>150004401.21000001</v>
      </c>
    </row>
    <row r="82" spans="2:9" ht="20.100000000000001" customHeight="1" x14ac:dyDescent="0.25">
      <c r="B82" s="50" t="s">
        <v>86</v>
      </c>
      <c r="C82" s="55" t="s">
        <v>87</v>
      </c>
      <c r="D82" s="207">
        <v>15391027.368000001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90605407.100000009</v>
      </c>
    </row>
    <row r="84" spans="2:9" ht="20.100000000000001" customHeight="1" x14ac:dyDescent="0.25">
      <c r="B84" s="57" t="s">
        <v>152</v>
      </c>
      <c r="C84" s="58"/>
      <c r="D84" s="129">
        <f>SUM(D70:D83)</f>
        <v>3060618612.3565888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0" t="s">
        <v>145</v>
      </c>
      <c r="C87" s="241"/>
      <c r="D87" s="241"/>
      <c r="E87" s="241"/>
      <c r="F87" s="242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181126497.71479499</v>
      </c>
      <c r="F89" s="61">
        <f t="shared" ref="F89:F94" si="7">IFERROR(E89/D89,0)</f>
        <v>0.63435067039846693</v>
      </c>
      <c r="G89" s="125">
        <f>D89-E89</f>
        <v>104404055.28520501</v>
      </c>
      <c r="H89" s="125">
        <f ca="1">IFERROR(G89/C3,0)</f>
        <v>52202027.642602503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326116378.85758996</v>
      </c>
      <c r="F90" s="61">
        <f t="shared" si="7"/>
        <v>0.76047680209058444</v>
      </c>
      <c r="G90" s="126">
        <f>D90-E90</f>
        <v>102715083.14241004</v>
      </c>
      <c r="H90" s="126">
        <f ca="1">IFERROR(G90/C3,0)</f>
        <v>51357541.57120502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1137168700.515739</v>
      </c>
      <c r="F91" s="61">
        <f t="shared" si="7"/>
        <v>1.0185220370358858</v>
      </c>
      <c r="G91" s="125">
        <f>D91-E91</f>
        <v>-20679651.515738964</v>
      </c>
      <c r="H91" s="125">
        <f ca="1">IFERROR(G91/C3,0)</f>
        <v>-10339825.757869482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1644411577.0881238</v>
      </c>
      <c r="F94" s="43">
        <f t="shared" si="7"/>
        <v>0.89816785724528148</v>
      </c>
      <c r="G94" s="119">
        <f>SUM(G89:G93)</f>
        <v>186439486.91187608</v>
      </c>
      <c r="H94" s="119">
        <f ca="1">IFERROR(G94/C3,0)</f>
        <v>93219743.455938041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7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178</v>
      </c>
      <c r="C41" s="227"/>
      <c r="D41" s="228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3"/>
      <c r="L48" s="244"/>
      <c r="M48" s="244"/>
      <c r="N48" s="245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6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6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0" t="s">
        <v>145</v>
      </c>
      <c r="C87" s="241"/>
      <c r="D87" s="241"/>
      <c r="E87" s="241"/>
      <c r="F87" s="24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162</v>
      </c>
      <c r="C41" s="227"/>
      <c r="D41" s="228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3"/>
      <c r="L48" s="244"/>
      <c r="M48" s="244"/>
      <c r="N48" s="245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6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6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0" t="s">
        <v>145</v>
      </c>
      <c r="C87" s="241"/>
      <c r="D87" s="241"/>
      <c r="E87" s="241"/>
      <c r="F87" s="24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164</v>
      </c>
      <c r="C41" s="227"/>
      <c r="D41" s="228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3"/>
      <c r="L48" s="244"/>
      <c r="M48" s="244"/>
      <c r="N48" s="245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6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6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0" t="s">
        <v>145</v>
      </c>
      <c r="C87" s="241"/>
      <c r="D87" s="241"/>
      <c r="E87" s="241"/>
      <c r="F87" s="24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166</v>
      </c>
      <c r="C41" s="227"/>
      <c r="D41" s="228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3"/>
      <c r="L48" s="244"/>
      <c r="M48" s="244"/>
      <c r="N48" s="245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6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6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0" t="s">
        <v>145</v>
      </c>
      <c r="C87" s="241"/>
      <c r="D87" s="241"/>
      <c r="E87" s="241"/>
      <c r="F87" s="24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179</v>
      </c>
      <c r="C41" s="227"/>
      <c r="D41" s="228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3"/>
      <c r="L48" s="244"/>
      <c r="M48" s="244"/>
      <c r="N48" s="245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6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6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0" t="s">
        <v>145</v>
      </c>
      <c r="C87" s="241"/>
      <c r="D87" s="241"/>
      <c r="E87" s="241"/>
      <c r="F87" s="24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181</v>
      </c>
      <c r="C41" s="227"/>
      <c r="D41" s="228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3"/>
      <c r="L48" s="244"/>
      <c r="M48" s="244"/>
      <c r="N48" s="245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6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6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0" t="s">
        <v>145</v>
      </c>
      <c r="C87" s="241"/>
      <c r="D87" s="241"/>
      <c r="E87" s="241"/>
      <c r="F87" s="24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2026-06-29T01:00:34Z</dcterms:modified>
  <dc:language>en-US</dc:language>
</cp:coreProperties>
</file>