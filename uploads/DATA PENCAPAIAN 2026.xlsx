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l="1"/>
  <c r="D74" i="8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<sst xmlns="http://schemas.openxmlformats.org/spreadsheetml/2006/main" count="1878" uniqueCount="186">
  <si>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</si>
  <si>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</si>
  <si>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</si>
  <si>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</si>
  <si>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</si>
  <si>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</si>
  <si>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</si>
  <si>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</si>
  <si>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</si>
  <si>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</si>
  <si>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</si>
  <si>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</si>
  <si>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</si>
  <si>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</si>
  <si>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</si>
  <si>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</si>
  <si>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</si>
  <si>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</si>
  <si>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</si>
  <si>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</si>
  <si>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</si>
  <si>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</si>
  <si>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</si>
  <si>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</si>
  <si>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</si>
  <si>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</si>
  <si>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</si>
  <si>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</si>
  <si>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</si>
  <si>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</si>
  <si>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</si>
  <si>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</si>
  <si>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</si>
  <si>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</si>
  <si>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</si>
  <si>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</si>
  <si>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</si>
  <si>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</si>
  <si>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</si>
  <si>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</si>
  <si>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</si>
  <si>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</si>
  <si>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</si>
  <si>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</si>
  <si>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</si>
  <si>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</si>
  <si>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</si>
  <si>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</si>
  <si>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</si>
  <si>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</si>
  <si>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</si>
  <si>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</si>
  <si>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</si>
  <si>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</si>
  <si>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</si>
  <si>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</si>
  <si>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</si>
  <si>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</si>
  <si>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</si>
  <si>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</si>
  <si>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</si>
  <si>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</si>
  <si>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</si>
  <si>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</si>
  <si>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</si>
  <si>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</si>
  <si>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</si>
  <si>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</si>
  <si>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</si>
  <si>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</si>
  <si>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</si>
  <si>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</si>
  <si>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</si>
  <si>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</si>
  <si>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</si>
  <si>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</si>
  <si>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</si>
  <si>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</si>
  <si>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</si>
  <si>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</si>
  <si>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</si>
  <si>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</si>
  <si>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</si>
  <si>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</si>
  <si>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</si>
  <si>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</si>
  <si>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</si>
  <si>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</si>
  <si>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</si>
  <si>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</si>
  <si>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</si>
  <si>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</si>
  <si>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</si>
  <si>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</si>
  <si>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</si>
  <si>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</si>
  <si>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</si>
  <si>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</si>
  <si>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</si>
  <si>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</si>
  <si>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</si>
  <si>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</si>
  <si>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</si>
  <si>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</si>
  <si>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</si>
  <si>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</si>
  <si>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</si>
  <si>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</si>
  <si>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</si>
  <si>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</si>
  <si>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</si>
  <si>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</si>
  <si>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</si>
  <si>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</si>
  <si>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</si>
  <si>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</si>
  <si>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</si>
  <si>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</si>
  <si>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</si>
  <si>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</si>
  <si>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</si>
  <si>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</si>
  <si>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</si>
  <si>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</si>
  <si>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</si>
  <si>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</si>
  <si>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</si>
  <si>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</si>
  <si>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</si>
  <si>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</si>
  <si>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</si>
  <si>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</si>
  <si>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</si>
  <si>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</si>
  <si>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</si>
  <si>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</si>
  <si>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</si>
  <si>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</si>
  <si>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</si>
  <si>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</si>
  <si>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</si>
  <si>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</si>
  <si>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</si>
  <si>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</si>
  <si>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</si>
  <si>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</si>
  <si>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</si>
  <si>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</si>
  <si>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</si>
  <si>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</si>
  <si>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</si>
  <si>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</si>
  <si>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</si>
  <si>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</si>
  <si>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</si>
  <si>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</si>
  <si>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</si>
  <si>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</si>
  <si>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</si>
  <si>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</si>
  <si>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</si>
  <si>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</si>
  <si>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</si>
  <si>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</si>
  <si>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</si>
  <si>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</si>
  <si>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</si>
  <si>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</si>
  <si>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</si>
  <si>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</si>
  <si>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</si>
  <si>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</si>
  <si>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</si>
  <si>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</si>
  <si>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</si>
  <si>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</si>
  <si>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</si>
  <si>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</si>
  <si>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</si>
  <si>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</si>
  <si>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</si>
  <si>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</si>
  <si>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</si>
  <si>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</si>
  <si>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</si>
  <si>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10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</si>
</sst>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19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6" t="s">
        <v>182</v>
      </c>
      <c r="C41" s="247"/>
      <c r="D41" s="248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33304951.590084579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29241438.40614162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5777500.7757743532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68323890.772000551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7997059.1224507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7155243.9466984207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2310811.6947368416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-2123616.1834751116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6883914.6111329542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4246710.7607865082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-1321954.5088810294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5832338.3281731606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5453270.5352644734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3979576.1924884412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9328218.8108356968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6230227.7980090976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1821351.7348944952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4753237.1531115994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62546389.996226251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-703314.62717223482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-975235.93357275974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7456051.336519354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5777500.7757743597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19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145434039.71084499</v>
      </c>
      <c r="N8" s="11">
        <f>D24</f>
        <v>21853890.209982999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205946656.25798601</v>
      </c>
      <c r="N9" s="11">
        <f>D12+D13</f>
        <v>82697950.185635</v>
      </c>
    </row>
    <row r="10" spans="2:14" x14ac:dyDescent="0.25">
      <c r="B10" s="74" t="s">
        <v>113</v>
      </c>
      <c r="C10" s="206">
        <v>118036609.343014</v>
      </c>
      <c r="D10" s="206">
        <v>13381471.759699</v>
      </c>
      <c r="E10" s="206">
        <v>53854817.979999997</v>
      </c>
      <c r="F10" s="206">
        <v>185272899.08271301</v>
      </c>
      <c r="H10" s="116"/>
      <c r="I10" s="116"/>
      <c r="J10" s="116"/>
      <c r="M10" s="11">
        <f>C14</f>
        <v>290473593.20243698</v>
      </c>
      <c r="N10" s="11">
        <f>D14</f>
        <v>4944927.9799870001</v>
      </c>
    </row>
    <row r="11" spans="2:14" x14ac:dyDescent="0.25">
      <c r="B11" s="74" t="s">
        <v>114</v>
      </c>
      <c r="C11" s="206">
        <v>103789584.155489</v>
      </c>
      <c r="D11" s="206">
        <v>28994222.53788</v>
      </c>
      <c r="E11" s="206">
        <v>32258641.620000001</v>
      </c>
      <c r="F11" s="206">
        <v>165042448.31336901</v>
      </c>
      <c r="H11" s="116"/>
      <c r="I11" s="116"/>
      <c r="J11" s="116"/>
      <c r="M11" s="11">
        <f>C17</f>
        <v>136824324.99945</v>
      </c>
      <c r="N11" s="11">
        <f>D17</f>
        <v>20186105.800000001</v>
      </c>
    </row>
    <row r="12" spans="2:14" x14ac:dyDescent="0.25">
      <c r="B12" s="74" t="s">
        <v>70</v>
      </c>
      <c r="C12" s="206">
        <v>108494975.231529</v>
      </c>
      <c r="D12" s="206">
        <v>65553878.505736999</v>
      </c>
      <c r="E12" s="206">
        <v>18115346.399999999</v>
      </c>
      <c r="F12" s="206">
        <v>192164200.13726601</v>
      </c>
      <c r="H12" s="116"/>
      <c r="I12" s="116"/>
      <c r="J12" s="116"/>
      <c r="M12" s="11">
        <f>C16</f>
        <v>127859462.110531</v>
      </c>
      <c r="N12" s="11">
        <f>D16</f>
        <v>35763721.987392001</v>
      </c>
    </row>
    <row r="13" spans="2:14" x14ac:dyDescent="0.25">
      <c r="B13" s="74" t="s">
        <v>115</v>
      </c>
      <c r="C13" s="206">
        <v>97451681.026456997</v>
      </c>
      <c r="D13" s="206">
        <v>17144071.679898001</v>
      </c>
      <c r="E13" s="206">
        <v>10941441.26</v>
      </c>
      <c r="F13" s="206">
        <v>125537193.966355</v>
      </c>
      <c r="H13" s="116"/>
      <c r="I13" s="116"/>
      <c r="J13" s="116"/>
      <c r="M13" s="11">
        <f>C19</f>
        <v>561339503.21706402</v>
      </c>
      <c r="N13" s="11">
        <f>D19</f>
        <v>60567158.439654998</v>
      </c>
    </row>
    <row r="14" spans="2:14" x14ac:dyDescent="0.25">
      <c r="B14" s="74" t="s">
        <v>116</v>
      </c>
      <c r="C14" s="206">
        <v>290473593.20243698</v>
      </c>
      <c r="D14" s="206">
        <v>4944927.9799870001</v>
      </c>
      <c r="E14" s="206">
        <v>116541643.41</v>
      </c>
      <c r="F14" s="206">
        <v>411960164.59242398</v>
      </c>
      <c r="H14" s="116"/>
      <c r="I14" s="116"/>
      <c r="J14" s="116"/>
      <c r="M14" s="11">
        <f>C25</f>
        <v>151748923.28218701</v>
      </c>
      <c r="N14" s="11">
        <f>D25</f>
        <v>28695332.549947001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103789584.155489</v>
      </c>
      <c r="N15" s="11">
        <f>D11</f>
        <v>28994222.53788</v>
      </c>
    </row>
    <row r="16" spans="2:14" x14ac:dyDescent="0.25">
      <c r="B16" s="74" t="s">
        <v>74</v>
      </c>
      <c r="C16" s="206">
        <v>127859462.110531</v>
      </c>
      <c r="D16" s="206">
        <v>35763721.987392001</v>
      </c>
      <c r="E16" s="206">
        <v>23833333.100000001</v>
      </c>
      <c r="F16" s="206">
        <v>187456517.197923</v>
      </c>
      <c r="H16" s="116"/>
      <c r="I16" s="116"/>
      <c r="J16" s="116"/>
      <c r="M16" s="11">
        <f>C26</f>
        <v>195846721.56933901</v>
      </c>
      <c r="N16" s="11">
        <f>D26</f>
        <v>17547401.849993002</v>
      </c>
    </row>
    <row r="17" spans="2:14" x14ac:dyDescent="0.25">
      <c r="B17" s="74" t="s">
        <v>118</v>
      </c>
      <c r="C17" s="206">
        <v>136824324.99945</v>
      </c>
      <c r="D17" s="206">
        <v>20186105.800000001</v>
      </c>
      <c r="E17" s="206" t="s">
        <v>168</v>
      </c>
      <c r="F17" s="206">
        <v>157010430.79945001</v>
      </c>
      <c r="H17" s="116"/>
      <c r="I17" s="116"/>
      <c r="J17" s="116"/>
      <c r="M17" s="11">
        <f>C10</f>
        <v>118036609.343014</v>
      </c>
      <c r="N17" s="11">
        <f>D10</f>
        <v>13381471.759699</v>
      </c>
    </row>
    <row r="18" spans="2:14" x14ac:dyDescent="0.25">
      <c r="B18" s="74" t="s">
        <v>119</v>
      </c>
      <c r="C18" s="206">
        <v>620937317.16383505</v>
      </c>
      <c r="D18" s="206">
        <v>2838063.3339979998</v>
      </c>
      <c r="E18" s="206">
        <v>1686486.48</v>
      </c>
      <c r="F18" s="206">
        <v>625461866.97783303</v>
      </c>
      <c r="H18" s="116"/>
      <c r="I18" s="116"/>
      <c r="J18" s="116"/>
      <c r="M18" s="11">
        <f>C27</f>
        <v>297309706.16952598</v>
      </c>
      <c r="N18" s="11">
        <f>D27</f>
        <v>90155860.949754</v>
      </c>
    </row>
    <row r="19" spans="2:14" x14ac:dyDescent="0.25">
      <c r="B19" s="74" t="s">
        <v>121</v>
      </c>
      <c r="C19" s="206">
        <v>561339503.21706402</v>
      </c>
      <c r="D19" s="206">
        <v>60567158.439654998</v>
      </c>
      <c r="E19" s="206">
        <v>542047063.92997897</v>
      </c>
      <c r="F19" s="206">
        <v>1163953725.5866981</v>
      </c>
      <c r="H19" s="116"/>
      <c r="I19" s="116"/>
      <c r="J19" s="116"/>
      <c r="M19" s="11">
        <f>C20+C21</f>
        <v>97491663.527303994</v>
      </c>
      <c r="N19" s="11">
        <f>D20+D21</f>
        <v>27290932.267790001</v>
      </c>
    </row>
    <row r="20" spans="2:14" x14ac:dyDescent="0.25">
      <c r="B20" s="74" t="s">
        <v>123</v>
      </c>
      <c r="C20" s="206">
        <v>76003954.827308998</v>
      </c>
      <c r="D20" s="206">
        <v>5596960.339989</v>
      </c>
      <c r="E20" s="206">
        <v>972973</v>
      </c>
      <c r="F20" s="206">
        <v>82573888.167298004</v>
      </c>
      <c r="H20" s="116"/>
      <c r="I20" s="116"/>
      <c r="J20" s="116"/>
      <c r="M20" s="14">
        <f>IFERROR(C31,0)+IFERROR(C15,0)+IFERROR(C36,0)</f>
        <v>411000</v>
      </c>
      <c r="N20" s="10" t="s">
        <v>120</v>
      </c>
    </row>
    <row r="21" spans="2:14" x14ac:dyDescent="0.25">
      <c r="B21" s="74" t="s">
        <v>124</v>
      </c>
      <c r="C21" s="206">
        <v>21487708.699995</v>
      </c>
      <c r="D21" s="206">
        <v>21693971.927801002</v>
      </c>
      <c r="E21" s="206">
        <v>13481081.380000001</v>
      </c>
      <c r="F21" s="206">
        <v>56662762.007795997</v>
      </c>
      <c r="H21" s="116"/>
      <c r="I21" s="116"/>
      <c r="J21" s="116"/>
      <c r="M21" s="14">
        <f>IFERROR(C34,0)+IFERROR(C35,0)+M20</f>
        <v>83115251.122900009</v>
      </c>
      <c r="N21" s="10" t="s">
        <v>122</v>
      </c>
    </row>
    <row r="22" spans="2:14" x14ac:dyDescent="0.25">
      <c r="B22" s="74" t="s">
        <v>172</v>
      </c>
      <c r="C22" s="206">
        <v>110486470.40000001</v>
      </c>
      <c r="D22" s="206" t="s">
        <v>168</v>
      </c>
      <c r="E22" s="206">
        <v>3783783.68</v>
      </c>
      <c r="F22" s="206">
        <v>114270254.08</v>
      </c>
      <c r="H22" s="116"/>
      <c r="I22" s="116"/>
      <c r="J22" s="116"/>
    </row>
    <row r="23" spans="2:14" x14ac:dyDescent="0.25">
      <c r="B23" s="74" t="s">
        <v>173</v>
      </c>
      <c r="C23" s="206">
        <v>157058366.74000001</v>
      </c>
      <c r="D23" s="206" t="s">
        <v>168</v>
      </c>
      <c r="E23" s="206">
        <v>5495495.3399999999</v>
      </c>
      <c r="F23" s="206">
        <v>162553862.08000001</v>
      </c>
      <c r="H23" s="116"/>
      <c r="I23" s="116"/>
      <c r="J23" s="116"/>
    </row>
    <row r="24" spans="2:14" x14ac:dyDescent="0.25">
      <c r="B24" s="74" t="s">
        <v>125</v>
      </c>
      <c r="C24" s="206">
        <v>145434039.71084499</v>
      </c>
      <c r="D24" s="206">
        <v>21853890.209982999</v>
      </c>
      <c r="E24" s="206">
        <v>174692432.29995</v>
      </c>
      <c r="F24" s="206">
        <v>341980362.22077799</v>
      </c>
      <c r="H24" s="116"/>
      <c r="I24" s="116"/>
      <c r="J24" s="116"/>
    </row>
    <row r="25" spans="2:14" x14ac:dyDescent="0.25">
      <c r="B25" s="74" t="s">
        <v>126</v>
      </c>
      <c r="C25" s="206">
        <v>151748923.28218701</v>
      </c>
      <c r="D25" s="206">
        <v>28695332.549947001</v>
      </c>
      <c r="E25" s="206">
        <v>75587483.139801994</v>
      </c>
      <c r="F25" s="206">
        <v>256031738.97193599</v>
      </c>
      <c r="H25" s="116"/>
      <c r="I25" s="116"/>
      <c r="J25" s="116"/>
    </row>
    <row r="26" spans="2:14" x14ac:dyDescent="0.25">
      <c r="B26" s="74" t="s">
        <v>127</v>
      </c>
      <c r="C26" s="206">
        <v>195846721.56933901</v>
      </c>
      <c r="D26" s="206">
        <v>17547401.849993002</v>
      </c>
      <c r="E26" s="206">
        <v>248940542.69973299</v>
      </c>
      <c r="F26" s="206">
        <v>462334666.11906499</v>
      </c>
      <c r="H26" s="116"/>
      <c r="I26" s="116"/>
      <c r="J26" s="116"/>
    </row>
    <row r="27" spans="2:14" x14ac:dyDescent="0.25">
      <c r="B27" s="74" t="s">
        <v>128</v>
      </c>
      <c r="C27" s="206">
        <v>297309706.16952598</v>
      </c>
      <c r="D27" s="206">
        <v>90155860.949754</v>
      </c>
      <c r="E27" s="206">
        <v>4739892.0020000003</v>
      </c>
      <c r="F27" s="206">
        <v>392205459.12128001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41968297.104760997</v>
      </c>
      <c r="G32" s="116"/>
      <c r="H32" s="116"/>
      <c r="I32" s="116"/>
    </row>
    <row r="33" spans="2:14" x14ac:dyDescent="0.25">
      <c r="B33" s="84" t="s">
        <v>133</v>
      </c>
      <c r="C33" s="206">
        <v>156178439.40893</v>
      </c>
      <c r="G33" s="116"/>
      <c r="H33" s="116"/>
      <c r="I33" s="116"/>
    </row>
    <row r="34" spans="2:14" x14ac:dyDescent="0.25">
      <c r="B34" s="84" t="s">
        <v>134</v>
      </c>
      <c r="C34" s="205">
        <v>31698945.929481003</v>
      </c>
      <c r="G34" s="116"/>
      <c r="H34" s="116"/>
      <c r="I34" s="116"/>
    </row>
    <row r="35" spans="2:14" x14ac:dyDescent="0.25">
      <c r="B35" s="84" t="s">
        <v>135</v>
      </c>
      <c r="C35" s="206">
        <v>51005305.193419002</v>
      </c>
      <c r="G35" s="116"/>
      <c r="H35" s="116"/>
      <c r="I35" s="116"/>
    </row>
    <row r="36" spans="2:14" x14ac:dyDescent="0.25">
      <c r="B36" s="84" t="s">
        <v>136</v>
      </c>
      <c r="C36" s="206">
        <v>411000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0.32258064516129031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2699645624.6851726</v>
      </c>
      <c r="F43" s="44">
        <f>IFERROR(E43/D43,0)</f>
        <v>0.3396701911188858</v>
      </c>
      <c r="G43" s="118">
        <f>D43-E43</f>
        <v>5248198181.6625175</v>
      </c>
      <c r="H43" s="118">
        <f ca="1">IFERROR(G43/C3,0)</f>
        <v>276220956.9296062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432078976.51771498</v>
      </c>
      <c r="F44" s="44">
        <f>IFERROR(E44/D44,0)</f>
        <v>0.29141251077033375</v>
      </c>
      <c r="G44" s="118">
        <f>D44-E44</f>
        <v>1050626674.573025</v>
      </c>
      <c r="H44" s="118">
        <f ca="1">IFERROR(G44/C3,0)</f>
        <v>55296140.767001316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281261987.63659102</v>
      </c>
      <c r="F45" s="44">
        <f>IFERROR(E45/D45,0)</f>
        <v>0.15194613125195144</v>
      </c>
      <c r="G45" s="118">
        <f>D45-E45</f>
        <v>1569801842.1506433</v>
      </c>
      <c r="H45" s="118">
        <f ca="1">IFERROR(G45/C3,0)</f>
        <v>82621149.58687596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3412986588.8394785</v>
      </c>
      <c r="F46" s="43">
        <f>IFERROR(E46/D46,0)</f>
        <v>0.30252646513810694</v>
      </c>
      <c r="G46" s="119">
        <f>G43+G44+G45</f>
        <v>7868626698.3861856</v>
      </c>
      <c r="H46" s="119">
        <f ca="1">IFERROR(G46/C3,0)</f>
        <v>414138247.28348345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145434039.71084499</v>
      </c>
      <c r="H51" s="122">
        <f>N8</f>
        <v>21853890.209982999</v>
      </c>
      <c r="I51" s="122">
        <f t="shared" ref="I51:I64" si="1">G51+H51</f>
        <v>167287929.92082798</v>
      </c>
      <c r="J51" s="61">
        <f t="shared" ref="J51:J64" si="2">IFERROR(I51/F51,0)</f>
        <v>0.29474628959496224</v>
      </c>
      <c r="K51" s="51">
        <f t="shared" ref="K51:M64" si="3">D51-G51</f>
        <v>345803137.41461843</v>
      </c>
      <c r="L51" s="51">
        <f t="shared" si="3"/>
        <v>54474787.86399845</v>
      </c>
      <c r="M51" s="51">
        <f t="shared" si="3"/>
        <v>400277925.27861691</v>
      </c>
      <c r="N51" s="51">
        <f ca="1">IFERROR(M51/C3,0)</f>
        <v>21067259.225190364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205946656.25798601</v>
      </c>
      <c r="H52" s="122">
        <f>N9</f>
        <v>82697950.185635</v>
      </c>
      <c r="I52" s="122">
        <f t="shared" si="1"/>
        <v>288644606.44362104</v>
      </c>
      <c r="J52" s="61">
        <f t="shared" si="2"/>
        <v>0.34414803934493493</v>
      </c>
      <c r="K52" s="54">
        <f t="shared" si="3"/>
        <v>451510503.59376365</v>
      </c>
      <c r="L52" s="54">
        <f t="shared" si="3"/>
        <v>98567106.695387304</v>
      </c>
      <c r="M52" s="54">
        <f t="shared" si="3"/>
        <v>550077610.28915095</v>
      </c>
      <c r="N52" s="54">
        <f ca="1">IFERROR(M52/C3,0)</f>
        <v>28951453.173113208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110486470.40000001</v>
      </c>
      <c r="H53" s="122">
        <f>IF(D22="",0,D22)</f>
        <v>0</v>
      </c>
      <c r="I53" s="122">
        <f>G53+H53</f>
        <v>110486470.40000001</v>
      </c>
      <c r="J53" s="61">
        <f>IFERROR(I53/F53,0)</f>
        <v>0.44379994678946516</v>
      </c>
      <c r="K53" s="54">
        <f>D53-G53</f>
        <v>138469103.38787571</v>
      </c>
      <c r="L53" s="54">
        <f>E53-H53</f>
        <v>0</v>
      </c>
      <c r="M53" s="54">
        <f>F53-I53</f>
        <v>138469103.38787571</v>
      </c>
      <c r="N53" s="54">
        <f ca="1">IFERROR(M53/C3,0)</f>
        <v>7287847.5467303004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290473593.20243698</v>
      </c>
      <c r="H54" s="122">
        <f t="shared" ref="H54:H58" si="4">N10</f>
        <v>4944927.9799870001</v>
      </c>
      <c r="I54" s="122">
        <f t="shared" si="1"/>
        <v>295418521.18242401</v>
      </c>
      <c r="J54" s="61">
        <f t="shared" si="2"/>
        <v>0.37880475796892826</v>
      </c>
      <c r="K54" s="54">
        <f>D54-G54</f>
        <v>437913684.37146574</v>
      </c>
      <c r="L54" s="54">
        <f t="shared" si="3"/>
        <v>46537938.54460635</v>
      </c>
      <c r="M54" s="54">
        <f t="shared" si="3"/>
        <v>484451622.91607207</v>
      </c>
      <c r="N54" s="54">
        <f ca="1">IFERROR(M54/C3,0)</f>
        <v>25497453.837688003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136824324.99945</v>
      </c>
      <c r="H55" s="122">
        <f t="shared" si="4"/>
        <v>20186105.800000001</v>
      </c>
      <c r="I55" s="122">
        <f t="shared" si="1"/>
        <v>157010430.79945001</v>
      </c>
      <c r="J55" s="61">
        <f t="shared" si="2"/>
        <v>0.28413122783191974</v>
      </c>
      <c r="K55" s="54">
        <f t="shared" si="3"/>
        <v>345487853.47791541</v>
      </c>
      <c r="L55" s="54">
        <f t="shared" si="3"/>
        <v>50100006.299588963</v>
      </c>
      <c r="M55" s="54">
        <f t="shared" si="3"/>
        <v>395587859.77750432</v>
      </c>
      <c r="N55" s="54">
        <f ca="1">IFERROR(M55/C3,0)</f>
        <v>20820413.672500227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127859462.110531</v>
      </c>
      <c r="H56" s="122">
        <f t="shared" si="4"/>
        <v>35763721.987392001</v>
      </c>
      <c r="I56" s="122">
        <f t="shared" si="1"/>
        <v>163623184.09792301</v>
      </c>
      <c r="J56" s="61">
        <f t="shared" si="2"/>
        <v>0.26048660776671034</v>
      </c>
      <c r="K56" s="54">
        <f t="shared" si="3"/>
        <v>377332540.89255559</v>
      </c>
      <c r="L56" s="54">
        <f t="shared" si="3"/>
        <v>87188598.822370112</v>
      </c>
      <c r="M56" s="54">
        <f t="shared" si="3"/>
        <v>464521139.71492565</v>
      </c>
      <c r="N56" s="54">
        <f ca="1">IFERROR(M56/C3,0)</f>
        <v>24448481.037627667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561339503.21706402</v>
      </c>
      <c r="H57" s="122">
        <f t="shared" si="4"/>
        <v>60567158.439654998</v>
      </c>
      <c r="I57" s="122">
        <f t="shared" si="1"/>
        <v>621906661.65671897</v>
      </c>
      <c r="J57" s="61">
        <f t="shared" si="2"/>
        <v>0.53502759608946171</v>
      </c>
      <c r="K57" s="54">
        <f t="shared" si="3"/>
        <v>499905899.83165467</v>
      </c>
      <c r="L57" s="54">
        <f t="shared" si="3"/>
        <v>40569839.349003397</v>
      </c>
      <c r="M57" s="54">
        <f t="shared" si="3"/>
        <v>540475739.1806581</v>
      </c>
      <c r="N57" s="54">
        <f ca="1">IFERROR(M57/C3,0)</f>
        <v>28446091.535824109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151748923.28218701</v>
      </c>
      <c r="H58" s="122">
        <f t="shared" si="4"/>
        <v>28695332.549947001</v>
      </c>
      <c r="I58" s="122">
        <f>G58+H58</f>
        <v>180444255.83213401</v>
      </c>
      <c r="J58" s="61">
        <f>IFERROR(I58/F58,0)</f>
        <v>0.27021544598685204</v>
      </c>
      <c r="K58" s="54">
        <f t="shared" si="3"/>
        <v>411365247.45190179</v>
      </c>
      <c r="L58" s="54">
        <f t="shared" si="3"/>
        <v>75969702.205623478</v>
      </c>
      <c r="M58" s="54">
        <f t="shared" si="3"/>
        <v>487334949.6575253</v>
      </c>
      <c r="N58" s="54">
        <f ca="1">IFERROR(M58/C3,0)</f>
        <v>25649207.876711857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157058366.74000001</v>
      </c>
      <c r="H59" s="122">
        <f>IF(D23="",0,D23)</f>
        <v>0</v>
      </c>
      <c r="I59" s="122">
        <f>G59+H59</f>
        <v>157058366.74000001</v>
      </c>
      <c r="J59" s="61">
        <f>IFERROR(I59/F59,0)</f>
        <v>0.36538016698879311</v>
      </c>
      <c r="K59" s="54">
        <f>D59-G59</f>
        <v>272790817.56128496</v>
      </c>
      <c r="L59" s="54">
        <f>E59-H59</f>
        <v>0</v>
      </c>
      <c r="M59" s="54">
        <f>F59-I59</f>
        <v>272790817.56128496</v>
      </c>
      <c r="N59" s="54">
        <f ca="1">IFERROR(M59/C3,0)</f>
        <v>14357411.450593945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103789584.155489</v>
      </c>
      <c r="H60" s="122">
        <f t="shared" ref="H60:H64" si="5">N15</f>
        <v>28994222.53788</v>
      </c>
      <c r="I60" s="122">
        <f t="shared" si="1"/>
        <v>132783806.693369</v>
      </c>
      <c r="J60" s="61">
        <f t="shared" si="2"/>
        <v>0.20997320073095094</v>
      </c>
      <c r="K60" s="54">
        <f t="shared" si="3"/>
        <v>410931527.27135909</v>
      </c>
      <c r="L60" s="54">
        <f t="shared" si="3"/>
        <v>88669209.544286072</v>
      </c>
      <c r="M60" s="54">
        <f t="shared" si="3"/>
        <v>499600736.8156451</v>
      </c>
      <c r="N60" s="54">
        <f ca="1">IFERROR(M60/C3,0)</f>
        <v>26294775.621876057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195846721.56933901</v>
      </c>
      <c r="H61" s="122">
        <f t="shared" si="5"/>
        <v>17547401.849993002</v>
      </c>
      <c r="I61" s="122">
        <f t="shared" si="1"/>
        <v>213394123.419332</v>
      </c>
      <c r="J61" s="61">
        <f t="shared" si="2"/>
        <v>0.27721041877432057</v>
      </c>
      <c r="K61" s="54">
        <f t="shared" si="3"/>
        <v>502998454.67026198</v>
      </c>
      <c r="L61" s="54">
        <f t="shared" si="3"/>
        <v>53398558.776217818</v>
      </c>
      <c r="M61" s="54">
        <f t="shared" si="3"/>
        <v>556397013.4464798</v>
      </c>
      <c r="N61" s="54">
        <f ca="1">IFERROR(M61/C3,0)</f>
        <v>29284053.33928841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118036609.343014</v>
      </c>
      <c r="H62" s="122">
        <f t="shared" si="5"/>
        <v>13381471.759699</v>
      </c>
      <c r="I62" s="122">
        <f t="shared" si="1"/>
        <v>131418081.102713</v>
      </c>
      <c r="J62" s="61">
        <f t="shared" si="2"/>
        <v>0.24785501546724736</v>
      </c>
      <c r="K62" s="54">
        <f t="shared" si="3"/>
        <v>363833754.8743521</v>
      </c>
      <c r="L62" s="54">
        <f t="shared" si="3"/>
        <v>34969756.89636679</v>
      </c>
      <c r="M62" s="54">
        <f t="shared" si="3"/>
        <v>398803511.77071893</v>
      </c>
      <c r="N62" s="54">
        <f ca="1">IFERROR(M62/C3,0)</f>
        <v>20989658.514248364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297309706.16952598</v>
      </c>
      <c r="H63" s="122">
        <f t="shared" si="5"/>
        <v>90155860.949754</v>
      </c>
      <c r="I63" s="122">
        <f t="shared" si="1"/>
        <v>387465567.11927998</v>
      </c>
      <c r="J63" s="61">
        <f t="shared" si="2"/>
        <v>0.37538844520357734</v>
      </c>
      <c r="K63" s="54">
        <f t="shared" si="3"/>
        <v>408745222.82327449</v>
      </c>
      <c r="L63" s="54">
        <f t="shared" si="3"/>
        <v>235961542.66388232</v>
      </c>
      <c r="M63" s="54">
        <f t="shared" si="3"/>
        <v>644706765.48715675</v>
      </c>
      <c r="N63" s="54">
        <f ca="1">IFERROR(M63/C3,0)</f>
        <v>33931935.025639832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97491663.527303994</v>
      </c>
      <c r="H64" s="122">
        <f t="shared" si="5"/>
        <v>27290932.267790001</v>
      </c>
      <c r="I64" s="122">
        <f t="shared" si="1"/>
        <v>124782595.795094</v>
      </c>
      <c r="J64" s="61">
        <f t="shared" si="2"/>
        <v>0.21145554898441665</v>
      </c>
      <c r="K64" s="54">
        <f t="shared" si="3"/>
        <v>281110434.04023319</v>
      </c>
      <c r="L64" s="54">
        <f t="shared" si="3"/>
        <v>184219626.91169399</v>
      </c>
      <c r="M64" s="54">
        <f t="shared" si="3"/>
        <v>465330060.95192719</v>
      </c>
      <c r="N64" s="54">
        <f ca="1">IFERROR(M64/C3,0)</f>
        <v>24491055.839575116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2699645624.6851726</v>
      </c>
      <c r="H65" s="152">
        <f>SUM(H51:H64)</f>
        <v>432078976.51771498</v>
      </c>
      <c r="I65" s="152">
        <f>SUM(I51:I64)</f>
        <v>3131724601.2028871</v>
      </c>
      <c r="J65" s="153">
        <f>IFERROR(I65/F65,0)</f>
        <v>0.33208294122594439</v>
      </c>
      <c r="K65" s="154">
        <f>SUM(K51:K64)</f>
        <v>5248198181.6625175</v>
      </c>
      <c r="L65" s="154">
        <f>SUM(L51:L64)</f>
        <v>1050626674.5730252</v>
      </c>
      <c r="M65" s="154">
        <f>SUM(M51:M64)</f>
        <v>6298824856.2355413</v>
      </c>
      <c r="N65" s="154">
        <f ca="1">IFERROR(M65/C3,0)</f>
        <v>331517097.69660741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174692432.29995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29056787.659999996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3783783.68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116541643.41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23833333.100000001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542047063.92997897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75587483.139801994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5495495.3399999999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32258641.620000001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248940542.69973299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53854817.979999997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4739892.0020000003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14454054.380000001</v>
      </c>
    </row>
    <row r="84" spans="2:9" ht="20.100000000000001" customHeight="1" x14ac:dyDescent="0.25">
      <c r="B84" s="57" t="s">
        <v>152</v>
      </c>
      <c r="C84" s="58"/>
      <c r="D84" s="129">
        <f>SUM(D70:D83)</f>
        <v>1325285971.2414641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41968297.104760997</v>
      </c>
      <c r="F89" s="61">
        <f t="shared" ref="F89:F94" si="7">IFERROR(E89/D89,0)</f>
        <v>0.14316959743343904</v>
      </c>
      <c r="G89" s="125">
        <f>D89-E89</f>
        <v>251168638.78885615</v>
      </c>
      <c r="H89" s="125">
        <f ca="1">IFERROR(G89/C3,0)</f>
        <v>13219402.041518744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156178439.40893</v>
      </c>
      <c r="F90" s="61">
        <f t="shared" si="7"/>
        <v>0.35784806756847337</v>
      </c>
      <c r="G90" s="126">
        <f>D90-E90</f>
        <v>280259405.48468715</v>
      </c>
      <c r="H90" s="126">
        <f ca="1">IFERROR(G90/C3,0)</f>
        <v>14750495.025509849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83115251.122900009</v>
      </c>
      <c r="F91" s="61">
        <f t="shared" si="7"/>
        <v>7.4111513792320602E-2</v>
      </c>
      <c r="G91" s="125">
        <f>D91-E91</f>
        <v>1038373797.8771</v>
      </c>
      <c r="H91" s="125">
        <f ca="1">IFERROR(G91/C3,0)</f>
        <v>54651252.519847371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281261987.63659102</v>
      </c>
      <c r="F94" s="43">
        <f t="shared" si="7"/>
        <v>0.15194613125195144</v>
      </c>
      <c r="G94" s="119">
        <f>SUM(G89:G93)</f>
        <v>1569801842.1506433</v>
      </c>
      <c r="H94" s="119">
        <f ca="1">IFERROR(G94/C3,0)</f>
        <v>82621149.58687596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2"/>
      <c r="L48" s="243"/>
      <c r="M48" s="243"/>
      <c r="N48" s="244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5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5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9" t="s">
        <v>145</v>
      </c>
      <c r="C87" s="240"/>
      <c r="D87" s="240"/>
      <c r="E87" s="240"/>
      <c r="F87" s="241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2026-07-10T00:44:46Z</dcterms:modified>
  <dc:language>en-US</dc:language>
</cp:coreProperties>
</file>