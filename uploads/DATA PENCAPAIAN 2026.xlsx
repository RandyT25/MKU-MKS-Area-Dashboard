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<sst xmlns="http://schemas.openxmlformats.org/spreadsheetml/2006/main" count="2122" uniqueCount="228">
  <si>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</si>
  <si>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</si>
  <si>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</si>
  <si>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</si>
  <si>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</si>
  <si>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</si>
  <si>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</si>
  <si>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</si>
  <si>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</si>
  <si>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</si>
  <si>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</si>
  <si>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</si>
  <si>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</si>
  <si>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</si>
  <si>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</si>
  <si>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</si>
  <si>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</si>
  <si>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</si>
  <si>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</si>
  <si>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</si>
  <si>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</si>
  <si>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</si>
  <si>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</si>
  <si>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</si>
  <si>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</si>
  <si>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</si>
  <si>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</si>
  <si>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</si>
  <si>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</si>
  <si>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</si>
  <si>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</si>
  <si>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</si>
  <si>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</si>
  <si>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</si>
  <si>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</si>
  <si>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</si>
  <si>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</si>
  <si>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</si>
  <si>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</si>
  <si>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</si>
  <si>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</si>
  <si>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</si>
  <si>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</si>
  <si>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</si>
  <si>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</si>
  <si>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</si>
  <si>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</si>
  <si>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</si>
  <si>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</si>
  <si>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</si>
  <si>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</si>
  <si>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</si>
  <si>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</si>
  <si>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</si>
  <si>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</si>
  <si>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</si>
  <si>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</si>
  <si>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</si>
  <si>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</si>
  <si>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</si>
  <si>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</si>
  <si>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</si>
  <si>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</si>
  <si>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</si>
  <si>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</si>
  <si>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</si>
  <si>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</si>
  <si>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</si>
  <si>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</si>
  <si>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</si>
  <si>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</si>
  <si>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</si>
  <si>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</si>
  <si>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</si>
  <si>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</si>
  <si>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</si>
  <si>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</si>
  <si>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</si>
  <si>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</si>
  <si>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</si>
  <si>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</si>
  <si>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</si>
  <si>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</si>
  <si>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</si>
  <si>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</si>
  <si>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</si>
  <si>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</si>
  <si>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</si>
  <si>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</si>
  <si>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</si>
  <si>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</si>
  <si>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</si>
  <si>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</si>
  <si>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</si>
  <si>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</si>
  <si>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</si>
  <si>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</si>
  <si>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</si>
  <si>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</si>
  <si>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</si>
  <si>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</si>
  <si>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</si>
  <si>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</si>
  <si>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</si>
  <si>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</si>
  <si>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</si>
  <si>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</si>
  <si>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</si>
  <si>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</si>
  <si>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</si>
  <si>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</si>
  <si>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</si>
  <si>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</si>
  <si>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</si>
  <si>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</si>
  <si>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</si>
  <si>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</si>
  <si>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</si>
  <si>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</si>
  <si>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</si>
  <si>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</si>
  <si>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</si>
  <si>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</si>
  <si>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</si>
  <si>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</si>
  <si>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</si>
  <si>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</si>
  <si>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</si>
  <si>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</si>
  <si>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</si>
  <si>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</si>
  <si>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</si>
  <si>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</si>
  <si>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</si>
  <si>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</si>
  <si>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</si>
  <si>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</si>
  <si>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</si>
  <si>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</si>
  <si>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</si>
  <si>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</si>
  <si>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</si>
  <si>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</si>
  <si>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</si>
  <si>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</si>
  <si>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</si>
  <si>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</si>
  <si>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</si>
  <si>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</si>
  <si>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</si>
  <si>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</si>
  <si>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</si>
  <si>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</si>
  <si>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</si>
  <si>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</si>
  <si>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</si>
  <si>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</si>
  <si>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</si>
  <si>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</si>
  <si>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</si>
  <si>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</si>
  <si>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</si>
  <si>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</si>
  <si>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</si>
  <si>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</si>
  <si>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</si>
  <si>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</si>
  <si>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</si>
  <si>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</si>
  <si>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</si>
  <si>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</si>
  <si>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</si>
  <si>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</si>
  <si>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</si>
  <si>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</si>
  <si>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</si>
  <si>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</si>
  <si>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</si>
  <si>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</si>
  <si>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</si>
  <si>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</si>
  <si>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</si>
  <si>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</si>
  <si>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</si>
  <si>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</si>
  <si>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</si>
  <si>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</si>
  <si>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</si>
  <si>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</si>
  <si>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</si>
  <si>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</si>
  <si>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</si>
  <si>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</si>
  <si>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</si>
  <si>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</si>
  <si>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</si>
  <si>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</si>
  <si>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</si>
  <si>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</si>
  <si>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</si>
  <si>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</si>
  <si>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</si>
  <si>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</si>
  <si>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</si>
  <si>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</si>
  <si>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</si>
  <si>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</si>
  <si>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</si>
  <si>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</si>
  <si>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</si>
  <si>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</si>
  <si>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</si>
  <si>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</si>
  <si>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</si>
  <si>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</si>
  <si>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</si>
  <si>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</si>
  <si>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</si>
  <si>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</si>
  <si>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</si>
  <si>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</si>
  <si>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</si>
  <si>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</si>
  <si>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</si>
  <si>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</si>
  <si>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</si>
  <si>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</si>
  <si>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15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</si>
</sst>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5" t="s">
        <v>177</v>
      </c>
      <c r="C41" s="276"/>
      <c r="D41" s="27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  <c r="Q48"/>
      <c r="R48"/>
    </row>
    <row r="49" spans="2:18" s="139" customFormat="1" ht="33.950000000000003" customHeight="1" x14ac:dyDescent="0.25">
      <c r="B49" s="283" t="s">
        <v>41</v>
      </c>
      <c r="C49" s="283" t="s">
        <v>42</v>
      </c>
      <c r="D49" s="280" t="s">
        <v>137</v>
      </c>
      <c r="E49" s="281"/>
      <c r="F49" s="282"/>
      <c r="G49" s="140" t="s">
        <v>138</v>
      </c>
      <c r="H49" s="140"/>
      <c r="I49" s="140"/>
      <c r="J49" s="280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3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3"/>
      <c r="C50" s="28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0"/>
      <c r="K50" s="270"/>
      <c r="L50" s="270"/>
      <c r="M50" s="272"/>
      <c r="N50" s="188"/>
      <c r="O50" s="183"/>
      <c r="P50" s="274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65" t="s">
        <v>41</v>
      </c>
      <c r="C78" s="265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65" t="s">
        <v>41</v>
      </c>
      <c r="C78" s="265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5" t="s">
        <v>179</v>
      </c>
      <c r="C41" s="276"/>
      <c r="D41" s="27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5" t="s">
        <v>188</v>
      </c>
      <c r="C41" s="276"/>
      <c r="D41" s="27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5" t="s">
        <v>218</v>
      </c>
      <c r="C40" s="276"/>
      <c r="D40" s="27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5.75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8"/>
      <c r="G67" s="266" t="s">
        <v>185</v>
      </c>
      <c r="H67" s="267"/>
      <c r="I67" s="267"/>
      <c r="J67" s="267"/>
      <c r="K67" s="267"/>
      <c r="L67" s="268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65" t="s">
        <v>41</v>
      </c>
      <c r="C78" s="265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226</v>
      </c>
      <c r="C40" s="276"/>
      <c r="D40" s="27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95%</v>
      </c>
      <c r="N49" s="269" t="str">
        <f>"PER HARI"&amp;CHAR(10)&amp;TEXT($H$40,"0%")</f>
        <v>PER HARI
95%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7" zoomScale="73" zoomScaleNormal="73" workbookViewId="0">
      <selection activeCell="F84" sqref="F8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15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108491078.23319</v>
      </c>
      <c r="D10" s="235">
        <v>28853402.252997</v>
      </c>
      <c r="E10" s="235">
        <v>95509510.546053007</v>
      </c>
      <c r="F10" s="235">
        <v>89488257.319955006</v>
      </c>
      <c r="G10" s="235">
        <v>322342248.35219502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11321748</v>
      </c>
      <c r="E11" s="235">
        <v>194256760.47999999</v>
      </c>
      <c r="F11" s="235" t="s">
        <v>164</v>
      </c>
      <c r="G11" s="235">
        <v>207598778.73999399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95432581.616765007</v>
      </c>
      <c r="D12" s="235">
        <v>32226166.208450999</v>
      </c>
      <c r="E12" s="235">
        <v>94953901.779808</v>
      </c>
      <c r="F12" s="235">
        <v>72059328.030000001</v>
      </c>
      <c r="G12" s="235">
        <v>294671977.63502401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14776347.166142</v>
      </c>
      <c r="D13" s="235">
        <v>19568874.429935001</v>
      </c>
      <c r="E13" s="235">
        <v>122032587.539563</v>
      </c>
      <c r="F13" s="235">
        <v>42075677.159999996</v>
      </c>
      <c r="G13" s="235">
        <v>198453486.29563999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231344421.34488001</v>
      </c>
      <c r="D14" s="235">
        <v>18798589.843951002</v>
      </c>
      <c r="E14" s="235">
        <v>86190789.240567997</v>
      </c>
      <c r="F14" s="235">
        <v>186221031.05983999</v>
      </c>
      <c r="G14" s="235">
        <v>522554831.48923898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278517469.25687999</v>
      </c>
      <c r="D15" s="235">
        <v>3384531.5399989998</v>
      </c>
      <c r="E15" s="235">
        <v>8098777.1999329999</v>
      </c>
      <c r="F15" s="235">
        <v>8868108.2860000003</v>
      </c>
      <c r="G15" s="235">
        <v>298868886.282812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288931596.94930601</v>
      </c>
      <c r="D16" s="235">
        <v>39953699.759773001</v>
      </c>
      <c r="E16" s="235">
        <v>181945181.62965199</v>
      </c>
      <c r="F16" s="235">
        <v>774550448.90985405</v>
      </c>
      <c r="G16" s="235">
        <v>1285380927.248585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55539167.510352999</v>
      </c>
      <c r="D17" s="235">
        <v>17330721.166446</v>
      </c>
      <c r="E17" s="235">
        <v>36215365.689180002</v>
      </c>
      <c r="F17" s="235">
        <v>29467568.309999999</v>
      </c>
      <c r="G17" s="235">
        <v>138552822.67597899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13183880</v>
      </c>
      <c r="D18" s="235">
        <v>66329906.019749999</v>
      </c>
      <c r="E18" s="235">
        <v>26612694.5</v>
      </c>
      <c r="F18" s="235">
        <v>84291893.659999996</v>
      </c>
      <c r="G18" s="235">
        <v>190418374.17975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17273036.079999998</v>
      </c>
      <c r="D19" s="235" t="s">
        <v>164</v>
      </c>
      <c r="E19" s="235" t="s">
        <v>164</v>
      </c>
      <c r="F19" s="235">
        <v>12245044.800000001</v>
      </c>
      <c r="G19" s="235">
        <v>29518080.879999999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72734778.079999998</v>
      </c>
      <c r="D20" s="235" t="s">
        <v>164</v>
      </c>
      <c r="E20" s="235" t="s">
        <v>164</v>
      </c>
      <c r="F20" s="235">
        <v>6144143.9800000004</v>
      </c>
      <c r="G20" s="235">
        <v>78878922.060000002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162064024.27581599</v>
      </c>
      <c r="D21" s="235">
        <v>25068502.808453001</v>
      </c>
      <c r="E21" s="235">
        <v>81457987.879861996</v>
      </c>
      <c r="F21" s="235">
        <v>291434084.52989</v>
      </c>
      <c r="G21" s="235">
        <v>560024599.49402106</v>
      </c>
      <c r="H21" s="111"/>
      <c r="I21" s="111"/>
      <c r="J21" s="111"/>
      <c r="M21" s="14">
        <f>SUM(C33,C34)+M20</f>
        <v>451102850.86298001</v>
      </c>
      <c r="N21" s="10" t="s">
        <v>223</v>
      </c>
    </row>
    <row r="22" spans="2:15" ht="15" customHeight="1" x14ac:dyDescent="0.25">
      <c r="B22" s="72" t="s">
        <v>224</v>
      </c>
      <c r="C22" s="235">
        <v>99768365.289272994</v>
      </c>
      <c r="D22" s="235">
        <v>36085164.294113003</v>
      </c>
      <c r="E22" s="235">
        <v>68600964.549915999</v>
      </c>
      <c r="F22" s="235">
        <v>76336126.399987996</v>
      </c>
      <c r="G22" s="235">
        <v>280790620.53329003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161731953.45904899</v>
      </c>
      <c r="D23" s="235">
        <v>39560929.939926997</v>
      </c>
      <c r="E23" s="235">
        <v>85198515.534500003</v>
      </c>
      <c r="F23" s="235">
        <v>160590990.42971</v>
      </c>
      <c r="G23" s="235">
        <v>447082389.363186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243614402.36164501</v>
      </c>
      <c r="D24" s="235">
        <v>35532914.459980004</v>
      </c>
      <c r="E24" s="235">
        <v>99959775.529969007</v>
      </c>
      <c r="F24" s="235">
        <v>383845763.86940998</v>
      </c>
      <c r="G24" s="235">
        <v>762952856.22100401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151813168.437199</v>
      </c>
      <c r="D25" s="235">
        <v>45994509.114182003</v>
      </c>
      <c r="E25" s="235">
        <v>60648031.679849997</v>
      </c>
      <c r="F25" s="235">
        <v>7732432.6699999999</v>
      </c>
      <c r="G25" s="235">
        <v>266188141.90123099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230773686.13102701</v>
      </c>
      <c r="D26" s="235">
        <v>97992674.691796005</v>
      </c>
      <c r="E26" s="235">
        <v>120829857.84827</v>
      </c>
      <c r="F26" s="235">
        <v>10503351.5802</v>
      </c>
      <c r="G26" s="235">
        <v>460099570.251293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125669969.79935899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75792428.177214995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91699442.981858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359403407.88112199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227</v>
      </c>
      <c r="C40" s="276"/>
      <c r="D40" s="277"/>
      <c r="E40" s="66" t="s">
        <v>137</v>
      </c>
      <c r="F40" s="174">
        <f ca="1">IF(MONTH(TODAY())=10,DAY(TODAY())/DAY(EOMONTH(TODAY(),0)),IF(MONTH(TODAY())&gt;10,1,0))</f>
        <v>0.4838709677419355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1949492757.1946392</v>
      </c>
      <c r="F42" s="176">
        <f>IFERROR(E42/D42,0)</f>
        <v>0.43665693896067348</v>
      </c>
      <c r="G42" s="184">
        <f>D42*$H$40-E42</f>
        <v>2515093931.4648895</v>
      </c>
      <c r="H42" s="184">
        <f ca="1">IFERROR(G42/$C$3,0)</f>
        <v>167672928.76432598</v>
      </c>
      <c r="I42" s="204">
        <f>D42*$J$40-E42</f>
        <v>2515093931.4648895</v>
      </c>
      <c r="J42" s="204">
        <f ca="1">IFERROR(I42/$C$3,0)</f>
        <v>167672928.76432598</v>
      </c>
      <c r="K42" s="185">
        <f>D42*$L$40-E42</f>
        <v>2515093931.4648895</v>
      </c>
      <c r="L42" s="185">
        <f ca="1">IFERROR(K42/$C$3,0)</f>
        <v>167672928.76432598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514617802.98975396</v>
      </c>
      <c r="F43" s="176">
        <f>IFERROR(E43/D43,0)</f>
        <v>0.40207403783332157</v>
      </c>
      <c r="G43" s="184">
        <f>D43*$H$40-E43</f>
        <v>765290260.11947632</v>
      </c>
      <c r="H43" s="184">
        <f ca="1">IFERROR(G43/$C$3,0)</f>
        <v>51019350.674631752</v>
      </c>
      <c r="I43" s="204">
        <f>D43*$J$40-E43</f>
        <v>765290260.11947632</v>
      </c>
      <c r="J43" s="204">
        <f ca="1">IFERROR(I43/$C$3,0)</f>
        <v>51019350.674631752</v>
      </c>
      <c r="K43" s="185">
        <f>D43*$L$40-E43</f>
        <v>765290260.11947632</v>
      </c>
      <c r="L43" s="185">
        <f ca="1">IFERROR(K43/$C$3,0)</f>
        <v>51019350.674631752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1354411924.4271908</v>
      </c>
      <c r="F44" s="176">
        <f>IFERROR(E44/D44,0)</f>
        <v>0.46479356438681846</v>
      </c>
      <c r="G44" s="184">
        <f>IF(D44=0,0,D44*$H$40-E44)</f>
        <v>1559595558.0430245</v>
      </c>
      <c r="H44" s="184">
        <f ca="1">IFERROR(G44/$C$3,0)</f>
        <v>103973037.2028683</v>
      </c>
      <c r="I44" s="204">
        <f>IF(D44=0,0,D44*$J$40-E44)</f>
        <v>1559595558.0430245</v>
      </c>
      <c r="J44" s="204">
        <f ca="1">IFERROR(I44/$C$3,0)</f>
        <v>103973037.2028683</v>
      </c>
      <c r="K44" s="185">
        <f>IF(D44=0,0,D44*$L$40-E44)</f>
        <v>1559595558.0430245</v>
      </c>
      <c r="L44" s="185">
        <f ca="1">IFERROR(K44/$C$3,0)</f>
        <v>103973037.2028683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652565248.83955407</v>
      </c>
      <c r="F45" s="176">
        <f>IFERROR(E45/D45,0)</f>
        <v>0.36665351698098075</v>
      </c>
      <c r="G45" s="184">
        <f>D45*$H$40-E45</f>
        <v>1127221985.2029991</v>
      </c>
      <c r="H45" s="184">
        <f ca="1">IFERROR(G45/$C$3,0)</f>
        <v>75148132.346866608</v>
      </c>
      <c r="I45" s="204">
        <f>D45*$J$40-E45</f>
        <v>1127221985.2029991</v>
      </c>
      <c r="J45" s="204">
        <f ca="1">IFERROR(I45/$C$3,0)</f>
        <v>75148132.346866608</v>
      </c>
      <c r="K45" s="185">
        <f>D45*$L$40-E45</f>
        <v>1127221985.2029991</v>
      </c>
      <c r="L45" s="185">
        <f ca="1">IFERROR(K45/$C$3,0)</f>
        <v>75148132.346866608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4471087733.4511375</v>
      </c>
      <c r="F46" s="177">
        <f>IFERROR(E46/D46,0)</f>
        <v>0.42833528874987409</v>
      </c>
      <c r="G46" s="181">
        <f>SUM(G42:G45)</f>
        <v>5967201734.830389</v>
      </c>
      <c r="H46" s="181">
        <f ca="1">IFERROR(G46/$C$3,0)</f>
        <v>397813448.98869258</v>
      </c>
      <c r="I46" s="186">
        <f>SUM(I42:I45)</f>
        <v>5967201734.830389</v>
      </c>
      <c r="J46" s="186">
        <f ca="1">IFERROR(I46/$C$3,0)</f>
        <v>397813448.98869258</v>
      </c>
      <c r="K46" s="186">
        <f>SUM(K42:K45)</f>
        <v>5967201734.830389</v>
      </c>
      <c r="L46" s="186">
        <f ca="1">IFERROR(K46/$C$3,0)</f>
        <v>397813448.98869258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100%</v>
      </c>
      <c r="N49" s="269" t="str">
        <f>"PER HARI"&amp;CHAR(10)&amp;TEXT($H$40,"0%")</f>
        <v>PER HARI
100%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162064024.27581599</v>
      </c>
      <c r="I51" s="114">
        <f t="shared" ref="I51:I64" si="1">SUMIF($B$10:$B$26,$T51,D$10:D$26)+SUMIF($B$10:$B$26,$U51,D$10:D$26)</f>
        <v>25068502.808453001</v>
      </c>
      <c r="J51" s="114">
        <f t="shared" ref="J51:J64" si="2">SUMIF($B$10:$B$26,$T51,E$10:E$26)+SUMIF($B$10:$B$26,$U51,E$10:E$26)</f>
        <v>81457987.879861996</v>
      </c>
      <c r="K51" s="114">
        <f t="shared" ref="K51:K64" si="3">SUM(H51:J51)</f>
        <v>268590514.964131</v>
      </c>
      <c r="L51" s="187">
        <f t="shared" ref="L51:L65" si="4">IFERROR(K51/G51,0)</f>
        <v>0.54125724687022991</v>
      </c>
      <c r="M51" s="184">
        <f t="shared" ref="M51:M64" si="5">G51*$H$40-K51</f>
        <v>227643977.07681787</v>
      </c>
      <c r="N51" s="184">
        <f t="shared" ref="N51:N65" ca="1" si="6">IFERROR(M51/$C$3,0)</f>
        <v>15176265.138454525</v>
      </c>
      <c r="O51" s="180">
        <f t="shared" ref="O51:O64" si="7">G51*$J$40-K51</f>
        <v>227643977.07681787</v>
      </c>
      <c r="P51" s="180">
        <f t="shared" ref="P51:P65" ca="1" si="8">IFERROR(O51/$C$3,0)</f>
        <v>15176265.138454525</v>
      </c>
      <c r="Q51" s="185">
        <f t="shared" ref="Q51:Q64" si="9">G51*$L$40-K51</f>
        <v>227643977.07681787</v>
      </c>
      <c r="R51" s="185">
        <f t="shared" ref="R51:R65" ca="1" si="10">IFERROR(Q51/$C$3,0)</f>
        <v>15176265.138454525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110208928.78290701</v>
      </c>
      <c r="I52" s="114">
        <f t="shared" si="1"/>
        <v>51795040.638385996</v>
      </c>
      <c r="J52" s="114">
        <f t="shared" si="2"/>
        <v>216986489.31937099</v>
      </c>
      <c r="K52" s="114">
        <f t="shared" si="3"/>
        <v>378990458.74066401</v>
      </c>
      <c r="L52" s="187">
        <f t="shared" si="4"/>
        <v>0.49386887656458289</v>
      </c>
      <c r="M52" s="184">
        <f t="shared" si="5"/>
        <v>388400394.83361197</v>
      </c>
      <c r="N52" s="184">
        <f t="shared" ca="1" si="6"/>
        <v>25893359.655574132</v>
      </c>
      <c r="O52" s="180">
        <f t="shared" si="7"/>
        <v>388400394.83361197</v>
      </c>
      <c r="P52" s="180">
        <f t="shared" ca="1" si="8"/>
        <v>25893359.655574132</v>
      </c>
      <c r="Q52" s="185">
        <f t="shared" si="9"/>
        <v>388400394.83361197</v>
      </c>
      <c r="R52" s="185">
        <f t="shared" ca="1" si="10"/>
        <v>25893359.655574132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17273036.079999998</v>
      </c>
      <c r="I53" s="114">
        <f t="shared" si="1"/>
        <v>0</v>
      </c>
      <c r="J53" s="114">
        <f t="shared" si="2"/>
        <v>0</v>
      </c>
      <c r="K53" s="114">
        <f t="shared" si="3"/>
        <v>17273036.079999998</v>
      </c>
      <c r="L53" s="187">
        <f t="shared" si="4"/>
        <v>6.5688656066110754E-2</v>
      </c>
      <c r="M53" s="184">
        <f t="shared" si="5"/>
        <v>245680068.98301077</v>
      </c>
      <c r="N53" s="184">
        <f t="shared" ca="1" si="6"/>
        <v>16378671.265534051</v>
      </c>
      <c r="O53" s="180">
        <f t="shared" si="7"/>
        <v>245680068.98301077</v>
      </c>
      <c r="P53" s="180">
        <f t="shared" ca="1" si="8"/>
        <v>16378671.265534051</v>
      </c>
      <c r="Q53" s="185">
        <f t="shared" si="9"/>
        <v>245680068.98301077</v>
      </c>
      <c r="R53" s="185">
        <f t="shared" ca="1" si="10"/>
        <v>16378671.265534051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231344421.34488001</v>
      </c>
      <c r="I54" s="114">
        <f t="shared" si="1"/>
        <v>18798589.843951002</v>
      </c>
      <c r="J54" s="114">
        <f t="shared" si="2"/>
        <v>86190789.240567997</v>
      </c>
      <c r="K54" s="114">
        <f t="shared" si="3"/>
        <v>336333800.42939901</v>
      </c>
      <c r="L54" s="187">
        <f t="shared" si="4"/>
        <v>0.47468650901958215</v>
      </c>
      <c r="M54" s="184">
        <f t="shared" si="5"/>
        <v>372204980.51060092</v>
      </c>
      <c r="N54" s="184">
        <f t="shared" ca="1" si="6"/>
        <v>24813665.367373396</v>
      </c>
      <c r="O54" s="180">
        <f t="shared" si="7"/>
        <v>372204980.51060092</v>
      </c>
      <c r="P54" s="180">
        <f t="shared" ca="1" si="8"/>
        <v>24813665.367373396</v>
      </c>
      <c r="Q54" s="185">
        <f t="shared" si="9"/>
        <v>372204980.51060092</v>
      </c>
      <c r="R54" s="185">
        <f t="shared" ca="1" si="10"/>
        <v>24813665.367373396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11321748</v>
      </c>
      <c r="J55" s="114">
        <f t="shared" si="2"/>
        <v>194256760.47999999</v>
      </c>
      <c r="K55" s="114">
        <f t="shared" si="3"/>
        <v>207598778.73999399</v>
      </c>
      <c r="L55" s="187">
        <f t="shared" si="4"/>
        <v>0.38644525774505351</v>
      </c>
      <c r="M55" s="184">
        <f t="shared" si="5"/>
        <v>329602220.83069164</v>
      </c>
      <c r="N55" s="184">
        <f t="shared" ca="1" si="6"/>
        <v>21973481.388712775</v>
      </c>
      <c r="O55" s="180">
        <f t="shared" si="7"/>
        <v>329602220.83069164</v>
      </c>
      <c r="P55" s="180">
        <f t="shared" ca="1" si="8"/>
        <v>21973481.388712775</v>
      </c>
      <c r="Q55" s="185">
        <f t="shared" si="9"/>
        <v>329602220.83069164</v>
      </c>
      <c r="R55" s="185">
        <f t="shared" ca="1" si="10"/>
        <v>21973481.388712775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99768365.289272994</v>
      </c>
      <c r="I56" s="114">
        <f t="shared" si="1"/>
        <v>36085164.294113003</v>
      </c>
      <c r="J56" s="114">
        <f t="shared" si="2"/>
        <v>68600964.549915999</v>
      </c>
      <c r="K56" s="114">
        <f t="shared" si="3"/>
        <v>204454494.133302</v>
      </c>
      <c r="L56" s="187">
        <f t="shared" si="4"/>
        <v>0.36718702433404604</v>
      </c>
      <c r="M56" s="184">
        <f t="shared" si="5"/>
        <v>352358466.52105069</v>
      </c>
      <c r="N56" s="184">
        <f t="shared" ca="1" si="6"/>
        <v>23490564.434736714</v>
      </c>
      <c r="O56" s="180">
        <f t="shared" si="7"/>
        <v>352358466.52105069</v>
      </c>
      <c r="P56" s="180">
        <f t="shared" ca="1" si="8"/>
        <v>23490564.434736714</v>
      </c>
      <c r="Q56" s="185">
        <f t="shared" si="9"/>
        <v>352358466.52105069</v>
      </c>
      <c r="R56" s="185">
        <f t="shared" ca="1" si="10"/>
        <v>23490564.434736714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288931596.94930601</v>
      </c>
      <c r="I57" s="114">
        <f t="shared" si="1"/>
        <v>39953699.759773001</v>
      </c>
      <c r="J57" s="114">
        <f t="shared" si="2"/>
        <v>181945181.62965199</v>
      </c>
      <c r="K57" s="114">
        <f t="shared" si="3"/>
        <v>510830478.33873105</v>
      </c>
      <c r="L57" s="187">
        <f t="shared" si="4"/>
        <v>0.46820035057707277</v>
      </c>
      <c r="M57" s="184">
        <f t="shared" si="5"/>
        <v>580220559.34014988</v>
      </c>
      <c r="N57" s="184">
        <f t="shared" ca="1" si="6"/>
        <v>38681370.622676656</v>
      </c>
      <c r="O57" s="180">
        <f t="shared" si="7"/>
        <v>580220559.34014988</v>
      </c>
      <c r="P57" s="180">
        <f t="shared" ca="1" si="8"/>
        <v>38681370.622676656</v>
      </c>
      <c r="Q57" s="185">
        <f t="shared" si="9"/>
        <v>580220559.34014988</v>
      </c>
      <c r="R57" s="185">
        <f t="shared" ca="1" si="10"/>
        <v>38681370.622676656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161731953.45904899</v>
      </c>
      <c r="I58" s="114">
        <f t="shared" si="1"/>
        <v>39560929.939926997</v>
      </c>
      <c r="J58" s="114">
        <f t="shared" si="2"/>
        <v>85198515.534500003</v>
      </c>
      <c r="K58" s="114">
        <f t="shared" si="3"/>
        <v>286491398.93347597</v>
      </c>
      <c r="L58" s="187">
        <f t="shared" si="4"/>
        <v>0.4803293408083259</v>
      </c>
      <c r="M58" s="184">
        <f t="shared" si="5"/>
        <v>309956443.39768732</v>
      </c>
      <c r="N58" s="184">
        <f t="shared" ca="1" si="6"/>
        <v>20663762.893179156</v>
      </c>
      <c r="O58" s="180">
        <f t="shared" si="7"/>
        <v>309956443.39768732</v>
      </c>
      <c r="P58" s="180">
        <f t="shared" ca="1" si="8"/>
        <v>20663762.893179156</v>
      </c>
      <c r="Q58" s="185">
        <f t="shared" si="9"/>
        <v>309956443.39768732</v>
      </c>
      <c r="R58" s="185">
        <f t="shared" ca="1" si="10"/>
        <v>20663762.893179156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72734778.079999998</v>
      </c>
      <c r="I59" s="114">
        <f t="shared" si="1"/>
        <v>0</v>
      </c>
      <c r="J59" s="114">
        <f t="shared" si="2"/>
        <v>0</v>
      </c>
      <c r="K59" s="114">
        <f t="shared" si="3"/>
        <v>72734778.079999998</v>
      </c>
      <c r="L59" s="187">
        <f t="shared" si="4"/>
        <v>0.16387364269563187</v>
      </c>
      <c r="M59" s="184">
        <f t="shared" si="5"/>
        <v>371111937.49642003</v>
      </c>
      <c r="N59" s="184">
        <f t="shared" ca="1" si="6"/>
        <v>24740795.833094668</v>
      </c>
      <c r="O59" s="180">
        <f t="shared" si="7"/>
        <v>371111937.49642003</v>
      </c>
      <c r="P59" s="180">
        <f t="shared" ca="1" si="8"/>
        <v>24740795.833094668</v>
      </c>
      <c r="Q59" s="185">
        <f t="shared" si="9"/>
        <v>371111937.49642003</v>
      </c>
      <c r="R59" s="185">
        <f t="shared" ca="1" si="10"/>
        <v>24740795.833094668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151813168.437199</v>
      </c>
      <c r="I60" s="114">
        <f t="shared" si="1"/>
        <v>45994509.114182003</v>
      </c>
      <c r="J60" s="114">
        <f t="shared" si="2"/>
        <v>60648031.679849997</v>
      </c>
      <c r="K60" s="114">
        <f t="shared" si="3"/>
        <v>258455709.23123097</v>
      </c>
      <c r="L60" s="187">
        <f t="shared" si="4"/>
        <v>0.46066169533119972</v>
      </c>
      <c r="M60" s="184">
        <f t="shared" si="5"/>
        <v>302597471.11928701</v>
      </c>
      <c r="N60" s="184">
        <f t="shared" ca="1" si="6"/>
        <v>20173164.741285801</v>
      </c>
      <c r="O60" s="180">
        <f t="shared" si="7"/>
        <v>302597471.11928701</v>
      </c>
      <c r="P60" s="180">
        <f t="shared" ca="1" si="8"/>
        <v>20173164.741285801</v>
      </c>
      <c r="Q60" s="185">
        <f t="shared" si="9"/>
        <v>302597471.11928701</v>
      </c>
      <c r="R60" s="185">
        <f t="shared" ca="1" si="10"/>
        <v>20173164.741285801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243614402.36164501</v>
      </c>
      <c r="I61" s="114">
        <f t="shared" si="1"/>
        <v>35532914.459980004</v>
      </c>
      <c r="J61" s="114">
        <f t="shared" si="2"/>
        <v>99959775.529969007</v>
      </c>
      <c r="K61" s="114">
        <f t="shared" si="3"/>
        <v>379107092.35159397</v>
      </c>
      <c r="L61" s="187">
        <f t="shared" si="4"/>
        <v>0.54277584282249003</v>
      </c>
      <c r="M61" s="184">
        <f t="shared" si="5"/>
        <v>319352681.35572183</v>
      </c>
      <c r="N61" s="184">
        <f t="shared" ca="1" si="6"/>
        <v>21290178.757048123</v>
      </c>
      <c r="O61" s="180">
        <f t="shared" si="7"/>
        <v>319352681.35572183</v>
      </c>
      <c r="P61" s="180">
        <f t="shared" ca="1" si="8"/>
        <v>21290178.757048123</v>
      </c>
      <c r="Q61" s="185">
        <f t="shared" si="9"/>
        <v>319352681.35572183</v>
      </c>
      <c r="R61" s="185">
        <f t="shared" ca="1" si="10"/>
        <v>21290178.757048123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108491078.23319</v>
      </c>
      <c r="I62" s="114">
        <f t="shared" si="1"/>
        <v>28853402.252997</v>
      </c>
      <c r="J62" s="114">
        <f t="shared" si="2"/>
        <v>95509510.546053007</v>
      </c>
      <c r="K62" s="114">
        <f t="shared" si="3"/>
        <v>232853991.03224003</v>
      </c>
      <c r="L62" s="187">
        <f t="shared" si="4"/>
        <v>0.50742852201688771</v>
      </c>
      <c r="M62" s="184">
        <f t="shared" si="5"/>
        <v>226036238.68269587</v>
      </c>
      <c r="N62" s="184">
        <f t="shared" ca="1" si="6"/>
        <v>15069082.578846391</v>
      </c>
      <c r="O62" s="180">
        <f t="shared" si="7"/>
        <v>226036238.68269587</v>
      </c>
      <c r="P62" s="180">
        <f t="shared" ca="1" si="8"/>
        <v>15069082.578846391</v>
      </c>
      <c r="Q62" s="185">
        <f t="shared" si="9"/>
        <v>226036238.68269587</v>
      </c>
      <c r="R62" s="185">
        <f t="shared" ca="1" si="10"/>
        <v>15069082.578846391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230773686.13102701</v>
      </c>
      <c r="I63" s="114">
        <f t="shared" si="1"/>
        <v>97992674.691796005</v>
      </c>
      <c r="J63" s="114">
        <f t="shared" si="2"/>
        <v>120829857.84827</v>
      </c>
      <c r="K63" s="114">
        <f t="shared" si="3"/>
        <v>449596218.67109305</v>
      </c>
      <c r="L63" s="187">
        <f t="shared" si="4"/>
        <v>0.46791949236866148</v>
      </c>
      <c r="M63" s="184">
        <f t="shared" si="5"/>
        <v>511244750.77684778</v>
      </c>
      <c r="N63" s="184">
        <f t="shared" ca="1" si="6"/>
        <v>34082983.385123186</v>
      </c>
      <c r="O63" s="180">
        <f t="shared" si="7"/>
        <v>511244750.77684778</v>
      </c>
      <c r="P63" s="180">
        <f t="shared" ca="1" si="8"/>
        <v>34082983.385123186</v>
      </c>
      <c r="Q63" s="185">
        <f t="shared" si="9"/>
        <v>511244750.77684778</v>
      </c>
      <c r="R63" s="185">
        <f t="shared" ca="1" si="10"/>
        <v>34082983.385123186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68723047.510352999</v>
      </c>
      <c r="I64" s="114">
        <f t="shared" si="1"/>
        <v>83660627.186195999</v>
      </c>
      <c r="J64" s="114">
        <f t="shared" si="2"/>
        <v>62828060.189180002</v>
      </c>
      <c r="K64" s="114">
        <f t="shared" si="3"/>
        <v>215211734.88572901</v>
      </c>
      <c r="L64" s="187">
        <f t="shared" si="4"/>
        <v>0.41484096968312362</v>
      </c>
      <c r="M64" s="184">
        <f t="shared" si="5"/>
        <v>303569558.70279616</v>
      </c>
      <c r="N64" s="184">
        <f t="shared" ca="1" si="6"/>
        <v>20237970.580186412</v>
      </c>
      <c r="O64" s="180">
        <f t="shared" si="7"/>
        <v>303569558.70279616</v>
      </c>
      <c r="P64" s="180">
        <f t="shared" ca="1" si="8"/>
        <v>20237970.580186412</v>
      </c>
      <c r="Q64" s="185">
        <f t="shared" si="9"/>
        <v>303569558.70279616</v>
      </c>
      <c r="R64" s="185">
        <f t="shared" ca="1" si="10"/>
        <v>20237970.580186412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1949492757.1946392</v>
      </c>
      <c r="I65" s="135">
        <f t="shared" si="12"/>
        <v>514617802.98975396</v>
      </c>
      <c r="J65" s="135">
        <f t="shared" si="12"/>
        <v>1354411924.4271908</v>
      </c>
      <c r="K65" s="135">
        <f t="shared" si="12"/>
        <v>3818522484.6115837</v>
      </c>
      <c r="L65" s="189">
        <f t="shared" si="4"/>
        <v>0.44101420561072446</v>
      </c>
      <c r="M65" s="181">
        <f>SUM(M51:M64)</f>
        <v>4839979749.6273899</v>
      </c>
      <c r="N65" s="181">
        <f t="shared" ca="1" si="6"/>
        <v>322665316.64182597</v>
      </c>
      <c r="O65" s="181">
        <f>SUM(O51:O64)</f>
        <v>4839979749.6273899</v>
      </c>
      <c r="P65" s="181">
        <f t="shared" ca="1" si="8"/>
        <v>322665316.64182597</v>
      </c>
      <c r="Q65" s="186">
        <f>SUM(Q51:Q64)</f>
        <v>4839979749.6273899</v>
      </c>
      <c r="R65" s="186">
        <f t="shared" ca="1" si="10"/>
        <v>322665316.64182597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125669969.79935899</v>
      </c>
      <c r="F69" s="187">
        <f t="shared" ref="F69:F74" si="13">IFERROR(E69/D69,0)</f>
        <v>0.46651893185562227</v>
      </c>
      <c r="G69" s="184">
        <f>D69*$H$40-E69</f>
        <v>143708100.88149217</v>
      </c>
      <c r="H69" s="184">
        <f t="shared" ref="H69:H74" ca="1" si="14">IFERROR(G69/$C$3,0)</f>
        <v>9580540.0587661453</v>
      </c>
      <c r="I69" s="204">
        <f>D69*$J$40-E69</f>
        <v>143708100.88149217</v>
      </c>
      <c r="J69" s="204">
        <f t="shared" ref="J69:J74" ca="1" si="15">IFERROR(I69/$C$3,0)</f>
        <v>9580540.0587661453</v>
      </c>
      <c r="K69" s="185">
        <f>D69*$L$40-E69</f>
        <v>143708100.88149217</v>
      </c>
      <c r="L69" s="185">
        <f t="shared" ref="L69:L74" ca="1" si="16">IFERROR(K69/$C$3,0)</f>
        <v>9580540.0587661453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75792428.177214995</v>
      </c>
      <c r="F70" s="187">
        <f t="shared" si="13"/>
        <v>0.18365953176444735</v>
      </c>
      <c r="G70" s="184">
        <f>D70*$H$40-E70</f>
        <v>336886551.50363612</v>
      </c>
      <c r="H70" s="184">
        <f t="shared" ca="1" si="14"/>
        <v>22459103.433575742</v>
      </c>
      <c r="I70" s="204">
        <f>D70*$J$40-E70</f>
        <v>336886551.50363612</v>
      </c>
      <c r="J70" s="204">
        <f t="shared" ca="1" si="15"/>
        <v>22459103.433575742</v>
      </c>
      <c r="K70" s="185">
        <f>D70*$L$40-E70</f>
        <v>336886551.50363612</v>
      </c>
      <c r="L70" s="185">
        <f t="shared" ca="1" si="16"/>
        <v>22459103.433575742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451102850.86298001</v>
      </c>
      <c r="F71" s="187">
        <f t="shared" si="13"/>
        <v>0.41094146591684827</v>
      </c>
      <c r="G71" s="184">
        <f>D71*$H$40-E71</f>
        <v>646627332.81787097</v>
      </c>
      <c r="H71" s="184">
        <f t="shared" ca="1" si="14"/>
        <v>43108488.854524732</v>
      </c>
      <c r="I71" s="204">
        <f>D71*$J$40-E71</f>
        <v>646627332.81787097</v>
      </c>
      <c r="J71" s="204">
        <f t="shared" ca="1" si="15"/>
        <v>43108488.854524732</v>
      </c>
      <c r="K71" s="185">
        <f>D71*$L$40-E71</f>
        <v>646627332.81787097</v>
      </c>
      <c r="L71" s="185">
        <f t="shared" ca="1" si="16"/>
        <v>43108488.854524732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652565248.83955407</v>
      </c>
      <c r="F74" s="177">
        <f t="shared" si="13"/>
        <v>0.36665351698098075</v>
      </c>
      <c r="G74" s="181">
        <f>SUM(G69:G73)</f>
        <v>1127221985.2029991</v>
      </c>
      <c r="H74" s="181">
        <f t="shared" ca="1" si="14"/>
        <v>75148132.346866608</v>
      </c>
      <c r="I74" s="186">
        <f>SUM(I69:I73)</f>
        <v>1127221985.2029991</v>
      </c>
      <c r="J74" s="186">
        <f t="shared" ca="1" si="15"/>
        <v>75148132.346866608</v>
      </c>
      <c r="K74" s="186">
        <f>SUM(K69:K73)</f>
        <v>1127221985.2029991</v>
      </c>
      <c r="L74" s="186">
        <f t="shared" ca="1" si="16"/>
        <v>75148132.346866608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291434084.52989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114135005.19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12245044.800000001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186221031.05983999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76336126.399987996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774550448.90985405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160590990.42971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6144143.9800000004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7732432.6699999999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383845763.86940998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89488257.319955006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10503351.5802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113759461.97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2226986142.708847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174</v>
      </c>
      <c r="C40" s="276"/>
      <c r="D40" s="27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176</v>
      </c>
      <c r="C40" s="276"/>
      <c r="D40" s="27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2026-10-15T00:52:10Z</dcterms:modified>
  <dc:language>en-US</dc:language>
</cp:coreProperties>
</file>