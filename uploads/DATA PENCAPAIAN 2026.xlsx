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4" i="8" l="1"/>
  <c r="D7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6" i="8" l="1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<sst xmlns="http://schemas.openxmlformats.org/spreadsheetml/2006/main" count="1875" uniqueCount="185">
  <si>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</si>
  <si>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</si>
  <si>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</si>
  <si>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</si>
  <si>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</si>
  <si>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</si>
  <si>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</si>
  <si>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</si>
  <si>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</si>
  <si>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</si>
  <si>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</si>
  <si>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</si>
  <si>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</si>
  <si>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</si>
  <si>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</si>
  <si>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</si>
  <si>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</si>
  <si>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</si>
  <si>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</si>
  <si>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</si>
  <si>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</si>
  <si>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</si>
  <si>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</si>
  <si>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</si>
  <si>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</si>
  <si>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</si>
  <si>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</si>
  <si>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</si>
  <si>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</si>
  <si>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</si>
  <si>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</si>
  <si>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</si>
  <si>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</si>
  <si>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</si>
  <si>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</si>
  <si>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</si>
  <si>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</si>
  <si>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</si>
  <si>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</si>
  <si>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</si>
  <si>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</si>
  <si>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</si>
  <si>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</si>
  <si>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</si>
  <si>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</si>
  <si>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</si>
  <si>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</si>
  <si>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</si>
  <si>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</si>
  <si>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</si>
  <si>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</si>
  <si>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</si>
  <si>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</si>
  <si>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</si>
  <si>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</si>
  <si>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</si>
  <si>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</si>
  <si>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</si>
  <si>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</si>
  <si>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</si>
  <si>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</si>
  <si>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</si>
  <si>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</si>
  <si>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</si>
  <si>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</si>
  <si>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</si>
  <si>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</si>
  <si>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</si>
  <si>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</si>
  <si>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</si>
  <si>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</si>
  <si>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</si>
  <si>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</si>
  <si>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</si>
  <si>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</si>
  <si>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</si>
  <si>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</si>
  <si>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</si>
  <si>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</si>
  <si>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</si>
  <si>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</si>
  <si>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</si>
  <si>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</si>
  <si>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</si>
  <si>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</si>
  <si>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</si>
  <si>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</si>
  <si>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</si>
  <si>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</si>
  <si>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</si>
  <si>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</si>
  <si>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</si>
  <si>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</si>
  <si>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</si>
  <si>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</si>
  <si>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</si>
  <si>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</si>
  <si>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</si>
  <si>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</si>
  <si>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</si>
  <si>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</si>
  <si>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</si>
  <si>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</si>
  <si>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</si>
  <si>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</si>
  <si>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</si>
  <si>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</si>
  <si>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</si>
  <si>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</si>
  <si>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</si>
  <si>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</si>
  <si>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</si>
  <si>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</si>
  <si>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</si>
  <si>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</si>
  <si>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</si>
  <si>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</si>
  <si>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</si>
  <si>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</si>
  <si>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</si>
  <si>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</si>
  <si>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</si>
  <si>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</si>
  <si>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</si>
  <si>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</si>
  <si>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</si>
  <si>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</si>
  <si>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</si>
  <si>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</si>
  <si>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</si>
  <si>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</si>
  <si>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</si>
  <si>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</si>
  <si>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</si>
  <si>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</si>
  <si>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</si>
  <si>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</si>
  <si>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</si>
  <si>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</si>
  <si>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</si>
  <si>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</si>
  <si>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</si>
  <si>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</si>
  <si>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</si>
  <si>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</si>
  <si>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</si>
  <si>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</si>
  <si>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</si>
  <si>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</si>
  <si>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</si>
  <si>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</si>
  <si>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</si>
  <si>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</si>
  <si>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</si>
  <si>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</si>
  <si>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</si>
  <si>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</si>
  <si>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</si>
  <si>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</si>
  <si>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</si>
  <si>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</si>
  <si>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</si>
  <si>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</si>
  <si>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</si>
  <si>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</si>
  <si>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</si>
  <si>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</si>
  <si>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</si>
  <si>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</si>
  <si>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</si>
  <si>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</si>
  <si>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</si>
  <si>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</si>
  <si>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</si>
  <si>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</si>
  <si>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</si>
  <si>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</si>
  <si>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</si>
  <si>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</si>
  <si>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</si>
  <si>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</si>
  <si>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</si>
  <si>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</si>
  <si>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</si>
  <si>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20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</si>
</sst>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9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183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70310453.356845215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61731925.524076752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12196946.082190301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144239324.96311226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16882680.369618144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15105514.998585556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4878380.2444444429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-4483189.7206696803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14532708.623502903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8965278.2727715168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-2790792.8520821729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12312714.248365561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11512460.018891666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8401327.5174755976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19692906.378430918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13152703.129130317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3845075.8847772679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10034611.767680041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132042378.88092208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-1484775.3240302736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-2058831.4153202707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15740552.821540859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12196946.082190314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8" zoomScaleNormal="100" workbookViewId="0">
      <selection activeCell="D89" sqref="D89:E9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9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240105662.73459801</v>
      </c>
      <c r="N8" s="11">
        <f>D24</f>
        <v>40597582.328971997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363837739.03838599</v>
      </c>
      <c r="N9" s="11">
        <f>D12+D13</f>
        <v>105136840.68278199</v>
      </c>
    </row>
    <row r="10" spans="2:14" x14ac:dyDescent="0.25">
      <c r="B10" s="74" t="s">
        <v>113</v>
      </c>
      <c r="C10" s="205">
        <v>227764693.44332999</v>
      </c>
      <c r="D10" s="205">
        <v>28954987.892499</v>
      </c>
      <c r="E10" s="205">
        <v>111327060.09</v>
      </c>
      <c r="F10" s="205">
        <v>368046741.42582899</v>
      </c>
      <c r="H10" s="116"/>
      <c r="I10" s="116"/>
      <c r="J10" s="116"/>
      <c r="M10" s="11">
        <f>C14</f>
        <v>705007069.41037703</v>
      </c>
      <c r="N10" s="11">
        <f>D14</f>
        <v>21729775.325116001</v>
      </c>
    </row>
    <row r="11" spans="2:14" x14ac:dyDescent="0.25">
      <c r="B11" s="74" t="s">
        <v>114</v>
      </c>
      <c r="C11" s="205">
        <v>253946188.583938</v>
      </c>
      <c r="D11" s="205">
        <v>58307578.010231003</v>
      </c>
      <c r="E11" s="205">
        <v>2984684.68</v>
      </c>
      <c r="F11" s="205">
        <v>315238451.27416903</v>
      </c>
      <c r="H11" s="116"/>
      <c r="I11" s="116"/>
      <c r="J11" s="116"/>
      <c r="M11" s="11">
        <f>C17</f>
        <v>221038287.23952001</v>
      </c>
      <c r="N11" s="11">
        <f>D17</f>
        <v>46234425.210000001</v>
      </c>
    </row>
    <row r="12" spans="2:14" x14ac:dyDescent="0.25">
      <c r="B12" s="74" t="s">
        <v>70</v>
      </c>
      <c r="C12" s="205">
        <v>192439032.166473</v>
      </c>
      <c r="D12" s="205">
        <v>61990485.422967002</v>
      </c>
      <c r="E12" s="205">
        <v>44660102.520000003</v>
      </c>
      <c r="F12" s="205">
        <v>299089620.10944003</v>
      </c>
      <c r="H12" s="116"/>
      <c r="I12" s="116"/>
      <c r="J12" s="116"/>
      <c r="M12" s="11">
        <f>C16</f>
        <v>349386455.89393097</v>
      </c>
      <c r="N12" s="11">
        <f>D16</f>
        <v>73162448.542796999</v>
      </c>
    </row>
    <row r="13" spans="2:14" x14ac:dyDescent="0.25">
      <c r="B13" s="74" t="s">
        <v>115</v>
      </c>
      <c r="C13" s="205">
        <v>171398706.87191299</v>
      </c>
      <c r="D13" s="205">
        <v>43146355.259815</v>
      </c>
      <c r="E13" s="205">
        <v>24432409.600000001</v>
      </c>
      <c r="F13" s="205">
        <v>238977471.73172799</v>
      </c>
      <c r="H13" s="116"/>
      <c r="I13" s="116"/>
      <c r="J13" s="116"/>
      <c r="M13" s="11">
        <f>C19</f>
        <v>643442193.42425799</v>
      </c>
      <c r="N13" s="11">
        <f>D19</f>
        <v>53069774.369935997</v>
      </c>
    </row>
    <row r="14" spans="2:14" x14ac:dyDescent="0.25">
      <c r="B14" s="74" t="s">
        <v>116</v>
      </c>
      <c r="C14" s="205">
        <v>705007069.41037703</v>
      </c>
      <c r="D14" s="205">
        <v>21729775.325116001</v>
      </c>
      <c r="E14" s="205">
        <v>183868738.94999999</v>
      </c>
      <c r="F14" s="205">
        <v>910605583.68549299</v>
      </c>
      <c r="H14" s="116"/>
      <c r="I14" s="116"/>
      <c r="J14" s="116"/>
      <c r="M14" s="11">
        <f>C25</f>
        <v>315785433.81379801</v>
      </c>
      <c r="N14" s="11">
        <f>D25</f>
        <v>45357400.229927003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253946188.583938</v>
      </c>
      <c r="N15" s="11">
        <f>D11</f>
        <v>58307578.010231003</v>
      </c>
    </row>
    <row r="16" spans="2:14" x14ac:dyDescent="0.25">
      <c r="B16" s="74" t="s">
        <v>74</v>
      </c>
      <c r="C16" s="205">
        <v>349386455.89393097</v>
      </c>
      <c r="D16" s="205">
        <v>73162448.542796999</v>
      </c>
      <c r="E16" s="205">
        <v>29615792.469999999</v>
      </c>
      <c r="F16" s="205">
        <v>452164696.90672803</v>
      </c>
      <c r="H16" s="116"/>
      <c r="I16" s="116"/>
      <c r="J16" s="116"/>
      <c r="M16" s="11">
        <f>C26</f>
        <v>363150830.91528499</v>
      </c>
      <c r="N16" s="11">
        <f>D26</f>
        <v>33421898.395466</v>
      </c>
    </row>
    <row r="17" spans="2:14" x14ac:dyDescent="0.25">
      <c r="B17" s="74" t="s">
        <v>118</v>
      </c>
      <c r="C17" s="205">
        <v>221038287.23952001</v>
      </c>
      <c r="D17" s="205">
        <v>46234425.210000001</v>
      </c>
      <c r="E17" s="205" t="s">
        <v>168</v>
      </c>
      <c r="F17" s="205">
        <v>267272712.44951999</v>
      </c>
      <c r="H17" s="116"/>
      <c r="I17" s="116"/>
      <c r="J17" s="116"/>
      <c r="M17" s="11">
        <f>C10</f>
        <v>227764693.44332999</v>
      </c>
      <c r="N17" s="11">
        <f>D10</f>
        <v>28954987.892499</v>
      </c>
    </row>
    <row r="18" spans="2:14" x14ac:dyDescent="0.25">
      <c r="B18" s="74" t="s">
        <v>119</v>
      </c>
      <c r="C18" s="205">
        <v>366037115.42803103</v>
      </c>
      <c r="D18" s="205">
        <v>3110178.4299920001</v>
      </c>
      <c r="E18" s="205">
        <v>7148648.5599999996</v>
      </c>
      <c r="F18" s="205">
        <v>376295942.41802299</v>
      </c>
      <c r="H18" s="116"/>
      <c r="I18" s="116"/>
      <c r="J18" s="116"/>
      <c r="M18" s="11">
        <f>C27</f>
        <v>535720541.19608903</v>
      </c>
      <c r="N18" s="11">
        <f>D27</f>
        <v>83676379.051064998</v>
      </c>
    </row>
    <row r="19" spans="2:14" x14ac:dyDescent="0.25">
      <c r="B19" s="74" t="s">
        <v>121</v>
      </c>
      <c r="C19" s="205">
        <v>643442193.42425799</v>
      </c>
      <c r="D19" s="205">
        <v>53069774.369935997</v>
      </c>
      <c r="E19" s="205">
        <v>1041553354.17997</v>
      </c>
      <c r="F19" s="205">
        <v>1738065321.974164</v>
      </c>
      <c r="H19" s="116"/>
      <c r="I19" s="116"/>
      <c r="J19" s="116"/>
      <c r="M19" s="11">
        <f>C20+C21</f>
        <v>119550881.147754</v>
      </c>
      <c r="N19" s="11">
        <f>D20+D21</f>
        <v>112207163.30689801</v>
      </c>
    </row>
    <row r="20" spans="2:14" x14ac:dyDescent="0.25">
      <c r="B20" s="74" t="s">
        <v>123</v>
      </c>
      <c r="C20" s="205">
        <v>82751411.147753999</v>
      </c>
      <c r="D20" s="205">
        <v>20773286.339760002</v>
      </c>
      <c r="E20" s="205">
        <v>8237838</v>
      </c>
      <c r="F20" s="205">
        <v>111762535.487514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36799470</v>
      </c>
      <c r="D21" s="205">
        <v>91433876.967138007</v>
      </c>
      <c r="E21" s="205">
        <v>42151352.140000001</v>
      </c>
      <c r="F21" s="205">
        <v>170384699.10713801</v>
      </c>
      <c r="H21" s="116"/>
      <c r="I21" s="116"/>
      <c r="J21" s="116"/>
      <c r="M21" s="14">
        <f>IFERROR(C34,0)+IFERROR(C35,0)+M20</f>
        <v>584648207.72793794</v>
      </c>
      <c r="N21" s="10" t="s">
        <v>122</v>
      </c>
    </row>
    <row r="22" spans="2:14" x14ac:dyDescent="0.25">
      <c r="B22" s="74" t="s">
        <v>172</v>
      </c>
      <c r="C22" s="205">
        <v>148159605.5</v>
      </c>
      <c r="D22" s="205" t="s">
        <v>168</v>
      </c>
      <c r="E22" s="205">
        <v>7027026.8399999999</v>
      </c>
      <c r="F22" s="205">
        <v>155186632.34</v>
      </c>
      <c r="H22" s="116"/>
      <c r="I22" s="116"/>
      <c r="J22" s="116"/>
    </row>
    <row r="23" spans="2:14" x14ac:dyDescent="0.25">
      <c r="B23" s="74" t="s">
        <v>173</v>
      </c>
      <c r="C23" s="205">
        <v>287443477.27999997</v>
      </c>
      <c r="D23" s="205" t="s">
        <v>168</v>
      </c>
      <c r="E23" s="205">
        <v>10156125.859999999</v>
      </c>
      <c r="F23" s="205">
        <v>297599603.13999999</v>
      </c>
      <c r="H23" s="116"/>
      <c r="I23" s="116"/>
      <c r="J23" s="116"/>
    </row>
    <row r="24" spans="2:14" x14ac:dyDescent="0.25">
      <c r="B24" s="74" t="s">
        <v>125</v>
      </c>
      <c r="C24" s="205">
        <v>240105662.73459801</v>
      </c>
      <c r="D24" s="205">
        <v>40597582.328971997</v>
      </c>
      <c r="E24" s="205">
        <v>282012477.75986999</v>
      </c>
      <c r="F24" s="205">
        <v>562715722.82343996</v>
      </c>
      <c r="H24" s="116"/>
      <c r="I24" s="116"/>
      <c r="J24" s="116"/>
    </row>
    <row r="25" spans="2:14" x14ac:dyDescent="0.25">
      <c r="B25" s="74" t="s">
        <v>126</v>
      </c>
      <c r="C25" s="205">
        <v>315785433.81379801</v>
      </c>
      <c r="D25" s="205">
        <v>45357400.229927003</v>
      </c>
      <c r="E25" s="205">
        <v>194304641.98956901</v>
      </c>
      <c r="F25" s="205">
        <v>555447476.03329396</v>
      </c>
      <c r="H25" s="116"/>
      <c r="I25" s="116"/>
      <c r="J25" s="116"/>
    </row>
    <row r="26" spans="2:14" x14ac:dyDescent="0.25">
      <c r="B26" s="74" t="s">
        <v>127</v>
      </c>
      <c r="C26" s="205">
        <v>363150830.91528499</v>
      </c>
      <c r="D26" s="205">
        <v>33421898.395466</v>
      </c>
      <c r="E26" s="205">
        <v>423372709.03955197</v>
      </c>
      <c r="F26" s="205">
        <v>819945438.35030305</v>
      </c>
      <c r="H26" s="116"/>
      <c r="I26" s="116"/>
      <c r="J26" s="116"/>
    </row>
    <row r="27" spans="2:14" x14ac:dyDescent="0.25">
      <c r="B27" s="74" t="s">
        <v>128</v>
      </c>
      <c r="C27" s="205">
        <v>535720541.19608903</v>
      </c>
      <c r="D27" s="205">
        <v>83676379.051064998</v>
      </c>
      <c r="E27" s="205">
        <v>10017838.105</v>
      </c>
      <c r="F27" s="205">
        <v>629414758.35215402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141618940.424932</v>
      </c>
      <c r="G32" s="116"/>
      <c r="H32" s="116"/>
      <c r="I32" s="116"/>
    </row>
    <row r="33" spans="2:14" x14ac:dyDescent="0.25">
      <c r="B33" s="84" t="s">
        <v>133</v>
      </c>
      <c r="C33" s="206">
        <v>191802511.778543</v>
      </c>
      <c r="G33" s="116"/>
      <c r="H33" s="116"/>
      <c r="I33" s="116"/>
    </row>
    <row r="34" spans="2:14" x14ac:dyDescent="0.25">
      <c r="B34" s="84" t="s">
        <v>134</v>
      </c>
      <c r="C34" s="205">
        <v>115492351.307092</v>
      </c>
      <c r="G34" s="116"/>
      <c r="H34" s="116"/>
      <c r="I34" s="116"/>
    </row>
    <row r="35" spans="2:14" x14ac:dyDescent="0.25">
      <c r="B35" s="84" t="s">
        <v>135</v>
      </c>
      <c r="C35" s="205">
        <v>468744856.42084599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0.66666666666666663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4774339059.6212635</v>
      </c>
      <c r="F43" s="44">
        <f>IFERROR(E43/D43,0)</f>
        <v>0.65768774574843203</v>
      </c>
      <c r="G43" s="118">
        <f>D43-E43</f>
        <v>2484940272.3787365</v>
      </c>
      <c r="H43" s="118">
        <f ca="1">IFERROR(G43/C3,0)</f>
        <v>276104474.70874852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701856253.34568894</v>
      </c>
      <c r="F44" s="44">
        <f>IFERROR(E44/D44,0)</f>
        <v>0.38788909761953777</v>
      </c>
      <c r="G44" s="118">
        <f>D44-E44</f>
        <v>1107568805.6543112</v>
      </c>
      <c r="H44" s="118">
        <f ca="1">IFERROR(G44/C3,0)</f>
        <v>123063200.6282568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918069659.93141294</v>
      </c>
      <c r="F45" s="44">
        <f>IFERROR(E45/D45,0)</f>
        <v>0.50144420700482106</v>
      </c>
      <c r="G45" s="118">
        <f>D45-E45</f>
        <v>912781404.06858706</v>
      </c>
      <c r="H45" s="118">
        <f ca="1">IFERROR(G45/C3,0)</f>
        <v>101420156.00762078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6394264972.898365</v>
      </c>
      <c r="F46" s="43">
        <f>IFERROR(E46/D46,0)</f>
        <v>0.58665374008121551</v>
      </c>
      <c r="G46" s="119">
        <f>G43+G44+G45</f>
        <v>4505290482.101635</v>
      </c>
      <c r="H46" s="119">
        <f ca="1">IFERROR(G46/C3,0)</f>
        <v>500587831.34462613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240105662.73459801</v>
      </c>
      <c r="H51" s="122">
        <f>N8</f>
        <v>40597582.328971997</v>
      </c>
      <c r="I51" s="122">
        <f t="shared" ref="I51:I64" si="1">G51+H51</f>
        <v>280703245.06357002</v>
      </c>
      <c r="J51" s="61">
        <f t="shared" ref="J51:J64" si="2">IFERROR(I51/F51,0)</f>
        <v>0.50712953108574232</v>
      </c>
      <c r="K51" s="51">
        <f t="shared" ref="K51:M64" si="3">D51-G51</f>
        <v>211577815.26540199</v>
      </c>
      <c r="L51" s="51">
        <f t="shared" si="3"/>
        <v>61232840.671028003</v>
      </c>
      <c r="M51" s="51">
        <f t="shared" si="3"/>
        <v>272810655.93642998</v>
      </c>
      <c r="N51" s="51">
        <f ca="1">IFERROR(M51/C3,0)</f>
        <v>30312295.104047775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363837739.03838599</v>
      </c>
      <c r="H52" s="122">
        <f>N9</f>
        <v>105136840.68278199</v>
      </c>
      <c r="I52" s="122">
        <f t="shared" si="1"/>
        <v>468974579.72116798</v>
      </c>
      <c r="J52" s="61">
        <f t="shared" si="2"/>
        <v>0.57522483181592388</v>
      </c>
      <c r="K52" s="54">
        <f t="shared" si="3"/>
        <v>226344631.96161401</v>
      </c>
      <c r="L52" s="54">
        <f t="shared" si="3"/>
        <v>119969965.31721801</v>
      </c>
      <c r="M52" s="54">
        <f t="shared" si="3"/>
        <v>346314597.27883202</v>
      </c>
      <c r="N52" s="54">
        <f ca="1">IFERROR(M52/C3,0)</f>
        <v>38479399.697648004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148159605.5</v>
      </c>
      <c r="H53" s="122">
        <f>IF(D22="",0,D22)</f>
        <v>0</v>
      </c>
      <c r="I53" s="122">
        <f>G53+H53</f>
        <v>148159605.5</v>
      </c>
      <c r="J53" s="61">
        <f>IFERROR(I53/F53,0)</f>
        <v>0.61356524772754562</v>
      </c>
      <c r="K53" s="54">
        <f>D53-G53</f>
        <v>93313662.5</v>
      </c>
      <c r="L53" s="54">
        <f>E53-H53</f>
        <v>0</v>
      </c>
      <c r="M53" s="54">
        <f>F53-I53</f>
        <v>93313662.5</v>
      </c>
      <c r="N53" s="54">
        <f ca="1">IFERROR(M53/C3,0)</f>
        <v>10368184.722222222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705007069.41037703</v>
      </c>
      <c r="H54" s="122">
        <f t="shared" ref="H54:H58" si="4">N10</f>
        <v>21729775.325116001</v>
      </c>
      <c r="I54" s="122">
        <f t="shared" si="1"/>
        <v>726736844.73549306</v>
      </c>
      <c r="J54" s="61">
        <f t="shared" si="2"/>
        <v>1.0008022051504053</v>
      </c>
      <c r="K54" s="54">
        <f>D54-G54</f>
        <v>-59294597.410377026</v>
      </c>
      <c r="L54" s="54">
        <f t="shared" si="3"/>
        <v>58712072.674883999</v>
      </c>
      <c r="M54" s="54">
        <f t="shared" si="3"/>
        <v>-582524.73549306393</v>
      </c>
      <c r="N54" s="54">
        <f ca="1">IFERROR(M54/C3,0)</f>
        <v>-64724.970610340439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221038287.23952001</v>
      </c>
      <c r="H55" s="122">
        <f t="shared" si="4"/>
        <v>46234425.210000001</v>
      </c>
      <c r="I55" s="122">
        <f t="shared" si="1"/>
        <v>267272712.44952002</v>
      </c>
      <c r="J55" s="61">
        <f t="shared" si="2"/>
        <v>0.45343633331842426</v>
      </c>
      <c r="K55" s="54">
        <f t="shared" si="3"/>
        <v>287880544.76047999</v>
      </c>
      <c r="L55" s="54">
        <f t="shared" si="3"/>
        <v>34284978.789999999</v>
      </c>
      <c r="M55" s="54">
        <f t="shared" si="3"/>
        <v>322165523.55048001</v>
      </c>
      <c r="N55" s="54">
        <f ca="1">IFERROR(M55/C3,0)</f>
        <v>35796169.28338667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349386455.89393097</v>
      </c>
      <c r="H56" s="122">
        <f t="shared" si="4"/>
        <v>73162448.542796999</v>
      </c>
      <c r="I56" s="122">
        <f t="shared" si="1"/>
        <v>422548904.436728</v>
      </c>
      <c r="J56" s="61">
        <f t="shared" si="2"/>
        <v>0.80915109507960581</v>
      </c>
      <c r="K56" s="54">
        <f t="shared" si="3"/>
        <v>90676828.106069028</v>
      </c>
      <c r="L56" s="54">
        <f t="shared" si="3"/>
        <v>8986876.4572030008</v>
      </c>
      <c r="M56" s="54">
        <f t="shared" si="3"/>
        <v>99663704.563271999</v>
      </c>
      <c r="N56" s="54">
        <f ca="1">IFERROR(M56/C3,0)</f>
        <v>11073744.951474667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643442193.42425799</v>
      </c>
      <c r="H57" s="122">
        <f t="shared" si="4"/>
        <v>53069774.369935997</v>
      </c>
      <c r="I57" s="122">
        <f t="shared" si="1"/>
        <v>696511967.79419398</v>
      </c>
      <c r="J57" s="61">
        <f t="shared" si="2"/>
        <v>0.62064055699922183</v>
      </c>
      <c r="K57" s="54">
        <f t="shared" si="3"/>
        <v>353316151.57574201</v>
      </c>
      <c r="L57" s="54">
        <f t="shared" si="3"/>
        <v>72418823.630064011</v>
      </c>
      <c r="M57" s="54">
        <f t="shared" si="3"/>
        <v>425734975.20580602</v>
      </c>
      <c r="N57" s="54">
        <f ca="1">IFERROR(M57/C3,0)</f>
        <v>47303886.133978449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315785433.81379801</v>
      </c>
      <c r="H58" s="122">
        <f t="shared" si="4"/>
        <v>45357400.229927003</v>
      </c>
      <c r="I58" s="122">
        <f>G58+H58</f>
        <v>361142834.04372501</v>
      </c>
      <c r="J58" s="61">
        <f>IFERROR(I58/F58,0)</f>
        <v>0.56638441120415917</v>
      </c>
      <c r="K58" s="54">
        <f t="shared" si="3"/>
        <v>224501625.18620199</v>
      </c>
      <c r="L58" s="54">
        <f t="shared" si="3"/>
        <v>51984025.770072997</v>
      </c>
      <c r="M58" s="54">
        <f t="shared" si="3"/>
        <v>276485650.95627499</v>
      </c>
      <c r="N58" s="54">
        <f ca="1">IFERROR(M58/C3,0)</f>
        <v>30720627.884030554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287443477.27999997</v>
      </c>
      <c r="H59" s="122">
        <f>IF(D23="",0,D23)</f>
        <v>0</v>
      </c>
      <c r="I59" s="122">
        <f>G59+H59</f>
        <v>287443477.27999997</v>
      </c>
      <c r="J59" s="61">
        <f>IFERROR(I59/F59,0)</f>
        <v>0.7112584347341081</v>
      </c>
      <c r="K59" s="54">
        <f>D59-G59</f>
        <v>116690186.72000003</v>
      </c>
      <c r="L59" s="54">
        <f>E59-H59</f>
        <v>0</v>
      </c>
      <c r="M59" s="54">
        <f>F59-I59</f>
        <v>116690186.72000003</v>
      </c>
      <c r="N59" s="54">
        <f ca="1">IFERROR(M59/C3,0)</f>
        <v>12965576.302222226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253946188.583938</v>
      </c>
      <c r="H60" s="122">
        <f t="shared" ref="H60:H64" si="5">N15</f>
        <v>58307578.010231003</v>
      </c>
      <c r="I60" s="122">
        <f t="shared" si="1"/>
        <v>312253766.59416902</v>
      </c>
      <c r="J60" s="61">
        <f t="shared" si="2"/>
        <v>0.51101873384873009</v>
      </c>
      <c r="K60" s="54">
        <f t="shared" si="3"/>
        <v>185071120.416062</v>
      </c>
      <c r="L60" s="54">
        <f t="shared" si="3"/>
        <v>113716833.989769</v>
      </c>
      <c r="M60" s="54">
        <f t="shared" si="3"/>
        <v>298787954.40583098</v>
      </c>
      <c r="N60" s="54">
        <f ca="1">IFERROR(M60/C3,0)</f>
        <v>33198661.600647885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363150830.91528499</v>
      </c>
      <c r="H61" s="122">
        <f t="shared" si="5"/>
        <v>33421898.395466</v>
      </c>
      <c r="I61" s="122">
        <f t="shared" si="1"/>
        <v>396572729.31075096</v>
      </c>
      <c r="J61" s="61">
        <f t="shared" si="2"/>
        <v>0.52254106815612766</v>
      </c>
      <c r="K61" s="54">
        <f t="shared" si="3"/>
        <v>303478765.08471501</v>
      </c>
      <c r="L61" s="54">
        <f t="shared" si="3"/>
        <v>58879723.604534</v>
      </c>
      <c r="M61" s="54">
        <f t="shared" si="3"/>
        <v>362358488.68924904</v>
      </c>
      <c r="N61" s="54">
        <f ca="1">IFERROR(M61/C3,0)</f>
        <v>40262054.298805445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227764693.44332999</v>
      </c>
      <c r="H62" s="122">
        <f t="shared" si="5"/>
        <v>28954987.892499</v>
      </c>
      <c r="I62" s="122">
        <f t="shared" si="1"/>
        <v>256719681.33582899</v>
      </c>
      <c r="J62" s="61">
        <f t="shared" si="2"/>
        <v>0.4947695322244276</v>
      </c>
      <c r="K62" s="54">
        <f t="shared" si="3"/>
        <v>193778329.55667001</v>
      </c>
      <c r="L62" s="54">
        <f t="shared" si="3"/>
        <v>68369188.107501</v>
      </c>
      <c r="M62" s="54">
        <f t="shared" si="3"/>
        <v>262147517.66417101</v>
      </c>
      <c r="N62" s="54">
        <f ca="1">IFERROR(M62/C3,0)</f>
        <v>29127501.962685667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535720541.19608903</v>
      </c>
      <c r="H63" s="122">
        <f t="shared" si="5"/>
        <v>83676379.051064998</v>
      </c>
      <c r="I63" s="122">
        <f t="shared" si="1"/>
        <v>619396920.247154</v>
      </c>
      <c r="J63" s="61">
        <f t="shared" si="2"/>
        <v>0.63093167110399095</v>
      </c>
      <c r="K63" s="54">
        <f t="shared" si="3"/>
        <v>82630400.803910971</v>
      </c>
      <c r="L63" s="54">
        <f t="shared" si="3"/>
        <v>279690586.94893503</v>
      </c>
      <c r="M63" s="54">
        <f t="shared" si="3"/>
        <v>362320987.752846</v>
      </c>
      <c r="N63" s="54">
        <f ca="1">IFERROR(M63/C3,0)</f>
        <v>40257887.528094001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119550881.147754</v>
      </c>
      <c r="H64" s="122">
        <f t="shared" si="5"/>
        <v>112207163.30689801</v>
      </c>
      <c r="I64" s="122">
        <f t="shared" si="1"/>
        <v>231758044.45465201</v>
      </c>
      <c r="J64" s="61">
        <f t="shared" si="2"/>
        <v>0.3954539267267379</v>
      </c>
      <c r="K64" s="54">
        <f t="shared" si="3"/>
        <v>174974807.85224599</v>
      </c>
      <c r="L64" s="54">
        <f t="shared" si="3"/>
        <v>179322889.693102</v>
      </c>
      <c r="M64" s="54">
        <f t="shared" si="3"/>
        <v>354297697.54534799</v>
      </c>
      <c r="N64" s="54">
        <f ca="1">IFERROR(M64/C3,0)</f>
        <v>39366410.838372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4774339059.6212635</v>
      </c>
      <c r="H65" s="152">
        <f>SUM(H51:H64)</f>
        <v>701856253.34568894</v>
      </c>
      <c r="I65" s="152">
        <f>SUM(I51:I64)</f>
        <v>5476195312.9669523</v>
      </c>
      <c r="J65" s="153">
        <f>IFERROR(I65/F65,0)</f>
        <v>0.60385641397702416</v>
      </c>
      <c r="K65" s="154">
        <f>SUM(K51:K64)</f>
        <v>2484940272.378736</v>
      </c>
      <c r="L65" s="154">
        <f>SUM(L51:L64)</f>
        <v>1107568805.6543112</v>
      </c>
      <c r="M65" s="154">
        <f>SUM(M51:M64)</f>
        <v>3592509078.0330477</v>
      </c>
      <c r="N65" s="154">
        <f ca="1">IFERROR(M65/C3,0)</f>
        <v>399167675.33700532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v>282012477.75986999</v>
      </c>
    </row>
    <row r="71" spans="2:14" ht="20.100000000000001" customHeight="1" x14ac:dyDescent="0.25">
      <c r="B71" s="53" t="s">
        <v>69</v>
      </c>
      <c r="C71" s="56" t="s">
        <v>70</v>
      </c>
      <c r="D71" s="192">
        <v>69092512.120000005</v>
      </c>
    </row>
    <row r="72" spans="2:14" ht="20.100000000000001" customHeight="1" x14ac:dyDescent="0.25">
      <c r="B72" s="53" t="s">
        <v>175</v>
      </c>
      <c r="C72" s="56" t="s">
        <v>176</v>
      </c>
      <c r="D72" s="192">
        <v>7027026.8399999999</v>
      </c>
    </row>
    <row r="73" spans="2:14" ht="20.100000000000001" customHeight="1" x14ac:dyDescent="0.25">
      <c r="B73" s="50" t="s">
        <v>71</v>
      </c>
      <c r="C73" s="55" t="s">
        <v>72</v>
      </c>
      <c r="D73" s="191">
        <v>183868738.94999999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v>29615792.469999999</v>
      </c>
    </row>
    <row r="76" spans="2:14" ht="20.100000000000001" customHeight="1" x14ac:dyDescent="0.25">
      <c r="B76" s="53" t="s">
        <v>76</v>
      </c>
      <c r="C76" s="56" t="s">
        <v>77</v>
      </c>
      <c r="D76" s="192">
        <v>1041553354.17997</v>
      </c>
    </row>
    <row r="77" spans="2:14" ht="20.100000000000001" customHeight="1" x14ac:dyDescent="0.25">
      <c r="B77" s="50" t="s">
        <v>78</v>
      </c>
      <c r="C77" s="55" t="s">
        <v>79</v>
      </c>
      <c r="D77" s="191">
        <v>194304641.98956901</v>
      </c>
    </row>
    <row r="78" spans="2:14" ht="20.100000000000001" customHeight="1" x14ac:dyDescent="0.25">
      <c r="B78" s="53" t="s">
        <v>175</v>
      </c>
      <c r="C78" s="56" t="s">
        <v>177</v>
      </c>
      <c r="D78" s="192">
        <v>10156125.859999999</v>
      </c>
    </row>
    <row r="79" spans="2:14" ht="20.100000000000001" customHeight="1" x14ac:dyDescent="0.25">
      <c r="B79" s="53" t="s">
        <v>80</v>
      </c>
      <c r="C79" s="56" t="s">
        <v>81</v>
      </c>
      <c r="D79" s="192">
        <v>2984684.68</v>
      </c>
    </row>
    <row r="80" spans="2:14" ht="20.100000000000001" customHeight="1" x14ac:dyDescent="0.25">
      <c r="B80" s="50" t="s">
        <v>82</v>
      </c>
      <c r="C80" s="55" t="s">
        <v>83</v>
      </c>
      <c r="D80" s="191">
        <v>423372709.03955197</v>
      </c>
    </row>
    <row r="81" spans="2:9" ht="20.100000000000001" customHeight="1" x14ac:dyDescent="0.25">
      <c r="B81" s="53" t="s">
        <v>84</v>
      </c>
      <c r="C81" s="56" t="s">
        <v>85</v>
      </c>
      <c r="D81" s="192">
        <v>111327060.09</v>
      </c>
    </row>
    <row r="82" spans="2:9" ht="20.100000000000001" customHeight="1" x14ac:dyDescent="0.25">
      <c r="B82" s="50" t="s">
        <v>86</v>
      </c>
      <c r="C82" s="55" t="s">
        <v>87</v>
      </c>
      <c r="D82" s="192">
        <v>10017838.105</v>
      </c>
    </row>
    <row r="83" spans="2:9" ht="20.100000000000001" customHeight="1" x14ac:dyDescent="0.25">
      <c r="B83" s="53" t="s">
        <v>88</v>
      </c>
      <c r="C83" s="56" t="s">
        <v>89</v>
      </c>
      <c r="D83" s="192">
        <v>50389190.140000001</v>
      </c>
    </row>
    <row r="84" spans="2:9" ht="20.100000000000001" customHeight="1" x14ac:dyDescent="0.25">
      <c r="B84" s="57" t="s">
        <v>152</v>
      </c>
      <c r="C84" s="58"/>
      <c r="D84" s="129">
        <f>SUM(D70:D83)</f>
        <v>2415722152.2239609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141618940.424932</v>
      </c>
      <c r="F89" s="61">
        <f t="shared" ref="F89:F94" si="7">IFERROR(E89/D89,0)</f>
        <v>0.49598524198890898</v>
      </c>
      <c r="G89" s="125">
        <f>D89-E89</f>
        <v>143911612.575068</v>
      </c>
      <c r="H89" s="125">
        <f ca="1">IFERROR(G89/C3,0)</f>
        <v>15990179.175007556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191802511.778543</v>
      </c>
      <c r="F90" s="61">
        <f t="shared" si="7"/>
        <v>0.4472678167875262</v>
      </c>
      <c r="G90" s="126">
        <f>D90-E90</f>
        <v>237028950.221457</v>
      </c>
      <c r="H90" s="126">
        <f ca="1">IFERROR(G90/C3,0)</f>
        <v>26336550.024606332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584648207.72793794</v>
      </c>
      <c r="F91" s="61">
        <f t="shared" si="7"/>
        <v>0.5236488510582229</v>
      </c>
      <c r="G91" s="125">
        <f>D91-E91</f>
        <v>531840841.27206206</v>
      </c>
      <c r="H91" s="125">
        <f ca="1">IFERROR(G91/C3,0)</f>
        <v>59093426.808006898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918069659.93141294</v>
      </c>
      <c r="F94" s="43">
        <f t="shared" si="7"/>
        <v>0.50144420700482106</v>
      </c>
      <c r="G94" s="119">
        <f>SUM(G89:G93)</f>
        <v>912781404.06858706</v>
      </c>
      <c r="H94" s="119">
        <f ca="1">IFERROR(G94/C3,0)</f>
        <v>101420156.00762078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2026-06-20T00:52:55Z</dcterms:modified>
  <dc:language>en-US</dc:language>
</cp:coreProperties>
</file>