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<sst xmlns="http://schemas.openxmlformats.org/spreadsheetml/2006/main" count="2117" uniqueCount="229">
  <si>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</si>
  <si>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</si>
  <si>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</si>
  <si>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</si>
  <si>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</si>
  <si>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</si>
  <si>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</si>
  <si>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</si>
  <si>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</si>
  <si>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</si>
  <si>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</si>
  <si>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</si>
  <si>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</si>
  <si>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</si>
  <si>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</si>
  <si>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</si>
  <si>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</si>
  <si>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</si>
  <si>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</si>
  <si>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</si>
  <si>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</si>
  <si>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</si>
  <si>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</si>
  <si>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</si>
  <si>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</si>
  <si>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</si>
  <si>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</si>
  <si>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</si>
  <si>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</si>
  <si>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</si>
  <si>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</si>
  <si>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</si>
  <si>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</si>
  <si>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</si>
  <si>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</si>
  <si>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</si>
  <si>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</si>
  <si>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</si>
  <si>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</si>
  <si>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</si>
  <si>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</si>
  <si>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</si>
  <si>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</si>
  <si>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</si>
  <si>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</si>
  <si>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</si>
  <si>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</si>
  <si>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</si>
  <si>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</si>
  <si>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</si>
  <si>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</si>
  <si>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</si>
  <si>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</si>
  <si>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</si>
  <si>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</si>
  <si>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</si>
  <si>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</si>
  <si>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</si>
  <si>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</si>
  <si>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</si>
  <si>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</si>
  <si>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</si>
  <si>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</si>
  <si>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</si>
  <si>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</si>
  <si>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</si>
  <si>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</si>
  <si>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</si>
  <si>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</si>
  <si>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</si>
  <si>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</si>
  <si>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</si>
  <si>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</si>
  <si>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</si>
  <si>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</si>
  <si>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</si>
  <si>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</si>
  <si>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</si>
  <si>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</si>
  <si>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</si>
  <si>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</si>
  <si>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</si>
  <si>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</si>
  <si>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</si>
  <si>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</si>
  <si>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</si>
  <si>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</si>
  <si>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</si>
  <si>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</si>
  <si>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</si>
  <si>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</si>
  <si>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</si>
  <si>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</si>
  <si>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</si>
  <si>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</si>
  <si>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</si>
  <si>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</si>
  <si>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</si>
  <si>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</si>
  <si>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</si>
  <si>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</si>
  <si>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</si>
  <si>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</si>
  <si>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</si>
  <si>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</si>
  <si>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</si>
  <si>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</si>
  <si>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</si>
  <si>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</si>
  <si>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</si>
  <si>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</si>
  <si>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</si>
  <si>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</si>
  <si>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</si>
  <si>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</si>
  <si>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</si>
  <si>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</si>
  <si>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</si>
  <si>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</si>
  <si>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</si>
  <si>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</si>
  <si>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</si>
  <si>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</si>
  <si>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</si>
  <si>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</si>
  <si>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</si>
  <si>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</si>
  <si>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</si>
  <si>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</si>
  <si>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</si>
  <si>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</si>
  <si>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</si>
  <si>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</si>
  <si>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</si>
  <si>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</si>
  <si>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</si>
  <si>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</si>
  <si>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</si>
  <si>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</si>
  <si>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</si>
  <si>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</si>
  <si>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</si>
  <si>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</si>
  <si>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</si>
  <si>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</si>
  <si>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</si>
  <si>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</si>
  <si>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</si>
  <si>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</si>
  <si>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</si>
  <si>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</si>
  <si>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</si>
  <si>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</si>
  <si>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</si>
  <si>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</si>
  <si>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</si>
  <si>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</si>
  <si>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</si>
  <si>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</si>
  <si>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</si>
  <si>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</si>
  <si>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</si>
  <si>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</si>
  <si>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</si>
  <si>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</si>
  <si>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</si>
  <si>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</si>
  <si>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</si>
  <si>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</si>
  <si>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</si>
  <si>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</si>
  <si>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</si>
  <si>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</si>
  <si>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</si>
  <si>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</si>
  <si>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</si>
  <si>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</si>
  <si>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</si>
  <si>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</si>
  <si>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</si>
  <si>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</si>
  <si>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</si>
  <si>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</si>
  <si>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</si>
  <si>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</si>
  <si>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</si>
  <si>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</si>
  <si>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</si>
  <si>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</si>
  <si>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</si>
  <si>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</si>
  <si>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</si>
  <si>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</si>
  <si>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</si>
  <si>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</si>
  <si>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</si>
  <si>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</si>
  <si>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</si>
  <si>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</si>
  <si>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</si>
  <si>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</si>
  <si>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</si>
  <si>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</si>
  <si>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</si>
  <si>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</si>
  <si>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</si>
  <si>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</si>
  <si>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</si>
  <si>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</si>
  <si>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</si>
  <si>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</si>
  <si>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</si>
  <si>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</si>
  <si>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</si>
  <si>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</si>
  <si>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</si>
  <si>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</si>
  <si>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</si>
  <si>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</si>
  <si>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</si>
  <si>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</si>
  <si>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</si>
  <si>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</si>
  <si>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</si>
  <si>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</si>
  <si>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</si>
  <si>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</si>
  <si>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WIDI</t>
  </si>
  <si>
    <t>DATA PENCAPAIAN — GLOBAL —  21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</si>
</sst>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9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100376981.08205</v>
      </c>
      <c r="D10" s="234">
        <v>29510144.3829</v>
      </c>
      <c r="E10" s="234">
        <v>144605955.29704899</v>
      </c>
      <c r="F10" s="234">
        <v>109734631.169943</v>
      </c>
      <c r="G10" s="234">
        <v>384227711.93194199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199157658.6392</v>
      </c>
      <c r="F11" s="234" t="s">
        <v>165</v>
      </c>
      <c r="G11" s="234">
        <v>219834397.65919799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120586922.06740101</v>
      </c>
      <c r="D12" s="234">
        <v>55970384.421572</v>
      </c>
      <c r="E12" s="234">
        <v>128256940.11960401</v>
      </c>
      <c r="F12" s="234">
        <v>41739148.850000001</v>
      </c>
      <c r="G12" s="234">
        <v>346553395.45857698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26518751.469962001</v>
      </c>
      <c r="D13" s="234">
        <v>17619678.599973001</v>
      </c>
      <c r="E13" s="234">
        <v>147359776.31966901</v>
      </c>
      <c r="F13" s="234">
        <v>56084244.729999997</v>
      </c>
      <c r="G13" s="234">
        <v>247582451.11960399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376890096.94460398</v>
      </c>
      <c r="D14" s="234">
        <v>31805739.065467</v>
      </c>
      <c r="E14" s="234">
        <v>110763968.6099</v>
      </c>
      <c r="F14" s="234">
        <v>306826077.50980502</v>
      </c>
      <c r="G14" s="234">
        <v>826285882.129776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1083245254.250098</v>
      </c>
      <c r="D15" s="234">
        <v>8214253.8869240005</v>
      </c>
      <c r="E15" s="234">
        <v>58257134.009943001</v>
      </c>
      <c r="F15" s="234">
        <v>12372973.210000001</v>
      </c>
      <c r="G15" s="234">
        <v>1162089615.3569651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342788950.89772499</v>
      </c>
      <c r="D16" s="234">
        <v>30711589.039930999</v>
      </c>
      <c r="E16" s="234">
        <v>248891217.44951999</v>
      </c>
      <c r="F16" s="234">
        <v>751459090.97996902</v>
      </c>
      <c r="G16" s="234">
        <v>1373850848.3671451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82312134.715029001</v>
      </c>
      <c r="D17" s="234">
        <v>12915436.9209</v>
      </c>
      <c r="E17" s="234">
        <v>70679078.968842</v>
      </c>
      <c r="F17" s="234">
        <v>35293514.298</v>
      </c>
      <c r="G17" s="234">
        <v>201200164.902771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11129847.589996999</v>
      </c>
      <c r="D18" s="234">
        <v>127814110.76229</v>
      </c>
      <c r="E18" s="234">
        <v>46995546.100000001</v>
      </c>
      <c r="F18" s="234">
        <v>86745947.799999997</v>
      </c>
      <c r="G18" s="234">
        <v>272685452.25228697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57858708.960000001</v>
      </c>
      <c r="D19" s="234" t="s">
        <v>165</v>
      </c>
      <c r="E19" s="234" t="s">
        <v>165</v>
      </c>
      <c r="F19" s="234">
        <v>7027026.8399999999</v>
      </c>
      <c r="G19" s="234">
        <v>64885735.799999997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153958227.16</v>
      </c>
      <c r="D20" s="234" t="s">
        <v>165</v>
      </c>
      <c r="E20" s="234" t="s">
        <v>165</v>
      </c>
      <c r="F20" s="234">
        <v>9813783.5199999996</v>
      </c>
      <c r="G20" s="234">
        <v>163772010.68000001</v>
      </c>
      <c r="H20" s="111"/>
      <c r="I20" s="111"/>
      <c r="J20" s="111"/>
      <c r="M20" s="14">
        <f>SUM(C30,C35)+M7</f>
        <v>9300000</v>
      </c>
      <c r="N20" s="10" t="s">
        <v>223</v>
      </c>
    </row>
    <row r="21" spans="2:15" ht="15" customHeight="1" x14ac:dyDescent="0.25">
      <c r="B21" s="72" t="s">
        <v>124</v>
      </c>
      <c r="C21" s="234">
        <v>195897681.76952299</v>
      </c>
      <c r="D21" s="234">
        <v>39009404.373457998</v>
      </c>
      <c r="E21" s="234">
        <v>118291581.639805</v>
      </c>
      <c r="F21" s="234">
        <v>309253837.03988498</v>
      </c>
      <c r="G21" s="234">
        <v>662452504.82267106</v>
      </c>
      <c r="H21" s="111"/>
      <c r="I21" s="111"/>
      <c r="J21" s="111"/>
      <c r="M21" s="14">
        <f>SUM(C33,C34)+M20</f>
        <v>483922631.14035797</v>
      </c>
      <c r="N21" s="10" t="s">
        <v>224</v>
      </c>
    </row>
    <row r="22" spans="2:15" ht="15" customHeight="1" x14ac:dyDescent="0.25">
      <c r="B22" s="72" t="s">
        <v>125</v>
      </c>
      <c r="C22" s="234">
        <v>190526075.07154801</v>
      </c>
      <c r="D22" s="234">
        <v>52554915.529964998</v>
      </c>
      <c r="E22" s="234">
        <v>135282119.23626</v>
      </c>
      <c r="F22" s="234">
        <v>229480815.92959601</v>
      </c>
      <c r="G22" s="234">
        <v>607843925.76736903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340158082.01052099</v>
      </c>
      <c r="D23" s="234">
        <v>45384772.724923998</v>
      </c>
      <c r="E23" s="234">
        <v>148552415.809908</v>
      </c>
      <c r="F23" s="234">
        <v>433853334.65957397</v>
      </c>
      <c r="G23" s="234">
        <v>967948605.20492697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143534246.36451599</v>
      </c>
      <c r="D24" s="234">
        <v>37310141.999944001</v>
      </c>
      <c r="E24" s="234">
        <v>117280833.94819801</v>
      </c>
      <c r="F24" s="234">
        <v>37502972.57</v>
      </c>
      <c r="G24" s="234">
        <v>335628194.882658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225087203.80412</v>
      </c>
      <c r="D25" s="234">
        <v>71590833.136556998</v>
      </c>
      <c r="E25" s="234">
        <v>76570716.532584995</v>
      </c>
      <c r="F25" s="234">
        <v>38054054.829999998</v>
      </c>
      <c r="G25" s="234">
        <v>411302808.303262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382275746.05234897</v>
      </c>
      <c r="D26" s="234">
        <v>181355173.74289101</v>
      </c>
      <c r="E26" s="234">
        <v>225534639.125983</v>
      </c>
      <c r="F26" s="234">
        <v>15098054.3574</v>
      </c>
      <c r="G26" s="234">
        <v>804263613.27862298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170853939.695351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405654939.35102898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103185244.188411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371437386.95194697</v>
      </c>
      <c r="G34" s="111"/>
      <c r="H34" s="111"/>
      <c r="I34" s="111"/>
    </row>
    <row r="35" spans="2:19" ht="15" customHeight="1" x14ac:dyDescent="0.25">
      <c r="B35" s="81" t="s">
        <v>135</v>
      </c>
      <c r="C35" s="234">
        <v>9300000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228</v>
      </c>
      <c r="C40" s="260"/>
      <c r="D40" s="261"/>
      <c r="E40" s="66" t="s">
        <v>137</v>
      </c>
      <c r="F40" s="174">
        <f ca="1">IF(MONTH(TODAY())=9,DAY(TODAY())/DAY(EOMONTH(TODAY(),0)),IF(MONTH(TODAY())&gt;9,1,0))</f>
        <v>0.7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2754073079.379343</v>
      </c>
      <c r="F42" s="176">
        <f>IFERROR(E42/D42,0)</f>
        <v>0.61041748407584984</v>
      </c>
      <c r="G42" s="184">
        <f>D42*$H$40-E42</f>
        <v>1532123652.6350832</v>
      </c>
      <c r="H42" s="184">
        <f ca="1">IFERROR(G42/$C$3,0)</f>
        <v>170235961.40389812</v>
      </c>
      <c r="I42" s="204">
        <f>D42*$J$40-E42</f>
        <v>1757712954.3200531</v>
      </c>
      <c r="J42" s="204">
        <f ca="1">IFERROR(I42/$C$3,0)</f>
        <v>195301439.36889479</v>
      </c>
      <c r="K42" s="185">
        <f>D42*$L$40-E42</f>
        <v>1757712954.3200531</v>
      </c>
      <c r="L42" s="185">
        <f ca="1">IFERROR(K42/$C$3,0)</f>
        <v>195301439.36889479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750055640.30077207</v>
      </c>
      <c r="F43" s="176">
        <f>IFERROR(E43/D43,0)</f>
        <v>0.53523205881620217</v>
      </c>
      <c r="G43" s="184">
        <f>D43*$H$40-E43</f>
        <v>581241404.68887198</v>
      </c>
      <c r="H43" s="184">
        <f ca="1">IFERROR(G43/$C$3,0)</f>
        <v>64582378.298763551</v>
      </c>
      <c r="I43" s="204">
        <f>D43*$J$40-E43</f>
        <v>651309670.21464288</v>
      </c>
      <c r="J43" s="204">
        <f ca="1">IFERROR(I43/$C$3,0)</f>
        <v>72367741.134960324</v>
      </c>
      <c r="K43" s="185">
        <f>D43*$L$40-E43</f>
        <v>651309670.21464288</v>
      </c>
      <c r="L43" s="185">
        <f ca="1">IFERROR(K43/$C$3,0)</f>
        <v>72367741.134960324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1918222447.7965229</v>
      </c>
      <c r="F44" s="176">
        <f>IFERROR(E44/D44,0)</f>
        <v>0.65138997570304447</v>
      </c>
      <c r="G44" s="184">
        <f>IF(D44=0,0,D44*$H$40-E44)</f>
        <v>879351038.71572804</v>
      </c>
      <c r="H44" s="184">
        <f ca="1">IFERROR(G44/$C$3,0)</f>
        <v>97705670.968414232</v>
      </c>
      <c r="I44" s="204">
        <f>IF(D44=0,0,D44*$J$40-E44)</f>
        <v>1026591748.5321624</v>
      </c>
      <c r="J44" s="204">
        <f ca="1">IFERROR(I44/$C$3,0)</f>
        <v>114065749.83690694</v>
      </c>
      <c r="K44" s="185">
        <f>IF(D44=0,0,D44*$L$40-E44)</f>
        <v>1026591748.5321624</v>
      </c>
      <c r="L44" s="185">
        <f ca="1">IFERROR(K44/$C$3,0)</f>
        <v>114065749.83690694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1060431510.186738</v>
      </c>
      <c r="F45" s="176">
        <f>IFERROR(E45/D45,0)</f>
        <v>0.60929438849360251</v>
      </c>
      <c r="G45" s="184">
        <f>D45*$H$40-E45</f>
        <v>592972745.13241076</v>
      </c>
      <c r="H45" s="184">
        <f ca="1">IFERROR(G45/$C$3,0)</f>
        <v>65885860.570267864</v>
      </c>
      <c r="I45" s="204">
        <f>D45*$J$40-E45</f>
        <v>679994021.72815561</v>
      </c>
      <c r="J45" s="204">
        <f ca="1">IFERROR(I45/$C$3,0)</f>
        <v>75554891.303128406</v>
      </c>
      <c r="K45" s="185">
        <f>D45*$L$40-E45</f>
        <v>679994021.72815561</v>
      </c>
      <c r="L45" s="185">
        <f ca="1">IFERROR(K45/$C$3,0)</f>
        <v>75554891.303128406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6482782677.6633759</v>
      </c>
      <c r="F46" s="177">
        <f>IFERROR(E46/D46,0)</f>
        <v>0.61167611511429509</v>
      </c>
      <c r="G46" s="181">
        <f>SUM(G42:G45)</f>
        <v>3585688841.1720943</v>
      </c>
      <c r="H46" s="181">
        <f ca="1">IFERROR(G46/$C$3,0)</f>
        <v>398409871.2413438</v>
      </c>
      <c r="I46" s="186">
        <f>SUM(I42:I45)</f>
        <v>4115608394.7950139</v>
      </c>
      <c r="J46" s="186">
        <f ca="1">IFERROR(I46/$C$3,0)</f>
        <v>457289821.64389044</v>
      </c>
      <c r="K46" s="186">
        <f>SUM(K42:K45)</f>
        <v>4115608394.7950139</v>
      </c>
      <c r="L46" s="186">
        <f ca="1">IFERROR(K46/$C$3,0)</f>
        <v>457289821.64389044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95%</v>
      </c>
      <c r="N49" s="272" t="str">
        <f>"PER HARI"&amp;CHAR(10)&amp;TEXT($H$40,"0%")</f>
        <v>PER HARI
95%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195897681.76952299</v>
      </c>
      <c r="I51" s="114">
        <f t="shared" ref="I51:I64" si="1">SUMIF($B$10:$B$26,$T51,D$10:D$26)+SUMIF($B$10:$B$26,$U51,D$10:D$26)</f>
        <v>39009404.373457998</v>
      </c>
      <c r="J51" s="114">
        <f t="shared" ref="J51:J64" si="2">SUMIF($B$10:$B$26,$T51,E$10:E$26)+SUMIF($B$10:$B$26,$U51,E$10:E$26)</f>
        <v>118291581.639805</v>
      </c>
      <c r="K51" s="114">
        <f t="shared" ref="K51:K64" si="3">SUM(H51:J51)</f>
        <v>353198667.78278601</v>
      </c>
      <c r="L51" s="187">
        <f t="shared" ref="L51:L65" si="4">IFERROR(K51/G51,0)</f>
        <v>0.68666596184087703</v>
      </c>
      <c r="M51" s="184">
        <f t="shared" ref="M51:M64" si="5">G51*$H$40-K51</f>
        <v>135450476.10968781</v>
      </c>
      <c r="N51" s="184">
        <f t="shared" ref="N51:N65" ca="1" si="6">IFERROR(M51/$C$3,0)</f>
        <v>15050052.901076423</v>
      </c>
      <c r="O51" s="180">
        <f t="shared" ref="O51:O64" si="7">G51*$J$40-K51</f>
        <v>161168852.10402858</v>
      </c>
      <c r="P51" s="180">
        <f t="shared" ref="P51:P65" ca="1" si="8">IFERROR(O51/$C$3,0)</f>
        <v>17907650.233780954</v>
      </c>
      <c r="Q51" s="185">
        <f t="shared" ref="Q51:Q64" si="9">G51*$L$40-K51</f>
        <v>161168852.10402858</v>
      </c>
      <c r="R51" s="185">
        <f t="shared" ref="R51:R65" ca="1" si="10">IFERROR(Q51/$C$3,0)</f>
        <v>17907650.233780954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147105673.53736299</v>
      </c>
      <c r="I52" s="114">
        <f t="shared" si="1"/>
        <v>73590063.021544993</v>
      </c>
      <c r="J52" s="114">
        <f t="shared" si="2"/>
        <v>275616716.439273</v>
      </c>
      <c r="K52" s="114">
        <f t="shared" si="3"/>
        <v>496312452.99818099</v>
      </c>
      <c r="L52" s="187">
        <f t="shared" si="4"/>
        <v>0.63182350624515982</v>
      </c>
      <c r="M52" s="184">
        <f t="shared" si="5"/>
        <v>249935234.35095346</v>
      </c>
      <c r="N52" s="184">
        <f t="shared" ca="1" si="6"/>
        <v>27770581.594550386</v>
      </c>
      <c r="O52" s="180">
        <f t="shared" si="7"/>
        <v>289211428.42196059</v>
      </c>
      <c r="P52" s="180">
        <f t="shared" ca="1" si="8"/>
        <v>32134603.157995623</v>
      </c>
      <c r="Q52" s="185">
        <f t="shared" si="9"/>
        <v>289211428.42196059</v>
      </c>
      <c r="R52" s="185">
        <f t="shared" ca="1" si="10"/>
        <v>32134603.157995623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57858708.960000001</v>
      </c>
      <c r="I53" s="114">
        <f t="shared" si="1"/>
        <v>0</v>
      </c>
      <c r="J53" s="114">
        <f t="shared" si="2"/>
        <v>0</v>
      </c>
      <c r="K53" s="114">
        <f t="shared" si="3"/>
        <v>57858708.960000001</v>
      </c>
      <c r="L53" s="187">
        <f t="shared" si="4"/>
        <v>0.22003432492700731</v>
      </c>
      <c r="M53" s="184">
        <f t="shared" si="5"/>
        <v>191946740.84986019</v>
      </c>
      <c r="N53" s="184">
        <f t="shared" ca="1" si="6"/>
        <v>21327415.649984464</v>
      </c>
      <c r="O53" s="180">
        <f t="shared" si="7"/>
        <v>205094396.10301074</v>
      </c>
      <c r="P53" s="180">
        <f t="shared" ca="1" si="8"/>
        <v>22788266.233667862</v>
      </c>
      <c r="Q53" s="185">
        <f t="shared" si="9"/>
        <v>205094396.10301074</v>
      </c>
      <c r="R53" s="185">
        <f t="shared" ca="1" si="10"/>
        <v>22788266.233667862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376890096.94460398</v>
      </c>
      <c r="I54" s="114">
        <f t="shared" si="1"/>
        <v>31805739.065467</v>
      </c>
      <c r="J54" s="114">
        <f t="shared" si="2"/>
        <v>110763968.6099</v>
      </c>
      <c r="K54" s="114">
        <f t="shared" si="3"/>
        <v>519459804.61997098</v>
      </c>
      <c r="L54" s="187">
        <f t="shared" si="4"/>
        <v>0.714847883651758</v>
      </c>
      <c r="M54" s="184">
        <f t="shared" si="5"/>
        <v>170878413.7266013</v>
      </c>
      <c r="N54" s="184">
        <f t="shared" ca="1" si="6"/>
        <v>18986490.41406681</v>
      </c>
      <c r="O54" s="180">
        <f t="shared" si="7"/>
        <v>207212004.16589457</v>
      </c>
      <c r="P54" s="180">
        <f t="shared" ca="1" si="8"/>
        <v>23023556.018432729</v>
      </c>
      <c r="Q54" s="185">
        <f t="shared" si="9"/>
        <v>207212004.16589457</v>
      </c>
      <c r="R54" s="185">
        <f t="shared" ca="1" si="10"/>
        <v>23023556.018432729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199157658.6392</v>
      </c>
      <c r="K55" s="114">
        <f t="shared" si="3"/>
        <v>219834397.65919799</v>
      </c>
      <c r="L55" s="187">
        <f t="shared" si="4"/>
        <v>0.40922187009123739</v>
      </c>
      <c r="M55" s="184">
        <f t="shared" si="5"/>
        <v>290506551.93295336</v>
      </c>
      <c r="N55" s="184">
        <f t="shared" ca="1" si="6"/>
        <v>32278505.770328149</v>
      </c>
      <c r="O55" s="180">
        <f t="shared" si="7"/>
        <v>317366601.91148764</v>
      </c>
      <c r="P55" s="180">
        <f t="shared" ca="1" si="8"/>
        <v>35262955.767943069</v>
      </c>
      <c r="Q55" s="185">
        <f t="shared" si="9"/>
        <v>317366601.91148764</v>
      </c>
      <c r="R55" s="185">
        <f t="shared" ca="1" si="10"/>
        <v>35262955.767943069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143534246.36451599</v>
      </c>
      <c r="I56" s="114">
        <f t="shared" si="1"/>
        <v>37310141.999944001</v>
      </c>
      <c r="J56" s="114">
        <f t="shared" si="2"/>
        <v>117280833.94819801</v>
      </c>
      <c r="K56" s="114">
        <f t="shared" si="3"/>
        <v>298125222.31265801</v>
      </c>
      <c r="L56" s="187">
        <f t="shared" si="4"/>
        <v>0.51852735435259889</v>
      </c>
      <c r="M56" s="184">
        <f t="shared" si="5"/>
        <v>248073466.76254946</v>
      </c>
      <c r="N56" s="184">
        <f t="shared" ca="1" si="6"/>
        <v>27563718.529172163</v>
      </c>
      <c r="O56" s="180">
        <f t="shared" si="7"/>
        <v>276820766.18756038</v>
      </c>
      <c r="P56" s="180">
        <f t="shared" ca="1" si="8"/>
        <v>30757862.909728929</v>
      </c>
      <c r="Q56" s="185">
        <f t="shared" si="9"/>
        <v>276820766.18756038</v>
      </c>
      <c r="R56" s="185">
        <f t="shared" ca="1" si="10"/>
        <v>30757862.909728929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342788950.89772499</v>
      </c>
      <c r="I57" s="114">
        <f t="shared" si="1"/>
        <v>30711589.039930999</v>
      </c>
      <c r="J57" s="114">
        <f t="shared" si="2"/>
        <v>248891217.44951999</v>
      </c>
      <c r="K57" s="114">
        <f t="shared" si="3"/>
        <v>622391757.38717604</v>
      </c>
      <c r="L57" s="187">
        <f t="shared" si="4"/>
        <v>0.5611257650845598</v>
      </c>
      <c r="M57" s="184">
        <f t="shared" si="5"/>
        <v>431333104.86133325</v>
      </c>
      <c r="N57" s="184">
        <f t="shared" ca="1" si="6"/>
        <v>47925900.540148139</v>
      </c>
      <c r="O57" s="180">
        <f t="shared" si="7"/>
        <v>486792308.13757062</v>
      </c>
      <c r="P57" s="180">
        <f t="shared" ca="1" si="8"/>
        <v>54088034.23750785</v>
      </c>
      <c r="Q57" s="185">
        <f t="shared" si="9"/>
        <v>486792308.13757062</v>
      </c>
      <c r="R57" s="185">
        <f t="shared" ca="1" si="10"/>
        <v>54088034.23750785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190526075.07154801</v>
      </c>
      <c r="I58" s="114">
        <f t="shared" si="1"/>
        <v>52554915.529964998</v>
      </c>
      <c r="J58" s="114">
        <f t="shared" si="2"/>
        <v>135282119.23626</v>
      </c>
      <c r="K58" s="114">
        <f t="shared" si="3"/>
        <v>378363109.83777303</v>
      </c>
      <c r="L58" s="187">
        <f t="shared" si="4"/>
        <v>0.61564413765235848</v>
      </c>
      <c r="M58" s="184">
        <f t="shared" si="5"/>
        <v>205488716.83040434</v>
      </c>
      <c r="N58" s="184">
        <f t="shared" ca="1" si="6"/>
        <v>22832079.647822704</v>
      </c>
      <c r="O58" s="180">
        <f t="shared" si="7"/>
        <v>236217760.33925587</v>
      </c>
      <c r="P58" s="180">
        <f t="shared" ca="1" si="8"/>
        <v>26246417.815472875</v>
      </c>
      <c r="Q58" s="185">
        <f t="shared" si="9"/>
        <v>236217760.33925587</v>
      </c>
      <c r="R58" s="185">
        <f t="shared" ca="1" si="10"/>
        <v>26246417.815472875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153958227.16</v>
      </c>
      <c r="I59" s="114">
        <f t="shared" si="1"/>
        <v>0</v>
      </c>
      <c r="J59" s="114">
        <f t="shared" si="2"/>
        <v>0</v>
      </c>
      <c r="K59" s="114">
        <f t="shared" si="3"/>
        <v>153958227.16</v>
      </c>
      <c r="L59" s="187">
        <f t="shared" si="4"/>
        <v>0.34687251647239459</v>
      </c>
      <c r="M59" s="184">
        <f t="shared" si="5"/>
        <v>267696152.63759902</v>
      </c>
      <c r="N59" s="184">
        <f t="shared" ca="1" si="6"/>
        <v>29744016.959733225</v>
      </c>
      <c r="O59" s="180">
        <f t="shared" si="7"/>
        <v>289888488.41641998</v>
      </c>
      <c r="P59" s="180">
        <f t="shared" ca="1" si="8"/>
        <v>32209832.046268888</v>
      </c>
      <c r="Q59" s="185">
        <f t="shared" si="9"/>
        <v>289888488.41641998</v>
      </c>
      <c r="R59" s="185">
        <f t="shared" ca="1" si="10"/>
        <v>32209832.046268888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225087203.80412</v>
      </c>
      <c r="I60" s="114">
        <f t="shared" si="1"/>
        <v>71590833.136556998</v>
      </c>
      <c r="J60" s="114">
        <f t="shared" si="2"/>
        <v>76570716.532584995</v>
      </c>
      <c r="K60" s="114">
        <f t="shared" si="3"/>
        <v>373248753.47326195</v>
      </c>
      <c r="L60" s="187">
        <f t="shared" si="4"/>
        <v>0.64443653559289371</v>
      </c>
      <c r="M60" s="184">
        <f t="shared" si="5"/>
        <v>176978144.31330252</v>
      </c>
      <c r="N60" s="184">
        <f t="shared" ca="1" si="6"/>
        <v>19664238.257033613</v>
      </c>
      <c r="O60" s="180">
        <f t="shared" si="7"/>
        <v>205937454.72312176</v>
      </c>
      <c r="P60" s="180">
        <f t="shared" ca="1" si="8"/>
        <v>22881939.413680196</v>
      </c>
      <c r="Q60" s="185">
        <f t="shared" si="9"/>
        <v>205937454.72312176</v>
      </c>
      <c r="R60" s="185">
        <f t="shared" ca="1" si="10"/>
        <v>22881939.413680196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340158082.01052099</v>
      </c>
      <c r="I61" s="114">
        <f t="shared" si="1"/>
        <v>45384772.724923998</v>
      </c>
      <c r="J61" s="114">
        <f t="shared" si="2"/>
        <v>148552415.809908</v>
      </c>
      <c r="K61" s="114">
        <f t="shared" si="3"/>
        <v>534095270.54535306</v>
      </c>
      <c r="L61" s="187">
        <f t="shared" si="4"/>
        <v>0.74532603368011296</v>
      </c>
      <c r="M61" s="184">
        <f t="shared" si="5"/>
        <v>146667890.93016934</v>
      </c>
      <c r="N61" s="184">
        <f t="shared" ca="1" si="6"/>
        <v>16296432.325574372</v>
      </c>
      <c r="O61" s="180">
        <f t="shared" si="7"/>
        <v>182497531.00782847</v>
      </c>
      <c r="P61" s="180">
        <f t="shared" ca="1" si="8"/>
        <v>20277503.445314273</v>
      </c>
      <c r="Q61" s="185">
        <f t="shared" si="9"/>
        <v>182497531.00782847</v>
      </c>
      <c r="R61" s="185">
        <f t="shared" ca="1" si="10"/>
        <v>20277503.445314273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100376981.08205</v>
      </c>
      <c r="I62" s="114">
        <f t="shared" si="1"/>
        <v>29510144.3829</v>
      </c>
      <c r="J62" s="114">
        <f t="shared" si="2"/>
        <v>144605955.29704899</v>
      </c>
      <c r="K62" s="114">
        <f t="shared" si="3"/>
        <v>274493080.76199901</v>
      </c>
      <c r="L62" s="187">
        <f t="shared" si="4"/>
        <v>0.57542913560564091</v>
      </c>
      <c r="M62" s="184">
        <f t="shared" si="5"/>
        <v>178679013.92076242</v>
      </c>
      <c r="N62" s="184">
        <f t="shared" ca="1" si="6"/>
        <v>19853223.768973604</v>
      </c>
      <c r="O62" s="180">
        <f t="shared" si="7"/>
        <v>202530176.7988025</v>
      </c>
      <c r="P62" s="180">
        <f t="shared" ca="1" si="8"/>
        <v>22503352.977644723</v>
      </c>
      <c r="Q62" s="185">
        <f t="shared" si="9"/>
        <v>202530176.7988025</v>
      </c>
      <c r="R62" s="185">
        <f t="shared" ca="1" si="10"/>
        <v>22503352.977644723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382275746.05234897</v>
      </c>
      <c r="I63" s="114">
        <f t="shared" si="1"/>
        <v>181355173.74289101</v>
      </c>
      <c r="J63" s="114">
        <f t="shared" si="2"/>
        <v>225534639.125983</v>
      </c>
      <c r="K63" s="114">
        <f t="shared" si="3"/>
        <v>789165558.92122293</v>
      </c>
      <c r="L63" s="187">
        <f t="shared" si="4"/>
        <v>0.80611493369867415</v>
      </c>
      <c r="M63" s="184">
        <f t="shared" si="5"/>
        <v>140859738.5078932</v>
      </c>
      <c r="N63" s="184">
        <f t="shared" ca="1" si="6"/>
        <v>15651082.056432579</v>
      </c>
      <c r="O63" s="180">
        <f t="shared" si="7"/>
        <v>189808438.37258363</v>
      </c>
      <c r="P63" s="180">
        <f t="shared" ca="1" si="8"/>
        <v>21089826.485842627</v>
      </c>
      <c r="Q63" s="185">
        <f t="shared" si="9"/>
        <v>189808438.37258363</v>
      </c>
      <c r="R63" s="185">
        <f t="shared" ca="1" si="10"/>
        <v>21089826.485842627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93441982.305025995</v>
      </c>
      <c r="I64" s="114">
        <f t="shared" si="1"/>
        <v>140729547.68318999</v>
      </c>
      <c r="J64" s="114">
        <f t="shared" si="2"/>
        <v>117674625.06884199</v>
      </c>
      <c r="K64" s="114">
        <f t="shared" si="3"/>
        <v>351846155.05705798</v>
      </c>
      <c r="L64" s="187">
        <f t="shared" si="4"/>
        <v>0.65531154787803969</v>
      </c>
      <c r="M64" s="184">
        <f t="shared" si="5"/>
        <v>158222450.30561322</v>
      </c>
      <c r="N64" s="184">
        <f t="shared" ca="1" si="6"/>
        <v>17580272.256179247</v>
      </c>
      <c r="O64" s="180">
        <f t="shared" si="7"/>
        <v>185068166.37733281</v>
      </c>
      <c r="P64" s="180">
        <f t="shared" ca="1" si="8"/>
        <v>20563129.597481422</v>
      </c>
      <c r="Q64" s="185">
        <f t="shared" si="9"/>
        <v>185068166.37733281</v>
      </c>
      <c r="R64" s="185">
        <f t="shared" ca="1" si="10"/>
        <v>20563129.597481422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2754073079.379343</v>
      </c>
      <c r="I65" s="135">
        <f t="shared" si="12"/>
        <v>750055640.30077207</v>
      </c>
      <c r="J65" s="135">
        <f t="shared" si="12"/>
        <v>1918222447.7965229</v>
      </c>
      <c r="K65" s="135">
        <f t="shared" si="12"/>
        <v>5422351167.4766378</v>
      </c>
      <c r="L65" s="189">
        <f t="shared" si="4"/>
        <v>0.61214408011164378</v>
      </c>
      <c r="M65" s="181">
        <f>SUM(M51:M64)</f>
        <v>2992716096.0396829</v>
      </c>
      <c r="N65" s="181">
        <f t="shared" ca="1" si="6"/>
        <v>332524010.67107588</v>
      </c>
      <c r="O65" s="181">
        <f>SUM(O51:O64)</f>
        <v>3435614373.0668573</v>
      </c>
      <c r="P65" s="181">
        <f t="shared" ca="1" si="8"/>
        <v>381734930.3407619</v>
      </c>
      <c r="Q65" s="186">
        <f>SUM(Q51:Q64)</f>
        <v>3435614373.0668573</v>
      </c>
      <c r="R65" s="186">
        <f t="shared" ca="1" si="10"/>
        <v>381734930.3407619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170853939.695351</v>
      </c>
      <c r="F69" s="187">
        <f t="shared" ref="F69:F74" si="13">IFERROR(E69/D69,0)</f>
        <v>0.66672755916154647</v>
      </c>
      <c r="G69" s="184">
        <f>D69*$H$40-E69</f>
        <v>72590688.444365382</v>
      </c>
      <c r="H69" s="184">
        <f t="shared" ref="H69:H74" ca="1" si="14">IFERROR(G69/$C$3,0)</f>
        <v>8065632.0493739313</v>
      </c>
      <c r="I69" s="204">
        <f>D69*$J$40-E69</f>
        <v>85403563.609613627</v>
      </c>
      <c r="J69" s="204">
        <f t="shared" ref="J69:J74" ca="1" si="15">IFERROR(I69/$C$3,0)</f>
        <v>9489284.8455126248</v>
      </c>
      <c r="K69" s="185">
        <f>D69*$L$40-E69</f>
        <v>85403563.609613627</v>
      </c>
      <c r="L69" s="185">
        <f t="shared" ref="L69:L74" ca="1" si="16">IFERROR(K69/$C$3,0)</f>
        <v>9489284.8455126248</v>
      </c>
    </row>
    <row r="70" spans="2:21" ht="15.95" customHeight="1" x14ac:dyDescent="0.25">
      <c r="B70" s="53" t="s">
        <v>94</v>
      </c>
      <c r="C70" s="56" t="s">
        <v>227</v>
      </c>
      <c r="D70" s="117">
        <f>TARGETS!L23</f>
        <v>399558412.3049646</v>
      </c>
      <c r="E70" s="114">
        <f>IFERROR($C$32,0)</f>
        <v>405654939.35102898</v>
      </c>
      <c r="F70" s="187">
        <f t="shared" si="13"/>
        <v>1.0152581621568042</v>
      </c>
      <c r="G70" s="184">
        <f>D70*$H$40-E70</f>
        <v>-26074447.66131264</v>
      </c>
      <c r="H70" s="184">
        <f t="shared" ca="1" si="14"/>
        <v>-2897160.8512569601</v>
      </c>
      <c r="I70" s="204">
        <f>D70*$J$40-E70</f>
        <v>-6096527.0460643768</v>
      </c>
      <c r="J70" s="204">
        <f t="shared" ca="1" si="15"/>
        <v>-677391.89400715299</v>
      </c>
      <c r="K70" s="185">
        <f>D70*$L$40-E70</f>
        <v>-6096527.0460643768</v>
      </c>
      <c r="L70" s="185">
        <f t="shared" ca="1" si="16"/>
        <v>-677391.89400715299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483922631.14035797</v>
      </c>
      <c r="F71" s="187">
        <f t="shared" si="13"/>
        <v>0.44617217463826292</v>
      </c>
      <c r="G71" s="184">
        <f>D71*$H$40-E71</f>
        <v>546456504.34935832</v>
      </c>
      <c r="H71" s="184">
        <f t="shared" ca="1" si="14"/>
        <v>60717389.372150928</v>
      </c>
      <c r="I71" s="204">
        <f>D71*$J$40-E71</f>
        <v>600686985.16460657</v>
      </c>
      <c r="J71" s="204">
        <f t="shared" ca="1" si="15"/>
        <v>66742998.351622954</v>
      </c>
      <c r="K71" s="185">
        <f>D71*$L$40-E71</f>
        <v>600686985.16460657</v>
      </c>
      <c r="L71" s="185">
        <f t="shared" ca="1" si="16"/>
        <v>66742998.351622954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1060431510.186738</v>
      </c>
      <c r="F74" s="177">
        <f t="shared" si="13"/>
        <v>0.60929438849360251</v>
      </c>
      <c r="G74" s="181">
        <f>SUM(G69:G73)</f>
        <v>592972745.132411</v>
      </c>
      <c r="H74" s="181">
        <f t="shared" ca="1" si="14"/>
        <v>65885860.570267886</v>
      </c>
      <c r="I74" s="186">
        <f>SUM(I69:I73)</f>
        <v>679994021.72815585</v>
      </c>
      <c r="J74" s="186">
        <f t="shared" ca="1" si="15"/>
        <v>75554891.303128421</v>
      </c>
      <c r="K74" s="186">
        <f>SUM(K69:K73)</f>
        <v>679994021.72815585</v>
      </c>
      <c r="L74" s="186">
        <f t="shared" ca="1" si="16"/>
        <v>75554891.303128421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309253837.03988498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97823393.579999998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7027026.8399999999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306826077.50980502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37502972.57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751459090.97996902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229480815.92959601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9813783.5199999996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38054054.829999998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433853334.65957397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109734631.169943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15098054.3574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122039462.09799999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2467966535.0841718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2026-09-21T00:47:44Z</dcterms:modified>
  <dc:language>en-US</dc:language>
</cp:coreProperties>
</file>