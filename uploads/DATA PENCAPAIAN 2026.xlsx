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s="1"/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<sst xmlns="http://schemas.openxmlformats.org/spreadsheetml/2006/main" count="1879" uniqueCount="186">
  <si>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</si>
  <si>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</si>
  <si>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</si>
  <si>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</si>
  <si>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</si>
  <si>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</si>
  <si>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</si>
  <si>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</si>
  <si>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</si>
  <si>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</si>
  <si>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</si>
  <si>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</si>
  <si>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</si>
  <si>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</si>
  <si>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</si>
  <si>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</si>
  <si>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</si>
  <si>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</si>
  <si>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</si>
  <si>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</si>
  <si>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</si>
  <si>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</si>
  <si>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</si>
  <si>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</si>
  <si>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</si>
  <si>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</si>
  <si>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</si>
  <si>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</si>
  <si>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</si>
  <si>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</si>
  <si>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</si>
  <si>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</si>
  <si>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</si>
  <si>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</si>
  <si>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</si>
  <si>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</si>
  <si>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</si>
  <si>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</si>
  <si>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</si>
  <si>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</si>
  <si>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</si>
  <si>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</si>
  <si>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</si>
  <si>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</si>
  <si>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</si>
  <si>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</si>
  <si>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</si>
  <si>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</si>
  <si>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</si>
  <si>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</si>
  <si>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</si>
  <si>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</si>
  <si>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</si>
  <si>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</si>
  <si>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</si>
  <si>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</si>
  <si>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</si>
  <si>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</si>
  <si>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</si>
  <si>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</si>
  <si>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</si>
  <si>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</si>
  <si>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</si>
  <si>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</si>
  <si>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</si>
  <si>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</si>
  <si>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</si>
  <si>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</si>
  <si>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</si>
  <si>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</si>
  <si>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</si>
  <si>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</si>
  <si>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</si>
  <si>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</si>
  <si>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</si>
  <si>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</si>
  <si>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</si>
  <si>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</si>
  <si>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</si>
  <si>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</si>
  <si>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</si>
  <si>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</si>
  <si>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</si>
  <si>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</si>
  <si>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</si>
  <si>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</si>
  <si>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</si>
  <si>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</si>
  <si>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</si>
  <si>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</si>
  <si>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</si>
  <si>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</si>
  <si>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</si>
  <si>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</si>
  <si>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</si>
  <si>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</si>
  <si>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</si>
  <si>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</si>
  <si>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</si>
  <si>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</si>
  <si>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</si>
  <si>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</si>
  <si>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</si>
  <si>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</si>
  <si>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</si>
  <si>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</si>
  <si>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</si>
  <si>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</si>
  <si>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</si>
  <si>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</si>
  <si>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</si>
  <si>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</si>
  <si>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</si>
  <si>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</si>
  <si>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</si>
  <si>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</si>
  <si>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</si>
  <si>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</si>
  <si>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</si>
  <si>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</si>
  <si>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</si>
  <si>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</si>
  <si>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</si>
  <si>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</si>
  <si>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</si>
  <si>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</si>
  <si>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</si>
  <si>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</si>
  <si>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</si>
  <si>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</si>
  <si>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</si>
  <si>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</si>
  <si>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</si>
  <si>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</si>
  <si>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</si>
  <si>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</si>
  <si>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</si>
  <si>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</si>
  <si>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</si>
  <si>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</si>
  <si>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</si>
  <si>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</si>
  <si>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</si>
  <si>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</si>
  <si>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</si>
  <si>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</si>
  <si>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</si>
  <si>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</si>
  <si>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</si>
  <si>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</si>
  <si>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</si>
  <si>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</si>
  <si>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</si>
  <si>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</si>
  <si>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</si>
  <si>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</si>
  <si>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</si>
  <si>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</si>
  <si>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</si>
  <si>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</si>
  <si>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</si>
  <si>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</si>
  <si>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</si>
  <si>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</si>
  <si>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</si>
  <si>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</si>
  <si>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</si>
  <si>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</si>
  <si>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</si>
  <si>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</si>
  <si>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</si>
  <si>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</si>
  <si>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</si>
  <si>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</si>
  <si>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</si>
  <si>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</si>
  <si>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</si>
  <si>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</si>
  <si>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</si>
  <si>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</si>
  <si>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</si>
  <si>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</si>
  <si>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</si>
  <si>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</si>
  <si>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</si>
  <si>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08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</si>
</sst>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21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30133051.438647952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26456539.510318607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5227262.6066529863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61816853.555619545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7235434.4441220621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6473792.1422509523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2090734.39047619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-1921367.0231441488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6228303.6957869586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3842262.116902079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-1196054.0794637885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5276877.5350138117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4933911.4366678568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3600568.9360609706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8439817.0193275362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5636872.7696272787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1647889.6649045434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4300547.900434304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56589590.948966607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-636332.2817272601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-882356.3208515445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6745951.2092317967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5227262.6066529918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21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126659330.48288301</v>
      </c>
      <c r="N8" s="11">
        <f>D24</f>
        <v>16565408.209983001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179674858.80805799</v>
      </c>
      <c r="N9" s="11">
        <f>D12+D13</f>
        <v>55905990.925827004</v>
      </c>
    </row>
    <row r="10" spans="2:14" x14ac:dyDescent="0.25">
      <c r="B10" s="74" t="s">
        <v>113</v>
      </c>
      <c r="C10" s="206">
        <v>110018958.327269</v>
      </c>
      <c r="D10" s="206">
        <v>11096055.105699999</v>
      </c>
      <c r="E10" s="206">
        <v>41390904.109999999</v>
      </c>
      <c r="F10" s="206">
        <v>162505917.54296899</v>
      </c>
      <c r="H10" s="116"/>
      <c r="I10" s="116"/>
      <c r="J10" s="116"/>
      <c r="M10" s="11">
        <f>C14</f>
        <v>235572322.18245399</v>
      </c>
      <c r="N10" s="11">
        <f>D14</f>
        <v>4745427.9799870001</v>
      </c>
    </row>
    <row r="11" spans="2:14" x14ac:dyDescent="0.25">
      <c r="B11" s="74" t="s">
        <v>114</v>
      </c>
      <c r="C11" s="206">
        <v>92414570.555527002</v>
      </c>
      <c r="D11" s="206">
        <v>23194636.937899999</v>
      </c>
      <c r="E11" s="206">
        <v>41720533.82</v>
      </c>
      <c r="F11" s="206">
        <v>157329741.313427</v>
      </c>
      <c r="H11" s="116"/>
      <c r="I11" s="116"/>
      <c r="J11" s="116"/>
      <c r="M11" s="11">
        <f>C17</f>
        <v>112950450.99955</v>
      </c>
      <c r="N11" s="11">
        <f>D17</f>
        <v>20186105.800000001</v>
      </c>
    </row>
    <row r="12" spans="2:14" x14ac:dyDescent="0.25">
      <c r="B12" s="74" t="s">
        <v>70</v>
      </c>
      <c r="C12" s="206">
        <v>97021781.541550994</v>
      </c>
      <c r="D12" s="206">
        <v>49925441.355827004</v>
      </c>
      <c r="E12" s="206">
        <v>17628859.920000002</v>
      </c>
      <c r="F12" s="206">
        <v>164576082.81737801</v>
      </c>
      <c r="H12" s="116"/>
      <c r="I12" s="116"/>
      <c r="J12" s="116"/>
      <c r="M12" s="11">
        <f>C16</f>
        <v>102704389.583562</v>
      </c>
      <c r="N12" s="11">
        <f>D16</f>
        <v>33218208.447393</v>
      </c>
    </row>
    <row r="13" spans="2:14" x14ac:dyDescent="0.25">
      <c r="B13" s="74" t="s">
        <v>115</v>
      </c>
      <c r="C13" s="206">
        <v>82653077.266507</v>
      </c>
      <c r="D13" s="206">
        <v>5980549.5700000003</v>
      </c>
      <c r="E13" s="206">
        <v>10941441.26</v>
      </c>
      <c r="F13" s="206">
        <v>99575068.096506998</v>
      </c>
      <c r="H13" s="116"/>
      <c r="I13" s="116"/>
      <c r="J13" s="116"/>
      <c r="M13" s="11">
        <f>C19</f>
        <v>372468207.54041201</v>
      </c>
      <c r="N13" s="11">
        <f>D19</f>
        <v>49944728.019694999</v>
      </c>
    </row>
    <row r="14" spans="2:14" x14ac:dyDescent="0.25">
      <c r="B14" s="74" t="s">
        <v>116</v>
      </c>
      <c r="C14" s="206">
        <v>235572322.18245399</v>
      </c>
      <c r="D14" s="206">
        <v>4745427.9799870001</v>
      </c>
      <c r="E14" s="206">
        <v>95756058.060000002</v>
      </c>
      <c r="F14" s="206">
        <v>336073808.22244102</v>
      </c>
      <c r="H14" s="116"/>
      <c r="I14" s="116"/>
      <c r="J14" s="116"/>
      <c r="M14" s="11">
        <f>C25</f>
        <v>128725704.836134</v>
      </c>
      <c r="N14" s="11">
        <f>D25</f>
        <v>10653227.079995999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92414570.555527002</v>
      </c>
      <c r="N15" s="11">
        <f>D11</f>
        <v>23194636.937899999</v>
      </c>
    </row>
    <row r="16" spans="2:14" x14ac:dyDescent="0.25">
      <c r="B16" s="74" t="s">
        <v>74</v>
      </c>
      <c r="C16" s="206">
        <v>102704389.583562</v>
      </c>
      <c r="D16" s="206">
        <v>33218208.447393</v>
      </c>
      <c r="E16" s="206">
        <v>7747747.5999999996</v>
      </c>
      <c r="F16" s="206">
        <v>143670345.63095501</v>
      </c>
      <c r="H16" s="116"/>
      <c r="I16" s="116"/>
      <c r="J16" s="116"/>
      <c r="M16" s="11">
        <f>C26</f>
        <v>148755791.723544</v>
      </c>
      <c r="N16" s="11">
        <f>D26</f>
        <v>13809145.079995999</v>
      </c>
    </row>
    <row r="17" spans="2:14" x14ac:dyDescent="0.25">
      <c r="B17" s="74" t="s">
        <v>118</v>
      </c>
      <c r="C17" s="206">
        <v>112950450.99955</v>
      </c>
      <c r="D17" s="206">
        <v>20186105.800000001</v>
      </c>
      <c r="E17" s="206" t="s">
        <v>168</v>
      </c>
      <c r="F17" s="206">
        <v>133136556.79955</v>
      </c>
      <c r="H17" s="116"/>
      <c r="I17" s="116"/>
      <c r="J17" s="116"/>
      <c r="M17" s="11">
        <f>C10</f>
        <v>110018958.327269</v>
      </c>
      <c r="N17" s="11">
        <f>D10</f>
        <v>11096055.105699999</v>
      </c>
    </row>
    <row r="18" spans="2:14" x14ac:dyDescent="0.25">
      <c r="B18" s="74" t="s">
        <v>119</v>
      </c>
      <c r="C18" s="206">
        <v>824173837.10383606</v>
      </c>
      <c r="D18" s="206">
        <v>2283436.2999979998</v>
      </c>
      <c r="E18" s="206">
        <v>1686486.48</v>
      </c>
      <c r="F18" s="206">
        <v>828143759.883834</v>
      </c>
      <c r="H18" s="116"/>
      <c r="I18" s="116"/>
      <c r="J18" s="116"/>
      <c r="M18" s="11">
        <f>C27</f>
        <v>214399538.979642</v>
      </c>
      <c r="N18" s="11">
        <f>D27</f>
        <v>25044583.649753999</v>
      </c>
    </row>
    <row r="19" spans="2:14" x14ac:dyDescent="0.25">
      <c r="B19" s="74" t="s">
        <v>121</v>
      </c>
      <c r="C19" s="206">
        <v>372468207.54041201</v>
      </c>
      <c r="D19" s="206">
        <v>49944728.019694999</v>
      </c>
      <c r="E19" s="206">
        <v>432269571.62</v>
      </c>
      <c r="F19" s="206">
        <v>854682507.180107</v>
      </c>
      <c r="H19" s="116"/>
      <c r="I19" s="116"/>
      <c r="J19" s="116"/>
      <c r="M19" s="11">
        <f>C20+C21</f>
        <v>88872133.007305995</v>
      </c>
      <c r="N19" s="11">
        <f>D20+D21</f>
        <v>23741283.657790001</v>
      </c>
    </row>
    <row r="20" spans="2:14" x14ac:dyDescent="0.25">
      <c r="B20" s="74" t="s">
        <v>123</v>
      </c>
      <c r="C20" s="206">
        <v>67723504.307310998</v>
      </c>
      <c r="D20" s="206">
        <v>2544609.0099889999</v>
      </c>
      <c r="E20" s="206">
        <v>972973</v>
      </c>
      <c r="F20" s="206">
        <v>71241086.317300007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6">
        <v>21148628.699995</v>
      </c>
      <c r="D21" s="206">
        <v>21196674.647801001</v>
      </c>
      <c r="E21" s="206">
        <v>10345946.18</v>
      </c>
      <c r="F21" s="206">
        <v>52691249.527796</v>
      </c>
      <c r="H21" s="116"/>
      <c r="I21" s="116"/>
      <c r="J21" s="116"/>
      <c r="M21" s="14">
        <f>IFERROR(C34,0)+IFERROR(C35,0)+M20</f>
        <v>78956138.722936004</v>
      </c>
      <c r="N21" s="10" t="s">
        <v>122</v>
      </c>
    </row>
    <row r="22" spans="2:14" x14ac:dyDescent="0.25">
      <c r="B22" s="74" t="s">
        <v>172</v>
      </c>
      <c r="C22" s="206">
        <v>57897220.100000001</v>
      </c>
      <c r="D22" s="206" t="s">
        <v>168</v>
      </c>
      <c r="E22" s="206" t="s">
        <v>168</v>
      </c>
      <c r="F22" s="206">
        <v>57897220.100000001</v>
      </c>
      <c r="H22" s="116"/>
      <c r="I22" s="116"/>
      <c r="J22" s="116"/>
    </row>
    <row r="23" spans="2:14" x14ac:dyDescent="0.25">
      <c r="B23" s="74" t="s">
        <v>173</v>
      </c>
      <c r="C23" s="206">
        <v>120268638.40000001</v>
      </c>
      <c r="D23" s="206" t="s">
        <v>168</v>
      </c>
      <c r="E23" s="206">
        <v>4054053.94</v>
      </c>
      <c r="F23" s="206">
        <v>124322692.34</v>
      </c>
      <c r="H23" s="116"/>
      <c r="I23" s="116"/>
      <c r="J23" s="116"/>
    </row>
    <row r="24" spans="2:14" x14ac:dyDescent="0.25">
      <c r="B24" s="74" t="s">
        <v>125</v>
      </c>
      <c r="C24" s="206">
        <v>126659330.48288301</v>
      </c>
      <c r="D24" s="206">
        <v>16565408.209983001</v>
      </c>
      <c r="E24" s="206">
        <v>153988108.13995001</v>
      </c>
      <c r="F24" s="206">
        <v>297212846.832816</v>
      </c>
      <c r="H24" s="116"/>
      <c r="I24" s="116"/>
      <c r="J24" s="116"/>
    </row>
    <row r="25" spans="2:14" x14ac:dyDescent="0.25">
      <c r="B25" s="74" t="s">
        <v>126</v>
      </c>
      <c r="C25" s="206">
        <v>128725704.836134</v>
      </c>
      <c r="D25" s="206">
        <v>10653227.079995999</v>
      </c>
      <c r="E25" s="206">
        <v>63215383.609855004</v>
      </c>
      <c r="F25" s="206">
        <v>202594315.525985</v>
      </c>
      <c r="H25" s="116"/>
      <c r="I25" s="116"/>
      <c r="J25" s="116"/>
    </row>
    <row r="26" spans="2:14" x14ac:dyDescent="0.25">
      <c r="B26" s="74" t="s">
        <v>127</v>
      </c>
      <c r="C26" s="206">
        <v>148755791.723544</v>
      </c>
      <c r="D26" s="206">
        <v>13809145.079995999</v>
      </c>
      <c r="E26" s="206">
        <v>181414417.12973201</v>
      </c>
      <c r="F26" s="206">
        <v>343979353.933272</v>
      </c>
      <c r="H26" s="116"/>
      <c r="I26" s="116"/>
      <c r="J26" s="116"/>
    </row>
    <row r="27" spans="2:14" x14ac:dyDescent="0.25">
      <c r="B27" s="74" t="s">
        <v>128</v>
      </c>
      <c r="C27" s="206">
        <v>214399538.979642</v>
      </c>
      <c r="D27" s="206">
        <v>25044583.649753999</v>
      </c>
      <c r="E27" s="206">
        <v>2380432.477</v>
      </c>
      <c r="F27" s="206">
        <v>241824555.10639599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38685846.614770003</v>
      </c>
      <c r="G32" s="116"/>
      <c r="H32" s="116"/>
      <c r="I32" s="116"/>
    </row>
    <row r="33" spans="2:14" x14ac:dyDescent="0.25">
      <c r="B33" s="84" t="s">
        <v>133</v>
      </c>
      <c r="C33" s="206">
        <v>141325772.30181</v>
      </c>
      <c r="G33" s="116"/>
      <c r="H33" s="116"/>
      <c r="I33" s="116"/>
    </row>
    <row r="34" spans="2:14" x14ac:dyDescent="0.25">
      <c r="B34" s="84" t="s">
        <v>134</v>
      </c>
      <c r="C34" s="206">
        <v>28927049.489505</v>
      </c>
      <c r="G34" s="116"/>
      <c r="H34" s="116"/>
      <c r="I34" s="116"/>
    </row>
    <row r="35" spans="2:14" x14ac:dyDescent="0.25">
      <c r="B35" s="84" t="s">
        <v>135</v>
      </c>
      <c r="C35" s="206">
        <v>50029089.233430997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0.25806451612903225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2091382115.526341</v>
      </c>
      <c r="F43" s="44">
        <f>IFERROR(E43/D43,0)</f>
        <v>0.26313830096359225</v>
      </c>
      <c r="G43" s="118">
        <f>D43-E43</f>
        <v>5856461690.8213482</v>
      </c>
      <c r="H43" s="118">
        <f ca="1">IFERROR(G43/C3,0)</f>
        <v>278879128.13434994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288104800.89402092</v>
      </c>
      <c r="F44" s="44">
        <f>IFERROR(E44/D44,0)</f>
        <v>0.19431017928749314</v>
      </c>
      <c r="G44" s="118">
        <f>D44-E44</f>
        <v>1194600850.1967192</v>
      </c>
      <c r="H44" s="118">
        <f ca="1">IFERROR(G44/C3,0)</f>
        <v>56885754.771272339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258967757.639516</v>
      </c>
      <c r="F45" s="44">
        <f>IFERROR(E45/D45,0)</f>
        <v>0.13990212194318677</v>
      </c>
      <c r="G45" s="118">
        <f>D45-E45</f>
        <v>1592096072.1477184</v>
      </c>
      <c r="H45" s="118">
        <f ca="1">IFERROR(G45/C3,0)</f>
        <v>75814098.673700884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2638454674.0598779</v>
      </c>
      <c r="F46" s="43">
        <f>IFERROR(E46/D46,0)</f>
        <v>0.2338721073738132</v>
      </c>
      <c r="G46" s="119">
        <f>G43+G44+G45</f>
        <v>8643158613.1657867</v>
      </c>
      <c r="H46" s="119">
        <f ca="1">IFERROR(G46/C3,0)</f>
        <v>411578981.57932317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126659330.48288301</v>
      </c>
      <c r="H51" s="122">
        <f>N8</f>
        <v>16565408.209983001</v>
      </c>
      <c r="I51" s="122">
        <f t="shared" ref="I51:I64" si="1">G51+H51</f>
        <v>143224738.692866</v>
      </c>
      <c r="J51" s="61">
        <f t="shared" ref="J51:J64" si="2">IFERROR(I51/F51,0)</f>
        <v>0.25234911047024888</v>
      </c>
      <c r="K51" s="51">
        <f t="shared" ref="K51:M64" si="3">D51-G51</f>
        <v>364577846.64258039</v>
      </c>
      <c r="L51" s="51">
        <f t="shared" si="3"/>
        <v>59763269.86399845</v>
      </c>
      <c r="M51" s="51">
        <f t="shared" si="3"/>
        <v>424341116.50657892</v>
      </c>
      <c r="N51" s="51">
        <f ca="1">IFERROR(M51/C3,0)</f>
        <v>20206719.833646614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179674858.80805799</v>
      </c>
      <c r="H52" s="122">
        <f>N9</f>
        <v>55905990.925827004</v>
      </c>
      <c r="I52" s="122">
        <f t="shared" si="1"/>
        <v>235580849.73388499</v>
      </c>
      <c r="J52" s="61">
        <f t="shared" si="2"/>
        <v>0.28088065993003758</v>
      </c>
      <c r="K52" s="54">
        <f t="shared" si="3"/>
        <v>477782301.04369164</v>
      </c>
      <c r="L52" s="54">
        <f t="shared" si="3"/>
        <v>125359065.95519531</v>
      </c>
      <c r="M52" s="54">
        <f t="shared" si="3"/>
        <v>603141366.99888706</v>
      </c>
      <c r="N52" s="54">
        <f ca="1">IFERROR(M52/C3,0)</f>
        <v>28721017.476137478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57897220.100000001</v>
      </c>
      <c r="H53" s="122">
        <f>IF(D22="",0,D22)</f>
        <v>0</v>
      </c>
      <c r="I53" s="122">
        <f>G53+H53</f>
        <v>57897220.100000001</v>
      </c>
      <c r="J53" s="61">
        <f>IFERROR(I53/F53,0)</f>
        <v>0.23256044931667896</v>
      </c>
      <c r="K53" s="54">
        <f>D53-G53</f>
        <v>191058353.68787572</v>
      </c>
      <c r="L53" s="54">
        <f>E53-H53</f>
        <v>0</v>
      </c>
      <c r="M53" s="54">
        <f>F53-I53</f>
        <v>191058353.68787572</v>
      </c>
      <c r="N53" s="54">
        <f ca="1">IFERROR(M53/C3,0)</f>
        <v>9098016.8422797956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235572322.18245399</v>
      </c>
      <c r="H54" s="122">
        <f t="shared" ref="H54:H58" si="4">N10</f>
        <v>4745427.9799870001</v>
      </c>
      <c r="I54" s="122">
        <f t="shared" si="1"/>
        <v>240317750.16244099</v>
      </c>
      <c r="J54" s="61">
        <f t="shared" si="2"/>
        <v>0.30815098126399015</v>
      </c>
      <c r="K54" s="54">
        <f>D54-G54</f>
        <v>492814955.39144874</v>
      </c>
      <c r="L54" s="54">
        <f t="shared" si="3"/>
        <v>46737438.54460635</v>
      </c>
      <c r="M54" s="54">
        <f t="shared" si="3"/>
        <v>539552393.93605506</v>
      </c>
      <c r="N54" s="54">
        <f ca="1">IFERROR(M54/C3,0)</f>
        <v>25692971.139812145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112950450.99955</v>
      </c>
      <c r="H55" s="122">
        <f t="shared" si="4"/>
        <v>20186105.800000001</v>
      </c>
      <c r="I55" s="122">
        <f t="shared" si="1"/>
        <v>133136556.79955</v>
      </c>
      <c r="J55" s="61">
        <f t="shared" si="2"/>
        <v>0.24092828202661534</v>
      </c>
      <c r="K55" s="54">
        <f t="shared" si="3"/>
        <v>369361727.47781539</v>
      </c>
      <c r="L55" s="54">
        <f t="shared" si="3"/>
        <v>50100006.299588963</v>
      </c>
      <c r="M55" s="54">
        <f t="shared" si="3"/>
        <v>419461733.77740437</v>
      </c>
      <c r="N55" s="54">
        <f ca="1">IFERROR(M55/C3,0)</f>
        <v>19974368.275114495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102704389.583562</v>
      </c>
      <c r="H56" s="122">
        <f t="shared" si="4"/>
        <v>33218208.447393</v>
      </c>
      <c r="I56" s="122">
        <f t="shared" si="1"/>
        <v>135922598.03095502</v>
      </c>
      <c r="J56" s="61">
        <f t="shared" si="2"/>
        <v>0.21638752891358171</v>
      </c>
      <c r="K56" s="54">
        <f t="shared" si="3"/>
        <v>402487613.41952455</v>
      </c>
      <c r="L56" s="54">
        <f t="shared" si="3"/>
        <v>89734112.362369105</v>
      </c>
      <c r="M56" s="54">
        <f t="shared" si="3"/>
        <v>492221725.78189367</v>
      </c>
      <c r="N56" s="54">
        <f ca="1">IFERROR(M56/C3,0)</f>
        <v>23439129.799137793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372468207.54041201</v>
      </c>
      <c r="H57" s="122">
        <f t="shared" si="4"/>
        <v>49944728.019694999</v>
      </c>
      <c r="I57" s="122">
        <f t="shared" si="1"/>
        <v>422412935.56010699</v>
      </c>
      <c r="J57" s="61">
        <f t="shared" si="2"/>
        <v>0.36340272810032387</v>
      </c>
      <c r="K57" s="54">
        <f t="shared" si="3"/>
        <v>688777195.50830674</v>
      </c>
      <c r="L57" s="54">
        <f t="shared" si="3"/>
        <v>51192269.768963397</v>
      </c>
      <c r="M57" s="54">
        <f t="shared" si="3"/>
        <v>739969465.27727008</v>
      </c>
      <c r="N57" s="54">
        <f ca="1">IFERROR(M57/C3,0)</f>
        <v>35236641.203679524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128725704.836134</v>
      </c>
      <c r="H58" s="122">
        <f t="shared" si="4"/>
        <v>10653227.079995999</v>
      </c>
      <c r="I58" s="122">
        <f>G58+H58</f>
        <v>139378931.91613001</v>
      </c>
      <c r="J58" s="61">
        <f>IFERROR(I58/F58,0)</f>
        <v>0.20872008407918044</v>
      </c>
      <c r="K58" s="54">
        <f t="shared" si="3"/>
        <v>434388465.89795476</v>
      </c>
      <c r="L58" s="54">
        <f t="shared" si="3"/>
        <v>94011807.675574481</v>
      </c>
      <c r="M58" s="54">
        <f t="shared" si="3"/>
        <v>528400273.5735293</v>
      </c>
      <c r="N58" s="54">
        <f ca="1">IFERROR(M58/C3,0)</f>
        <v>25161917.78921568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120268638.40000001</v>
      </c>
      <c r="H59" s="122">
        <f>IF(D23="",0,D23)</f>
        <v>0</v>
      </c>
      <c r="I59" s="122">
        <f>G59+H59</f>
        <v>120268638.40000001</v>
      </c>
      <c r="J59" s="61">
        <f>IFERROR(I59/F59,0)</f>
        <v>0.27979264075025601</v>
      </c>
      <c r="K59" s="54">
        <f>D59-G59</f>
        <v>309580545.90128493</v>
      </c>
      <c r="L59" s="54">
        <f>E59-H59</f>
        <v>0</v>
      </c>
      <c r="M59" s="54">
        <f>F59-I59</f>
        <v>309580545.90128493</v>
      </c>
      <c r="N59" s="54">
        <f ca="1">IFERROR(M59/C3,0)</f>
        <v>14741930.757204045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92414570.555527002</v>
      </c>
      <c r="H60" s="122">
        <f t="shared" ref="H60:H64" si="5">N15</f>
        <v>23194636.937899999</v>
      </c>
      <c r="I60" s="122">
        <f t="shared" si="1"/>
        <v>115609207.49342701</v>
      </c>
      <c r="J60" s="61">
        <f t="shared" si="2"/>
        <v>0.1828147267039886</v>
      </c>
      <c r="K60" s="54">
        <f t="shared" si="3"/>
        <v>422306540.87132108</v>
      </c>
      <c r="L60" s="54">
        <f t="shared" si="3"/>
        <v>94468795.144266069</v>
      </c>
      <c r="M60" s="54">
        <f t="shared" si="3"/>
        <v>516775336.01558709</v>
      </c>
      <c r="N60" s="54">
        <f ca="1">IFERROR(M60/C3,0)</f>
        <v>24608349.334075578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148755791.723544</v>
      </c>
      <c r="H61" s="122">
        <f t="shared" si="5"/>
        <v>13809145.079995999</v>
      </c>
      <c r="I61" s="122">
        <f t="shared" si="1"/>
        <v>162564936.80353999</v>
      </c>
      <c r="J61" s="61">
        <f t="shared" si="2"/>
        <v>0.21118057745561952</v>
      </c>
      <c r="K61" s="54">
        <f t="shared" si="3"/>
        <v>550089384.51605701</v>
      </c>
      <c r="L61" s="54">
        <f t="shared" si="3"/>
        <v>57136815.546214826</v>
      </c>
      <c r="M61" s="54">
        <f t="shared" si="3"/>
        <v>607226200.06227183</v>
      </c>
      <c r="N61" s="54">
        <f ca="1">IFERROR(M61/C3,0)</f>
        <v>28915533.336298659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110018958.327269</v>
      </c>
      <c r="H62" s="122">
        <f t="shared" si="5"/>
        <v>11096055.105699999</v>
      </c>
      <c r="I62" s="122">
        <f t="shared" si="1"/>
        <v>121115013.432969</v>
      </c>
      <c r="J62" s="61">
        <f t="shared" si="2"/>
        <v>0.22842338950515001</v>
      </c>
      <c r="K62" s="54">
        <f t="shared" si="3"/>
        <v>371851405.89009708</v>
      </c>
      <c r="L62" s="54">
        <f t="shared" si="3"/>
        <v>37255173.550365791</v>
      </c>
      <c r="M62" s="54">
        <f t="shared" si="3"/>
        <v>409106579.44046295</v>
      </c>
      <c r="N62" s="54">
        <f ca="1">IFERROR(M62/C3,0)</f>
        <v>19481265.687641092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214399538.979642</v>
      </c>
      <c r="H63" s="122">
        <f t="shared" si="5"/>
        <v>25044583.649753999</v>
      </c>
      <c r="I63" s="122">
        <f t="shared" si="1"/>
        <v>239444122.62939599</v>
      </c>
      <c r="J63" s="61">
        <f t="shared" si="2"/>
        <v>0.23198076044603214</v>
      </c>
      <c r="K63" s="54">
        <f t="shared" si="3"/>
        <v>491655390.01315844</v>
      </c>
      <c r="L63" s="54">
        <f t="shared" si="3"/>
        <v>301072819.96388233</v>
      </c>
      <c r="M63" s="54">
        <f t="shared" si="3"/>
        <v>792728209.97704077</v>
      </c>
      <c r="N63" s="54">
        <f ca="1">IFERROR(M63/C3,0)</f>
        <v>37748962.379859082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88872133.007305995</v>
      </c>
      <c r="H64" s="122">
        <f t="shared" si="5"/>
        <v>23741283.657790001</v>
      </c>
      <c r="I64" s="122">
        <f t="shared" si="1"/>
        <v>112613416.665096</v>
      </c>
      <c r="J64" s="61">
        <f t="shared" si="2"/>
        <v>0.19083375924501295</v>
      </c>
      <c r="K64" s="54">
        <f t="shared" si="3"/>
        <v>289729964.56023121</v>
      </c>
      <c r="L64" s="54">
        <f t="shared" si="3"/>
        <v>187769275.52169397</v>
      </c>
      <c r="M64" s="54">
        <f t="shared" si="3"/>
        <v>477499240.08192521</v>
      </c>
      <c r="N64" s="54">
        <f ca="1">IFERROR(M64/C3,0)</f>
        <v>22738059.051520247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2091382115.526341</v>
      </c>
      <c r="H65" s="152">
        <f>SUM(H51:H64)</f>
        <v>288104800.89402092</v>
      </c>
      <c r="I65" s="152">
        <f>SUM(I51:I64)</f>
        <v>2379486916.4203625</v>
      </c>
      <c r="J65" s="153">
        <f>IFERROR(I65/F65,0)</f>
        <v>0.25231689067104374</v>
      </c>
      <c r="K65" s="154">
        <f>SUM(K51:K64)</f>
        <v>5856461690.8213472</v>
      </c>
      <c r="L65" s="154">
        <f>SUM(L51:L64)</f>
        <v>1194600850.1967192</v>
      </c>
      <c r="M65" s="154">
        <f>SUM(M51:M64)</f>
        <v>7051062541.0180674</v>
      </c>
      <c r="N65" s="154">
        <f ca="1">IFERROR(M65/C3,0)</f>
        <v>335764882.90562224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153988108.13995001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28570301.18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95756058.060000002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7747747.5999999996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432269571.62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63215383.609855004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4054053.94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41720533.82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181414417.12973201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41390904.109999999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2380432.477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11318919.18</v>
      </c>
    </row>
    <row r="84" spans="2:9" ht="20.100000000000001" customHeight="1" x14ac:dyDescent="0.25">
      <c r="B84" s="57" t="s">
        <v>152</v>
      </c>
      <c r="C84" s="58"/>
      <c r="D84" s="129">
        <f>SUM(D70:D83)</f>
        <v>1063826430.8665372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38685846.614770003</v>
      </c>
      <c r="F89" s="61">
        <f t="shared" ref="F89:F94" si="7">IFERROR(E89/D89,0)</f>
        <v>0.13197192805757357</v>
      </c>
      <c r="G89" s="125">
        <f>D89-E89</f>
        <v>254451089.27884716</v>
      </c>
      <c r="H89" s="125">
        <f ca="1">IFERROR(G89/C3,0)</f>
        <v>12116718.53708796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141325772.30181</v>
      </c>
      <c r="F90" s="61">
        <f t="shared" si="7"/>
        <v>0.32381649289891101</v>
      </c>
      <c r="G90" s="126">
        <f>D90-E90</f>
        <v>295112072.59180713</v>
      </c>
      <c r="H90" s="126">
        <f ca="1">IFERROR(G90/C3,0)</f>
        <v>14052955.837705102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78956138.722936004</v>
      </c>
      <c r="F91" s="61">
        <f t="shared" si="7"/>
        <v>7.0402951141911696E-2</v>
      </c>
      <c r="G91" s="125">
        <f>D91-E91</f>
        <v>1042532910.277064</v>
      </c>
      <c r="H91" s="125">
        <f ca="1">IFERROR(G91/C3,0)</f>
        <v>49644424.298907809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258967757.639516</v>
      </c>
      <c r="F94" s="43">
        <f t="shared" si="7"/>
        <v>0.13990212194318677</v>
      </c>
      <c r="G94" s="119">
        <f>SUM(G89:G93)</f>
        <v>1592096072.1477184</v>
      </c>
      <c r="H94" s="119">
        <f ca="1">IFERROR(G94/C3,0)</f>
        <v>75814098.673700884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2026-07-08T00:57:30Z</dcterms:modified>
  <dc:language>en-US</dc:language>
</cp:coreProperties>
</file>