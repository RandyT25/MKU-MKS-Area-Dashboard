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755" tabRatio="500" firstSheet="4" activeTab="11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definedNames>
    <definedName name="_xlnm._FilterDatabase" localSheetId="11" hidden="1">OKT!$B$42:$L$47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4" i="14" l="1"/>
  <c r="U93" i="14"/>
  <c r="T93" i="14"/>
  <c r="D93" i="14"/>
  <c r="U92" i="14"/>
  <c r="T92" i="14"/>
  <c r="D92" i="14" s="1"/>
  <c r="U91" i="14"/>
  <c r="T91" i="14"/>
  <c r="D91" i="14" s="1"/>
  <c r="U90" i="14"/>
  <c r="T90" i="14"/>
  <c r="D90" i="14"/>
  <c r="U89" i="14"/>
  <c r="T89" i="14"/>
  <c r="D89" i="14" s="1"/>
  <c r="U88" i="14"/>
  <c r="D88" i="14" s="1"/>
  <c r="T88" i="14"/>
  <c r="U87" i="14"/>
  <c r="T87" i="14"/>
  <c r="D87" i="14" s="1"/>
  <c r="U86" i="14"/>
  <c r="T86" i="14"/>
  <c r="D86" i="14"/>
  <c r="U85" i="14"/>
  <c r="T85" i="14"/>
  <c r="D85" i="14"/>
  <c r="U84" i="14"/>
  <c r="T84" i="14"/>
  <c r="D84" i="14" s="1"/>
  <c r="U83" i="14"/>
  <c r="T83" i="14"/>
  <c r="D83" i="14" s="1"/>
  <c r="U82" i="14"/>
  <c r="T82" i="14"/>
  <c r="D82" i="14"/>
  <c r="U81" i="14"/>
  <c r="T81" i="14"/>
  <c r="D81" i="14" s="1"/>
  <c r="U80" i="14"/>
  <c r="D80" i="14" s="1"/>
  <c r="T80" i="14"/>
  <c r="D94" i="13"/>
  <c r="U93" i="13"/>
  <c r="T93" i="13"/>
  <c r="D93" i="13"/>
  <c r="U92" i="13"/>
  <c r="T92" i="13"/>
  <c r="D92" i="13" s="1"/>
  <c r="U91" i="13"/>
  <c r="T91" i="13"/>
  <c r="D91" i="13" s="1"/>
  <c r="U90" i="13"/>
  <c r="T90" i="13"/>
  <c r="D90" i="13"/>
  <c r="U89" i="13"/>
  <c r="T89" i="13"/>
  <c r="D89" i="13" s="1"/>
  <c r="U88" i="13"/>
  <c r="T88" i="13"/>
  <c r="D88" i="13"/>
  <c r="U87" i="13"/>
  <c r="T87" i="13"/>
  <c r="D87" i="13" s="1"/>
  <c r="U86" i="13"/>
  <c r="D86" i="13" s="1"/>
  <c r="T86" i="13"/>
  <c r="U85" i="13"/>
  <c r="T85" i="13"/>
  <c r="D85" i="13"/>
  <c r="U84" i="13"/>
  <c r="T84" i="13"/>
  <c r="D84" i="13" s="1"/>
  <c r="U83" i="13"/>
  <c r="T83" i="13"/>
  <c r="D83" i="13"/>
  <c r="U82" i="13"/>
  <c r="T82" i="13"/>
  <c r="D82" i="13"/>
  <c r="U81" i="13"/>
  <c r="T81" i="13"/>
  <c r="D81" i="13" s="1"/>
  <c r="U80" i="13"/>
  <c r="T80" i="13"/>
  <c r="D80" i="13"/>
  <c r="D95" i="12"/>
  <c r="E69" i="14"/>
  <c r="E70" i="14"/>
  <c r="E72" i="14"/>
  <c r="E73" i="14"/>
  <c r="E69" i="13"/>
  <c r="E70" i="13"/>
  <c r="E72" i="13"/>
  <c r="E73" i="13"/>
  <c r="E70" i="12"/>
  <c r="E71" i="12"/>
  <c r="E73" i="12"/>
  <c r="E74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5" i="12"/>
  <c r="I65" i="12"/>
  <c r="H65" i="12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D95" i="14" l="1"/>
  <c r="D95" i="13"/>
  <c r="J64" i="1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D73" i="14" l="1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4" i="12"/>
  <c r="T94" i="12"/>
  <c r="U93" i="12"/>
  <c r="T93" i="12"/>
  <c r="U92" i="12"/>
  <c r="T92" i="12"/>
  <c r="U91" i="12"/>
  <c r="T91" i="12"/>
  <c r="D91" i="12" s="1"/>
  <c r="U90" i="12"/>
  <c r="T90" i="12"/>
  <c r="U89" i="12"/>
  <c r="T89" i="12"/>
  <c r="U88" i="12"/>
  <c r="T88" i="12"/>
  <c r="U87" i="12"/>
  <c r="T87" i="12"/>
  <c r="D87" i="12" s="1"/>
  <c r="U86" i="12"/>
  <c r="T86" i="12"/>
  <c r="U85" i="12"/>
  <c r="T85" i="12"/>
  <c r="U84" i="12"/>
  <c r="T84" i="12"/>
  <c r="U83" i="12"/>
  <c r="T83" i="12"/>
  <c r="D83" i="12" s="1"/>
  <c r="U82" i="12"/>
  <c r="T82" i="12"/>
  <c r="U81" i="12"/>
  <c r="T81" i="12"/>
  <c r="D74" i="12"/>
  <c r="F74" i="12" s="1"/>
  <c r="D73" i="12"/>
  <c r="D72" i="12"/>
  <c r="D71" i="12"/>
  <c r="D70" i="12"/>
  <c r="L69" i="12"/>
  <c r="K69" i="12"/>
  <c r="J69" i="12"/>
  <c r="I69" i="12"/>
  <c r="H69" i="12"/>
  <c r="G69" i="12"/>
  <c r="K65" i="12"/>
  <c r="F65" i="12"/>
  <c r="E65" i="12"/>
  <c r="D65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K60" i="12"/>
  <c r="F60" i="12"/>
  <c r="E60" i="12"/>
  <c r="D60" i="12"/>
  <c r="F59" i="12"/>
  <c r="E59" i="12"/>
  <c r="D59" i="12"/>
  <c r="K58" i="12"/>
  <c r="F58" i="12"/>
  <c r="E58" i="12"/>
  <c r="D58" i="12"/>
  <c r="K57" i="12"/>
  <c r="F57" i="12"/>
  <c r="E57" i="12"/>
  <c r="D57" i="12"/>
  <c r="F56" i="12"/>
  <c r="E56" i="12"/>
  <c r="D56" i="12"/>
  <c r="K55" i="12"/>
  <c r="F55" i="12"/>
  <c r="E55" i="12"/>
  <c r="D55" i="12"/>
  <c r="F54" i="12"/>
  <c r="E54" i="12"/>
  <c r="D54" i="12"/>
  <c r="F53" i="12"/>
  <c r="E53" i="12"/>
  <c r="D53" i="12"/>
  <c r="F52" i="12"/>
  <c r="E52" i="12"/>
  <c r="D52" i="12"/>
  <c r="R50" i="12"/>
  <c r="Q50" i="12"/>
  <c r="P50" i="12"/>
  <c r="O50" i="12"/>
  <c r="N50" i="12"/>
  <c r="M50" i="12"/>
  <c r="D46" i="12"/>
  <c r="D45" i="12"/>
  <c r="D44" i="12"/>
  <c r="D43" i="12"/>
  <c r="L42" i="12"/>
  <c r="K42" i="12"/>
  <c r="J42" i="12"/>
  <c r="I42" i="12"/>
  <c r="H42" i="12"/>
  <c r="G42" i="12"/>
  <c r="F41" i="12"/>
  <c r="O7" i="12"/>
  <c r="N7" i="12"/>
  <c r="M7" i="12"/>
  <c r="M20" i="12" s="1"/>
  <c r="M21" i="12" s="1"/>
  <c r="E72" i="12" s="1"/>
  <c r="E3" i="12"/>
  <c r="J2" i="12" s="1"/>
  <c r="C3" i="12"/>
  <c r="U93" i="11"/>
  <c r="T93" i="11"/>
  <c r="U92" i="11"/>
  <c r="T92" i="11"/>
  <c r="U91" i="11"/>
  <c r="T91" i="11"/>
  <c r="U90" i="11"/>
  <c r="T90" i="11"/>
  <c r="U89" i="11"/>
  <c r="T89" i="11"/>
  <c r="U88" i="11"/>
  <c r="T88" i="11"/>
  <c r="U87" i="11"/>
  <c r="T87" i="11"/>
  <c r="U86" i="11"/>
  <c r="T86" i="11"/>
  <c r="U85" i="11"/>
  <c r="T85" i="11"/>
  <c r="U84" i="11"/>
  <c r="T84" i="11"/>
  <c r="U83" i="11"/>
  <c r="T83" i="11"/>
  <c r="U82" i="11"/>
  <c r="T82" i="11"/>
  <c r="U81" i="11"/>
  <c r="T81" i="1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L68" i="8"/>
  <c r="K68" i="8"/>
  <c r="J68" i="8"/>
  <c r="I68" i="8"/>
  <c r="H68" i="8"/>
  <c r="G68" i="8"/>
  <c r="E64" i="8"/>
  <c r="D64" i="8"/>
  <c r="E63" i="8"/>
  <c r="D63" i="8"/>
  <c r="E62" i="8"/>
  <c r="D62" i="8"/>
  <c r="E61" i="8"/>
  <c r="D61" i="8"/>
  <c r="E60" i="8"/>
  <c r="D60" i="8"/>
  <c r="H59" i="8"/>
  <c r="G59" i="8"/>
  <c r="E59" i="8"/>
  <c r="D59" i="8"/>
  <c r="E58" i="8"/>
  <c r="D58" i="8"/>
  <c r="E57" i="8"/>
  <c r="D57" i="8"/>
  <c r="E56" i="8"/>
  <c r="D56" i="8"/>
  <c r="E55" i="8"/>
  <c r="D55" i="8"/>
  <c r="E54" i="8"/>
  <c r="D54" i="8"/>
  <c r="H53" i="8"/>
  <c r="G53" i="8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E60" i="7"/>
  <c r="D60" i="7"/>
  <c r="H59" i="7"/>
  <c r="G59" i="7"/>
  <c r="E59" i="7"/>
  <c r="D59" i="7"/>
  <c r="E58" i="7"/>
  <c r="D58" i="7"/>
  <c r="E57" i="7"/>
  <c r="D57" i="7"/>
  <c r="E56" i="7"/>
  <c r="D56" i="7"/>
  <c r="E55" i="7"/>
  <c r="D55" i="7"/>
  <c r="E54" i="7"/>
  <c r="D54" i="7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E60" i="6"/>
  <c r="D60" i="6"/>
  <c r="H59" i="6"/>
  <c r="G59" i="6"/>
  <c r="E59" i="6"/>
  <c r="D59" i="6"/>
  <c r="E58" i="6"/>
  <c r="D58" i="6"/>
  <c r="E57" i="6"/>
  <c r="D57" i="6"/>
  <c r="E56" i="6"/>
  <c r="D56" i="6"/>
  <c r="E55" i="6"/>
  <c r="D55" i="6"/>
  <c r="E54" i="6"/>
  <c r="D54" i="6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E59" i="4"/>
  <c r="D59" i="4"/>
  <c r="F59" i="4" s="1"/>
  <c r="E58" i="4"/>
  <c r="D58" i="4"/>
  <c r="E57" i="4"/>
  <c r="D57" i="4"/>
  <c r="E56" i="4"/>
  <c r="D56" i="4"/>
  <c r="E55" i="4"/>
  <c r="D55" i="4"/>
  <c r="E54" i="4"/>
  <c r="D54" i="4"/>
  <c r="E53" i="4"/>
  <c r="D53" i="4"/>
  <c r="E52" i="4"/>
  <c r="D52" i="4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E58" i="3"/>
  <c r="D58" i="3"/>
  <c r="F58" i="3" s="1"/>
  <c r="E57" i="3"/>
  <c r="D57" i="3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F52" i="4" l="1"/>
  <c r="F56" i="4"/>
  <c r="F60" i="4"/>
  <c r="F54" i="6"/>
  <c r="F58" i="6"/>
  <c r="F61" i="6"/>
  <c r="I56" i="7"/>
  <c r="I61" i="7"/>
  <c r="J61" i="7" s="1"/>
  <c r="F54" i="7"/>
  <c r="F58" i="7"/>
  <c r="F61" i="7"/>
  <c r="I53" i="8"/>
  <c r="F57" i="8"/>
  <c r="F60" i="8"/>
  <c r="F64" i="8"/>
  <c r="F69" i="8"/>
  <c r="I52" i="9"/>
  <c r="I57" i="9"/>
  <c r="D81" i="12"/>
  <c r="D85" i="12"/>
  <c r="D89" i="12"/>
  <c r="I62" i="9"/>
  <c r="F57" i="3"/>
  <c r="L59" i="5"/>
  <c r="F59" i="3"/>
  <c r="D93" i="12"/>
  <c r="F55" i="5"/>
  <c r="F59" i="5"/>
  <c r="D46" i="6"/>
  <c r="G52" i="11"/>
  <c r="D81" i="11"/>
  <c r="D82" i="11"/>
  <c r="D85" i="11"/>
  <c r="D86" i="11"/>
  <c r="D89" i="11"/>
  <c r="D90" i="11"/>
  <c r="D93" i="11"/>
  <c r="L57" i="5"/>
  <c r="L51" i="3"/>
  <c r="L55" i="3"/>
  <c r="L59" i="3"/>
  <c r="F53" i="4"/>
  <c r="F57" i="4"/>
  <c r="F52" i="5"/>
  <c r="F56" i="5"/>
  <c r="K72" i="7"/>
  <c r="F52" i="8"/>
  <c r="F55" i="8"/>
  <c r="F59" i="8"/>
  <c r="F62" i="8"/>
  <c r="I55" i="9"/>
  <c r="I60" i="9"/>
  <c r="I64" i="9"/>
  <c r="M64" i="9" s="1"/>
  <c r="N64" i="9" s="1"/>
  <c r="L53" i="4"/>
  <c r="L57" i="4"/>
  <c r="I55" i="6"/>
  <c r="I60" i="6"/>
  <c r="I53" i="6"/>
  <c r="F57" i="6"/>
  <c r="F60" i="6"/>
  <c r="F64" i="6"/>
  <c r="I55" i="7"/>
  <c r="I60" i="7"/>
  <c r="I64" i="7"/>
  <c r="M64" i="7" s="1"/>
  <c r="N64" i="7" s="1"/>
  <c r="I53" i="7"/>
  <c r="F57" i="7"/>
  <c r="F60" i="7"/>
  <c r="F64" i="7"/>
  <c r="F69" i="7"/>
  <c r="F53" i="8"/>
  <c r="F56" i="8"/>
  <c r="I59" i="8"/>
  <c r="M59" i="8" s="1"/>
  <c r="N59" i="8" s="1"/>
  <c r="F63" i="8"/>
  <c r="I56" i="9"/>
  <c r="I61" i="9"/>
  <c r="D82" i="10"/>
  <c r="D86" i="10"/>
  <c r="D90" i="10"/>
  <c r="F54" i="9"/>
  <c r="F58" i="9"/>
  <c r="F61" i="9"/>
  <c r="K70" i="9"/>
  <c r="D83" i="11"/>
  <c r="D87" i="11"/>
  <c r="D91" i="11"/>
  <c r="F53" i="6"/>
  <c r="F56" i="6"/>
  <c r="I59" i="6"/>
  <c r="F63" i="6"/>
  <c r="I54" i="7"/>
  <c r="M54" i="7" s="1"/>
  <c r="N54" i="7" s="1"/>
  <c r="I58" i="7"/>
  <c r="J58" i="7" s="1"/>
  <c r="I63" i="7"/>
  <c r="F56" i="7"/>
  <c r="J56" i="7" s="1"/>
  <c r="I59" i="7"/>
  <c r="F63" i="7"/>
  <c r="G59" i="10"/>
  <c r="G54" i="11"/>
  <c r="G54" i="12"/>
  <c r="F58" i="5"/>
  <c r="F73" i="7"/>
  <c r="I54" i="8"/>
  <c r="J54" i="8" s="1"/>
  <c r="I58" i="8"/>
  <c r="I63" i="8"/>
  <c r="I53" i="9"/>
  <c r="F57" i="9"/>
  <c r="J57" i="9" s="1"/>
  <c r="F60" i="9"/>
  <c r="O60" i="9" s="1"/>
  <c r="P60" i="9" s="1"/>
  <c r="F64" i="9"/>
  <c r="D81" i="10"/>
  <c r="D85" i="10"/>
  <c r="D89" i="10"/>
  <c r="D93" i="10"/>
  <c r="D84" i="12"/>
  <c r="D88" i="12"/>
  <c r="D92" i="12"/>
  <c r="G57" i="13"/>
  <c r="G62" i="13"/>
  <c r="G69" i="5"/>
  <c r="G53" i="10"/>
  <c r="G61" i="10"/>
  <c r="G63" i="10"/>
  <c r="D80" i="10"/>
  <c r="D84" i="10"/>
  <c r="D88" i="10"/>
  <c r="D92" i="10"/>
  <c r="G58" i="12"/>
  <c r="L58" i="12" s="1"/>
  <c r="I44" i="13"/>
  <c r="E71" i="9"/>
  <c r="F71" i="9" s="1"/>
  <c r="G69" i="4"/>
  <c r="G64" i="12"/>
  <c r="G59" i="14"/>
  <c r="I51" i="5"/>
  <c r="F60" i="5"/>
  <c r="F52" i="9"/>
  <c r="J52" i="9" s="1"/>
  <c r="F55" i="9"/>
  <c r="K55" i="9" s="1"/>
  <c r="L55" i="9" s="1"/>
  <c r="F59" i="9"/>
  <c r="O59" i="9" s="1"/>
  <c r="P59" i="9" s="1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F57" i="5"/>
  <c r="F52" i="6"/>
  <c r="F55" i="6"/>
  <c r="F59" i="6"/>
  <c r="M59" i="6" s="1"/>
  <c r="N59" i="6" s="1"/>
  <c r="F62" i="6"/>
  <c r="I57" i="7"/>
  <c r="I62" i="7"/>
  <c r="F52" i="7"/>
  <c r="F55" i="7"/>
  <c r="F59" i="7"/>
  <c r="J59" i="7" s="1"/>
  <c r="F62" i="7"/>
  <c r="H65" i="8"/>
  <c r="D46" i="8"/>
  <c r="F54" i="8"/>
  <c r="K54" i="8" s="1"/>
  <c r="L54" i="8" s="1"/>
  <c r="F58" i="8"/>
  <c r="O58" i="8" s="1"/>
  <c r="P58" i="8" s="1"/>
  <c r="F61" i="8"/>
  <c r="I54" i="9"/>
  <c r="I58" i="9"/>
  <c r="I63" i="9"/>
  <c r="D83" i="10"/>
  <c r="D87" i="10"/>
  <c r="D91" i="10"/>
  <c r="G53" i="12"/>
  <c r="G62" i="12"/>
  <c r="G52" i="13"/>
  <c r="G59" i="13"/>
  <c r="O59" i="13" s="1"/>
  <c r="P59" i="13" s="1"/>
  <c r="G60" i="14"/>
  <c r="F52" i="3"/>
  <c r="F56" i="3"/>
  <c r="F60" i="3"/>
  <c r="F55" i="4"/>
  <c r="F53" i="9"/>
  <c r="F56" i="9"/>
  <c r="J56" i="9" s="1"/>
  <c r="I59" i="9"/>
  <c r="F63" i="9"/>
  <c r="G72" i="9"/>
  <c r="H72" i="9" s="1"/>
  <c r="G56" i="11"/>
  <c r="D80" i="11"/>
  <c r="D84" i="11"/>
  <c r="D88" i="11"/>
  <c r="D92" i="11"/>
  <c r="D82" i="12"/>
  <c r="D86" i="12"/>
  <c r="D90" i="12"/>
  <c r="D94" i="12"/>
  <c r="D46" i="13"/>
  <c r="E65" i="10"/>
  <c r="G56" i="12"/>
  <c r="D65" i="14"/>
  <c r="I51" i="4"/>
  <c r="L53" i="5"/>
  <c r="G44" i="13"/>
  <c r="D74" i="11"/>
  <c r="K62" i="11"/>
  <c r="K56" i="12"/>
  <c r="K61" i="11"/>
  <c r="K64" i="12"/>
  <c r="K63" i="10"/>
  <c r="K62" i="12"/>
  <c r="I55" i="4"/>
  <c r="G65" i="4"/>
  <c r="G54" i="10"/>
  <c r="O54" i="10" s="1"/>
  <c r="P54" i="10" s="1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F65" i="11"/>
  <c r="K63" i="11"/>
  <c r="E61" i="3"/>
  <c r="F51" i="4"/>
  <c r="F54" i="4"/>
  <c r="F51" i="5"/>
  <c r="J51" i="5" s="1"/>
  <c r="F54" i="5"/>
  <c r="I52" i="6"/>
  <c r="I57" i="6"/>
  <c r="J57" i="6" s="1"/>
  <c r="E65" i="6"/>
  <c r="E65" i="7"/>
  <c r="I56" i="8"/>
  <c r="I61" i="8"/>
  <c r="M61" i="8" s="1"/>
  <c r="N61" i="8" s="1"/>
  <c r="F70" i="9"/>
  <c r="D65" i="10"/>
  <c r="G57" i="10"/>
  <c r="K72" i="10"/>
  <c r="L72" i="10" s="1"/>
  <c r="E66" i="12"/>
  <c r="K53" i="12"/>
  <c r="M53" i="12" s="1"/>
  <c r="N53" i="12" s="1"/>
  <c r="G63" i="12"/>
  <c r="F70" i="12"/>
  <c r="F65" i="13"/>
  <c r="G54" i="13"/>
  <c r="K57" i="13"/>
  <c r="K61" i="13"/>
  <c r="Q61" i="13" s="1"/>
  <c r="R61" i="13" s="1"/>
  <c r="G64" i="13"/>
  <c r="K73" i="13"/>
  <c r="L73" i="13" s="1"/>
  <c r="K53" i="14"/>
  <c r="G56" i="14"/>
  <c r="M56" i="14" s="1"/>
  <c r="N56" i="14" s="1"/>
  <c r="G57" i="14"/>
  <c r="M57" i="14" s="1"/>
  <c r="N57" i="14" s="1"/>
  <c r="G61" i="14"/>
  <c r="G62" i="14"/>
  <c r="O62" i="14" s="1"/>
  <c r="P62" i="14" s="1"/>
  <c r="G53" i="11"/>
  <c r="G57" i="11"/>
  <c r="F72" i="11"/>
  <c r="F66" i="12"/>
  <c r="G55" i="12"/>
  <c r="L55" i="12" s="1"/>
  <c r="K61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6" i="12"/>
  <c r="E43" i="12" s="1"/>
  <c r="F43" i="12" s="1"/>
  <c r="G57" i="12"/>
  <c r="L57" i="12" s="1"/>
  <c r="G65" i="12"/>
  <c r="L65" i="12" s="1"/>
  <c r="I65" i="13"/>
  <c r="E43" i="13" s="1"/>
  <c r="F43" i="13" s="1"/>
  <c r="G53" i="13"/>
  <c r="L53" i="13" s="1"/>
  <c r="K60" i="13"/>
  <c r="G63" i="13"/>
  <c r="O63" i="13" s="1"/>
  <c r="P63" i="13" s="1"/>
  <c r="F65" i="14"/>
  <c r="K63" i="12"/>
  <c r="L63" i="12" s="1"/>
  <c r="J65" i="13"/>
  <c r="E44" i="13" s="1"/>
  <c r="F44" i="13" s="1"/>
  <c r="K54" i="13"/>
  <c r="M54" i="13" s="1"/>
  <c r="N54" i="13" s="1"/>
  <c r="G58" i="13"/>
  <c r="K64" i="13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6" i="12"/>
  <c r="E44" i="12" s="1"/>
  <c r="F44" i="12" s="1"/>
  <c r="E61" i="4"/>
  <c r="E61" i="5"/>
  <c r="G64" i="10"/>
  <c r="J66" i="12"/>
  <c r="E45" i="12" s="1"/>
  <c r="F45" i="12" s="1"/>
  <c r="G59" i="12"/>
  <c r="K73" i="6"/>
  <c r="L73" i="6" s="1"/>
  <c r="J55" i="7"/>
  <c r="K72" i="8"/>
  <c r="L72" i="8" s="1"/>
  <c r="F72" i="9"/>
  <c r="G55" i="10"/>
  <c r="K60" i="10"/>
  <c r="D65" i="11"/>
  <c r="G55" i="11"/>
  <c r="D47" i="12"/>
  <c r="G60" i="12"/>
  <c r="L60" i="12" s="1"/>
  <c r="G56" i="13"/>
  <c r="M56" i="13" s="1"/>
  <c r="N56" i="13" s="1"/>
  <c r="J65" i="14"/>
  <c r="E44" i="14" s="1"/>
  <c r="F44" i="14" s="1"/>
  <c r="K55" i="14"/>
  <c r="M55" i="14" s="1"/>
  <c r="N55" i="14" s="1"/>
  <c r="G58" i="14"/>
  <c r="L58" i="14" s="1"/>
  <c r="K60" i="14"/>
  <c r="G63" i="14"/>
  <c r="O63" i="14" s="1"/>
  <c r="P63" i="14" s="1"/>
  <c r="G64" i="14"/>
  <c r="I51" i="3"/>
  <c r="J51" i="3" s="1"/>
  <c r="F68" i="3"/>
  <c r="I53" i="4"/>
  <c r="J53" i="4" s="1"/>
  <c r="I57" i="4"/>
  <c r="M57" i="4" s="1"/>
  <c r="N57" i="4" s="1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K54" i="12"/>
  <c r="G61" i="12"/>
  <c r="K73" i="12"/>
  <c r="L73" i="12" s="1"/>
  <c r="D65" i="13"/>
  <c r="G55" i="13"/>
  <c r="O55" i="13" s="1"/>
  <c r="P55" i="13" s="1"/>
  <c r="K58" i="13"/>
  <c r="Q58" i="13" s="1"/>
  <c r="R58" i="13" s="1"/>
  <c r="G69" i="13"/>
  <c r="H69" i="13" s="1"/>
  <c r="F73" i="13"/>
  <c r="G52" i="14"/>
  <c r="G53" i="14"/>
  <c r="Q53" i="14" s="1"/>
  <c r="R53" i="14" s="1"/>
  <c r="K54" i="14"/>
  <c r="O54" i="14" s="1"/>
  <c r="P54" i="14" s="1"/>
  <c r="K59" i="14"/>
  <c r="E42" i="4"/>
  <c r="G42" i="4" s="1"/>
  <c r="H42" i="4" s="1"/>
  <c r="E42" i="5"/>
  <c r="G42" i="5" s="1"/>
  <c r="H42" i="5" s="1"/>
  <c r="D65" i="8"/>
  <c r="K59" i="12"/>
  <c r="E65" i="13"/>
  <c r="K52" i="13"/>
  <c r="M52" i="13" s="1"/>
  <c r="N52" i="13" s="1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H69" i="3"/>
  <c r="H69" i="5"/>
  <c r="J44" i="13"/>
  <c r="L50" i="3"/>
  <c r="G61" i="3"/>
  <c r="I49" i="3"/>
  <c r="K50" i="3"/>
  <c r="I50" i="3"/>
  <c r="J50" i="3" s="1"/>
  <c r="K52" i="3"/>
  <c r="I52" i="3"/>
  <c r="I53" i="3"/>
  <c r="J53" i="3" s="1"/>
  <c r="K54" i="3"/>
  <c r="I54" i="3"/>
  <c r="J54" i="3" s="1"/>
  <c r="I55" i="3"/>
  <c r="J55" i="3" s="1"/>
  <c r="K56" i="3"/>
  <c r="I56" i="3"/>
  <c r="I57" i="3"/>
  <c r="J57" i="3" s="1"/>
  <c r="K58" i="3"/>
  <c r="I58" i="3"/>
  <c r="J58" i="3" s="1"/>
  <c r="I59" i="3"/>
  <c r="J59" i="3" s="1"/>
  <c r="K60" i="3"/>
  <c r="I60" i="3"/>
  <c r="E67" i="3"/>
  <c r="E70" i="3" s="1"/>
  <c r="F70" i="3" s="1"/>
  <c r="E43" i="3"/>
  <c r="F43" i="3" s="1"/>
  <c r="L52" i="3"/>
  <c r="L54" i="3"/>
  <c r="L56" i="3"/>
  <c r="L58" i="3"/>
  <c r="L60" i="3"/>
  <c r="H61" i="4"/>
  <c r="L50" i="4"/>
  <c r="L54" i="4"/>
  <c r="L58" i="4"/>
  <c r="G61" i="5"/>
  <c r="I49" i="5"/>
  <c r="K50" i="5"/>
  <c r="I50" i="5"/>
  <c r="K52" i="5"/>
  <c r="I52" i="5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L52" i="5"/>
  <c r="L56" i="5"/>
  <c r="L60" i="5"/>
  <c r="K52" i="6"/>
  <c r="L52" i="6" s="1"/>
  <c r="O53" i="6"/>
  <c r="P53" i="6" s="1"/>
  <c r="M53" i="6"/>
  <c r="N53" i="6" s="1"/>
  <c r="K53" i="6"/>
  <c r="L53" i="6" s="1"/>
  <c r="M55" i="6"/>
  <c r="N55" i="6" s="1"/>
  <c r="K55" i="6"/>
  <c r="L55" i="6" s="1"/>
  <c r="M58" i="6"/>
  <c r="N58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L52" i="4"/>
  <c r="M55" i="4"/>
  <c r="N55" i="4" s="1"/>
  <c r="L56" i="4"/>
  <c r="L60" i="4"/>
  <c r="H65" i="4"/>
  <c r="H61" i="5"/>
  <c r="L50" i="5"/>
  <c r="L54" i="5"/>
  <c r="L58" i="5"/>
  <c r="G65" i="6"/>
  <c r="E43" i="6" s="1"/>
  <c r="I43" i="6" s="1"/>
  <c r="I51" i="6"/>
  <c r="I61" i="6"/>
  <c r="J61" i="6" s="1"/>
  <c r="I62" i="6"/>
  <c r="J62" i="6" s="1"/>
  <c r="I63" i="6"/>
  <c r="J63" i="6" s="1"/>
  <c r="I64" i="6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F53" i="7"/>
  <c r="J53" i="7" s="1"/>
  <c r="O53" i="8"/>
  <c r="P53" i="8" s="1"/>
  <c r="M53" i="8"/>
  <c r="N53" i="8" s="1"/>
  <c r="K53" i="8"/>
  <c r="L53" i="8" s="1"/>
  <c r="J53" i="8"/>
  <c r="M54" i="8"/>
  <c r="N54" i="8" s="1"/>
  <c r="M56" i="8"/>
  <c r="N56" i="8" s="1"/>
  <c r="O57" i="8"/>
  <c r="P57" i="8" s="1"/>
  <c r="M57" i="8"/>
  <c r="N57" i="8" s="1"/>
  <c r="M58" i="8"/>
  <c r="N58" i="8" s="1"/>
  <c r="K58" i="8"/>
  <c r="L58" i="8" s="1"/>
  <c r="O59" i="8"/>
  <c r="P59" i="8" s="1"/>
  <c r="K59" i="8"/>
  <c r="L59" i="8" s="1"/>
  <c r="J59" i="8"/>
  <c r="O61" i="8"/>
  <c r="P61" i="8" s="1"/>
  <c r="O63" i="8"/>
  <c r="P63" i="8" s="1"/>
  <c r="K63" i="8"/>
  <c r="L63" i="8" s="1"/>
  <c r="O64" i="8"/>
  <c r="P64" i="8" s="1"/>
  <c r="L52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O60" i="7"/>
  <c r="P60" i="7" s="1"/>
  <c r="M60" i="7"/>
  <c r="N60" i="7" s="1"/>
  <c r="O61" i="7"/>
  <c r="P61" i="7" s="1"/>
  <c r="M61" i="7"/>
  <c r="N61" i="7" s="1"/>
  <c r="K61" i="7"/>
  <c r="L61" i="7" s="1"/>
  <c r="O62" i="7"/>
  <c r="P62" i="7" s="1"/>
  <c r="O63" i="7"/>
  <c r="P63" i="7" s="1"/>
  <c r="M63" i="7"/>
  <c r="N63" i="7" s="1"/>
  <c r="K63" i="7"/>
  <c r="L63" i="7" s="1"/>
  <c r="O64" i="7"/>
  <c r="P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K52" i="9"/>
  <c r="L52" i="9" s="1"/>
  <c r="M53" i="9"/>
  <c r="N53" i="9" s="1"/>
  <c r="O54" i="9"/>
  <c r="P54" i="9" s="1"/>
  <c r="M54" i="9"/>
  <c r="N54" i="9" s="1"/>
  <c r="K54" i="9"/>
  <c r="L54" i="9" s="1"/>
  <c r="O55" i="9"/>
  <c r="P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K58" i="9"/>
  <c r="L58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L63" i="10"/>
  <c r="F71" i="11"/>
  <c r="H65" i="11"/>
  <c r="E42" i="11" s="1"/>
  <c r="K51" i="11"/>
  <c r="K52" i="11"/>
  <c r="L52" i="11" s="1"/>
  <c r="K53" i="11"/>
  <c r="K54" i="11"/>
  <c r="K55" i="11"/>
  <c r="K56" i="11"/>
  <c r="K57" i="11"/>
  <c r="K58" i="11"/>
  <c r="L58" i="11" s="1"/>
  <c r="K59" i="11"/>
  <c r="Q60" i="11"/>
  <c r="R60" i="11" s="1"/>
  <c r="K71" i="11"/>
  <c r="L71" i="11" s="1"/>
  <c r="F72" i="12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Q55" i="12"/>
  <c r="R55" i="12" s="1"/>
  <c r="Q58" i="12"/>
  <c r="R58" i="12" s="1"/>
  <c r="M58" i="12"/>
  <c r="N58" i="12" s="1"/>
  <c r="M60" i="12"/>
  <c r="N60" i="12" s="1"/>
  <c r="Q55" i="13"/>
  <c r="R55" i="13" s="1"/>
  <c r="M55" i="13"/>
  <c r="N55" i="13" s="1"/>
  <c r="M57" i="13"/>
  <c r="N57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G52" i="12"/>
  <c r="D66" i="12"/>
  <c r="K52" i="12"/>
  <c r="Q57" i="12"/>
  <c r="R57" i="12" s="1"/>
  <c r="M57" i="12"/>
  <c r="N57" i="12" s="1"/>
  <c r="Q65" i="12"/>
  <c r="R65" i="12" s="1"/>
  <c r="E74" i="13"/>
  <c r="E45" i="13" s="1"/>
  <c r="F45" i="13" s="1"/>
  <c r="H65" i="13"/>
  <c r="E42" i="13" s="1"/>
  <c r="K51" i="13"/>
  <c r="O56" i="13"/>
  <c r="P56" i="13" s="1"/>
  <c r="Q56" i="13"/>
  <c r="R56" i="13" s="1"/>
  <c r="G70" i="12"/>
  <c r="I70" i="12"/>
  <c r="K70" i="12"/>
  <c r="F71" i="12"/>
  <c r="G72" i="12"/>
  <c r="H72" i="12" s="1"/>
  <c r="I72" i="12"/>
  <c r="J72" i="12" s="1"/>
  <c r="F73" i="12"/>
  <c r="G74" i="12"/>
  <c r="H74" i="12" s="1"/>
  <c r="I74" i="12"/>
  <c r="J74" i="12" s="1"/>
  <c r="K74" i="12"/>
  <c r="L74" i="12" s="1"/>
  <c r="D75" i="12"/>
  <c r="G51" i="13"/>
  <c r="M59" i="13"/>
  <c r="N59" i="13" s="1"/>
  <c r="Q59" i="13"/>
  <c r="R59" i="13" s="1"/>
  <c r="M52" i="14"/>
  <c r="N52" i="14" s="1"/>
  <c r="G71" i="12"/>
  <c r="H71" i="12" s="1"/>
  <c r="I71" i="12"/>
  <c r="J71" i="12" s="1"/>
  <c r="K71" i="12"/>
  <c r="L71" i="12" s="1"/>
  <c r="G73" i="12"/>
  <c r="H73" i="12" s="1"/>
  <c r="I73" i="12"/>
  <c r="J73" i="12" s="1"/>
  <c r="Q54" i="14"/>
  <c r="R54" i="14" s="1"/>
  <c r="L54" i="14"/>
  <c r="Q62" i="13"/>
  <c r="R62" i="13" s="1"/>
  <c r="Q63" i="13"/>
  <c r="R63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O56" i="14"/>
  <c r="P56" i="14" s="1"/>
  <c r="Q57" i="14"/>
  <c r="R57" i="14" s="1"/>
  <c r="Q61" i="14"/>
  <c r="R61" i="14" s="1"/>
  <c r="O61" i="14"/>
  <c r="P61" i="14" s="1"/>
  <c r="M61" i="14"/>
  <c r="N61" i="14" s="1"/>
  <c r="L61" i="14"/>
  <c r="L69" i="13"/>
  <c r="K72" i="13"/>
  <c r="L72" i="13" s="1"/>
  <c r="I72" i="13"/>
  <c r="J72" i="13" s="1"/>
  <c r="G72" i="13"/>
  <c r="H72" i="13" s="1"/>
  <c r="F72" i="13"/>
  <c r="H73" i="13"/>
  <c r="M53" i="14"/>
  <c r="N53" i="14" s="1"/>
  <c r="Q55" i="14"/>
  <c r="R55" i="14" s="1"/>
  <c r="O55" i="14"/>
  <c r="P55" i="14" s="1"/>
  <c r="L56" i="14"/>
  <c r="O59" i="14"/>
  <c r="P59" i="14" s="1"/>
  <c r="Q60" i="14"/>
  <c r="R60" i="14" s="1"/>
  <c r="M62" i="14"/>
  <c r="N62" i="14" s="1"/>
  <c r="Q62" i="14"/>
  <c r="R62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O54" i="12" l="1"/>
  <c r="P54" i="12" s="1"/>
  <c r="D96" i="12"/>
  <c r="O57" i="14"/>
  <c r="P57" i="14" s="1"/>
  <c r="O65" i="12"/>
  <c r="P65" i="12" s="1"/>
  <c r="Q52" i="13"/>
  <c r="R52" i="13" s="1"/>
  <c r="O54" i="7"/>
  <c r="P54" i="7" s="1"/>
  <c r="J55" i="4"/>
  <c r="M58" i="5"/>
  <c r="N58" i="5" s="1"/>
  <c r="K43" i="6"/>
  <c r="J58" i="8"/>
  <c r="Q56" i="14"/>
  <c r="R56" i="14" s="1"/>
  <c r="M54" i="14"/>
  <c r="N54" i="14" s="1"/>
  <c r="O57" i="12"/>
  <c r="P57" i="12" s="1"/>
  <c r="O58" i="12"/>
  <c r="P58" i="12" s="1"/>
  <c r="E74" i="9"/>
  <c r="L59" i="14"/>
  <c r="J56" i="8"/>
  <c r="M51" i="4"/>
  <c r="N51" i="4" s="1"/>
  <c r="Q64" i="12"/>
  <c r="R64" i="12" s="1"/>
  <c r="M51" i="5"/>
  <c r="N51" i="5" s="1"/>
  <c r="M61" i="12"/>
  <c r="N61" i="12" s="1"/>
  <c r="K62" i="7"/>
  <c r="L62" i="7" s="1"/>
  <c r="J55" i="6"/>
  <c r="O60" i="6"/>
  <c r="P60" i="6" s="1"/>
  <c r="L57" i="14"/>
  <c r="Q52" i="10"/>
  <c r="R52" i="10" s="1"/>
  <c r="K43" i="7"/>
  <c r="L54" i="12"/>
  <c r="Q60" i="13"/>
  <c r="R60" i="13" s="1"/>
  <c r="J59" i="9"/>
  <c r="J58" i="9"/>
  <c r="K53" i="9"/>
  <c r="L53" i="9" s="1"/>
  <c r="K60" i="7"/>
  <c r="L60" i="7" s="1"/>
  <c r="K57" i="6"/>
  <c r="L57" i="6" s="1"/>
  <c r="Q58" i="14"/>
  <c r="R58" i="14" s="1"/>
  <c r="M64" i="11"/>
  <c r="N64" i="11" s="1"/>
  <c r="M60" i="9"/>
  <c r="N60" i="9" s="1"/>
  <c r="K54" i="7"/>
  <c r="L54" i="7" s="1"/>
  <c r="L55" i="14"/>
  <c r="M65" i="12"/>
  <c r="N65" i="12" s="1"/>
  <c r="K64" i="8"/>
  <c r="L64" i="8" s="1"/>
  <c r="G43" i="7"/>
  <c r="J64" i="6"/>
  <c r="J52" i="5"/>
  <c r="J56" i="3"/>
  <c r="G43" i="12"/>
  <c r="H43" i="12" s="1"/>
  <c r="J55" i="8"/>
  <c r="L64" i="13"/>
  <c r="O57" i="13"/>
  <c r="P57" i="13" s="1"/>
  <c r="Q54" i="10"/>
  <c r="R54" i="10" s="1"/>
  <c r="J54" i="9"/>
  <c r="L59" i="12"/>
  <c r="Q53" i="12"/>
  <c r="R53" i="12" s="1"/>
  <c r="Q56" i="12"/>
  <c r="R56" i="12" s="1"/>
  <c r="M64" i="14"/>
  <c r="N64" i="14" s="1"/>
  <c r="Q64" i="13"/>
  <c r="R64" i="13" s="1"/>
  <c r="L57" i="13"/>
  <c r="O53" i="12"/>
  <c r="P53" i="12" s="1"/>
  <c r="M63" i="12"/>
  <c r="N63" i="12" s="1"/>
  <c r="M62" i="12"/>
  <c r="N62" i="12" s="1"/>
  <c r="M54" i="12"/>
  <c r="N54" i="12" s="1"/>
  <c r="I45" i="12"/>
  <c r="J45" i="12" s="1"/>
  <c r="G45" i="12"/>
  <c r="H45" i="12" s="1"/>
  <c r="Q59" i="12"/>
  <c r="R59" i="12" s="1"/>
  <c r="K45" i="12"/>
  <c r="L45" i="12" s="1"/>
  <c r="Q62" i="12"/>
  <c r="R62" i="12" s="1"/>
  <c r="M56" i="12"/>
  <c r="N56" i="12" s="1"/>
  <c r="Q63" i="12"/>
  <c r="R63" i="12" s="1"/>
  <c r="L57" i="11"/>
  <c r="L54" i="11"/>
  <c r="Q63" i="14"/>
  <c r="R63" i="14" s="1"/>
  <c r="M56" i="5"/>
  <c r="N56" i="5" s="1"/>
  <c r="G42" i="14"/>
  <c r="H42" i="14" s="1"/>
  <c r="M63" i="13"/>
  <c r="N63" i="13" s="1"/>
  <c r="M59" i="12"/>
  <c r="N59" i="12" s="1"/>
  <c r="L56" i="13"/>
  <c r="G44" i="12"/>
  <c r="H44" i="12" s="1"/>
  <c r="M58" i="9"/>
  <c r="N58" i="9" s="1"/>
  <c r="M55" i="9"/>
  <c r="N55" i="9" s="1"/>
  <c r="M52" i="9"/>
  <c r="N52" i="9" s="1"/>
  <c r="M62" i="7"/>
  <c r="N62" i="7" s="1"/>
  <c r="M60" i="8"/>
  <c r="N60" i="8" s="1"/>
  <c r="K57" i="8"/>
  <c r="L57" i="8" s="1"/>
  <c r="M53" i="4"/>
  <c r="N53" i="4" s="1"/>
  <c r="L53" i="12"/>
  <c r="Q61" i="11"/>
  <c r="R61" i="11" s="1"/>
  <c r="J64" i="9"/>
  <c r="O56" i="12"/>
  <c r="P56" i="12" s="1"/>
  <c r="M59" i="9"/>
  <c r="N59" i="9" s="1"/>
  <c r="J60" i="9"/>
  <c r="O55" i="6"/>
  <c r="P55" i="6" s="1"/>
  <c r="L60" i="14"/>
  <c r="L63" i="14"/>
  <c r="L54" i="10"/>
  <c r="K62" i="8"/>
  <c r="L62" i="8" s="1"/>
  <c r="O56" i="8"/>
  <c r="P56" i="8" s="1"/>
  <c r="M53" i="13"/>
  <c r="N53" i="13" s="1"/>
  <c r="M63" i="14"/>
  <c r="N63" i="14" s="1"/>
  <c r="M58" i="13"/>
  <c r="N58" i="13" s="1"/>
  <c r="O53" i="13"/>
  <c r="P53" i="13" s="1"/>
  <c r="M62" i="10"/>
  <c r="N62" i="10" s="1"/>
  <c r="I71" i="9"/>
  <c r="J71" i="9" s="1"/>
  <c r="K59" i="9"/>
  <c r="L59" i="9" s="1"/>
  <c r="O62" i="8"/>
  <c r="P62" i="8" s="1"/>
  <c r="K55" i="8"/>
  <c r="L55" i="8" s="1"/>
  <c r="O59" i="6"/>
  <c r="P59" i="6" s="1"/>
  <c r="M59" i="14"/>
  <c r="N59" i="14" s="1"/>
  <c r="J57" i="4"/>
  <c r="O53" i="9"/>
  <c r="P53" i="9" s="1"/>
  <c r="O62" i="12"/>
  <c r="P62" i="12" s="1"/>
  <c r="M53" i="5"/>
  <c r="N53" i="5" s="1"/>
  <c r="J53" i="6"/>
  <c r="J61" i="9"/>
  <c r="M63" i="8"/>
  <c r="N63" i="8" s="1"/>
  <c r="J60" i="6"/>
  <c r="O55" i="8"/>
  <c r="P55" i="8" s="1"/>
  <c r="K58" i="6"/>
  <c r="L58" i="6" s="1"/>
  <c r="J52" i="3"/>
  <c r="Q63" i="10"/>
  <c r="R63" i="10" s="1"/>
  <c r="O54" i="8"/>
  <c r="P54" i="8" s="1"/>
  <c r="L63" i="11"/>
  <c r="L61" i="11"/>
  <c r="O63" i="11"/>
  <c r="P63" i="11" s="1"/>
  <c r="M60" i="11"/>
  <c r="N60" i="11" s="1"/>
  <c r="L53" i="11"/>
  <c r="Q63" i="11"/>
  <c r="R63" i="11" s="1"/>
  <c r="M63" i="11"/>
  <c r="N63" i="11" s="1"/>
  <c r="O61" i="11"/>
  <c r="P61" i="11" s="1"/>
  <c r="M61" i="11"/>
  <c r="N61" i="11" s="1"/>
  <c r="D94" i="11"/>
  <c r="M60" i="14"/>
  <c r="N60" i="14" s="1"/>
  <c r="M62" i="13"/>
  <c r="N62" i="13" s="1"/>
  <c r="O59" i="12"/>
  <c r="P59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4" i="12"/>
  <c r="J44" i="12" s="1"/>
  <c r="J61" i="8"/>
  <c r="J64" i="7"/>
  <c r="F42" i="5"/>
  <c r="O63" i="12"/>
  <c r="P63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2" i="12"/>
  <c r="Q59" i="14"/>
  <c r="R59" i="14" s="1"/>
  <c r="I43" i="12"/>
  <c r="J43" i="12" s="1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60" i="12"/>
  <c r="P60" i="12" s="1"/>
  <c r="O55" i="12"/>
  <c r="P55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6" i="12"/>
  <c r="L59" i="13"/>
  <c r="O58" i="14"/>
  <c r="P58" i="14" s="1"/>
  <c r="O52" i="13"/>
  <c r="P52" i="13" s="1"/>
  <c r="Q54" i="12"/>
  <c r="R54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1" i="12"/>
  <c r="J63" i="9"/>
  <c r="O56" i="6"/>
  <c r="P56" i="6" s="1"/>
  <c r="E46" i="14"/>
  <c r="F46" i="14" s="1"/>
  <c r="I42" i="14"/>
  <c r="Q60" i="12"/>
  <c r="R60" i="12" s="1"/>
  <c r="M55" i="12"/>
  <c r="N55" i="12" s="1"/>
  <c r="K44" i="12"/>
  <c r="L44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4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4" i="12"/>
  <c r="N64" i="12" s="1"/>
  <c r="O60" i="13"/>
  <c r="P60" i="13" s="1"/>
  <c r="G43" i="13"/>
  <c r="H43" i="13" s="1"/>
  <c r="O64" i="12"/>
  <c r="P64" i="12" s="1"/>
  <c r="I43" i="9"/>
  <c r="J43" i="9" s="1"/>
  <c r="G71" i="8"/>
  <c r="H71" i="8" s="1"/>
  <c r="G45" i="7"/>
  <c r="H45" i="7" s="1"/>
  <c r="M59" i="5"/>
  <c r="N59" i="5" s="1"/>
  <c r="O64" i="13"/>
  <c r="P64" i="13" s="1"/>
  <c r="L61" i="3"/>
  <c r="G43" i="4"/>
  <c r="H43" i="4" s="1"/>
  <c r="E74" i="10"/>
  <c r="K43" i="12"/>
  <c r="L43" i="12" s="1"/>
  <c r="F43" i="14"/>
  <c r="K43" i="14"/>
  <c r="L43" i="14" s="1"/>
  <c r="G43" i="14"/>
  <c r="H43" i="14" s="1"/>
  <c r="K72" i="12"/>
  <c r="L72" i="12" s="1"/>
  <c r="O61" i="12"/>
  <c r="P61" i="12" s="1"/>
  <c r="Q54" i="13"/>
  <c r="R54" i="13" s="1"/>
  <c r="E75" i="12"/>
  <c r="E46" i="12" s="1"/>
  <c r="E47" i="12" s="1"/>
  <c r="F47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1" i="12"/>
  <c r="R61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L42" i="14"/>
  <c r="I45" i="13"/>
  <c r="J45" i="13" s="1"/>
  <c r="L70" i="12"/>
  <c r="G75" i="12"/>
  <c r="H75" i="12" s="1"/>
  <c r="H70" i="12"/>
  <c r="K65" i="13"/>
  <c r="L51" i="13"/>
  <c r="K45" i="13"/>
  <c r="L45" i="13" s="1"/>
  <c r="F71" i="13"/>
  <c r="I71" i="13"/>
  <c r="J71" i="13" s="1"/>
  <c r="K71" i="13"/>
  <c r="G71" i="13"/>
  <c r="K66" i="12"/>
  <c r="L52" i="12"/>
  <c r="G66" i="12"/>
  <c r="O52" i="12"/>
  <c r="Q52" i="12"/>
  <c r="M52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5" i="12"/>
  <c r="J75" i="12" s="1"/>
  <c r="J70" i="12"/>
  <c r="E46" i="13"/>
  <c r="F46" i="13" s="1"/>
  <c r="K42" i="13"/>
  <c r="I42" i="13"/>
  <c r="G42" i="13"/>
  <c r="F42" i="13"/>
  <c r="K74" i="11"/>
  <c r="L74" i="11" s="1"/>
  <c r="L69" i="11"/>
  <c r="H69" i="11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I74" i="7" l="1"/>
  <c r="J74" i="7" s="1"/>
  <c r="F46" i="12"/>
  <c r="F75" i="12"/>
  <c r="G74" i="7"/>
  <c r="H74" i="7" s="1"/>
  <c r="I46" i="7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6" i="12"/>
  <c r="I46" i="12"/>
  <c r="G46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5" i="12"/>
  <c r="L75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6" i="12"/>
  <c r="N66" i="12" s="1"/>
  <c r="N52" i="12"/>
  <c r="O66" i="12"/>
  <c r="P66" i="12" s="1"/>
  <c r="P52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6" i="12"/>
  <c r="R66" i="12" s="1"/>
  <c r="R52" i="12"/>
  <c r="L66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6" i="12"/>
  <c r="G47" i="12"/>
  <c r="H47" i="12" s="1"/>
  <c r="J46" i="12"/>
  <c r="I47" i="12"/>
  <c r="J47" i="12" s="1"/>
  <c r="L46" i="12"/>
  <c r="K47" i="12"/>
  <c r="L47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<sst xmlns="http://schemas.openxmlformats.org/spreadsheetml/2006/main" count="2130" uniqueCount="231">
  <si>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</si>
  <si>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</si>
  <si>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</si>
  <si>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</si>
  <si>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</si>
  <si>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</si>
  <si>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</si>
  <si>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</si>
  <si>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</si>
  <si>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</si>
  <si>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</si>
  <si>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</si>
  <si>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</si>
  <si>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</si>
  <si>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</si>
  <si>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</si>
  <si>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</si>
  <si>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</si>
  <si>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</si>
  <si>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</si>
  <si>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</si>
  <si>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</si>
  <si>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</si>
  <si>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</si>
  <si>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</si>
  <si>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</si>
  <si>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</si>
  <si>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</si>
  <si>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</si>
  <si>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</si>
  <si>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</si>
  <si>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</si>
  <si>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</si>
  <si>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</si>
  <si>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</si>
  <si>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</si>
  <si>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</si>
  <si>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</si>
  <si>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</si>
  <si>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</si>
  <si>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</si>
  <si>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</si>
  <si>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</si>
  <si>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</si>
  <si>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</si>
  <si>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</si>
  <si>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</si>
  <si>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</si>
  <si>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</si>
  <si>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</si>
  <si>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</si>
  <si>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</si>
  <si>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</si>
  <si>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</si>
  <si>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</si>
  <si>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</si>
  <si>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</si>
  <si>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</si>
  <si>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</si>
  <si>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</si>
  <si>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</si>
  <si>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</si>
  <si>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</si>
  <si>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</si>
  <si>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</si>
  <si>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</si>
  <si>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</si>
  <si>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</si>
  <si>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</si>
  <si>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</si>
  <si>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</si>
  <si>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</si>
  <si>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</si>
  <si>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</si>
  <si>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</si>
  <si>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</si>
  <si>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</si>
  <si>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</si>
  <si>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</si>
  <si>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</si>
  <si>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</si>
  <si>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</si>
  <si>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</si>
  <si>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</si>
  <si>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</si>
  <si>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</si>
  <si>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</si>
  <si>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</si>
  <si>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</si>
  <si>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</si>
  <si>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</si>
  <si>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</si>
  <si>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</si>
  <si>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</si>
  <si>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</si>
  <si>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</si>
  <si>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</si>
  <si>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</si>
  <si>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</si>
  <si>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</si>
  <si>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</si>
  <si>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</si>
  <si>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</si>
  <si>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</si>
  <si>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</si>
  <si>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</si>
  <si>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</si>
  <si>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</si>
  <si>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</si>
  <si>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</si>
  <si>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</si>
  <si>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</si>
  <si>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</si>
  <si>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</si>
  <si>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</si>
  <si>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</si>
  <si>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</si>
  <si>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</si>
  <si>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</si>
  <si>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</si>
  <si>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</si>
  <si>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</si>
  <si>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</si>
  <si>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</si>
  <si>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</si>
  <si>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</si>
  <si>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</si>
  <si>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</si>
  <si>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</si>
  <si>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</si>
  <si>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</si>
  <si>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</si>
  <si>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</si>
  <si>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</si>
  <si>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</si>
  <si>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</si>
  <si>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</si>
  <si>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</si>
  <si>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</si>
  <si>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</si>
  <si>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</si>
  <si>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</si>
  <si>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</si>
  <si>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</si>
  <si>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</si>
  <si>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</si>
  <si>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</si>
  <si>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</si>
  <si>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</si>
  <si>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</si>
  <si>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</si>
  <si>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</si>
  <si>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</si>
  <si>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</si>
  <si>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</si>
  <si>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</si>
  <si>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</si>
  <si>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</si>
  <si>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</si>
  <si>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</si>
  <si>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</si>
  <si>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</si>
  <si>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</si>
  <si>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</si>
  <si>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</si>
  <si>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</si>
  <si>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</si>
  <si>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</si>
  <si>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</si>
  <si>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</si>
  <si>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</si>
  <si>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</si>
  <si>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</si>
  <si>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</si>
  <si>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</si>
  <si>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</si>
  <si>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</si>
  <si>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</si>
  <si>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</si>
  <si>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</si>
  <si>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</si>
  <si>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</si>
  <si>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</si>
  <si>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</si>
  <si>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</si>
  <si>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</si>
  <si>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</si>
  <si>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</si>
  <si>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</si>
  <si>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</si>
  <si>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</si>
  <si>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</si>
  <si>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</si>
  <si>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</si>
  <si>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</si>
  <si>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</si>
  <si>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</si>
  <si>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</si>
  <si>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</si>
  <si>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</si>
  <si>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</si>
  <si>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</si>
  <si>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</si>
  <si>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</si>
  <si>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</si>
  <si>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</si>
  <si>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</si>
  <si>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</si>
  <si>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</si>
  <si>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</si>
  <si>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</si>
  <si>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</si>
  <si>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</si>
  <si>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</si>
  <si>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</si>
  <si>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</si>
  <si>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</si>
  <si>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</si>
  <si>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</si>
  <si>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</si>
  <si>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</si>
  <si>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</si>
  <si>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</si>
  <si>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</si>
  <si>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Ronald</t>
  </si>
  <si>
    <t>RONALD</t>
  </si>
  <si>
    <t>DATA PENCAPAIAN — GLOBAL —  30 SEPTEMBER 2026</t>
  </si>
  <si>
    <t>YUANGGA</t>
  </si>
  <si>
    <t>Yuangga</t>
  </si>
  <si>
    <t>BALIAN ALL AREA</t>
  </si>
  <si>
    <t>DATA PENCAPAIAN — GLOBAL —  27 OKTOBER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</si>
</sst>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9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0" fontId="9" fillId="12" borderId="7" xfId="0" applyFont="1" applyFill="1" applyBorder="1" applyAlignment="1">
      <alignment vertical="center"/>
    </xf>
    <xf numFmtId="41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" xfId="0" applyBorder="1" applyAlignment="1">
      <alignment vertical="center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40" t="s">
        <v>0</v>
      </c>
      <c r="C1" s="240"/>
    </row>
    <row r="3" spans="2:3" x14ac:dyDescent="0.25">
      <c r="B3" s="241" t="s">
        <v>1</v>
      </c>
      <c r="C3" s="241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42" t="s">
        <v>14</v>
      </c>
      <c r="C11" s="242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210</v>
      </c>
      <c r="C19" s="2" t="s">
        <v>211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topLeftCell="A7" zoomScale="86" zoomScaleNormal="86" workbookViewId="0">
      <selection activeCell="O12" sqref="O12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customWidth="1"/>
    <col min="6" max="6" width="11.140625" customWidth="1"/>
    <col min="7" max="12" width="12.85546875" customWidth="1"/>
    <col min="13" max="13" width="12.7109375" bestFit="1" customWidth="1"/>
    <col min="14" max="14" width="11.140625" customWidth="1"/>
    <col min="15" max="15" width="8.28515625" customWidth="1"/>
    <col min="16" max="17" width="11.140625" customWidth="1"/>
    <col min="18" max="18" width="8.28515625" customWidth="1"/>
    <col min="19" max="20" width="11.140625" customWidth="1"/>
    <col min="21" max="21" width="8.28515625" customWidth="1"/>
    <col min="22" max="22" width="12.85546875" customWidth="1"/>
    <col min="23" max="23" width="11.140625" customWidth="1"/>
    <col min="24" max="24" width="8.28515625" customWidth="1"/>
    <col min="25" max="30" width="11.140625" customWidth="1"/>
    <col min="31" max="33" width="11.140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41" t="s">
        <v>28</v>
      </c>
      <c r="C3" s="241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195</v>
      </c>
      <c r="G4" s="4" t="s">
        <v>45</v>
      </c>
      <c r="H4" s="4" t="s">
        <v>46</v>
      </c>
      <c r="I4" s="4" t="s">
        <v>196</v>
      </c>
      <c r="J4" s="4" t="s">
        <v>47</v>
      </c>
      <c r="K4" s="4" t="s">
        <v>48</v>
      </c>
      <c r="L4" s="4" t="s">
        <v>197</v>
      </c>
      <c r="M4" s="4" t="s">
        <v>49</v>
      </c>
      <c r="N4" s="4" t="s">
        <v>50</v>
      </c>
      <c r="O4" s="4" t="s">
        <v>198</v>
      </c>
      <c r="P4" s="4" t="s">
        <v>51</v>
      </c>
      <c r="Q4" s="4" t="s">
        <v>52</v>
      </c>
      <c r="R4" s="4" t="s">
        <v>199</v>
      </c>
      <c r="S4" s="4" t="s">
        <v>53</v>
      </c>
      <c r="T4" s="4" t="s">
        <v>54</v>
      </c>
      <c r="U4" s="4" t="s">
        <v>200</v>
      </c>
      <c r="V4" s="4" t="s">
        <v>55</v>
      </c>
      <c r="W4" s="4" t="s">
        <v>56</v>
      </c>
      <c r="X4" s="4" t="s">
        <v>201</v>
      </c>
      <c r="Y4" s="4" t="s">
        <v>57</v>
      </c>
      <c r="Z4" s="4" t="s">
        <v>58</v>
      </c>
      <c r="AA4" s="4" t="s">
        <v>202</v>
      </c>
      <c r="AB4" s="4" t="s">
        <v>59</v>
      </c>
      <c r="AC4" s="4" t="s">
        <v>60</v>
      </c>
      <c r="AD4" s="4" t="s">
        <v>203</v>
      </c>
      <c r="AE4" s="4" t="s">
        <v>61</v>
      </c>
      <c r="AF4" s="4" t="s">
        <v>62</v>
      </c>
      <c r="AG4" s="4" t="s">
        <v>204</v>
      </c>
      <c r="AH4" s="4" t="s">
        <v>63</v>
      </c>
      <c r="AI4" s="4" t="s">
        <v>64</v>
      </c>
      <c r="AJ4" s="4" t="s">
        <v>205</v>
      </c>
      <c r="AK4" s="4" t="s">
        <v>65</v>
      </c>
      <c r="AL4" s="4" t="s">
        <v>66</v>
      </c>
      <c r="AM4" s="4" t="s">
        <v>206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264756949.64136907</v>
      </c>
      <c r="AF5" s="7">
        <v>58508748.413354225</v>
      </c>
      <c r="AG5" s="7">
        <v>172968793.98622558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180052976.96171179</v>
      </c>
      <c r="AF6" s="7">
        <v>163445127.22039506</v>
      </c>
      <c r="AG6" s="7">
        <v>423892749.39216906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171</v>
      </c>
      <c r="C7" s="129" t="s">
        <v>172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>
        <v>262953105.06301075</v>
      </c>
      <c r="AF7" s="7">
        <v>0</v>
      </c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590954252.3415246</v>
      </c>
      <c r="AF8" s="7">
        <v>33662936.863966122</v>
      </c>
      <c r="AG8" s="7">
        <v>83921591.734509259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221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5575801.9517222047</v>
      </c>
      <c r="AF9" s="7">
        <v>63507750.38497854</v>
      </c>
      <c r="AG9" s="7">
        <v>468117447.23398483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225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267520870.86594501</v>
      </c>
      <c r="AF10" s="7">
        <v>105132391.14913487</v>
      </c>
      <c r="AG10" s="7">
        <v>184159698.63927278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664600150.5441153</v>
      </c>
      <c r="AF11" s="7">
        <v>83317068.128031164</v>
      </c>
      <c r="AG11" s="7">
        <v>343133819.00673455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259993077.39884707</v>
      </c>
      <c r="AF12" s="7">
        <v>86845105.094943255</v>
      </c>
      <c r="AG12" s="7">
        <v>249609659.83737293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171</v>
      </c>
      <c r="C13" s="129" t="s">
        <v>173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>
        <v>443846715.57642001</v>
      </c>
      <c r="AF13" s="7">
        <v>0</v>
      </c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220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345737237.66667807</v>
      </c>
      <c r="AF14" s="7">
        <v>99843502.42153886</v>
      </c>
      <c r="AG14" s="7">
        <v>115472440.26230113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476796144.98316145</v>
      </c>
      <c r="AF15" s="7">
        <v>53126030.965583593</v>
      </c>
      <c r="AG15" s="7">
        <v>168537597.75857076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168507149.83198008</v>
      </c>
      <c r="AF16" s="7">
        <v>30531298.995438561</v>
      </c>
      <c r="AG16" s="7">
        <v>259851780.88751724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409968842.36459517</v>
      </c>
      <c r="AF17" s="7">
        <v>308297473.95300913</v>
      </c>
      <c r="AG17" s="7">
        <v>242574653.13033652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123323413.46844758</v>
      </c>
      <c r="AF18" s="7">
        <v>193690629.51885673</v>
      </c>
      <c r="AG18" s="7">
        <v>201767250.60122082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269378070.68085116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99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412678979.6808511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1097730183.680851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43" t="s">
        <v>102</v>
      </c>
      <c r="C29" s="243"/>
      <c r="D29" s="243"/>
      <c r="E29" s="243"/>
      <c r="F29" s="243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7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8" t="s">
        <v>145</v>
      </c>
      <c r="C44" s="249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50" t="s">
        <v>41</v>
      </c>
      <c r="C47" s="250" t="s">
        <v>42</v>
      </c>
      <c r="D47" s="251" t="s">
        <v>137</v>
      </c>
      <c r="E47" s="252"/>
      <c r="F47" s="253"/>
      <c r="G47" s="98" t="s">
        <v>138</v>
      </c>
      <c r="H47" s="98"/>
      <c r="I47" s="98"/>
      <c r="J47" s="250" t="s">
        <v>139</v>
      </c>
      <c r="K47" s="99" t="s">
        <v>147</v>
      </c>
      <c r="L47" s="99"/>
      <c r="M47" s="99"/>
      <c r="N47" s="247" t="s">
        <v>148</v>
      </c>
    </row>
    <row r="48" spans="2:14" ht="15.75" x14ac:dyDescent="0.25">
      <c r="B48" s="250"/>
      <c r="C48" s="250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50"/>
      <c r="K48" s="101" t="s">
        <v>142</v>
      </c>
      <c r="L48" s="101" t="s">
        <v>110</v>
      </c>
      <c r="M48" s="101" t="s">
        <v>145</v>
      </c>
      <c r="N48" s="247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44" t="s">
        <v>144</v>
      </c>
      <c r="C63" s="245"/>
      <c r="D63" s="245"/>
      <c r="E63" s="245"/>
      <c r="F63" s="245"/>
      <c r="G63" s="245"/>
      <c r="H63" s="246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8" t="s">
        <v>145</v>
      </c>
      <c r="C44" s="249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50" t="s">
        <v>41</v>
      </c>
      <c r="C47" s="250" t="s">
        <v>42</v>
      </c>
      <c r="D47" s="251" t="s">
        <v>137</v>
      </c>
      <c r="E47" s="252"/>
      <c r="F47" s="253"/>
      <c r="G47" s="98" t="s">
        <v>138</v>
      </c>
      <c r="H47" s="98"/>
      <c r="I47" s="98"/>
      <c r="J47" s="250" t="s">
        <v>139</v>
      </c>
      <c r="K47" s="99" t="s">
        <v>147</v>
      </c>
      <c r="L47" s="99"/>
      <c r="M47" s="99"/>
      <c r="N47" s="247" t="s">
        <v>148</v>
      </c>
    </row>
    <row r="48" spans="2:14" ht="15.75" x14ac:dyDescent="0.25">
      <c r="B48" s="250"/>
      <c r="C48" s="250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50"/>
      <c r="K48" s="101" t="s">
        <v>142</v>
      </c>
      <c r="L48" s="101" t="s">
        <v>110</v>
      </c>
      <c r="M48" s="101" t="s">
        <v>145</v>
      </c>
      <c r="N48" s="247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44" t="s">
        <v>144</v>
      </c>
      <c r="C63" s="245"/>
      <c r="D63" s="245"/>
      <c r="E63" s="245"/>
      <c r="F63" s="245"/>
      <c r="G63" s="245"/>
      <c r="H63" s="246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190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165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164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164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61" t="s">
        <v>145</v>
      </c>
      <c r="C44" s="262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63" t="s">
        <v>41</v>
      </c>
      <c r="C47" s="263" t="s">
        <v>42</v>
      </c>
      <c r="D47" s="258" t="s">
        <v>137</v>
      </c>
      <c r="E47" s="259"/>
      <c r="F47" s="260"/>
      <c r="G47" s="69" t="s">
        <v>138</v>
      </c>
      <c r="H47" s="69"/>
      <c r="I47" s="69"/>
      <c r="J47" s="263" t="s">
        <v>139</v>
      </c>
      <c r="K47" s="35" t="s">
        <v>147</v>
      </c>
      <c r="L47" s="35"/>
      <c r="M47" s="35"/>
      <c r="N47" s="257" t="s">
        <v>148</v>
      </c>
    </row>
    <row r="48" spans="2:17" ht="15.75" x14ac:dyDescent="0.25">
      <c r="B48" s="263"/>
      <c r="C48" s="263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63"/>
      <c r="K48" s="34" t="s">
        <v>142</v>
      </c>
      <c r="L48" s="34" t="s">
        <v>110</v>
      </c>
      <c r="M48" s="34" t="s">
        <v>145</v>
      </c>
      <c r="N48" s="257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54" t="s">
        <v>144</v>
      </c>
      <c r="C63" s="255"/>
      <c r="D63" s="255"/>
      <c r="E63" s="255"/>
      <c r="F63" s="255"/>
      <c r="G63" s="255"/>
      <c r="H63" s="256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5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192</v>
      </c>
      <c r="J3" s="218">
        <v>0</v>
      </c>
    </row>
    <row r="4" spans="2:14" x14ac:dyDescent="0.25">
      <c r="G4" s="221" t="s">
        <v>193</v>
      </c>
      <c r="J4" s="218">
        <v>0</v>
      </c>
    </row>
    <row r="5" spans="2:14" x14ac:dyDescent="0.25">
      <c r="G5" s="221" t="s">
        <v>194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164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164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164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164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168</v>
      </c>
      <c r="C22" s="15">
        <v>38884328.600000001</v>
      </c>
      <c r="D22" s="15" t="s">
        <v>164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169</v>
      </c>
      <c r="C23" s="15">
        <v>120550492.72</v>
      </c>
      <c r="D23" s="15" t="s">
        <v>164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164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184</v>
      </c>
    </row>
    <row r="41" spans="2:19" ht="27.95" customHeight="1" x14ac:dyDescent="0.25">
      <c r="B41" s="274" t="s">
        <v>177</v>
      </c>
      <c r="C41" s="275"/>
      <c r="D41" s="276"/>
      <c r="E41" s="66" t="s">
        <v>137</v>
      </c>
      <c r="F41" s="174"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61" t="s">
        <v>145</v>
      </c>
      <c r="C46" s="262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77" t="s">
        <v>146</v>
      </c>
      <c r="C48" s="278"/>
      <c r="D48" s="278"/>
      <c r="E48" s="278"/>
      <c r="F48" s="278"/>
      <c r="G48" s="278"/>
      <c r="H48" s="278"/>
      <c r="I48" s="278"/>
      <c r="J48" s="278"/>
      <c r="K48" s="265" t="s">
        <v>185</v>
      </c>
      <c r="L48" s="266"/>
      <c r="M48" s="266"/>
      <c r="N48" s="266"/>
      <c r="O48" s="266"/>
      <c r="P48" s="267"/>
      <c r="Q48"/>
      <c r="R48"/>
    </row>
    <row r="49" spans="2:18" s="139" customFormat="1" ht="33.950000000000003" customHeight="1" x14ac:dyDescent="0.25">
      <c r="B49" s="282" t="s">
        <v>41</v>
      </c>
      <c r="C49" s="282" t="s">
        <v>42</v>
      </c>
      <c r="D49" s="279" t="s">
        <v>137</v>
      </c>
      <c r="E49" s="280"/>
      <c r="F49" s="281"/>
      <c r="G49" s="140" t="s">
        <v>138</v>
      </c>
      <c r="H49" s="140"/>
      <c r="I49" s="140"/>
      <c r="J49" s="279" t="s">
        <v>139</v>
      </c>
      <c r="K49" s="268" t="str">
        <f>"SELISIH"&amp;CHAR(10)&amp;TEXT($H$41,"0%")</f>
        <v>SELISIH
90%</v>
      </c>
      <c r="L49" s="268" t="str">
        <f>"PER HARI"&amp;CHAR(10)&amp;TEXT($H$41,"0%")</f>
        <v>PER HARI
90%</v>
      </c>
      <c r="M49" s="270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72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82"/>
      <c r="C50" s="282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79"/>
      <c r="K50" s="269"/>
      <c r="L50" s="269"/>
      <c r="M50" s="271"/>
      <c r="N50" s="188"/>
      <c r="O50" s="183"/>
      <c r="P50" s="273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171</v>
      </c>
      <c r="C53" s="154" t="s">
        <v>172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171</v>
      </c>
      <c r="C59" s="154" t="s">
        <v>173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54" t="s">
        <v>144</v>
      </c>
      <c r="C67" s="255"/>
      <c r="D67" s="255"/>
      <c r="E67" s="255"/>
      <c r="F67" s="255"/>
      <c r="G67" s="255"/>
      <c r="H67" s="255"/>
      <c r="I67" s="255"/>
      <c r="J67" s="255"/>
      <c r="K67" s="255"/>
      <c r="L67" s="256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54" t="s">
        <v>170</v>
      </c>
      <c r="C77" s="255"/>
      <c r="D77" s="256"/>
      <c r="G77"/>
      <c r="H77"/>
      <c r="I77"/>
    </row>
    <row r="78" spans="1:19" ht="20.100000000000001" customHeight="1" x14ac:dyDescent="0.25">
      <c r="B78" s="264" t="s">
        <v>41</v>
      </c>
      <c r="C78" s="264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63"/>
      <c r="C79" s="263"/>
      <c r="D79" s="70" t="s">
        <v>167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171</v>
      </c>
      <c r="C82" s="152" t="s">
        <v>172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171</v>
      </c>
      <c r="C88" s="152" t="s">
        <v>173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41:D41"/>
    <mergeCell ref="B48:J48"/>
    <mergeCell ref="D49:F49"/>
    <mergeCell ref="B46:C46"/>
    <mergeCell ref="B49:B50"/>
    <mergeCell ref="C49:C50"/>
    <mergeCell ref="J49:J50"/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1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164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168</v>
      </c>
      <c r="C22" s="15">
        <v>197567845.80000001</v>
      </c>
      <c r="D22" s="15" t="s">
        <v>164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169</v>
      </c>
      <c r="C23" s="15">
        <v>300521523.82997501</v>
      </c>
      <c r="D23" s="15" t="s">
        <v>164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83" t="s">
        <v>178</v>
      </c>
      <c r="C41" s="284"/>
      <c r="D41" s="285"/>
      <c r="E41" s="66" t="s">
        <v>137</v>
      </c>
      <c r="F41" s="174">
        <v>0.97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61" t="s">
        <v>145</v>
      </c>
      <c r="C46" s="262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77" t="s">
        <v>146</v>
      </c>
      <c r="C48" s="278"/>
      <c r="D48" s="278"/>
      <c r="E48" s="278"/>
      <c r="F48" s="278"/>
      <c r="G48" s="278"/>
      <c r="H48" s="278"/>
      <c r="I48" s="278"/>
      <c r="J48" s="278"/>
      <c r="K48" s="265" t="s">
        <v>185</v>
      </c>
      <c r="L48" s="266"/>
      <c r="M48" s="266"/>
      <c r="N48" s="266"/>
      <c r="O48" s="266"/>
      <c r="P48" s="267"/>
    </row>
    <row r="49" spans="2:16" ht="33.950000000000003" customHeight="1" x14ac:dyDescent="0.25">
      <c r="B49" s="263" t="s">
        <v>41</v>
      </c>
      <c r="C49" s="263" t="s">
        <v>42</v>
      </c>
      <c r="D49" s="258" t="s">
        <v>137</v>
      </c>
      <c r="E49" s="259"/>
      <c r="F49" s="260"/>
      <c r="G49" s="112" t="s">
        <v>138</v>
      </c>
      <c r="H49" s="112"/>
      <c r="I49" s="112"/>
      <c r="J49" s="258" t="s">
        <v>139</v>
      </c>
      <c r="K49" s="268" t="str">
        <f>"SELISIH"&amp;CHAR(10)&amp;TEXT($H$41,"0%")</f>
        <v>SELISIH
90%</v>
      </c>
      <c r="L49" s="268" t="str">
        <f>"PER HARI"&amp;CHAR(10)&amp;TEXT($H$41,"0%")</f>
        <v>PER HARI
90%</v>
      </c>
      <c r="M49" s="270" t="str">
        <f>"SELISIH"&amp;CHAR(10)&amp;TEXT($J$41,"0%")</f>
        <v>SELISIH
95%</v>
      </c>
      <c r="N49" s="270" t="str">
        <f>"PER HARI"&amp;CHAR(10)&amp;TEXT($J$41,"0%")</f>
        <v>PER HARI
95%</v>
      </c>
      <c r="O49" s="272" t="str">
        <f>"SELISIH"&amp;CHAR(10)&amp;TEXT($L$41,"0%")</f>
        <v>SELISIH
100%</v>
      </c>
      <c r="P49" s="272" t="str">
        <f>"PER HARI"&amp;CHAR(10)&amp;TEXT($L$41,"0%")</f>
        <v>PER HARI
100%</v>
      </c>
    </row>
    <row r="50" spans="2:16" ht="22.5" customHeight="1" x14ac:dyDescent="0.25">
      <c r="B50" s="263"/>
      <c r="C50" s="263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8"/>
      <c r="K50" s="269"/>
      <c r="L50" s="269"/>
      <c r="M50" s="271"/>
      <c r="N50" s="271"/>
      <c r="O50" s="273"/>
      <c r="P50" s="273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4" t="s">
        <v>144</v>
      </c>
      <c r="C67" s="255"/>
      <c r="D67" s="255"/>
      <c r="E67" s="255"/>
      <c r="F67" s="255"/>
      <c r="G67" s="255"/>
      <c r="H67" s="255"/>
      <c r="I67" s="255"/>
      <c r="J67" s="255"/>
      <c r="K67" s="255"/>
      <c r="L67" s="256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54" t="s">
        <v>170</v>
      </c>
      <c r="C77" s="255"/>
      <c r="D77" s="256"/>
    </row>
    <row r="78" spans="2:16" ht="18.75" customHeight="1" x14ac:dyDescent="0.25">
      <c r="B78" s="264" t="s">
        <v>41</v>
      </c>
      <c r="C78" s="264" t="s">
        <v>42</v>
      </c>
      <c r="D78" s="231" t="s">
        <v>138</v>
      </c>
    </row>
    <row r="79" spans="2:16" ht="18" customHeight="1" x14ac:dyDescent="0.25">
      <c r="B79" s="263"/>
      <c r="C79" s="263"/>
      <c r="D79" s="70" t="s">
        <v>167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171</v>
      </c>
      <c r="C82" s="168" t="s">
        <v>172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171</v>
      </c>
      <c r="C88" s="168" t="s">
        <v>173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164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168</v>
      </c>
      <c r="C22" s="15">
        <v>167671841.09999999</v>
      </c>
      <c r="D22" s="15" t="s">
        <v>164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169</v>
      </c>
      <c r="C23" s="15">
        <v>388937679.18000001</v>
      </c>
      <c r="D23" s="15" t="s">
        <v>164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74" t="s">
        <v>179</v>
      </c>
      <c r="C41" s="275"/>
      <c r="D41" s="276"/>
      <c r="E41" s="66" t="s">
        <v>137</v>
      </c>
      <c r="F41" s="174">
        <f ca="1">IF(MONTH(TODAY())=6,DAY(TODAY())/DAY(EOMONTH(TODAY(),0)),IF(MONTH(TODAY())&gt;6,1,0))</f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61" t="s">
        <v>145</v>
      </c>
      <c r="C46" s="262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77" t="s">
        <v>146</v>
      </c>
      <c r="C48" s="278"/>
      <c r="D48" s="278"/>
      <c r="E48" s="278"/>
      <c r="F48" s="278"/>
      <c r="G48" s="278"/>
      <c r="H48" s="278"/>
      <c r="I48" s="278"/>
      <c r="J48" s="278"/>
      <c r="K48" s="265" t="s">
        <v>185</v>
      </c>
      <c r="L48" s="266"/>
      <c r="M48" s="266"/>
      <c r="N48" s="266"/>
      <c r="O48" s="266"/>
      <c r="P48" s="267"/>
    </row>
    <row r="49" spans="2:16" ht="33.950000000000003" customHeight="1" x14ac:dyDescent="0.25">
      <c r="B49" s="263" t="s">
        <v>41</v>
      </c>
      <c r="C49" s="263" t="s">
        <v>42</v>
      </c>
      <c r="D49" s="258" t="s">
        <v>137</v>
      </c>
      <c r="E49" s="259"/>
      <c r="F49" s="260"/>
      <c r="G49" s="112" t="s">
        <v>138</v>
      </c>
      <c r="H49" s="112"/>
      <c r="I49" s="112"/>
      <c r="J49" s="258" t="s">
        <v>139</v>
      </c>
      <c r="K49" s="268" t="str">
        <f>"SELISIH"&amp;CHAR(10)&amp;TEXT($H$41,"0%")</f>
        <v>SELISIH
90%</v>
      </c>
      <c r="L49" s="268" t="str">
        <f>"PER HARI"&amp;CHAR(10)&amp;TEXT($H$41,"0%")</f>
        <v>PER HARI
90%</v>
      </c>
      <c r="M49" s="270" t="str">
        <f>"SELISIH"&amp;CHAR(10)&amp;TEXT($J$41,"0%")</f>
        <v>SELISIH
95%</v>
      </c>
      <c r="N49" s="270" t="str">
        <f>"PER HARI"&amp;CHAR(10)&amp;TEXT($J$41,"0%")</f>
        <v>PER HARI
95%</v>
      </c>
      <c r="O49" s="272" t="str">
        <f>"SELISIH"&amp;CHAR(10)&amp;TEXT($L$41,"0%")</f>
        <v>SELISIH
100%</v>
      </c>
      <c r="P49" s="272" t="str">
        <f>"PER HARI"&amp;CHAR(10)&amp;TEXT($L$41,"0%")</f>
        <v>PER HARI
100%</v>
      </c>
    </row>
    <row r="50" spans="2:16" ht="19.5" customHeight="1" x14ac:dyDescent="0.25">
      <c r="B50" s="263"/>
      <c r="C50" s="263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8"/>
      <c r="K50" s="269"/>
      <c r="L50" s="269"/>
      <c r="M50" s="271"/>
      <c r="N50" s="271"/>
      <c r="O50" s="273"/>
      <c r="P50" s="273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4" t="s">
        <v>144</v>
      </c>
      <c r="C67" s="255"/>
      <c r="D67" s="255"/>
      <c r="E67" s="255"/>
      <c r="F67" s="255"/>
      <c r="G67" s="255"/>
      <c r="H67" s="255"/>
      <c r="I67" s="255"/>
      <c r="J67" s="255"/>
      <c r="K67" s="255"/>
      <c r="L67" s="256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54" t="s">
        <v>170</v>
      </c>
      <c r="C77" s="255"/>
      <c r="D77" s="256"/>
    </row>
    <row r="78" spans="2:16" ht="15.75" x14ac:dyDescent="0.25">
      <c r="B78" s="264" t="s">
        <v>41</v>
      </c>
      <c r="C78" s="264" t="s">
        <v>42</v>
      </c>
      <c r="D78" s="231" t="s">
        <v>138</v>
      </c>
    </row>
    <row r="79" spans="2:16" ht="15.75" x14ac:dyDescent="0.25">
      <c r="B79" s="263"/>
      <c r="C79" s="263"/>
      <c r="D79" s="70" t="s">
        <v>167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171</v>
      </c>
      <c r="C82" s="56" t="s">
        <v>172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171</v>
      </c>
      <c r="C88" s="56" t="s">
        <v>173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A46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181</v>
      </c>
      <c r="C12" s="15">
        <v>341819821.47863901</v>
      </c>
      <c r="D12" s="15">
        <v>43800016.100000001</v>
      </c>
      <c r="E12" s="15" t="s">
        <v>164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168</v>
      </c>
      <c r="C20" s="15">
        <v>195476199.69999999</v>
      </c>
      <c r="D20" s="15" t="s">
        <v>164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169</v>
      </c>
      <c r="C21" s="15">
        <v>288524887.39999998</v>
      </c>
      <c r="D21" s="15" t="s">
        <v>164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182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183</v>
      </c>
      <c r="C26" s="15">
        <v>138084633.55645701</v>
      </c>
      <c r="D26" s="15">
        <v>103844000.433377</v>
      </c>
      <c r="E26" s="15" t="s">
        <v>164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184</v>
      </c>
    </row>
    <row r="41" spans="2:19" s="191" customFormat="1" ht="27.95" customHeight="1" x14ac:dyDescent="0.25">
      <c r="B41" s="274" t="s">
        <v>188</v>
      </c>
      <c r="C41" s="275"/>
      <c r="D41" s="276"/>
      <c r="E41" s="66" t="s">
        <v>137</v>
      </c>
      <c r="F41" s="174">
        <f ca="1">IF(MONTH(TODAY())=7,DAY(TODAY())/DAY(EOMONTH(TODAY(),0)),IF(MONTH(TODAY())&gt;7,1,0))</f>
        <v>1</v>
      </c>
      <c r="G41" s="192" t="s">
        <v>186</v>
      </c>
      <c r="H41" s="198">
        <v>0.9</v>
      </c>
      <c r="I41" s="193" t="s">
        <v>186</v>
      </c>
      <c r="J41" s="199">
        <v>0.95</v>
      </c>
      <c r="K41" s="194" t="s">
        <v>187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61" t="s">
        <v>145</v>
      </c>
      <c r="C46" s="262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77" t="s">
        <v>146</v>
      </c>
      <c r="C48" s="278"/>
      <c r="D48" s="278"/>
      <c r="E48" s="278"/>
      <c r="F48" s="278"/>
      <c r="G48" s="278"/>
      <c r="H48" s="278"/>
      <c r="I48" s="278"/>
      <c r="J48" s="278"/>
      <c r="K48" s="265" t="s">
        <v>185</v>
      </c>
      <c r="L48" s="266"/>
      <c r="M48" s="266"/>
      <c r="N48" s="266"/>
      <c r="O48" s="266"/>
      <c r="P48" s="267"/>
    </row>
    <row r="49" spans="2:16" ht="15.75" x14ac:dyDescent="0.25">
      <c r="B49" s="263" t="s">
        <v>41</v>
      </c>
      <c r="C49" s="263" t="s">
        <v>42</v>
      </c>
      <c r="D49" s="258" t="s">
        <v>137</v>
      </c>
      <c r="E49" s="259"/>
      <c r="F49" s="260"/>
      <c r="G49" s="112" t="s">
        <v>138</v>
      </c>
      <c r="H49" s="112"/>
      <c r="I49" s="112"/>
      <c r="J49" s="258" t="s">
        <v>139</v>
      </c>
      <c r="K49" s="268" t="str">
        <f>"SELISIH"&amp;CHAR(10)&amp;TEXT($H$41,"0%")</f>
        <v>SELISIH
90%</v>
      </c>
      <c r="L49" s="268" t="str">
        <f>"PER HARI"&amp;CHAR(10)&amp;TEXT($H$41,"0%")</f>
        <v>PER HARI
90%</v>
      </c>
      <c r="M49" s="270" t="str">
        <f>"SELISIH"&amp;CHAR(10)&amp;TEXT($J$41,"0%")</f>
        <v>SELISIH
95%</v>
      </c>
      <c r="N49" s="270" t="str">
        <f>"PER HARI"&amp;CHAR(10)&amp;TEXT($J$41,"0%")</f>
        <v>PER HARI
95%</v>
      </c>
      <c r="O49" s="286" t="str">
        <f>"SELISIH"&amp;CHAR(10)&amp;TEXT($L$41,"0%")</f>
        <v>SELISIH
100%</v>
      </c>
      <c r="P49" s="286" t="str">
        <f>"PER HARI"&amp;CHAR(10)&amp;TEXT($L$41,"0%")</f>
        <v>PER HARI
100%</v>
      </c>
    </row>
    <row r="50" spans="2:16" ht="15.75" x14ac:dyDescent="0.25">
      <c r="B50" s="263"/>
      <c r="C50" s="263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8"/>
      <c r="K50" s="269"/>
      <c r="L50" s="269"/>
      <c r="M50" s="271"/>
      <c r="N50" s="271"/>
      <c r="O50" s="287"/>
      <c r="P50" s="287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171</v>
      </c>
      <c r="C53" s="137" t="s">
        <v>172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180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171</v>
      </c>
      <c r="C59" s="137" t="s">
        <v>173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4" t="s">
        <v>144</v>
      </c>
      <c r="C67" s="255"/>
      <c r="D67" s="255"/>
      <c r="E67" s="255"/>
      <c r="F67" s="255"/>
      <c r="G67" s="255"/>
      <c r="H67" s="255"/>
      <c r="I67" s="255"/>
      <c r="J67" s="255"/>
      <c r="K67" s="255"/>
      <c r="L67" s="256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54" t="s">
        <v>170</v>
      </c>
      <c r="C77" s="255"/>
      <c r="D77" s="256"/>
    </row>
    <row r="78" spans="2:16" ht="15.75" x14ac:dyDescent="0.25">
      <c r="B78" s="264" t="s">
        <v>41</v>
      </c>
      <c r="C78" s="264" t="s">
        <v>42</v>
      </c>
      <c r="D78" s="231" t="s">
        <v>138</v>
      </c>
    </row>
    <row r="79" spans="2:16" ht="15.75" x14ac:dyDescent="0.25">
      <c r="B79" s="263"/>
      <c r="C79" s="263"/>
      <c r="D79" s="70" t="s">
        <v>167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171</v>
      </c>
      <c r="C82" s="56" t="s">
        <v>172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180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171</v>
      </c>
      <c r="C88" s="56" t="s">
        <v>173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B41:D41"/>
    <mergeCell ref="B48:J48"/>
    <mergeCell ref="B46:C46"/>
    <mergeCell ref="B49:B50"/>
    <mergeCell ref="C49:C50"/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46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191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192</v>
      </c>
      <c r="H3" s="111"/>
      <c r="I3" s="111"/>
      <c r="J3" s="218">
        <v>2</v>
      </c>
    </row>
    <row r="4" spans="2:15" x14ac:dyDescent="0.25">
      <c r="G4" s="221" t="s">
        <v>193</v>
      </c>
      <c r="H4" s="111"/>
      <c r="I4" s="111"/>
      <c r="J4" s="218">
        <v>0</v>
      </c>
    </row>
    <row r="5" spans="2:15" x14ac:dyDescent="0.25">
      <c r="G5" s="221" t="s">
        <v>194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214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213</v>
      </c>
      <c r="C12" s="15">
        <v>3123423.4199979999</v>
      </c>
      <c r="D12" s="15">
        <v>30403216.600000001</v>
      </c>
      <c r="E12" s="15">
        <v>352954956.67859</v>
      </c>
      <c r="F12" s="15" t="s">
        <v>164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168</v>
      </c>
      <c r="C20" s="15">
        <v>186237371.06</v>
      </c>
      <c r="D20" s="15" t="s">
        <v>164</v>
      </c>
      <c r="E20" s="15" t="s">
        <v>164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222</v>
      </c>
    </row>
    <row r="21" spans="2:15" x14ac:dyDescent="0.25">
      <c r="B21" s="72" t="s">
        <v>169</v>
      </c>
      <c r="C21" s="15">
        <v>427491232.60000002</v>
      </c>
      <c r="D21" s="15" t="s">
        <v>164</v>
      </c>
      <c r="E21" s="15" t="s">
        <v>164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223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182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184</v>
      </c>
    </row>
    <row r="40" spans="2:19" ht="18.75" x14ac:dyDescent="0.25">
      <c r="B40" s="274" t="s">
        <v>218</v>
      </c>
      <c r="C40" s="275"/>
      <c r="D40" s="276"/>
      <c r="E40" s="66" t="s">
        <v>137</v>
      </c>
      <c r="F40" s="174">
        <f ca="1">IF(MONTH(TODAY())=8,DAY(TODAY())/DAY(EOMONTH(TODAY(),0)),IF(MONTH(TODAY())&gt;8,1,0))</f>
        <v>1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207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61" t="s">
        <v>145</v>
      </c>
      <c r="C46" s="262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77" t="s">
        <v>212</v>
      </c>
      <c r="C48" s="278"/>
      <c r="D48" s="278"/>
      <c r="E48" s="278"/>
      <c r="F48" s="278"/>
      <c r="G48" s="278"/>
      <c r="H48" s="278"/>
      <c r="I48" s="278"/>
      <c r="J48" s="278"/>
      <c r="K48" s="278"/>
      <c r="L48" s="288"/>
      <c r="M48" s="265" t="s">
        <v>185</v>
      </c>
      <c r="N48" s="266"/>
      <c r="O48" s="266"/>
      <c r="P48" s="266"/>
      <c r="Q48" s="266"/>
      <c r="R48" s="267"/>
    </row>
    <row r="49" spans="2:21" ht="17.100000000000001" customHeight="1" x14ac:dyDescent="0.25">
      <c r="B49" s="289" t="s">
        <v>41</v>
      </c>
      <c r="C49" s="289" t="s">
        <v>42</v>
      </c>
      <c r="D49" s="258" t="s">
        <v>137</v>
      </c>
      <c r="E49" s="259"/>
      <c r="F49" s="259"/>
      <c r="G49" s="260"/>
      <c r="H49" s="290" t="s">
        <v>138</v>
      </c>
      <c r="I49" s="291"/>
      <c r="J49" s="291"/>
      <c r="K49" s="292"/>
      <c r="L49" s="293" t="s">
        <v>139</v>
      </c>
      <c r="M49" s="268" t="str">
        <f>"SELISIH"&amp;CHAR(10)&amp;TEXT($H$40,"0%")</f>
        <v>SELISIH
90%</v>
      </c>
      <c r="N49" s="268" t="str">
        <f>"PER HARI"&amp;CHAR(10)&amp;TEXT($H$40,"0%")</f>
        <v>PER HARI
90%</v>
      </c>
      <c r="O49" s="270" t="str">
        <f>"SELISIH"&amp;CHAR(10)&amp;TEXT($J$40,"0%")</f>
        <v>SELISIH
95%</v>
      </c>
      <c r="P49" s="270" t="str">
        <f>"PER HARI"&amp;CHAR(10)&amp;TEXT($J$40,"0%")</f>
        <v>PER HARI
95%</v>
      </c>
      <c r="Q49" s="272" t="str">
        <f>"SELISIH"&amp;CHAR(10)&amp;TEXT($L$40,"0%")</f>
        <v>SELISIH
100%</v>
      </c>
      <c r="R49" s="272" t="str">
        <f>"PER HARI"&amp;CHAR(10)&amp;TEXT($L$40,"0%")</f>
        <v>PER HARI
100%</v>
      </c>
    </row>
    <row r="50" spans="2:21" ht="15.75" x14ac:dyDescent="0.25">
      <c r="B50" s="264"/>
      <c r="C50" s="264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4"/>
      <c r="M50" s="269"/>
      <c r="N50" s="269"/>
      <c r="O50" s="271"/>
      <c r="P50" s="271"/>
      <c r="Q50" s="273"/>
      <c r="R50" s="273"/>
      <c r="T50" s="172" t="s">
        <v>215</v>
      </c>
      <c r="U50" s="172" t="s">
        <v>216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217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171</v>
      </c>
      <c r="C53" s="137" t="s">
        <v>172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168</v>
      </c>
      <c r="U53" t="s">
        <v>217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217</v>
      </c>
    </row>
    <row r="55" spans="2:21" x14ac:dyDescent="0.25">
      <c r="B55" s="50" t="s">
        <v>73</v>
      </c>
      <c r="C55" s="55" t="s">
        <v>189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213</v>
      </c>
      <c r="U55" t="s">
        <v>217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182</v>
      </c>
      <c r="U56" t="s">
        <v>217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217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217</v>
      </c>
    </row>
    <row r="59" spans="2:21" x14ac:dyDescent="0.25">
      <c r="B59" s="136" t="s">
        <v>171</v>
      </c>
      <c r="C59" s="137" t="s">
        <v>173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169</v>
      </c>
      <c r="U59" t="s">
        <v>217</v>
      </c>
    </row>
    <row r="60" spans="2:21" x14ac:dyDescent="0.25">
      <c r="B60" s="53" t="s">
        <v>80</v>
      </c>
      <c r="C60" s="56" t="s">
        <v>189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214</v>
      </c>
      <c r="U60" t="s">
        <v>217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217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217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217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95" t="s">
        <v>144</v>
      </c>
      <c r="C67" s="296"/>
      <c r="D67" s="296"/>
      <c r="E67" s="296"/>
      <c r="F67" s="297"/>
      <c r="G67" s="265" t="s">
        <v>185</v>
      </c>
      <c r="H67" s="266"/>
      <c r="I67" s="266"/>
      <c r="J67" s="266"/>
      <c r="K67" s="266"/>
      <c r="L67" s="267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54" t="s">
        <v>170</v>
      </c>
      <c r="C77" s="255"/>
      <c r="D77" s="256"/>
    </row>
    <row r="78" spans="2:21" ht="15.75" x14ac:dyDescent="0.25">
      <c r="B78" s="264" t="s">
        <v>41</v>
      </c>
      <c r="C78" s="264" t="s">
        <v>42</v>
      </c>
      <c r="D78" s="231" t="s">
        <v>138</v>
      </c>
    </row>
    <row r="79" spans="2:21" ht="15.75" x14ac:dyDescent="0.25">
      <c r="B79" s="263"/>
      <c r="C79" s="263"/>
      <c r="D79" s="70" t="s">
        <v>167</v>
      </c>
      <c r="T79" s="172" t="s">
        <v>215</v>
      </c>
      <c r="U79" s="172" t="s">
        <v>216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171</v>
      </c>
      <c r="C82" s="56" t="s">
        <v>172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189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171</v>
      </c>
      <c r="C88" s="56" t="s">
        <v>173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189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opLeftCell="A40" zoomScale="84" zoomScaleNormal="84" workbookViewId="0">
      <selection activeCell="B8" sqref="B8:G26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5.140625" bestFit="1" customWidth="1"/>
    <col min="4" max="6" width="16.42578125" customWidth="1"/>
    <col min="7" max="7" width="18.42578125" customWidth="1"/>
    <col min="8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0</v>
      </c>
      <c r="D3" s="76" t="s">
        <v>104</v>
      </c>
      <c r="E3" s="77">
        <f ca="1">DAY(EOMONTH(DATE(YEAR(TODAY()),9,1),0))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15">
        <v>144740163.23579499</v>
      </c>
      <c r="D10" s="15">
        <v>42947490.453594998</v>
      </c>
      <c r="E10" s="15">
        <v>203025937.43701801</v>
      </c>
      <c r="F10" s="15">
        <v>167020820.35991901</v>
      </c>
      <c r="G10" s="15">
        <v>557734411.48632705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181</v>
      </c>
      <c r="C11" s="15">
        <v>5673423.4199980004</v>
      </c>
      <c r="D11" s="15">
        <v>42317826.700000003</v>
      </c>
      <c r="E11" s="15">
        <v>294873875.35879999</v>
      </c>
      <c r="F11" s="15" t="s">
        <v>164</v>
      </c>
      <c r="G11" s="15">
        <v>342865125.47879797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15">
        <v>184342048.20793799</v>
      </c>
      <c r="D12" s="15">
        <v>73221834.879611</v>
      </c>
      <c r="E12" s="15">
        <v>179141986.31949699</v>
      </c>
      <c r="F12" s="15">
        <v>73537256.650000006</v>
      </c>
      <c r="G12" s="15">
        <v>510243126.057046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15">
        <v>34096172.366747998</v>
      </c>
      <c r="D13" s="15">
        <v>24478710.189963002</v>
      </c>
      <c r="E13" s="15">
        <v>220912974.83954</v>
      </c>
      <c r="F13" s="15">
        <v>92206408.069999993</v>
      </c>
      <c r="G13" s="15">
        <v>371694265.46625102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15">
        <v>519605596.399562</v>
      </c>
      <c r="D14" s="15">
        <v>46985541.356622003</v>
      </c>
      <c r="E14" s="15">
        <v>154687892.139853</v>
      </c>
      <c r="F14" s="15">
        <v>435182498.96969998</v>
      </c>
      <c r="G14" s="15">
        <v>1156461528.865737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15">
        <v>1671930373.3399069</v>
      </c>
      <c r="D15" s="15">
        <v>12877002.040921999</v>
      </c>
      <c r="E15" s="15">
        <v>95420197.059935004</v>
      </c>
      <c r="F15" s="15">
        <v>18848648.969999999</v>
      </c>
      <c r="G15" s="15">
        <v>1799076221.410764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15">
        <v>521089786.50765902</v>
      </c>
      <c r="D16" s="15">
        <v>57488125.779923998</v>
      </c>
      <c r="E16" s="15">
        <v>331550587.10936803</v>
      </c>
      <c r="F16" s="15">
        <v>1085995754.9499691</v>
      </c>
      <c r="G16" s="15">
        <v>1996124254.34692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15">
        <v>109815225.42588399</v>
      </c>
      <c r="D17" s="15">
        <v>13122554.039898001</v>
      </c>
      <c r="E17" s="15">
        <v>111572926.73874199</v>
      </c>
      <c r="F17" s="15">
        <v>50871892.898000002</v>
      </c>
      <c r="G17" s="15">
        <v>285382599.10252398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15">
        <v>15069697.589996999</v>
      </c>
      <c r="D18" s="15">
        <v>159433424.38816899</v>
      </c>
      <c r="E18" s="15">
        <v>64345106.100000001</v>
      </c>
      <c r="F18" s="15">
        <v>109416218.59999999</v>
      </c>
      <c r="G18" s="15">
        <v>348264446.67816597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15">
        <v>48019875.460000001</v>
      </c>
      <c r="D19" s="15" t="s">
        <v>164</v>
      </c>
      <c r="E19" s="15" t="s">
        <v>164</v>
      </c>
      <c r="F19" s="15">
        <v>9945945.6799999997</v>
      </c>
      <c r="G19" s="15">
        <v>57965821.140000001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>
        <v>228406676.46000001</v>
      </c>
      <c r="D20" s="15" t="s">
        <v>164</v>
      </c>
      <c r="E20" s="15" t="s">
        <v>164</v>
      </c>
      <c r="F20" s="15">
        <v>13579549.18</v>
      </c>
      <c r="G20" s="15">
        <v>241986225.63999999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124</v>
      </c>
      <c r="C21" s="15">
        <v>293251949.48080099</v>
      </c>
      <c r="D21" s="15">
        <v>52174490.493436001</v>
      </c>
      <c r="E21" s="15">
        <v>160692167.65973499</v>
      </c>
      <c r="F21" s="15">
        <v>440958537.05983001</v>
      </c>
      <c r="G21" s="15">
        <v>947077144.693802</v>
      </c>
      <c r="H21" s="111"/>
      <c r="I21" s="111"/>
      <c r="J21" s="111"/>
      <c r="M21" s="14">
        <f>SUM(C33,C34)+M20</f>
        <v>1048400865.610592</v>
      </c>
      <c r="N21" s="10" t="s">
        <v>223</v>
      </c>
    </row>
    <row r="22" spans="2:15" ht="15" customHeight="1" x14ac:dyDescent="0.25">
      <c r="B22" s="72" t="s">
        <v>224</v>
      </c>
      <c r="C22" s="15">
        <v>203254368.21468899</v>
      </c>
      <c r="D22" s="15">
        <v>64276669.089911997</v>
      </c>
      <c r="E22" s="15">
        <v>164086145.60814101</v>
      </c>
      <c r="F22" s="15">
        <v>65793423.229999997</v>
      </c>
      <c r="G22" s="15">
        <v>497410606.14274198</v>
      </c>
      <c r="H22" s="111"/>
      <c r="I22" s="111"/>
      <c r="J22" s="111"/>
    </row>
    <row r="23" spans="2:15" ht="15" customHeight="1" x14ac:dyDescent="0.25">
      <c r="B23" s="72" t="s">
        <v>125</v>
      </c>
      <c r="C23" s="15">
        <v>282011574.08168399</v>
      </c>
      <c r="D23" s="15">
        <v>74809273.259940997</v>
      </c>
      <c r="E23" s="15">
        <v>193650083.903642</v>
      </c>
      <c r="F23" s="15">
        <v>347098526.07937998</v>
      </c>
      <c r="G23" s="15">
        <v>897569457.32464695</v>
      </c>
      <c r="H23" s="111"/>
      <c r="I23" s="111"/>
      <c r="J23" s="111"/>
    </row>
    <row r="24" spans="2:15" ht="15" customHeight="1" x14ac:dyDescent="0.25">
      <c r="B24" s="72" t="s">
        <v>126</v>
      </c>
      <c r="C24" s="15">
        <v>473358692.59722602</v>
      </c>
      <c r="D24" s="15">
        <v>68355376.974876001</v>
      </c>
      <c r="E24" s="15">
        <v>214221011.39987901</v>
      </c>
      <c r="F24" s="15">
        <v>637076364.45931995</v>
      </c>
      <c r="G24" s="15">
        <v>1393011445.4313011</v>
      </c>
      <c r="H24" s="111"/>
      <c r="I24" s="111"/>
      <c r="J24" s="111"/>
    </row>
    <row r="25" spans="2:15" ht="15" customHeight="1" x14ac:dyDescent="0.25">
      <c r="B25" s="72" t="s">
        <v>219</v>
      </c>
      <c r="C25" s="15">
        <v>350127609.35823399</v>
      </c>
      <c r="D25" s="15">
        <v>90343081.166443005</v>
      </c>
      <c r="E25" s="15">
        <v>104230158.082516</v>
      </c>
      <c r="F25" s="15">
        <v>50324325.43</v>
      </c>
      <c r="G25" s="15">
        <v>595025174.03719294</v>
      </c>
      <c r="H25" s="111"/>
      <c r="I25" s="111"/>
      <c r="J25" s="111"/>
    </row>
    <row r="26" spans="2:15" ht="15" customHeight="1" x14ac:dyDescent="0.25">
      <c r="B26" s="72" t="s">
        <v>127</v>
      </c>
      <c r="C26" s="15">
        <v>547959392.77456105</v>
      </c>
      <c r="D26" s="15">
        <v>290879574.89086801</v>
      </c>
      <c r="E26" s="15">
        <v>286513427.54513299</v>
      </c>
      <c r="F26" s="15">
        <v>21926703.130399998</v>
      </c>
      <c r="G26" s="15">
        <v>1147279098.3409619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234"/>
      <c r="C30" s="235"/>
      <c r="G30" s="111"/>
      <c r="H30" s="111"/>
      <c r="I30" s="111"/>
    </row>
    <row r="31" spans="2:15" ht="15" customHeight="1" x14ac:dyDescent="0.25">
      <c r="B31" s="81" t="s">
        <v>131</v>
      </c>
      <c r="C31" s="171">
        <v>280535172.19189399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473492851.69265503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515158924.34026402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533241941.27032799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4" t="s">
        <v>226</v>
      </c>
      <c r="C40" s="275"/>
      <c r="D40" s="276"/>
      <c r="E40" s="66" t="s">
        <v>137</v>
      </c>
      <c r="F40" s="174">
        <f ca="1">IF(MONTH(TODAY())=9,DAY(TODAY())/DAY(EOMONTH(TODAY(),0)),IF(MONTH(TODAY())&gt;9,1,0))</f>
        <v>1</v>
      </c>
      <c r="G40" s="192" t="s">
        <v>186</v>
      </c>
      <c r="H40" s="198">
        <v>0.95</v>
      </c>
      <c r="I40" s="201" t="s">
        <v>186</v>
      </c>
      <c r="J40" s="199">
        <v>1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95%</v>
      </c>
      <c r="H41" s="182" t="str">
        <f>"PER HARI"&amp;CHAR(10)&amp;TEXT($H$40,"0%")</f>
        <v>PER HARI
95%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3960822251.5807762</v>
      </c>
      <c r="F42" s="176">
        <f>IFERROR(E42/D42,0)</f>
        <v>0.87788344172277555</v>
      </c>
      <c r="G42" s="184">
        <f>D42*$H$40-E42</f>
        <v>325374480.43365002</v>
      </c>
      <c r="H42" s="184">
        <f ca="1">IFERROR(G42/$C$3,0)</f>
        <v>0</v>
      </c>
      <c r="I42" s="204">
        <f>D42*$J$40-E42</f>
        <v>550963782.11861992</v>
      </c>
      <c r="J42" s="204">
        <f ca="1">IFERROR(I42/$C$3,0)</f>
        <v>0</v>
      </c>
      <c r="K42" s="185">
        <f>D42*$L$40-E42</f>
        <v>550963782.11861992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1100833973.6632581</v>
      </c>
      <c r="F43" s="176">
        <f>IFERROR(E43/D43,0)</f>
        <v>0.78554390165286525</v>
      </c>
      <c r="G43" s="184">
        <f>D43*$H$40-E43</f>
        <v>230463071.32638597</v>
      </c>
      <c r="H43" s="184">
        <f ca="1">IFERROR(G43/$C$3,0)</f>
        <v>0</v>
      </c>
      <c r="I43" s="204">
        <f>D43*$J$40-E43</f>
        <v>300531336.85215688</v>
      </c>
      <c r="J43" s="204">
        <f ca="1">IFERROR(I43/$C$3,0)</f>
        <v>0</v>
      </c>
      <c r="K43" s="185">
        <f>D43*$L$40-E43</f>
        <v>300531336.85215688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SUM(TARGETS!AD5:AD18)</f>
        <v>2944814196.3286853</v>
      </c>
      <c r="E44" s="46">
        <f>J65</f>
        <v>2683504280.2418637</v>
      </c>
      <c r="F44" s="176">
        <f>IFERROR(E44/D44,0)</f>
        <v>0.91126437912021818</v>
      </c>
      <c r="G44" s="184">
        <f>IF(D44=0,0,D44*$H$40-E44)</f>
        <v>114069206.27038717</v>
      </c>
      <c r="H44" s="184">
        <f ca="1">IFERROR(G44/$C$3,0)</f>
        <v>0</v>
      </c>
      <c r="I44" s="204">
        <f>IF(D44=0,0,D44*$J$40-E44)</f>
        <v>261309916.08682156</v>
      </c>
      <c r="J44" s="204">
        <f ca="1">IFERROR(I44/$C$3,0)</f>
        <v>0</v>
      </c>
      <c r="K44" s="185">
        <f>IF(D44=0,0,D44*$L$40-E44)</f>
        <v>261309916.08682156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1802428889.495141</v>
      </c>
      <c r="F45" s="176">
        <f>IFERROR(E45/D45,0)</f>
        <v>1.0356254010546653</v>
      </c>
      <c r="G45" s="184">
        <f>D45*$H$40-E45</f>
        <v>-149024634.17599225</v>
      </c>
      <c r="H45" s="184">
        <f ca="1">IFERROR(G45/$C$3,0)</f>
        <v>0</v>
      </c>
      <c r="I45" s="204">
        <f>D45*$J$40-E45</f>
        <v>-62003357.580247402</v>
      </c>
      <c r="J45" s="204">
        <f ca="1">IFERROR(I45/$C$3,0)</f>
        <v>0</v>
      </c>
      <c r="K45" s="185">
        <f>D45*$L$40-E45</f>
        <v>-62003357.580247402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1" t="s">
        <v>145</v>
      </c>
      <c r="C46" s="262"/>
      <c r="D46" s="47">
        <f>SUM(D42:D45)</f>
        <v>10598391072.458391</v>
      </c>
      <c r="E46" s="47">
        <f>SUM(E42:E45)</f>
        <v>9547589394.9810371</v>
      </c>
      <c r="F46" s="177">
        <f>IFERROR(E46/D46,0)</f>
        <v>0.90085271714420601</v>
      </c>
      <c r="G46" s="181">
        <f>SUM(G42:G45)</f>
        <v>520882123.85443091</v>
      </c>
      <c r="H46" s="181">
        <f ca="1">IFERROR(G46/$C$3,0)</f>
        <v>0</v>
      </c>
      <c r="I46" s="186">
        <f>SUM(I42:I45)</f>
        <v>1050801677.477351</v>
      </c>
      <c r="J46" s="186">
        <f ca="1">IFERROR(I46/$C$3,0)</f>
        <v>0</v>
      </c>
      <c r="K46" s="186">
        <f>SUM(K42:K45)</f>
        <v>1050801677.477351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7" t="s">
        <v>212</v>
      </c>
      <c r="C48" s="278"/>
      <c r="D48" s="278"/>
      <c r="E48" s="278"/>
      <c r="F48" s="278"/>
      <c r="G48" s="278"/>
      <c r="H48" s="278"/>
      <c r="I48" s="278"/>
      <c r="J48" s="278"/>
      <c r="K48" s="278"/>
      <c r="L48" s="288"/>
      <c r="M48" s="265" t="s">
        <v>185</v>
      </c>
      <c r="N48" s="266"/>
      <c r="O48" s="266"/>
      <c r="P48" s="266"/>
      <c r="Q48" s="266"/>
      <c r="R48" s="267"/>
    </row>
    <row r="49" spans="2:21" ht="17.100000000000001" customHeight="1" x14ac:dyDescent="0.25">
      <c r="B49" s="289" t="s">
        <v>41</v>
      </c>
      <c r="C49" s="289" t="s">
        <v>42</v>
      </c>
      <c r="D49" s="258" t="s">
        <v>137</v>
      </c>
      <c r="E49" s="259"/>
      <c r="F49" s="259"/>
      <c r="G49" s="260"/>
      <c r="H49" s="290" t="s">
        <v>138</v>
      </c>
      <c r="I49" s="291"/>
      <c r="J49" s="291"/>
      <c r="K49" s="292"/>
      <c r="L49" s="293" t="s">
        <v>139</v>
      </c>
      <c r="M49" s="268" t="str">
        <f>"SELISIH"&amp;CHAR(10)&amp;TEXT($H$40,"0%")</f>
        <v>SELISIH
95%</v>
      </c>
      <c r="N49" s="268" t="str">
        <f>"PER HARI"&amp;CHAR(10)&amp;TEXT($H$40,"0%")</f>
        <v>PER HARI
95%</v>
      </c>
      <c r="O49" s="270" t="str">
        <f>"SELISIH"&amp;CHAR(10)&amp;TEXT($J$40,"0%")</f>
        <v>SELISIH
100%</v>
      </c>
      <c r="P49" s="270" t="str">
        <f>"PER HARI"&amp;CHAR(10)&amp;TEXT($J$40,"0%")</f>
        <v>PER HARI
100%</v>
      </c>
      <c r="Q49" s="272" t="str">
        <f>"SELISIH"&amp;CHAR(10)&amp;TEXT($L$40,"0%")</f>
        <v>SELISIH
100%</v>
      </c>
      <c r="R49" s="272" t="str">
        <f>"PER HARI"&amp;CHAR(10)&amp;TEXT($L$40,"0%")</f>
        <v>PER HARI
100%</v>
      </c>
    </row>
    <row r="50" spans="2:21" ht="17.100000000000001" customHeight="1" x14ac:dyDescent="0.25">
      <c r="B50" s="264"/>
      <c r="C50" s="264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4"/>
      <c r="M50" s="269"/>
      <c r="N50" s="269"/>
      <c r="O50" s="271"/>
      <c r="P50" s="271"/>
      <c r="Q50" s="273"/>
      <c r="R50" s="273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 t="shared" ref="H51:H64" si="1">SUMIF($B$10:$B$26,$T51,C$10:C$26)+SUMIF($B$10:$B$26,$U51,C$10:C$26)</f>
        <v>293251949.48080099</v>
      </c>
      <c r="I51" s="114">
        <f t="shared" ref="I51:I64" si="2">SUMIF($B$10:$B$26,$T51,D$10:D$26)+SUMIF($B$10:$B$26,$U51,D$10:D$26)</f>
        <v>52174490.493436001</v>
      </c>
      <c r="J51" s="114">
        <f t="shared" ref="J51:J64" si="3">SUMIF($B$10:$B$26,$T51,E$10:E$26)+SUMIF($B$10:$B$26,$U51,E$10:E$26)</f>
        <v>160692167.65973499</v>
      </c>
      <c r="K51" s="114">
        <f t="shared" ref="K51:K64" si="4">SUM(H51:J51)</f>
        <v>506118607.63397193</v>
      </c>
      <c r="L51" s="187">
        <f t="shared" ref="L51:L65" si="5">IFERROR(K51/G51,0)</f>
        <v>0.98396299934595832</v>
      </c>
      <c r="M51" s="184">
        <f t="shared" ref="M51:M64" si="6">G51*$H$40-K51</f>
        <v>-17469463.741498113</v>
      </c>
      <c r="N51" s="184">
        <f t="shared" ref="N51:N65" ca="1" si="7">IFERROR(M51/$C$3,0)</f>
        <v>0</v>
      </c>
      <c r="O51" s="180">
        <f t="shared" ref="O51:O64" si="8">G51*$J$40-K51</f>
        <v>8248912.2528426647</v>
      </c>
      <c r="P51" s="180">
        <f t="shared" ref="P51:P65" ca="1" si="9">IFERROR(O51/$C$3,0)</f>
        <v>0</v>
      </c>
      <c r="Q51" s="185">
        <f t="shared" ref="Q51:Q64" si="10">G51*$L$40-K51</f>
        <v>8248912.2528426647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si="1"/>
        <v>218438220.57468599</v>
      </c>
      <c r="I52" s="114">
        <f t="shared" si="2"/>
        <v>97700545.069573998</v>
      </c>
      <c r="J52" s="114">
        <f t="shared" si="3"/>
        <v>400054961.15903699</v>
      </c>
      <c r="K52" s="114">
        <f t="shared" si="4"/>
        <v>716193726.80329704</v>
      </c>
      <c r="L52" s="187">
        <f t="shared" si="5"/>
        <v>0.911740233165791</v>
      </c>
      <c r="M52" s="184">
        <f t="shared" si="6"/>
        <v>30053960.545837402</v>
      </c>
      <c r="N52" s="184">
        <f t="shared" ca="1" si="7"/>
        <v>0</v>
      </c>
      <c r="O52" s="180">
        <f t="shared" si="8"/>
        <v>69330154.616844535</v>
      </c>
      <c r="P52" s="180">
        <f t="shared" ca="1" si="9"/>
        <v>0</v>
      </c>
      <c r="Q52" s="185">
        <f t="shared" si="10"/>
        <v>69330154.616844535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"/>
        <v>48019875.460000001</v>
      </c>
      <c r="I53" s="114">
        <f t="shared" si="2"/>
        <v>0</v>
      </c>
      <c r="J53" s="114">
        <f t="shared" si="3"/>
        <v>0</v>
      </c>
      <c r="K53" s="114">
        <f t="shared" si="4"/>
        <v>48019875.460000001</v>
      </c>
      <c r="L53" s="187">
        <f t="shared" si="5"/>
        <v>0.18261763993428839</v>
      </c>
      <c r="M53" s="184">
        <f t="shared" si="6"/>
        <v>201785574.34986019</v>
      </c>
      <c r="N53" s="184">
        <f t="shared" ca="1" si="7"/>
        <v>0</v>
      </c>
      <c r="O53" s="180">
        <f t="shared" si="8"/>
        <v>214933229.60301074</v>
      </c>
      <c r="P53" s="180">
        <f t="shared" ca="1" si="9"/>
        <v>0</v>
      </c>
      <c r="Q53" s="185">
        <f t="shared" si="10"/>
        <v>214933229.60301074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"/>
        <v>519605596.399562</v>
      </c>
      <c r="I54" s="114">
        <f t="shared" si="2"/>
        <v>46985541.356622003</v>
      </c>
      <c r="J54" s="114">
        <f t="shared" si="3"/>
        <v>154687892.139853</v>
      </c>
      <c r="K54" s="114">
        <f t="shared" si="4"/>
        <v>721279029.89603698</v>
      </c>
      <c r="L54" s="187">
        <f t="shared" si="5"/>
        <v>0.99257879716176289</v>
      </c>
      <c r="M54" s="184">
        <f t="shared" si="6"/>
        <v>-30940811.549464703</v>
      </c>
      <c r="N54" s="184">
        <f t="shared" ca="1" si="7"/>
        <v>0</v>
      </c>
      <c r="O54" s="180">
        <f t="shared" si="8"/>
        <v>5392778.8898285627</v>
      </c>
      <c r="P54" s="180">
        <f t="shared" ca="1" si="9"/>
        <v>0</v>
      </c>
      <c r="Q54" s="185">
        <f t="shared" si="10"/>
        <v>5392778.8898285627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"/>
        <v>5673423.4199980004</v>
      </c>
      <c r="I55" s="114">
        <f t="shared" si="2"/>
        <v>42317826.700000003</v>
      </c>
      <c r="J55" s="114">
        <f t="shared" si="3"/>
        <v>294873875.35879999</v>
      </c>
      <c r="K55" s="114">
        <f t="shared" si="4"/>
        <v>342865125.47879797</v>
      </c>
      <c r="L55" s="187">
        <f t="shared" si="5"/>
        <v>0.63824364763432151</v>
      </c>
      <c r="M55" s="184">
        <f t="shared" si="6"/>
        <v>167475824.11335337</v>
      </c>
      <c r="N55" s="184">
        <f t="shared" ca="1" si="7"/>
        <v>0</v>
      </c>
      <c r="O55" s="180">
        <f t="shared" si="8"/>
        <v>194335874.09188765</v>
      </c>
      <c r="P55" s="180">
        <f t="shared" ca="1" si="9"/>
        <v>0</v>
      </c>
      <c r="Q55" s="185">
        <f t="shared" si="10"/>
        <v>194335874.09188765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"/>
        <v>203254368.21468899</v>
      </c>
      <c r="I56" s="114">
        <f t="shared" si="2"/>
        <v>64276669.089911997</v>
      </c>
      <c r="J56" s="114">
        <f t="shared" si="3"/>
        <v>164086145.60814101</v>
      </c>
      <c r="K56" s="114">
        <f t="shared" si="4"/>
        <v>431617182.91274202</v>
      </c>
      <c r="L56" s="187">
        <f t="shared" si="5"/>
        <v>0.7507090953684914</v>
      </c>
      <c r="M56" s="184">
        <f t="shared" si="6"/>
        <v>114581506.16246545</v>
      </c>
      <c r="N56" s="184">
        <f t="shared" ca="1" si="7"/>
        <v>0</v>
      </c>
      <c r="O56" s="180">
        <f t="shared" si="8"/>
        <v>143328805.58747637</v>
      </c>
      <c r="P56" s="180">
        <f t="shared" ca="1" si="9"/>
        <v>0</v>
      </c>
      <c r="Q56" s="185">
        <f t="shared" si="10"/>
        <v>143328805.58747637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"/>
        <v>521089786.50765902</v>
      </c>
      <c r="I57" s="114">
        <f t="shared" si="2"/>
        <v>57488125.779923998</v>
      </c>
      <c r="J57" s="114">
        <f t="shared" si="3"/>
        <v>331550587.10936803</v>
      </c>
      <c r="K57" s="114">
        <f t="shared" si="4"/>
        <v>910128499.39695096</v>
      </c>
      <c r="L57" s="187">
        <f t="shared" si="5"/>
        <v>0.82053874346488742</v>
      </c>
      <c r="M57" s="184">
        <f t="shared" si="6"/>
        <v>143596362.85155833</v>
      </c>
      <c r="N57" s="184">
        <f t="shared" ca="1" si="7"/>
        <v>0</v>
      </c>
      <c r="O57" s="180">
        <f t="shared" si="8"/>
        <v>199055566.1277957</v>
      </c>
      <c r="P57" s="180">
        <f t="shared" ca="1" si="9"/>
        <v>0</v>
      </c>
      <c r="Q57" s="185">
        <f t="shared" si="10"/>
        <v>199055566.1277957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"/>
        <v>282011574.08168399</v>
      </c>
      <c r="I58" s="114">
        <f t="shared" si="2"/>
        <v>74809273.259940997</v>
      </c>
      <c r="J58" s="114">
        <f t="shared" si="3"/>
        <v>193650083.903642</v>
      </c>
      <c r="K58" s="114">
        <f t="shared" si="4"/>
        <v>550470931.24526691</v>
      </c>
      <c r="L58" s="187">
        <f t="shared" si="5"/>
        <v>0.89568510501588627</v>
      </c>
      <c r="M58" s="184">
        <f t="shared" si="6"/>
        <v>33380895.422910452</v>
      </c>
      <c r="N58" s="184">
        <f t="shared" ca="1" si="7"/>
        <v>0</v>
      </c>
      <c r="O58" s="180">
        <f t="shared" si="8"/>
        <v>64109938.93176198</v>
      </c>
      <c r="P58" s="180">
        <f t="shared" ca="1" si="9"/>
        <v>0</v>
      </c>
      <c r="Q58" s="185">
        <f t="shared" si="10"/>
        <v>64109938.93176198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"/>
        <v>228406676.46000001</v>
      </c>
      <c r="I59" s="114">
        <f t="shared" si="2"/>
        <v>0</v>
      </c>
      <c r="J59" s="114">
        <f t="shared" si="3"/>
        <v>0</v>
      </c>
      <c r="K59" s="114">
        <f t="shared" si="4"/>
        <v>228406676.46000001</v>
      </c>
      <c r="L59" s="187">
        <f t="shared" si="5"/>
        <v>0.51460711196965869</v>
      </c>
      <c r="M59" s="184">
        <f t="shared" si="6"/>
        <v>193247703.33759901</v>
      </c>
      <c r="N59" s="184">
        <f t="shared" ca="1" si="7"/>
        <v>0</v>
      </c>
      <c r="O59" s="180">
        <f t="shared" si="8"/>
        <v>215440039.11642</v>
      </c>
      <c r="P59" s="180">
        <f t="shared" ca="1" si="9"/>
        <v>0</v>
      </c>
      <c r="Q59" s="185">
        <f t="shared" si="10"/>
        <v>215440039.11642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"/>
        <v>350127609.35823399</v>
      </c>
      <c r="I60" s="114">
        <f t="shared" si="2"/>
        <v>90343081.166443005</v>
      </c>
      <c r="J60" s="114">
        <f t="shared" si="3"/>
        <v>104230158.082516</v>
      </c>
      <c r="K60" s="114">
        <f t="shared" si="4"/>
        <v>544700848.60719299</v>
      </c>
      <c r="L60" s="187">
        <f t="shared" si="5"/>
        <v>0.94045894204459746</v>
      </c>
      <c r="M60" s="184">
        <f t="shared" si="6"/>
        <v>5526049.1793714762</v>
      </c>
      <c r="N60" s="184">
        <f t="shared" ca="1" si="7"/>
        <v>0</v>
      </c>
      <c r="O60" s="180">
        <f t="shared" si="8"/>
        <v>34485359.589190722</v>
      </c>
      <c r="P60" s="180">
        <f t="shared" ca="1" si="9"/>
        <v>0</v>
      </c>
      <c r="Q60" s="185">
        <f t="shared" si="10"/>
        <v>34485359.589190722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"/>
        <v>473358692.59722602</v>
      </c>
      <c r="I61" s="114">
        <f t="shared" si="2"/>
        <v>68355376.974876001</v>
      </c>
      <c r="J61" s="114">
        <f t="shared" si="3"/>
        <v>214221011.39987901</v>
      </c>
      <c r="K61" s="114">
        <f t="shared" si="4"/>
        <v>755935080.97198105</v>
      </c>
      <c r="L61" s="187">
        <f t="shared" si="5"/>
        <v>1.0549018624433946</v>
      </c>
      <c r="M61" s="184">
        <f t="shared" si="6"/>
        <v>-75171919.49645865</v>
      </c>
      <c r="N61" s="184">
        <f t="shared" ca="1" si="7"/>
        <v>0</v>
      </c>
      <c r="O61" s="180">
        <f t="shared" si="8"/>
        <v>-39342279.41879952</v>
      </c>
      <c r="P61" s="180">
        <f t="shared" ca="1" si="9"/>
        <v>0</v>
      </c>
      <c r="Q61" s="185">
        <f t="shared" si="10"/>
        <v>-39342279.41879952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"/>
        <v>144740163.23579499</v>
      </c>
      <c r="I62" s="114">
        <f t="shared" si="2"/>
        <v>42947490.453594998</v>
      </c>
      <c r="J62" s="114">
        <f t="shared" si="3"/>
        <v>203025937.43701801</v>
      </c>
      <c r="K62" s="114">
        <f t="shared" si="4"/>
        <v>390713591.12640798</v>
      </c>
      <c r="L62" s="187">
        <f t="shared" si="5"/>
        <v>0.81906612504445342</v>
      </c>
      <c r="M62" s="184">
        <f t="shared" si="6"/>
        <v>62458503.55635345</v>
      </c>
      <c r="N62" s="184">
        <f t="shared" ca="1" si="7"/>
        <v>0</v>
      </c>
      <c r="O62" s="180">
        <f t="shared" si="8"/>
        <v>86309666.434393525</v>
      </c>
      <c r="P62" s="180">
        <f t="shared" ca="1" si="9"/>
        <v>0</v>
      </c>
      <c r="Q62" s="185">
        <f t="shared" si="10"/>
        <v>86309666.434393525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"/>
        <v>547959392.77456105</v>
      </c>
      <c r="I63" s="114">
        <f t="shared" si="2"/>
        <v>290879574.89086801</v>
      </c>
      <c r="J63" s="114">
        <f t="shared" si="3"/>
        <v>286513427.54513299</v>
      </c>
      <c r="K63" s="114">
        <f t="shared" si="4"/>
        <v>1125352395.2105622</v>
      </c>
      <c r="L63" s="187">
        <f t="shared" si="5"/>
        <v>1.149522253217544</v>
      </c>
      <c r="M63" s="184">
        <f t="shared" si="6"/>
        <v>-195327097.7814461</v>
      </c>
      <c r="N63" s="184">
        <f t="shared" ca="1" si="7"/>
        <v>0</v>
      </c>
      <c r="O63" s="180">
        <f t="shared" si="8"/>
        <v>-146378397.91675568</v>
      </c>
      <c r="P63" s="180">
        <f t="shared" ca="1" si="9"/>
        <v>0</v>
      </c>
      <c r="Q63" s="185">
        <f t="shared" si="10"/>
        <v>-146378397.91675568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"/>
        <v>124884923.01588099</v>
      </c>
      <c r="I64" s="114">
        <f t="shared" si="2"/>
        <v>172555978.428067</v>
      </c>
      <c r="J64" s="114">
        <f t="shared" si="3"/>
        <v>175918032.83874199</v>
      </c>
      <c r="K64" s="114">
        <f t="shared" si="4"/>
        <v>473358934.28268993</v>
      </c>
      <c r="L64" s="187">
        <f t="shared" si="5"/>
        <v>0.88162843750952713</v>
      </c>
      <c r="M64" s="184">
        <f t="shared" si="6"/>
        <v>36709671.079981267</v>
      </c>
      <c r="N64" s="184">
        <f t="shared" ca="1" si="7"/>
        <v>0</v>
      </c>
      <c r="O64" s="180">
        <f t="shared" si="8"/>
        <v>63555387.151700854</v>
      </c>
      <c r="P64" s="180">
        <f t="shared" ca="1" si="9"/>
        <v>0</v>
      </c>
      <c r="Q64" s="185">
        <f t="shared" si="10"/>
        <v>63555387.151700854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3960822251.5807762</v>
      </c>
      <c r="I65" s="135">
        <f t="shared" si="12"/>
        <v>1100833973.6632581</v>
      </c>
      <c r="J65" s="135">
        <f t="shared" si="12"/>
        <v>2683504280.2418637</v>
      </c>
      <c r="K65" s="135">
        <f t="shared" si="12"/>
        <v>7745160505.4858971</v>
      </c>
      <c r="L65" s="189">
        <f t="shared" si="5"/>
        <v>0.87437239059418148</v>
      </c>
      <c r="M65" s="181">
        <f>SUM(M51:M64)</f>
        <v>669906758.03042293</v>
      </c>
      <c r="N65" s="181">
        <f t="shared" ca="1" si="7"/>
        <v>0</v>
      </c>
      <c r="O65" s="181">
        <f>SUM(O51:O64)</f>
        <v>1112805035.0575981</v>
      </c>
      <c r="P65" s="181">
        <f t="shared" ca="1" si="9"/>
        <v>0</v>
      </c>
      <c r="Q65" s="186">
        <f>SUM(Q51:Q64)</f>
        <v>1112805035.0575981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5" t="s">
        <v>144</v>
      </c>
      <c r="C67" s="296"/>
      <c r="D67" s="296"/>
      <c r="E67" s="296"/>
      <c r="F67" s="298"/>
      <c r="G67" s="265" t="s">
        <v>185</v>
      </c>
      <c r="H67" s="266"/>
      <c r="I67" s="266"/>
      <c r="J67" s="266"/>
      <c r="K67" s="266"/>
      <c r="L67" s="267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95%</v>
      </c>
      <c r="H68" s="232" t="str">
        <f>"PER HARI"&amp;CHAR(10)&amp;TEXT($H$40,"0%")</f>
        <v>PER HARI
95%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280535172.19189399</v>
      </c>
      <c r="F69" s="187">
        <f t="shared" ref="F69:F74" si="13">IFERROR(E69/D69,0)</f>
        <v>1.0947393484047068</v>
      </c>
      <c r="G69" s="184">
        <f>D69*$H$40-E69</f>
        <v>-37090544.052177608</v>
      </c>
      <c r="H69" s="184">
        <f t="shared" ref="H69:H74" ca="1" si="14">IFERROR(G69/$C$3,0)</f>
        <v>0</v>
      </c>
      <c r="I69" s="204">
        <f>D69*$J$40-E69</f>
        <v>-24277668.886929363</v>
      </c>
      <c r="J69" s="204">
        <f t="shared" ref="J69:J74" ca="1" si="15">IFERROR(I69/$C$3,0)</f>
        <v>0</v>
      </c>
      <c r="K69" s="185">
        <f>D69*$L$40-E69</f>
        <v>-24277668.886929363</v>
      </c>
      <c r="L69" s="185">
        <f t="shared" ref="L69:L74" ca="1" si="16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TARGETS!L23</f>
        <v>399558412.3049646</v>
      </c>
      <c r="E70" s="114">
        <f>IFERROR($C$32,0)</f>
        <v>473492851.69265503</v>
      </c>
      <c r="F70" s="187">
        <f t="shared" si="13"/>
        <v>1.1850403773535361</v>
      </c>
      <c r="G70" s="184">
        <f>D70*$H$40-E70</f>
        <v>-93912360.002938688</v>
      </c>
      <c r="H70" s="184">
        <f t="shared" ca="1" si="14"/>
        <v>0</v>
      </c>
      <c r="I70" s="204">
        <f>D70*$J$40-E70</f>
        <v>-73934439.387690425</v>
      </c>
      <c r="J70" s="204">
        <f t="shared" ca="1" si="15"/>
        <v>0</v>
      </c>
      <c r="K70" s="185">
        <f>D70*$L$40-E70</f>
        <v>-73934439.387690425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1048400865.610592</v>
      </c>
      <c r="F71" s="187">
        <f t="shared" si="13"/>
        <v>0.96661586791224652</v>
      </c>
      <c r="G71" s="184">
        <f>D71*$H$40-E71</f>
        <v>-18021730.120875716</v>
      </c>
      <c r="H71" s="184">
        <f t="shared" ca="1" si="14"/>
        <v>0</v>
      </c>
      <c r="I71" s="204">
        <f>D71*$J$40-E71</f>
        <v>36208750.694372535</v>
      </c>
      <c r="J71" s="204">
        <f t="shared" ca="1" si="15"/>
        <v>0</v>
      </c>
      <c r="K71" s="185">
        <f>D71*$L$40-E71</f>
        <v>36208750.694372535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1802428889.495141</v>
      </c>
      <c r="F74" s="177">
        <f t="shared" si="13"/>
        <v>1.0356254010546653</v>
      </c>
      <c r="G74" s="181">
        <f>SUM(G69:G73)</f>
        <v>-149024634.17599201</v>
      </c>
      <c r="H74" s="181">
        <f t="shared" ca="1" si="14"/>
        <v>0</v>
      </c>
      <c r="I74" s="186">
        <f>SUM(I69:I73)</f>
        <v>-62003357.580247253</v>
      </c>
      <c r="J74" s="186">
        <f t="shared" ca="1" si="15"/>
        <v>0</v>
      </c>
      <c r="K74" s="186">
        <f>SUM(K69:K73)</f>
        <v>-62003357.580247253</v>
      </c>
      <c r="L74" s="186">
        <f t="shared" ca="1" si="16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4" t="s">
        <v>170</v>
      </c>
      <c r="C77" s="255"/>
      <c r="D77" s="256"/>
    </row>
    <row r="78" spans="2:21" ht="17.100000000000001" customHeight="1" x14ac:dyDescent="0.25">
      <c r="B78" s="264" t="s">
        <v>41</v>
      </c>
      <c r="C78" s="264" t="s">
        <v>42</v>
      </c>
      <c r="D78" s="231" t="s">
        <v>138</v>
      </c>
    </row>
    <row r="79" spans="2:21" ht="17.100000000000001" customHeight="1" x14ac:dyDescent="0.25">
      <c r="B79" s="263"/>
      <c r="C79" s="263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 t="shared" ref="D80:D93" si="17">SUMIF($B$10:$B$26,$T80,$F$10:$F$26)+SUMIF($B$10:$B$26,$U80,$F$10:$F$26)</f>
        <v>440958537.05983001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si="17"/>
        <v>165743664.72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7"/>
        <v>9945945.6799999997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7"/>
        <v>435182498.96969998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7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7"/>
        <v>65793423.229999997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7"/>
        <v>1085995754.9499691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7"/>
        <v>347098526.07937998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7"/>
        <v>13579549.18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7"/>
        <v>50324325.43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7"/>
        <v>637076364.45931995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7"/>
        <v>167020820.35991901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7"/>
        <v>21926703.130399998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7"/>
        <v>160288111.498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3600934224.7465181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B48:L48"/>
    <mergeCell ref="G67:L67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45" right="0.45" top="0.5" bottom="0.5" header="0.3" footer="0.3"/>
  <pageSetup paperSize="9" scale="40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7"/>
  <sheetViews>
    <sheetView showGridLines="0" tabSelected="1" topLeftCell="B31" zoomScale="80" zoomScaleNormal="80" workbookViewId="0">
      <selection activeCell="B49" sqref="B49:L4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8" bestFit="1" customWidth="1"/>
    <col min="4" max="5" width="16.42578125" customWidth="1"/>
    <col min="6" max="6" width="18" bestFit="1" customWidth="1"/>
    <col min="7" max="7" width="18.42578125" customWidth="1"/>
    <col min="8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4</v>
      </c>
      <c r="D3" s="76" t="s">
        <v>104</v>
      </c>
      <c r="E3" s="77">
        <f ca="1">DAY(EOMONTH(DATE(YEAR(TODAY()),10,1),0))</f>
        <v>31</v>
      </c>
      <c r="G3" s="221" t="s">
        <v>192</v>
      </c>
      <c r="H3" s="111"/>
      <c r="I3" s="111"/>
      <c r="J3" s="218">
        <v>1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239">
        <v>171316651.59438899</v>
      </c>
      <c r="D10" s="239">
        <v>41549942.957996003</v>
      </c>
      <c r="E10" s="239">
        <v>184495573.87596899</v>
      </c>
      <c r="F10" s="239">
        <v>148353153.86992401</v>
      </c>
      <c r="G10" s="239">
        <v>548576822.29827797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181</v>
      </c>
      <c r="C11" s="239">
        <v>3670270.2599940002</v>
      </c>
      <c r="D11" s="239">
        <v>37900456</v>
      </c>
      <c r="E11" s="239">
        <v>327900908.15999299</v>
      </c>
      <c r="F11" s="239">
        <v>0</v>
      </c>
      <c r="G11" s="239">
        <v>369471634.41998702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70</v>
      </c>
      <c r="C12" s="239">
        <v>158944217.78035501</v>
      </c>
      <c r="D12" s="239">
        <v>53497043.833391003</v>
      </c>
      <c r="E12" s="239">
        <v>150874766.33964401</v>
      </c>
      <c r="F12" s="239">
        <v>113524323.14</v>
      </c>
      <c r="G12" s="239">
        <v>488422851.09338999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114</v>
      </c>
      <c r="C13" s="239">
        <v>23252383.985427</v>
      </c>
      <c r="D13" s="239">
        <v>43140398.209784999</v>
      </c>
      <c r="E13" s="239">
        <v>229103417.70927101</v>
      </c>
      <c r="F13" s="239">
        <v>81690093.120000005</v>
      </c>
      <c r="G13" s="239">
        <v>379126293.02448303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115</v>
      </c>
      <c r="C14" s="239">
        <v>419865439.78977197</v>
      </c>
      <c r="D14" s="239">
        <v>34283176.423908003</v>
      </c>
      <c r="E14" s="239">
        <v>148185384.67353901</v>
      </c>
      <c r="F14" s="239">
        <v>291657304.89972502</v>
      </c>
      <c r="G14" s="239">
        <v>892005305.78694403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72" t="s">
        <v>118</v>
      </c>
      <c r="C15" s="239">
        <v>1298227317.3213639</v>
      </c>
      <c r="D15" s="239">
        <v>8319680.3199990001</v>
      </c>
      <c r="E15" s="239">
        <v>27639768.429908</v>
      </c>
      <c r="F15" s="239">
        <v>14532973.249</v>
      </c>
      <c r="G15" s="239">
        <v>1348719739.320271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120</v>
      </c>
      <c r="C16" s="239">
        <v>471117930.44920301</v>
      </c>
      <c r="D16" s="239">
        <v>66676712.979721002</v>
      </c>
      <c r="E16" s="239">
        <v>323509821.889386</v>
      </c>
      <c r="F16" s="239">
        <v>1054844138.519753</v>
      </c>
      <c r="G16" s="239">
        <v>2074988603.838063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122</v>
      </c>
      <c r="C17" s="239">
        <v>134860876.83959699</v>
      </c>
      <c r="D17" s="239">
        <v>22741585.966366</v>
      </c>
      <c r="E17" s="239">
        <v>94920274.598342001</v>
      </c>
      <c r="F17" s="239">
        <v>32257298.094999999</v>
      </c>
      <c r="G17" s="239">
        <v>284780035.49930501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9">
        <v>17516335.959989998</v>
      </c>
      <c r="D18" s="239">
        <v>80792644.149669006</v>
      </c>
      <c r="E18" s="239">
        <v>48654005</v>
      </c>
      <c r="F18" s="239">
        <v>121156759.34</v>
      </c>
      <c r="G18" s="239">
        <v>268119744.44965899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239">
        <v>19430536.16</v>
      </c>
      <c r="D19" s="239">
        <v>0</v>
      </c>
      <c r="E19" s="239">
        <v>0</v>
      </c>
      <c r="F19" s="239">
        <v>13405405.039999999</v>
      </c>
      <c r="G19" s="239">
        <v>36035941.200000003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239">
        <v>143859574.81999999</v>
      </c>
      <c r="D20" s="239">
        <v>0</v>
      </c>
      <c r="E20" s="239">
        <v>0</v>
      </c>
      <c r="F20" s="239">
        <v>11405405.1</v>
      </c>
      <c r="G20" s="239">
        <v>155264979.91999999</v>
      </c>
      <c r="H20" s="111"/>
      <c r="I20" s="111"/>
      <c r="J20" s="111"/>
      <c r="M20" s="14">
        <f>SUM(C31,C36)+M7</f>
        <v>0</v>
      </c>
      <c r="N20" s="10" t="s">
        <v>222</v>
      </c>
    </row>
    <row r="21" spans="2:15" ht="15" customHeight="1" x14ac:dyDescent="0.25">
      <c r="B21" s="72" t="s">
        <v>124</v>
      </c>
      <c r="C21" s="239">
        <v>248369983.839964</v>
      </c>
      <c r="D21" s="239">
        <v>38941211.668449</v>
      </c>
      <c r="E21" s="239">
        <v>129473475.099739</v>
      </c>
      <c r="F21" s="239">
        <v>376900545.80984002</v>
      </c>
      <c r="G21" s="239">
        <v>836139216.417992</v>
      </c>
      <c r="H21" s="111"/>
      <c r="I21" s="111"/>
      <c r="J21" s="111"/>
      <c r="M21" s="14">
        <f>SUM(C34,C35)+M20</f>
        <v>676758949.17410302</v>
      </c>
      <c r="N21" s="10" t="s">
        <v>223</v>
      </c>
    </row>
    <row r="22" spans="2:15" ht="15" customHeight="1" x14ac:dyDescent="0.25">
      <c r="B22" s="72" t="s">
        <v>224</v>
      </c>
      <c r="C22" s="239">
        <v>182364493.99181801</v>
      </c>
      <c r="D22" s="239">
        <v>54912965.479585998</v>
      </c>
      <c r="E22" s="239">
        <v>132159523.59992</v>
      </c>
      <c r="F22" s="239">
        <v>92181441.949977994</v>
      </c>
      <c r="G22" s="239">
        <v>477598425.02130198</v>
      </c>
      <c r="H22" s="111"/>
      <c r="I22" s="111"/>
      <c r="J22" s="111"/>
    </row>
    <row r="23" spans="2:15" ht="15" customHeight="1" x14ac:dyDescent="0.25">
      <c r="B23" s="72" t="s">
        <v>125</v>
      </c>
      <c r="C23" s="239">
        <v>273333351.84476799</v>
      </c>
      <c r="D23" s="239">
        <v>56799596.619923003</v>
      </c>
      <c r="E23" s="239">
        <v>163883364.29021099</v>
      </c>
      <c r="F23" s="239">
        <v>285996403.61949098</v>
      </c>
      <c r="G23" s="239">
        <v>785047216.37439299</v>
      </c>
      <c r="H23" s="111"/>
      <c r="I23" s="111"/>
      <c r="J23" s="111"/>
    </row>
    <row r="24" spans="2:15" ht="15" customHeight="1" x14ac:dyDescent="0.25">
      <c r="B24" s="72" t="s">
        <v>126</v>
      </c>
      <c r="C24" s="239">
        <v>413800457.799923</v>
      </c>
      <c r="D24" s="239">
        <v>59627707.194859996</v>
      </c>
      <c r="E24" s="239">
        <v>192524533.00990501</v>
      </c>
      <c r="F24" s="239">
        <v>619695147.38927102</v>
      </c>
      <c r="G24" s="239">
        <v>1313316845.393959</v>
      </c>
      <c r="H24" s="111"/>
      <c r="I24" s="111"/>
      <c r="J24" s="111"/>
    </row>
    <row r="25" spans="2:15" ht="15" customHeight="1" x14ac:dyDescent="0.25">
      <c r="B25" s="72" t="s">
        <v>219</v>
      </c>
      <c r="C25" s="239">
        <v>271675679.51267701</v>
      </c>
      <c r="D25" s="239">
        <v>82835933.522992</v>
      </c>
      <c r="E25" s="239">
        <v>97668015.109533995</v>
      </c>
      <c r="F25" s="239">
        <v>56089891.289999999</v>
      </c>
      <c r="G25" s="239">
        <v>509629519.43520302</v>
      </c>
      <c r="H25" s="111"/>
      <c r="I25" s="111"/>
      <c r="J25" s="111"/>
    </row>
    <row r="26" spans="2:15" ht="15" customHeight="1" x14ac:dyDescent="0.25">
      <c r="B26" s="237" t="s">
        <v>127</v>
      </c>
      <c r="C26" s="239">
        <v>441972508.15350801</v>
      </c>
      <c r="D26" s="239">
        <v>165339203.756598</v>
      </c>
      <c r="E26" s="239">
        <v>208625217.947301</v>
      </c>
      <c r="F26" s="239">
        <v>19107676.0658</v>
      </c>
      <c r="G26" s="239">
        <v>835044605.92320704</v>
      </c>
      <c r="H26" s="111"/>
      <c r="I26" s="111"/>
      <c r="J26" s="111"/>
    </row>
    <row r="27" spans="2:15" ht="15" customHeight="1" x14ac:dyDescent="0.25">
      <c r="B27" s="238" t="s">
        <v>228</v>
      </c>
      <c r="C27" s="239">
        <v>0</v>
      </c>
      <c r="D27" s="239">
        <v>0</v>
      </c>
      <c r="E27" s="239">
        <v>0</v>
      </c>
      <c r="F27" s="239">
        <v>2918919.05</v>
      </c>
      <c r="G27" s="239">
        <v>4418919.05</v>
      </c>
      <c r="H27" s="111"/>
      <c r="I27" s="111"/>
      <c r="J27" s="111"/>
    </row>
    <row r="28" spans="2:15" ht="15" customHeight="1" x14ac:dyDescent="0.25">
      <c r="G28" s="111"/>
      <c r="H28" s="111"/>
      <c r="I28" s="111"/>
    </row>
    <row r="29" spans="2:15" ht="15" customHeight="1" x14ac:dyDescent="0.25">
      <c r="B29" s="79" t="s">
        <v>128</v>
      </c>
      <c r="C29" s="79"/>
      <c r="G29" s="111"/>
      <c r="H29" s="111"/>
      <c r="I29" s="111"/>
    </row>
    <row r="30" spans="2:15" ht="15" customHeight="1" x14ac:dyDescent="0.25">
      <c r="B30" s="80" t="s">
        <v>129</v>
      </c>
      <c r="C30" s="80" t="s">
        <v>130</v>
      </c>
      <c r="G30" s="111"/>
      <c r="H30" s="111"/>
      <c r="I30" s="111"/>
    </row>
    <row r="31" spans="2:15" ht="15" customHeight="1" x14ac:dyDescent="0.25">
      <c r="B31" s="73"/>
      <c r="C31" s="235"/>
      <c r="G31" s="111"/>
      <c r="H31" s="111"/>
      <c r="I31" s="111"/>
    </row>
    <row r="32" spans="2:15" ht="15" customHeight="1" x14ac:dyDescent="0.25">
      <c r="B32" s="81" t="s">
        <v>131</v>
      </c>
      <c r="C32" s="171">
        <v>212090343.169047</v>
      </c>
      <c r="G32" s="111"/>
      <c r="H32" s="111"/>
      <c r="I32" s="111"/>
    </row>
    <row r="33" spans="2:19" ht="15" customHeight="1" x14ac:dyDescent="0.25">
      <c r="B33" s="81" t="s">
        <v>132</v>
      </c>
      <c r="C33" s="239">
        <v>390665813.657673</v>
      </c>
      <c r="G33" s="111"/>
      <c r="H33" s="111"/>
      <c r="I33" s="111"/>
    </row>
    <row r="34" spans="2:19" ht="15" customHeight="1" x14ac:dyDescent="0.25">
      <c r="B34" s="81" t="s">
        <v>133</v>
      </c>
      <c r="C34" s="239">
        <v>133573054.66459399</v>
      </c>
      <c r="G34" s="111"/>
      <c r="H34" s="111"/>
      <c r="I34" s="111"/>
    </row>
    <row r="35" spans="2:19" ht="15" customHeight="1" x14ac:dyDescent="0.25">
      <c r="B35" s="81" t="s">
        <v>134</v>
      </c>
      <c r="C35" s="239">
        <v>543185894.50950897</v>
      </c>
      <c r="G35" s="111"/>
      <c r="H35" s="111"/>
      <c r="I35" s="111"/>
    </row>
    <row r="36" spans="2:19" ht="15" customHeight="1" x14ac:dyDescent="0.25">
      <c r="B36" s="81" t="s">
        <v>135</v>
      </c>
      <c r="C36" s="236">
        <v>0</v>
      </c>
      <c r="G36" s="111"/>
      <c r="H36" s="111"/>
      <c r="I36" s="111"/>
    </row>
    <row r="37" spans="2:19" ht="15" customHeight="1" x14ac:dyDescent="0.25">
      <c r="B37" s="81"/>
      <c r="C37" s="82"/>
      <c r="G37" s="111"/>
      <c r="H37" s="111"/>
      <c r="I37" s="111"/>
    </row>
    <row r="38" spans="2:19" ht="15" customHeight="1" x14ac:dyDescent="0.25">
      <c r="B38" s="73"/>
      <c r="C38" s="82"/>
      <c r="G38" s="111"/>
      <c r="H38" s="111"/>
      <c r="I38" s="111"/>
    </row>
    <row r="39" spans="2:19" ht="15" customHeight="1" x14ac:dyDescent="0.25">
      <c r="G39" s="111"/>
      <c r="H39" s="111"/>
      <c r="I39" s="111"/>
    </row>
    <row r="40" spans="2:19" ht="15" customHeight="1" x14ac:dyDescent="0.25">
      <c r="G40" s="111"/>
      <c r="H40" s="111"/>
      <c r="I40" s="111"/>
      <c r="S40" s="172" t="s">
        <v>184</v>
      </c>
    </row>
    <row r="41" spans="2:19" ht="20.100000000000001" customHeight="1" x14ac:dyDescent="0.25">
      <c r="B41" s="274" t="s">
        <v>230</v>
      </c>
      <c r="C41" s="275"/>
      <c r="D41" s="276"/>
      <c r="E41" s="66" t="s">
        <v>137</v>
      </c>
      <c r="F41" s="174">
        <f ca="1">IF(MONTH(TODAY())=10,DAY(TODAY())/DAY(EOMONTH(TODAY(),0)),IF(MONTH(TODAY())&gt;10,1,0))</f>
        <v>0.87096774193548387</v>
      </c>
      <c r="G41" s="192" t="s">
        <v>186</v>
      </c>
      <c r="H41" s="198">
        <v>1</v>
      </c>
      <c r="I41" s="201" t="s">
        <v>186</v>
      </c>
      <c r="J41" s="199">
        <v>1</v>
      </c>
      <c r="K41" s="194" t="s">
        <v>187</v>
      </c>
      <c r="L41" s="200">
        <v>1</v>
      </c>
      <c r="S41" s="173">
        <v>0.7</v>
      </c>
    </row>
    <row r="42" spans="2:19" ht="30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100%</v>
      </c>
      <c r="H42" s="182" t="str">
        <f>"PER HARI"&amp;CHAR(10)&amp;TEXT($H$41,"0%")</f>
        <v>PER HARI
100%</v>
      </c>
      <c r="I42" s="202" t="str">
        <f>"SELISIH"&amp;CHAR(10)&amp;TEXT($J$41,"0%")</f>
        <v>SELISIH
100%</v>
      </c>
      <c r="J42" s="203" t="str">
        <f>"PER HARI"&amp;CHAR(10)&amp;TEXT($J$41,"0%")</f>
        <v>PER HARI
100%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90">
        <v>0.75</v>
      </c>
    </row>
    <row r="43" spans="2:19" ht="15.95" customHeight="1" x14ac:dyDescent="0.25">
      <c r="B43" s="109" t="s">
        <v>142</v>
      </c>
      <c r="C43" s="41" t="s">
        <v>143</v>
      </c>
      <c r="D43" s="45">
        <f>SUM(TARGETS!AE5:AE18)</f>
        <v>4464586688.6595287</v>
      </c>
      <c r="E43" s="46">
        <f>H66</f>
        <v>3395350692.7813849</v>
      </c>
      <c r="F43" s="176">
        <f>IFERROR(E43/D43,0)</f>
        <v>0.76050728310548787</v>
      </c>
      <c r="G43" s="184">
        <f>D43*$H$41-E43</f>
        <v>1069235995.8781438</v>
      </c>
      <c r="H43" s="184">
        <f ca="1">IFERROR(G43/$C$3,0)</f>
        <v>267308998.96953595</v>
      </c>
      <c r="I43" s="204">
        <f>D43*$J$41-E43</f>
        <v>1069235995.8781438</v>
      </c>
      <c r="J43" s="204">
        <f ca="1">IFERROR(I43/$C$3,0)</f>
        <v>267308998.96953595</v>
      </c>
      <c r="K43" s="185">
        <f>D43*$L$41-E43</f>
        <v>1069235995.8781438</v>
      </c>
      <c r="L43" s="185">
        <f ca="1">IFERROR(K43/$C$3,0)</f>
        <v>267308998.96953595</v>
      </c>
      <c r="S43" s="173">
        <v>0.8</v>
      </c>
    </row>
    <row r="44" spans="2:19" ht="15.95" customHeight="1" x14ac:dyDescent="0.25">
      <c r="B44" s="109" t="s">
        <v>110</v>
      </c>
      <c r="C44" s="41" t="s">
        <v>143</v>
      </c>
      <c r="D44" s="45">
        <f>SUM(TARGETS!AF5:AF18)</f>
        <v>1279908063.1092303</v>
      </c>
      <c r="E44" s="46">
        <f>I66</f>
        <v>839038578.76324391</v>
      </c>
      <c r="F44" s="176">
        <f>IFERROR(E44/D44,0)</f>
        <v>0.65554597470462095</v>
      </c>
      <c r="G44" s="184">
        <f>D44*$H$41-E44</f>
        <v>440869484.34598637</v>
      </c>
      <c r="H44" s="184">
        <f ca="1">IFERROR(G44/$C$3,0)</f>
        <v>110217371.08649659</v>
      </c>
      <c r="I44" s="204">
        <f>D44*$J$41-E44</f>
        <v>440869484.34598637</v>
      </c>
      <c r="J44" s="204">
        <f ca="1">IFERROR(I44/$C$3,0)</f>
        <v>110217371.08649659</v>
      </c>
      <c r="K44" s="185">
        <f>D44*$L$41-E44</f>
        <v>440869484.34598637</v>
      </c>
      <c r="L44" s="185">
        <f ca="1">IFERROR(K44/$C$3,0)</f>
        <v>110217371.08649659</v>
      </c>
      <c r="S44" s="173">
        <v>0.85</v>
      </c>
    </row>
    <row r="45" spans="2:19" ht="15.95" customHeight="1" x14ac:dyDescent="0.25">
      <c r="B45" s="109" t="s">
        <v>207</v>
      </c>
      <c r="C45" s="41" t="s">
        <v>143</v>
      </c>
      <c r="D45" s="45">
        <f>SUM(TARGETS!AG5:AG18)</f>
        <v>2914007482.4702153</v>
      </c>
      <c r="E45" s="46">
        <f>J66</f>
        <v>2431978281.3027539</v>
      </c>
      <c r="F45" s="176">
        <f>IFERROR(E45/D45,0)</f>
        <v>0.8345820303938124</v>
      </c>
      <c r="G45" s="184">
        <f>IF(D45=0,0,D45*$H$41-E45)</f>
        <v>482029201.1674614</v>
      </c>
      <c r="H45" s="184">
        <f ca="1">IFERROR(G45/$C$3,0)</f>
        <v>120507300.29186535</v>
      </c>
      <c r="I45" s="204">
        <f>IF(D45=0,0,D45*$J$41-E45)</f>
        <v>482029201.1674614</v>
      </c>
      <c r="J45" s="204">
        <f ca="1">IFERROR(I45/$C$3,0)</f>
        <v>120507300.29186535</v>
      </c>
      <c r="K45" s="185">
        <f>IF(D45=0,0,D45*$L$41-E45)</f>
        <v>482029201.1674614</v>
      </c>
      <c r="L45" s="185">
        <f ca="1">IFERROR(K45/$C$3,0)</f>
        <v>120507300.29186535</v>
      </c>
      <c r="S45" s="173">
        <v>0.9</v>
      </c>
    </row>
    <row r="46" spans="2:19" ht="15.95" customHeight="1" x14ac:dyDescent="0.25">
      <c r="B46" s="109" t="s">
        <v>144</v>
      </c>
      <c r="C46" s="41" t="s">
        <v>143</v>
      </c>
      <c r="D46" s="45">
        <f>SUM(TARGETS!M22:M26)</f>
        <v>1779787234.0425532</v>
      </c>
      <c r="E46" s="46">
        <f>E75</f>
        <v>1279515106.000823</v>
      </c>
      <c r="F46" s="176">
        <f>IFERROR(E46/D46,0)</f>
        <v>0.71891464413674455</v>
      </c>
      <c r="G46" s="184">
        <f>D46*$H$41-E46</f>
        <v>500272128.04173017</v>
      </c>
      <c r="H46" s="184">
        <f ca="1">IFERROR(G46/$C$3,0)</f>
        <v>125068032.01043254</v>
      </c>
      <c r="I46" s="204">
        <f>D46*$J$41-E46</f>
        <v>500272128.04173017</v>
      </c>
      <c r="J46" s="204">
        <f ca="1">IFERROR(I46/$C$3,0)</f>
        <v>125068032.01043254</v>
      </c>
      <c r="K46" s="185">
        <f>D46*$L$41-E46</f>
        <v>500272128.04173017</v>
      </c>
      <c r="L46" s="185">
        <f ca="1">IFERROR(K46/$C$3,0)</f>
        <v>125068032.01043254</v>
      </c>
      <c r="S46" s="173">
        <v>0.95</v>
      </c>
    </row>
    <row r="47" spans="2:19" ht="15" customHeight="1" x14ac:dyDescent="0.25">
      <c r="B47" s="261" t="s">
        <v>145</v>
      </c>
      <c r="C47" s="262"/>
      <c r="D47" s="47">
        <f>SUM(D43:D46)</f>
        <v>10438289468.281527</v>
      </c>
      <c r="E47" s="47">
        <f>SUM(E43:E46)</f>
        <v>7945882658.8482065</v>
      </c>
      <c r="F47" s="177">
        <f>IFERROR(E47/D47,0)</f>
        <v>0.76122459364564365</v>
      </c>
      <c r="G47" s="181">
        <f>SUM(G43:G46)</f>
        <v>2492406809.433322</v>
      </c>
      <c r="H47" s="181">
        <f ca="1">IFERROR(G47/$C$3,0)</f>
        <v>623101702.35833049</v>
      </c>
      <c r="I47" s="186">
        <f>SUM(I43:I46)</f>
        <v>2492406809.433322</v>
      </c>
      <c r="J47" s="186">
        <f ca="1">IFERROR(I47/$C$3,0)</f>
        <v>623101702.35833049</v>
      </c>
      <c r="K47" s="186">
        <f>SUM(K43:K46)</f>
        <v>2492406809.433322</v>
      </c>
      <c r="L47" s="186">
        <f ca="1">IFERROR(K47/$C$3,0)</f>
        <v>623101702.35833049</v>
      </c>
      <c r="S47" s="173">
        <v>1</v>
      </c>
    </row>
    <row r="48" spans="2:19" ht="15" customHeight="1" x14ac:dyDescent="0.25">
      <c r="G48" s="111"/>
      <c r="H48" s="111"/>
      <c r="I48" s="111"/>
      <c r="S48" s="173"/>
    </row>
    <row r="49" spans="2:21" ht="18.95" customHeight="1" x14ac:dyDescent="0.25">
      <c r="B49" s="277" t="s">
        <v>212</v>
      </c>
      <c r="C49" s="278"/>
      <c r="D49" s="278"/>
      <c r="E49" s="278"/>
      <c r="F49" s="278"/>
      <c r="G49" s="278"/>
      <c r="H49" s="278"/>
      <c r="I49" s="278"/>
      <c r="J49" s="278"/>
      <c r="K49" s="278"/>
      <c r="L49" s="288"/>
      <c r="M49" s="265" t="s">
        <v>185</v>
      </c>
      <c r="N49" s="266"/>
      <c r="O49" s="266"/>
      <c r="P49" s="266"/>
      <c r="Q49" s="266"/>
      <c r="R49" s="267"/>
    </row>
    <row r="50" spans="2:21" ht="17.100000000000001" customHeight="1" x14ac:dyDescent="0.25">
      <c r="B50" s="289" t="s">
        <v>41</v>
      </c>
      <c r="C50" s="289" t="s">
        <v>42</v>
      </c>
      <c r="D50" s="258" t="s">
        <v>137</v>
      </c>
      <c r="E50" s="259"/>
      <c r="F50" s="259"/>
      <c r="G50" s="260"/>
      <c r="H50" s="290" t="s">
        <v>138</v>
      </c>
      <c r="I50" s="291"/>
      <c r="J50" s="291"/>
      <c r="K50" s="292"/>
      <c r="L50" s="293" t="s">
        <v>139</v>
      </c>
      <c r="M50" s="268" t="str">
        <f>"SELISIH"&amp;CHAR(10)&amp;TEXT($H$41,"0%")</f>
        <v>SELISIH
100%</v>
      </c>
      <c r="N50" s="268" t="str">
        <f>"PER HARI"&amp;CHAR(10)&amp;TEXT($H$41,"0%")</f>
        <v>PER HARI
100%</v>
      </c>
      <c r="O50" s="270" t="str">
        <f>"SELISIH"&amp;CHAR(10)&amp;TEXT($J$41,"0%")</f>
        <v>SELISIH
100%</v>
      </c>
      <c r="P50" s="270" t="str">
        <f>"PER HARI"&amp;CHAR(10)&amp;TEXT($J$41,"0%")</f>
        <v>PER HARI
100%</v>
      </c>
      <c r="Q50" s="272" t="str">
        <f>"SELISIH"&amp;CHAR(10)&amp;TEXT($L$41,"0%")</f>
        <v>SELISIH
100%</v>
      </c>
      <c r="R50" s="272" t="str">
        <f>"PER HARI"&amp;CHAR(10)&amp;TEXT($L$41,"0%")</f>
        <v>PER HARI
100%</v>
      </c>
    </row>
    <row r="51" spans="2:21" ht="17.100000000000001" customHeight="1" x14ac:dyDescent="0.25">
      <c r="B51" s="264"/>
      <c r="C51" s="264"/>
      <c r="D51" s="70" t="s">
        <v>149</v>
      </c>
      <c r="E51" s="70" t="s">
        <v>150</v>
      </c>
      <c r="F51" s="70" t="s">
        <v>209</v>
      </c>
      <c r="G51" s="70" t="s">
        <v>130</v>
      </c>
      <c r="H51" s="113" t="s">
        <v>149</v>
      </c>
      <c r="I51" s="113" t="s">
        <v>150</v>
      </c>
      <c r="J51" s="113" t="s">
        <v>209</v>
      </c>
      <c r="K51" s="113" t="s">
        <v>130</v>
      </c>
      <c r="L51" s="294"/>
      <c r="M51" s="269"/>
      <c r="N51" s="269"/>
      <c r="O51" s="271"/>
      <c r="P51" s="271"/>
      <c r="Q51" s="273"/>
      <c r="R51" s="273"/>
      <c r="T51" s="178" t="s">
        <v>215</v>
      </c>
      <c r="U51" s="178" t="s">
        <v>216</v>
      </c>
    </row>
    <row r="52" spans="2:21" ht="15.95" customHeight="1" x14ac:dyDescent="0.25">
      <c r="B52" s="50" t="s">
        <v>67</v>
      </c>
      <c r="C52" s="55" t="s">
        <v>68</v>
      </c>
      <c r="D52" s="118">
        <f>TARGETS!AE5</f>
        <v>264756949.64136907</v>
      </c>
      <c r="E52" s="118">
        <f>TARGETS!AF5</f>
        <v>58508748.413354225</v>
      </c>
      <c r="F52" s="118">
        <f>TARGETS!AG5</f>
        <v>172968793.98622558</v>
      </c>
      <c r="G52" s="118">
        <f t="shared" ref="G52:G65" si="0">SUM(D52:F52)</f>
        <v>496234492.04094887</v>
      </c>
      <c r="H52" s="114">
        <f>SUMIF($B$10:$B$26,$T52,C$10:C$26)+SUMIF($B$10:$B$26,$U52,C$10:C$26)</f>
        <v>248369983.839964</v>
      </c>
      <c r="I52" s="114">
        <f t="shared" ref="I52:I65" si="1">SUMIF($B$10:$B$26,$T52,D$10:D$26)+SUMIF($B$10:$B$26,$U52,D$10:D$26)</f>
        <v>38941211.668449</v>
      </c>
      <c r="J52" s="114">
        <f t="shared" ref="J52:J65" si="2">SUMIF($B$10:$B$26,$T52,E$10:E$26)+SUMIF($B$10:$B$26,$U52,E$10:E$26)</f>
        <v>129473475.099739</v>
      </c>
      <c r="K52" s="114">
        <f t="shared" ref="K52:K65" si="3">SUM(H52:J52)</f>
        <v>416784670.60815203</v>
      </c>
      <c r="L52" s="187">
        <f t="shared" ref="L52:L66" si="4">IFERROR(K52/G52,0)</f>
        <v>0.83989460082464262</v>
      </c>
      <c r="M52" s="184">
        <f t="shared" ref="M52:M65" si="5">G52*$H$41-K52</f>
        <v>79449821.432796836</v>
      </c>
      <c r="N52" s="184">
        <f t="shared" ref="N52:N66" ca="1" si="6">IFERROR(M52/$C$3,0)</f>
        <v>19862455.358199209</v>
      </c>
      <c r="O52" s="180">
        <f t="shared" ref="O52:O65" si="7">G52*$J$41-K52</f>
        <v>79449821.432796836</v>
      </c>
      <c r="P52" s="180">
        <f t="shared" ref="P52:P66" ca="1" si="8">IFERROR(O52/$C$3,0)</f>
        <v>19862455.358199209</v>
      </c>
      <c r="Q52" s="185">
        <f t="shared" ref="Q52:Q65" si="9">G52*$L$41-K52</f>
        <v>79449821.432796836</v>
      </c>
      <c r="R52" s="185">
        <f t="shared" ref="R52:R66" ca="1" si="10">IFERROR(Q52/$C$3,0)</f>
        <v>19862455.358199209</v>
      </c>
      <c r="T52" t="s">
        <v>124</v>
      </c>
      <c r="U52" t="s">
        <v>217</v>
      </c>
    </row>
    <row r="53" spans="2:21" ht="15.95" customHeight="1" x14ac:dyDescent="0.25">
      <c r="B53" s="53" t="s">
        <v>69</v>
      </c>
      <c r="C53" s="56" t="s">
        <v>70</v>
      </c>
      <c r="D53" s="119">
        <f>TARGETS!AE6</f>
        <v>180052976.96171179</v>
      </c>
      <c r="E53" s="119">
        <f>TARGETS!AF6</f>
        <v>163445127.22039506</v>
      </c>
      <c r="F53" s="119">
        <f>TARGETS!AG6</f>
        <v>423892749.39216906</v>
      </c>
      <c r="G53" s="119">
        <f t="shared" si="0"/>
        <v>767390853.57427597</v>
      </c>
      <c r="H53" s="114">
        <f t="shared" ref="H53:H65" si="11">SUMIF($B$10:$B$26,$T53,C$10:C$26)+SUMIF($B$10:$B$26,$U53,C$10:C$26)</f>
        <v>182196601.765782</v>
      </c>
      <c r="I53" s="114">
        <f t="shared" si="1"/>
        <v>96637442.043175995</v>
      </c>
      <c r="J53" s="114">
        <f t="shared" si="2"/>
        <v>379978184.04891503</v>
      </c>
      <c r="K53" s="114">
        <f t="shared" si="3"/>
        <v>658812227.85787296</v>
      </c>
      <c r="L53" s="187">
        <f t="shared" si="4"/>
        <v>0.85850935646329851</v>
      </c>
      <c r="M53" s="184">
        <f t="shared" si="5"/>
        <v>108578625.71640301</v>
      </c>
      <c r="N53" s="184">
        <f t="shared" ca="1" si="6"/>
        <v>27144656.429100752</v>
      </c>
      <c r="O53" s="180">
        <f t="shared" si="7"/>
        <v>108578625.71640301</v>
      </c>
      <c r="P53" s="180">
        <f t="shared" ca="1" si="8"/>
        <v>27144656.429100752</v>
      </c>
      <c r="Q53" s="185">
        <f t="shared" si="9"/>
        <v>108578625.71640301</v>
      </c>
      <c r="R53" s="185">
        <f t="shared" ca="1" si="10"/>
        <v>27144656.429100752</v>
      </c>
      <c r="T53" t="s">
        <v>70</v>
      </c>
      <c r="U53" t="s">
        <v>114</v>
      </c>
    </row>
    <row r="54" spans="2:21" ht="15.95" customHeight="1" x14ac:dyDescent="0.25">
      <c r="B54" s="136" t="s">
        <v>171</v>
      </c>
      <c r="C54" s="137" t="s">
        <v>172</v>
      </c>
      <c r="D54" s="138">
        <f>TARGETS!AE7</f>
        <v>262953105.06301075</v>
      </c>
      <c r="E54" s="138">
        <f>TARGETS!AF7</f>
        <v>0</v>
      </c>
      <c r="F54" s="138">
        <f>TARGETS!AG7</f>
        <v>0</v>
      </c>
      <c r="G54" s="138">
        <f t="shared" si="0"/>
        <v>262953105.06301075</v>
      </c>
      <c r="H54" s="114">
        <f t="shared" si="11"/>
        <v>19430536.16</v>
      </c>
      <c r="I54" s="114">
        <f t="shared" si="1"/>
        <v>0</v>
      </c>
      <c r="J54" s="114">
        <f t="shared" si="2"/>
        <v>0</v>
      </c>
      <c r="K54" s="114">
        <f t="shared" si="3"/>
        <v>19430536.16</v>
      </c>
      <c r="L54" s="187">
        <f t="shared" si="4"/>
        <v>7.3893541418131994E-2</v>
      </c>
      <c r="M54" s="184">
        <f t="shared" si="5"/>
        <v>243522568.90301076</v>
      </c>
      <c r="N54" s="184">
        <f t="shared" ca="1" si="6"/>
        <v>60880642.225752689</v>
      </c>
      <c r="O54" s="180">
        <f t="shared" si="7"/>
        <v>243522568.90301076</v>
      </c>
      <c r="P54" s="180">
        <f t="shared" ca="1" si="8"/>
        <v>60880642.225752689</v>
      </c>
      <c r="Q54" s="185">
        <f t="shared" si="9"/>
        <v>243522568.90301076</v>
      </c>
      <c r="R54" s="185">
        <f t="shared" ca="1" si="10"/>
        <v>60880642.225752689</v>
      </c>
      <c r="T54" t="s">
        <v>168</v>
      </c>
      <c r="U54" t="s">
        <v>217</v>
      </c>
    </row>
    <row r="55" spans="2:21" ht="15.95" customHeight="1" x14ac:dyDescent="0.25">
      <c r="B55" s="53" t="s">
        <v>71</v>
      </c>
      <c r="C55" s="56" t="s">
        <v>72</v>
      </c>
      <c r="D55" s="119">
        <f>TARGETS!AE8</f>
        <v>590954252.3415246</v>
      </c>
      <c r="E55" s="119">
        <f>TARGETS!AF8</f>
        <v>33662936.863966122</v>
      </c>
      <c r="F55" s="119">
        <f>TARGETS!AG8</f>
        <v>83921591.734509259</v>
      </c>
      <c r="G55" s="119">
        <f t="shared" si="0"/>
        <v>708538780.93999994</v>
      </c>
      <c r="H55" s="114">
        <f t="shared" si="11"/>
        <v>419865439.78977197</v>
      </c>
      <c r="I55" s="114">
        <f t="shared" si="1"/>
        <v>34283176.423908003</v>
      </c>
      <c r="J55" s="114">
        <f t="shared" si="2"/>
        <v>148185384.67353901</v>
      </c>
      <c r="K55" s="114">
        <f t="shared" si="3"/>
        <v>602334000.88721895</v>
      </c>
      <c r="L55" s="187">
        <f t="shared" si="4"/>
        <v>0.8501073153513462</v>
      </c>
      <c r="M55" s="184">
        <f t="shared" si="5"/>
        <v>106204780.05278099</v>
      </c>
      <c r="N55" s="184">
        <f t="shared" ca="1" si="6"/>
        <v>26551195.013195246</v>
      </c>
      <c r="O55" s="180">
        <f t="shared" si="7"/>
        <v>106204780.05278099</v>
      </c>
      <c r="P55" s="180">
        <f t="shared" ca="1" si="8"/>
        <v>26551195.013195246</v>
      </c>
      <c r="Q55" s="185">
        <f t="shared" si="9"/>
        <v>106204780.05278099</v>
      </c>
      <c r="R55" s="185">
        <f t="shared" ca="1" si="10"/>
        <v>26551195.013195246</v>
      </c>
      <c r="T55" t="s">
        <v>115</v>
      </c>
      <c r="U55" t="s">
        <v>217</v>
      </c>
    </row>
    <row r="56" spans="2:21" ht="15.95" customHeight="1" x14ac:dyDescent="0.25">
      <c r="B56" s="50" t="s">
        <v>73</v>
      </c>
      <c r="C56" s="55" t="s">
        <v>221</v>
      </c>
      <c r="D56" s="118">
        <f>TARGETS!AE9</f>
        <v>5575801.9517222047</v>
      </c>
      <c r="E56" s="118">
        <f>TARGETS!AF9</f>
        <v>63507750.38497854</v>
      </c>
      <c r="F56" s="118">
        <f>TARGETS!AG9</f>
        <v>468117447.23398483</v>
      </c>
      <c r="G56" s="118">
        <f t="shared" si="0"/>
        <v>537200999.57068563</v>
      </c>
      <c r="H56" s="114">
        <f t="shared" si="11"/>
        <v>3670270.2599940002</v>
      </c>
      <c r="I56" s="114">
        <f t="shared" si="1"/>
        <v>37900456</v>
      </c>
      <c r="J56" s="114">
        <f t="shared" si="2"/>
        <v>327900908.15999299</v>
      </c>
      <c r="K56" s="114">
        <f t="shared" si="3"/>
        <v>369471634.41998696</v>
      </c>
      <c r="L56" s="187">
        <f t="shared" si="4"/>
        <v>0.68777168083316531</v>
      </c>
      <c r="M56" s="184">
        <f t="shared" si="5"/>
        <v>167729365.15069866</v>
      </c>
      <c r="N56" s="184">
        <f t="shared" ca="1" si="6"/>
        <v>41932341.287674665</v>
      </c>
      <c r="O56" s="180">
        <f t="shared" si="7"/>
        <v>167729365.15069866</v>
      </c>
      <c r="P56" s="180">
        <f t="shared" ca="1" si="8"/>
        <v>41932341.287674665</v>
      </c>
      <c r="Q56" s="185">
        <f t="shared" si="9"/>
        <v>167729365.15069866</v>
      </c>
      <c r="R56" s="185">
        <f t="shared" ca="1" si="10"/>
        <v>41932341.287674665</v>
      </c>
      <c r="T56" t="s">
        <v>181</v>
      </c>
      <c r="U56" t="s">
        <v>217</v>
      </c>
    </row>
    <row r="57" spans="2:21" ht="15.95" customHeight="1" x14ac:dyDescent="0.25">
      <c r="B57" s="53" t="s">
        <v>75</v>
      </c>
      <c r="C57" s="56" t="s">
        <v>225</v>
      </c>
      <c r="D57" s="119">
        <f>TARGETS!AE10</f>
        <v>267520870.86594501</v>
      </c>
      <c r="E57" s="119">
        <f>TARGETS!AF10</f>
        <v>105132391.14913487</v>
      </c>
      <c r="F57" s="119">
        <f>TARGETS!AG10</f>
        <v>184159698.63927278</v>
      </c>
      <c r="G57" s="119">
        <f t="shared" si="0"/>
        <v>556812960.65435266</v>
      </c>
      <c r="H57" s="114">
        <f t="shared" si="11"/>
        <v>182364493.99181801</v>
      </c>
      <c r="I57" s="114">
        <f t="shared" si="1"/>
        <v>54912965.479585998</v>
      </c>
      <c r="J57" s="114">
        <f t="shared" si="2"/>
        <v>132159523.59992</v>
      </c>
      <c r="K57" s="114">
        <f t="shared" si="3"/>
        <v>369436983.07132399</v>
      </c>
      <c r="L57" s="187">
        <f t="shared" si="4"/>
        <v>0.66348488482949619</v>
      </c>
      <c r="M57" s="184">
        <f t="shared" si="5"/>
        <v>187375977.58302867</v>
      </c>
      <c r="N57" s="184">
        <f t="shared" ca="1" si="6"/>
        <v>46843994.395757169</v>
      </c>
      <c r="O57" s="180">
        <f t="shared" si="7"/>
        <v>187375977.58302867</v>
      </c>
      <c r="P57" s="180">
        <f t="shared" ca="1" si="8"/>
        <v>46843994.395757169</v>
      </c>
      <c r="Q57" s="185">
        <f t="shared" si="9"/>
        <v>187375977.58302867</v>
      </c>
      <c r="R57" s="185">
        <f t="shared" ca="1" si="10"/>
        <v>46843994.395757169</v>
      </c>
      <c r="T57" t="s">
        <v>224</v>
      </c>
      <c r="U57" t="s">
        <v>217</v>
      </c>
    </row>
    <row r="58" spans="2:21" ht="15.95" customHeight="1" x14ac:dyDescent="0.25">
      <c r="B58" s="50" t="s">
        <v>76</v>
      </c>
      <c r="C58" s="55" t="s">
        <v>77</v>
      </c>
      <c r="D58" s="118">
        <f>TARGETS!AE11</f>
        <v>664600150.5441153</v>
      </c>
      <c r="E58" s="118">
        <f>TARGETS!AF11</f>
        <v>83317068.128031164</v>
      </c>
      <c r="F58" s="118">
        <f>TARGETS!AG11</f>
        <v>343133819.00673455</v>
      </c>
      <c r="G58" s="118">
        <f t="shared" si="0"/>
        <v>1091051037.6788809</v>
      </c>
      <c r="H58" s="114">
        <f t="shared" si="11"/>
        <v>471117930.44920301</v>
      </c>
      <c r="I58" s="114">
        <f t="shared" si="1"/>
        <v>66676712.979721002</v>
      </c>
      <c r="J58" s="114">
        <f t="shared" si="2"/>
        <v>323509821.889386</v>
      </c>
      <c r="K58" s="114">
        <f t="shared" si="3"/>
        <v>861304465.31831002</v>
      </c>
      <c r="L58" s="187">
        <f t="shared" si="4"/>
        <v>0.78942637472822774</v>
      </c>
      <c r="M58" s="184">
        <f t="shared" si="5"/>
        <v>229746572.36057091</v>
      </c>
      <c r="N58" s="184">
        <f t="shared" ca="1" si="6"/>
        <v>57436643.090142727</v>
      </c>
      <c r="O58" s="180">
        <f t="shared" si="7"/>
        <v>229746572.36057091</v>
      </c>
      <c r="P58" s="180">
        <f t="shared" ca="1" si="8"/>
        <v>57436643.090142727</v>
      </c>
      <c r="Q58" s="185">
        <f t="shared" si="9"/>
        <v>229746572.36057091</v>
      </c>
      <c r="R58" s="185">
        <f t="shared" ca="1" si="10"/>
        <v>57436643.090142727</v>
      </c>
      <c r="T58" t="s">
        <v>120</v>
      </c>
      <c r="U58" t="s">
        <v>217</v>
      </c>
    </row>
    <row r="59" spans="2:21" ht="15.95" customHeight="1" x14ac:dyDescent="0.25">
      <c r="B59" s="53" t="s">
        <v>78</v>
      </c>
      <c r="C59" s="56" t="s">
        <v>79</v>
      </c>
      <c r="D59" s="119">
        <f>TARGETS!AE12</f>
        <v>259993077.39884707</v>
      </c>
      <c r="E59" s="119">
        <f>TARGETS!AF12</f>
        <v>86845105.094943255</v>
      </c>
      <c r="F59" s="119">
        <f>TARGETS!AG12</f>
        <v>249609659.83737293</v>
      </c>
      <c r="G59" s="119">
        <f t="shared" si="0"/>
        <v>596447842.33116329</v>
      </c>
      <c r="H59" s="114">
        <f t="shared" si="11"/>
        <v>273333351.84476799</v>
      </c>
      <c r="I59" s="114">
        <f t="shared" si="1"/>
        <v>56799596.619923003</v>
      </c>
      <c r="J59" s="114">
        <f t="shared" si="2"/>
        <v>163883364.29021099</v>
      </c>
      <c r="K59" s="114">
        <f t="shared" si="3"/>
        <v>494016312.75490201</v>
      </c>
      <c r="L59" s="187">
        <f t="shared" si="4"/>
        <v>0.82826406215853376</v>
      </c>
      <c r="M59" s="184">
        <f t="shared" si="5"/>
        <v>102431529.57626128</v>
      </c>
      <c r="N59" s="184">
        <f t="shared" ca="1" si="6"/>
        <v>25607882.39406532</v>
      </c>
      <c r="O59" s="180">
        <f t="shared" si="7"/>
        <v>102431529.57626128</v>
      </c>
      <c r="P59" s="180">
        <f t="shared" ca="1" si="8"/>
        <v>25607882.39406532</v>
      </c>
      <c r="Q59" s="185">
        <f t="shared" si="9"/>
        <v>102431529.57626128</v>
      </c>
      <c r="R59" s="185">
        <f t="shared" ca="1" si="10"/>
        <v>25607882.39406532</v>
      </c>
      <c r="T59" t="s">
        <v>125</v>
      </c>
      <c r="U59" t="s">
        <v>217</v>
      </c>
    </row>
    <row r="60" spans="2:21" ht="15.95" customHeight="1" x14ac:dyDescent="0.25">
      <c r="B60" s="136" t="s">
        <v>171</v>
      </c>
      <c r="C60" s="137" t="s">
        <v>173</v>
      </c>
      <c r="D60" s="138">
        <f>TARGETS!AE13</f>
        <v>443846715.57642001</v>
      </c>
      <c r="E60" s="138">
        <f>TARGETS!AF13</f>
        <v>0</v>
      </c>
      <c r="F60" s="138">
        <f>TARGETS!AG13</f>
        <v>0</v>
      </c>
      <c r="G60" s="138">
        <f t="shared" si="0"/>
        <v>443846715.57642001</v>
      </c>
      <c r="H60" s="114">
        <f t="shared" si="11"/>
        <v>143859574.81999999</v>
      </c>
      <c r="I60" s="114">
        <f t="shared" si="1"/>
        <v>0</v>
      </c>
      <c r="J60" s="114">
        <f t="shared" si="2"/>
        <v>0</v>
      </c>
      <c r="K60" s="114">
        <f t="shared" si="3"/>
        <v>143859574.81999999</v>
      </c>
      <c r="L60" s="187">
        <f t="shared" si="4"/>
        <v>0.32411994900800556</v>
      </c>
      <c r="M60" s="184">
        <f t="shared" si="5"/>
        <v>299987140.75642002</v>
      </c>
      <c r="N60" s="184">
        <f t="shared" ca="1" si="6"/>
        <v>74996785.189105004</v>
      </c>
      <c r="O60" s="180">
        <f t="shared" si="7"/>
        <v>299987140.75642002</v>
      </c>
      <c r="P60" s="180">
        <f t="shared" ca="1" si="8"/>
        <v>74996785.189105004</v>
      </c>
      <c r="Q60" s="185">
        <f t="shared" si="9"/>
        <v>299987140.75642002</v>
      </c>
      <c r="R60" s="185">
        <f t="shared" ca="1" si="10"/>
        <v>74996785.189105004</v>
      </c>
      <c r="T60" t="s">
        <v>169</v>
      </c>
      <c r="U60" t="s">
        <v>217</v>
      </c>
    </row>
    <row r="61" spans="2:21" ht="15.95" customHeight="1" x14ac:dyDescent="0.25">
      <c r="B61" s="53" t="s">
        <v>80</v>
      </c>
      <c r="C61" s="56" t="s">
        <v>220</v>
      </c>
      <c r="D61" s="119">
        <f>TARGETS!AE14</f>
        <v>345737237.66667807</v>
      </c>
      <c r="E61" s="119">
        <f>TARGETS!AF14</f>
        <v>99843502.42153886</v>
      </c>
      <c r="F61" s="119">
        <f>TARGETS!AG14</f>
        <v>115472440.26230113</v>
      </c>
      <c r="G61" s="119">
        <f t="shared" si="0"/>
        <v>561053180.35051799</v>
      </c>
      <c r="H61" s="114">
        <f t="shared" si="11"/>
        <v>271675679.51267701</v>
      </c>
      <c r="I61" s="114">
        <f t="shared" si="1"/>
        <v>82835933.522992</v>
      </c>
      <c r="J61" s="114">
        <f t="shared" si="2"/>
        <v>97668015.109533995</v>
      </c>
      <c r="K61" s="114">
        <f t="shared" si="3"/>
        <v>452179628.14520299</v>
      </c>
      <c r="L61" s="187">
        <f t="shared" si="4"/>
        <v>0.80594789225275176</v>
      </c>
      <c r="M61" s="184">
        <f t="shared" si="5"/>
        <v>108873552.20531499</v>
      </c>
      <c r="N61" s="184">
        <f t="shared" ca="1" si="6"/>
        <v>27218388.051328748</v>
      </c>
      <c r="O61" s="180">
        <f t="shared" si="7"/>
        <v>108873552.20531499</v>
      </c>
      <c r="P61" s="180">
        <f t="shared" ca="1" si="8"/>
        <v>27218388.051328748</v>
      </c>
      <c r="Q61" s="185">
        <f t="shared" si="9"/>
        <v>108873552.20531499</v>
      </c>
      <c r="R61" s="185">
        <f t="shared" ca="1" si="10"/>
        <v>27218388.051328748</v>
      </c>
      <c r="T61" t="s">
        <v>219</v>
      </c>
      <c r="U61" t="s">
        <v>217</v>
      </c>
    </row>
    <row r="62" spans="2:21" ht="15.95" customHeight="1" x14ac:dyDescent="0.25">
      <c r="B62" s="50" t="s">
        <v>82</v>
      </c>
      <c r="C62" s="55" t="s">
        <v>83</v>
      </c>
      <c r="D62" s="118">
        <f>TARGETS!AE15</f>
        <v>476796144.98316145</v>
      </c>
      <c r="E62" s="118">
        <f>TARGETS!AF15</f>
        <v>53126030.965583593</v>
      </c>
      <c r="F62" s="118">
        <f>TARGETS!AG15</f>
        <v>168537597.75857076</v>
      </c>
      <c r="G62" s="118">
        <f t="shared" si="0"/>
        <v>698459773.7073158</v>
      </c>
      <c r="H62" s="114">
        <f t="shared" si="11"/>
        <v>413800457.799923</v>
      </c>
      <c r="I62" s="114">
        <f t="shared" si="1"/>
        <v>59627707.194859996</v>
      </c>
      <c r="J62" s="114">
        <f t="shared" si="2"/>
        <v>192524533.00990501</v>
      </c>
      <c r="K62" s="114">
        <f t="shared" si="3"/>
        <v>665952698.00468802</v>
      </c>
      <c r="L62" s="187">
        <f t="shared" si="4"/>
        <v>0.9534589149922188</v>
      </c>
      <c r="M62" s="184">
        <f t="shared" si="5"/>
        <v>32507075.702627778</v>
      </c>
      <c r="N62" s="184">
        <f t="shared" ca="1" si="6"/>
        <v>8126768.9256569445</v>
      </c>
      <c r="O62" s="180">
        <f t="shared" si="7"/>
        <v>32507075.702627778</v>
      </c>
      <c r="P62" s="180">
        <f t="shared" ca="1" si="8"/>
        <v>8126768.9256569445</v>
      </c>
      <c r="Q62" s="185">
        <f t="shared" si="9"/>
        <v>32507075.702627778</v>
      </c>
      <c r="R62" s="185">
        <f t="shared" ca="1" si="10"/>
        <v>8126768.9256569445</v>
      </c>
      <c r="T62" t="s">
        <v>126</v>
      </c>
      <c r="U62" t="s">
        <v>217</v>
      </c>
    </row>
    <row r="63" spans="2:21" ht="15.95" customHeight="1" x14ac:dyDescent="0.25">
      <c r="B63" s="53" t="s">
        <v>84</v>
      </c>
      <c r="C63" s="56" t="s">
        <v>85</v>
      </c>
      <c r="D63" s="119">
        <f>TARGETS!AE16</f>
        <v>168507149.83198008</v>
      </c>
      <c r="E63" s="119">
        <f>TARGETS!AF16</f>
        <v>30531298.995438561</v>
      </c>
      <c r="F63" s="119">
        <f>TARGETS!AG16</f>
        <v>259851780.88751724</v>
      </c>
      <c r="G63" s="119">
        <f t="shared" si="0"/>
        <v>458890229.7149359</v>
      </c>
      <c r="H63" s="114">
        <f t="shared" si="11"/>
        <v>171316651.59438899</v>
      </c>
      <c r="I63" s="114">
        <f t="shared" si="1"/>
        <v>41549942.957996003</v>
      </c>
      <c r="J63" s="114">
        <f t="shared" si="2"/>
        <v>184495573.87596899</v>
      </c>
      <c r="K63" s="114">
        <f t="shared" si="3"/>
        <v>397362168.42835402</v>
      </c>
      <c r="L63" s="187">
        <f t="shared" si="4"/>
        <v>0.86591987080482558</v>
      </c>
      <c r="M63" s="184">
        <f t="shared" si="5"/>
        <v>61528061.286581874</v>
      </c>
      <c r="N63" s="184">
        <f t="shared" ca="1" si="6"/>
        <v>15382015.321645468</v>
      </c>
      <c r="O63" s="180">
        <f t="shared" si="7"/>
        <v>61528061.286581874</v>
      </c>
      <c r="P63" s="180">
        <f t="shared" ca="1" si="8"/>
        <v>15382015.321645468</v>
      </c>
      <c r="Q63" s="185">
        <f t="shared" si="9"/>
        <v>61528061.286581874</v>
      </c>
      <c r="R63" s="185">
        <f t="shared" ca="1" si="10"/>
        <v>15382015.321645468</v>
      </c>
      <c r="T63" t="s">
        <v>112</v>
      </c>
      <c r="U63" t="s">
        <v>217</v>
      </c>
    </row>
    <row r="64" spans="2:21" ht="15.95" customHeight="1" x14ac:dyDescent="0.25">
      <c r="B64" s="50" t="s">
        <v>86</v>
      </c>
      <c r="C64" s="55" t="s">
        <v>87</v>
      </c>
      <c r="D64" s="118">
        <f>TARGETS!AE17</f>
        <v>409968842.36459517</v>
      </c>
      <c r="E64" s="118">
        <f>TARGETS!AF17</f>
        <v>308297473.95300913</v>
      </c>
      <c r="F64" s="118">
        <f>TARGETS!AG17</f>
        <v>242574653.13033652</v>
      </c>
      <c r="G64" s="118">
        <f t="shared" si="0"/>
        <v>960840969.44794083</v>
      </c>
      <c r="H64" s="114">
        <f t="shared" si="11"/>
        <v>441972508.15350801</v>
      </c>
      <c r="I64" s="114">
        <f t="shared" si="1"/>
        <v>165339203.756598</v>
      </c>
      <c r="J64" s="114">
        <f t="shared" si="2"/>
        <v>208625217.947301</v>
      </c>
      <c r="K64" s="114">
        <f t="shared" si="3"/>
        <v>815936929.85740697</v>
      </c>
      <c r="L64" s="187">
        <f t="shared" si="4"/>
        <v>0.84919040278456315</v>
      </c>
      <c r="M64" s="184">
        <f t="shared" si="5"/>
        <v>144904039.59053385</v>
      </c>
      <c r="N64" s="184">
        <f t="shared" ca="1" si="6"/>
        <v>36226009.897633463</v>
      </c>
      <c r="O64" s="180">
        <f t="shared" si="7"/>
        <v>144904039.59053385</v>
      </c>
      <c r="P64" s="180">
        <f t="shared" ca="1" si="8"/>
        <v>36226009.897633463</v>
      </c>
      <c r="Q64" s="185">
        <f t="shared" si="9"/>
        <v>144904039.59053385</v>
      </c>
      <c r="R64" s="185">
        <f t="shared" ca="1" si="10"/>
        <v>36226009.897633463</v>
      </c>
      <c r="T64" t="s">
        <v>127</v>
      </c>
      <c r="U64" t="s">
        <v>217</v>
      </c>
    </row>
    <row r="65" spans="2:21" ht="15.95" customHeight="1" x14ac:dyDescent="0.25">
      <c r="B65" s="53" t="s">
        <v>88</v>
      </c>
      <c r="C65" s="56" t="s">
        <v>89</v>
      </c>
      <c r="D65" s="119">
        <f>TARGETS!AE18</f>
        <v>123323413.46844758</v>
      </c>
      <c r="E65" s="119">
        <f>TARGETS!AF18</f>
        <v>193690629.51885673</v>
      </c>
      <c r="F65" s="119">
        <f>TARGETS!AG18</f>
        <v>201767250.60122082</v>
      </c>
      <c r="G65" s="119">
        <f t="shared" si="0"/>
        <v>518781293.58852518</v>
      </c>
      <c r="H65" s="114">
        <f t="shared" si="11"/>
        <v>152377212.79958698</v>
      </c>
      <c r="I65" s="114">
        <f t="shared" si="1"/>
        <v>103534230.11603501</v>
      </c>
      <c r="J65" s="114">
        <f t="shared" si="2"/>
        <v>143574279.598342</v>
      </c>
      <c r="K65" s="114">
        <f t="shared" si="3"/>
        <v>399485722.513964</v>
      </c>
      <c r="L65" s="187">
        <f t="shared" si="4"/>
        <v>0.77004650601534363</v>
      </c>
      <c r="M65" s="184">
        <f t="shared" si="5"/>
        <v>119295571.07456118</v>
      </c>
      <c r="N65" s="184">
        <f t="shared" ca="1" si="6"/>
        <v>29823892.768640295</v>
      </c>
      <c r="O65" s="180">
        <f t="shared" si="7"/>
        <v>119295571.07456118</v>
      </c>
      <c r="P65" s="180">
        <f t="shared" ca="1" si="8"/>
        <v>29823892.768640295</v>
      </c>
      <c r="Q65" s="185">
        <f t="shared" si="9"/>
        <v>119295571.07456118</v>
      </c>
      <c r="R65" s="185">
        <f t="shared" ca="1" si="10"/>
        <v>29823892.768640295</v>
      </c>
      <c r="T65" t="s">
        <v>122</v>
      </c>
      <c r="U65" t="s">
        <v>123</v>
      </c>
    </row>
    <row r="66" spans="2:21" ht="15.95" customHeight="1" x14ac:dyDescent="0.25">
      <c r="B66" s="57" t="s">
        <v>151</v>
      </c>
      <c r="C66" s="58"/>
      <c r="D66" s="134">
        <f t="shared" ref="D66:K66" si="12">SUM(D52:D65)</f>
        <v>4464586688.6595287</v>
      </c>
      <c r="E66" s="134">
        <f t="shared" si="12"/>
        <v>1279908063.1092303</v>
      </c>
      <c r="F66" s="134">
        <f t="shared" si="12"/>
        <v>2914007482.4702153</v>
      </c>
      <c r="G66" s="134">
        <f t="shared" si="12"/>
        <v>8658502234.2389736</v>
      </c>
      <c r="H66" s="135">
        <f t="shared" si="12"/>
        <v>3395350692.7813849</v>
      </c>
      <c r="I66" s="135">
        <f t="shared" si="12"/>
        <v>839038578.76324391</v>
      </c>
      <c r="J66" s="135">
        <f t="shared" si="12"/>
        <v>2431978281.3027539</v>
      </c>
      <c r="K66" s="135">
        <f t="shared" si="12"/>
        <v>6666367552.8473825</v>
      </c>
      <c r="L66" s="189">
        <f t="shared" si="4"/>
        <v>0.76992156062350581</v>
      </c>
      <c r="M66" s="181">
        <f>SUM(M52:M65)</f>
        <v>1992134681.3915906</v>
      </c>
      <c r="N66" s="181">
        <f t="shared" ca="1" si="6"/>
        <v>498033670.34789765</v>
      </c>
      <c r="O66" s="181">
        <f>SUM(O52:O65)</f>
        <v>1992134681.3915906</v>
      </c>
      <c r="P66" s="181">
        <f t="shared" ca="1" si="8"/>
        <v>498033670.34789765</v>
      </c>
      <c r="Q66" s="186">
        <f>SUM(Q52:Q65)</f>
        <v>1992134681.3915906</v>
      </c>
      <c r="R66" s="186">
        <f t="shared" ca="1" si="10"/>
        <v>498033670.34789765</v>
      </c>
    </row>
    <row r="67" spans="2:21" ht="15" customHeight="1" x14ac:dyDescent="0.25">
      <c r="G67" s="111"/>
      <c r="H67" s="111"/>
      <c r="I67" s="111"/>
    </row>
    <row r="68" spans="2:21" ht="18.95" customHeight="1" x14ac:dyDescent="0.25">
      <c r="B68" s="295" t="s">
        <v>144</v>
      </c>
      <c r="C68" s="296"/>
      <c r="D68" s="296"/>
      <c r="E68" s="296"/>
      <c r="F68" s="298"/>
      <c r="G68" s="265" t="s">
        <v>185</v>
      </c>
      <c r="H68" s="266"/>
      <c r="I68" s="266"/>
      <c r="J68" s="266"/>
      <c r="K68" s="266"/>
      <c r="L68" s="267"/>
    </row>
    <row r="69" spans="2:21" ht="30" customHeight="1" x14ac:dyDescent="0.25">
      <c r="B69" s="223" t="s">
        <v>152</v>
      </c>
      <c r="C69" s="223" t="s">
        <v>42</v>
      </c>
      <c r="D69" s="223" t="s">
        <v>137</v>
      </c>
      <c r="E69" s="223" t="s">
        <v>138</v>
      </c>
      <c r="F69" s="231" t="s">
        <v>139</v>
      </c>
      <c r="G69" s="232" t="str">
        <f>"SELISIH"&amp;CHAR(10)&amp;TEXT($H$41,"0%")</f>
        <v>SELISIH
100%</v>
      </c>
      <c r="H69" s="232" t="str">
        <f>"PER HARI"&amp;CHAR(10)&amp;TEXT($H$41,"0%")</f>
        <v>PER HARI
100%</v>
      </c>
      <c r="I69" s="229" t="str">
        <f>"SELISIH"&amp;CHAR(10)&amp;TEXT($J$41,"0%")</f>
        <v>SELISIH
100%</v>
      </c>
      <c r="J69" s="230" t="str">
        <f>"PER HARI"&amp;CHAR(10)&amp;TEXT($J$41,"0%")</f>
        <v>PER HARI
100%</v>
      </c>
      <c r="K69" s="222" t="str">
        <f>"SELISIH"&amp;CHAR(10)&amp;TEXT($L$41,"0%")</f>
        <v>SELISIH
100%</v>
      </c>
      <c r="L69" s="222" t="str">
        <f>"PER HARI"&amp;CHAR(10)&amp;TEXT($L$41,"0%")</f>
        <v>PER HARI
100%</v>
      </c>
    </row>
    <row r="70" spans="2:21" ht="15.95" customHeight="1" x14ac:dyDescent="0.25">
      <c r="B70" s="50" t="s">
        <v>92</v>
      </c>
      <c r="C70" s="55" t="s">
        <v>93</v>
      </c>
      <c r="D70" s="116">
        <f>TARGETS!M22</f>
        <v>269378070.68085116</v>
      </c>
      <c r="E70" s="114">
        <f>IFERROR($C$32,0)</f>
        <v>212090343.169047</v>
      </c>
      <c r="F70" s="187">
        <f t="shared" ref="F70:F75" si="13">IFERROR(E70/D70,0)</f>
        <v>0.78733336619788741</v>
      </c>
      <c r="G70" s="184">
        <f>D70*$H$41-E70</f>
        <v>57287727.511804163</v>
      </c>
      <c r="H70" s="184">
        <f t="shared" ref="H70:H75" ca="1" si="14">IFERROR(G70/$C$3,0)</f>
        <v>14321931.877951041</v>
      </c>
      <c r="I70" s="204">
        <f>D70*$J$41-E70</f>
        <v>57287727.511804163</v>
      </c>
      <c r="J70" s="204">
        <f t="shared" ref="J70:J75" ca="1" si="15">IFERROR(I70/$C$3,0)</f>
        <v>14321931.877951041</v>
      </c>
      <c r="K70" s="185">
        <f>D70*$L$41-E70</f>
        <v>57287727.511804163</v>
      </c>
      <c r="L70" s="185">
        <f t="shared" ref="L70:L75" ca="1" si="16">IFERROR(K70/$C$3,0)</f>
        <v>14321931.877951041</v>
      </c>
    </row>
    <row r="71" spans="2:21" ht="15.95" customHeight="1" x14ac:dyDescent="0.25">
      <c r="B71" s="53" t="s">
        <v>94</v>
      </c>
      <c r="C71" s="56" t="s">
        <v>99</v>
      </c>
      <c r="D71" s="117">
        <f>TARGETS!M23</f>
        <v>412678979.6808511</v>
      </c>
      <c r="E71" s="114">
        <f>IFERROR($C$33,0)</f>
        <v>390665813.657673</v>
      </c>
      <c r="F71" s="187">
        <f t="shared" si="13"/>
        <v>0.94665789364846697</v>
      </c>
      <c r="G71" s="184">
        <f>D71*$H$41-E71</f>
        <v>22013166.023178101</v>
      </c>
      <c r="H71" s="184">
        <f t="shared" ca="1" si="14"/>
        <v>5503291.5057945251</v>
      </c>
      <c r="I71" s="204">
        <f>D71*$J$41-E71</f>
        <v>22013166.023178101</v>
      </c>
      <c r="J71" s="204">
        <f t="shared" ca="1" si="15"/>
        <v>5503291.5057945251</v>
      </c>
      <c r="K71" s="185">
        <f>D71*$L$41-E71</f>
        <v>22013166.023178101</v>
      </c>
      <c r="L71" s="185">
        <f t="shared" ca="1" si="16"/>
        <v>5503291.5057945251</v>
      </c>
    </row>
    <row r="72" spans="2:21" ht="15.95" customHeight="1" x14ac:dyDescent="0.25">
      <c r="B72" s="50" t="s">
        <v>96</v>
      </c>
      <c r="C72" s="55" t="s">
        <v>97</v>
      </c>
      <c r="D72" s="116">
        <f>TARGETS!M24</f>
        <v>1097730183.680851</v>
      </c>
      <c r="E72" s="114">
        <f>M21</f>
        <v>676758949.17410302</v>
      </c>
      <c r="F72" s="187">
        <f t="shared" si="13"/>
        <v>0.61650755279847602</v>
      </c>
      <c r="G72" s="184">
        <f>D72*$H$41-E72</f>
        <v>420971234.50674796</v>
      </c>
      <c r="H72" s="184">
        <f t="shared" ca="1" si="14"/>
        <v>105242808.62668699</v>
      </c>
      <c r="I72" s="204">
        <f>D72*$J$41-E72</f>
        <v>420971234.50674796</v>
      </c>
      <c r="J72" s="204">
        <f t="shared" ca="1" si="15"/>
        <v>105242808.62668699</v>
      </c>
      <c r="K72" s="185">
        <f>D72*$L$41-E72</f>
        <v>420971234.50674796</v>
      </c>
      <c r="L72" s="185">
        <f t="shared" ca="1" si="16"/>
        <v>105242808.62668699</v>
      </c>
    </row>
    <row r="73" spans="2:21" hidden="1" x14ac:dyDescent="0.25">
      <c r="B73" s="53" t="s">
        <v>98</v>
      </c>
      <c r="C73" s="56" t="s">
        <v>99</v>
      </c>
      <c r="D73" s="117">
        <f>TARGETS!M25</f>
        <v>0</v>
      </c>
      <c r="E73" s="114">
        <f>0</f>
        <v>0</v>
      </c>
      <c r="F73" s="187">
        <f t="shared" si="13"/>
        <v>0</v>
      </c>
      <c r="G73" s="184">
        <f>D73*$H$41-E73</f>
        <v>0</v>
      </c>
      <c r="H73" s="184">
        <f t="shared" ca="1" si="14"/>
        <v>0</v>
      </c>
      <c r="I73" s="204">
        <f>D73*$J$41-E73</f>
        <v>0</v>
      </c>
      <c r="J73" s="204">
        <f t="shared" ca="1" si="15"/>
        <v>0</v>
      </c>
      <c r="K73" s="185">
        <f>D73*$L$41-E73</f>
        <v>0</v>
      </c>
      <c r="L73" s="185">
        <f t="shared" ca="1" si="16"/>
        <v>0</v>
      </c>
    </row>
    <row r="74" spans="2:21" hidden="1" x14ac:dyDescent="0.25">
      <c r="B74" s="50" t="s">
        <v>100</v>
      </c>
      <c r="C74" s="108" t="s">
        <v>101</v>
      </c>
      <c r="D74" s="116">
        <f>TARGETS!M26</f>
        <v>0</v>
      </c>
      <c r="E74" s="114">
        <f>0</f>
        <v>0</v>
      </c>
      <c r="F74" s="187">
        <f t="shared" si="13"/>
        <v>0</v>
      </c>
      <c r="G74" s="184">
        <f>D74*$H$41-E74</f>
        <v>0</v>
      </c>
      <c r="H74" s="184">
        <f t="shared" ca="1" si="14"/>
        <v>0</v>
      </c>
      <c r="I74" s="204">
        <f>D74*$J$41-E74</f>
        <v>0</v>
      </c>
      <c r="J74" s="204">
        <f t="shared" ca="1" si="15"/>
        <v>0</v>
      </c>
      <c r="K74" s="185">
        <f>D74*$L$41-E74</f>
        <v>0</v>
      </c>
      <c r="L74" s="185">
        <f t="shared" ca="1" si="16"/>
        <v>0</v>
      </c>
    </row>
    <row r="75" spans="2:21" ht="15.95" customHeight="1" x14ac:dyDescent="0.25">
      <c r="B75" s="57" t="s">
        <v>151</v>
      </c>
      <c r="C75" s="58"/>
      <c r="D75" s="115">
        <f>SUM(D70:D74)</f>
        <v>1779787234.0425532</v>
      </c>
      <c r="E75" s="115">
        <f>SUM(E70:E74)</f>
        <v>1279515106.000823</v>
      </c>
      <c r="F75" s="177">
        <f t="shared" si="13"/>
        <v>0.71891464413674455</v>
      </c>
      <c r="G75" s="181">
        <f>SUM(G70:G74)</f>
        <v>500272128.04173023</v>
      </c>
      <c r="H75" s="181">
        <f t="shared" ca="1" si="14"/>
        <v>125068032.01043256</v>
      </c>
      <c r="I75" s="186">
        <f>SUM(I70:I74)</f>
        <v>500272128.04173023</v>
      </c>
      <c r="J75" s="186">
        <f t="shared" ca="1" si="15"/>
        <v>125068032.01043256</v>
      </c>
      <c r="K75" s="186">
        <f>SUM(K70:K74)</f>
        <v>500272128.04173023</v>
      </c>
      <c r="L75" s="186">
        <f t="shared" ca="1" si="16"/>
        <v>125068032.01043256</v>
      </c>
    </row>
    <row r="76" spans="2:21" ht="15" customHeight="1" x14ac:dyDescent="0.25"/>
    <row r="77" spans="2:21" ht="15" customHeight="1" x14ac:dyDescent="0.25"/>
    <row r="78" spans="2:21" ht="20.100000000000001" customHeight="1" x14ac:dyDescent="0.25">
      <c r="B78" s="254" t="s">
        <v>170</v>
      </c>
      <c r="C78" s="255"/>
      <c r="D78" s="256"/>
    </row>
    <row r="79" spans="2:21" ht="17.100000000000001" customHeight="1" x14ac:dyDescent="0.25">
      <c r="B79" s="264" t="s">
        <v>41</v>
      </c>
      <c r="C79" s="264" t="s">
        <v>42</v>
      </c>
      <c r="D79" s="231" t="s">
        <v>138</v>
      </c>
    </row>
    <row r="80" spans="2:21" ht="17.100000000000001" customHeight="1" x14ac:dyDescent="0.25">
      <c r="B80" s="263"/>
      <c r="C80" s="263"/>
      <c r="D80" s="70" t="s">
        <v>167</v>
      </c>
      <c r="T80" s="178" t="s">
        <v>215</v>
      </c>
      <c r="U80" s="178" t="s">
        <v>216</v>
      </c>
    </row>
    <row r="81" spans="2:21" ht="15.95" customHeight="1" x14ac:dyDescent="0.25">
      <c r="B81" s="50" t="s">
        <v>67</v>
      </c>
      <c r="C81" s="55" t="s">
        <v>68</v>
      </c>
      <c r="D81" s="131">
        <f>SUMIF($B$10:$B$26,$T81,$F$10:$F$26)+SUMIF($B$10:$B$26,$U81,$F$10:$F$26)</f>
        <v>376900545.80984002</v>
      </c>
      <c r="T81" t="str">
        <f t="shared" ref="T81:U94" si="17">T52</f>
        <v>Picrom Stalyon</v>
      </c>
      <c r="U81" t="str">
        <f t="shared" si="17"/>
        <v>n/a</v>
      </c>
    </row>
    <row r="82" spans="2:21" ht="15.95" customHeight="1" x14ac:dyDescent="0.25">
      <c r="B82" s="53" t="s">
        <v>69</v>
      </c>
      <c r="C82" s="56" t="s">
        <v>70</v>
      </c>
      <c r="D82" s="132">
        <f t="shared" ref="D82:D94" si="18">SUMIF($B$10:$B$26,$T82,$F$10:$F$26)+SUMIF($B$10:$B$26,$U82,$F$10:$F$26)</f>
        <v>195214416.25999999</v>
      </c>
      <c r="T82" t="str">
        <f t="shared" si="17"/>
        <v>I MADE LUIH</v>
      </c>
      <c r="U82" t="str">
        <f t="shared" si="17"/>
        <v>I Made Luih (Sanur)</v>
      </c>
    </row>
    <row r="83" spans="2:21" ht="15.95" customHeight="1" x14ac:dyDescent="0.25">
      <c r="B83" s="53" t="s">
        <v>171</v>
      </c>
      <c r="C83" s="56" t="s">
        <v>172</v>
      </c>
      <c r="D83" s="132">
        <f t="shared" si="18"/>
        <v>13405405.039999999</v>
      </c>
      <c r="T83" t="str">
        <f t="shared" si="17"/>
        <v>NN Made Luih</v>
      </c>
      <c r="U83" t="str">
        <f t="shared" si="17"/>
        <v>n/a</v>
      </c>
    </row>
    <row r="84" spans="2:21" ht="15.95" customHeight="1" x14ac:dyDescent="0.25">
      <c r="B84" s="50" t="s">
        <v>71</v>
      </c>
      <c r="C84" s="55" t="s">
        <v>72</v>
      </c>
      <c r="D84" s="131">
        <f t="shared" si="18"/>
        <v>291657304.89972502</v>
      </c>
      <c r="T84" t="str">
        <f t="shared" si="17"/>
        <v>Juni</v>
      </c>
      <c r="U84" t="str">
        <f t="shared" si="17"/>
        <v>n/a</v>
      </c>
    </row>
    <row r="85" spans="2:21" ht="15.95" customHeight="1" x14ac:dyDescent="0.25">
      <c r="B85" s="53" t="s">
        <v>73</v>
      </c>
      <c r="C85" s="56" t="s">
        <v>221</v>
      </c>
      <c r="D85" s="132">
        <f t="shared" si="18"/>
        <v>0</v>
      </c>
      <c r="T85" t="str">
        <f t="shared" si="17"/>
        <v>FIB</v>
      </c>
      <c r="U85" t="str">
        <f t="shared" si="17"/>
        <v>n/a</v>
      </c>
    </row>
    <row r="86" spans="2:21" ht="15.95" customHeight="1" x14ac:dyDescent="0.25">
      <c r="B86" s="50" t="s">
        <v>75</v>
      </c>
      <c r="C86" s="55" t="s">
        <v>225</v>
      </c>
      <c r="D86" s="131">
        <f t="shared" si="18"/>
        <v>92181441.949977994</v>
      </c>
      <c r="T86" t="str">
        <f t="shared" si="17"/>
        <v>Ronald</v>
      </c>
      <c r="U86" t="str">
        <f t="shared" si="17"/>
        <v>n/a</v>
      </c>
    </row>
    <row r="87" spans="2:21" ht="15.95" customHeight="1" x14ac:dyDescent="0.25">
      <c r="B87" s="53" t="s">
        <v>76</v>
      </c>
      <c r="C87" s="56" t="s">
        <v>77</v>
      </c>
      <c r="D87" s="132">
        <f t="shared" si="18"/>
        <v>1054844138.519753</v>
      </c>
      <c r="T87" t="str">
        <f t="shared" si="17"/>
        <v>Monica</v>
      </c>
      <c r="U87" t="str">
        <f t="shared" si="17"/>
        <v>n/a</v>
      </c>
    </row>
    <row r="88" spans="2:21" ht="15.95" customHeight="1" x14ac:dyDescent="0.25">
      <c r="B88" s="50" t="s">
        <v>78</v>
      </c>
      <c r="C88" s="55" t="s">
        <v>79</v>
      </c>
      <c r="D88" s="131">
        <f t="shared" si="18"/>
        <v>285996403.61949098</v>
      </c>
      <c r="T88" t="str">
        <f t="shared" si="17"/>
        <v>Sujana</v>
      </c>
      <c r="U88" t="str">
        <f t="shared" si="17"/>
        <v>n/a</v>
      </c>
    </row>
    <row r="89" spans="2:21" ht="15.95" customHeight="1" x14ac:dyDescent="0.25">
      <c r="B89" s="53" t="s">
        <v>171</v>
      </c>
      <c r="C89" s="56" t="s">
        <v>173</v>
      </c>
      <c r="D89" s="132">
        <f t="shared" si="18"/>
        <v>11405405.1</v>
      </c>
      <c r="T89" t="str">
        <f t="shared" si="17"/>
        <v>NN Sujana</v>
      </c>
      <c r="U89" t="str">
        <f t="shared" si="17"/>
        <v>n/a</v>
      </c>
    </row>
    <row r="90" spans="2:21" ht="15.95" customHeight="1" x14ac:dyDescent="0.25">
      <c r="B90" s="53" t="s">
        <v>80</v>
      </c>
      <c r="C90" s="56" t="s">
        <v>81</v>
      </c>
      <c r="D90" s="132">
        <f t="shared" si="18"/>
        <v>56089891.289999999</v>
      </c>
      <c r="T90" t="str">
        <f t="shared" si="17"/>
        <v>Wahyu</v>
      </c>
      <c r="U90" t="str">
        <f t="shared" si="17"/>
        <v>n/a</v>
      </c>
    </row>
    <row r="91" spans="2:21" ht="15.95" customHeight="1" x14ac:dyDescent="0.25">
      <c r="B91" s="50" t="s">
        <v>82</v>
      </c>
      <c r="C91" s="55" t="s">
        <v>83</v>
      </c>
      <c r="D91" s="131">
        <f t="shared" si="18"/>
        <v>619695147.38927102</v>
      </c>
      <c r="T91" t="str">
        <f t="shared" si="17"/>
        <v>Taufik</v>
      </c>
      <c r="U91" t="str">
        <f t="shared" si="17"/>
        <v>n/a</v>
      </c>
    </row>
    <row r="92" spans="2:21" ht="15.95" customHeight="1" x14ac:dyDescent="0.25">
      <c r="B92" s="53" t="s">
        <v>84</v>
      </c>
      <c r="C92" s="56" t="s">
        <v>85</v>
      </c>
      <c r="D92" s="132">
        <f t="shared" si="18"/>
        <v>148353153.86992401</v>
      </c>
      <c r="T92" t="str">
        <f t="shared" si="17"/>
        <v>Dewi Kristiani</v>
      </c>
      <c r="U92" t="str">
        <f t="shared" si="17"/>
        <v>n/a</v>
      </c>
    </row>
    <row r="93" spans="2:21" ht="15.95" customHeight="1" x14ac:dyDescent="0.25">
      <c r="B93" s="50" t="s">
        <v>86</v>
      </c>
      <c r="C93" s="55" t="s">
        <v>87</v>
      </c>
      <c r="D93" s="131">
        <f t="shared" si="18"/>
        <v>19107676.0658</v>
      </c>
      <c r="T93" t="str">
        <f t="shared" si="17"/>
        <v>Wira</v>
      </c>
      <c r="U93" t="str">
        <f t="shared" si="17"/>
        <v>n/a</v>
      </c>
    </row>
    <row r="94" spans="2:21" ht="15.95" customHeight="1" x14ac:dyDescent="0.25">
      <c r="B94" s="53" t="s">
        <v>88</v>
      </c>
      <c r="C94" s="56" t="s">
        <v>89</v>
      </c>
      <c r="D94" s="132">
        <f t="shared" si="18"/>
        <v>153414057.435</v>
      </c>
      <c r="T94" t="str">
        <f t="shared" si="17"/>
        <v>Ni Ketut Sriasih (GT)</v>
      </c>
      <c r="U94" t="str">
        <f t="shared" si="17"/>
        <v>Ni Ketut Sriasih (MT)</v>
      </c>
    </row>
    <row r="95" spans="2:21" ht="15.95" customHeight="1" x14ac:dyDescent="0.25">
      <c r="B95" s="53" t="s">
        <v>229</v>
      </c>
      <c r="C95" s="56" t="s">
        <v>227</v>
      </c>
      <c r="D95" s="132">
        <f>SUMIF($B$10:$B$27,$T95,$F$10:$F$27)+SUMIF($B$10:$B$27,$U95,$F$10:$F$27)</f>
        <v>2918919.05</v>
      </c>
      <c r="T95" t="s">
        <v>227</v>
      </c>
      <c r="U95" t="s">
        <v>217</v>
      </c>
    </row>
    <row r="96" spans="2:21" ht="15.95" customHeight="1" x14ac:dyDescent="0.25">
      <c r="B96" s="57" t="s">
        <v>151</v>
      </c>
      <c r="C96" s="58"/>
      <c r="D96" s="120">
        <f>SUM(D81:D95)</f>
        <v>3321183906.2987819</v>
      </c>
    </row>
    <row r="97" ht="15" customHeight="1" x14ac:dyDescent="0.25"/>
  </sheetData>
  <mergeCells count="20">
    <mergeCell ref="B41:D41"/>
    <mergeCell ref="B47:C47"/>
    <mergeCell ref="B79:B80"/>
    <mergeCell ref="C79:C80"/>
    <mergeCell ref="B68:F68"/>
    <mergeCell ref="B78:D78"/>
    <mergeCell ref="G68:L68"/>
    <mergeCell ref="B49:L49"/>
    <mergeCell ref="M49:R49"/>
    <mergeCell ref="B50:B51"/>
    <mergeCell ref="C50:C51"/>
    <mergeCell ref="D50:G50"/>
    <mergeCell ref="H50:K50"/>
    <mergeCell ref="Q50:Q51"/>
    <mergeCell ref="R50:R51"/>
    <mergeCell ref="N50:N51"/>
    <mergeCell ref="L50:L51"/>
    <mergeCell ref="M50:M51"/>
    <mergeCell ref="O50:O51"/>
    <mergeCell ref="P50:P51"/>
  </mergeCells>
  <conditionalFormatting sqref="L52:L65">
    <cfRule type="expression" dxfId="8" priority="1">
      <formula>L52&gt;=$F$42-0.05</formula>
    </cfRule>
    <cfRule type="expression" dxfId="7" priority="2">
      <formula>AND(L52&gt;=$F$42-0.2,L52&lt;$F$42-0.05)</formula>
    </cfRule>
    <cfRule type="expression" dxfId="6" priority="3">
      <formula>L52&lt;$F$42-0.2</formula>
    </cfRule>
  </conditionalFormatting>
  <dataValidations count="1">
    <dataValidation type="list" allowBlank="1" showInputMessage="1" showErrorMessage="1" sqref="H41 J41">
      <formula1>$S$41:$S$47</formula1>
    </dataValidation>
  </dataValidations>
  <pageMargins left="0.75" right="0.75" top="1" bottom="1" header="0.511811023622047" footer="0.511811023622047"/>
  <pageSetup paperSize="9" scale="38" fitToHeight="10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A76" zoomScaleNormal="100" workbookViewId="0">
      <selection activeCell="B77" sqref="B77:V95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163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224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4" t="s">
        <v>174</v>
      </c>
      <c r="C40" s="275"/>
      <c r="D40" s="276"/>
      <c r="E40" s="66" t="s">
        <v>137</v>
      </c>
      <c r="F40" s="174">
        <f ca="1">IF(MONTH(TODAY())=11,DAY(TODAY())/DAY(EOMONTH(TODAY(),0)),IF(MONTH(TODAY())&gt;11,1,0))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1" t="s">
        <v>145</v>
      </c>
      <c r="C46" s="262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7" t="s">
        <v>146</v>
      </c>
      <c r="C48" s="278"/>
      <c r="D48" s="278"/>
      <c r="E48" s="278"/>
      <c r="F48" s="278"/>
      <c r="G48" s="278"/>
      <c r="H48" s="278"/>
      <c r="I48" s="278"/>
      <c r="J48" s="278"/>
      <c r="K48" s="278"/>
      <c r="L48" s="288"/>
      <c r="M48" s="265" t="s">
        <v>185</v>
      </c>
      <c r="N48" s="266"/>
      <c r="O48" s="266"/>
      <c r="P48" s="266"/>
      <c r="Q48" s="266"/>
      <c r="R48" s="267"/>
    </row>
    <row r="49" spans="2:21" ht="17.100000000000001" customHeight="1" x14ac:dyDescent="0.25">
      <c r="B49" s="289" t="s">
        <v>41</v>
      </c>
      <c r="C49" s="289" t="s">
        <v>42</v>
      </c>
      <c r="D49" s="258" t="s">
        <v>137</v>
      </c>
      <c r="E49" s="259"/>
      <c r="F49" s="259"/>
      <c r="G49" s="260"/>
      <c r="H49" s="290" t="s">
        <v>138</v>
      </c>
      <c r="I49" s="291"/>
      <c r="J49" s="291"/>
      <c r="K49" s="292"/>
      <c r="L49" s="293" t="s">
        <v>139</v>
      </c>
      <c r="M49" s="268" t="str">
        <f>"SELISIH"&amp;CHAR(10)&amp;TEXT($H$40,"0%")</f>
        <v>SELISIH
90%</v>
      </c>
      <c r="N49" s="268" t="str">
        <f>"PER HARI"&amp;CHAR(10)&amp;TEXT($H$40,"0%")</f>
        <v>PER HARI
90%</v>
      </c>
      <c r="O49" s="270" t="str">
        <f>"SELISIH"&amp;CHAR(10)&amp;TEXT($J$40,"0%")</f>
        <v>SELISIH
95%</v>
      </c>
      <c r="P49" s="270" t="str">
        <f>"PER HARI"&amp;CHAR(10)&amp;TEXT($J$40,"0%")</f>
        <v>PER HARI
95%</v>
      </c>
      <c r="Q49" s="272" t="str">
        <f>"SELISIH"&amp;CHAR(10)&amp;TEXT($L$40,"0%")</f>
        <v>SELISIH
100%</v>
      </c>
      <c r="R49" s="272" t="str">
        <f>"PER HARI"&amp;CHAR(10)&amp;TEXT($L$40,"0%")</f>
        <v>PER HARI
100%</v>
      </c>
    </row>
    <row r="50" spans="2:21" ht="17.100000000000001" customHeight="1" x14ac:dyDescent="0.25">
      <c r="B50" s="264"/>
      <c r="C50" s="264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4"/>
      <c r="M50" s="269"/>
      <c r="N50" s="269"/>
      <c r="O50" s="271"/>
      <c r="P50" s="271"/>
      <c r="Q50" s="273"/>
      <c r="R50" s="273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5" t="s">
        <v>144</v>
      </c>
      <c r="C67" s="296"/>
      <c r="D67" s="296"/>
      <c r="E67" s="296"/>
      <c r="F67" s="298"/>
      <c r="G67" s="265" t="s">
        <v>185</v>
      </c>
      <c r="H67" s="266"/>
      <c r="I67" s="266"/>
      <c r="J67" s="266"/>
      <c r="K67" s="266"/>
      <c r="L67" s="267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4" t="s">
        <v>170</v>
      </c>
      <c r="C77" s="255"/>
      <c r="D77" s="256"/>
    </row>
    <row r="78" spans="2:21" ht="17.100000000000001" customHeight="1" x14ac:dyDescent="0.25">
      <c r="B78" s="264" t="s">
        <v>41</v>
      </c>
      <c r="C78" s="264" t="s">
        <v>42</v>
      </c>
      <c r="D78" s="231" t="s">
        <v>138</v>
      </c>
    </row>
    <row r="79" spans="2:21" ht="17.100000000000001" customHeight="1" x14ac:dyDescent="0.25">
      <c r="B79" s="263"/>
      <c r="C79" s="263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9"/>
        <v>0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3" t="s">
        <v>229</v>
      </c>
      <c r="C94" s="56" t="s">
        <v>227</v>
      </c>
      <c r="D94" s="132">
        <f>SUMIF($B$10:$B$27,$T94,$F$10:$F$27)+SUMIF($B$10:$B$27,$U94,$F$10:$F$27)</f>
        <v>0</v>
      </c>
      <c r="T94" t="s">
        <v>227</v>
      </c>
      <c r="U94" t="s">
        <v>217</v>
      </c>
    </row>
    <row r="95" spans="2:21" ht="15" customHeight="1" x14ac:dyDescent="0.25">
      <c r="B95" s="57" t="s">
        <v>151</v>
      </c>
      <c r="C95" s="58"/>
      <c r="D95" s="120">
        <f>SUM(D80:D94)</f>
        <v>0</v>
      </c>
    </row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zoomScaleNormal="100" workbookViewId="0">
      <selection activeCell="H83" sqref="H83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224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4" t="s">
        <v>176</v>
      </c>
      <c r="C40" s="275"/>
      <c r="D40" s="276"/>
      <c r="E40" s="66" t="s">
        <v>137</v>
      </c>
      <c r="F40" s="174">
        <f ca="1">IF(MONTH(TODAY())=12,DAY(TODAY())/DAY(EOMONTH(TODAY(),0)),IF(MONTH(TODAY())&gt;12,1,0))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1" t="s">
        <v>145</v>
      </c>
      <c r="C46" s="262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7" t="s">
        <v>146</v>
      </c>
      <c r="C48" s="278"/>
      <c r="D48" s="278"/>
      <c r="E48" s="278"/>
      <c r="F48" s="278"/>
      <c r="G48" s="278"/>
      <c r="H48" s="278"/>
      <c r="I48" s="278"/>
      <c r="J48" s="278"/>
      <c r="K48" s="278"/>
      <c r="L48" s="288"/>
      <c r="M48" s="265" t="s">
        <v>185</v>
      </c>
      <c r="N48" s="266"/>
      <c r="O48" s="266"/>
      <c r="P48" s="266"/>
      <c r="Q48" s="266"/>
      <c r="R48" s="267"/>
    </row>
    <row r="49" spans="2:21" ht="17.100000000000001" customHeight="1" x14ac:dyDescent="0.25">
      <c r="B49" s="289" t="s">
        <v>41</v>
      </c>
      <c r="C49" s="289" t="s">
        <v>42</v>
      </c>
      <c r="D49" s="258" t="s">
        <v>137</v>
      </c>
      <c r="E49" s="259"/>
      <c r="F49" s="259"/>
      <c r="G49" s="260"/>
      <c r="H49" s="290" t="s">
        <v>138</v>
      </c>
      <c r="I49" s="291"/>
      <c r="J49" s="291"/>
      <c r="K49" s="292"/>
      <c r="L49" s="293" t="s">
        <v>139</v>
      </c>
      <c r="M49" s="268" t="str">
        <f>"SELISIH"&amp;CHAR(10)&amp;TEXT($H$40,"0%")</f>
        <v>SELISIH
90%</v>
      </c>
      <c r="N49" s="268" t="str">
        <f>"PER HARI"&amp;CHAR(10)&amp;TEXT($H$40,"0%")</f>
        <v>PER HARI
90%</v>
      </c>
      <c r="O49" s="270" t="str">
        <f>"SELISIH"&amp;CHAR(10)&amp;TEXT($J$40,"0%")</f>
        <v>SELISIH
95%</v>
      </c>
      <c r="P49" s="270" t="str">
        <f>"PER HARI"&amp;CHAR(10)&amp;TEXT($J$40,"0%")</f>
        <v>PER HARI
95%</v>
      </c>
      <c r="Q49" s="272" t="str">
        <f>"SELISIH"&amp;CHAR(10)&amp;TEXT($L$40,"0%")</f>
        <v>SELISIH
100%</v>
      </c>
      <c r="R49" s="272" t="str">
        <f>"PER HARI"&amp;CHAR(10)&amp;TEXT($L$40,"0%")</f>
        <v>PER HARI
100%</v>
      </c>
    </row>
    <row r="50" spans="2:21" ht="17.100000000000001" customHeight="1" x14ac:dyDescent="0.25">
      <c r="B50" s="264"/>
      <c r="C50" s="264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4"/>
      <c r="M50" s="269"/>
      <c r="N50" s="269"/>
      <c r="O50" s="271"/>
      <c r="P50" s="271"/>
      <c r="Q50" s="273"/>
      <c r="R50" s="273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5" t="s">
        <v>144</v>
      </c>
      <c r="C67" s="296"/>
      <c r="D67" s="296"/>
      <c r="E67" s="296"/>
      <c r="F67" s="298"/>
      <c r="G67" s="265" t="s">
        <v>185</v>
      </c>
      <c r="H67" s="266"/>
      <c r="I67" s="266"/>
      <c r="J67" s="266"/>
      <c r="K67" s="266"/>
      <c r="L67" s="267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4" t="s">
        <v>170</v>
      </c>
      <c r="C77" s="255"/>
      <c r="D77" s="256"/>
    </row>
    <row r="78" spans="2:21" ht="17.100000000000001" customHeight="1" x14ac:dyDescent="0.25">
      <c r="B78" s="264" t="s">
        <v>41</v>
      </c>
      <c r="C78" s="264" t="s">
        <v>42</v>
      </c>
      <c r="D78" s="231" t="s">
        <v>138</v>
      </c>
    </row>
    <row r="79" spans="2:21" ht="17.100000000000001" customHeight="1" x14ac:dyDescent="0.25">
      <c r="B79" s="263"/>
      <c r="C79" s="263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9"/>
        <v>0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3" t="s">
        <v>229</v>
      </c>
      <c r="C94" s="56" t="s">
        <v>227</v>
      </c>
      <c r="D94" s="132">
        <f>SUMIF($B$10:$B$27,$T94,$F$10:$F$27)+SUMIF($B$10:$B$27,$U94,$F$10:$F$27)</f>
        <v>0</v>
      </c>
      <c r="T94" t="s">
        <v>227</v>
      </c>
      <c r="U94" t="s">
        <v>217</v>
      </c>
    </row>
    <row r="95" spans="2:21" ht="15" customHeight="1" x14ac:dyDescent="0.25">
      <c r="B95" s="57" t="s">
        <v>151</v>
      </c>
      <c r="C95" s="58"/>
      <c r="D95" s="120">
        <f>SUM(D80:D94)</f>
        <v>0</v>
      </c>
    </row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2026-10-02T08:01:49Z</cp:lastPrinted>
  <dcterms:created xsi:type="dcterms:W3CDTF">2026-03-24T08:59:20Z</dcterms:created>
  <dcterms:modified xsi:type="dcterms:W3CDTF">2026-10-27T00:45:20Z</dcterms:modified>
  <dc:language>en-US</dc:language>
</cp:coreProperties>
</file>