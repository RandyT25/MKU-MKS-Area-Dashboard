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4" l="1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M20" i="14"/>
  <c r="M21" i="14" s="1"/>
  <c r="N19" i="14"/>
  <c r="H64" i="14" s="1"/>
  <c r="M19" i="14"/>
  <c r="G64" i="14" s="1"/>
  <c r="N18" i="14"/>
  <c r="M18" i="14"/>
  <c r="G63" i="14" s="1"/>
  <c r="I63" i="14" s="1"/>
  <c r="J63" i="14" s="1"/>
  <c r="N17" i="14"/>
  <c r="M17" i="14"/>
  <c r="N16" i="14"/>
  <c r="H61" i="14" s="1"/>
  <c r="I61" i="14" s="1"/>
  <c r="J61" i="14" s="1"/>
  <c r="M16" i="14"/>
  <c r="N15" i="14"/>
  <c r="M15" i="14"/>
  <c r="N14" i="14"/>
  <c r="M14" i="14"/>
  <c r="N13" i="14"/>
  <c r="M13" i="14"/>
  <c r="N12" i="14"/>
  <c r="H56" i="14" s="1"/>
  <c r="M12" i="14"/>
  <c r="N11" i="14"/>
  <c r="M11" i="14"/>
  <c r="N10" i="14"/>
  <c r="M10" i="14"/>
  <c r="N9" i="14"/>
  <c r="M9" i="14"/>
  <c r="N8" i="14"/>
  <c r="M8" i="14"/>
  <c r="N7" i="14"/>
  <c r="M7" i="14"/>
  <c r="H63" i="14"/>
  <c r="H62" i="14"/>
  <c r="G62" i="14"/>
  <c r="I62" i="14" s="1"/>
  <c r="J62" i="14" s="1"/>
  <c r="G61" i="14"/>
  <c r="H60" i="14"/>
  <c r="G60" i="14"/>
  <c r="I60" i="14" s="1"/>
  <c r="J60" i="14" s="1"/>
  <c r="H59" i="14"/>
  <c r="I59" i="14" s="1"/>
  <c r="J59" i="14" s="1"/>
  <c r="G59" i="14"/>
  <c r="H58" i="14"/>
  <c r="G58" i="14"/>
  <c r="I58" i="14" s="1"/>
  <c r="J58" i="14" s="1"/>
  <c r="H57" i="14"/>
  <c r="I57" i="14" s="1"/>
  <c r="J57" i="14" s="1"/>
  <c r="G57" i="14"/>
  <c r="G56" i="14"/>
  <c r="I56" i="14" s="1"/>
  <c r="J56" i="14" s="1"/>
  <c r="H55" i="14"/>
  <c r="I55" i="14" s="1"/>
  <c r="J55" i="14" s="1"/>
  <c r="G55" i="14"/>
  <c r="H54" i="14"/>
  <c r="G54" i="14"/>
  <c r="I54" i="14" s="1"/>
  <c r="J54" i="14" s="1"/>
  <c r="H53" i="14"/>
  <c r="I53" i="14" s="1"/>
  <c r="J53" i="14" s="1"/>
  <c r="G53" i="14"/>
  <c r="H52" i="14"/>
  <c r="G52" i="14"/>
  <c r="I52" i="14" s="1"/>
  <c r="J52" i="14" s="1"/>
  <c r="H51" i="14"/>
  <c r="I51" i="14" s="1"/>
  <c r="J51" i="14" s="1"/>
  <c r="G51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M21" i="13"/>
  <c r="M20" i="13"/>
  <c r="N19" i="13"/>
  <c r="M19" i="13"/>
  <c r="G64" i="13" s="1"/>
  <c r="I64" i="13" s="1"/>
  <c r="J64" i="13" s="1"/>
  <c r="N18" i="13"/>
  <c r="M18" i="13"/>
  <c r="N17" i="13"/>
  <c r="M17" i="13"/>
  <c r="N16" i="13"/>
  <c r="H61" i="13" s="1"/>
  <c r="M16" i="13"/>
  <c r="N15" i="13"/>
  <c r="M15" i="13"/>
  <c r="G60" i="13" s="1"/>
  <c r="I60" i="13" s="1"/>
  <c r="J60" i="13" s="1"/>
  <c r="N14" i="13"/>
  <c r="M14" i="13"/>
  <c r="G58" i="13" s="1"/>
  <c r="I58" i="13" s="1"/>
  <c r="J58" i="13" s="1"/>
  <c r="N13" i="13"/>
  <c r="H57" i="13" s="1"/>
  <c r="M13" i="13"/>
  <c r="N12" i="13"/>
  <c r="M12" i="13"/>
  <c r="N11" i="13"/>
  <c r="M11" i="13"/>
  <c r="N10" i="13"/>
  <c r="M10" i="13"/>
  <c r="G54" i="13" s="1"/>
  <c r="I54" i="13" s="1"/>
  <c r="J54" i="13" s="1"/>
  <c r="N9" i="13"/>
  <c r="M9" i="13"/>
  <c r="N8" i="13"/>
  <c r="H51" i="13" s="1"/>
  <c r="M8" i="13"/>
  <c r="N7" i="13"/>
  <c r="M7" i="13"/>
  <c r="H64" i="13"/>
  <c r="H63" i="13"/>
  <c r="G63" i="13"/>
  <c r="I63" i="13" s="1"/>
  <c r="J63" i="13" s="1"/>
  <c r="H62" i="13"/>
  <c r="I62" i="13" s="1"/>
  <c r="J62" i="13" s="1"/>
  <c r="G62" i="13"/>
  <c r="G61" i="13"/>
  <c r="H60" i="13"/>
  <c r="H59" i="13"/>
  <c r="G59" i="13"/>
  <c r="I59" i="13" s="1"/>
  <c r="J59" i="13" s="1"/>
  <c r="H58" i="13"/>
  <c r="G57" i="13"/>
  <c r="H56" i="13"/>
  <c r="I56" i="13" s="1"/>
  <c r="J56" i="13" s="1"/>
  <c r="G56" i="13"/>
  <c r="H55" i="13"/>
  <c r="G55" i="13"/>
  <c r="I55" i="13" s="1"/>
  <c r="J55" i="13" s="1"/>
  <c r="H54" i="13"/>
  <c r="H53" i="13"/>
  <c r="G53" i="13"/>
  <c r="I53" i="13" s="1"/>
  <c r="J53" i="13" s="1"/>
  <c r="H52" i="13"/>
  <c r="I52" i="13" s="1"/>
  <c r="J52" i="13" s="1"/>
  <c r="G52" i="13"/>
  <c r="G51" i="13"/>
  <c r="I51" i="13" s="1"/>
  <c r="J51" i="13" s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M20" i="12"/>
  <c r="M21" i="12" s="1"/>
  <c r="N19" i="12"/>
  <c r="H64" i="12" s="1"/>
  <c r="M19" i="12"/>
  <c r="N18" i="12"/>
  <c r="M18" i="12"/>
  <c r="N17" i="12"/>
  <c r="M17" i="12"/>
  <c r="N16" i="12"/>
  <c r="M16" i="12"/>
  <c r="G61" i="12" s="1"/>
  <c r="I61" i="12" s="1"/>
  <c r="J61" i="12" s="1"/>
  <c r="N15" i="12"/>
  <c r="H60" i="12" s="1"/>
  <c r="M15" i="12"/>
  <c r="N14" i="12"/>
  <c r="H58" i="12" s="1"/>
  <c r="M14" i="12"/>
  <c r="N13" i="12"/>
  <c r="M13" i="12"/>
  <c r="G57" i="12" s="1"/>
  <c r="I57" i="12" s="1"/>
  <c r="J57" i="12" s="1"/>
  <c r="N12" i="12"/>
  <c r="M12" i="12"/>
  <c r="N11" i="12"/>
  <c r="M11" i="12"/>
  <c r="N10" i="12"/>
  <c r="H54" i="12" s="1"/>
  <c r="M10" i="12"/>
  <c r="N9" i="12"/>
  <c r="M9" i="12"/>
  <c r="N8" i="12"/>
  <c r="M8" i="12"/>
  <c r="G51" i="12" s="1"/>
  <c r="I51" i="12" s="1"/>
  <c r="J51" i="12" s="1"/>
  <c r="N7" i="12"/>
  <c r="M7" i="12"/>
  <c r="G64" i="12"/>
  <c r="I64" i="12" s="1"/>
  <c r="J64" i="12" s="1"/>
  <c r="H63" i="12"/>
  <c r="I63" i="12" s="1"/>
  <c r="J63" i="12" s="1"/>
  <c r="G63" i="12"/>
  <c r="H62" i="12"/>
  <c r="G62" i="12"/>
  <c r="I62" i="12" s="1"/>
  <c r="J62" i="12" s="1"/>
  <c r="H61" i="12"/>
  <c r="G60" i="12"/>
  <c r="I60" i="12" s="1"/>
  <c r="J60" i="12" s="1"/>
  <c r="H59" i="12"/>
  <c r="I59" i="12" s="1"/>
  <c r="J59" i="12" s="1"/>
  <c r="G59" i="12"/>
  <c r="G58" i="12"/>
  <c r="I58" i="12" s="1"/>
  <c r="J58" i="12" s="1"/>
  <c r="H57" i="12"/>
  <c r="H56" i="12"/>
  <c r="G56" i="12"/>
  <c r="I56" i="12" s="1"/>
  <c r="J56" i="12" s="1"/>
  <c r="H55" i="12"/>
  <c r="I55" i="12" s="1"/>
  <c r="J55" i="12" s="1"/>
  <c r="G55" i="12"/>
  <c r="G54" i="12"/>
  <c r="H53" i="12"/>
  <c r="I53" i="12" s="1"/>
  <c r="J53" i="12" s="1"/>
  <c r="G53" i="12"/>
  <c r="H52" i="12"/>
  <c r="G52" i="12"/>
  <c r="I52" i="12" s="1"/>
  <c r="J52" i="12" s="1"/>
  <c r="H51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M21" i="11"/>
  <c r="M20" i="11"/>
  <c r="N19" i="11"/>
  <c r="M19" i="11"/>
  <c r="G64" i="11" s="1"/>
  <c r="I64" i="11" s="1"/>
  <c r="J64" i="11" s="1"/>
  <c r="N18" i="11"/>
  <c r="M18" i="11"/>
  <c r="N17" i="11"/>
  <c r="H62" i="11" s="1"/>
  <c r="I62" i="11" s="1"/>
  <c r="J62" i="11" s="1"/>
  <c r="M17" i="11"/>
  <c r="N16" i="11"/>
  <c r="H61" i="11" s="1"/>
  <c r="M16" i="11"/>
  <c r="N15" i="11"/>
  <c r="M15" i="11"/>
  <c r="G60" i="11" s="1"/>
  <c r="I60" i="11" s="1"/>
  <c r="J60" i="11" s="1"/>
  <c r="N14" i="11"/>
  <c r="M14" i="11"/>
  <c r="G58" i="11" s="1"/>
  <c r="I58" i="11" s="1"/>
  <c r="J58" i="11" s="1"/>
  <c r="N13" i="11"/>
  <c r="H57" i="11" s="1"/>
  <c r="M13" i="11"/>
  <c r="N12" i="11"/>
  <c r="M12" i="11"/>
  <c r="N11" i="11"/>
  <c r="M11" i="11"/>
  <c r="N10" i="11"/>
  <c r="M10" i="11"/>
  <c r="G54" i="11" s="1"/>
  <c r="I54" i="11" s="1"/>
  <c r="J54" i="11" s="1"/>
  <c r="N9" i="11"/>
  <c r="M9" i="11"/>
  <c r="N8" i="11"/>
  <c r="H51" i="11" s="1"/>
  <c r="M8" i="11"/>
  <c r="N7" i="11"/>
  <c r="M7" i="11"/>
  <c r="H64" i="11"/>
  <c r="H63" i="11"/>
  <c r="G63" i="11"/>
  <c r="I63" i="11" s="1"/>
  <c r="J63" i="11" s="1"/>
  <c r="G62" i="11"/>
  <c r="G61" i="11"/>
  <c r="I61" i="11" s="1"/>
  <c r="J61" i="11" s="1"/>
  <c r="H60" i="11"/>
  <c r="H59" i="11"/>
  <c r="G59" i="11"/>
  <c r="I59" i="11" s="1"/>
  <c r="J59" i="11" s="1"/>
  <c r="H58" i="11"/>
  <c r="G57" i="11"/>
  <c r="H56" i="11"/>
  <c r="I56" i="11" s="1"/>
  <c r="J56" i="11" s="1"/>
  <c r="G56" i="11"/>
  <c r="H55" i="11"/>
  <c r="G55" i="11"/>
  <c r="I55" i="11" s="1"/>
  <c r="J55" i="11" s="1"/>
  <c r="H54" i="11"/>
  <c r="H53" i="11"/>
  <c r="G53" i="11"/>
  <c r="I53" i="11" s="1"/>
  <c r="J53" i="11" s="1"/>
  <c r="H52" i="11"/>
  <c r="I52" i="11" s="1"/>
  <c r="J52" i="11" s="1"/>
  <c r="G52" i="11"/>
  <c r="G51" i="11"/>
  <c r="I51" i="11" s="1"/>
  <c r="J51" i="11" s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M20" i="10"/>
  <c r="M21" i="10" s="1"/>
  <c r="N19" i="10"/>
  <c r="H64" i="10" s="1"/>
  <c r="M19" i="10"/>
  <c r="N18" i="10"/>
  <c r="M18" i="10"/>
  <c r="N17" i="10"/>
  <c r="M17" i="10"/>
  <c r="N16" i="10"/>
  <c r="M16" i="10"/>
  <c r="G61" i="10" s="1"/>
  <c r="I61" i="10" s="1"/>
  <c r="J61" i="10" s="1"/>
  <c r="N15" i="10"/>
  <c r="H60" i="10" s="1"/>
  <c r="M15" i="10"/>
  <c r="N14" i="10"/>
  <c r="H58" i="10" s="1"/>
  <c r="M14" i="10"/>
  <c r="N13" i="10"/>
  <c r="M13" i="10"/>
  <c r="G57" i="10" s="1"/>
  <c r="I57" i="10" s="1"/>
  <c r="J57" i="10" s="1"/>
  <c r="N12" i="10"/>
  <c r="M12" i="10"/>
  <c r="G56" i="10" s="1"/>
  <c r="I56" i="10" s="1"/>
  <c r="J56" i="10" s="1"/>
  <c r="N11" i="10"/>
  <c r="H55" i="10" s="1"/>
  <c r="I55" i="10" s="1"/>
  <c r="J55" i="10" s="1"/>
  <c r="M11" i="10"/>
  <c r="N10" i="10"/>
  <c r="H54" i="10" s="1"/>
  <c r="M10" i="10"/>
  <c r="N9" i="10"/>
  <c r="M9" i="10"/>
  <c r="N8" i="10"/>
  <c r="M8" i="10"/>
  <c r="G51" i="10" s="1"/>
  <c r="I51" i="10" s="1"/>
  <c r="J51" i="10" s="1"/>
  <c r="N7" i="10"/>
  <c r="M7" i="10"/>
  <c r="G64" i="10"/>
  <c r="I64" i="10" s="1"/>
  <c r="J64" i="10" s="1"/>
  <c r="H63" i="10"/>
  <c r="I63" i="10" s="1"/>
  <c r="J63" i="10" s="1"/>
  <c r="G63" i="10"/>
  <c r="H62" i="10"/>
  <c r="G62" i="10"/>
  <c r="I62" i="10" s="1"/>
  <c r="J62" i="10" s="1"/>
  <c r="H61" i="10"/>
  <c r="G60" i="10"/>
  <c r="I60" i="10" s="1"/>
  <c r="J60" i="10" s="1"/>
  <c r="H59" i="10"/>
  <c r="I59" i="10" s="1"/>
  <c r="J59" i="10" s="1"/>
  <c r="G59" i="10"/>
  <c r="G58" i="10"/>
  <c r="I58" i="10" s="1"/>
  <c r="J58" i="10" s="1"/>
  <c r="H57" i="10"/>
  <c r="H56" i="10"/>
  <c r="G55" i="10"/>
  <c r="G54" i="10"/>
  <c r="H53" i="10"/>
  <c r="I53" i="10" s="1"/>
  <c r="J53" i="10" s="1"/>
  <c r="G53" i="10"/>
  <c r="H52" i="10"/>
  <c r="G52" i="10"/>
  <c r="I52" i="10" s="1"/>
  <c r="J52" i="10" s="1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83" i="9"/>
  <c r="D80" i="9"/>
  <c r="D78" i="9"/>
  <c r="D77" i="9"/>
  <c r="D76" i="9"/>
  <c r="D75" i="9"/>
  <c r="D73" i="9"/>
  <c r="D72" i="9"/>
  <c r="D71" i="9"/>
  <c r="D7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82" i="9"/>
  <c r="D81" i="9"/>
  <c r="D79" i="9"/>
  <c r="D74" i="9"/>
  <c r="I57" i="13" l="1"/>
  <c r="J57" i="13" s="1"/>
  <c r="I57" i="11"/>
  <c r="J57" i="11" s="1"/>
  <c r="I54" i="12"/>
  <c r="J54" i="12" s="1"/>
  <c r="I54" i="10"/>
  <c r="J54" i="10" s="1"/>
  <c r="I61" i="13"/>
  <c r="J61" i="13" s="1"/>
  <c r="I64" i="14"/>
  <c r="J64" i="14" s="1"/>
  <c r="D84" i="9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F55" i="10" s="1"/>
  <c r="D54" i="10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F54" i="9" s="1"/>
  <c r="E53" i="9"/>
  <c r="E52" i="9"/>
  <c r="E51" i="9"/>
  <c r="E65" i="9" s="1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F62" i="8" s="1"/>
  <c r="D61" i="8"/>
  <c r="D60" i="8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E65" i="14"/>
  <c r="F64" i="14"/>
  <c r="F63" i="14"/>
  <c r="F62" i="14"/>
  <c r="F61" i="14"/>
  <c r="F60" i="14"/>
  <c r="L59" i="14"/>
  <c r="K59" i="14"/>
  <c r="F59" i="14"/>
  <c r="F57" i="14"/>
  <c r="F55" i="14"/>
  <c r="F54" i="14"/>
  <c r="L53" i="14"/>
  <c r="K53" i="14"/>
  <c r="F53" i="14"/>
  <c r="F52" i="14"/>
  <c r="F51" i="14"/>
  <c r="L64" i="14"/>
  <c r="L63" i="14"/>
  <c r="K63" i="14"/>
  <c r="L62" i="14"/>
  <c r="L61" i="14"/>
  <c r="L60" i="14"/>
  <c r="L58" i="14"/>
  <c r="L57" i="14"/>
  <c r="L56" i="14"/>
  <c r="L55" i="14"/>
  <c r="K55" i="14"/>
  <c r="L54" i="14"/>
  <c r="L52" i="14"/>
  <c r="E93" i="13"/>
  <c r="G93" i="13" s="1"/>
  <c r="E92" i="13"/>
  <c r="E90" i="13"/>
  <c r="E89" i="13"/>
  <c r="F89" i="13" s="1"/>
  <c r="F64" i="13"/>
  <c r="F62" i="13"/>
  <c r="F60" i="13"/>
  <c r="L59" i="13"/>
  <c r="F59" i="13"/>
  <c r="F58" i="13"/>
  <c r="F56" i="13"/>
  <c r="F54" i="13"/>
  <c r="L53" i="13"/>
  <c r="F53" i="13"/>
  <c r="F52" i="13"/>
  <c r="F51" i="13"/>
  <c r="E45" i="13"/>
  <c r="L64" i="13"/>
  <c r="L62" i="13"/>
  <c r="L61" i="13"/>
  <c r="K60" i="13"/>
  <c r="L58" i="13"/>
  <c r="L57" i="13"/>
  <c r="L56" i="13"/>
  <c r="L54" i="13"/>
  <c r="L52" i="13"/>
  <c r="E93" i="12"/>
  <c r="F93" i="12" s="1"/>
  <c r="E92" i="12"/>
  <c r="G92" i="12" s="1"/>
  <c r="E90" i="12"/>
  <c r="G90" i="12" s="1"/>
  <c r="E89" i="12"/>
  <c r="F89" i="12" s="1"/>
  <c r="F64" i="12"/>
  <c r="F63" i="12"/>
  <c r="F61" i="12"/>
  <c r="L59" i="12"/>
  <c r="F59" i="12"/>
  <c r="F57" i="12"/>
  <c r="F56" i="12"/>
  <c r="F55" i="12"/>
  <c r="L53" i="12"/>
  <c r="K53" i="12"/>
  <c r="F53" i="12"/>
  <c r="F51" i="12"/>
  <c r="D46" i="12"/>
  <c r="L64" i="12"/>
  <c r="K64" i="12"/>
  <c r="L63" i="12"/>
  <c r="L61" i="12"/>
  <c r="K61" i="12"/>
  <c r="L57" i="12"/>
  <c r="L56" i="12"/>
  <c r="K56" i="12"/>
  <c r="L55" i="12"/>
  <c r="K55" i="12"/>
  <c r="L52" i="12"/>
  <c r="L51" i="12"/>
  <c r="D94" i="11"/>
  <c r="E93" i="11"/>
  <c r="E92" i="11"/>
  <c r="G92" i="11" s="1"/>
  <c r="E90" i="11"/>
  <c r="F90" i="11" s="1"/>
  <c r="E89" i="11"/>
  <c r="F64" i="11"/>
  <c r="F62" i="11"/>
  <c r="F61" i="11"/>
  <c r="F60" i="11"/>
  <c r="K59" i="11"/>
  <c r="F59" i="11"/>
  <c r="F58" i="11"/>
  <c r="F56" i="11"/>
  <c r="F54" i="11"/>
  <c r="L53" i="11"/>
  <c r="F53" i="11"/>
  <c r="F52" i="11"/>
  <c r="L64" i="11"/>
  <c r="L63" i="11"/>
  <c r="L62" i="11"/>
  <c r="K62" i="11"/>
  <c r="L61" i="11"/>
  <c r="L60" i="11"/>
  <c r="L58" i="11"/>
  <c r="K58" i="11"/>
  <c r="L56" i="11"/>
  <c r="L55" i="11"/>
  <c r="L54" i="11"/>
  <c r="K54" i="11"/>
  <c r="L52" i="11"/>
  <c r="E93" i="10"/>
  <c r="E92" i="10"/>
  <c r="E90" i="10"/>
  <c r="G90" i="10" s="1"/>
  <c r="E89" i="10"/>
  <c r="F61" i="10"/>
  <c r="L59" i="10"/>
  <c r="F59" i="10"/>
  <c r="F58" i="10"/>
  <c r="L53" i="10"/>
  <c r="K53" i="10"/>
  <c r="F53" i="10"/>
  <c r="F51" i="10"/>
  <c r="D46" i="10"/>
  <c r="E45" i="10"/>
  <c r="F45" i="10" s="1"/>
  <c r="K64" i="10"/>
  <c r="L63" i="10"/>
  <c r="L61" i="10"/>
  <c r="L60" i="10"/>
  <c r="L58" i="10"/>
  <c r="L55" i="10"/>
  <c r="L52" i="10"/>
  <c r="E93" i="9"/>
  <c r="G93" i="9" s="1"/>
  <c r="E92" i="9"/>
  <c r="G92" i="9" s="1"/>
  <c r="E90" i="9"/>
  <c r="G90" i="9" s="1"/>
  <c r="E89" i="9"/>
  <c r="F64" i="9"/>
  <c r="F63" i="9"/>
  <c r="F58" i="9"/>
  <c r="F56" i="9"/>
  <c r="F55" i="9"/>
  <c r="L53" i="9"/>
  <c r="M21" i="9"/>
  <c r="E45" i="9" s="1"/>
  <c r="H64" i="9"/>
  <c r="L64" i="9" s="1"/>
  <c r="G64" i="9"/>
  <c r="K64" i="9" s="1"/>
  <c r="H63" i="9"/>
  <c r="L63" i="9" s="1"/>
  <c r="G63" i="9"/>
  <c r="H62" i="9"/>
  <c r="G62" i="9"/>
  <c r="H61" i="9"/>
  <c r="G61" i="9"/>
  <c r="H60" i="9"/>
  <c r="L60" i="9" s="1"/>
  <c r="G60" i="9"/>
  <c r="H58" i="9"/>
  <c r="L58" i="9" s="1"/>
  <c r="G58" i="9"/>
  <c r="K58" i="9" s="1"/>
  <c r="H57" i="9"/>
  <c r="L57" i="9" s="1"/>
  <c r="G57" i="9"/>
  <c r="H56" i="9"/>
  <c r="L56" i="9" s="1"/>
  <c r="G56" i="9"/>
  <c r="H55" i="9"/>
  <c r="L55" i="9" s="1"/>
  <c r="G55" i="9"/>
  <c r="K55" i="9" s="1"/>
  <c r="H54" i="9"/>
  <c r="L54" i="9" s="1"/>
  <c r="G54" i="9"/>
  <c r="G52" i="9"/>
  <c r="H51" i="9"/>
  <c r="G51" i="9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12" l="1"/>
  <c r="D94" i="13"/>
  <c r="G65" i="3"/>
  <c r="L56" i="8"/>
  <c r="F52" i="9"/>
  <c r="F55" i="7"/>
  <c r="F63" i="7"/>
  <c r="G92" i="7"/>
  <c r="F64" i="8"/>
  <c r="F59" i="9"/>
  <c r="F54" i="10"/>
  <c r="L51" i="3"/>
  <c r="L59" i="3"/>
  <c r="K53" i="7"/>
  <c r="K59" i="9"/>
  <c r="K62" i="7"/>
  <c r="D65" i="11"/>
  <c r="D65" i="13"/>
  <c r="F60" i="8"/>
  <c r="D94" i="9"/>
  <c r="F90" i="7"/>
  <c r="K62" i="8"/>
  <c r="E65" i="11"/>
  <c r="D65" i="14"/>
  <c r="F61" i="7"/>
  <c r="F51" i="9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F65" i="11" s="1"/>
  <c r="E65" i="13"/>
  <c r="F54" i="12"/>
  <c r="F59" i="8"/>
  <c r="D94" i="8"/>
  <c r="L56" i="10"/>
  <c r="L60" i="12"/>
  <c r="L55" i="13"/>
  <c r="F63" i="13"/>
  <c r="F65" i="13" s="1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M51" i="13"/>
  <c r="D94" i="7"/>
  <c r="I55" i="8"/>
  <c r="M55" i="8" s="1"/>
  <c r="N55" i="8" s="1"/>
  <c r="F92" i="12"/>
  <c r="K63" i="9"/>
  <c r="F90" i="8"/>
  <c r="I56" i="9"/>
  <c r="J56" i="9" s="1"/>
  <c r="F92" i="11"/>
  <c r="M59" i="14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K55" i="11"/>
  <c r="K51" i="9"/>
  <c r="I51" i="9"/>
  <c r="G45" i="9"/>
  <c r="H45" i="9" s="1"/>
  <c r="F45" i="9"/>
  <c r="I53" i="7"/>
  <c r="J53" i="7" s="1"/>
  <c r="K54" i="7"/>
  <c r="L51" i="10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M53" i="14"/>
  <c r="N53" i="14" s="1"/>
  <c r="H93" i="13"/>
  <c r="F66" i="3"/>
  <c r="K57" i="3"/>
  <c r="K53" i="3"/>
  <c r="D84" i="14"/>
  <c r="H92" i="11"/>
  <c r="F92" i="8"/>
  <c r="I59" i="9"/>
  <c r="J59" i="9" s="1"/>
  <c r="G45" i="10"/>
  <c r="H45" i="10" s="1"/>
  <c r="M58" i="11"/>
  <c r="N58" i="11" s="1"/>
  <c r="D84" i="11"/>
  <c r="M53" i="12"/>
  <c r="N53" i="12" s="1"/>
  <c r="F93" i="13"/>
  <c r="H93" i="10"/>
  <c r="I63" i="7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K56" i="10"/>
  <c r="D84" i="10"/>
  <c r="L54" i="12"/>
  <c r="D84" i="12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K52" i="12"/>
  <c r="G65" i="12"/>
  <c r="E43" i="12" s="1"/>
  <c r="L51" i="8"/>
  <c r="I62" i="8"/>
  <c r="I58" i="9"/>
  <c r="J58" i="9" s="1"/>
  <c r="K61" i="10"/>
  <c r="E44" i="11"/>
  <c r="E45" i="11"/>
  <c r="E91" i="11"/>
  <c r="E94" i="11" s="1"/>
  <c r="F94" i="11" s="1"/>
  <c r="K52" i="11"/>
  <c r="G65" i="14"/>
  <c r="E43" i="14" s="1"/>
  <c r="K51" i="14"/>
  <c r="K56" i="14"/>
  <c r="K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G89" i="9"/>
  <c r="K57" i="12"/>
  <c r="F93" i="7"/>
  <c r="I58" i="8"/>
  <c r="K54" i="10"/>
  <c r="K58" i="10"/>
  <c r="K63" i="10"/>
  <c r="K57" i="13"/>
  <c r="K62" i="13"/>
  <c r="K57" i="11"/>
  <c r="F89" i="9"/>
  <c r="K55" i="8"/>
  <c r="K59" i="10"/>
  <c r="K62" i="12"/>
  <c r="E91" i="7"/>
  <c r="E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K61" i="11"/>
  <c r="K56" i="9"/>
  <c r="K57" i="10"/>
  <c r="M64" i="10"/>
  <c r="N64" i="10" s="1"/>
  <c r="G92" i="10"/>
  <c r="H92" i="10" s="1"/>
  <c r="F92" i="10"/>
  <c r="K56" i="11"/>
  <c r="K51" i="13"/>
  <c r="G65" i="13"/>
  <c r="E43" i="13" s="1"/>
  <c r="K53" i="13"/>
  <c r="G92" i="13"/>
  <c r="H92" i="13" s="1"/>
  <c r="F92" i="13"/>
  <c r="G93" i="11"/>
  <c r="H93" i="11" s="1"/>
  <c r="F93" i="11"/>
  <c r="L58" i="12"/>
  <c r="G65" i="11"/>
  <c r="E43" i="11" s="1"/>
  <c r="K51" i="11"/>
  <c r="K53" i="11"/>
  <c r="K60" i="11"/>
  <c r="K63" i="12"/>
  <c r="K52" i="13"/>
  <c r="K54" i="13"/>
  <c r="K52" i="14"/>
  <c r="K57" i="14"/>
  <c r="K62" i="14"/>
  <c r="G65" i="9"/>
  <c r="E43" i="9" s="1"/>
  <c r="E91" i="10"/>
  <c r="E94" i="10" s="1"/>
  <c r="F94" i="10" s="1"/>
  <c r="K58" i="13"/>
  <c r="K63" i="13"/>
  <c r="F45" i="13"/>
  <c r="G45" i="13"/>
  <c r="H45" i="13" s="1"/>
  <c r="K59" i="13"/>
  <c r="M57" i="11"/>
  <c r="N57" i="11" s="1"/>
  <c r="K59" i="12"/>
  <c r="M60" i="10"/>
  <c r="N60" i="10" s="1"/>
  <c r="K64" i="11"/>
  <c r="F89" i="11"/>
  <c r="G89" i="11"/>
  <c r="K51" i="12"/>
  <c r="E91" i="12"/>
  <c r="E45" i="12"/>
  <c r="M59" i="12"/>
  <c r="N59" i="12" s="1"/>
  <c r="K64" i="13"/>
  <c r="M61" i="13"/>
  <c r="N61" i="13" s="1"/>
  <c r="F90" i="10"/>
  <c r="K54" i="12"/>
  <c r="K60" i="12"/>
  <c r="G90" i="13"/>
  <c r="F90" i="13"/>
  <c r="K54" i="14"/>
  <c r="K58" i="14"/>
  <c r="F90" i="9"/>
  <c r="F92" i="9"/>
  <c r="K56" i="13"/>
  <c r="E91" i="13"/>
  <c r="K61" i="13"/>
  <c r="L51" i="13"/>
  <c r="H65" i="13"/>
  <c r="M60" i="13"/>
  <c r="N60" i="13" s="1"/>
  <c r="K60" i="14"/>
  <c r="K64" i="14"/>
  <c r="G89" i="14"/>
  <c r="G93" i="14"/>
  <c r="H93" i="14" s="1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61" i="9" l="1"/>
  <c r="N61" i="9" s="1"/>
  <c r="M56" i="9"/>
  <c r="N56" i="9" s="1"/>
  <c r="F65" i="8"/>
  <c r="J58" i="8"/>
  <c r="E46" i="9"/>
  <c r="F46" i="9" s="1"/>
  <c r="J61" i="7"/>
  <c r="M58" i="3"/>
  <c r="N58" i="3" s="1"/>
  <c r="L65" i="13"/>
  <c r="M64" i="11"/>
  <c r="N64" i="11" s="1"/>
  <c r="F94" i="7"/>
  <c r="F65" i="12"/>
  <c r="F65" i="9"/>
  <c r="G91" i="9"/>
  <c r="H91" i="9" s="1"/>
  <c r="M63" i="7"/>
  <c r="N63" i="7" s="1"/>
  <c r="M59" i="9"/>
  <c r="N59" i="9" s="1"/>
  <c r="J62" i="9"/>
  <c r="F44" i="10"/>
  <c r="M57" i="10"/>
  <c r="N57" i="10" s="1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M51" i="10"/>
  <c r="H65" i="10"/>
  <c r="M54" i="9"/>
  <c r="N54" i="9" s="1"/>
  <c r="M53" i="3"/>
  <c r="N53" i="3" s="1"/>
  <c r="M60" i="8"/>
  <c r="N60" i="8" s="1"/>
  <c r="J55" i="8"/>
  <c r="H65" i="8"/>
  <c r="M51" i="3"/>
  <c r="N51" i="3" s="1"/>
  <c r="F44" i="14"/>
  <c r="M59" i="3"/>
  <c r="N59" i="3" s="1"/>
  <c r="F44" i="13"/>
  <c r="M54" i="12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M53" i="10"/>
  <c r="N53" i="10" s="1"/>
  <c r="M63" i="10"/>
  <c r="N63" i="10" s="1"/>
  <c r="E94" i="9"/>
  <c r="F94" i="9" s="1"/>
  <c r="M59" i="6"/>
  <c r="N51" i="8"/>
  <c r="M51" i="14"/>
  <c r="I65" i="14"/>
  <c r="J65" i="14" s="1"/>
  <c r="M58" i="14"/>
  <c r="N58" i="14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L51" i="7"/>
  <c r="L65" i="7" s="1"/>
  <c r="M58" i="8"/>
  <c r="N58" i="8" s="1"/>
  <c r="M57" i="7"/>
  <c r="N57" i="7" s="1"/>
  <c r="G91" i="7"/>
  <c r="H91" i="7" s="1"/>
  <c r="F91" i="7"/>
  <c r="M57" i="13"/>
  <c r="N57" i="13" s="1"/>
  <c r="F44" i="7"/>
  <c r="G44" i="7"/>
  <c r="H44" i="7" s="1"/>
  <c r="M64" i="13"/>
  <c r="N64" i="13" s="1"/>
  <c r="I65" i="11"/>
  <c r="J65" i="11" s="1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63" i="14"/>
  <c r="N63" i="14" s="1"/>
  <c r="M59" i="13"/>
  <c r="N59" i="13" s="1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M64" i="7"/>
  <c r="N64" i="7" s="1"/>
  <c r="M57" i="12"/>
  <c r="N57" i="12" s="1"/>
  <c r="M61" i="10"/>
  <c r="N61" i="10" s="1"/>
  <c r="M55" i="14"/>
  <c r="N55" i="14" s="1"/>
  <c r="M61" i="11"/>
  <c r="N61" i="11" s="1"/>
  <c r="E94" i="13"/>
  <c r="F94" i="13" s="1"/>
  <c r="M54" i="11"/>
  <c r="N54" i="11" s="1"/>
  <c r="M60" i="12"/>
  <c r="N60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K65" i="7"/>
  <c r="M62" i="12"/>
  <c r="N62" i="12" s="1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M57" i="14"/>
  <c r="N57" i="14" s="1"/>
  <c r="M63" i="12"/>
  <c r="N63" i="12" s="1"/>
  <c r="K65" i="12"/>
  <c r="H90" i="13"/>
  <c r="G94" i="11"/>
  <c r="H94" i="11" s="1"/>
  <c r="H89" i="11"/>
  <c r="M64" i="12"/>
  <c r="N64" i="12" s="1"/>
  <c r="M60" i="11"/>
  <c r="N60" i="11" s="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G91" i="12"/>
  <c r="E94" i="12"/>
  <c r="F94" i="12" s="1"/>
  <c r="F91" i="12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94" i="9" l="1"/>
  <c r="H94" i="9" s="1"/>
  <c r="I65" i="12"/>
  <c r="J65" i="12" s="1"/>
  <c r="G70" i="3"/>
  <c r="H70" i="3" s="1"/>
  <c r="G46" i="7"/>
  <c r="H46" i="7" s="1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M65" i="7" l="1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M50" i="4" l="1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<sst xmlns="http://schemas.openxmlformats.org/spreadsheetml/2006/main" count="1879" uniqueCount="189">
  <si>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</si>
  <si>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</si>
  <si>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</si>
  <si>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</si>
  <si>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</si>
  <si>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</si>
  <si>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</si>
  <si>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</si>
  <si>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</si>
  <si>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</si>
  <si>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</si>
  <si>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</si>
  <si>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</si>
  <si>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</si>
  <si>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</si>
  <si>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</si>
  <si>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</si>
  <si>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</si>
  <si>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</si>
  <si>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</si>
  <si>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</si>
  <si>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</si>
  <si>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</si>
  <si>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</si>
  <si>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</si>
  <si>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</si>
  <si>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</si>
  <si>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</si>
  <si>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</si>
  <si>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</si>
  <si>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</si>
  <si>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</si>
  <si>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</si>
  <si>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</si>
  <si>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</si>
  <si>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</si>
  <si>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</si>
  <si>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</si>
  <si>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</si>
  <si>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</si>
  <si>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</si>
  <si>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</si>
  <si>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</si>
  <si>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</si>
  <si>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</si>
  <si>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</si>
  <si>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</si>
  <si>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</si>
  <si>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</si>
  <si>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</si>
  <si>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</si>
  <si>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</si>
  <si>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</si>
  <si>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</si>
  <si>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</si>
  <si>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</si>
  <si>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</si>
  <si>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</si>
  <si>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</si>
  <si>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</si>
  <si>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</si>
  <si>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</si>
  <si>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</si>
  <si>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</si>
  <si>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</si>
  <si>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</si>
  <si>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</si>
  <si>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</si>
  <si>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</si>
  <si>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</si>
  <si>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</si>
  <si>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</si>
  <si>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</si>
  <si>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</si>
  <si>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</si>
  <si>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</si>
  <si>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</si>
  <si>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</si>
  <si>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</si>
  <si>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</si>
  <si>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</si>
  <si>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</si>
  <si>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</si>
  <si>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</si>
  <si>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</si>
  <si>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</si>
  <si>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</si>
  <si>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</si>
  <si>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</si>
  <si>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</si>
  <si>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</si>
  <si>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</si>
  <si>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</si>
  <si>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</si>
  <si>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</si>
  <si>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</si>
  <si>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</si>
  <si>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</si>
  <si>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</si>
  <si>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</si>
  <si>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</si>
  <si>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</si>
  <si>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</si>
  <si>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</si>
  <si>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</si>
  <si>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</si>
  <si>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</si>
  <si>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</si>
  <si>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</si>
  <si>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</si>
  <si>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</si>
  <si>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</si>
  <si>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</si>
  <si>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</si>
  <si>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</si>
  <si>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</si>
  <si>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</si>
  <si>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</si>
  <si>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</si>
  <si>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</si>
  <si>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</si>
  <si>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</si>
  <si>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</si>
  <si>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</si>
  <si>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</si>
  <si>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</si>
  <si>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</si>
  <si>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</si>
  <si>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</si>
  <si>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</si>
  <si>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</si>
  <si>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</si>
  <si>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</si>
  <si>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</si>
  <si>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</si>
  <si>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</si>
  <si>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</si>
  <si>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</si>
  <si>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</si>
  <si>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</si>
  <si>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</si>
  <si>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</si>
  <si>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</si>
  <si>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</si>
  <si>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</si>
  <si>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</si>
  <si>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</si>
  <si>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</si>
  <si>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</si>
  <si>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</si>
  <si>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</si>
  <si>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</si>
  <si>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</si>
  <si>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</si>
  <si>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</si>
  <si>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</si>
  <si>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</si>
  <si>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</si>
  <si>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</si>
  <si>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</si>
  <si>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</si>
  <si>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</si>
  <si>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</si>
  <si>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</si>
  <si>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</si>
  <si>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</si>
  <si>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</si>
  <si>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</si>
  <si>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</si>
  <si>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</si>
  <si>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</si>
  <si>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</si>
  <si>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</si>
  <si>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</si>
  <si>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</si>
  <si>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</si>
  <si>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</si>
  <si>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</si>
  <si>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</si>
  <si>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</si>
  <si>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</si>
  <si>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</si>
  <si>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</si>
  <si>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</si>
  <si>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</si>
  <si>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</si>
  <si>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</si>
  <si>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</si>
  <si>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DATA PENCAPAIAN — GLOBAL —  21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</si>
</sst>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10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63279408.021160699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55558732.971669078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10977251.473971272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129815392.46680105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15194412.332656329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13594963.498726999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4390542.2199999988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-4034870.7486027121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13079437.761152614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8068750.4454943659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-2511713.5668739555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11081442.823529005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10361214.017002499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7561194.7657280387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17723615.740587823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11837432.816217285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3460568.2962995409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9031150.5909120385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118838140.99282987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-1336297.7916272462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-1852948.2737882435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14166497.539386773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10977251.473971283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0" zoomScaleNormal="100" workbookViewId="0">
      <selection activeCell="E71" sqref="E71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42578125" customWidth="1"/>
    <col min="4" max="4" width="17.42578125" customWidth="1"/>
    <col min="5" max="5" width="14.7109375" customWidth="1"/>
    <col min="6" max="6" width="15.140625" bestFit="1" customWidth="1"/>
    <col min="7" max="7" width="16.85546875" customWidth="1"/>
    <col min="8" max="8" width="12.42578125" bestFit="1" customWidth="1"/>
    <col min="9" max="9" width="14.28515625" bestFit="1" customWidth="1"/>
    <col min="10" max="10" width="10.28515625" customWidth="1"/>
    <col min="11" max="11" width="12.7109375" bestFit="1" customWidth="1"/>
    <col min="12" max="12" width="11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295189586.789662</v>
      </c>
      <c r="N8" s="11">
        <f>D22</f>
        <v>36992238.443963997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413579879.28615105</v>
      </c>
      <c r="N9" s="11">
        <f>D13+D14</f>
        <v>126224132.381365</v>
      </c>
    </row>
    <row r="10" spans="2:14" x14ac:dyDescent="0.25">
      <c r="B10" s="74" t="s">
        <v>113</v>
      </c>
      <c r="C10" s="206">
        <v>263575458.90713701</v>
      </c>
      <c r="D10" s="206">
        <v>36221673.674698003</v>
      </c>
      <c r="E10" s="206">
        <v>117796190.05</v>
      </c>
      <c r="F10" s="206">
        <v>417593322.63183498</v>
      </c>
      <c r="H10" s="116"/>
      <c r="I10" s="116"/>
      <c r="J10" s="116"/>
      <c r="M10" s="11">
        <f>C15</f>
        <v>633743347.72472298</v>
      </c>
      <c r="N10" s="11">
        <f>D15</f>
        <v>16299489.632329</v>
      </c>
    </row>
    <row r="11" spans="2:14" x14ac:dyDescent="0.25">
      <c r="B11" s="74" t="s">
        <v>114</v>
      </c>
      <c r="C11" s="206">
        <v>219146671.27665699</v>
      </c>
      <c r="D11" s="206">
        <v>68605896.412695006</v>
      </c>
      <c r="E11" s="206">
        <v>57220804.159999996</v>
      </c>
      <c r="F11" s="206">
        <v>344973371.849352</v>
      </c>
      <c r="H11" s="116"/>
      <c r="I11" s="116"/>
      <c r="J11" s="116"/>
      <c r="M11" s="11">
        <f>C12</f>
        <v>240806307.47903901</v>
      </c>
      <c r="N11" s="11">
        <f>D12</f>
        <v>32367613.199999999</v>
      </c>
    </row>
    <row r="12" spans="2:14" x14ac:dyDescent="0.25">
      <c r="B12" s="74" t="s">
        <v>185</v>
      </c>
      <c r="C12" s="206">
        <v>240806307.47903901</v>
      </c>
      <c r="D12" s="206">
        <v>32367613.199999999</v>
      </c>
      <c r="E12" s="206" t="s">
        <v>168</v>
      </c>
      <c r="F12" s="206">
        <v>273173920.679039</v>
      </c>
      <c r="H12" s="116"/>
      <c r="I12" s="116"/>
      <c r="J12" s="116"/>
      <c r="M12" s="11">
        <f>C25+C26</f>
        <v>261093823.07792801</v>
      </c>
      <c r="N12" s="11">
        <f>D25+D26</f>
        <v>82823458.379486993</v>
      </c>
    </row>
    <row r="13" spans="2:14" x14ac:dyDescent="0.25">
      <c r="B13" s="74" t="s">
        <v>70</v>
      </c>
      <c r="C13" s="206">
        <v>221586301.07314801</v>
      </c>
      <c r="D13" s="206">
        <v>97397848.901493996</v>
      </c>
      <c r="E13" s="206">
        <v>41320598.159999996</v>
      </c>
      <c r="F13" s="206">
        <v>360304748.134642</v>
      </c>
      <c r="H13" s="116"/>
      <c r="I13" s="116"/>
      <c r="J13" s="116"/>
      <c r="M13" s="11">
        <f>C17</f>
        <v>994534632.27414405</v>
      </c>
      <c r="N13" s="11">
        <f>D17</f>
        <v>71391779.929644004</v>
      </c>
    </row>
    <row r="14" spans="2:14" x14ac:dyDescent="0.25">
      <c r="B14" s="74" t="s">
        <v>115</v>
      </c>
      <c r="C14" s="206">
        <v>191993578.21300301</v>
      </c>
      <c r="D14" s="206">
        <v>28826283.479871001</v>
      </c>
      <c r="E14" s="206">
        <v>31989278.879999999</v>
      </c>
      <c r="F14" s="206">
        <v>252809140.57287401</v>
      </c>
      <c r="H14" s="116"/>
      <c r="I14" s="116"/>
      <c r="J14" s="116"/>
      <c r="M14" s="11">
        <f>C23</f>
        <v>334827569.93077803</v>
      </c>
      <c r="N14" s="11">
        <f>D23</f>
        <v>46092826.349945001</v>
      </c>
    </row>
    <row r="15" spans="2:14" x14ac:dyDescent="0.25">
      <c r="B15" s="84" t="s">
        <v>116</v>
      </c>
      <c r="C15" s="206">
        <v>633743347.72472298</v>
      </c>
      <c r="D15" s="206">
        <v>16299489.632329</v>
      </c>
      <c r="E15" s="206">
        <v>254199931.40000001</v>
      </c>
      <c r="F15" s="206">
        <v>904242768.75705194</v>
      </c>
      <c r="H15" s="116"/>
      <c r="I15" s="116"/>
      <c r="J15" s="116"/>
      <c r="M15" s="11">
        <f>C11</f>
        <v>219146671.27665699</v>
      </c>
      <c r="N15" s="11">
        <f>D11</f>
        <v>68605896.412695006</v>
      </c>
    </row>
    <row r="16" spans="2:14" x14ac:dyDescent="0.25">
      <c r="B16" s="74" t="s">
        <v>119</v>
      </c>
      <c r="C16" s="206">
        <v>957592703.323753</v>
      </c>
      <c r="D16" s="206">
        <v>4392576.8539979998</v>
      </c>
      <c r="E16" s="206">
        <v>4929729.68</v>
      </c>
      <c r="F16" s="206">
        <v>966915009.85775101</v>
      </c>
      <c r="H16" s="116"/>
      <c r="I16" s="116"/>
      <c r="J16" s="116"/>
      <c r="M16" s="11">
        <f>C24</f>
        <v>424591561.42302901</v>
      </c>
      <c r="N16" s="11">
        <f>D24</f>
        <v>46296905.379914999</v>
      </c>
    </row>
    <row r="17" spans="2:14" x14ac:dyDescent="0.25">
      <c r="B17" s="74" t="s">
        <v>121</v>
      </c>
      <c r="C17" s="206">
        <v>994534632.27414405</v>
      </c>
      <c r="D17" s="206">
        <v>71391779.929644004</v>
      </c>
      <c r="E17" s="206">
        <v>940028039.929968</v>
      </c>
      <c r="F17" s="206">
        <v>2005954452.1337559</v>
      </c>
      <c r="H17" s="116"/>
      <c r="I17" s="116"/>
      <c r="J17" s="116"/>
      <c r="M17" s="11">
        <f>C10</f>
        <v>263575458.90713701</v>
      </c>
      <c r="N17" s="11">
        <f>D10</f>
        <v>36221673.674698003</v>
      </c>
    </row>
    <row r="18" spans="2:14" x14ac:dyDescent="0.25">
      <c r="B18" s="74" t="s">
        <v>123</v>
      </c>
      <c r="C18" s="206">
        <v>168655318.807558</v>
      </c>
      <c r="D18" s="206">
        <v>20023770.979789</v>
      </c>
      <c r="E18" s="206">
        <v>5232432.54</v>
      </c>
      <c r="F18" s="206">
        <v>193911522.32734701</v>
      </c>
      <c r="H18" s="116"/>
      <c r="I18" s="116"/>
      <c r="J18" s="116"/>
      <c r="M18" s="11">
        <f>C27</f>
        <v>614914142.65680003</v>
      </c>
      <c r="N18" s="11">
        <f>D27</f>
        <v>168664526.51661199</v>
      </c>
    </row>
    <row r="19" spans="2:14" x14ac:dyDescent="0.25">
      <c r="B19" s="74" t="s">
        <v>124</v>
      </c>
      <c r="C19" s="206">
        <v>43658943.799989</v>
      </c>
      <c r="D19" s="206">
        <v>99329495.371998996</v>
      </c>
      <c r="E19" s="206">
        <v>35221622.380000003</v>
      </c>
      <c r="F19" s="206">
        <v>178210061.55198801</v>
      </c>
      <c r="H19" s="116"/>
      <c r="I19" s="116"/>
      <c r="J19" s="116"/>
      <c r="M19" s="11">
        <f>C18+C19</f>
        <v>212314262.60754699</v>
      </c>
      <c r="N19" s="11">
        <f>D18+D19</f>
        <v>119353266.351788</v>
      </c>
    </row>
    <row r="20" spans="2:14" x14ac:dyDescent="0.25">
      <c r="B20" s="74" t="s">
        <v>172</v>
      </c>
      <c r="C20" s="206">
        <v>92008319.599999994</v>
      </c>
      <c r="D20" s="206" t="s">
        <v>168</v>
      </c>
      <c r="E20" s="206">
        <v>6702702.5199999996</v>
      </c>
      <c r="F20" s="206">
        <v>98711022.120000005</v>
      </c>
      <c r="H20" s="116"/>
      <c r="I20" s="116"/>
      <c r="J20" s="116"/>
      <c r="M20" s="14">
        <f>IFERROR(C31,0)+IFERROR(C36,0)</f>
        <v>464500</v>
      </c>
      <c r="N20" s="10" t="s">
        <v>120</v>
      </c>
    </row>
    <row r="21" spans="2:14" x14ac:dyDescent="0.25">
      <c r="B21" s="74" t="s">
        <v>173</v>
      </c>
      <c r="C21" s="206">
        <v>176278128.24000001</v>
      </c>
      <c r="D21" s="206" t="s">
        <v>168</v>
      </c>
      <c r="E21" s="206">
        <v>9567567.3000000007</v>
      </c>
      <c r="F21" s="206">
        <v>185845695.53999999</v>
      </c>
      <c r="H21" s="116"/>
      <c r="I21" s="116"/>
      <c r="J21" s="116"/>
      <c r="M21" s="14">
        <f>IFERROR(C34,0)+IFERROR(C35,0)+M20</f>
        <v>422148268.10527802</v>
      </c>
      <c r="N21" s="10" t="s">
        <v>122</v>
      </c>
    </row>
    <row r="22" spans="2:14" x14ac:dyDescent="0.25">
      <c r="B22" s="74" t="s">
        <v>125</v>
      </c>
      <c r="C22" s="206">
        <v>295189586.789662</v>
      </c>
      <c r="D22" s="206">
        <v>36992238.443963997</v>
      </c>
      <c r="E22" s="206">
        <v>341228504.21990001</v>
      </c>
      <c r="F22" s="206">
        <v>673410329.45352602</v>
      </c>
      <c r="H22" s="116"/>
      <c r="I22" s="116"/>
      <c r="J22" s="116"/>
    </row>
    <row r="23" spans="2:14" x14ac:dyDescent="0.25">
      <c r="B23" s="74" t="s">
        <v>126</v>
      </c>
      <c r="C23" s="206">
        <v>334827569.93077803</v>
      </c>
      <c r="D23" s="206">
        <v>46092826.349945001</v>
      </c>
      <c r="E23" s="206">
        <v>183053970.49959201</v>
      </c>
      <c r="F23" s="206">
        <v>563974366.78031504</v>
      </c>
      <c r="H23" s="116"/>
      <c r="I23" s="116"/>
      <c r="J23" s="116"/>
    </row>
    <row r="24" spans="2:14" x14ac:dyDescent="0.25">
      <c r="B24" s="74" t="s">
        <v>127</v>
      </c>
      <c r="C24" s="206">
        <v>424591561.42302901</v>
      </c>
      <c r="D24" s="206">
        <v>46296905.379914999</v>
      </c>
      <c r="E24" s="206">
        <v>548107685.44934201</v>
      </c>
      <c r="F24" s="206">
        <v>1018996152.252286</v>
      </c>
      <c r="H24" s="116"/>
      <c r="I24" s="116"/>
      <c r="J24" s="116"/>
    </row>
    <row r="25" spans="2:14" x14ac:dyDescent="0.25">
      <c r="B25" s="74" t="s">
        <v>186</v>
      </c>
      <c r="C25" s="206">
        <v>174822469.19822699</v>
      </c>
      <c r="D25" s="206">
        <v>3851604.9499949999</v>
      </c>
      <c r="E25" s="206">
        <v>38350990.5</v>
      </c>
      <c r="F25" s="206">
        <v>217025064.648222</v>
      </c>
      <c r="H25" s="116"/>
      <c r="I25" s="116"/>
      <c r="J25" s="116"/>
    </row>
    <row r="26" spans="2:14" x14ac:dyDescent="0.25">
      <c r="B26" s="74" t="s">
        <v>187</v>
      </c>
      <c r="C26" s="206">
        <v>86271353.879701003</v>
      </c>
      <c r="D26" s="206">
        <v>78971853.429491997</v>
      </c>
      <c r="E26" s="206" t="s">
        <v>168</v>
      </c>
      <c r="F26" s="206">
        <v>165243207.30919299</v>
      </c>
      <c r="H26" s="116"/>
      <c r="I26" s="116"/>
      <c r="J26" s="116"/>
    </row>
    <row r="27" spans="2:14" x14ac:dyDescent="0.25">
      <c r="B27" s="74" t="s">
        <v>128</v>
      </c>
      <c r="C27" s="206">
        <v>614914142.65680003</v>
      </c>
      <c r="D27" s="206">
        <v>168664526.51661199</v>
      </c>
      <c r="E27" s="206">
        <v>10463243.48</v>
      </c>
      <c r="F27" s="206">
        <v>794041912.65341198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158633282.95378199</v>
      </c>
      <c r="G32" s="116"/>
      <c r="H32" s="116"/>
      <c r="I32" s="116"/>
    </row>
    <row r="33" spans="2:14" x14ac:dyDescent="0.25">
      <c r="B33" s="84" t="s">
        <v>133</v>
      </c>
      <c r="C33" s="206">
        <v>484301157.03468502</v>
      </c>
      <c r="G33" s="116"/>
      <c r="H33" s="116"/>
      <c r="I33" s="116"/>
    </row>
    <row r="34" spans="2:14" x14ac:dyDescent="0.25">
      <c r="B34" s="84" t="s">
        <v>134</v>
      </c>
      <c r="C34" s="205">
        <v>94025652.926410004</v>
      </c>
      <c r="G34" s="116"/>
      <c r="H34" s="116"/>
      <c r="I34" s="116"/>
    </row>
    <row r="35" spans="2:14" x14ac:dyDescent="0.25">
      <c r="B35" s="84" t="s">
        <v>135</v>
      </c>
      <c r="C35" s="206">
        <v>327658115.178868</v>
      </c>
      <c r="G35" s="116"/>
      <c r="H35" s="116"/>
      <c r="I35" s="116"/>
    </row>
    <row r="36" spans="2:14" x14ac:dyDescent="0.25">
      <c r="B36" s="84" t="s">
        <v>136</v>
      </c>
      <c r="C36" s="206">
        <v>464500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188</v>
      </c>
      <c r="C41" s="226"/>
      <c r="D41" s="227"/>
      <c r="E41" s="67" t="s">
        <v>138</v>
      </c>
      <c r="F41" s="73">
        <f ca="1">IF(MONTH(TODAY())=7,DAY(TODAY())/DAY(EOMONTH(TODAY(),0)),IF(MONTH(TODAY())&gt;7,1,0))</f>
        <v>0.67741935483870963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5176603691.2735949</v>
      </c>
      <c r="F43" s="44">
        <f>IFERROR(E43/D43,0)</f>
        <v>0.65132176945138331</v>
      </c>
      <c r="G43" s="118">
        <f>D43-E43</f>
        <v>2771240115.0740948</v>
      </c>
      <c r="H43" s="118">
        <f ca="1">IFERROR(G43/C3,0)</f>
        <v>277124011.50740945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851333806.65244198</v>
      </c>
      <c r="F44" s="44">
        <f>IFERROR(E44/D44,0)</f>
        <v>0.57417586965165024</v>
      </c>
      <c r="G44" s="118">
        <f>D44-E44</f>
        <v>631371844.43829799</v>
      </c>
      <c r="H44" s="118">
        <f ca="1">IFERROR(G44/C3,0)</f>
        <v>63137184.443829797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1065082708.093745</v>
      </c>
      <c r="F45" s="44">
        <f>IFERROR(E45/D45,0)</f>
        <v>0.57538950897018404</v>
      </c>
      <c r="G45" s="118">
        <f>D45-E45</f>
        <v>785981121.69348931</v>
      </c>
      <c r="H45" s="118">
        <f ca="1">IFERROR(G45/C3,0)</f>
        <v>78598112.169348925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7093020206.0197821</v>
      </c>
      <c r="F46" s="43">
        <f>IFERROR(E46/D46,0)</f>
        <v>0.62872392675002553</v>
      </c>
      <c r="G46" s="119">
        <f>G43+G44+G45</f>
        <v>4188593081.2058821</v>
      </c>
      <c r="H46" s="119">
        <f ca="1">IFERROR(G46/C3,0)</f>
        <v>418859308.12058818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295189586.789662</v>
      </c>
      <c r="H51" s="122">
        <f>N8</f>
        <v>36992238.443963997</v>
      </c>
      <c r="I51" s="122">
        <f t="shared" ref="I51:I64" si="1">G51+H51</f>
        <v>332181825.23362601</v>
      </c>
      <c r="J51" s="61">
        <f t="shared" ref="J51:J64" si="2">IFERROR(I51/F51,0)</f>
        <v>0.58527450548781867</v>
      </c>
      <c r="K51" s="51">
        <f t="shared" ref="K51:M64" si="3">D51-G51</f>
        <v>196047590.33580142</v>
      </c>
      <c r="L51" s="51">
        <f t="shared" si="3"/>
        <v>39336439.630017452</v>
      </c>
      <c r="M51" s="51">
        <f t="shared" si="3"/>
        <v>235384029.96581888</v>
      </c>
      <c r="N51" s="51">
        <f ca="1">IFERROR(M51/C3,0)</f>
        <v>23538402.99658189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413579879.28615105</v>
      </c>
      <c r="H52" s="122">
        <f>N9</f>
        <v>126224132.381365</v>
      </c>
      <c r="I52" s="122">
        <f t="shared" si="1"/>
        <v>539804011.66751599</v>
      </c>
      <c r="J52" s="61">
        <f t="shared" si="2"/>
        <v>0.64360285312378307</v>
      </c>
      <c r="K52" s="54">
        <f t="shared" si="3"/>
        <v>243877280.56559861</v>
      </c>
      <c r="L52" s="54">
        <f t="shared" si="3"/>
        <v>55040924.499657303</v>
      </c>
      <c r="M52" s="54">
        <f t="shared" si="3"/>
        <v>298918205.065256</v>
      </c>
      <c r="N52" s="54">
        <f ca="1">IFERROR(M52/C3,0)</f>
        <v>29891820.506525598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C20</f>
        <v>92008319.599999994</v>
      </c>
      <c r="H53" s="122">
        <f>IF(D20="",0,D20)</f>
        <v>0</v>
      </c>
      <c r="I53" s="122">
        <f>G53+H53</f>
        <v>92008319.599999994</v>
      </c>
      <c r="J53" s="61">
        <f>IFERROR(I53/F53,0)</f>
        <v>0.36957726312404759</v>
      </c>
      <c r="K53" s="54">
        <f>D53-G53</f>
        <v>156947254.18787572</v>
      </c>
      <c r="L53" s="54">
        <f>E53-H53</f>
        <v>0</v>
      </c>
      <c r="M53" s="54">
        <f>F53-I53</f>
        <v>156947254.18787572</v>
      </c>
      <c r="N53" s="54">
        <f ca="1">IFERROR(M53/C3,0)</f>
        <v>15694725.418787573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633743347.72472298</v>
      </c>
      <c r="H54" s="122">
        <f t="shared" ref="H54:H58" si="4">N10</f>
        <v>16299489.632329</v>
      </c>
      <c r="I54" s="122">
        <f t="shared" si="1"/>
        <v>650042837.35705197</v>
      </c>
      <c r="J54" s="61">
        <f t="shared" si="2"/>
        <v>0.83352702020472891</v>
      </c>
      <c r="K54" s="54">
        <f>D54-G54</f>
        <v>94643929.849179745</v>
      </c>
      <c r="L54" s="54">
        <f t="shared" si="3"/>
        <v>35183376.892264351</v>
      </c>
      <c r="M54" s="54">
        <f t="shared" si="3"/>
        <v>129827306.74144411</v>
      </c>
      <c r="N54" s="54">
        <f ca="1">IFERROR(M54/C3,0)</f>
        <v>12982730.674144411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240806307.47903901</v>
      </c>
      <c r="H55" s="122">
        <f t="shared" si="4"/>
        <v>32367613.199999999</v>
      </c>
      <c r="I55" s="122">
        <f t="shared" si="1"/>
        <v>273173920.679039</v>
      </c>
      <c r="J55" s="61">
        <f t="shared" si="2"/>
        <v>0.49434449099331235</v>
      </c>
      <c r="K55" s="54">
        <f t="shared" si="3"/>
        <v>241505870.99832636</v>
      </c>
      <c r="L55" s="54">
        <f t="shared" si="3"/>
        <v>37918498.899588957</v>
      </c>
      <c r="M55" s="54">
        <f t="shared" si="3"/>
        <v>279424369.89791536</v>
      </c>
      <c r="N55" s="54">
        <f ca="1">IFERROR(M55/C3,0)</f>
        <v>27942436.989791535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261093823.07792801</v>
      </c>
      <c r="H56" s="122">
        <f t="shared" si="4"/>
        <v>82823458.379486993</v>
      </c>
      <c r="I56" s="122">
        <f t="shared" si="1"/>
        <v>343917281.45741498</v>
      </c>
      <c r="J56" s="61">
        <f t="shared" si="2"/>
        <v>0.547513156482622</v>
      </c>
      <c r="K56" s="54">
        <f t="shared" si="3"/>
        <v>244098179.92515856</v>
      </c>
      <c r="L56" s="54">
        <f t="shared" si="3"/>
        <v>40128862.430275112</v>
      </c>
      <c r="M56" s="54">
        <f t="shared" si="3"/>
        <v>284227042.3554337</v>
      </c>
      <c r="N56" s="54">
        <f ca="1">IFERROR(M56/C3,0)</f>
        <v>28422704.23554337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994534632.27414405</v>
      </c>
      <c r="H57" s="122">
        <f t="shared" si="4"/>
        <v>71391779.929644004</v>
      </c>
      <c r="I57" s="122">
        <f t="shared" si="1"/>
        <v>1065926412.203788</v>
      </c>
      <c r="J57" s="61">
        <f t="shared" si="2"/>
        <v>0.91701871211736996</v>
      </c>
      <c r="K57" s="54">
        <f t="shared" si="3"/>
        <v>66710770.774574637</v>
      </c>
      <c r="L57" s="54">
        <f t="shared" si="3"/>
        <v>29745217.859014392</v>
      </c>
      <c r="M57" s="54">
        <f t="shared" si="3"/>
        <v>96455988.633589029</v>
      </c>
      <c r="N57" s="54">
        <f ca="1">IFERROR(M57/C3,0)</f>
        <v>9645598.8633589037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334827569.93077803</v>
      </c>
      <c r="H58" s="122">
        <f t="shared" si="4"/>
        <v>46092826.349945001</v>
      </c>
      <c r="I58" s="122">
        <f>G58+H58</f>
        <v>380920396.28072304</v>
      </c>
      <c r="J58" s="61">
        <f>IFERROR(I58/F58,0)</f>
        <v>0.57042865837879353</v>
      </c>
      <c r="K58" s="54">
        <f t="shared" si="3"/>
        <v>228286600.80331075</v>
      </c>
      <c r="L58" s="54">
        <f t="shared" si="3"/>
        <v>58572208.405625485</v>
      </c>
      <c r="M58" s="54">
        <f t="shared" si="3"/>
        <v>286858809.20893627</v>
      </c>
      <c r="N58" s="54">
        <f ca="1">IFERROR(M58/C3,0)</f>
        <v>28685880.920893628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C21</f>
        <v>176278128.24000001</v>
      </c>
      <c r="H59" s="122">
        <f>IF(D21="",0,D21)</f>
        <v>0</v>
      </c>
      <c r="I59" s="122">
        <f>G59+H59</f>
        <v>176278128.24000001</v>
      </c>
      <c r="J59" s="61">
        <f>IFERROR(I59/F59,0)</f>
        <v>0.41009296906434317</v>
      </c>
      <c r="K59" s="54">
        <f>D59-G59</f>
        <v>253571056.06128496</v>
      </c>
      <c r="L59" s="54">
        <f>E59-H59</f>
        <v>0</v>
      </c>
      <c r="M59" s="54">
        <f>F59-I59</f>
        <v>253571056.06128496</v>
      </c>
      <c r="N59" s="54">
        <f ca="1">IFERROR(M59/C3,0)</f>
        <v>25357105.606128495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219146671.27665699</v>
      </c>
      <c r="H60" s="122">
        <f t="shared" ref="H60:H64" si="5">N15</f>
        <v>68605896.412695006</v>
      </c>
      <c r="I60" s="122">
        <f t="shared" si="1"/>
        <v>287752567.68935198</v>
      </c>
      <c r="J60" s="61">
        <f t="shared" si="2"/>
        <v>0.45502783178831807</v>
      </c>
      <c r="K60" s="54">
        <f t="shared" si="3"/>
        <v>295574440.15019107</v>
      </c>
      <c r="L60" s="54">
        <f t="shared" si="3"/>
        <v>49057535.66947107</v>
      </c>
      <c r="M60" s="54">
        <f t="shared" si="3"/>
        <v>344631975.81966215</v>
      </c>
      <c r="N60" s="54">
        <f ca="1">IFERROR(M60/C3,0)</f>
        <v>34463197.581966214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424591561.42302901</v>
      </c>
      <c r="H61" s="122">
        <f t="shared" si="5"/>
        <v>46296905.379914999</v>
      </c>
      <c r="I61" s="122">
        <f t="shared" si="1"/>
        <v>470888466.802944</v>
      </c>
      <c r="J61" s="61">
        <f t="shared" si="2"/>
        <v>0.61170939005631619</v>
      </c>
      <c r="K61" s="54">
        <f t="shared" si="3"/>
        <v>274253614.81657201</v>
      </c>
      <c r="L61" s="54">
        <f t="shared" si="3"/>
        <v>24649055.246295825</v>
      </c>
      <c r="M61" s="54">
        <f t="shared" si="3"/>
        <v>298902670.06286782</v>
      </c>
      <c r="N61" s="54">
        <f ca="1">IFERROR(M61/C3,0)</f>
        <v>29890267.006286781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263575458.90713701</v>
      </c>
      <c r="H62" s="122">
        <f t="shared" si="5"/>
        <v>36221673.674698003</v>
      </c>
      <c r="I62" s="122">
        <f t="shared" si="1"/>
        <v>299797132.58183503</v>
      </c>
      <c r="J62" s="61">
        <f t="shared" si="2"/>
        <v>0.56541856576821636</v>
      </c>
      <c r="K62" s="54">
        <f t="shared" si="3"/>
        <v>218294905.31022909</v>
      </c>
      <c r="L62" s="54">
        <f t="shared" si="3"/>
        <v>12129554.981367789</v>
      </c>
      <c r="M62" s="54">
        <f t="shared" si="3"/>
        <v>230424460.29159689</v>
      </c>
      <c r="N62" s="54">
        <f ca="1">IFERROR(M62/C3,0)</f>
        <v>23042446.029159687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614914142.65680003</v>
      </c>
      <c r="H63" s="122">
        <f t="shared" si="5"/>
        <v>168664526.51661199</v>
      </c>
      <c r="I63" s="122">
        <f t="shared" si="1"/>
        <v>783578669.17341208</v>
      </c>
      <c r="J63" s="61">
        <f t="shared" si="2"/>
        <v>0.75915488569115475</v>
      </c>
      <c r="K63" s="54">
        <f t="shared" si="3"/>
        <v>91140786.336000443</v>
      </c>
      <c r="L63" s="54">
        <f t="shared" si="3"/>
        <v>157452877.09702432</v>
      </c>
      <c r="M63" s="54">
        <f t="shared" si="3"/>
        <v>248593663.43302464</v>
      </c>
      <c r="N63" s="54">
        <f ca="1">IFERROR(M63/C3,0)</f>
        <v>24859366.343302466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212314262.60754699</v>
      </c>
      <c r="H64" s="122">
        <f t="shared" si="5"/>
        <v>119353266.351788</v>
      </c>
      <c r="I64" s="122">
        <f t="shared" si="1"/>
        <v>331667528.95933497</v>
      </c>
      <c r="J64" s="61">
        <f t="shared" si="2"/>
        <v>0.56204103600767108</v>
      </c>
      <c r="K64" s="54">
        <f t="shared" si="3"/>
        <v>166287834.9599902</v>
      </c>
      <c r="L64" s="54">
        <f t="shared" si="3"/>
        <v>92157292.827695981</v>
      </c>
      <c r="M64" s="54">
        <f t="shared" si="3"/>
        <v>258445127.78768623</v>
      </c>
      <c r="N64" s="54">
        <f ca="1">IFERROR(M64/C3,0)</f>
        <v>25844512.778768621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5176603691.2735949</v>
      </c>
      <c r="H65" s="152">
        <f>SUM(H51:H64)</f>
        <v>851333806.65244198</v>
      </c>
      <c r="I65" s="152">
        <f>SUM(I51:I64)</f>
        <v>6027937497.9260378</v>
      </c>
      <c r="J65" s="153">
        <f>IFERROR(I65/F65,0)</f>
        <v>0.63919260750723816</v>
      </c>
      <c r="K65" s="154">
        <f>SUM(K51:K64)</f>
        <v>2771240115.0740938</v>
      </c>
      <c r="L65" s="154">
        <f>SUM(L51:L64)</f>
        <v>631371844.43829799</v>
      </c>
      <c r="M65" s="154">
        <f>SUM(M51:M64)</f>
        <v>3402611959.512392</v>
      </c>
      <c r="N65" s="154">
        <f ca="1">IFERROR(M65/C3,0)</f>
        <v>340261195.95123923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IF(E22="",0,E22)</f>
        <v>341228504.21990001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IF(E13="",0,E13)+IF(E14="",0,E14)</f>
        <v>73309877.039999992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IF(E20="",0,E20)</f>
        <v>6702702.5199999996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IF(E15="",0,E15)</f>
        <v>254199931.40000001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IF(E25="",0,E25)+IF(E26="",0,E26)</f>
        <v>38350990.5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IF(E17="",0,E17)</f>
        <v>940028039.929968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IF(E23="",0,E23)</f>
        <v>183053970.49959201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IF(E21="",0,E21)</f>
        <v>9567567.3000000007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57220804.159999996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IF(E24="",0,E24)</f>
        <v>548107685.44934201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117796190.05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10463243.48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IF(E18="",0,E18)+IF(E19="",0,E19)</f>
        <v>40454054.920000002</v>
      </c>
    </row>
    <row r="84" spans="2:9" ht="20.100000000000001" customHeight="1" x14ac:dyDescent="0.25">
      <c r="B84" s="57" t="s">
        <v>152</v>
      </c>
      <c r="C84" s="58"/>
      <c r="D84" s="129">
        <f>SUM(D70:D83)</f>
        <v>2620483561.4688025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158633282.95378199</v>
      </c>
      <c r="F89" s="61">
        <f t="shared" ref="F89:F94" si="7">IFERROR(E89/D89,0)</f>
        <v>0.54115760769005194</v>
      </c>
      <c r="G89" s="125">
        <f>D89-E89</f>
        <v>134503652.93983516</v>
      </c>
      <c r="H89" s="125">
        <f ca="1">IFERROR(G89/C3,0)</f>
        <v>13450365.293983515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484301157.03468502</v>
      </c>
      <c r="F90" s="61">
        <f t="shared" si="7"/>
        <v>1.1096681066985259</v>
      </c>
      <c r="G90" s="126">
        <f>D90-E90</f>
        <v>-47863312.141067863</v>
      </c>
      <c r="H90" s="126">
        <f ca="1">IFERROR(G90/C3,0)</f>
        <v>-4786331.2141067861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422148268.10527802</v>
      </c>
      <c r="F91" s="61">
        <f t="shared" si="7"/>
        <v>0.37641764623711277</v>
      </c>
      <c r="G91" s="125">
        <f>D91-E91</f>
        <v>699340780.89472198</v>
      </c>
      <c r="H91" s="125">
        <f ca="1">IFERROR(G91/C3,0)</f>
        <v>69934078.089472204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1065082708.093745</v>
      </c>
      <c r="F94" s="43">
        <f t="shared" si="7"/>
        <v>0.57538950897018404</v>
      </c>
      <c r="G94" s="119">
        <f>SUM(G89:G93)</f>
        <v>785981121.69348931</v>
      </c>
      <c r="H94" s="119">
        <f ca="1">IFERROR(G94/C3,0)</f>
        <v>78598112.169348925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TARGETS!R9</f>
        <v>0</v>
      </c>
      <c r="E55" s="127">
        <f>TARGETS!S9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TARGETS!R10</f>
        <v>0</v>
      </c>
      <c r="E56" s="128">
        <f>TARGETS!S10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TARGETS!T9</f>
        <v>0</v>
      </c>
      <c r="E55" s="127">
        <f>TARGETS!U9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TARGETS!T10</f>
        <v>0</v>
      </c>
      <c r="E56" s="128">
        <f>TARGETS!U10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TARGETS!V9</f>
        <v>0</v>
      </c>
      <c r="E55" s="127">
        <f>TARGETS!W9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TARGETS!V10</f>
        <v>0</v>
      </c>
      <c r="E56" s="128">
        <f>TARGETS!W10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TARGETS!X9</f>
        <v>0</v>
      </c>
      <c r="E55" s="127">
        <f>TARGETS!Y9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TARGETS!X10</f>
        <v>0</v>
      </c>
      <c r="E56" s="128">
        <f>TARGETS!Y10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TARGETS!Z9</f>
        <v>0</v>
      </c>
      <c r="E55" s="127"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TARGETS!Z10</f>
        <v>0</v>
      </c>
      <c r="E56" s="128"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2026-07-21T00:44:29Z</dcterms:modified>
  <dc:language>en-US</dc:language>
</cp:coreProperties>
</file>