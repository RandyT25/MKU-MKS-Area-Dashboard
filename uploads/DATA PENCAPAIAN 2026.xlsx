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<sst xmlns="http://schemas.openxmlformats.org/spreadsheetml/2006/main" count="1878" uniqueCount="188">
  <si>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</si>
  <si>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</si>
  <si>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</si>
  <si>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</si>
  <si>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</si>
  <si>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</si>
  <si>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</si>
  <si>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</si>
  <si>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</si>
  <si>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</si>
  <si>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</si>
  <si>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</si>
  <si>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</si>
  <si>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</si>
  <si>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</si>
  <si>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</si>
  <si>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</si>
  <si>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</si>
  <si>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</si>
  <si>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</si>
  <si>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</si>
  <si>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</si>
  <si>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</si>
  <si>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</si>
  <si>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</si>
  <si>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</si>
  <si>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</si>
  <si>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</si>
  <si>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</si>
  <si>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</si>
  <si>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</si>
  <si>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</si>
  <si>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</si>
  <si>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</si>
  <si>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</si>
  <si>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</si>
  <si>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</si>
  <si>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</si>
  <si>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</si>
  <si>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</si>
  <si>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</si>
  <si>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</si>
  <si>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</si>
  <si>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</si>
  <si>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</si>
  <si>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</si>
  <si>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</si>
  <si>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</si>
  <si>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</si>
  <si>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</si>
  <si>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</si>
  <si>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</si>
  <si>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</si>
  <si>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</si>
  <si>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</si>
  <si>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</si>
  <si>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</si>
  <si>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</si>
  <si>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</si>
  <si>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</si>
  <si>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</si>
  <si>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</si>
  <si>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</si>
  <si>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</si>
  <si>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</si>
  <si>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</si>
  <si>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</si>
  <si>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</si>
  <si>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</si>
  <si>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</si>
  <si>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</si>
  <si>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</si>
  <si>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</si>
  <si>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</si>
  <si>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</si>
  <si>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</si>
  <si>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</si>
  <si>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</si>
  <si>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</si>
  <si>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</si>
  <si>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</si>
  <si>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</si>
  <si>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</si>
  <si>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</si>
  <si>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</si>
  <si>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</si>
  <si>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</si>
  <si>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</si>
  <si>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</si>
  <si>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</si>
  <si>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</si>
  <si>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</si>
  <si>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</si>
  <si>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</si>
  <si>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</si>
  <si>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</si>
  <si>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</si>
  <si>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</si>
  <si>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</si>
  <si>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</si>
  <si>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</si>
  <si>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</si>
  <si>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</si>
  <si>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</si>
  <si>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</si>
  <si>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</si>
  <si>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</si>
  <si>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</si>
  <si>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</si>
  <si>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</si>
  <si>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</si>
  <si>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</si>
  <si>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</si>
  <si>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</si>
  <si>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</si>
  <si>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</si>
  <si>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</si>
  <si>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</si>
  <si>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</si>
  <si>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</si>
  <si>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</si>
  <si>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</si>
  <si>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</si>
  <si>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</si>
  <si>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</si>
  <si>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</si>
  <si>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</si>
  <si>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</si>
  <si>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</si>
  <si>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</si>
  <si>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</si>
  <si>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</si>
  <si>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</si>
  <si>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</si>
  <si>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</si>
  <si>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</si>
  <si>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</si>
  <si>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</si>
  <si>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</si>
  <si>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</si>
  <si>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</si>
  <si>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</si>
  <si>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</si>
  <si>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</si>
  <si>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</si>
  <si>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</si>
  <si>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</si>
  <si>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</si>
  <si>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</si>
  <si>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</si>
  <si>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</si>
  <si>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</si>
  <si>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</si>
  <si>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</si>
  <si>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</si>
  <si>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</si>
  <si>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</si>
  <si>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</si>
  <si>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</si>
  <si>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</si>
  <si>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</si>
  <si>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</si>
  <si>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</si>
  <si>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</si>
  <si>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</si>
  <si>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</si>
  <si>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</si>
  <si>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</si>
  <si>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</si>
  <si>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</si>
  <si>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</si>
  <si>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</si>
  <si>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</si>
  <si>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</si>
  <si>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</si>
  <si>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</si>
  <si>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</si>
  <si>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</si>
  <si>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</si>
  <si>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</si>
  <si>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</si>
  <si>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</si>
  <si>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</si>
  <si>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</si>
  <si>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</si>
  <si>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17 JULI 2026</t>
  </si>
  <si>
    <t>FIB</t>
  </si>
  <si>
    <t>VACANT HOTEL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</si>
</sst>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13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48676467.708585151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42737486.901283905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8444039.5953625161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99857994.205231577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11688009.486658715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10457664.22979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3377340.1692307685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-3103746.7296943939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10061105.970117394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6206731.1119187428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-1932087.3591338121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8524186.7873300035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7970164.6284634611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5816303.6659446452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13633550.569682943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9105717.550936373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2661975.6125381086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6947038.9160861829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91413954.609869137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-1027921.3781748047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-1425344.8259909565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10897305.799528288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8444039.5953625254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9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13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253682137.64413801</v>
      </c>
      <c r="N8" s="11">
        <f>D24</f>
        <v>32741121.313969001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350104806.27637196</v>
      </c>
      <c r="N9" s="11">
        <f>D12+D13</f>
        <v>109541452.341555</v>
      </c>
    </row>
    <row r="10" spans="2:14" x14ac:dyDescent="0.25">
      <c r="B10" s="74" t="s">
        <v>113</v>
      </c>
      <c r="C10" s="206">
        <v>223851359.90509599</v>
      </c>
      <c r="D10" s="206">
        <v>33516934.929698002</v>
      </c>
      <c r="E10" s="206">
        <v>90258983.560000002</v>
      </c>
      <c r="F10" s="206">
        <v>347627278.39479399</v>
      </c>
      <c r="H10" s="116"/>
      <c r="I10" s="116"/>
      <c r="J10" s="116"/>
      <c r="M10" s="11">
        <f>C14</f>
        <v>508806582.11678398</v>
      </c>
      <c r="N10" s="11">
        <f>D14</f>
        <v>15300178.822329</v>
      </c>
    </row>
    <row r="11" spans="2:14" x14ac:dyDescent="0.25">
      <c r="B11" s="74" t="s">
        <v>114</v>
      </c>
      <c r="C11" s="206">
        <v>186186795.32474899</v>
      </c>
      <c r="D11" s="206">
        <v>57292087.522756003</v>
      </c>
      <c r="E11" s="206">
        <v>43437020.299999997</v>
      </c>
      <c r="F11" s="206">
        <v>286915903.14750499</v>
      </c>
      <c r="H11" s="116"/>
      <c r="I11" s="116"/>
      <c r="J11" s="116"/>
      <c r="M11" s="11">
        <f>C17</f>
        <v>208270271.27916899</v>
      </c>
      <c r="N11" s="11">
        <f>D17</f>
        <v>21077997.699999999</v>
      </c>
    </row>
    <row r="12" spans="2:14" x14ac:dyDescent="0.25">
      <c r="B12" s="74" t="s">
        <v>70</v>
      </c>
      <c r="C12" s="206">
        <v>181640417.42329499</v>
      </c>
      <c r="D12" s="206">
        <v>81458493.171690002</v>
      </c>
      <c r="E12" s="206">
        <v>39769787.359999999</v>
      </c>
      <c r="F12" s="206">
        <v>302868697.95498502</v>
      </c>
      <c r="H12" s="116"/>
      <c r="I12" s="116"/>
      <c r="J12" s="116"/>
      <c r="M12" s="11">
        <f>C16</f>
        <v>224964699.43298399</v>
      </c>
      <c r="N12" s="11">
        <f>D16</f>
        <v>73823892.955221996</v>
      </c>
    </row>
    <row r="13" spans="2:14" x14ac:dyDescent="0.25">
      <c r="B13" s="74" t="s">
        <v>115</v>
      </c>
      <c r="C13" s="206">
        <v>168464388.85307699</v>
      </c>
      <c r="D13" s="206">
        <v>28082959.169865001</v>
      </c>
      <c r="E13" s="206">
        <v>25903693.379999999</v>
      </c>
      <c r="F13" s="206">
        <v>222451041.402942</v>
      </c>
      <c r="H13" s="116"/>
      <c r="I13" s="116"/>
      <c r="J13" s="116"/>
      <c r="M13" s="11">
        <f>C19</f>
        <v>875943370.34741199</v>
      </c>
      <c r="N13" s="11">
        <f>D19</f>
        <v>69380882.629644006</v>
      </c>
    </row>
    <row r="14" spans="2:14" x14ac:dyDescent="0.25">
      <c r="B14" s="74" t="s">
        <v>116</v>
      </c>
      <c r="C14" s="206">
        <v>508806582.11678398</v>
      </c>
      <c r="D14" s="206">
        <v>15300178.822329</v>
      </c>
      <c r="E14" s="206">
        <v>215440021.53</v>
      </c>
      <c r="F14" s="206">
        <v>739546782.46911299</v>
      </c>
      <c r="H14" s="116"/>
      <c r="I14" s="116"/>
      <c r="J14" s="116"/>
      <c r="M14" s="11">
        <f>C25</f>
        <v>287283639.85407799</v>
      </c>
      <c r="N14" s="11">
        <f>D25</f>
        <v>40151874.979944997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186186795.32474899</v>
      </c>
      <c r="N15" s="11">
        <f>D11</f>
        <v>57292087.522756003</v>
      </c>
    </row>
    <row r="16" spans="2:14" x14ac:dyDescent="0.25">
      <c r="B16" s="74" t="s">
        <v>187</v>
      </c>
      <c r="C16" s="206">
        <v>224964699.43298399</v>
      </c>
      <c r="D16" s="206">
        <v>73823892.955221996</v>
      </c>
      <c r="E16" s="206">
        <v>37630269.799999997</v>
      </c>
      <c r="F16" s="206">
        <v>336418862.18820596</v>
      </c>
      <c r="H16" s="116"/>
      <c r="I16" s="116"/>
      <c r="J16" s="116"/>
      <c r="M16" s="11">
        <f>C26</f>
        <v>357318458.739941</v>
      </c>
      <c r="N16" s="11">
        <f>D26</f>
        <v>32856910.739925999</v>
      </c>
    </row>
    <row r="17" spans="2:14" x14ac:dyDescent="0.25">
      <c r="B17" s="74" t="s">
        <v>186</v>
      </c>
      <c r="C17" s="206">
        <v>208270271.27916899</v>
      </c>
      <c r="D17" s="206">
        <v>21077997.699999999</v>
      </c>
      <c r="E17" s="206" t="s">
        <v>168</v>
      </c>
      <c r="F17" s="206">
        <v>229348268.97916901</v>
      </c>
      <c r="H17" s="116"/>
      <c r="I17" s="116"/>
      <c r="J17" s="116"/>
      <c r="M17" s="11">
        <f>C10</f>
        <v>223851359.90509599</v>
      </c>
      <c r="N17" s="11">
        <f>D10</f>
        <v>33516934.929698002</v>
      </c>
    </row>
    <row r="18" spans="2:14" x14ac:dyDescent="0.25">
      <c r="B18" s="74" t="s">
        <v>119</v>
      </c>
      <c r="C18" s="206">
        <v>943612736.573789</v>
      </c>
      <c r="D18" s="206">
        <v>3174063.3339979998</v>
      </c>
      <c r="E18" s="206">
        <v>3470270.24</v>
      </c>
      <c r="F18" s="206">
        <v>950257070.14778697</v>
      </c>
      <c r="H18" s="116"/>
      <c r="I18" s="116"/>
      <c r="J18" s="116"/>
      <c r="M18" s="11">
        <f>C27</f>
        <v>516075434.39680803</v>
      </c>
      <c r="N18" s="11">
        <f>D27</f>
        <v>126833423.285218</v>
      </c>
    </row>
    <row r="19" spans="2:14" x14ac:dyDescent="0.25">
      <c r="B19" s="74" t="s">
        <v>121</v>
      </c>
      <c r="C19" s="206">
        <v>875943370.34741199</v>
      </c>
      <c r="D19" s="206">
        <v>69380882.629644006</v>
      </c>
      <c r="E19" s="206">
        <v>814525877.99996805</v>
      </c>
      <c r="F19" s="206">
        <v>1759850130.9770241</v>
      </c>
      <c r="H19" s="116"/>
      <c r="I19" s="116"/>
      <c r="J19" s="116"/>
      <c r="M19" s="11">
        <f>C20+C21</f>
        <v>162978662.57415801</v>
      </c>
      <c r="N19" s="11">
        <f>D20+D21</f>
        <v>112827679.08580901</v>
      </c>
    </row>
    <row r="20" spans="2:14" x14ac:dyDescent="0.25">
      <c r="B20" s="74" t="s">
        <v>123</v>
      </c>
      <c r="C20" s="206">
        <v>127477083.874163</v>
      </c>
      <c r="D20" s="206">
        <v>18511770.979789</v>
      </c>
      <c r="E20" s="206">
        <v>3178378.44</v>
      </c>
      <c r="F20" s="206">
        <v>149167233.29395199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35501578.699995004</v>
      </c>
      <c r="D21" s="206">
        <v>94315908.106020004</v>
      </c>
      <c r="E21" s="206">
        <v>21664865.34</v>
      </c>
      <c r="F21" s="206">
        <v>151482352.14601499</v>
      </c>
      <c r="H21" s="116"/>
      <c r="I21" s="116"/>
      <c r="J21" s="116"/>
      <c r="M21" s="14">
        <f>IFERROR(C34,0)+IFERROR(C35,0)+M20</f>
        <v>396098106.29419404</v>
      </c>
      <c r="N21" s="10" t="s">
        <v>122</v>
      </c>
    </row>
    <row r="22" spans="2:14" x14ac:dyDescent="0.25">
      <c r="B22" s="74" t="s">
        <v>172</v>
      </c>
      <c r="C22" s="206">
        <v>92008319.599999994</v>
      </c>
      <c r="D22" s="206" t="s">
        <v>168</v>
      </c>
      <c r="E22" s="206">
        <v>4684684.5599999996</v>
      </c>
      <c r="F22" s="206">
        <v>96693004.159999996</v>
      </c>
      <c r="H22" s="116"/>
      <c r="I22" s="116"/>
      <c r="J22" s="116"/>
    </row>
    <row r="23" spans="2:14" x14ac:dyDescent="0.25">
      <c r="B23" s="74" t="s">
        <v>173</v>
      </c>
      <c r="C23" s="206">
        <v>176514768.24000001</v>
      </c>
      <c r="D23" s="206" t="s">
        <v>168</v>
      </c>
      <c r="E23" s="206">
        <v>9567567.3000000007</v>
      </c>
      <c r="F23" s="206">
        <v>186082335.53999999</v>
      </c>
      <c r="H23" s="116"/>
      <c r="I23" s="116"/>
      <c r="J23" s="116"/>
    </row>
    <row r="24" spans="2:14" x14ac:dyDescent="0.25">
      <c r="B24" s="74" t="s">
        <v>125</v>
      </c>
      <c r="C24" s="206">
        <v>253682137.64413801</v>
      </c>
      <c r="D24" s="206">
        <v>32741121.313969001</v>
      </c>
      <c r="E24" s="206">
        <v>326638702.70990002</v>
      </c>
      <c r="F24" s="206">
        <v>613061961.66800702</v>
      </c>
      <c r="H24" s="116"/>
      <c r="I24" s="116"/>
      <c r="J24" s="116"/>
    </row>
    <row r="25" spans="2:14" x14ac:dyDescent="0.25">
      <c r="B25" s="74" t="s">
        <v>126</v>
      </c>
      <c r="C25" s="206">
        <v>287283639.85407799</v>
      </c>
      <c r="D25" s="206">
        <v>40151874.979944997</v>
      </c>
      <c r="E25" s="206">
        <v>159374691.10962701</v>
      </c>
      <c r="F25" s="206">
        <v>486810205.94365001</v>
      </c>
      <c r="H25" s="116"/>
      <c r="I25" s="116"/>
      <c r="J25" s="116"/>
    </row>
    <row r="26" spans="2:14" x14ac:dyDescent="0.25">
      <c r="B26" s="74" t="s">
        <v>127</v>
      </c>
      <c r="C26" s="206">
        <v>357318458.739941</v>
      </c>
      <c r="D26" s="206">
        <v>32856910.739925999</v>
      </c>
      <c r="E26" s="206">
        <v>424776377.58957398</v>
      </c>
      <c r="F26" s="206">
        <v>814951747.06944096</v>
      </c>
      <c r="H26" s="116"/>
      <c r="I26" s="116"/>
      <c r="J26" s="116"/>
    </row>
    <row r="27" spans="2:14" x14ac:dyDescent="0.25">
      <c r="B27" s="74" t="s">
        <v>128</v>
      </c>
      <c r="C27" s="206">
        <v>516075434.39680803</v>
      </c>
      <c r="D27" s="206">
        <v>126833423.285218</v>
      </c>
      <c r="E27" s="206">
        <v>9490270.4800000004</v>
      </c>
      <c r="F27" s="206">
        <v>652399128.16202605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139293174.79384601</v>
      </c>
      <c r="G32" s="116"/>
      <c r="H32" s="116"/>
      <c r="I32" s="116"/>
    </row>
    <row r="33" spans="2:14" x14ac:dyDescent="0.25">
      <c r="B33" s="84" t="s">
        <v>133</v>
      </c>
      <c r="C33" s="206">
        <v>368702772.32607198</v>
      </c>
      <c r="G33" s="116"/>
      <c r="H33" s="116"/>
      <c r="I33" s="116"/>
    </row>
    <row r="34" spans="2:14" x14ac:dyDescent="0.25">
      <c r="B34" s="84" t="s">
        <v>134</v>
      </c>
      <c r="C34" s="205">
        <v>72747369.365243003</v>
      </c>
      <c r="G34" s="116"/>
      <c r="H34" s="116"/>
      <c r="I34" s="116"/>
    </row>
    <row r="35" spans="2:14" x14ac:dyDescent="0.25">
      <c r="B35" s="84" t="s">
        <v>135</v>
      </c>
      <c r="C35" s="206">
        <v>322939736.92895103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0.54838709677419351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4423989305.7316885</v>
      </c>
      <c r="F43" s="44">
        <f>IFERROR(E43/D43,0)</f>
        <v>0.55662761039646869</v>
      </c>
      <c r="G43" s="118">
        <f>D43-E43</f>
        <v>3523854500.6160011</v>
      </c>
      <c r="H43" s="118">
        <f ca="1">IFERROR(G43/C3,0)</f>
        <v>271065730.81661546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725344436.30607104</v>
      </c>
      <c r="F44" s="44">
        <f>IFERROR(E44/D44,0)</f>
        <v>0.4892032587671582</v>
      </c>
      <c r="G44" s="118">
        <f>D44-E44</f>
        <v>757361214.78466892</v>
      </c>
      <c r="H44" s="118">
        <f ca="1">IFERROR(G44/C3,0)</f>
        <v>58258554.98343607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904094053.41411209</v>
      </c>
      <c r="F45" s="44">
        <f>IFERROR(E45/D45,0)</f>
        <v>0.48841862655704898</v>
      </c>
      <c r="G45" s="118">
        <f>D45-E45</f>
        <v>946969776.37312222</v>
      </c>
      <c r="H45" s="118">
        <f ca="1">IFERROR(G45/C3,0)</f>
        <v>72843828.951778635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6053427795.4518719</v>
      </c>
      <c r="F46" s="43">
        <f>IFERROR(E46/D46,0)</f>
        <v>0.53657465836967289</v>
      </c>
      <c r="G46" s="119">
        <f>G43+G44+G45</f>
        <v>5228185491.7737923</v>
      </c>
      <c r="H46" s="119">
        <f ca="1">IFERROR(G46/C3,0)</f>
        <v>402168114.75183016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253682137.64413801</v>
      </c>
      <c r="H51" s="122">
        <f>N8</f>
        <v>32741121.313969001</v>
      </c>
      <c r="I51" s="122">
        <f t="shared" ref="I51:I64" si="1">G51+H51</f>
        <v>286423258.95810699</v>
      </c>
      <c r="J51" s="61">
        <f t="shared" ref="J51:J64" si="2">IFERROR(I51/F51,0)</f>
        <v>0.50465202642864537</v>
      </c>
      <c r="K51" s="51">
        <f t="shared" ref="K51:M64" si="3">D51-G51</f>
        <v>237555039.48132542</v>
      </c>
      <c r="L51" s="51">
        <f t="shared" si="3"/>
        <v>43587556.760012448</v>
      </c>
      <c r="M51" s="51">
        <f t="shared" si="3"/>
        <v>281142596.2413379</v>
      </c>
      <c r="N51" s="51">
        <f ca="1">IFERROR(M51/C3,0)</f>
        <v>21626353.557025991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350104806.27637196</v>
      </c>
      <c r="H52" s="122">
        <f>N9</f>
        <v>109541452.341555</v>
      </c>
      <c r="I52" s="122">
        <f t="shared" si="1"/>
        <v>459646258.61792696</v>
      </c>
      <c r="J52" s="61">
        <f t="shared" si="2"/>
        <v>0.54803157642404066</v>
      </c>
      <c r="K52" s="54">
        <f t="shared" si="3"/>
        <v>307352353.5753777</v>
      </c>
      <c r="L52" s="54">
        <f t="shared" si="3"/>
        <v>71723604.539467305</v>
      </c>
      <c r="M52" s="54">
        <f t="shared" si="3"/>
        <v>379075958.11484504</v>
      </c>
      <c r="N52" s="54">
        <f ca="1">IFERROR(M52/C3,0)</f>
        <v>29159689.085757311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92008319.599999994</v>
      </c>
      <c r="H53" s="122">
        <f>IF(D22="",0,D22)</f>
        <v>0</v>
      </c>
      <c r="I53" s="122">
        <f>G53+H53</f>
        <v>92008319.599999994</v>
      </c>
      <c r="J53" s="61">
        <f>IFERROR(I53/F53,0)</f>
        <v>0.36957726312404759</v>
      </c>
      <c r="K53" s="54">
        <f>D53-G53</f>
        <v>156947254.18787572</v>
      </c>
      <c r="L53" s="54">
        <f>E53-H53</f>
        <v>0</v>
      </c>
      <c r="M53" s="54">
        <f>F53-I53</f>
        <v>156947254.18787572</v>
      </c>
      <c r="N53" s="54">
        <f ca="1">IFERROR(M53/C3,0)</f>
        <v>12072865.706759671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508806582.11678398</v>
      </c>
      <c r="H54" s="122">
        <f t="shared" ref="H54:H58" si="4">N10</f>
        <v>15300178.822329</v>
      </c>
      <c r="I54" s="122">
        <f t="shared" si="1"/>
        <v>524106760.93911296</v>
      </c>
      <c r="J54" s="61">
        <f t="shared" si="2"/>
        <v>0.67204362791059646</v>
      </c>
      <c r="K54" s="54">
        <f>D54-G54</f>
        <v>219580695.45711875</v>
      </c>
      <c r="L54" s="54">
        <f t="shared" si="3"/>
        <v>36182687.702264354</v>
      </c>
      <c r="M54" s="54">
        <f t="shared" si="3"/>
        <v>255763383.15938312</v>
      </c>
      <c r="N54" s="54">
        <f ca="1">IFERROR(M54/C3,0)</f>
        <v>19674106.396875624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208270271.27916899</v>
      </c>
      <c r="H55" s="122">
        <f t="shared" si="4"/>
        <v>21077997.699999999</v>
      </c>
      <c r="I55" s="122">
        <f t="shared" si="1"/>
        <v>229348268.97916898</v>
      </c>
      <c r="J55" s="61">
        <f t="shared" si="2"/>
        <v>0.41503615354964646</v>
      </c>
      <c r="K55" s="54">
        <f t="shared" si="3"/>
        <v>274041907.19819641</v>
      </c>
      <c r="L55" s="54">
        <f t="shared" si="3"/>
        <v>49208114.399588957</v>
      </c>
      <c r="M55" s="54">
        <f t="shared" si="3"/>
        <v>323250021.59778535</v>
      </c>
      <c r="N55" s="54">
        <f ca="1">IFERROR(M55/C3,0)</f>
        <v>24865386.276752718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224964699.43298399</v>
      </c>
      <c r="H56" s="122">
        <f t="shared" si="4"/>
        <v>73823892.955221996</v>
      </c>
      <c r="I56" s="122">
        <f t="shared" si="1"/>
        <v>298788592.38820601</v>
      </c>
      <c r="J56" s="61">
        <f t="shared" si="2"/>
        <v>0.47566869756070268</v>
      </c>
      <c r="K56" s="54">
        <f t="shared" si="3"/>
        <v>280227303.57010257</v>
      </c>
      <c r="L56" s="54">
        <f t="shared" si="3"/>
        <v>49128427.85454011</v>
      </c>
      <c r="M56" s="54">
        <f t="shared" si="3"/>
        <v>329355731.42464268</v>
      </c>
      <c r="N56" s="54">
        <f ca="1">IFERROR(M56/C3,0)</f>
        <v>25335056.263434052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875943370.34741199</v>
      </c>
      <c r="H57" s="122">
        <f t="shared" si="4"/>
        <v>69380882.629644006</v>
      </c>
      <c r="I57" s="122">
        <f t="shared" si="1"/>
        <v>945324252.97705603</v>
      </c>
      <c r="J57" s="61">
        <f t="shared" si="2"/>
        <v>0.81326442339117233</v>
      </c>
      <c r="K57" s="54">
        <f t="shared" si="3"/>
        <v>185302032.7013067</v>
      </c>
      <c r="L57" s="54">
        <f t="shared" si="3"/>
        <v>31756115.159014389</v>
      </c>
      <c r="M57" s="54">
        <f t="shared" si="3"/>
        <v>217058147.86032104</v>
      </c>
      <c r="N57" s="54">
        <f ca="1">IFERROR(M57/C3,0)</f>
        <v>16696780.60464008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287283639.85407799</v>
      </c>
      <c r="H58" s="122">
        <f t="shared" si="4"/>
        <v>40151874.979944997</v>
      </c>
      <c r="I58" s="122">
        <f>G58+H58</f>
        <v>327435514.834023</v>
      </c>
      <c r="J58" s="61">
        <f>IFERROR(I58/F58,0)</f>
        <v>0.49033499717009893</v>
      </c>
      <c r="K58" s="54">
        <f t="shared" si="3"/>
        <v>275830530.88001078</v>
      </c>
      <c r="L58" s="54">
        <f t="shared" si="3"/>
        <v>64513159.77562549</v>
      </c>
      <c r="M58" s="54">
        <f t="shared" si="3"/>
        <v>340343690.65563631</v>
      </c>
      <c r="N58" s="54">
        <f ca="1">IFERROR(M58/C3,0)</f>
        <v>26180283.896587409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176514768.24000001</v>
      </c>
      <c r="H59" s="122">
        <f>IF(D23="",0,D23)</f>
        <v>0</v>
      </c>
      <c r="I59" s="122">
        <f>G59+H59</f>
        <v>176514768.24000001</v>
      </c>
      <c r="J59" s="61">
        <f>IFERROR(I59/F59,0)</f>
        <v>0.41064348773145348</v>
      </c>
      <c r="K59" s="54">
        <f>D59-G59</f>
        <v>253334416.06128496</v>
      </c>
      <c r="L59" s="54">
        <f>E59-H59</f>
        <v>0</v>
      </c>
      <c r="M59" s="54">
        <f>F59-I59</f>
        <v>253334416.06128496</v>
      </c>
      <c r="N59" s="54">
        <f ca="1">IFERROR(M59/C3,0)</f>
        <v>19487262.773944996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186186795.32474899</v>
      </c>
      <c r="H60" s="122">
        <f t="shared" ref="H60:H64" si="5">N15</f>
        <v>57292087.522756003</v>
      </c>
      <c r="I60" s="122">
        <f t="shared" si="1"/>
        <v>243478882.847505</v>
      </c>
      <c r="J60" s="61">
        <f t="shared" si="2"/>
        <v>0.38501713134301868</v>
      </c>
      <c r="K60" s="54">
        <f t="shared" si="3"/>
        <v>328534316.10209906</v>
      </c>
      <c r="L60" s="54">
        <f t="shared" si="3"/>
        <v>60371344.559410073</v>
      </c>
      <c r="M60" s="54">
        <f t="shared" si="3"/>
        <v>388905660.66150916</v>
      </c>
      <c r="N60" s="54">
        <f ca="1">IFERROR(M60/C3,0)</f>
        <v>29915820.05088532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357318458.739941</v>
      </c>
      <c r="H61" s="122">
        <f t="shared" si="5"/>
        <v>32856910.739925999</v>
      </c>
      <c r="I61" s="122">
        <f t="shared" si="1"/>
        <v>390175369.47986698</v>
      </c>
      <c r="J61" s="61">
        <f t="shared" si="2"/>
        <v>0.50685874491678051</v>
      </c>
      <c r="K61" s="54">
        <f t="shared" si="3"/>
        <v>341526717.49966002</v>
      </c>
      <c r="L61" s="54">
        <f t="shared" si="3"/>
        <v>38089049.886284828</v>
      </c>
      <c r="M61" s="54">
        <f t="shared" si="3"/>
        <v>379615767.38594484</v>
      </c>
      <c r="N61" s="54">
        <f ca="1">IFERROR(M61/C3,0)</f>
        <v>29201212.875841912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223851359.90509599</v>
      </c>
      <c r="H62" s="122">
        <f t="shared" si="5"/>
        <v>33516934.929698002</v>
      </c>
      <c r="I62" s="122">
        <f t="shared" si="1"/>
        <v>257368294.83479398</v>
      </c>
      <c r="J62" s="61">
        <f t="shared" si="2"/>
        <v>0.48539761166654305</v>
      </c>
      <c r="K62" s="54">
        <f t="shared" si="3"/>
        <v>258019004.3122701</v>
      </c>
      <c r="L62" s="54">
        <f t="shared" si="3"/>
        <v>14834293.72636779</v>
      </c>
      <c r="M62" s="54">
        <f t="shared" si="3"/>
        <v>272853298.03863794</v>
      </c>
      <c r="N62" s="54">
        <f ca="1">IFERROR(M62/C3,0)</f>
        <v>20988715.23374138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516075434.39680803</v>
      </c>
      <c r="H63" s="122">
        <f t="shared" si="5"/>
        <v>126833423.285218</v>
      </c>
      <c r="I63" s="122">
        <f t="shared" si="1"/>
        <v>642908857.68202603</v>
      </c>
      <c r="J63" s="61">
        <f t="shared" si="2"/>
        <v>0.62286968694322153</v>
      </c>
      <c r="K63" s="54">
        <f t="shared" si="3"/>
        <v>189979494.59599245</v>
      </c>
      <c r="L63" s="54">
        <f t="shared" si="3"/>
        <v>199283980.32841831</v>
      </c>
      <c r="M63" s="54">
        <f t="shared" si="3"/>
        <v>389263474.9244107</v>
      </c>
      <c r="N63" s="54">
        <f ca="1">IFERROR(M63/C3,0)</f>
        <v>29943344.224954668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162978662.57415801</v>
      </c>
      <c r="H64" s="122">
        <f t="shared" si="5"/>
        <v>112827679.08580901</v>
      </c>
      <c r="I64" s="122">
        <f t="shared" si="1"/>
        <v>275806341.65996701</v>
      </c>
      <c r="J64" s="61">
        <f t="shared" si="2"/>
        <v>0.46737913262247488</v>
      </c>
      <c r="K64" s="54">
        <f t="shared" si="3"/>
        <v>215623434.99337918</v>
      </c>
      <c r="L64" s="54">
        <f t="shared" si="3"/>
        <v>98682880.093674973</v>
      </c>
      <c r="M64" s="54">
        <f t="shared" si="3"/>
        <v>314306315.08705419</v>
      </c>
      <c r="N64" s="54">
        <f ca="1">IFERROR(M64/C3,0)</f>
        <v>24177408.852850322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4423989305.7316885</v>
      </c>
      <c r="H65" s="152">
        <f>SUM(H51:H64)</f>
        <v>725344436.30607104</v>
      </c>
      <c r="I65" s="152">
        <f>SUM(I51:I64)</f>
        <v>5149333742.0377607</v>
      </c>
      <c r="J65" s="153">
        <f>IFERROR(I65/F65,0)</f>
        <v>0.54602690599074044</v>
      </c>
      <c r="K65" s="154">
        <f>SUM(K51:K64)</f>
        <v>3523854500.6159997</v>
      </c>
      <c r="L65" s="154">
        <f>SUM(L51:L64)</f>
        <v>757361214.78466904</v>
      </c>
      <c r="M65" s="154">
        <f>SUM(M51:M64)</f>
        <v>4281215715.4006691</v>
      </c>
      <c r="N65" s="154">
        <f ca="1">IFERROR(M65/C3,0)</f>
        <v>329324285.80005145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326638702.70990002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65673480.739999995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4684684.5599999996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215440021.53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37630269.799999997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814525877.99996805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159374691.10962701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9567567.3000000007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43437020.299999997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424776377.58957398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90258983.560000002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9490270.4800000004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24843243.780000001</v>
      </c>
    </row>
    <row r="84" spans="2:9" ht="20.100000000000001" customHeight="1" x14ac:dyDescent="0.25">
      <c r="B84" s="57" t="s">
        <v>152</v>
      </c>
      <c r="C84" s="58"/>
      <c r="D84" s="129">
        <f>SUM(D70:D83)</f>
        <v>2226341191.4590693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139293174.79384601</v>
      </c>
      <c r="F89" s="61">
        <f t="shared" ref="F89:F94" si="7">IFERROR(E89/D89,0)</f>
        <v>0.47518124718475307</v>
      </c>
      <c r="G89" s="125">
        <f>D89-E89</f>
        <v>153843761.09977114</v>
      </c>
      <c r="H89" s="125">
        <f ca="1">IFERROR(G89/C3,0)</f>
        <v>11834135.469213165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368702772.32607198</v>
      </c>
      <c r="F90" s="61">
        <f t="shared" si="7"/>
        <v>0.84480018550165881</v>
      </c>
      <c r="G90" s="126">
        <f>D90-E90</f>
        <v>67735072.567545176</v>
      </c>
      <c r="H90" s="126">
        <f ca="1">IFERROR(G90/C3,0)</f>
        <v>5210390.1975034755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396098106.29419404</v>
      </c>
      <c r="F91" s="61">
        <f t="shared" si="7"/>
        <v>0.35318945525806383</v>
      </c>
      <c r="G91" s="125">
        <f>D91-E91</f>
        <v>725390942.70580602</v>
      </c>
      <c r="H91" s="125">
        <f ca="1">IFERROR(G91/C3,0)</f>
        <v>55799303.285062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904094053.41411209</v>
      </c>
      <c r="F94" s="43">
        <f t="shared" si="7"/>
        <v>0.48841862655704898</v>
      </c>
      <c r="G94" s="119">
        <f>SUM(G89:G93)</f>
        <v>946969776.37312233</v>
      </c>
      <c r="H94" s="119">
        <f ca="1">IFERROR(G94/C3,0)</f>
        <v>72843828.951778635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2026-07-17T01:05:34Z</dcterms:modified>
  <dc:language>en-US</dc:language>
</cp:coreProperties>
</file>