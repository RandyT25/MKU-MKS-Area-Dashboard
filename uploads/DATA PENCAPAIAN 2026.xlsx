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0" windowWidth="20490" windowHeight="7755" tabRatio="500" firstSheet="2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I45" i="14"/>
  <c r="D44" i="14"/>
  <c r="D43" i="14"/>
  <c r="M20" i="14"/>
  <c r="M21" i="14" s="1"/>
  <c r="E46" i="14" s="1"/>
  <c r="O7" i="14"/>
  <c r="O8" i="14"/>
  <c r="J52" i="14" s="1"/>
  <c r="O9" i="14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K54" i="14" s="1"/>
  <c r="H60" i="14"/>
  <c r="H54" i="14"/>
  <c r="J53" i="14"/>
  <c r="J54" i="14"/>
  <c r="J60" i="14"/>
  <c r="J63" i="14"/>
  <c r="J64" i="14"/>
  <c r="J65" i="14"/>
  <c r="F52" i="14"/>
  <c r="F66" i="14" s="1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1" i="13"/>
  <c r="E46" i="13" s="1"/>
  <c r="M20" i="13"/>
  <c r="O7" i="13"/>
  <c r="O8" i="13"/>
  <c r="J52" i="13" s="1"/>
  <c r="O9" i="13"/>
  <c r="J53" i="13" s="1"/>
  <c r="O10" i="13"/>
  <c r="O11" i="13"/>
  <c r="J56" i="13" s="1"/>
  <c r="O12" i="13"/>
  <c r="O13" i="13"/>
  <c r="J58" i="13" s="1"/>
  <c r="O14" i="13"/>
  <c r="O15" i="13"/>
  <c r="O16" i="13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H54" i="13"/>
  <c r="K60" i="13"/>
  <c r="J54" i="13"/>
  <c r="J55" i="13"/>
  <c r="J57" i="13"/>
  <c r="J59" i="13"/>
  <c r="J60" i="13"/>
  <c r="J61" i="13"/>
  <c r="J62" i="13"/>
  <c r="J63" i="13"/>
  <c r="J64" i="13"/>
  <c r="J65" i="13"/>
  <c r="F52" i="13"/>
  <c r="F53" i="13"/>
  <c r="F54" i="13"/>
  <c r="F55" i="13"/>
  <c r="F56" i="13"/>
  <c r="F66" i="13" s="1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O16" i="12"/>
  <c r="O17" i="12"/>
  <c r="O18" i="12"/>
  <c r="J64" i="12" s="1"/>
  <c r="O19" i="12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K60" i="12" s="1"/>
  <c r="I54" i="12"/>
  <c r="H60" i="12"/>
  <c r="H54" i="12"/>
  <c r="J52" i="12"/>
  <c r="J53" i="12"/>
  <c r="J54" i="12"/>
  <c r="J60" i="12"/>
  <c r="J61" i="12"/>
  <c r="J62" i="12"/>
  <c r="J63" i="12"/>
  <c r="J65" i="12"/>
  <c r="F52" i="12"/>
  <c r="F53" i="12"/>
  <c r="F54" i="12"/>
  <c r="F66" i="12" s="1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G45" i="11"/>
  <c r="I45" i="1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O13" i="11"/>
  <c r="J58" i="11" s="1"/>
  <c r="O14" i="11"/>
  <c r="O15" i="11"/>
  <c r="J61" i="11" s="1"/>
  <c r="O16" i="11"/>
  <c r="J62" i="11" s="1"/>
  <c r="O17" i="1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K54" i="11" s="1"/>
  <c r="H60" i="11"/>
  <c r="K60" i="11" s="1"/>
  <c r="H54" i="11"/>
  <c r="J54" i="11"/>
  <c r="J57" i="11"/>
  <c r="J59" i="11"/>
  <c r="J60" i="11"/>
  <c r="J63" i="11"/>
  <c r="J64" i="11"/>
  <c r="J65" i="11"/>
  <c r="F52" i="11"/>
  <c r="F66" i="11" s="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E66" i="10"/>
  <c r="I60" i="10"/>
  <c r="I54" i="10"/>
  <c r="H60" i="10"/>
  <c r="H54" i="10"/>
  <c r="J54" i="10"/>
  <c r="J60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J61" i="10" s="1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I55" i="10" s="1"/>
  <c r="N11" i="10"/>
  <c r="I56" i="10" s="1"/>
  <c r="N12" i="10"/>
  <c r="I57" i="10" s="1"/>
  <c r="N13" i="10"/>
  <c r="I58" i="10" s="1"/>
  <c r="N14" i="10"/>
  <c r="I59" i="10" s="1"/>
  <c r="N15" i="10"/>
  <c r="I61" i="10" s="1"/>
  <c r="N16" i="10"/>
  <c r="I62" i="10" s="1"/>
  <c r="N17" i="10"/>
  <c r="I63" i="10" s="1"/>
  <c r="N18" i="10"/>
  <c r="N19" i="10"/>
  <c r="I65" i="10" s="1"/>
  <c r="M7" i="10"/>
  <c r="M8" i="10"/>
  <c r="H52" i="10" s="1"/>
  <c r="M9" i="10"/>
  <c r="H53" i="10" s="1"/>
  <c r="M10" i="10"/>
  <c r="M11" i="10"/>
  <c r="M12" i="10"/>
  <c r="H57" i="10" s="1"/>
  <c r="M13" i="10"/>
  <c r="M14" i="10"/>
  <c r="H59" i="10" s="1"/>
  <c r="M15" i="10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M50" i="10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K53" i="14" s="1"/>
  <c r="I52" i="14"/>
  <c r="H52" i="14"/>
  <c r="I64" i="14"/>
  <c r="I65" i="13"/>
  <c r="H65" i="13"/>
  <c r="K65" i="13" s="1"/>
  <c r="H64" i="13"/>
  <c r="K64" i="13" s="1"/>
  <c r="I63" i="13"/>
  <c r="H63" i="13"/>
  <c r="K63" i="13" s="1"/>
  <c r="I62" i="13"/>
  <c r="H62" i="13"/>
  <c r="K62" i="13" s="1"/>
  <c r="I61" i="13"/>
  <c r="I59" i="13"/>
  <c r="H59" i="13"/>
  <c r="K59" i="13" s="1"/>
  <c r="I58" i="13"/>
  <c r="H58" i="13"/>
  <c r="I57" i="13"/>
  <c r="H57" i="13"/>
  <c r="I56" i="13"/>
  <c r="H56" i="13"/>
  <c r="I55" i="13"/>
  <c r="H55" i="13"/>
  <c r="K55" i="13" s="1"/>
  <c r="I53" i="13"/>
  <c r="H53" i="13"/>
  <c r="I52" i="13"/>
  <c r="I66" i="13" s="1"/>
  <c r="E44" i="13" s="1"/>
  <c r="H52" i="13"/>
  <c r="I64" i="13"/>
  <c r="I65" i="12"/>
  <c r="H65" i="12"/>
  <c r="K65" i="12" s="1"/>
  <c r="I64" i="12"/>
  <c r="H64" i="12"/>
  <c r="I63" i="12"/>
  <c r="H63" i="12"/>
  <c r="K63" i="12" s="1"/>
  <c r="I62" i="12"/>
  <c r="H62" i="12"/>
  <c r="K62" i="12" s="1"/>
  <c r="I61" i="12"/>
  <c r="H61" i="12"/>
  <c r="K61" i="12" s="1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K63" i="11" s="1"/>
  <c r="I62" i="11"/>
  <c r="H62" i="11"/>
  <c r="I61" i="11"/>
  <c r="H61" i="11"/>
  <c r="I59" i="11"/>
  <c r="H59" i="11"/>
  <c r="I58" i="11"/>
  <c r="H58" i="11"/>
  <c r="K58" i="11" s="1"/>
  <c r="I57" i="11"/>
  <c r="H57" i="11"/>
  <c r="K57" i="11" s="1"/>
  <c r="I56" i="11"/>
  <c r="H56" i="11"/>
  <c r="K56" i="11" s="1"/>
  <c r="I55" i="11"/>
  <c r="H55" i="11"/>
  <c r="I53" i="11"/>
  <c r="H53" i="11"/>
  <c r="I52" i="11"/>
  <c r="H52" i="11"/>
  <c r="H66" i="11" s="1"/>
  <c r="E43" i="11" s="1"/>
  <c r="H65" i="10"/>
  <c r="I64" i="10"/>
  <c r="H63" i="10"/>
  <c r="H61" i="10"/>
  <c r="H58" i="10"/>
  <c r="H56" i="10"/>
  <c r="K56" i="10" s="1"/>
  <c r="H55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5" i="10" l="1"/>
  <c r="K61" i="10"/>
  <c r="K62" i="10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G45" i="10"/>
  <c r="H45" i="10" s="1"/>
  <c r="K52" i="10"/>
  <c r="F66" i="10"/>
  <c r="K61" i="14"/>
  <c r="K60" i="14"/>
  <c r="K64" i="14"/>
  <c r="I66" i="14"/>
  <c r="E44" i="14" s="1"/>
  <c r="K63" i="14"/>
  <c r="K62" i="14"/>
  <c r="H66" i="14"/>
  <c r="E43" i="14" s="1"/>
  <c r="E47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J45" i="11"/>
  <c r="H45" i="11"/>
  <c r="L45" i="14"/>
  <c r="L45" i="11"/>
  <c r="H45" i="12"/>
  <c r="L45" i="13"/>
  <c r="J45" i="13"/>
  <c r="E47" i="11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K45" i="10" l="1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G62" i="13" s="1"/>
  <c r="D61" i="13"/>
  <c r="D60" i="13"/>
  <c r="G60" i="13" s="1"/>
  <c r="D59" i="13"/>
  <c r="G59" i="13" s="1"/>
  <c r="D58" i="13"/>
  <c r="D57" i="13"/>
  <c r="D56" i="13"/>
  <c r="D55" i="13"/>
  <c r="G55" i="13" s="1"/>
  <c r="D54" i="13"/>
  <c r="G54" i="13" s="1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G65" i="12" s="1"/>
  <c r="D64" i="12"/>
  <c r="D63" i="12"/>
  <c r="G63" i="12" s="1"/>
  <c r="D62" i="12"/>
  <c r="G62" i="12" s="1"/>
  <c r="D61" i="12"/>
  <c r="D60" i="12"/>
  <c r="D59" i="12"/>
  <c r="D58" i="12"/>
  <c r="G58" i="12" s="1"/>
  <c r="D57" i="12"/>
  <c r="G57" i="12" s="1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G60" i="11" s="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D47" i="10" s="1"/>
  <c r="F47" i="10" s="1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D65" i="10"/>
  <c r="G65" i="10" s="1"/>
  <c r="D64" i="10"/>
  <c r="G64" i="10" s="1"/>
  <c r="D63" i="10"/>
  <c r="G63" i="10" s="1"/>
  <c r="D62" i="10"/>
  <c r="G62" i="10" s="1"/>
  <c r="D61" i="10"/>
  <c r="G61" i="10" s="1"/>
  <c r="D60" i="10"/>
  <c r="G60" i="10" s="1"/>
  <c r="D59" i="10"/>
  <c r="G59" i="10" s="1"/>
  <c r="D58" i="10"/>
  <c r="G58" i="10" s="1"/>
  <c r="D57" i="10"/>
  <c r="G57" i="10" s="1"/>
  <c r="D56" i="10"/>
  <c r="G56" i="10" s="1"/>
  <c r="D55" i="10"/>
  <c r="G55" i="10" s="1"/>
  <c r="D54" i="10"/>
  <c r="G54" i="10" s="1"/>
  <c r="D53" i="10"/>
  <c r="G53" i="10" s="1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F55" i="9" s="1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2" i="10" l="1"/>
  <c r="G66" i="10" s="1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6" i="12" s="1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65" i="12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Q61" i="13"/>
  <c r="R61" i="13" s="1"/>
  <c r="M61" i="13"/>
  <c r="N61" i="13" s="1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M53" i="13" l="1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K47" i="11" s="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7" i="14" s="1"/>
  <c r="J47" i="14" s="1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K47" i="10" l="1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<sst xmlns="http://schemas.openxmlformats.org/spreadsheetml/2006/main" count="1952" uniqueCount="217">
  <si>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</si>
  <si>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</si>
  <si>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</si>
  <si>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</si>
  <si>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</si>
  <si>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</si>
  <si>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</si>
  <si>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</si>
  <si>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</si>
  <si>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</si>
  <si>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</si>
  <si>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</si>
  <si>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</si>
  <si>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</si>
  <si>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</si>
  <si>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</si>
  <si>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</si>
  <si>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</si>
  <si>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</si>
  <si>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</si>
  <si>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</si>
  <si>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</si>
  <si>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</si>
  <si>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</si>
  <si>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</si>
  <si>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</si>
  <si>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</si>
  <si>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</si>
  <si>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</si>
  <si>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</si>
  <si>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</si>
  <si>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</si>
  <si>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</si>
  <si>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</si>
  <si>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</si>
  <si>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</si>
  <si>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</si>
  <si>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</si>
  <si>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</si>
  <si>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</si>
  <si>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</si>
  <si>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</si>
  <si>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</si>
  <si>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</si>
  <si>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</si>
  <si>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</si>
  <si>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</si>
  <si>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</si>
  <si>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</si>
  <si>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</si>
  <si>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</si>
  <si>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</si>
  <si>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</si>
  <si>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</si>
  <si>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</si>
  <si>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</si>
  <si>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</si>
  <si>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</si>
  <si>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</si>
  <si>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</si>
  <si>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</si>
  <si>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</si>
  <si>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</si>
  <si>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</si>
  <si>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</si>
  <si>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</si>
  <si>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</si>
  <si>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</si>
  <si>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</si>
  <si>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</si>
  <si>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</si>
  <si>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</si>
  <si>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</si>
  <si>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</si>
  <si>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</si>
  <si>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</si>
  <si>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</si>
  <si>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</si>
  <si>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</si>
  <si>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</si>
  <si>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</si>
  <si>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</si>
  <si>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</si>
  <si>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</si>
  <si>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</si>
  <si>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</si>
  <si>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</si>
  <si>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</si>
  <si>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</si>
  <si>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</si>
  <si>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</si>
  <si>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</si>
  <si>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</si>
  <si>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</si>
  <si>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</si>
  <si>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</si>
  <si>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</si>
  <si>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</si>
  <si>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</si>
  <si>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</si>
  <si>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</si>
  <si>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</si>
  <si>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</si>
  <si>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</si>
  <si>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</si>
  <si>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</si>
  <si>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</si>
  <si>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</si>
  <si>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</si>
  <si>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</si>
  <si>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</si>
  <si>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</si>
  <si>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</si>
  <si>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</si>
  <si>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</si>
  <si>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</si>
  <si>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</si>
  <si>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</si>
  <si>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</si>
  <si>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</si>
  <si>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</si>
  <si>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</si>
  <si>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</si>
  <si>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</si>
  <si>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</si>
  <si>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</si>
  <si>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</si>
  <si>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</si>
  <si>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</si>
  <si>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</si>
  <si>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</si>
  <si>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</si>
  <si>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</si>
  <si>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</si>
  <si>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</si>
  <si>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</si>
  <si>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</si>
  <si>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</si>
  <si>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</si>
  <si>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</si>
  <si>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</si>
  <si>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</si>
  <si>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</si>
  <si>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</si>
  <si>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</si>
  <si>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</si>
  <si>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</si>
  <si>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</si>
  <si>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</si>
  <si>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</si>
  <si>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</si>
  <si>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</si>
  <si>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</si>
  <si>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</si>
  <si>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</si>
  <si>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</si>
  <si>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</si>
  <si>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</si>
  <si>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</si>
  <si>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</si>
  <si>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</si>
  <si>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</si>
  <si>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</si>
  <si>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</si>
  <si>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</si>
  <si>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</si>
  <si>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</si>
  <si>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</si>
  <si>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</si>
  <si>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</si>
  <si>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</si>
  <si>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</si>
  <si>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</si>
  <si>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</si>
  <si>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</si>
  <si>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</si>
  <si>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</si>
  <si>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</si>
  <si>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</si>
  <si>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</si>
  <si>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</si>
  <si>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</si>
  <si>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</si>
  <si>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</si>
  <si>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</si>
  <si>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</si>
  <si>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</si>
  <si>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</si>
  <si>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</si>
  <si>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</si>
  <si>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</si>
  <si>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</si>
  <si>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</si>
  <si>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</si>
  <si>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</si>
  <si>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</si>
  <si>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</si>
  <si>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</si>
  <si>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</si>
  <si>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</si>
  <si>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</si>
  <si>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</si>
  <si>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</si>
  <si>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</si>
  <si>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</si>
  <si>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</si>
  <si>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</si>
  <si>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</si>
  <si>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</si>
  <si>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</si>
  <si>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</si>
  <si>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</si>
  <si>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</si>
  <si>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</si>
  <si>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</si>
  <si>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</si>
  <si>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15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</si>
</sst>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5"/>
  <sheetViews>
    <sheetView showGridLines="0" tabSelected="1" topLeftCell="A71" zoomScale="91" zoomScaleNormal="91" workbookViewId="0">
      <selection activeCell="E86" sqref="E8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12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165503549.415243</v>
      </c>
      <c r="N8" s="11">
        <f>SUM(D22)</f>
        <v>23389867.204489</v>
      </c>
      <c r="O8" s="171">
        <f>SUM(E22)</f>
        <v>72333559.219815999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133291133.993765</v>
      </c>
      <c r="N9" s="11">
        <f>SUM(D13,D14)</f>
        <v>61009060.911662996</v>
      </c>
      <c r="O9" s="171">
        <f>SUM(E13,E14)</f>
        <v>230512532.32939199</v>
      </c>
    </row>
    <row r="10" spans="2:15" x14ac:dyDescent="0.25">
      <c r="B10" s="72" t="s">
        <v>112</v>
      </c>
      <c r="C10" s="234">
        <v>90016967.165877998</v>
      </c>
      <c r="D10" s="234">
        <v>20806838.972793002</v>
      </c>
      <c r="E10" s="234">
        <v>121086946.37680399</v>
      </c>
      <c r="F10" s="234">
        <v>108960133.48999999</v>
      </c>
      <c r="G10" s="234">
        <v>340870886.00547498</v>
      </c>
      <c r="H10" s="111"/>
      <c r="I10" s="111"/>
      <c r="J10" s="111"/>
      <c r="M10" s="11">
        <f>SUM(C15)</f>
        <v>528880269.99683201</v>
      </c>
      <c r="N10" s="11">
        <f>SUM(D15)</f>
        <v>20620046.279904</v>
      </c>
      <c r="O10" s="171">
        <f>SUM(E15)</f>
        <v>104475076.63610201</v>
      </c>
    </row>
    <row r="11" spans="2:15" x14ac:dyDescent="0.25">
      <c r="B11" s="72" t="s">
        <v>214</v>
      </c>
      <c r="C11" s="234">
        <v>188403753.55721399</v>
      </c>
      <c r="D11" s="234">
        <v>46620879.411787003</v>
      </c>
      <c r="E11" s="234">
        <v>69765172.377673</v>
      </c>
      <c r="F11" s="234">
        <v>48367568.399999999</v>
      </c>
      <c r="G11" s="234">
        <v>353157373.746674</v>
      </c>
      <c r="H11" s="111"/>
      <c r="I11" s="111"/>
      <c r="J11" s="111"/>
      <c r="M11" s="11">
        <f>SUM(C12)</f>
        <v>2700000</v>
      </c>
      <c r="N11" s="11">
        <f>SUM(D12)</f>
        <v>10545753</v>
      </c>
      <c r="O11" s="171">
        <f>SUM(E12)</f>
        <v>168963964.79932001</v>
      </c>
    </row>
    <row r="12" spans="2:15" x14ac:dyDescent="0.25">
      <c r="B12" s="72" t="s">
        <v>214</v>
      </c>
      <c r="C12" s="234">
        <v>2700000</v>
      </c>
      <c r="D12" s="234">
        <v>10545753</v>
      </c>
      <c r="E12" s="234">
        <v>168963964.79932001</v>
      </c>
      <c r="F12" s="234">
        <v>0</v>
      </c>
      <c r="G12" s="234">
        <v>182209717.79932001</v>
      </c>
      <c r="H12" s="111"/>
      <c r="I12" s="111"/>
      <c r="J12" s="111"/>
      <c r="M12" s="11">
        <f>SUM(C25,C26)</f>
        <v>91472211.289964005</v>
      </c>
      <c r="N12" s="11">
        <f>SUM(D25,D26)</f>
        <v>58336602.526340999</v>
      </c>
      <c r="O12" s="171">
        <f>SUM(E25,E26)</f>
        <v>103760738.72974899</v>
      </c>
    </row>
    <row r="13" spans="2:15" x14ac:dyDescent="0.25">
      <c r="B13" s="72" t="s">
        <v>70</v>
      </c>
      <c r="C13" s="234">
        <v>105059956.431383</v>
      </c>
      <c r="D13" s="234">
        <v>45768141.711691998</v>
      </c>
      <c r="E13" s="234">
        <v>93554587.169791996</v>
      </c>
      <c r="F13" s="234">
        <v>62750247.549999997</v>
      </c>
      <c r="G13" s="234">
        <v>307132932.862867</v>
      </c>
      <c r="H13" s="111"/>
      <c r="I13" s="111"/>
      <c r="J13" s="111"/>
      <c r="M13" s="11">
        <f>SUM(C17)</f>
        <v>401615929.14284003</v>
      </c>
      <c r="N13" s="11">
        <f>SUM(D17)</f>
        <v>38204161.839961</v>
      </c>
      <c r="O13" s="171">
        <f>SUM(E17)</f>
        <v>189487297.319695</v>
      </c>
    </row>
    <row r="14" spans="2:15" x14ac:dyDescent="0.25">
      <c r="B14" s="72" t="s">
        <v>114</v>
      </c>
      <c r="C14" s="234">
        <v>28231177.562382001</v>
      </c>
      <c r="D14" s="234">
        <v>15240919.199971</v>
      </c>
      <c r="E14" s="234">
        <v>136957945.15959999</v>
      </c>
      <c r="F14" s="234">
        <v>34273648.670000002</v>
      </c>
      <c r="G14" s="234">
        <v>214703690.59195301</v>
      </c>
      <c r="H14" s="111"/>
      <c r="I14" s="111"/>
      <c r="J14" s="111"/>
      <c r="M14" s="11">
        <f>SUM(C23)</f>
        <v>183247606.600151</v>
      </c>
      <c r="N14" s="11">
        <f>SUM(D23)</f>
        <v>57325218.999879003</v>
      </c>
      <c r="O14" s="171">
        <f>SUM(E23)</f>
        <v>129099055.843529</v>
      </c>
    </row>
    <row r="15" spans="2:15" x14ac:dyDescent="0.25">
      <c r="B15" s="81" t="s">
        <v>115</v>
      </c>
      <c r="C15" s="234">
        <v>528880269.99683201</v>
      </c>
      <c r="D15" s="234">
        <v>20620046.279904</v>
      </c>
      <c r="E15" s="234">
        <v>104475076.63610201</v>
      </c>
      <c r="F15" s="234">
        <v>229125025.249865</v>
      </c>
      <c r="G15" s="234">
        <v>883100418.16270304</v>
      </c>
      <c r="H15" s="111"/>
      <c r="I15" s="111"/>
      <c r="J15" s="111"/>
      <c r="M15" s="11">
        <f>SUM(C11)</f>
        <v>188403753.55721399</v>
      </c>
      <c r="N15" s="11">
        <f>SUM(D11)</f>
        <v>46620879.411787003</v>
      </c>
      <c r="O15" s="171">
        <f>SUM(E11)</f>
        <v>69765172.377673</v>
      </c>
    </row>
    <row r="16" spans="2:15" x14ac:dyDescent="0.25">
      <c r="B16" s="72" t="s">
        <v>118</v>
      </c>
      <c r="C16" s="234">
        <v>278921560.91911501</v>
      </c>
      <c r="D16" s="234">
        <v>1085666.664998</v>
      </c>
      <c r="E16" s="234">
        <v>90837878.729964003</v>
      </c>
      <c r="F16" s="234">
        <v>7070270.3799999999</v>
      </c>
      <c r="G16" s="234">
        <v>377915376.69407701</v>
      </c>
      <c r="H16" s="111"/>
      <c r="I16" s="111"/>
      <c r="J16" s="111"/>
      <c r="M16" s="11">
        <f>SUM(C24)</f>
        <v>254543067.389505</v>
      </c>
      <c r="N16" s="11">
        <f>SUM(D24)</f>
        <v>32740481.989983998</v>
      </c>
      <c r="O16" s="171">
        <f>SUM(E24)</f>
        <v>125913379.92997</v>
      </c>
    </row>
    <row r="17" spans="2:15" x14ac:dyDescent="0.25">
      <c r="B17" s="72" t="s">
        <v>120</v>
      </c>
      <c r="C17" s="234">
        <v>401615929.14284003</v>
      </c>
      <c r="D17" s="234">
        <v>38204161.839961</v>
      </c>
      <c r="E17" s="234">
        <v>189487297.319695</v>
      </c>
      <c r="F17" s="234">
        <v>798679453.49996603</v>
      </c>
      <c r="G17" s="234">
        <v>1427986841.8024621</v>
      </c>
      <c r="H17" s="111"/>
      <c r="I17" s="111"/>
      <c r="J17" s="111"/>
      <c r="M17" s="11">
        <f>SUM(C10)</f>
        <v>90016967.165877998</v>
      </c>
      <c r="N17" s="11">
        <f>SUM(D10)</f>
        <v>20806838.972793002</v>
      </c>
      <c r="O17" s="171">
        <f>SUM(E10)</f>
        <v>121086946.37680399</v>
      </c>
    </row>
    <row r="18" spans="2:15" x14ac:dyDescent="0.25">
      <c r="B18" s="72" t="s">
        <v>122</v>
      </c>
      <c r="C18" s="234">
        <v>63381672.864845999</v>
      </c>
      <c r="D18" s="234">
        <v>10352698.12992</v>
      </c>
      <c r="E18" s="234">
        <v>46374327.249260001</v>
      </c>
      <c r="F18" s="234">
        <v>27897297.899999999</v>
      </c>
      <c r="G18" s="234">
        <v>148005996.14402601</v>
      </c>
      <c r="H18" s="111"/>
      <c r="I18" s="111"/>
      <c r="J18" s="111"/>
      <c r="M18" s="11">
        <f>SUM(C27)</f>
        <v>200838437.105032</v>
      </c>
      <c r="N18" s="11">
        <f>SUM(D27)</f>
        <v>163499331.84994799</v>
      </c>
      <c r="O18" s="171">
        <f>SUM(E27)</f>
        <v>173368789.29838601</v>
      </c>
    </row>
    <row r="19" spans="2:15" x14ac:dyDescent="0.25">
      <c r="B19" s="72" t="s">
        <v>123</v>
      </c>
      <c r="C19" s="234">
        <v>10388050</v>
      </c>
      <c r="D19" s="234">
        <v>91693099.670892999</v>
      </c>
      <c r="E19" s="234">
        <v>17261495</v>
      </c>
      <c r="F19" s="234">
        <v>54691893.020000003</v>
      </c>
      <c r="G19" s="234">
        <v>174034537.69089299</v>
      </c>
      <c r="H19" s="111"/>
      <c r="I19" s="111"/>
      <c r="J19" s="111"/>
      <c r="M19" s="11">
        <f>SUM(C18,C19)</f>
        <v>73769722.864845991</v>
      </c>
      <c r="N19" s="11">
        <f>SUM(D18,D19)</f>
        <v>102045797.800813</v>
      </c>
      <c r="O19" s="171">
        <f>SUM(E18,E19)</f>
        <v>63635822.249260001</v>
      </c>
    </row>
    <row r="20" spans="2:15" x14ac:dyDescent="0.25">
      <c r="B20" s="72" t="s">
        <v>170</v>
      </c>
      <c r="C20" s="234">
        <v>111823035.26000001</v>
      </c>
      <c r="D20" s="234">
        <v>0</v>
      </c>
      <c r="E20" s="234">
        <v>0</v>
      </c>
      <c r="F20" s="234">
        <v>5225225.08</v>
      </c>
      <c r="G20" s="234">
        <v>117048260.34</v>
      </c>
      <c r="H20" s="111"/>
      <c r="I20" s="111"/>
      <c r="J20" s="111"/>
      <c r="M20" s="14">
        <f>SUM(C31,C36)</f>
        <v>411000</v>
      </c>
      <c r="N20" s="10" t="s">
        <v>119</v>
      </c>
    </row>
    <row r="21" spans="2:15" x14ac:dyDescent="0.25">
      <c r="B21" s="72" t="s">
        <v>171</v>
      </c>
      <c r="C21" s="234">
        <v>183178297.74000001</v>
      </c>
      <c r="D21" s="234">
        <v>0</v>
      </c>
      <c r="E21" s="234">
        <v>0</v>
      </c>
      <c r="F21" s="234">
        <v>9927927.6600000001</v>
      </c>
      <c r="G21" s="234">
        <v>193106225.40000001</v>
      </c>
      <c r="H21" s="111"/>
      <c r="I21" s="111"/>
      <c r="J21" s="111"/>
      <c r="M21" s="14">
        <f>SUM(C34,C35)+M20</f>
        <v>472359907.89832401</v>
      </c>
      <c r="N21" s="10" t="s">
        <v>121</v>
      </c>
    </row>
    <row r="22" spans="2:15" x14ac:dyDescent="0.25">
      <c r="B22" s="72" t="s">
        <v>124</v>
      </c>
      <c r="C22" s="234">
        <v>165503549.415243</v>
      </c>
      <c r="D22" s="234">
        <v>23389867.204489</v>
      </c>
      <c r="E22" s="234">
        <v>72333559.219815999</v>
      </c>
      <c r="F22" s="234">
        <v>322495280.40992498</v>
      </c>
      <c r="G22" s="234">
        <v>583722256.24947298</v>
      </c>
      <c r="H22" s="111"/>
      <c r="I22" s="111"/>
      <c r="J22" s="111"/>
    </row>
    <row r="23" spans="2:15" x14ac:dyDescent="0.25">
      <c r="B23" s="72" t="s">
        <v>125</v>
      </c>
      <c r="C23" s="234">
        <v>183247606.600151</v>
      </c>
      <c r="D23" s="234">
        <v>57325218.999879003</v>
      </c>
      <c r="E23" s="234">
        <v>129099055.843529</v>
      </c>
      <c r="F23" s="234">
        <v>221468345.61959401</v>
      </c>
      <c r="G23" s="234">
        <v>591140227.06315303</v>
      </c>
      <c r="H23" s="111"/>
      <c r="I23" s="111"/>
      <c r="J23" s="111"/>
    </row>
    <row r="24" spans="2:15" x14ac:dyDescent="0.25">
      <c r="B24" s="72" t="s">
        <v>126</v>
      </c>
      <c r="C24" s="234">
        <v>254543067.389505</v>
      </c>
      <c r="D24" s="234">
        <v>32740481.989983998</v>
      </c>
      <c r="E24" s="234">
        <v>125913379.92997</v>
      </c>
      <c r="F24" s="234">
        <v>386518886.50956899</v>
      </c>
      <c r="G24" s="234">
        <v>799715815.81902802</v>
      </c>
      <c r="H24" s="111"/>
      <c r="I24" s="111"/>
      <c r="J24" s="111"/>
    </row>
    <row r="25" spans="2:15" x14ac:dyDescent="0.25">
      <c r="B25" s="72" t="s">
        <v>184</v>
      </c>
      <c r="C25" s="234">
        <v>91472211.289964005</v>
      </c>
      <c r="D25" s="234">
        <v>58336602.526340999</v>
      </c>
      <c r="E25" s="234">
        <v>103760738.72974899</v>
      </c>
      <c r="F25" s="234">
        <v>40775504.149999999</v>
      </c>
      <c r="G25" s="234">
        <v>294345056.69605398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200838437.105032</v>
      </c>
      <c r="D27" s="234">
        <v>163499331.84994799</v>
      </c>
      <c r="E27" s="234">
        <v>173368789.29838601</v>
      </c>
      <c r="F27" s="234">
        <v>10414702.926999999</v>
      </c>
      <c r="G27" s="234">
        <v>548121261.18036604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135553612.35933399</v>
      </c>
      <c r="G32" s="111"/>
      <c r="H32" s="111"/>
      <c r="I32" s="111"/>
    </row>
    <row r="33" spans="2:19" x14ac:dyDescent="0.25">
      <c r="B33" s="81" t="s">
        <v>132</v>
      </c>
      <c r="C33" s="234">
        <v>166243099.88535601</v>
      </c>
      <c r="G33" s="111"/>
      <c r="H33" s="111"/>
      <c r="I33" s="111"/>
    </row>
    <row r="34" spans="2:19" x14ac:dyDescent="0.25">
      <c r="B34" s="81" t="s">
        <v>133</v>
      </c>
      <c r="C34" s="234">
        <v>76861101.040515006</v>
      </c>
      <c r="G34" s="111"/>
      <c r="H34" s="111"/>
      <c r="I34" s="111"/>
    </row>
    <row r="35" spans="2:19" x14ac:dyDescent="0.25">
      <c r="B35" s="81" t="s">
        <v>134</v>
      </c>
      <c r="C35" s="234">
        <v>395087806.85780901</v>
      </c>
      <c r="G35" s="111"/>
      <c r="H35" s="111"/>
      <c r="I35" s="111"/>
    </row>
    <row r="36" spans="2:19" x14ac:dyDescent="0.25">
      <c r="B36" s="81" t="s">
        <v>135</v>
      </c>
      <c r="C36" s="234">
        <v>411000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69" t="s">
        <v>216</v>
      </c>
      <c r="C41" s="270"/>
      <c r="D41" s="271"/>
      <c r="E41" s="66" t="s">
        <v>137</v>
      </c>
      <c r="F41" s="174">
        <f ca="1">IF(MONTH(TODAY())=8,DAY(TODAY())/DAY(EOMONTH(TODAY(),0)),IF(MONTH(TODAY())&gt;8,1,0))</f>
        <v>0.4838709677419355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2609283981.5212698</v>
      </c>
      <c r="F43" s="176">
        <f>IFERROR(E43/D43,0)</f>
        <v>0.52952457468396186</v>
      </c>
      <c r="G43" s="184">
        <f>D43*$H$41-E43</f>
        <v>2318313539.4787302</v>
      </c>
      <c r="H43" s="184">
        <f ca="1">IFERROR(G43/$C$3,0)</f>
        <v>193192794.95656085</v>
      </c>
      <c r="I43" s="204">
        <f>D43*$J$41-E43</f>
        <v>2318313539.4787302</v>
      </c>
      <c r="J43" s="204">
        <f ca="1">IFERROR(I43/$C$3,0)</f>
        <v>193192794.95656085</v>
      </c>
      <c r="K43" s="185">
        <f>D43*$L$41-E43</f>
        <v>2318313539.4787302</v>
      </c>
      <c r="L43" s="185">
        <f ca="1">IFERROR(K43/$C$3,0)</f>
        <v>193192794.95656085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635144040.78756189</v>
      </c>
      <c r="F44" s="176">
        <f>IFERROR(E44/D44,0)</f>
        <v>0.49066976454810968</v>
      </c>
      <c r="G44" s="184">
        <f>D44*$H$41-E44</f>
        <v>659298956.67837763</v>
      </c>
      <c r="H44" s="184">
        <f ca="1">IFERROR(G44/$C$3,0)</f>
        <v>54941579.723198138</v>
      </c>
      <c r="I44" s="204">
        <f>D44*$J$41-E44</f>
        <v>659298956.67837763</v>
      </c>
      <c r="J44" s="204">
        <f ca="1">IFERROR(I44/$C$3,0)</f>
        <v>54941579.723198138</v>
      </c>
      <c r="K44" s="185">
        <f>D44*$L$41-E44</f>
        <v>659298956.67837763</v>
      </c>
      <c r="L44" s="185">
        <f ca="1">IFERROR(K44/$C$3,0)</f>
        <v>54941579.723198138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1552402335.1096959</v>
      </c>
      <c r="F45" s="176">
        <f>IFERROR(E45/D45,0)</f>
        <v>0.48268039166783894</v>
      </c>
      <c r="G45" s="184">
        <f>IF(D45=0,0,D45*$H$41-E45)</f>
        <v>1663809389.8903041</v>
      </c>
      <c r="H45" s="184">
        <f ca="1">IFERROR(G45/$C$3,0)</f>
        <v>138650782.49085867</v>
      </c>
      <c r="I45" s="204">
        <f>IF(D45=0,0,D45*$J$41-E45)</f>
        <v>1663809389.8903041</v>
      </c>
      <c r="J45" s="204">
        <f ca="1">IFERROR(I45/$C$3,0)</f>
        <v>138650782.49085867</v>
      </c>
      <c r="K45" s="185">
        <f>IF(D45=0,0,D45*$L$41-E45)</f>
        <v>1663809389.8903041</v>
      </c>
      <c r="L45" s="185">
        <f ca="1">IFERROR(K45/$C$3,0)</f>
        <v>138650782.49085867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774156620.14301395</v>
      </c>
      <c r="F46" s="176">
        <f>IFERROR(E46/D46,0)</f>
        <v>0.41488439163878738</v>
      </c>
      <c r="G46" s="184">
        <f>D46*$H$41-E46</f>
        <v>1091800826.6654968</v>
      </c>
      <c r="H46" s="184">
        <f ca="1">IFERROR(G46/$C$3,0)</f>
        <v>90983402.22212474</v>
      </c>
      <c r="I46" s="204">
        <f>D46*$J$41-E46</f>
        <v>1091800826.6654968</v>
      </c>
      <c r="J46" s="204">
        <f ca="1">IFERROR(I46/$C$3,0)</f>
        <v>90983402.22212474</v>
      </c>
      <c r="K46" s="185">
        <f>D46*$L$41-E46</f>
        <v>1091800826.6654968</v>
      </c>
      <c r="L46" s="185">
        <f ca="1">IFERROR(K46/$C$3,0)</f>
        <v>90983402.22212474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5570986977.5615416</v>
      </c>
      <c r="F47" s="177">
        <f>IFERROR(E47/D47,0)</f>
        <v>0.49282410095015555</v>
      </c>
      <c r="G47" s="181">
        <f>SUM(G43:G46)</f>
        <v>5733222712.7129087</v>
      </c>
      <c r="H47" s="181">
        <f ca="1">IFERROR(G47/$C$3,0)</f>
        <v>477768559.3927424</v>
      </c>
      <c r="I47" s="186">
        <f>SUM(I43:I46)</f>
        <v>5733222712.7129087</v>
      </c>
      <c r="J47" s="186">
        <f ca="1">IFERROR(I47/$C$3,0)</f>
        <v>477768559.3927424</v>
      </c>
      <c r="K47" s="186">
        <f>SUM(K43:K46)</f>
        <v>5733222712.7129087</v>
      </c>
      <c r="L47" s="186">
        <f ca="1">IFERROR(K47/$C$3,0)</f>
        <v>477768559.3927424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72" t="s">
        <v>215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100%</v>
      </c>
      <c r="N50" s="263" t="str">
        <f>"PER HARI"&amp;CHAR(10)&amp;TEXT($H$41,"0%")</f>
        <v>PER HARI
100%</v>
      </c>
      <c r="O50" s="265" t="str">
        <f>"SELISIH"&amp;CHAR(10)&amp;TEXT($J$41,"0%")</f>
        <v>SELISIH
100%</v>
      </c>
      <c r="P50" s="265" t="str">
        <f>"PER HARI"&amp;CHAR(10)&amp;TEXT($J$41,"0%")</f>
        <v>PER HARI
100%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5.75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165503549.415243</v>
      </c>
      <c r="I52" s="114">
        <f>N8</f>
        <v>23389867.204489</v>
      </c>
      <c r="J52" s="114">
        <f>SUM(O8)</f>
        <v>72333559.219815999</v>
      </c>
      <c r="K52" s="114">
        <f t="shared" ref="K52:K65" si="1">SUM(H52:J52)</f>
        <v>261226975.83954799</v>
      </c>
      <c r="L52" s="187">
        <f t="shared" ref="L52:L66" si="2">IFERROR(K52/G52,0)</f>
        <v>0.46163384771595362</v>
      </c>
      <c r="M52" s="184">
        <f t="shared" ref="M52:M65" si="3">G52*$H$41-K52</f>
        <v>304647855.7657001</v>
      </c>
      <c r="N52" s="184">
        <f t="shared" ref="N52:N66" ca="1" si="4">IFERROR(M52/$C$3,0)</f>
        <v>25387321.313808341</v>
      </c>
      <c r="O52" s="180">
        <f t="shared" ref="O52:O65" si="5">G52*$J$41-K52</f>
        <v>304647855.7657001</v>
      </c>
      <c r="P52" s="180">
        <f t="shared" ref="P52:P66" ca="1" si="6">IFERROR(O52/$C$3,0)</f>
        <v>25387321.313808341</v>
      </c>
      <c r="Q52" s="185">
        <f t="shared" ref="Q52:Q65" si="7">G52*$L$41-K52</f>
        <v>304647855.7657001</v>
      </c>
      <c r="R52" s="185">
        <f t="shared" ref="R52:R66" ca="1" si="8">IFERROR(Q52/$C$3,0)</f>
        <v>25387321.313808341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133291133.993765</v>
      </c>
      <c r="I53" s="114">
        <f>N9</f>
        <v>61009060.911662996</v>
      </c>
      <c r="J53" s="114">
        <f>SUM(O9)</f>
        <v>230512532.32939199</v>
      </c>
      <c r="K53" s="114">
        <f t="shared" si="1"/>
        <v>424812727.23482001</v>
      </c>
      <c r="L53" s="187">
        <f t="shared" si="2"/>
        <v>0.50752317306479855</v>
      </c>
      <c r="M53" s="184">
        <f t="shared" si="3"/>
        <v>412218466.1774689</v>
      </c>
      <c r="N53" s="184">
        <f t="shared" ca="1" si="4"/>
        <v>34351538.84812241</v>
      </c>
      <c r="O53" s="180">
        <f t="shared" si="5"/>
        <v>412218466.1774689</v>
      </c>
      <c r="P53" s="180">
        <f t="shared" ca="1" si="6"/>
        <v>34351538.84812241</v>
      </c>
      <c r="Q53" s="185">
        <f t="shared" si="7"/>
        <v>412218466.1774689</v>
      </c>
      <c r="R53" s="185">
        <f t="shared" ca="1" si="8"/>
        <v>34351538.84812241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111823035.26000001</v>
      </c>
      <c r="I54" s="114">
        <f>SUM(D20)</f>
        <v>0</v>
      </c>
      <c r="J54" s="114">
        <f>SUM(E20)</f>
        <v>0</v>
      </c>
      <c r="K54" s="114">
        <f t="shared" si="1"/>
        <v>111823035.26000001</v>
      </c>
      <c r="L54" s="187">
        <f t="shared" si="2"/>
        <v>0.4252584705550444</v>
      </c>
      <c r="M54" s="184">
        <f t="shared" si="3"/>
        <v>151130069.74000001</v>
      </c>
      <c r="N54" s="184">
        <f t="shared" ca="1" si="4"/>
        <v>12594172.478333334</v>
      </c>
      <c r="O54" s="180">
        <f t="shared" si="5"/>
        <v>151130069.74000001</v>
      </c>
      <c r="P54" s="180">
        <f t="shared" ca="1" si="6"/>
        <v>12594172.478333334</v>
      </c>
      <c r="Q54" s="185">
        <f t="shared" si="7"/>
        <v>151130069.74000001</v>
      </c>
      <c r="R54" s="185">
        <f t="shared" ca="1" si="8"/>
        <v>12594172.478333334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528880269.99683201</v>
      </c>
      <c r="I55" s="114">
        <f t="shared" si="9"/>
        <v>20620046.279904</v>
      </c>
      <c r="J55" s="114">
        <f>SUM(O10)</f>
        <v>104475076.63610201</v>
      </c>
      <c r="K55" s="114">
        <f t="shared" si="1"/>
        <v>653975392.91283798</v>
      </c>
      <c r="L55" s="187">
        <f t="shared" si="2"/>
        <v>0.84039185223255775</v>
      </c>
      <c r="M55" s="184">
        <f t="shared" si="3"/>
        <v>124203728.14302206</v>
      </c>
      <c r="N55" s="184">
        <f t="shared" ca="1" si="4"/>
        <v>10350310.678585172</v>
      </c>
      <c r="O55" s="180">
        <f t="shared" si="5"/>
        <v>124203728.14302206</v>
      </c>
      <c r="P55" s="180">
        <f t="shared" ca="1" si="6"/>
        <v>10350310.678585172</v>
      </c>
      <c r="Q55" s="185">
        <f t="shared" si="7"/>
        <v>124203728.14302206</v>
      </c>
      <c r="R55" s="185">
        <f t="shared" ca="1" si="8"/>
        <v>10350310.678585172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2700000</v>
      </c>
      <c r="I56" s="114">
        <f t="shared" si="9"/>
        <v>10545753</v>
      </c>
      <c r="J56" s="114">
        <f>SUM(O11)</f>
        <v>168963964.79932001</v>
      </c>
      <c r="K56" s="114">
        <f t="shared" si="1"/>
        <v>182209717.79932001</v>
      </c>
      <c r="L56" s="187">
        <f t="shared" si="2"/>
        <v>0.33074480680369717</v>
      </c>
      <c r="M56" s="184">
        <f t="shared" si="3"/>
        <v>368697549.83153558</v>
      </c>
      <c r="N56" s="184">
        <f t="shared" ca="1" si="4"/>
        <v>30724795.819294631</v>
      </c>
      <c r="O56" s="180">
        <f t="shared" si="5"/>
        <v>368697549.83153558</v>
      </c>
      <c r="P56" s="180">
        <f t="shared" ca="1" si="6"/>
        <v>30724795.819294631</v>
      </c>
      <c r="Q56" s="185">
        <f t="shared" si="7"/>
        <v>368697549.83153558</v>
      </c>
      <c r="R56" s="185">
        <f t="shared" ca="1" si="8"/>
        <v>30724795.819294631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91472211.289964005</v>
      </c>
      <c r="I57" s="114">
        <f t="shared" si="9"/>
        <v>58336602.526340999</v>
      </c>
      <c r="J57" s="114">
        <f>SUM(O12)</f>
        <v>103760738.72974899</v>
      </c>
      <c r="K57" s="114">
        <f t="shared" si="1"/>
        <v>253569552.54605401</v>
      </c>
      <c r="L57" s="187">
        <f t="shared" si="2"/>
        <v>0.4047700794348848</v>
      </c>
      <c r="M57" s="184">
        <f t="shared" si="3"/>
        <v>372883748.79497468</v>
      </c>
      <c r="N57" s="184">
        <f t="shared" ca="1" si="4"/>
        <v>31073645.732914556</v>
      </c>
      <c r="O57" s="180">
        <f t="shared" si="5"/>
        <v>372883748.79497468</v>
      </c>
      <c r="P57" s="180">
        <f t="shared" ca="1" si="6"/>
        <v>31073645.732914556</v>
      </c>
      <c r="Q57" s="185">
        <f t="shared" si="7"/>
        <v>372883748.79497468</v>
      </c>
      <c r="R57" s="185">
        <f t="shared" ca="1" si="8"/>
        <v>31073645.732914556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401615929.14284003</v>
      </c>
      <c r="I58" s="114">
        <f t="shared" si="9"/>
        <v>38204161.839961</v>
      </c>
      <c r="J58" s="114">
        <f>SUM(O13)</f>
        <v>189487297.319695</v>
      </c>
      <c r="K58" s="114">
        <f t="shared" si="1"/>
        <v>629307388.30249596</v>
      </c>
      <c r="L58" s="187">
        <f t="shared" si="2"/>
        <v>0.54218321993188889</v>
      </c>
      <c r="M58" s="184">
        <f t="shared" si="3"/>
        <v>531383989.01742911</v>
      </c>
      <c r="N58" s="184">
        <f t="shared" ca="1" si="4"/>
        <v>44281999.084785759</v>
      </c>
      <c r="O58" s="180">
        <f t="shared" si="5"/>
        <v>531383989.01742911</v>
      </c>
      <c r="P58" s="180">
        <f t="shared" ca="1" si="6"/>
        <v>44281999.084785759</v>
      </c>
      <c r="Q58" s="185">
        <f t="shared" si="7"/>
        <v>531383989.01742911</v>
      </c>
      <c r="R58" s="185">
        <f t="shared" ca="1" si="8"/>
        <v>44281999.084785759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183247606.600151</v>
      </c>
      <c r="I59" s="114">
        <f t="shared" si="9"/>
        <v>57325218.999879003</v>
      </c>
      <c r="J59" s="114">
        <f>SUM(O14)</f>
        <v>129099055.843529</v>
      </c>
      <c r="K59" s="114">
        <f t="shared" si="1"/>
        <v>369671881.44355899</v>
      </c>
      <c r="L59" s="187">
        <f t="shared" si="2"/>
        <v>0.55498940121469897</v>
      </c>
      <c r="M59" s="184">
        <f t="shared" si="3"/>
        <v>296416300.84327811</v>
      </c>
      <c r="N59" s="184">
        <f t="shared" ca="1" si="4"/>
        <v>24701358.403606508</v>
      </c>
      <c r="O59" s="180">
        <f t="shared" si="5"/>
        <v>296416300.84327811</v>
      </c>
      <c r="P59" s="180">
        <f t="shared" ca="1" si="6"/>
        <v>24701358.403606508</v>
      </c>
      <c r="Q59" s="185">
        <f t="shared" si="7"/>
        <v>296416300.84327811</v>
      </c>
      <c r="R59" s="185">
        <f t="shared" ca="1" si="8"/>
        <v>24701358.403606508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183178297.74000001</v>
      </c>
      <c r="I60" s="114">
        <f>SUM(D21)</f>
        <v>0</v>
      </c>
      <c r="J60" s="114">
        <f>SUM(E21)</f>
        <v>0</v>
      </c>
      <c r="K60" s="114">
        <f t="shared" si="1"/>
        <v>183178297.74000001</v>
      </c>
      <c r="L60" s="187">
        <f t="shared" si="2"/>
        <v>0.41270621396238971</v>
      </c>
      <c r="M60" s="184">
        <f t="shared" si="3"/>
        <v>260668418.25999999</v>
      </c>
      <c r="N60" s="184">
        <f t="shared" ca="1" si="4"/>
        <v>21722368.188333333</v>
      </c>
      <c r="O60" s="180">
        <f t="shared" si="5"/>
        <v>260668418.25999999</v>
      </c>
      <c r="P60" s="180">
        <f t="shared" ca="1" si="6"/>
        <v>21722368.188333333</v>
      </c>
      <c r="Q60" s="185">
        <f t="shared" si="7"/>
        <v>260668418.25999999</v>
      </c>
      <c r="R60" s="185">
        <f t="shared" ca="1" si="8"/>
        <v>21722368.188333333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188403753.55721399</v>
      </c>
      <c r="I61" s="114">
        <f t="shared" si="10"/>
        <v>46620879.411787003</v>
      </c>
      <c r="J61" s="114">
        <f>SUM(O15)</f>
        <v>69765172.377673</v>
      </c>
      <c r="K61" s="114">
        <f t="shared" si="1"/>
        <v>304789805.34667397</v>
      </c>
      <c r="L61" s="187">
        <f t="shared" si="2"/>
        <v>0.48326135497670197</v>
      </c>
      <c r="M61" s="184">
        <f t="shared" si="3"/>
        <v>325903715.26675868</v>
      </c>
      <c r="N61" s="184">
        <f t="shared" ca="1" si="4"/>
        <v>27158642.938896555</v>
      </c>
      <c r="O61" s="180">
        <f t="shared" si="5"/>
        <v>325903715.26675868</v>
      </c>
      <c r="P61" s="180">
        <f t="shared" ca="1" si="6"/>
        <v>27158642.938896555</v>
      </c>
      <c r="Q61" s="185">
        <f t="shared" si="7"/>
        <v>325903715.26675868</v>
      </c>
      <c r="R61" s="185">
        <f t="shared" ca="1" si="8"/>
        <v>27158642.938896555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254543067.389505</v>
      </c>
      <c r="I62" s="114">
        <f t="shared" si="10"/>
        <v>32740481.989983998</v>
      </c>
      <c r="J62" s="114">
        <f>SUM(O16)</f>
        <v>125913379.92997</v>
      </c>
      <c r="K62" s="114">
        <f t="shared" si="1"/>
        <v>413196929.30945897</v>
      </c>
      <c r="L62" s="187">
        <f t="shared" si="2"/>
        <v>0.5379467099320655</v>
      </c>
      <c r="M62" s="184">
        <f t="shared" si="3"/>
        <v>354903184.84801853</v>
      </c>
      <c r="N62" s="184">
        <f t="shared" ca="1" si="4"/>
        <v>29575265.404001545</v>
      </c>
      <c r="O62" s="180">
        <f t="shared" si="5"/>
        <v>354903184.84801853</v>
      </c>
      <c r="P62" s="180">
        <f t="shared" ca="1" si="6"/>
        <v>29575265.404001545</v>
      </c>
      <c r="Q62" s="185">
        <f t="shared" si="7"/>
        <v>354903184.84801853</v>
      </c>
      <c r="R62" s="185">
        <f t="shared" ca="1" si="8"/>
        <v>29575265.404001545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90016967.165877998</v>
      </c>
      <c r="I63" s="114">
        <f t="shared" si="10"/>
        <v>20806838.972793002</v>
      </c>
      <c r="J63" s="114">
        <f>SUM(O17)</f>
        <v>121086946.37680399</v>
      </c>
      <c r="K63" s="114">
        <f t="shared" si="1"/>
        <v>231910752.51547498</v>
      </c>
      <c r="L63" s="187">
        <f t="shared" si="2"/>
        <v>0.43878399017350411</v>
      </c>
      <c r="M63" s="184">
        <f t="shared" si="3"/>
        <v>296619817.67185742</v>
      </c>
      <c r="N63" s="184">
        <f t="shared" ca="1" si="4"/>
        <v>24718318.13932145</v>
      </c>
      <c r="O63" s="180">
        <f t="shared" si="5"/>
        <v>296619817.67185742</v>
      </c>
      <c r="P63" s="180">
        <f t="shared" ca="1" si="6"/>
        <v>24718318.13932145</v>
      </c>
      <c r="Q63" s="185">
        <f t="shared" si="7"/>
        <v>296619817.67185742</v>
      </c>
      <c r="R63" s="185">
        <f t="shared" ca="1" si="8"/>
        <v>24718318.13932145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200838437.105032</v>
      </c>
      <c r="I64" s="114">
        <f t="shared" si="10"/>
        <v>163499331.84994799</v>
      </c>
      <c r="J64" s="114">
        <f>SUM(O18)</f>
        <v>173368789.29838601</v>
      </c>
      <c r="K64" s="114">
        <f t="shared" si="1"/>
        <v>537706558.25336599</v>
      </c>
      <c r="L64" s="187">
        <f t="shared" si="2"/>
        <v>0.52180136940043753</v>
      </c>
      <c r="M64" s="184">
        <f t="shared" si="3"/>
        <v>492774750.89153695</v>
      </c>
      <c r="N64" s="184">
        <f t="shared" ca="1" si="4"/>
        <v>41064562.574294746</v>
      </c>
      <c r="O64" s="180">
        <f t="shared" si="5"/>
        <v>492774750.89153695</v>
      </c>
      <c r="P64" s="180">
        <f t="shared" ca="1" si="6"/>
        <v>41064562.574294746</v>
      </c>
      <c r="Q64" s="185">
        <f t="shared" si="7"/>
        <v>492774750.89153695</v>
      </c>
      <c r="R64" s="185">
        <f t="shared" ca="1" si="8"/>
        <v>41064562.574294746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73769722.864845991</v>
      </c>
      <c r="I65" s="114">
        <f t="shared" si="10"/>
        <v>102045797.800813</v>
      </c>
      <c r="J65" s="114">
        <f>SUM(O19)</f>
        <v>63635822.249260001</v>
      </c>
      <c r="K65" s="114">
        <f t="shared" si="1"/>
        <v>239451342.91491902</v>
      </c>
      <c r="L65" s="187">
        <f t="shared" si="2"/>
        <v>0.40693837411257672</v>
      </c>
      <c r="M65" s="184">
        <f t="shared" si="3"/>
        <v>348970290.79583156</v>
      </c>
      <c r="N65" s="184">
        <f t="shared" ca="1" si="4"/>
        <v>29080857.566319298</v>
      </c>
      <c r="O65" s="180">
        <f t="shared" si="5"/>
        <v>348970290.79583156</v>
      </c>
      <c r="P65" s="180">
        <f t="shared" ca="1" si="6"/>
        <v>29080857.566319298</v>
      </c>
      <c r="Q65" s="185">
        <f t="shared" si="7"/>
        <v>348970290.79583156</v>
      </c>
      <c r="R65" s="185">
        <f t="shared" ca="1" si="8"/>
        <v>29080857.566319298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2609283981.5212698</v>
      </c>
      <c r="I66" s="135">
        <f t="shared" si="11"/>
        <v>635144040.78756189</v>
      </c>
      <c r="J66" s="135">
        <f t="shared" si="11"/>
        <v>1552402335.1096959</v>
      </c>
      <c r="K66" s="135">
        <f t="shared" si="11"/>
        <v>4796830357.4185276</v>
      </c>
      <c r="L66" s="189">
        <f t="shared" si="2"/>
        <v>0.50823290516942388</v>
      </c>
      <c r="M66" s="181">
        <f>SUM(M52:M65)</f>
        <v>4641421886.0474129</v>
      </c>
      <c r="N66" s="181">
        <f t="shared" ca="1" si="4"/>
        <v>386785157.17061776</v>
      </c>
      <c r="O66" s="181">
        <f>SUM(O52:O65)</f>
        <v>4641421886.0474129</v>
      </c>
      <c r="P66" s="181">
        <f t="shared" ca="1" si="6"/>
        <v>386785157.17061776</v>
      </c>
      <c r="Q66" s="186">
        <f>SUM(Q52:Q65)</f>
        <v>4641421886.0474129</v>
      </c>
      <c r="R66" s="186">
        <f t="shared" ca="1" si="8"/>
        <v>386785157.17061776</v>
      </c>
    </row>
    <row r="67" spans="2:18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2"/>
      <c r="G68" s="260" t="s">
        <v>187</v>
      </c>
      <c r="H68" s="261"/>
      <c r="I68" s="261"/>
      <c r="J68" s="261"/>
      <c r="K68" s="261"/>
      <c r="L68" s="262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135553612.35933399</v>
      </c>
      <c r="F70" s="187">
        <f t="shared" ref="F70:F75" si="12">IFERROR(E70/D70,0)</f>
        <v>0.45472305162020332</v>
      </c>
      <c r="G70" s="184">
        <f>D70*$H$41-E70</f>
        <v>162547862.54137534</v>
      </c>
      <c r="H70" s="184">
        <f t="shared" ref="H70:H75" ca="1" si="13">IFERROR(G70/$C$3,0)</f>
        <v>13545655.211781278</v>
      </c>
      <c r="I70" s="204">
        <f>D70*$J$41-E70</f>
        <v>162547862.54137534</v>
      </c>
      <c r="J70" s="204">
        <f t="shared" ref="J70:J75" ca="1" si="14">IFERROR(I70/$C$3,0)</f>
        <v>13545655.211781278</v>
      </c>
      <c r="K70" s="185">
        <f>D70*$L$41-E70</f>
        <v>162547862.54137534</v>
      </c>
      <c r="L70" s="185">
        <f t="shared" ref="L70:L75" ca="1" si="15">IFERROR(K70/$C$3,0)</f>
        <v>13545655.211781278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166243099.88535601</v>
      </c>
      <c r="F71" s="187">
        <f t="shared" si="12"/>
        <v>0.37662483472846703</v>
      </c>
      <c r="G71" s="184">
        <f>D71*$H$41-E71</f>
        <v>275159284.01535332</v>
      </c>
      <c r="H71" s="184">
        <f t="shared" ca="1" si="13"/>
        <v>22929940.334612776</v>
      </c>
      <c r="I71" s="204">
        <f>D71*$J$41-E71</f>
        <v>275159284.01535332</v>
      </c>
      <c r="J71" s="204">
        <f t="shared" ca="1" si="14"/>
        <v>22929940.334612776</v>
      </c>
      <c r="K71" s="185">
        <f>D71*$L$41-E71</f>
        <v>275159284.01535332</v>
      </c>
      <c r="L71" s="185">
        <f t="shared" ca="1" si="15"/>
        <v>22929940.334612776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472359907.89832401</v>
      </c>
      <c r="F72" s="187">
        <f t="shared" si="12"/>
        <v>0.41933366179250875</v>
      </c>
      <c r="G72" s="184">
        <f>D72*$H$41-E72</f>
        <v>654093680.10876822</v>
      </c>
      <c r="H72" s="184">
        <f t="shared" ca="1" si="13"/>
        <v>54507806.675730683</v>
      </c>
      <c r="I72" s="204">
        <f>D72*$J$41-E72</f>
        <v>654093680.10876822</v>
      </c>
      <c r="J72" s="204">
        <f t="shared" ca="1" si="14"/>
        <v>54507806.675730683</v>
      </c>
      <c r="K72" s="185">
        <f>D72*$L$41-E72</f>
        <v>654093680.10876822</v>
      </c>
      <c r="L72" s="185">
        <f t="shared" ca="1" si="15"/>
        <v>54507806.675730683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774156620.14301395</v>
      </c>
      <c r="F75" s="177">
        <f t="shared" si="12"/>
        <v>0.41488439163878738</v>
      </c>
      <c r="G75" s="181">
        <f>SUM(G70:G74)</f>
        <v>1091800826.6654968</v>
      </c>
      <c r="H75" s="181">
        <f t="shared" ca="1" si="13"/>
        <v>90983402.22212474</v>
      </c>
      <c r="I75" s="186">
        <f>SUM(I70:I74)</f>
        <v>1091800826.6654968</v>
      </c>
      <c r="J75" s="186">
        <f t="shared" ca="1" si="14"/>
        <v>90983402.22212474</v>
      </c>
      <c r="K75" s="186">
        <f>SUM(K70:K74)</f>
        <v>1091800826.6654968</v>
      </c>
      <c r="L75" s="186">
        <f t="shared" ca="1" si="15"/>
        <v>90983402.22212474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59" t="s">
        <v>41</v>
      </c>
      <c r="C79" s="259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322495280.40992498</v>
      </c>
    </row>
    <row r="82" spans="2:4" x14ac:dyDescent="0.25">
      <c r="B82" s="53" t="s">
        <v>69</v>
      </c>
      <c r="C82" s="56" t="s">
        <v>70</v>
      </c>
      <c r="D82" s="132">
        <f>SUM(F13,F14)</f>
        <v>97023896.219999999</v>
      </c>
    </row>
    <row r="83" spans="2:4" x14ac:dyDescent="0.25">
      <c r="B83" s="53" t="s">
        <v>173</v>
      </c>
      <c r="C83" s="56" t="s">
        <v>174</v>
      </c>
      <c r="D83" s="132">
        <f>SUM(F20)</f>
        <v>5225225.08</v>
      </c>
    </row>
    <row r="84" spans="2:4" x14ac:dyDescent="0.25">
      <c r="B84" s="50" t="s">
        <v>71</v>
      </c>
      <c r="C84" s="55" t="s">
        <v>72</v>
      </c>
      <c r="D84" s="131">
        <f>SUM(F15)</f>
        <v>229125025.249865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40775504.149999999</v>
      </c>
    </row>
    <row r="87" spans="2:4" x14ac:dyDescent="0.25">
      <c r="B87" s="53" t="s">
        <v>76</v>
      </c>
      <c r="C87" s="56" t="s">
        <v>77</v>
      </c>
      <c r="D87" s="132">
        <f>SUM(F17)</f>
        <v>798679453.49996603</v>
      </c>
    </row>
    <row r="88" spans="2:4" x14ac:dyDescent="0.25">
      <c r="B88" s="50" t="s">
        <v>78</v>
      </c>
      <c r="C88" s="55" t="s">
        <v>79</v>
      </c>
      <c r="D88" s="131">
        <f>SUM(F23)</f>
        <v>221468345.61959401</v>
      </c>
    </row>
    <row r="89" spans="2:4" x14ac:dyDescent="0.25">
      <c r="B89" s="53" t="s">
        <v>173</v>
      </c>
      <c r="C89" s="56" t="s">
        <v>175</v>
      </c>
      <c r="D89" s="132">
        <f>SUM(F21)</f>
        <v>9927927.6600000001</v>
      </c>
    </row>
    <row r="90" spans="2:4" x14ac:dyDescent="0.25">
      <c r="B90" s="53" t="s">
        <v>80</v>
      </c>
      <c r="C90" s="56" t="s">
        <v>191</v>
      </c>
      <c r="D90" s="132">
        <f>SUM(F11)</f>
        <v>48367568.399999999</v>
      </c>
    </row>
    <row r="91" spans="2:4" x14ac:dyDescent="0.25">
      <c r="B91" s="50" t="s">
        <v>82</v>
      </c>
      <c r="C91" s="55" t="s">
        <v>83</v>
      </c>
      <c r="D91" s="131">
        <f>SUM(F24)</f>
        <v>386518886.50956899</v>
      </c>
    </row>
    <row r="92" spans="2:4" x14ac:dyDescent="0.25">
      <c r="B92" s="53" t="s">
        <v>84</v>
      </c>
      <c r="C92" s="56" t="s">
        <v>85</v>
      </c>
      <c r="D92" s="132">
        <f>SUM(F10)</f>
        <v>108960133.48999999</v>
      </c>
    </row>
    <row r="93" spans="2:4" x14ac:dyDescent="0.25">
      <c r="B93" s="50" t="s">
        <v>86</v>
      </c>
      <c r="C93" s="55" t="s">
        <v>87</v>
      </c>
      <c r="D93" s="131">
        <f>SUM(F27)</f>
        <v>10414702.926999999</v>
      </c>
    </row>
    <row r="94" spans="2:4" x14ac:dyDescent="0.25">
      <c r="B94" s="53" t="s">
        <v>88</v>
      </c>
      <c r="C94" s="56" t="s">
        <v>89</v>
      </c>
      <c r="D94" s="132">
        <f>SUM(F18,F19)</f>
        <v>82589190.920000002</v>
      </c>
    </row>
    <row r="95" spans="2:4" x14ac:dyDescent="0.25">
      <c r="B95" s="57" t="s">
        <v>151</v>
      </c>
      <c r="C95" s="58"/>
      <c r="D95" s="120">
        <f>SUM(D81:D94)</f>
        <v>2361571140.1359191</v>
      </c>
    </row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162</v>
      </c>
      <c r="C41" s="270"/>
      <c r="D41" s="27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164</v>
      </c>
      <c r="C41" s="270"/>
      <c r="D41" s="27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176</v>
      </c>
      <c r="C41" s="270"/>
      <c r="D41" s="27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178</v>
      </c>
      <c r="C41" s="270"/>
      <c r="D41" s="27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2026-08-15T00:41:37Z</dcterms:modified>
  <dc:language>en-US</dc:language>
</cp:coreProperties>
</file>