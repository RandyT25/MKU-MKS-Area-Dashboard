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YULI\TALITHA\"/>
    </mc:Choice>
  </mc:AlternateContent>
  <xr:revisionPtr revIDLastSave="0" documentId="13_ncr:1_{B03BEA8A-2C3C-4C2D-A956-D4906EBA5629}" xr6:coauthVersionLast="47" xr6:coauthVersionMax="47" xr10:uidLastSave="{00000000-0000-0000-0000-000000000000}"/>
  <bookViews>
    <workbookView xWindow="-120" yWindow="-120" windowWidth="20730" windowHeight="11160" tabRatio="500" firstSheet="4" activeTab="11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81029"/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L68" i="8"/>
  <c r="K68" i="8"/>
  <c r="J68" i="8"/>
  <c r="I68" i="8"/>
  <c r="H68" i="8"/>
  <c r="G68" i="8"/>
  <c r="E64" i="8"/>
  <c r="D64" i="8"/>
  <c r="E63" i="8"/>
  <c r="D63" i="8"/>
  <c r="E62" i="8"/>
  <c r="D62" i="8"/>
  <c r="E61" i="8"/>
  <c r="D61" i="8"/>
  <c r="E60" i="8"/>
  <c r="D60" i="8"/>
  <c r="H59" i="8"/>
  <c r="G59" i="8"/>
  <c r="E59" i="8"/>
  <c r="D59" i="8"/>
  <c r="E58" i="8"/>
  <c r="D58" i="8"/>
  <c r="E57" i="8"/>
  <c r="D57" i="8"/>
  <c r="E56" i="8"/>
  <c r="D56" i="8"/>
  <c r="E55" i="8"/>
  <c r="D55" i="8"/>
  <c r="E54" i="8"/>
  <c r="D54" i="8"/>
  <c r="H53" i="8"/>
  <c r="G53" i="8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E60" i="7"/>
  <c r="D60" i="7"/>
  <c r="H59" i="7"/>
  <c r="G59" i="7"/>
  <c r="E59" i="7"/>
  <c r="D59" i="7"/>
  <c r="E58" i="7"/>
  <c r="D58" i="7"/>
  <c r="E57" i="7"/>
  <c r="D57" i="7"/>
  <c r="E56" i="7"/>
  <c r="D56" i="7"/>
  <c r="E55" i="7"/>
  <c r="D55" i="7"/>
  <c r="E54" i="7"/>
  <c r="D54" i="7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E60" i="6"/>
  <c r="D60" i="6"/>
  <c r="H59" i="6"/>
  <c r="G59" i="6"/>
  <c r="E59" i="6"/>
  <c r="D59" i="6"/>
  <c r="E58" i="6"/>
  <c r="D58" i="6"/>
  <c r="E57" i="6"/>
  <c r="D57" i="6"/>
  <c r="E56" i="6"/>
  <c r="D56" i="6"/>
  <c r="E55" i="6"/>
  <c r="D55" i="6"/>
  <c r="E54" i="6"/>
  <c r="D54" i="6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E59" i="4"/>
  <c r="D59" i="4"/>
  <c r="F59" i="4" s="1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G54" i="14" l="1"/>
  <c r="F52" i="4"/>
  <c r="F56" i="4"/>
  <c r="F60" i="4"/>
  <c r="F54" i="6"/>
  <c r="F58" i="6"/>
  <c r="M58" i="6" s="1"/>
  <c r="N58" i="6" s="1"/>
  <c r="F61" i="6"/>
  <c r="I56" i="7"/>
  <c r="O56" i="7" s="1"/>
  <c r="P56" i="7" s="1"/>
  <c r="I61" i="7"/>
  <c r="F54" i="7"/>
  <c r="M54" i="7" s="1"/>
  <c r="N54" i="7" s="1"/>
  <c r="F58" i="7"/>
  <c r="F61" i="7"/>
  <c r="K61" i="7" s="1"/>
  <c r="L61" i="7" s="1"/>
  <c r="I53" i="8"/>
  <c r="F57" i="8"/>
  <c r="O57" i="8" s="1"/>
  <c r="P57" i="8" s="1"/>
  <c r="F60" i="8"/>
  <c r="F64" i="8"/>
  <c r="K64" i="8" s="1"/>
  <c r="L64" i="8" s="1"/>
  <c r="F69" i="8"/>
  <c r="I52" i="9"/>
  <c r="I57" i="9"/>
  <c r="I62" i="9"/>
  <c r="M62" i="9" s="1"/>
  <c r="N62" i="9" s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J59" i="8" s="1"/>
  <c r="F62" i="8"/>
  <c r="I55" i="9"/>
  <c r="I60" i="9"/>
  <c r="I64" i="9"/>
  <c r="M64" i="9" s="1"/>
  <c r="N64" i="9" s="1"/>
  <c r="L53" i="4"/>
  <c r="L57" i="4"/>
  <c r="I55" i="6"/>
  <c r="I60" i="6"/>
  <c r="K60" i="6" s="1"/>
  <c r="L60" i="6" s="1"/>
  <c r="I53" i="6"/>
  <c r="F57" i="6"/>
  <c r="F60" i="6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K63" i="8" s="1"/>
  <c r="L63" i="8" s="1"/>
  <c r="I56" i="9"/>
  <c r="I61" i="9"/>
  <c r="D82" i="10"/>
  <c r="D86" i="10"/>
  <c r="D90" i="10"/>
  <c r="F54" i="9"/>
  <c r="K54" i="9" s="1"/>
  <c r="L54" i="9" s="1"/>
  <c r="F58" i="9"/>
  <c r="F61" i="9"/>
  <c r="M61" i="9" s="1"/>
  <c r="N61" i="9" s="1"/>
  <c r="K70" i="9"/>
  <c r="D83" i="11"/>
  <c r="D87" i="11"/>
  <c r="D91" i="11"/>
  <c r="D82" i="13"/>
  <c r="D86" i="13"/>
  <c r="D90" i="13"/>
  <c r="F53" i="6"/>
  <c r="M53" i="6" s="1"/>
  <c r="N53" i="6" s="1"/>
  <c r="F56" i="6"/>
  <c r="I59" i="6"/>
  <c r="F63" i="6"/>
  <c r="I54" i="7"/>
  <c r="I58" i="7"/>
  <c r="J58" i="7" s="1"/>
  <c r="I63" i="7"/>
  <c r="K63" i="7" s="1"/>
  <c r="L63" i="7" s="1"/>
  <c r="F56" i="7"/>
  <c r="I59" i="7"/>
  <c r="F63" i="7"/>
  <c r="G59" i="10"/>
  <c r="G54" i="11"/>
  <c r="G53" i="12"/>
  <c r="F58" i="5"/>
  <c r="F73" i="7"/>
  <c r="I54" i="8"/>
  <c r="I58" i="8"/>
  <c r="K58" i="8" s="1"/>
  <c r="L58" i="8" s="1"/>
  <c r="I63" i="8"/>
  <c r="I53" i="9"/>
  <c r="K53" i="9" s="1"/>
  <c r="L53" i="9" s="1"/>
  <c r="F57" i="9"/>
  <c r="J57" i="9" s="1"/>
  <c r="F60" i="9"/>
  <c r="K60" i="9" s="1"/>
  <c r="L60" i="9" s="1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M63" i="10" s="1"/>
  <c r="N63" i="10" s="1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F62" i="9"/>
  <c r="G70" i="9"/>
  <c r="H70" i="9" s="1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K52" i="6" s="1"/>
  <c r="L52" i="6" s="1"/>
  <c r="F55" i="6"/>
  <c r="J55" i="6" s="1"/>
  <c r="F59" i="6"/>
  <c r="F62" i="6"/>
  <c r="I57" i="7"/>
  <c r="M57" i="7" s="1"/>
  <c r="N57" i="7" s="1"/>
  <c r="I62" i="7"/>
  <c r="F52" i="7"/>
  <c r="F55" i="7"/>
  <c r="F59" i="7"/>
  <c r="J59" i="7" s="1"/>
  <c r="F62" i="7"/>
  <c r="K62" i="7" s="1"/>
  <c r="L62" i="7" s="1"/>
  <c r="H65" i="8"/>
  <c r="D46" i="8"/>
  <c r="F54" i="8"/>
  <c r="M54" i="8" s="1"/>
  <c r="N54" i="8" s="1"/>
  <c r="F58" i="8"/>
  <c r="F61" i="8"/>
  <c r="M61" i="8" s="1"/>
  <c r="N61" i="8" s="1"/>
  <c r="I54" i="9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K61" i="11"/>
  <c r="K63" i="12"/>
  <c r="K63" i="10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F54" i="4"/>
  <c r="F51" i="5"/>
  <c r="F54" i="5"/>
  <c r="I52" i="6"/>
  <c r="I57" i="6"/>
  <c r="J57" i="6" s="1"/>
  <c r="E65" i="6"/>
  <c r="E65" i="7"/>
  <c r="I56" i="8"/>
  <c r="I61" i="8"/>
  <c r="O61" i="8" s="1"/>
  <c r="P61" i="8" s="1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M54" i="13" s="1"/>
  <c r="N54" i="13" s="1"/>
  <c r="K57" i="13"/>
  <c r="O57" i="13" s="1"/>
  <c r="P57" i="13" s="1"/>
  <c r="K61" i="13"/>
  <c r="Q61" i="13" s="1"/>
  <c r="R61" i="13" s="1"/>
  <c r="G64" i="13"/>
  <c r="K73" i="13"/>
  <c r="L73" i="13" s="1"/>
  <c r="K53" i="14"/>
  <c r="G56" i="14"/>
  <c r="M56" i="14" s="1"/>
  <c r="N56" i="14" s="1"/>
  <c r="G57" i="14"/>
  <c r="G61" i="14"/>
  <c r="Q61" i="14" s="1"/>
  <c r="R61" i="14" s="1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F72" i="6"/>
  <c r="I52" i="8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M64" i="14" s="1"/>
  <c r="N64" i="14" s="1"/>
  <c r="I51" i="3"/>
  <c r="J51" i="3" s="1"/>
  <c r="F68" i="3"/>
  <c r="I53" i="4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F73" i="8"/>
  <c r="H65" i="9"/>
  <c r="D46" i="9"/>
  <c r="G58" i="10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G69" i="13"/>
  <c r="H69" i="13" s="1"/>
  <c r="F73" i="13"/>
  <c r="G52" i="14"/>
  <c r="M52" i="14" s="1"/>
  <c r="N52" i="14" s="1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K58" i="12"/>
  <c r="L58" i="12" s="1"/>
  <c r="E65" i="13"/>
  <c r="K52" i="13"/>
  <c r="Q52" i="13" s="1"/>
  <c r="R52" i="13" s="1"/>
  <c r="G60" i="13"/>
  <c r="K62" i="13"/>
  <c r="L62" i="13" s="1"/>
  <c r="K64" i="14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K56" i="10"/>
  <c r="K57" i="10"/>
  <c r="O57" i="10" s="1"/>
  <c r="P57" i="10" s="1"/>
  <c r="K58" i="10"/>
  <c r="K59" i="10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O53" i="6"/>
  <c r="P53" i="6" s="1"/>
  <c r="K53" i="6"/>
  <c r="L53" i="6" s="1"/>
  <c r="M55" i="6"/>
  <c r="N55" i="6" s="1"/>
  <c r="K55" i="6"/>
  <c r="L55" i="6" s="1"/>
  <c r="M60" i="6"/>
  <c r="N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43" i="6" s="1"/>
  <c r="I51" i="6"/>
  <c r="I61" i="6"/>
  <c r="J61" i="6" s="1"/>
  <c r="I62" i="6"/>
  <c r="J62" i="6" s="1"/>
  <c r="I63" i="6"/>
  <c r="J63" i="6" s="1"/>
  <c r="I64" i="6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K43" i="7"/>
  <c r="F53" i="7"/>
  <c r="O53" i="8"/>
  <c r="P53" i="8" s="1"/>
  <c r="M53" i="8"/>
  <c r="N53" i="8" s="1"/>
  <c r="K53" i="8"/>
  <c r="L53" i="8" s="1"/>
  <c r="J53" i="8"/>
  <c r="M56" i="8"/>
  <c r="N56" i="8" s="1"/>
  <c r="M57" i="8"/>
  <c r="N57" i="8" s="1"/>
  <c r="M58" i="8"/>
  <c r="N58" i="8" s="1"/>
  <c r="O59" i="8"/>
  <c r="P59" i="8" s="1"/>
  <c r="K59" i="8"/>
  <c r="L59" i="8" s="1"/>
  <c r="O63" i="8"/>
  <c r="P63" i="8" s="1"/>
  <c r="O64" i="8"/>
  <c r="P64" i="8" s="1"/>
  <c r="Q52" i="10"/>
  <c r="R52" i="10" s="1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4" i="7"/>
  <c r="E44" i="7"/>
  <c r="O55" i="7"/>
  <c r="P55" i="7" s="1"/>
  <c r="M55" i="7"/>
  <c r="N55" i="7" s="1"/>
  <c r="K55" i="7"/>
  <c r="L55" i="7" s="1"/>
  <c r="M56" i="7"/>
  <c r="N56" i="7" s="1"/>
  <c r="O57" i="7"/>
  <c r="P57" i="7" s="1"/>
  <c r="O58" i="7"/>
  <c r="P58" i="7" s="1"/>
  <c r="M58" i="7"/>
  <c r="N58" i="7" s="1"/>
  <c r="K58" i="7"/>
  <c r="L58" i="7" s="1"/>
  <c r="K59" i="7"/>
  <c r="L59" i="7" s="1"/>
  <c r="M60" i="7"/>
  <c r="N60" i="7" s="1"/>
  <c r="M61" i="7"/>
  <c r="N61" i="7" s="1"/>
  <c r="O62" i="7"/>
  <c r="P62" i="7" s="1"/>
  <c r="M63" i="7"/>
  <c r="N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3" i="9"/>
  <c r="N53" i="9" s="1"/>
  <c r="M54" i="9"/>
  <c r="N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60" i="9"/>
  <c r="N60" i="9" s="1"/>
  <c r="O61" i="9"/>
  <c r="P61" i="9" s="1"/>
  <c r="O62" i="9"/>
  <c r="P62" i="9" s="1"/>
  <c r="K62" i="9"/>
  <c r="L62" i="9" s="1"/>
  <c r="O63" i="9"/>
  <c r="P63" i="9" s="1"/>
  <c r="M63" i="9"/>
  <c r="N63" i="9" s="1"/>
  <c r="K63" i="9"/>
  <c r="L63" i="9" s="1"/>
  <c r="O64" i="9"/>
  <c r="P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2" i="9"/>
  <c r="J72" i="9" s="1"/>
  <c r="K73" i="9"/>
  <c r="L73" i="9" s="1"/>
  <c r="I73" i="9"/>
  <c r="J73" i="9" s="1"/>
  <c r="G73" i="9"/>
  <c r="H73" i="9" s="1"/>
  <c r="F73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L70" i="9"/>
  <c r="L72" i="9"/>
  <c r="Q61" i="10"/>
  <c r="R61" i="10" s="1"/>
  <c r="O61" i="10"/>
  <c r="P61" i="10" s="1"/>
  <c r="M61" i="10"/>
  <c r="N61" i="10" s="1"/>
  <c r="O63" i="10"/>
  <c r="P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Q57" i="12"/>
  <c r="R57" i="12" s="1"/>
  <c r="O57" i="12"/>
  <c r="P57" i="12" s="1"/>
  <c r="M57" i="12"/>
  <c r="N57" i="12" s="1"/>
  <c r="M59" i="12"/>
  <c r="N59" i="12" s="1"/>
  <c r="L64" i="12"/>
  <c r="M52" i="13"/>
  <c r="N52" i="13" s="1"/>
  <c r="L57" i="13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P63" i="13"/>
  <c r="G70" i="12"/>
  <c r="H70" i="12" s="1"/>
  <c r="I70" i="12"/>
  <c r="J70" i="12" s="1"/>
  <c r="K70" i="12"/>
  <c r="L70" i="12" s="1"/>
  <c r="G72" i="12"/>
  <c r="H72" i="12" s="1"/>
  <c r="I72" i="12"/>
  <c r="J72" i="12" s="1"/>
  <c r="M54" i="14"/>
  <c r="N54" i="14" s="1"/>
  <c r="Q62" i="13"/>
  <c r="R62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O56" i="14"/>
  <c r="P56" i="14" s="1"/>
  <c r="Q57" i="14"/>
  <c r="R57" i="14" s="1"/>
  <c r="O57" i="14"/>
  <c r="P57" i="14" s="1"/>
  <c r="M57" i="14"/>
  <c r="N57" i="14" s="1"/>
  <c r="L57" i="14"/>
  <c r="O61" i="14"/>
  <c r="P61" i="14" s="1"/>
  <c r="L61" i="14"/>
  <c r="L69" i="13"/>
  <c r="K72" i="13"/>
  <c r="L72" i="13" s="1"/>
  <c r="I72" i="13"/>
  <c r="J72" i="13" s="1"/>
  <c r="G72" i="13"/>
  <c r="H72" i="13" s="1"/>
  <c r="F72" i="13"/>
  <c r="H73" i="13"/>
  <c r="M53" i="14"/>
  <c r="N53" i="14" s="1"/>
  <c r="L56" i="14"/>
  <c r="Q58" i="14"/>
  <c r="R58" i="14" s="1"/>
  <c r="O59" i="14"/>
  <c r="P59" i="14" s="1"/>
  <c r="L59" i="14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O53" i="12" l="1"/>
  <c r="P53" i="12" s="1"/>
  <c r="G42" i="12"/>
  <c r="H42" i="12" s="1"/>
  <c r="K57" i="6"/>
  <c r="L57" i="6" s="1"/>
  <c r="L55" i="14"/>
  <c r="M61" i="14"/>
  <c r="N61" i="14" s="1"/>
  <c r="Q56" i="14"/>
  <c r="R56" i="14" s="1"/>
  <c r="K42" i="14"/>
  <c r="L54" i="14"/>
  <c r="Q56" i="13"/>
  <c r="R56" i="13" s="1"/>
  <c r="M55" i="13"/>
  <c r="N55" i="13" s="1"/>
  <c r="E74" i="9"/>
  <c r="O60" i="9"/>
  <c r="P60" i="9" s="1"/>
  <c r="O54" i="9"/>
  <c r="P54" i="9" s="1"/>
  <c r="O63" i="7"/>
  <c r="P63" i="7" s="1"/>
  <c r="O61" i="7"/>
  <c r="P61" i="7" s="1"/>
  <c r="M59" i="7"/>
  <c r="N59" i="7" s="1"/>
  <c r="K56" i="7"/>
  <c r="L56" i="7" s="1"/>
  <c r="J52" i="7"/>
  <c r="M59" i="8"/>
  <c r="N59" i="8" s="1"/>
  <c r="O58" i="8"/>
  <c r="P58" i="8" s="1"/>
  <c r="K54" i="8"/>
  <c r="L54" i="8" s="1"/>
  <c r="G43" i="7"/>
  <c r="H43" i="7" s="1"/>
  <c r="J64" i="6"/>
  <c r="J52" i="5"/>
  <c r="J53" i="4"/>
  <c r="J58" i="6"/>
  <c r="J56" i="8"/>
  <c r="M51" i="4"/>
  <c r="N51" i="4" s="1"/>
  <c r="Q63" i="12"/>
  <c r="R63" i="12" s="1"/>
  <c r="J54" i="9"/>
  <c r="O59" i="9"/>
  <c r="P59" i="9" s="1"/>
  <c r="O59" i="7"/>
  <c r="P59" i="7" s="1"/>
  <c r="K57" i="7"/>
  <c r="L57" i="7" s="1"/>
  <c r="O55" i="14"/>
  <c r="P55" i="14" s="1"/>
  <c r="M56" i="12"/>
  <c r="N56" i="12" s="1"/>
  <c r="Q55" i="13"/>
  <c r="R55" i="13" s="1"/>
  <c r="M59" i="6"/>
  <c r="N59" i="6" s="1"/>
  <c r="Q55" i="14"/>
  <c r="R55" i="14" s="1"/>
  <c r="Q54" i="14"/>
  <c r="R54" i="14" s="1"/>
  <c r="Q59" i="13"/>
  <c r="R59" i="13" s="1"/>
  <c r="O56" i="12"/>
  <c r="P56" i="12" s="1"/>
  <c r="Q54" i="12"/>
  <c r="R54" i="12" s="1"/>
  <c r="M64" i="11"/>
  <c r="N64" i="11" s="1"/>
  <c r="G71" i="9"/>
  <c r="H71" i="9" s="1"/>
  <c r="K58" i="9"/>
  <c r="L58" i="9" s="1"/>
  <c r="K52" i="9"/>
  <c r="L52" i="9" s="1"/>
  <c r="O60" i="7"/>
  <c r="P60" i="7" s="1"/>
  <c r="L52" i="10"/>
  <c r="J53" i="7"/>
  <c r="L59" i="10"/>
  <c r="O53" i="10"/>
  <c r="P53" i="10" s="1"/>
  <c r="Q64" i="14"/>
  <c r="R64" i="14" s="1"/>
  <c r="Q58" i="13"/>
  <c r="R58" i="13" s="1"/>
  <c r="M58" i="10"/>
  <c r="N58" i="10" s="1"/>
  <c r="J64" i="8"/>
  <c r="J52" i="8"/>
  <c r="J51" i="5"/>
  <c r="O54" i="10"/>
  <c r="P54" i="10" s="1"/>
  <c r="Q55" i="12"/>
  <c r="R55" i="12" s="1"/>
  <c r="K55" i="9"/>
  <c r="L55" i="9" s="1"/>
  <c r="J56" i="7"/>
  <c r="O60" i="6"/>
  <c r="P60" i="6" s="1"/>
  <c r="J61" i="7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G74" i="7" l="1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H41" authorId="0" shapeId="0" xr:uid="{00000000-0006-0000-0800-000001000000}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 xr:uid="{00000000-0006-0000-0800-000002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3" authorId="0" shapeId="0" xr:uid="{00000000-0006-0000-0900-000001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 xr:uid="{00000000-0006-0000-0900-000002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 xr:uid="{00000000-0006-0000-0900-000003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 xr:uid="{00000000-0006-0000-0900-000004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<sst xmlns="http://schemas.openxmlformats.org/spreadsheetml/2006/main" count="2117" uniqueCount="228">
  <si>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</si>
  <si>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</si>
  <si>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</si>
  <si>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</si>
  <si>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</si>
  <si>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</si>
  <si>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</si>
  <si>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</si>
  <si>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</si>
  <si>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</si>
  <si>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</si>
  <si>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</si>
  <si>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</si>
  <si>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</si>
  <si>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</si>
  <si>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</si>
  <si>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</si>
  <si>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</si>
  <si>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</si>
  <si>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</si>
  <si>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</si>
  <si>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</si>
  <si>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</si>
  <si>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</si>
  <si>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</si>
  <si>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</si>
  <si>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</si>
  <si>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</si>
  <si>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</si>
  <si>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</si>
  <si>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</si>
  <si>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</si>
  <si>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</si>
  <si>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</si>
  <si>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</si>
  <si>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</si>
  <si>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</si>
  <si>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</si>
  <si>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</si>
  <si>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</si>
  <si>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</si>
  <si>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</si>
  <si>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</si>
  <si>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</si>
  <si>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</si>
  <si>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</si>
  <si>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</si>
  <si>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</si>
  <si>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</si>
  <si>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</si>
  <si>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</si>
  <si>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</si>
  <si>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</si>
  <si>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</si>
  <si>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</si>
  <si>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</si>
  <si>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</si>
  <si>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</si>
  <si>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</si>
  <si>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</si>
  <si>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</si>
  <si>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</si>
  <si>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</si>
  <si>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</si>
  <si>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</si>
  <si>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</si>
  <si>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</si>
  <si>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</si>
  <si>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</si>
  <si>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</si>
  <si>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</si>
  <si>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</si>
  <si>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</si>
  <si>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</si>
  <si>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</si>
  <si>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</si>
  <si>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</si>
  <si>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</si>
  <si>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</si>
  <si>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</si>
  <si>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</si>
  <si>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</si>
  <si>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</si>
  <si>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</si>
  <si>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</si>
  <si>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</si>
  <si>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</si>
  <si>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</si>
  <si>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</si>
  <si>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</si>
  <si>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</si>
  <si>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</si>
  <si>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</si>
  <si>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</si>
  <si>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</si>
  <si>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</si>
  <si>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</si>
  <si>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</si>
  <si>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</si>
  <si>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</si>
  <si>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</si>
  <si>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</si>
  <si>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</si>
  <si>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</si>
  <si>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</si>
  <si>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</si>
  <si>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</si>
  <si>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</si>
  <si>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</si>
  <si>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</si>
  <si>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</si>
  <si>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</si>
  <si>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</si>
  <si>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</si>
  <si>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</si>
  <si>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</si>
  <si>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</si>
  <si>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</si>
  <si>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</si>
  <si>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</si>
  <si>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</si>
  <si>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</si>
  <si>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</si>
  <si>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</si>
  <si>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</si>
  <si>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</si>
  <si>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</si>
  <si>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</si>
  <si>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</si>
  <si>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</si>
  <si>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</si>
  <si>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</si>
  <si>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</si>
  <si>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</si>
  <si>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</si>
  <si>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</si>
  <si>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</si>
  <si>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</si>
  <si>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</si>
  <si>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</si>
  <si>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</si>
  <si>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</si>
  <si>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</si>
  <si>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</si>
  <si>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</si>
  <si>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</si>
  <si>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</si>
  <si>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</si>
  <si>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</si>
  <si>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</si>
  <si>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</si>
  <si>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</si>
  <si>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</si>
  <si>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</si>
  <si>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</si>
  <si>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</si>
  <si>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</si>
  <si>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</si>
  <si>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</si>
  <si>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</si>
  <si>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</si>
  <si>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</si>
  <si>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</si>
  <si>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</si>
  <si>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</si>
  <si>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</si>
  <si>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</si>
  <si>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</si>
  <si>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</si>
  <si>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</si>
  <si>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</si>
  <si>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</si>
  <si>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</si>
  <si>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</si>
  <si>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</si>
  <si>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</si>
  <si>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</si>
  <si>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</si>
  <si>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</si>
  <si>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</si>
  <si>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</si>
  <si>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</si>
  <si>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</si>
  <si>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</si>
  <si>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</si>
  <si>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</si>
  <si>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</si>
  <si>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</si>
  <si>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</si>
  <si>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</si>
  <si>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</si>
  <si>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</si>
  <si>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</si>
  <si>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</si>
  <si>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</si>
  <si>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</si>
  <si>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</si>
  <si>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</si>
  <si>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</si>
  <si>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</si>
  <si>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</si>
  <si>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</si>
  <si>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</si>
  <si>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</si>
  <si>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</si>
  <si>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</si>
  <si>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</si>
  <si>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</si>
  <si>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</si>
  <si>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</si>
  <si>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</si>
  <si>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</si>
  <si>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</si>
  <si>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</si>
  <si>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</si>
  <si>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</si>
  <si>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</si>
  <si>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</si>
  <si>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</si>
  <si>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</si>
  <si>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</si>
  <si>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</si>
  <si>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</si>
  <si>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</si>
  <si>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</si>
  <si>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</si>
  <si>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</si>
  <si>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3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</si>
</sst>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_);_(* \(#,##0\);_(* &quot;-&quot;_);_(@_)"/>
    <numFmt numFmtId="165" formatCode="#,##0.#0"/>
    <numFmt numFmtId="166" formatCode="_ * #,##0_ ;_ * \-#,##0_ ;_ * &quot;-&quot;??_ ;_ @_ 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9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5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164" fontId="12" fillId="2" borderId="0" xfId="0" applyNumberFormat="1" applyFont="1" applyFill="1" applyAlignment="1">
      <alignment horizontal="centerContinuous" vertical="center"/>
    </xf>
    <xf numFmtId="164" fontId="0" fillId="0" borderId="0" xfId="0" applyNumberFormat="1"/>
    <xf numFmtId="164" fontId="29" fillId="15" borderId="1" xfId="0" applyNumberFormat="1" applyFont="1" applyFill="1" applyBorder="1" applyAlignment="1">
      <alignment horizontal="centerContinuous" vertical="center" wrapText="1"/>
    </xf>
    <xf numFmtId="164" fontId="29" fillId="22" borderId="1" xfId="0" applyNumberFormat="1" applyFont="1" applyFill="1" applyBorder="1" applyAlignment="1">
      <alignment horizontal="center" vertical="center" wrapText="1"/>
    </xf>
    <xf numFmtId="164" fontId="26" fillId="24" borderId="1" xfId="0" applyNumberFormat="1" applyFont="1" applyFill="1" applyBorder="1" applyAlignment="1">
      <alignment horizontal="right" vertical="center"/>
    </xf>
    <xf numFmtId="164" fontId="22" fillId="16" borderId="1" xfId="0" applyNumberFormat="1" applyFont="1" applyFill="1" applyBorder="1" applyAlignment="1">
      <alignment horizontal="right" vertical="center"/>
    </xf>
    <xf numFmtId="164" fontId="26" fillId="12" borderId="1" xfId="0" applyNumberFormat="1" applyFont="1" applyFill="1" applyBorder="1" applyAlignment="1">
      <alignment horizontal="right" vertical="center"/>
    </xf>
    <xf numFmtId="164" fontId="26" fillId="10" borderId="1" xfId="0" applyNumberFormat="1" applyFont="1" applyFill="1" applyBorder="1" applyAlignment="1">
      <alignment horizontal="right" vertical="center"/>
    </xf>
    <xf numFmtId="164" fontId="26" fillId="12" borderId="1" xfId="0" applyNumberFormat="1" applyFont="1" applyFill="1" applyBorder="1" applyAlignment="1">
      <alignment horizontal="center" vertical="center"/>
    </xf>
    <xf numFmtId="164" fontId="26" fillId="10" borderId="1" xfId="0" applyNumberFormat="1" applyFont="1" applyFill="1" applyBorder="1" applyAlignment="1">
      <alignment horizontal="center" vertical="center"/>
    </xf>
    <xf numFmtId="164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164" fontId="26" fillId="27" borderId="1" xfId="0" applyNumberFormat="1" applyFont="1" applyFill="1" applyBorder="1" applyAlignment="1">
      <alignment horizontal="center" vertical="center"/>
    </xf>
    <xf numFmtId="164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164" fontId="22" fillId="26" borderId="1" xfId="0" applyNumberFormat="1" applyFont="1" applyFill="1" applyBorder="1" applyAlignment="1">
      <alignment horizontal="center" vertical="center"/>
    </xf>
    <xf numFmtId="164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164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164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164" fontId="36" fillId="22" borderId="1" xfId="0" applyNumberFormat="1" applyFont="1" applyFill="1" applyBorder="1" applyAlignment="1">
      <alignment horizontal="center" vertical="center" wrapText="1"/>
    </xf>
    <xf numFmtId="164" fontId="38" fillId="12" borderId="1" xfId="0" applyNumberFormat="1" applyFont="1" applyFill="1" applyBorder="1" applyAlignment="1">
      <alignment horizontal="center" vertical="center"/>
    </xf>
    <xf numFmtId="164" fontId="38" fillId="24" borderId="1" xfId="0" applyNumberFormat="1" applyFont="1" applyFill="1" applyBorder="1" applyAlignment="1">
      <alignment horizontal="right" vertical="center"/>
    </xf>
    <xf numFmtId="164" fontId="38" fillId="10" borderId="1" xfId="0" applyNumberFormat="1" applyFont="1" applyFill="1" applyBorder="1" applyAlignment="1">
      <alignment horizontal="center" vertical="center"/>
    </xf>
    <xf numFmtId="164" fontId="38" fillId="30" borderId="1" xfId="0" applyNumberFormat="1" applyFont="1" applyFill="1" applyBorder="1" applyAlignment="1">
      <alignment horizontal="center" vertical="center"/>
    </xf>
    <xf numFmtId="164" fontId="33" fillId="26" borderId="1" xfId="0" applyNumberFormat="1" applyFont="1" applyFill="1" applyBorder="1" applyAlignment="1">
      <alignment horizontal="center" vertical="center"/>
    </xf>
    <xf numFmtId="164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164" fontId="38" fillId="27" borderId="1" xfId="0" applyNumberFormat="1" applyFont="1" applyFill="1" applyBorder="1" applyAlignment="1">
      <alignment horizontal="center" vertical="center"/>
    </xf>
    <xf numFmtId="164" fontId="38" fillId="28" borderId="1" xfId="0" applyNumberFormat="1" applyFont="1" applyFill="1" applyBorder="1" applyAlignment="1">
      <alignment horizontal="center" vertical="center"/>
    </xf>
    <xf numFmtId="164" fontId="33" fillId="16" borderId="1" xfId="0" applyNumberFormat="1" applyFont="1" applyFill="1" applyBorder="1" applyAlignment="1">
      <alignment horizontal="center" vertical="center"/>
    </xf>
    <xf numFmtId="164" fontId="38" fillId="12" borderId="1" xfId="0" applyNumberFormat="1" applyFont="1" applyFill="1" applyBorder="1" applyAlignment="1">
      <alignment horizontal="right" vertical="center"/>
    </xf>
    <xf numFmtId="164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164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164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164" fontId="26" fillId="31" borderId="1" xfId="0" applyNumberFormat="1" applyFont="1" applyFill="1" applyBorder="1" applyAlignment="1">
      <alignment horizontal="right" vertical="center"/>
    </xf>
    <xf numFmtId="164" fontId="26" fillId="31" borderId="1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164" fontId="47" fillId="35" borderId="4" xfId="0" applyNumberFormat="1" applyFont="1" applyFill="1" applyBorder="1" applyAlignment="1">
      <alignment horizontal="center" vertical="center" wrapText="1"/>
    </xf>
    <xf numFmtId="164" fontId="26" fillId="36" borderId="4" xfId="0" applyNumberFormat="1" applyFont="1" applyFill="1" applyBorder="1" applyAlignment="1">
      <alignment horizontal="right" vertical="center"/>
    </xf>
    <xf numFmtId="164" fontId="22" fillId="26" borderId="4" xfId="0" applyNumberFormat="1" applyFont="1" applyFill="1" applyBorder="1" applyAlignment="1">
      <alignment horizontal="right" vertical="center"/>
    </xf>
    <xf numFmtId="164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164" fontId="26" fillId="34" borderId="4" xfId="0" applyNumberFormat="1" applyFont="1" applyFill="1" applyBorder="1" applyAlignment="1">
      <alignment horizontal="right" vertical="center"/>
    </xf>
    <xf numFmtId="164" fontId="0" fillId="32" borderId="4" xfId="0" applyNumberFormat="1" applyFill="1" applyBorder="1" applyAlignment="1">
      <alignment horizontal="right"/>
    </xf>
    <xf numFmtId="164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164" fontId="26" fillId="34" borderId="13" xfId="0" applyNumberFormat="1" applyFont="1" applyFill="1" applyBorder="1" applyAlignment="1">
      <alignment horizontal="right" vertical="center"/>
    </xf>
    <xf numFmtId="164" fontId="26" fillId="36" borderId="13" xfId="0" applyNumberFormat="1" applyFont="1" applyFill="1" applyBorder="1" applyAlignment="1">
      <alignment horizontal="right" vertical="center"/>
    </xf>
    <xf numFmtId="164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164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164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164" fontId="37" fillId="34" borderId="4" xfId="0" applyNumberFormat="1" applyFont="1" applyFill="1" applyBorder="1" applyAlignment="1">
      <alignment horizontal="right" vertical="center"/>
    </xf>
    <xf numFmtId="164" fontId="35" fillId="36" borderId="4" xfId="0" applyNumberFormat="1" applyFont="1" applyFill="1" applyBorder="1" applyAlignment="1">
      <alignment horizontal="right"/>
    </xf>
    <xf numFmtId="164" fontId="35" fillId="32" borderId="4" xfId="0" applyNumberFormat="1" applyFont="1" applyFill="1" applyBorder="1" applyAlignment="1">
      <alignment horizontal="right"/>
    </xf>
    <xf numFmtId="164" fontId="34" fillId="26" borderId="4" xfId="0" applyNumberFormat="1" applyFont="1" applyFill="1" applyBorder="1" applyAlignment="1">
      <alignment horizontal="right" vertical="center"/>
    </xf>
    <xf numFmtId="164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164" fontId="37" fillId="36" borderId="4" xfId="0" applyNumberFormat="1" applyFont="1" applyFill="1" applyBorder="1" applyAlignment="1">
      <alignment horizontal="right" vertical="center"/>
    </xf>
    <xf numFmtId="164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164" fontId="54" fillId="2" borderId="0" xfId="0" applyNumberFormat="1" applyFont="1" applyFill="1" applyAlignment="1">
      <alignment horizontal="centerContinuous" vertical="center"/>
    </xf>
    <xf numFmtId="164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164" fontId="49" fillId="33" borderId="13" xfId="0" applyNumberFormat="1" applyFont="1" applyFill="1" applyBorder="1" applyAlignment="1">
      <alignment horizontal="center" vertical="center" wrapText="1"/>
    </xf>
    <xf numFmtId="164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164" fontId="47" fillId="33" borderId="13" xfId="0" applyNumberFormat="1" applyFont="1" applyFill="1" applyBorder="1" applyAlignment="1">
      <alignment horizontal="center" vertical="center" wrapText="1"/>
    </xf>
    <xf numFmtId="164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6" fontId="0" fillId="0" borderId="4" xfId="2" applyNumberFormat="1" applyFont="1" applyBorder="1" applyAlignment="1">
      <alignment vertical="center"/>
    </xf>
    <xf numFmtId="166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164" fontId="29" fillId="15" borderId="2" xfId="0" applyNumberFormat="1" applyFont="1" applyFill="1" applyBorder="1" applyAlignment="1">
      <alignment horizontal="center" vertical="center" wrapText="1"/>
    </xf>
    <xf numFmtId="164" fontId="29" fillId="15" borderId="6" xfId="0" applyNumberFormat="1" applyFont="1" applyFill="1" applyBorder="1" applyAlignment="1">
      <alignment horizontal="center" vertical="center" wrapText="1"/>
    </xf>
    <xf numFmtId="164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8" t="s">
        <v>0</v>
      </c>
      <c r="C1" s="238"/>
    </row>
    <row r="3" spans="2:3" x14ac:dyDescent="0.25">
      <c r="B3" s="239" t="s">
        <v>1</v>
      </c>
      <c r="C3" s="239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0" t="s">
        <v>14</v>
      </c>
      <c r="C11" s="240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9" t="s">
        <v>28</v>
      </c>
      <c r="C3" s="239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1" t="s">
        <v>102</v>
      </c>
      <c r="C29" s="241"/>
      <c r="D29" s="241"/>
      <c r="E29" s="241"/>
      <c r="F29" s="241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6" t="s">
        <v>145</v>
      </c>
      <c r="C44" s="247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8" t="s">
        <v>41</v>
      </c>
      <c r="C47" s="248" t="s">
        <v>42</v>
      </c>
      <c r="D47" s="249" t="s">
        <v>137</v>
      </c>
      <c r="E47" s="250"/>
      <c r="F47" s="251"/>
      <c r="G47" s="98" t="s">
        <v>138</v>
      </c>
      <c r="H47" s="98"/>
      <c r="I47" s="98"/>
      <c r="J47" s="248" t="s">
        <v>139</v>
      </c>
      <c r="K47" s="99" t="s">
        <v>147</v>
      </c>
      <c r="L47" s="99"/>
      <c r="M47" s="99"/>
      <c r="N47" s="245" t="s">
        <v>148</v>
      </c>
    </row>
    <row r="48" spans="2:14" ht="15.75" x14ac:dyDescent="0.25">
      <c r="B48" s="248"/>
      <c r="C48" s="24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8"/>
      <c r="K48" s="101" t="s">
        <v>142</v>
      </c>
      <c r="L48" s="101" t="s">
        <v>110</v>
      </c>
      <c r="M48" s="101" t="s">
        <v>145</v>
      </c>
      <c r="N48" s="245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2" t="s">
        <v>144</v>
      </c>
      <c r="C63" s="243"/>
      <c r="D63" s="243"/>
      <c r="E63" s="243"/>
      <c r="F63" s="243"/>
      <c r="G63" s="243"/>
      <c r="H63" s="244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6" t="s">
        <v>145</v>
      </c>
      <c r="C44" s="247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8" t="s">
        <v>41</v>
      </c>
      <c r="C47" s="248" t="s">
        <v>42</v>
      </c>
      <c r="D47" s="249" t="s">
        <v>137</v>
      </c>
      <c r="E47" s="250"/>
      <c r="F47" s="251"/>
      <c r="G47" s="98" t="s">
        <v>138</v>
      </c>
      <c r="H47" s="98"/>
      <c r="I47" s="98"/>
      <c r="J47" s="248" t="s">
        <v>139</v>
      </c>
      <c r="K47" s="99" t="s">
        <v>147</v>
      </c>
      <c r="L47" s="99"/>
      <c r="M47" s="99"/>
      <c r="N47" s="245" t="s">
        <v>148</v>
      </c>
    </row>
    <row r="48" spans="2:14" ht="15.75" x14ac:dyDescent="0.25">
      <c r="B48" s="248"/>
      <c r="C48" s="24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8"/>
      <c r="K48" s="101" t="s">
        <v>142</v>
      </c>
      <c r="L48" s="101" t="s">
        <v>110</v>
      </c>
      <c r="M48" s="101" t="s">
        <v>145</v>
      </c>
      <c r="N48" s="245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2" t="s">
        <v>144</v>
      </c>
      <c r="C63" s="243"/>
      <c r="D63" s="243"/>
      <c r="E63" s="243"/>
      <c r="F63" s="243"/>
      <c r="G63" s="243"/>
      <c r="H63" s="244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9" t="s">
        <v>145</v>
      </c>
      <c r="C44" s="26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1" t="s">
        <v>41</v>
      </c>
      <c r="C47" s="261" t="s">
        <v>42</v>
      </c>
      <c r="D47" s="256" t="s">
        <v>137</v>
      </c>
      <c r="E47" s="257"/>
      <c r="F47" s="258"/>
      <c r="G47" s="69" t="s">
        <v>138</v>
      </c>
      <c r="H47" s="69"/>
      <c r="I47" s="69"/>
      <c r="J47" s="261" t="s">
        <v>139</v>
      </c>
      <c r="K47" s="35" t="s">
        <v>147</v>
      </c>
      <c r="L47" s="35"/>
      <c r="M47" s="35"/>
      <c r="N47" s="255" t="s">
        <v>148</v>
      </c>
    </row>
    <row r="48" spans="2:17" ht="15.75" x14ac:dyDescent="0.25">
      <c r="B48" s="261"/>
      <c r="C48" s="261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1"/>
      <c r="K48" s="34" t="s">
        <v>142</v>
      </c>
      <c r="L48" s="34" t="s">
        <v>110</v>
      </c>
      <c r="M48" s="34" t="s">
        <v>145</v>
      </c>
      <c r="N48" s="255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2" t="s">
        <v>144</v>
      </c>
      <c r="C63" s="253"/>
      <c r="D63" s="253"/>
      <c r="E63" s="253"/>
      <c r="F63" s="253"/>
      <c r="G63" s="253"/>
      <c r="H63" s="254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2" t="s">
        <v>177</v>
      </c>
      <c r="C41" s="273"/>
      <c r="D41" s="274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9" t="s">
        <v>145</v>
      </c>
      <c r="C46" s="260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185</v>
      </c>
      <c r="L48" s="264"/>
      <c r="M48" s="264"/>
      <c r="N48" s="264"/>
      <c r="O48" s="264"/>
      <c r="P48" s="265"/>
      <c r="Q48"/>
      <c r="R48"/>
    </row>
    <row r="49" spans="2:18" s="139" customFormat="1" ht="33.950000000000003" customHeight="1" x14ac:dyDescent="0.25">
      <c r="B49" s="280" t="s">
        <v>41</v>
      </c>
      <c r="C49" s="280" t="s">
        <v>42</v>
      </c>
      <c r="D49" s="277" t="s">
        <v>137</v>
      </c>
      <c r="E49" s="278"/>
      <c r="F49" s="279"/>
      <c r="G49" s="140" t="s">
        <v>138</v>
      </c>
      <c r="H49" s="140"/>
      <c r="I49" s="140"/>
      <c r="J49" s="277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0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0"/>
      <c r="C50" s="280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7"/>
      <c r="K50" s="267"/>
      <c r="L50" s="267"/>
      <c r="M50" s="269"/>
      <c r="N50" s="188"/>
      <c r="O50" s="183"/>
      <c r="P50" s="271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2" t="s">
        <v>170</v>
      </c>
      <c r="C77" s="253"/>
      <c r="D77" s="254"/>
      <c r="G77"/>
      <c r="H77"/>
      <c r="I77"/>
    </row>
    <row r="78" spans="1:19" ht="20.100000000000001" customHeight="1" x14ac:dyDescent="0.25">
      <c r="B78" s="262" t="s">
        <v>41</v>
      </c>
      <c r="C78" s="262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1"/>
      <c r="C79" s="261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5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1" t="s">
        <v>178</v>
      </c>
      <c r="C41" s="282"/>
      <c r="D41" s="283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9" t="s">
        <v>145</v>
      </c>
      <c r="C46" s="260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185</v>
      </c>
      <c r="L48" s="264"/>
      <c r="M48" s="264"/>
      <c r="N48" s="264"/>
      <c r="O48" s="264"/>
      <c r="P48" s="265"/>
    </row>
    <row r="49" spans="2:16" ht="33.950000000000003" customHeight="1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268" t="str">
        <f>"PER HARI"&amp;CHAR(10)&amp;TEXT($J$41,"0%")</f>
        <v>PER HARI
95%</v>
      </c>
      <c r="O49" s="270" t="str">
        <f>"SELISIH"&amp;CHAR(10)&amp;TEXT($L$41,"0%")</f>
        <v>SELISIH
100%</v>
      </c>
      <c r="P49" s="270" t="str">
        <f>"PER HARI"&amp;CHAR(10)&amp;TEXT($L$41,"0%")</f>
        <v>PER HARI
100%</v>
      </c>
    </row>
    <row r="50" spans="2:16" ht="22.5" customHeight="1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67"/>
      <c r="L50" s="267"/>
      <c r="M50" s="269"/>
      <c r="N50" s="269"/>
      <c r="O50" s="271"/>
      <c r="P50" s="271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2" t="s">
        <v>170</v>
      </c>
      <c r="C77" s="253"/>
      <c r="D77" s="254"/>
    </row>
    <row r="78" spans="2:16" ht="18.75" customHeight="1" x14ac:dyDescent="0.25">
      <c r="B78" s="262" t="s">
        <v>41</v>
      </c>
      <c r="C78" s="262" t="s">
        <v>42</v>
      </c>
      <c r="D78" s="231" t="s">
        <v>138</v>
      </c>
    </row>
    <row r="79" spans="2:16" ht="18" customHeight="1" x14ac:dyDescent="0.25">
      <c r="B79" s="261"/>
      <c r="C79" s="261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6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2" t="s">
        <v>179</v>
      </c>
      <c r="C41" s="273"/>
      <c r="D41" s="274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9" t="s">
        <v>145</v>
      </c>
      <c r="C46" s="260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185</v>
      </c>
      <c r="L48" s="264"/>
      <c r="M48" s="264"/>
      <c r="N48" s="264"/>
      <c r="O48" s="264"/>
      <c r="P48" s="265"/>
    </row>
    <row r="49" spans="2:16" ht="33.950000000000003" customHeight="1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268" t="str">
        <f>"PER HARI"&amp;CHAR(10)&amp;TEXT($J$41,"0%")</f>
        <v>PER HARI
95%</v>
      </c>
      <c r="O49" s="270" t="str">
        <f>"SELISIH"&amp;CHAR(10)&amp;TEXT($L$41,"0%")</f>
        <v>SELISIH
100%</v>
      </c>
      <c r="P49" s="270" t="str">
        <f>"PER HARI"&amp;CHAR(10)&amp;TEXT($L$41,"0%")</f>
        <v>PER HARI
100%</v>
      </c>
    </row>
    <row r="50" spans="2:16" ht="19.5" customHeight="1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67"/>
      <c r="L50" s="267"/>
      <c r="M50" s="269"/>
      <c r="N50" s="269"/>
      <c r="O50" s="271"/>
      <c r="P50" s="271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2" t="s">
        <v>170</v>
      </c>
      <c r="C77" s="253"/>
      <c r="D77" s="254"/>
    </row>
    <row r="78" spans="2:16" ht="15.75" x14ac:dyDescent="0.25">
      <c r="B78" s="262" t="s">
        <v>41</v>
      </c>
      <c r="C78" s="262" t="s">
        <v>42</v>
      </c>
      <c r="D78" s="231" t="s">
        <v>138</v>
      </c>
    </row>
    <row r="79" spans="2:16" ht="15.75" x14ac:dyDescent="0.25">
      <c r="B79" s="261"/>
      <c r="C79" s="261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7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2" t="s">
        <v>188</v>
      </c>
      <c r="C41" s="273"/>
      <c r="D41" s="274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9" t="s">
        <v>145</v>
      </c>
      <c r="C46" s="260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185</v>
      </c>
      <c r="L48" s="264"/>
      <c r="M48" s="264"/>
      <c r="N48" s="264"/>
      <c r="O48" s="264"/>
      <c r="P48" s="265"/>
    </row>
    <row r="49" spans="2:16" ht="15.75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268" t="str">
        <f>"PER HARI"&amp;CHAR(10)&amp;TEXT($J$41,"0%")</f>
        <v>PER HARI
95%</v>
      </c>
      <c r="O49" s="284" t="str">
        <f>"SELISIH"&amp;CHAR(10)&amp;TEXT($L$41,"0%")</f>
        <v>SELISIH
100%</v>
      </c>
      <c r="P49" s="284" t="str">
        <f>"PER HARI"&amp;CHAR(10)&amp;TEXT($L$41,"0%")</f>
        <v>PER HARI
100%</v>
      </c>
    </row>
    <row r="50" spans="2:16" ht="15.75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67"/>
      <c r="L50" s="267"/>
      <c r="M50" s="269"/>
      <c r="N50" s="269"/>
      <c r="O50" s="285"/>
      <c r="P50" s="285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2" t="s">
        <v>170</v>
      </c>
      <c r="C77" s="253"/>
      <c r="D77" s="254"/>
    </row>
    <row r="78" spans="2:16" ht="15.75" x14ac:dyDescent="0.25">
      <c r="B78" s="262" t="s">
        <v>41</v>
      </c>
      <c r="C78" s="262" t="s">
        <v>42</v>
      </c>
      <c r="D78" s="231" t="s">
        <v>138</v>
      </c>
    </row>
    <row r="79" spans="2:16" ht="15.75" x14ac:dyDescent="0.25">
      <c r="B79" s="261"/>
      <c r="C79" s="261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800-000000000000}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2" t="s">
        <v>218</v>
      </c>
      <c r="C40" s="273"/>
      <c r="D40" s="274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9" t="s">
        <v>145</v>
      </c>
      <c r="C46" s="260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5" t="s">
        <v>212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185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5.75" x14ac:dyDescent="0.25">
      <c r="B50" s="262"/>
      <c r="C50" s="262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5"/>
      <c r="G67" s="263" t="s">
        <v>185</v>
      </c>
      <c r="H67" s="264"/>
      <c r="I67" s="264"/>
      <c r="J67" s="264"/>
      <c r="K67" s="264"/>
      <c r="L67" s="265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2" t="s">
        <v>170</v>
      </c>
      <c r="C77" s="253"/>
      <c r="D77" s="254"/>
    </row>
    <row r="78" spans="2:21" ht="15.75" x14ac:dyDescent="0.25">
      <c r="B78" s="262" t="s">
        <v>41</v>
      </c>
      <c r="C78" s="262" t="s">
        <v>42</v>
      </c>
      <c r="D78" s="231" t="s">
        <v>138</v>
      </c>
    </row>
    <row r="79" spans="2:21" ht="15.75" x14ac:dyDescent="0.25">
      <c r="B79" s="261"/>
      <c r="C79" s="261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 xr:uid="{00000000-0002-0000-0900-000000000000}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1:U95"/>
  <sheetViews>
    <sheetView showGridLines="0" zoomScale="84" zoomScaleNormal="84" workbookViewId="0">
      <selection activeCell="J18" sqref="J1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15">
        <v>144740163.23579499</v>
      </c>
      <c r="D10" s="15">
        <v>42947490.453594998</v>
      </c>
      <c r="E10" s="15">
        <v>203025937.43701801</v>
      </c>
      <c r="F10" s="15">
        <v>167020820.35991901</v>
      </c>
      <c r="G10" s="1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15">
        <v>5673423.4199980004</v>
      </c>
      <c r="D11" s="15">
        <v>42317826.700000003</v>
      </c>
      <c r="E11" s="15">
        <v>294873875.35879999</v>
      </c>
      <c r="F11" s="15" t="s">
        <v>164</v>
      </c>
      <c r="G11" s="1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15">
        <v>184342048.20793799</v>
      </c>
      <c r="D12" s="15">
        <v>73221834.879611</v>
      </c>
      <c r="E12" s="15">
        <v>179141986.31949699</v>
      </c>
      <c r="F12" s="15">
        <v>73537256.650000006</v>
      </c>
      <c r="G12" s="1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15">
        <v>34096172.366747998</v>
      </c>
      <c r="D13" s="15">
        <v>24478710.189963002</v>
      </c>
      <c r="E13" s="15">
        <v>220912974.83954</v>
      </c>
      <c r="F13" s="15">
        <v>92206408.069999993</v>
      </c>
      <c r="G13" s="1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15">
        <v>519605596.399562</v>
      </c>
      <c r="D14" s="15">
        <v>46985541.356622003</v>
      </c>
      <c r="E14" s="15">
        <v>154687892.139853</v>
      </c>
      <c r="F14" s="15">
        <v>435182498.96969998</v>
      </c>
      <c r="G14" s="1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15">
        <v>1671930373.3399069</v>
      </c>
      <c r="D15" s="15">
        <v>12877002.040921999</v>
      </c>
      <c r="E15" s="15">
        <v>95420197.059935004</v>
      </c>
      <c r="F15" s="15">
        <v>18848648.969999999</v>
      </c>
      <c r="G15" s="1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15">
        <v>521089786.50765902</v>
      </c>
      <c r="D16" s="15">
        <v>57488125.779923998</v>
      </c>
      <c r="E16" s="15">
        <v>331550587.10936803</v>
      </c>
      <c r="F16" s="15">
        <v>1085995754.9499691</v>
      </c>
      <c r="G16" s="1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15">
        <v>109815225.42588399</v>
      </c>
      <c r="D17" s="15">
        <v>13122554.039898001</v>
      </c>
      <c r="E17" s="15">
        <v>111572926.73874199</v>
      </c>
      <c r="F17" s="15">
        <v>50871892.898000002</v>
      </c>
      <c r="G17" s="1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15">
        <v>15069697.589996999</v>
      </c>
      <c r="D18" s="15">
        <v>159433424.38816899</v>
      </c>
      <c r="E18" s="15">
        <v>64345106.100000001</v>
      </c>
      <c r="F18" s="15">
        <v>109416218.59999999</v>
      </c>
      <c r="G18" s="1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15">
        <v>48019875.460000001</v>
      </c>
      <c r="D19" s="15" t="s">
        <v>164</v>
      </c>
      <c r="E19" s="15" t="s">
        <v>164</v>
      </c>
      <c r="F19" s="15">
        <v>9945945.6799999997</v>
      </c>
      <c r="G19" s="1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>
        <v>228406676.46000001</v>
      </c>
      <c r="D20" s="15" t="s">
        <v>164</v>
      </c>
      <c r="E20" s="15" t="s">
        <v>164</v>
      </c>
      <c r="F20" s="15">
        <v>13579549.18</v>
      </c>
      <c r="G20" s="1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15">
        <v>293251949.48080099</v>
      </c>
      <c r="D21" s="15">
        <v>52174490.493436001</v>
      </c>
      <c r="E21" s="15">
        <v>160692167.65973499</v>
      </c>
      <c r="F21" s="15">
        <v>440958537.05983001</v>
      </c>
      <c r="G21" s="1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15">
        <v>203254368.21468899</v>
      </c>
      <c r="D22" s="15">
        <v>64276669.089911997</v>
      </c>
      <c r="E22" s="15">
        <v>164086145.60814101</v>
      </c>
      <c r="F22" s="15">
        <v>65793423.229999997</v>
      </c>
      <c r="G22" s="1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15">
        <v>282011574.08168399</v>
      </c>
      <c r="D23" s="15">
        <v>74809273.259940997</v>
      </c>
      <c r="E23" s="15">
        <v>193650083.903642</v>
      </c>
      <c r="F23" s="15">
        <v>347098526.07937998</v>
      </c>
      <c r="G23" s="1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15">
        <v>473358692.59722602</v>
      </c>
      <c r="D24" s="15">
        <v>68355376.974876001</v>
      </c>
      <c r="E24" s="15">
        <v>214221011.39987901</v>
      </c>
      <c r="F24" s="15">
        <v>637076364.45931995</v>
      </c>
      <c r="G24" s="1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15">
        <v>350127609.35823399</v>
      </c>
      <c r="D25" s="15">
        <v>90343081.166443005</v>
      </c>
      <c r="E25" s="15">
        <v>104230158.082516</v>
      </c>
      <c r="F25" s="15">
        <v>50324325.43</v>
      </c>
      <c r="G25" s="1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15">
        <v>547959392.77456105</v>
      </c>
      <c r="D26" s="15">
        <v>290879574.89086801</v>
      </c>
      <c r="E26" s="15">
        <v>286513427.54513299</v>
      </c>
      <c r="F26" s="15">
        <v>21926703.130399998</v>
      </c>
      <c r="G26" s="1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5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2" t="s">
        <v>226</v>
      </c>
      <c r="C40" s="273"/>
      <c r="D40" s="274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212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185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95%</v>
      </c>
      <c r="N49" s="266" t="str">
        <f>"PER HARI"&amp;CHAR(10)&amp;TEXT($H$40,"0%")</f>
        <v>PER HARI
95%</v>
      </c>
      <c r="O49" s="268" t="str">
        <f>"SELISIH"&amp;CHAR(10)&amp;TEXT($J$40,"0%")</f>
        <v>SELISIH
100%</v>
      </c>
      <c r="P49" s="268" t="str">
        <f>"PER HARI"&amp;CHAR(10)&amp;TEXT($J$40,"0%")</f>
        <v>PER HARI
100%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185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170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 xr:uid="{00000000-0002-0000-0A00-000000000000}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95"/>
  <sheetViews>
    <sheetView showGridLines="0" tabSelected="1" topLeftCell="D29" zoomScaleNormal="100" workbookViewId="0">
      <selection activeCell="H77" sqref="H77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25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6">
        <v>23282489.291476</v>
      </c>
      <c r="D10" s="236">
        <v>10629825.060000001</v>
      </c>
      <c r="E10" s="236">
        <v>24330168.013622999</v>
      </c>
      <c r="F10" s="236">
        <v>25502703.289985001</v>
      </c>
      <c r="G10" s="236">
        <v>83745185.655083999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236">
        <v>31883767.524393</v>
      </c>
      <c r="D11" s="236">
        <v>22495563.319256999</v>
      </c>
      <c r="E11" s="236">
        <v>15053576.695959</v>
      </c>
      <c r="F11" s="236">
        <v>2283783.87</v>
      </c>
      <c r="G11" s="236">
        <v>71716691.409609005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236">
        <v>0</v>
      </c>
      <c r="D12" s="236">
        <v>4489392</v>
      </c>
      <c r="E12" s="236">
        <v>47959459.840000004</v>
      </c>
      <c r="F12" s="236">
        <v>0</v>
      </c>
      <c r="G12" s="236">
        <v>52448851.840000004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236">
        <v>14217222.014831999</v>
      </c>
      <c r="D13" s="236">
        <v>11576360.248467</v>
      </c>
      <c r="E13" s="236">
        <v>14501171.179979</v>
      </c>
      <c r="F13" s="236">
        <v>35247747.210000001</v>
      </c>
      <c r="G13" s="236">
        <v>75542500.653277993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236">
        <v>2599612.6199980001</v>
      </c>
      <c r="D14" s="236">
        <v>6953346.9499880001</v>
      </c>
      <c r="E14" s="236">
        <v>31288784.069924999</v>
      </c>
      <c r="F14" s="236">
        <v>6414414.54</v>
      </c>
      <c r="G14" s="236">
        <v>47256158.179911003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236">
        <v>52061247.614969999</v>
      </c>
      <c r="D15" s="236">
        <v>2677540.5939989998</v>
      </c>
      <c r="E15" s="236">
        <v>19600779.479997002</v>
      </c>
      <c r="F15" s="236">
        <v>45000721.759954996</v>
      </c>
      <c r="G15" s="236">
        <v>119340289.44892099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236">
        <v>27483117.546980001</v>
      </c>
      <c r="D16" s="236">
        <v>444072.069999</v>
      </c>
      <c r="E16" s="236">
        <v>40540.53</v>
      </c>
      <c r="F16" s="236">
        <v>1091891.94</v>
      </c>
      <c r="G16" s="236">
        <v>29059622.086979002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236">
        <v>76475604.788155004</v>
      </c>
      <c r="D17" s="236">
        <v>3850941.3799990001</v>
      </c>
      <c r="E17" s="236">
        <v>62001712.009875</v>
      </c>
      <c r="F17" s="236">
        <v>246055854.97999999</v>
      </c>
      <c r="G17" s="236">
        <v>388384113.15802902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236">
        <v>17235027.090440001</v>
      </c>
      <c r="D18" s="236">
        <v>0</v>
      </c>
      <c r="E18" s="236">
        <v>7131982.9994999999</v>
      </c>
      <c r="F18" s="236">
        <v>0</v>
      </c>
      <c r="G18" s="236">
        <v>24367010.08994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236">
        <v>2332400</v>
      </c>
      <c r="D19" s="236">
        <v>15693681.006610001</v>
      </c>
      <c r="E19" s="236">
        <v>4390540.5</v>
      </c>
      <c r="F19" s="236">
        <v>24345946.440000001</v>
      </c>
      <c r="G19" s="236">
        <v>46762567.946610004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236">
        <v>459459.48</v>
      </c>
      <c r="D20" s="236">
        <v>0</v>
      </c>
      <c r="E20" s="236">
        <v>0</v>
      </c>
      <c r="F20" s="236">
        <v>1765765.72</v>
      </c>
      <c r="G20" s="236">
        <v>2225225.2000000002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236">
        <v>17193305.600000001</v>
      </c>
      <c r="D21" s="236">
        <v>0</v>
      </c>
      <c r="E21" s="236">
        <v>0</v>
      </c>
      <c r="F21" s="236">
        <v>2486486.42</v>
      </c>
      <c r="G21" s="236">
        <v>19679792.02</v>
      </c>
      <c r="H21" s="111"/>
      <c r="I21" s="111"/>
      <c r="J21" s="111"/>
      <c r="M21" s="14">
        <f>SUM(C33,C34)+M20</f>
        <v>115979220.89271601</v>
      </c>
      <c r="N21" s="10" t="s">
        <v>223</v>
      </c>
    </row>
    <row r="22" spans="2:15" ht="15" customHeight="1" x14ac:dyDescent="0.25">
      <c r="B22" s="72" t="s">
        <v>124</v>
      </c>
      <c r="C22" s="236">
        <v>46371180.009861998</v>
      </c>
      <c r="D22" s="236">
        <v>9144171.2199779991</v>
      </c>
      <c r="E22" s="236">
        <v>12107432.41</v>
      </c>
      <c r="F22" s="236">
        <v>77657658.329970002</v>
      </c>
      <c r="G22" s="236">
        <v>145280441.96981001</v>
      </c>
      <c r="H22" s="111"/>
      <c r="I22" s="111"/>
      <c r="J22" s="111"/>
    </row>
    <row r="23" spans="2:15" ht="15" customHeight="1" x14ac:dyDescent="0.25">
      <c r="B23" s="72" t="s">
        <v>125</v>
      </c>
      <c r="C23" s="236">
        <v>34632240.326168999</v>
      </c>
      <c r="D23" s="236">
        <v>9326274.8399790004</v>
      </c>
      <c r="E23" s="236">
        <v>23151036.969981</v>
      </c>
      <c r="F23" s="236">
        <v>39316217.429889999</v>
      </c>
      <c r="G23" s="236">
        <v>106425769.566019</v>
      </c>
      <c r="H23" s="111"/>
      <c r="I23" s="111"/>
      <c r="J23" s="111"/>
    </row>
    <row r="24" spans="2:15" ht="15" customHeight="1" x14ac:dyDescent="0.25">
      <c r="B24" s="72" t="s">
        <v>126</v>
      </c>
      <c r="C24" s="236">
        <v>66581680.303382002</v>
      </c>
      <c r="D24" s="236">
        <v>10437198.229989</v>
      </c>
      <c r="E24" s="236">
        <v>25560991.389993999</v>
      </c>
      <c r="F24" s="236">
        <v>87223784.759928003</v>
      </c>
      <c r="G24" s="236">
        <v>189803654.68329301</v>
      </c>
      <c r="H24" s="111"/>
      <c r="I24" s="111"/>
      <c r="J24" s="111"/>
    </row>
    <row r="25" spans="2:15" ht="15" customHeight="1" x14ac:dyDescent="0.25">
      <c r="B25" s="72" t="s">
        <v>224</v>
      </c>
      <c r="C25" s="236">
        <v>34158672.570518002</v>
      </c>
      <c r="D25" s="236">
        <v>7800785.9041990004</v>
      </c>
      <c r="E25" s="236">
        <v>13184657.779998001</v>
      </c>
      <c r="F25" s="236">
        <v>44919099.269988</v>
      </c>
      <c r="G25" s="236">
        <v>100063215.524703</v>
      </c>
      <c r="H25" s="111"/>
      <c r="I25" s="111"/>
      <c r="J25" s="111"/>
    </row>
    <row r="26" spans="2:15" ht="15" customHeight="1" x14ac:dyDescent="0.25">
      <c r="B26" s="72" t="s">
        <v>127</v>
      </c>
      <c r="C26" s="236">
        <v>79766976.118843004</v>
      </c>
      <c r="D26" s="236">
        <v>16284983.639807999</v>
      </c>
      <c r="E26" s="236">
        <v>45502200.749435</v>
      </c>
      <c r="F26" s="236">
        <v>3565405.4871999999</v>
      </c>
      <c r="G26" s="236">
        <v>145119565.99528599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237">
        <v>27986285.369879</v>
      </c>
      <c r="G31" s="111"/>
      <c r="H31" s="111"/>
      <c r="I31" s="111"/>
    </row>
    <row r="32" spans="2:15" ht="15" customHeight="1" x14ac:dyDescent="0.25">
      <c r="B32" s="81" t="s">
        <v>132</v>
      </c>
      <c r="C32" s="236">
        <v>16155486.909906</v>
      </c>
      <c r="G32" s="111"/>
      <c r="H32" s="111"/>
      <c r="I32" s="111"/>
    </row>
    <row r="33" spans="2:19" ht="15" customHeight="1" x14ac:dyDescent="0.25">
      <c r="B33" s="81" t="s">
        <v>133</v>
      </c>
      <c r="C33" s="236">
        <v>25440302.253791999</v>
      </c>
      <c r="G33" s="111"/>
      <c r="H33" s="111"/>
      <c r="I33" s="111"/>
    </row>
    <row r="34" spans="2:19" ht="15" customHeight="1" x14ac:dyDescent="0.25">
      <c r="B34" s="81" t="s">
        <v>134</v>
      </c>
      <c r="C34" s="236">
        <v>90538918.638924003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2" t="s">
        <v>227</v>
      </c>
      <c r="C40" s="273"/>
      <c r="D40" s="274"/>
      <c r="E40" s="66" t="s">
        <v>137</v>
      </c>
      <c r="F40" s="174">
        <f ca="1">IF(MONTH(TODAY())=10,DAY(TODAY())/DAY(EOMONTH(TODAY(),0)),IF(MONTH(TODAY())&gt;10,1,0))</f>
        <v>9.6774193548387094E-2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499250885.35303807</v>
      </c>
      <c r="F42" s="176">
        <f>IFERROR(E42/D42,0)</f>
        <v>0.11182465929515545</v>
      </c>
      <c r="G42" s="184">
        <f>D42*$H$40-E42</f>
        <v>3518877134.4405375</v>
      </c>
      <c r="H42" s="184">
        <f ca="1">IFERROR(G42/$C$3,0)</f>
        <v>140755085.3776215</v>
      </c>
      <c r="I42" s="204">
        <f>D42*$J$40-E42</f>
        <v>3742106468.8735142</v>
      </c>
      <c r="J42" s="204">
        <f ca="1">IFERROR(I42/$C$3,0)</f>
        <v>149684258.75494057</v>
      </c>
      <c r="K42" s="185">
        <f>D42*$L$40-E42</f>
        <v>3965335803.3064909</v>
      </c>
      <c r="L42" s="185">
        <f ca="1">IFERROR(K42/$C$3,0)</f>
        <v>158613432.13225964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131360064.39227301</v>
      </c>
      <c r="F43" s="176">
        <f>IFERROR(E43/D43,0)</f>
        <v>0.10263242195159328</v>
      </c>
      <c r="G43" s="184">
        <f>D43*$H$40-E43</f>
        <v>1020557192.4060342</v>
      </c>
      <c r="H43" s="184">
        <f ca="1">IFERROR(G43/$C$3,0)</f>
        <v>40822287.696241371</v>
      </c>
      <c r="I43" s="204">
        <f>D43*$J$40-E43</f>
        <v>1084552595.5614958</v>
      </c>
      <c r="J43" s="204">
        <f ca="1">IFERROR(I43/$C$3,0)</f>
        <v>43382103.822459832</v>
      </c>
      <c r="K43" s="185">
        <f>D43*$L$40-E43</f>
        <v>1148547998.7169573</v>
      </c>
      <c r="L43" s="185">
        <f ca="1">IFERROR(K43/$C$3,0)</f>
        <v>45941919.948678292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345764494.08826602</v>
      </c>
      <c r="F44" s="176">
        <f>IFERROR(E44/D44,0)</f>
        <v>0.1186560076349427</v>
      </c>
      <c r="G44" s="184">
        <f>IF(D44=0,0,D44*$H$40-E44)</f>
        <v>2276842240.1349277</v>
      </c>
      <c r="H44" s="184">
        <f ca="1">IFERROR(G44/$C$3,0)</f>
        <v>91073689.605397105</v>
      </c>
      <c r="I44" s="204">
        <f>IF(D44=0,0,D44*$J$40-E44)</f>
        <v>2422542614.2584386</v>
      </c>
      <c r="J44" s="204">
        <f ca="1">IFERROR(I44/$C$3,0)</f>
        <v>96901704.570337549</v>
      </c>
      <c r="K44" s="185">
        <f>IF(D44=0,0,D44*$L$40-E44)</f>
        <v>2568242988.3819494</v>
      </c>
      <c r="L44" s="185">
        <f ca="1">IFERROR(K44/$C$3,0)</f>
        <v>102729719.53527798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160120993.172501</v>
      </c>
      <c r="F45" s="176">
        <f>IFERROR(E45/D45,0)</f>
        <v>8.9966367951076473E-2</v>
      </c>
      <c r="G45" s="184">
        <f>D45*$H$40-E45</f>
        <v>1441687517.4657967</v>
      </c>
      <c r="H45" s="184">
        <f ca="1">IFERROR(G45/$C$3,0)</f>
        <v>57667500.698631868</v>
      </c>
      <c r="I45" s="204">
        <f>D45*$J$40-E45</f>
        <v>1530676879.1679244</v>
      </c>
      <c r="J45" s="204">
        <f ca="1">IFERROR(I45/$C$3,0)</f>
        <v>61227075.166716978</v>
      </c>
      <c r="K45" s="185">
        <f>D45*$L$40-E45</f>
        <v>1619666240.8700521</v>
      </c>
      <c r="L45" s="185">
        <f ca="1">IFERROR(K45/$C$3,0)</f>
        <v>64786649.634802081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10438289468.281527</v>
      </c>
      <c r="E46" s="47">
        <f>SUM(E42:E45)</f>
        <v>1136496437.006078</v>
      </c>
      <c r="F46" s="177">
        <f>IFERROR(E46/D46,0)</f>
        <v>0.10887765092733928</v>
      </c>
      <c r="G46" s="181">
        <f>SUM(G42:G45)</f>
        <v>8257964084.4472961</v>
      </c>
      <c r="H46" s="181">
        <f ca="1">IFERROR(G46/$C$3,0)</f>
        <v>330318563.37789184</v>
      </c>
      <c r="I46" s="186">
        <f>SUM(I42:I45)</f>
        <v>8779878557.8613739</v>
      </c>
      <c r="J46" s="186">
        <f ca="1">IFERROR(I46/$C$3,0)</f>
        <v>351195142.31445497</v>
      </c>
      <c r="K46" s="186">
        <f>SUM(K42:K45)</f>
        <v>9301793031.2754498</v>
      </c>
      <c r="L46" s="186">
        <f ca="1">IFERROR(K46/$C$3,0)</f>
        <v>372071721.25101799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185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46371180.009861998</v>
      </c>
      <c r="I51" s="114">
        <f t="shared" ref="I51:I64" si="1">SUMIF($B$10:$B$26,$T51,D$10:D$26)+SUMIF($B$10:$B$26,$U51,D$10:D$26)</f>
        <v>9144171.2199779991</v>
      </c>
      <c r="J51" s="114">
        <f t="shared" ref="J51:J64" si="2">SUMIF($B$10:$B$26,$T51,E$10:E$26)+SUMIF($B$10:$B$26,$U51,E$10:E$26)</f>
        <v>12107432.41</v>
      </c>
      <c r="K51" s="114">
        <f t="shared" ref="K51:K64" si="3">SUM(H51:J51)</f>
        <v>67622783.639839992</v>
      </c>
      <c r="L51" s="187">
        <f t="shared" ref="L51:L65" si="4">IFERROR(K51/G51,0)</f>
        <v>0.13627183262033268</v>
      </c>
      <c r="M51" s="184">
        <f t="shared" ref="M51:M64" si="5">G51*$H$40-K51</f>
        <v>378988259.19701397</v>
      </c>
      <c r="N51" s="184">
        <f t="shared" ref="N51:N65" ca="1" si="6">IFERROR(M51/$C$3,0)</f>
        <v>15159530.367880559</v>
      </c>
      <c r="O51" s="180">
        <f t="shared" ref="O51:O64" si="7">G51*$J$40-K51</f>
        <v>403799983.79906142</v>
      </c>
      <c r="P51" s="180">
        <f t="shared" ref="P51:P65" ca="1" si="8">IFERROR(O51/$C$3,0)</f>
        <v>16151999.351962456</v>
      </c>
      <c r="Q51" s="185">
        <f t="shared" ref="Q51:Q64" si="9">G51*$L$40-K51</f>
        <v>428611708.40110886</v>
      </c>
      <c r="R51" s="185">
        <f t="shared" ref="R51:R65" ca="1" si="10">IFERROR(Q51/$C$3,0)</f>
        <v>17144468.336044356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16816834.634829998</v>
      </c>
      <c r="I52" s="114">
        <f t="shared" si="1"/>
        <v>18529707.198454998</v>
      </c>
      <c r="J52" s="114">
        <f t="shared" si="2"/>
        <v>45789955.249903999</v>
      </c>
      <c r="K52" s="114">
        <f t="shared" si="3"/>
        <v>81136497.083188996</v>
      </c>
      <c r="L52" s="187">
        <f t="shared" si="4"/>
        <v>0.10573034159226628</v>
      </c>
      <c r="M52" s="184">
        <f t="shared" si="5"/>
        <v>609515271.13365936</v>
      </c>
      <c r="N52" s="184">
        <f t="shared" ca="1" si="6"/>
        <v>24380610.845346376</v>
      </c>
      <c r="O52" s="180">
        <f t="shared" si="7"/>
        <v>647884813.81237316</v>
      </c>
      <c r="P52" s="180">
        <f t="shared" ca="1" si="8"/>
        <v>25915392.552494928</v>
      </c>
      <c r="Q52" s="185">
        <f t="shared" si="9"/>
        <v>686254356.49108696</v>
      </c>
      <c r="R52" s="185">
        <f t="shared" ca="1" si="10"/>
        <v>27450174.25964348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459459.48</v>
      </c>
      <c r="I53" s="114">
        <f t="shared" si="1"/>
        <v>0</v>
      </c>
      <c r="J53" s="114">
        <f t="shared" si="2"/>
        <v>0</v>
      </c>
      <c r="K53" s="114">
        <f t="shared" si="3"/>
        <v>459459.48</v>
      </c>
      <c r="L53" s="187">
        <f t="shared" si="4"/>
        <v>1.7473057786859026E-3</v>
      </c>
      <c r="M53" s="184">
        <f t="shared" si="5"/>
        <v>236198335.07670969</v>
      </c>
      <c r="N53" s="184">
        <f t="shared" ca="1" si="6"/>
        <v>9447933.4030683879</v>
      </c>
      <c r="O53" s="180">
        <f t="shared" si="7"/>
        <v>249345990.32986021</v>
      </c>
      <c r="P53" s="180">
        <f t="shared" ca="1" si="8"/>
        <v>9973839.6131944079</v>
      </c>
      <c r="Q53" s="185">
        <f t="shared" si="9"/>
        <v>262493645.58301076</v>
      </c>
      <c r="R53" s="185">
        <f t="shared" ca="1" si="10"/>
        <v>10499745.82332043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52061247.614969999</v>
      </c>
      <c r="I54" s="114">
        <f t="shared" si="1"/>
        <v>2677540.5939989998</v>
      </c>
      <c r="J54" s="114">
        <f t="shared" si="2"/>
        <v>19600779.479997002</v>
      </c>
      <c r="K54" s="114">
        <f t="shared" si="3"/>
        <v>74339567.688966006</v>
      </c>
      <c r="L54" s="187">
        <f t="shared" si="4"/>
        <v>0.10491954666241647</v>
      </c>
      <c r="M54" s="184">
        <f t="shared" si="5"/>
        <v>563345335.15703392</v>
      </c>
      <c r="N54" s="184">
        <f t="shared" ca="1" si="6"/>
        <v>22533813.406281356</v>
      </c>
      <c r="O54" s="180">
        <f t="shared" si="7"/>
        <v>598772274.20403385</v>
      </c>
      <c r="P54" s="180">
        <f t="shared" ca="1" si="8"/>
        <v>23950890.968161356</v>
      </c>
      <c r="Q54" s="185">
        <f t="shared" si="9"/>
        <v>634199213.2510339</v>
      </c>
      <c r="R54" s="185">
        <f t="shared" ca="1" si="10"/>
        <v>25367968.530041356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0</v>
      </c>
      <c r="I55" s="114">
        <f t="shared" si="1"/>
        <v>4489392</v>
      </c>
      <c r="J55" s="114">
        <f t="shared" si="2"/>
        <v>47959459.840000004</v>
      </c>
      <c r="K55" s="114">
        <f t="shared" si="3"/>
        <v>52448851.840000004</v>
      </c>
      <c r="L55" s="187">
        <f t="shared" si="4"/>
        <v>9.7633570827149421E-2</v>
      </c>
      <c r="M55" s="184">
        <f t="shared" si="5"/>
        <v>431032047.77361703</v>
      </c>
      <c r="N55" s="184">
        <f t="shared" ca="1" si="6"/>
        <v>17241281.910944682</v>
      </c>
      <c r="O55" s="180">
        <f t="shared" si="7"/>
        <v>457892097.75215137</v>
      </c>
      <c r="P55" s="180">
        <f t="shared" ca="1" si="8"/>
        <v>18315683.910086054</v>
      </c>
      <c r="Q55" s="185">
        <f t="shared" si="9"/>
        <v>484752147.73068559</v>
      </c>
      <c r="R55" s="185">
        <f t="shared" ca="1" si="10"/>
        <v>19390085.909227423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34158672.570518002</v>
      </c>
      <c r="I56" s="114">
        <f t="shared" si="1"/>
        <v>7800785.9041990004</v>
      </c>
      <c r="J56" s="114">
        <f t="shared" si="2"/>
        <v>13184657.779998001</v>
      </c>
      <c r="K56" s="114">
        <f t="shared" si="3"/>
        <v>55144116.254715011</v>
      </c>
      <c r="L56" s="187">
        <f t="shared" si="4"/>
        <v>9.9035259865199662E-2</v>
      </c>
      <c r="M56" s="184">
        <f t="shared" si="5"/>
        <v>445987548.33420241</v>
      </c>
      <c r="N56" s="184">
        <f t="shared" ca="1" si="6"/>
        <v>17839501.933368098</v>
      </c>
      <c r="O56" s="180">
        <f t="shared" si="7"/>
        <v>473828196.36691999</v>
      </c>
      <c r="P56" s="180">
        <f t="shared" ca="1" si="8"/>
        <v>18953127.854676798</v>
      </c>
      <c r="Q56" s="185">
        <f t="shared" si="9"/>
        <v>501668844.39963764</v>
      </c>
      <c r="R56" s="185">
        <f t="shared" ca="1" si="10"/>
        <v>20066753.775985505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76475604.788155004</v>
      </c>
      <c r="I57" s="114">
        <f t="shared" si="1"/>
        <v>3850941.3799990001</v>
      </c>
      <c r="J57" s="114">
        <f t="shared" si="2"/>
        <v>62001712.009875</v>
      </c>
      <c r="K57" s="114">
        <f t="shared" si="3"/>
        <v>142328258.178029</v>
      </c>
      <c r="L57" s="187">
        <f t="shared" si="4"/>
        <v>0.13045059604252829</v>
      </c>
      <c r="M57" s="184">
        <f t="shared" si="5"/>
        <v>839617675.7329638</v>
      </c>
      <c r="N57" s="184">
        <f t="shared" ca="1" si="6"/>
        <v>33584707.029318549</v>
      </c>
      <c r="O57" s="180">
        <f t="shared" si="7"/>
        <v>894170227.61690784</v>
      </c>
      <c r="P57" s="180">
        <f t="shared" ca="1" si="8"/>
        <v>35766809.104676314</v>
      </c>
      <c r="Q57" s="185">
        <f t="shared" si="9"/>
        <v>948722779.50085187</v>
      </c>
      <c r="R57" s="185">
        <f t="shared" ca="1" si="10"/>
        <v>37948911.180034071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34632240.326168999</v>
      </c>
      <c r="I58" s="114">
        <f t="shared" si="1"/>
        <v>9326274.8399790004</v>
      </c>
      <c r="J58" s="114">
        <f t="shared" si="2"/>
        <v>23151036.969981</v>
      </c>
      <c r="K58" s="114">
        <f t="shared" si="3"/>
        <v>67109552.136128992</v>
      </c>
      <c r="L58" s="187">
        <f t="shared" si="4"/>
        <v>0.11251537414208304</v>
      </c>
      <c r="M58" s="184">
        <f t="shared" si="5"/>
        <v>469693505.961918</v>
      </c>
      <c r="N58" s="184">
        <f t="shared" ca="1" si="6"/>
        <v>18787740.23847672</v>
      </c>
      <c r="O58" s="180">
        <f t="shared" si="7"/>
        <v>499515898.07847607</v>
      </c>
      <c r="P58" s="180">
        <f t="shared" ca="1" si="8"/>
        <v>19980635.923139043</v>
      </c>
      <c r="Q58" s="185">
        <f t="shared" si="9"/>
        <v>529338290.19503427</v>
      </c>
      <c r="R58" s="185">
        <f t="shared" ca="1" si="10"/>
        <v>21173531.60780137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17193305.600000001</v>
      </c>
      <c r="I59" s="114">
        <f t="shared" si="1"/>
        <v>0</v>
      </c>
      <c r="J59" s="114">
        <f t="shared" si="2"/>
        <v>0</v>
      </c>
      <c r="K59" s="114">
        <f t="shared" si="3"/>
        <v>17193305.600000001</v>
      </c>
      <c r="L59" s="187">
        <f t="shared" si="4"/>
        <v>3.8737034648710193E-2</v>
      </c>
      <c r="M59" s="184">
        <f t="shared" si="5"/>
        <v>382268738.418778</v>
      </c>
      <c r="N59" s="184">
        <f t="shared" ca="1" si="6"/>
        <v>15290749.536751119</v>
      </c>
      <c r="O59" s="180">
        <f t="shared" si="7"/>
        <v>404461074.19759899</v>
      </c>
      <c r="P59" s="180">
        <f t="shared" ca="1" si="8"/>
        <v>16178442.96790396</v>
      </c>
      <c r="Q59" s="185">
        <f t="shared" si="9"/>
        <v>426653409.97641999</v>
      </c>
      <c r="R59" s="185">
        <f t="shared" ca="1" si="10"/>
        <v>17066136.3990568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31883767.524393</v>
      </c>
      <c r="I60" s="114">
        <f t="shared" si="1"/>
        <v>22495563.319256999</v>
      </c>
      <c r="J60" s="114">
        <f t="shared" si="2"/>
        <v>15053576.695959</v>
      </c>
      <c r="K60" s="114">
        <f t="shared" si="3"/>
        <v>69432907.539609</v>
      </c>
      <c r="L60" s="187">
        <f t="shared" si="4"/>
        <v>0.12375459220502197</v>
      </c>
      <c r="M60" s="184">
        <f t="shared" si="5"/>
        <v>435514954.77585721</v>
      </c>
      <c r="N60" s="184">
        <f t="shared" ca="1" si="6"/>
        <v>17420598.191034287</v>
      </c>
      <c r="O60" s="180">
        <f t="shared" si="7"/>
        <v>463567613.79338306</v>
      </c>
      <c r="P60" s="180">
        <f t="shared" ca="1" si="8"/>
        <v>18542704.551735323</v>
      </c>
      <c r="Q60" s="185">
        <f t="shared" si="9"/>
        <v>491620272.81090897</v>
      </c>
      <c r="R60" s="185">
        <f t="shared" ca="1" si="10"/>
        <v>19664810.912436359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66581680.303382002</v>
      </c>
      <c r="I61" s="114">
        <f t="shared" si="1"/>
        <v>10437198.229989</v>
      </c>
      <c r="J61" s="114">
        <f t="shared" si="2"/>
        <v>25560991.389993999</v>
      </c>
      <c r="K61" s="114">
        <f t="shared" si="3"/>
        <v>102579869.923365</v>
      </c>
      <c r="L61" s="187">
        <f t="shared" si="4"/>
        <v>0.1468658236091207</v>
      </c>
      <c r="M61" s="184">
        <f t="shared" si="5"/>
        <v>526033926.41321921</v>
      </c>
      <c r="N61" s="184">
        <f t="shared" ca="1" si="6"/>
        <v>21041357.056528769</v>
      </c>
      <c r="O61" s="180">
        <f t="shared" si="7"/>
        <v>560956915.09858501</v>
      </c>
      <c r="P61" s="180">
        <f t="shared" ca="1" si="8"/>
        <v>22438276.6039434</v>
      </c>
      <c r="Q61" s="185">
        <f t="shared" si="9"/>
        <v>595879903.78395081</v>
      </c>
      <c r="R61" s="185">
        <f t="shared" ca="1" si="10"/>
        <v>23835196.151358031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23282489.291476</v>
      </c>
      <c r="I62" s="114">
        <f t="shared" si="1"/>
        <v>10629825.060000001</v>
      </c>
      <c r="J62" s="114">
        <f t="shared" si="2"/>
        <v>24330168.013622999</v>
      </c>
      <c r="K62" s="114">
        <f t="shared" si="3"/>
        <v>58242482.365098998</v>
      </c>
      <c r="L62" s="187">
        <f t="shared" si="4"/>
        <v>0.1269202929015931</v>
      </c>
      <c r="M62" s="184">
        <f t="shared" si="5"/>
        <v>354758724.37834328</v>
      </c>
      <c r="N62" s="184">
        <f t="shared" ca="1" si="6"/>
        <v>14190348.975133732</v>
      </c>
      <c r="O62" s="180">
        <f t="shared" si="7"/>
        <v>377703235.86409009</v>
      </c>
      <c r="P62" s="180">
        <f t="shared" ca="1" si="8"/>
        <v>15108129.434563603</v>
      </c>
      <c r="Q62" s="185">
        <f t="shared" si="9"/>
        <v>400647747.34983689</v>
      </c>
      <c r="R62" s="185">
        <f t="shared" ca="1" si="10"/>
        <v>16025909.893993475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79766976.118843004</v>
      </c>
      <c r="I63" s="114">
        <f t="shared" si="1"/>
        <v>16284983.639807999</v>
      </c>
      <c r="J63" s="114">
        <f t="shared" si="2"/>
        <v>45502200.749435</v>
      </c>
      <c r="K63" s="114">
        <f t="shared" si="3"/>
        <v>141554160.508086</v>
      </c>
      <c r="L63" s="187">
        <f t="shared" si="4"/>
        <v>0.14732319396144933</v>
      </c>
      <c r="M63" s="184">
        <f t="shared" si="5"/>
        <v>723202711.9950608</v>
      </c>
      <c r="N63" s="184">
        <f t="shared" ca="1" si="6"/>
        <v>28928108.479802433</v>
      </c>
      <c r="O63" s="180">
        <f t="shared" si="7"/>
        <v>771244760.46745777</v>
      </c>
      <c r="P63" s="180">
        <f t="shared" ca="1" si="8"/>
        <v>30849790.418698311</v>
      </c>
      <c r="Q63" s="185">
        <f t="shared" si="9"/>
        <v>819286808.93985486</v>
      </c>
      <c r="R63" s="185">
        <f t="shared" ca="1" si="10"/>
        <v>32771472.357594196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19567427.090440001</v>
      </c>
      <c r="I64" s="114">
        <f t="shared" si="1"/>
        <v>15693681.006610001</v>
      </c>
      <c r="J64" s="114">
        <f t="shared" si="2"/>
        <v>11522523.499499999</v>
      </c>
      <c r="K64" s="114">
        <f t="shared" si="3"/>
        <v>46783631.596550003</v>
      </c>
      <c r="L64" s="187">
        <f t="shared" si="4"/>
        <v>9.0179873821080281E-2</v>
      </c>
      <c r="M64" s="184">
        <f t="shared" si="5"/>
        <v>420119532.63312268</v>
      </c>
      <c r="N64" s="184">
        <f t="shared" ca="1" si="6"/>
        <v>16804781.305324908</v>
      </c>
      <c r="O64" s="180">
        <f t="shared" si="7"/>
        <v>446058597.31254894</v>
      </c>
      <c r="P64" s="180">
        <f t="shared" ca="1" si="8"/>
        <v>17842343.892501958</v>
      </c>
      <c r="Q64" s="185">
        <f t="shared" si="9"/>
        <v>471997661.99197519</v>
      </c>
      <c r="R64" s="185">
        <f t="shared" ca="1" si="10"/>
        <v>18879906.479679007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499250885.35303807</v>
      </c>
      <c r="I65" s="135">
        <f t="shared" si="12"/>
        <v>131360064.39227301</v>
      </c>
      <c r="J65" s="135">
        <f t="shared" si="12"/>
        <v>345764494.08826602</v>
      </c>
      <c r="K65" s="135">
        <f t="shared" si="12"/>
        <v>976375443.83357692</v>
      </c>
      <c r="L65" s="189">
        <f t="shared" si="4"/>
        <v>0.11276493525319209</v>
      </c>
      <c r="M65" s="181">
        <f>SUM(M51:M64)</f>
        <v>6816276566.9814997</v>
      </c>
      <c r="N65" s="181">
        <f t="shared" ca="1" si="6"/>
        <v>272651062.67926002</v>
      </c>
      <c r="O65" s="181">
        <f>SUM(O51:O64)</f>
        <v>7249201678.6934471</v>
      </c>
      <c r="P65" s="181">
        <f t="shared" ca="1" si="8"/>
        <v>289968067.14773786</v>
      </c>
      <c r="Q65" s="186">
        <f>SUM(Q51:Q64)</f>
        <v>7682126790.4053965</v>
      </c>
      <c r="R65" s="186">
        <f t="shared" ca="1" si="10"/>
        <v>307285071.61621588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185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27986285.369879</v>
      </c>
      <c r="F69" s="187">
        <f t="shared" ref="F69:F74" si="13">IFERROR(E69/D69,0)</f>
        <v>0.1038922184688006</v>
      </c>
      <c r="G69" s="184">
        <f>D69*$H$40-E69</f>
        <v>214453978.24288705</v>
      </c>
      <c r="H69" s="184">
        <f t="shared" ref="H69:H74" ca="1" si="14">IFERROR(G69/$C$3,0)</f>
        <v>8578159.1297154818</v>
      </c>
      <c r="I69" s="204">
        <f>D69*$J$40-E69</f>
        <v>227922881.77692959</v>
      </c>
      <c r="J69" s="204">
        <f t="shared" ref="J69:J74" ca="1" si="15">IFERROR(I69/$C$3,0)</f>
        <v>9116915.271077184</v>
      </c>
      <c r="K69" s="185">
        <f>D69*$L$40-E69</f>
        <v>241391785.31097215</v>
      </c>
      <c r="L69" s="185">
        <f t="shared" ref="L69:L74" ca="1" si="16">IFERROR(K69/$C$3,0)</f>
        <v>9655671.4124388862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16155486.909906</v>
      </c>
      <c r="F70" s="187">
        <f t="shared" si="13"/>
        <v>3.9147830893640344E-2</v>
      </c>
      <c r="G70" s="184">
        <f>D70*$H$40-E70</f>
        <v>355255594.80286002</v>
      </c>
      <c r="H70" s="184">
        <f t="shared" ca="1" si="14"/>
        <v>14210223.792114401</v>
      </c>
      <c r="I70" s="204">
        <f>D70*$J$40-E70</f>
        <v>375889543.78690255</v>
      </c>
      <c r="J70" s="204">
        <f t="shared" ca="1" si="15"/>
        <v>15035581.751476102</v>
      </c>
      <c r="K70" s="185">
        <f>D70*$L$40-E70</f>
        <v>396523492.77094507</v>
      </c>
      <c r="L70" s="185">
        <f t="shared" ca="1" si="16"/>
        <v>15860939.710837804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115979220.89271601</v>
      </c>
      <c r="F71" s="187">
        <f t="shared" si="13"/>
        <v>0.10565366846689102</v>
      </c>
      <c r="G71" s="184">
        <f>D71*$H$40-E71</f>
        <v>871977944.42004991</v>
      </c>
      <c r="H71" s="184">
        <f t="shared" ca="1" si="14"/>
        <v>34879117.776801996</v>
      </c>
      <c r="I71" s="204">
        <f>D71*$J$40-E71</f>
        <v>926864453.60409236</v>
      </c>
      <c r="J71" s="204">
        <f t="shared" ca="1" si="15"/>
        <v>37074578.144163698</v>
      </c>
      <c r="K71" s="185">
        <f>D71*$L$40-E71</f>
        <v>981750962.78813493</v>
      </c>
      <c r="L71" s="185">
        <f t="shared" ca="1" si="16"/>
        <v>39270038.5115254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160120993.172501</v>
      </c>
      <c r="F74" s="177">
        <f t="shared" si="13"/>
        <v>8.9966367951076473E-2</v>
      </c>
      <c r="G74" s="181">
        <f>SUM(G69:G73)</f>
        <v>1441687517.4657969</v>
      </c>
      <c r="H74" s="181">
        <f t="shared" ca="1" si="14"/>
        <v>57667500.698631875</v>
      </c>
      <c r="I74" s="186">
        <f>SUM(I69:I73)</f>
        <v>1530676879.1679244</v>
      </c>
      <c r="J74" s="186">
        <f t="shared" ca="1" si="15"/>
        <v>61227075.166716978</v>
      </c>
      <c r="K74" s="186">
        <f>SUM(K69:K73)</f>
        <v>1619666240.8700523</v>
      </c>
      <c r="L74" s="186">
        <f t="shared" ca="1" si="16"/>
        <v>64786649.634802096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170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77657658.329970002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41662161.75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1765765.72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45000721.759954996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44919099.269988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246055854.97999999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39316217.429889999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2486486.42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2283783.87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87223784.759928003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25502703.289985001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3565405.4871999999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24345946.440000001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641785589.50691605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 xr:uid="{00000000-0002-0000-0B00-000000000000}">
      <formula1>$S$40:$S$46</formula1>
    </dataValidation>
  </dataValidations>
  <pageMargins left="0.75" right="0.75" top="1" bottom="1" header="0.511811023622047" footer="0.511811023622047"/>
  <pageSetup paperSize="9" scale="6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182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2" t="s">
        <v>174</v>
      </c>
      <c r="C40" s="273"/>
      <c r="D40" s="274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185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182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185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170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 xr:uid="{00000000-0002-0000-0C00-000000000000}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182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2" t="s">
        <v>176</v>
      </c>
      <c r="C40" s="273"/>
      <c r="D40" s="274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185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182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185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170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 xr:uid="{00000000-0002-0000-0D00-000000000000}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Admin-Sales</cp:lastModifiedBy>
  <cp:revision>0</cp:revision>
  <cp:lastPrinted>2026-10-03T00:46:18Z</cp:lastPrinted>
  <dcterms:created xsi:type="dcterms:W3CDTF">2026-03-24T08:59:20Z</dcterms:created>
  <dcterms:modified xsi:type="dcterms:W3CDTF">2026-10-03T00:52:25Z</dcterms:modified>
  <dc:language>en-US</dc:language>
</cp:coreProperties>
</file>