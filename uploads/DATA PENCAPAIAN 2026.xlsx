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randy/Desktop/"/>
    </mc:Choice>
  </mc:AlternateContent>
  <xr:revisionPtr revIDLastSave="0" documentId="13_ncr:1_{9B69C843-D7BA-5B40-815C-4B05E0CAD9F2}" xr6:coauthVersionLast="47" xr6:coauthVersionMax="47" xr10:uidLastSave="{00000000-0000-0000-0000-000000000000}"/>
  <bookViews>
    <workbookView xWindow="120" yWindow="600" windowWidth="18360" windowHeight="16340" tabRatio="500" firstSheet="4" activeTab="7" xr2:uid="{00000000-000D-0000-FFFF-FFFF00000000}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3" i="8" l="1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3" i="14"/>
  <c r="D64" i="14"/>
  <c r="D63" i="14"/>
  <c r="D62" i="14"/>
  <c r="D61" i="14"/>
  <c r="D60" i="14"/>
  <c r="D59" i="14"/>
  <c r="D58" i="14"/>
  <c r="F58" i="14" s="1"/>
  <c r="D57" i="14"/>
  <c r="D56" i="14"/>
  <c r="D55" i="14"/>
  <c r="D54" i="14"/>
  <c r="D53" i="14"/>
  <c r="D52" i="14"/>
  <c r="D51" i="14"/>
  <c r="F41" i="14"/>
  <c r="D93" i="13"/>
  <c r="D92" i="13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65" i="13" s="1"/>
  <c r="E56" i="13"/>
  <c r="E55" i="13"/>
  <c r="E54" i="13"/>
  <c r="E53" i="13"/>
  <c r="E52" i="13"/>
  <c r="E51" i="13"/>
  <c r="D64" i="13"/>
  <c r="D63" i="13"/>
  <c r="F63" i="13" s="1"/>
  <c r="D62" i="13"/>
  <c r="D61" i="13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45" i="12"/>
  <c r="D44" i="12"/>
  <c r="D43" i="12"/>
  <c r="E64" i="12"/>
  <c r="E63" i="12"/>
  <c r="E62" i="12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D62" i="11"/>
  <c r="D61" i="11"/>
  <c r="D60" i="11"/>
  <c r="D59" i="11"/>
  <c r="D58" i="11"/>
  <c r="D57" i="11"/>
  <c r="F57" i="11" s="1"/>
  <c r="D56" i="11"/>
  <c r="D55" i="11"/>
  <c r="F55" i="11" s="1"/>
  <c r="D54" i="11"/>
  <c r="D53" i="11"/>
  <c r="D52" i="11"/>
  <c r="D51" i="11"/>
  <c r="F41" i="11"/>
  <c r="D93" i="10"/>
  <c r="D92" i="10"/>
  <c r="D91" i="10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F57" i="10" s="1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F62" i="10" s="1"/>
  <c r="D61" i="10"/>
  <c r="D60" i="10"/>
  <c r="D59" i="10"/>
  <c r="D58" i="10"/>
  <c r="D57" i="10"/>
  <c r="D56" i="10"/>
  <c r="D55" i="10"/>
  <c r="D54" i="10"/>
  <c r="D53" i="10"/>
  <c r="D52" i="10"/>
  <c r="D65" i="10" s="1"/>
  <c r="D51" i="10"/>
  <c r="F41" i="10"/>
  <c r="D93" i="9"/>
  <c r="D92" i="9"/>
  <c r="D91" i="9"/>
  <c r="D90" i="9"/>
  <c r="D94" i="9" s="1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F60" i="9" s="1"/>
  <c r="D59" i="9"/>
  <c r="D58" i="9"/>
  <c r="D57" i="9"/>
  <c r="F57" i="9" s="1"/>
  <c r="D56" i="9"/>
  <c r="D55" i="9"/>
  <c r="D54" i="9"/>
  <c r="D53" i="9"/>
  <c r="D52" i="9"/>
  <c r="D51" i="9"/>
  <c r="F41" i="9"/>
  <c r="D93" i="8"/>
  <c r="D92" i="8"/>
  <c r="D91" i="8"/>
  <c r="D90" i="8"/>
  <c r="D8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D64" i="8"/>
  <c r="D63" i="8"/>
  <c r="F63" i="8" s="1"/>
  <c r="D62" i="8"/>
  <c r="F62" i="8" s="1"/>
  <c r="D61" i="8"/>
  <c r="D60" i="8"/>
  <c r="F60" i="8" s="1"/>
  <c r="D59" i="8"/>
  <c r="F59" i="8" s="1"/>
  <c r="D58" i="8"/>
  <c r="D57" i="8"/>
  <c r="D56" i="8"/>
  <c r="F56" i="8" s="1"/>
  <c r="D55" i="8"/>
  <c r="F55" i="8" s="1"/>
  <c r="D54" i="8"/>
  <c r="F54" i="8" s="1"/>
  <c r="D53" i="8"/>
  <c r="D52" i="8"/>
  <c r="D51" i="8"/>
  <c r="F41" i="8"/>
  <c r="D93" i="7"/>
  <c r="D92" i="7"/>
  <c r="D91" i="7"/>
  <c r="D90" i="7"/>
  <c r="D89" i="7"/>
  <c r="D45" i="7"/>
  <c r="D44" i="7"/>
  <c r="D43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F52" i="7" s="1"/>
  <c r="D51" i="7"/>
  <c r="D94" i="14"/>
  <c r="E93" i="14"/>
  <c r="F93" i="14" s="1"/>
  <c r="E92" i="14"/>
  <c r="F92" i="14" s="1"/>
  <c r="G90" i="14"/>
  <c r="E90" i="14"/>
  <c r="F90" i="14" s="1"/>
  <c r="E89" i="14"/>
  <c r="F89" i="14" s="1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D65" i="14"/>
  <c r="F64" i="14"/>
  <c r="F63" i="14"/>
  <c r="F62" i="14"/>
  <c r="F61" i="14"/>
  <c r="F60" i="14"/>
  <c r="H59" i="14"/>
  <c r="L59" i="14" s="1"/>
  <c r="G59" i="14"/>
  <c r="K59" i="14" s="1"/>
  <c r="F59" i="14"/>
  <c r="F57" i="14"/>
  <c r="F56" i="14"/>
  <c r="F55" i="14"/>
  <c r="F54" i="14"/>
  <c r="H53" i="14"/>
  <c r="L53" i="14" s="1"/>
  <c r="G53" i="14"/>
  <c r="K53" i="14" s="1"/>
  <c r="F53" i="14"/>
  <c r="F52" i="14"/>
  <c r="F51" i="14"/>
  <c r="D46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L58" i="14" s="1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M8" i="14"/>
  <c r="G51" i="14" s="1"/>
  <c r="N7" i="14"/>
  <c r="M7" i="14"/>
  <c r="D94" i="13"/>
  <c r="E93" i="13"/>
  <c r="G93" i="13" s="1"/>
  <c r="E92" i="13"/>
  <c r="E90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5" i="13"/>
  <c r="F64" i="13"/>
  <c r="F62" i="13"/>
  <c r="F61" i="13"/>
  <c r="F60" i="13"/>
  <c r="H59" i="13"/>
  <c r="L59" i="13" s="1"/>
  <c r="G59" i="13"/>
  <c r="F59" i="13"/>
  <c r="F58" i="13"/>
  <c r="F57" i="13"/>
  <c r="F56" i="13"/>
  <c r="F54" i="13"/>
  <c r="H53" i="13"/>
  <c r="L53" i="13" s="1"/>
  <c r="G53" i="13"/>
  <c r="F53" i="13"/>
  <c r="F52" i="13"/>
  <c r="F51" i="13"/>
  <c r="M20" i="13"/>
  <c r="M21" i="13" s="1"/>
  <c r="E45" i="13" s="1"/>
  <c r="N19" i="13"/>
  <c r="H64" i="13" s="1"/>
  <c r="L64" i="13" s="1"/>
  <c r="M19" i="13"/>
  <c r="G64" i="13" s="1"/>
  <c r="N18" i="13"/>
  <c r="H63" i="13" s="1"/>
  <c r="L63" i="13" s="1"/>
  <c r="M18" i="13"/>
  <c r="G63" i="13" s="1"/>
  <c r="N17" i="13"/>
  <c r="H62" i="13" s="1"/>
  <c r="L62" i="13" s="1"/>
  <c r="M17" i="13"/>
  <c r="G62" i="13" s="1"/>
  <c r="N16" i="13"/>
  <c r="H61" i="13" s="1"/>
  <c r="L61" i="13" s="1"/>
  <c r="M16" i="13"/>
  <c r="G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L55" i="13" s="1"/>
  <c r="M11" i="13"/>
  <c r="G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N7" i="13"/>
  <c r="M7" i="13"/>
  <c r="D94" i="12"/>
  <c r="E93" i="12"/>
  <c r="F93" i="12" s="1"/>
  <c r="E92" i="12"/>
  <c r="G92" i="12" s="1"/>
  <c r="E90" i="12"/>
  <c r="G90" i="12" s="1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F64" i="12"/>
  <c r="F63" i="12"/>
  <c r="F62" i="12"/>
  <c r="F61" i="12"/>
  <c r="F60" i="12"/>
  <c r="H59" i="12"/>
  <c r="L59" i="12" s="1"/>
  <c r="G59" i="12"/>
  <c r="F59" i="12"/>
  <c r="F58" i="12"/>
  <c r="F57" i="12"/>
  <c r="F56" i="12"/>
  <c r="F55" i="12"/>
  <c r="F54" i="12"/>
  <c r="H53" i="12"/>
  <c r="L53" i="12" s="1"/>
  <c r="G53" i="12"/>
  <c r="K53" i="12" s="1"/>
  <c r="F53" i="12"/>
  <c r="F51" i="12"/>
  <c r="D46" i="12"/>
  <c r="M20" i="12"/>
  <c r="M21" i="12" s="1"/>
  <c r="N19" i="12"/>
  <c r="H64" i="12" s="1"/>
  <c r="L64" i="12" s="1"/>
  <c r="M19" i="12"/>
  <c r="G64" i="12" s="1"/>
  <c r="K64" i="12" s="1"/>
  <c r="N18" i="12"/>
  <c r="H63" i="12" s="1"/>
  <c r="L63" i="12" s="1"/>
  <c r="M18" i="12"/>
  <c r="G63" i="12" s="1"/>
  <c r="N17" i="12"/>
  <c r="H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L60" i="12" s="1"/>
  <c r="M15" i="12"/>
  <c r="G60" i="12" s="1"/>
  <c r="N14" i="12"/>
  <c r="H58" i="12" s="1"/>
  <c r="M14" i="12"/>
  <c r="G58" i="12" s="1"/>
  <c r="K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D94" i="11"/>
  <c r="E93" i="11"/>
  <c r="E92" i="11"/>
  <c r="G92" i="11" s="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E65" i="11"/>
  <c r="D65" i="11"/>
  <c r="F64" i="11"/>
  <c r="F63" i="11"/>
  <c r="F62" i="11"/>
  <c r="F61" i="11"/>
  <c r="F60" i="11"/>
  <c r="H59" i="11"/>
  <c r="G59" i="11"/>
  <c r="K59" i="11" s="1"/>
  <c r="F59" i="11"/>
  <c r="F58" i="11"/>
  <c r="F56" i="11"/>
  <c r="F54" i="11"/>
  <c r="H53" i="11"/>
  <c r="L53" i="11" s="1"/>
  <c r="G53" i="11"/>
  <c r="F53" i="11"/>
  <c r="F52" i="11"/>
  <c r="M20" i="11"/>
  <c r="M21" i="11" s="1"/>
  <c r="N19" i="11"/>
  <c r="H64" i="11" s="1"/>
  <c r="L64" i="11" s="1"/>
  <c r="M19" i="11"/>
  <c r="G64" i="11" s="1"/>
  <c r="N18" i="11"/>
  <c r="H63" i="11" s="1"/>
  <c r="L63" i="11" s="1"/>
  <c r="M18" i="11"/>
  <c r="G63" i="11" s="1"/>
  <c r="K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G58" i="11" s="1"/>
  <c r="K58" i="11" s="1"/>
  <c r="N13" i="11"/>
  <c r="H57" i="11" s="1"/>
  <c r="L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D94" i="10"/>
  <c r="E93" i="10"/>
  <c r="G93" i="10" s="1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F61" i="10"/>
  <c r="F60" i="10"/>
  <c r="H59" i="10"/>
  <c r="L59" i="10" s="1"/>
  <c r="G59" i="10"/>
  <c r="F59" i="10"/>
  <c r="F58" i="10"/>
  <c r="F55" i="10"/>
  <c r="F54" i="10"/>
  <c r="H53" i="10"/>
  <c r="L53" i="10" s="1"/>
  <c r="G53" i="10"/>
  <c r="K53" i="10" s="1"/>
  <c r="F53" i="10"/>
  <c r="F51" i="10"/>
  <c r="D46" i="10"/>
  <c r="M20" i="10"/>
  <c r="M21" i="10" s="1"/>
  <c r="E45" i="10" s="1"/>
  <c r="F45" i="10" s="1"/>
  <c r="N19" i="10"/>
  <c r="H64" i="10" s="1"/>
  <c r="L64" i="10" s="1"/>
  <c r="M19" i="10"/>
  <c r="G64" i="10" s="1"/>
  <c r="K64" i="10" s="1"/>
  <c r="N18" i="10"/>
  <c r="H63" i="10" s="1"/>
  <c r="L63" i="10" s="1"/>
  <c r="M18" i="10"/>
  <c r="G63" i="10" s="1"/>
  <c r="N17" i="10"/>
  <c r="H62" i="10" s="1"/>
  <c r="M17" i="10"/>
  <c r="G62" i="10" s="1"/>
  <c r="N16" i="10"/>
  <c r="H61" i="10" s="1"/>
  <c r="L61" i="10" s="1"/>
  <c r="M16" i="10"/>
  <c r="G61" i="10" s="1"/>
  <c r="N15" i="10"/>
  <c r="H60" i="10" s="1"/>
  <c r="L60" i="10" s="1"/>
  <c r="M15" i="10"/>
  <c r="G60" i="10" s="1"/>
  <c r="N14" i="10"/>
  <c r="H58" i="10" s="1"/>
  <c r="L58" i="10" s="1"/>
  <c r="M14" i="10"/>
  <c r="G58" i="10" s="1"/>
  <c r="N13" i="10"/>
  <c r="H57" i="10" s="1"/>
  <c r="M13" i="10"/>
  <c r="G57" i="10" s="1"/>
  <c r="N12" i="10"/>
  <c r="H56" i="10" s="1"/>
  <c r="L56" i="10" s="1"/>
  <c r="M12" i="10"/>
  <c r="G56" i="10" s="1"/>
  <c r="N11" i="10"/>
  <c r="H55" i="10" s="1"/>
  <c r="L55" i="10" s="1"/>
  <c r="M11" i="10"/>
  <c r="G55" i="10" s="1"/>
  <c r="N10" i="10"/>
  <c r="H54" i="10" s="1"/>
  <c r="M10" i="10"/>
  <c r="G54" i="10" s="1"/>
  <c r="N9" i="10"/>
  <c r="H52" i="10" s="1"/>
  <c r="L52" i="10" s="1"/>
  <c r="M9" i="10"/>
  <c r="G52" i="10" s="1"/>
  <c r="N8" i="10"/>
  <c r="M8" i="10"/>
  <c r="G51" i="10" s="1"/>
  <c r="N7" i="10"/>
  <c r="M7" i="10"/>
  <c r="E93" i="9"/>
  <c r="G93" i="9" s="1"/>
  <c r="E92" i="9"/>
  <c r="G92" i="9" s="1"/>
  <c r="E90" i="9"/>
  <c r="G90" i="9" s="1"/>
  <c r="E89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E65" i="9"/>
  <c r="D65" i="9"/>
  <c r="F64" i="9"/>
  <c r="F63" i="9"/>
  <c r="H59" i="9"/>
  <c r="G59" i="9"/>
  <c r="K59" i="9" s="1"/>
  <c r="F59" i="9"/>
  <c r="F58" i="9"/>
  <c r="F56" i="9"/>
  <c r="F55" i="9"/>
  <c r="F54" i="9"/>
  <c r="H53" i="9"/>
  <c r="L53" i="9" s="1"/>
  <c r="G53" i="9"/>
  <c r="F53" i="9"/>
  <c r="F52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L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H56" i="9" s="1"/>
  <c r="L56" i="9" s="1"/>
  <c r="M12" i="9"/>
  <c r="G56" i="9" s="1"/>
  <c r="N11" i="9"/>
  <c r="H55" i="9" s="1"/>
  <c r="L55" i="9" s="1"/>
  <c r="M11" i="9"/>
  <c r="G55" i="9" s="1"/>
  <c r="K55" i="9" s="1"/>
  <c r="N10" i="9"/>
  <c r="H54" i="9" s="1"/>
  <c r="L54" i="9" s="1"/>
  <c r="M10" i="9"/>
  <c r="G54" i="9" s="1"/>
  <c r="N9" i="9"/>
  <c r="M9" i="9"/>
  <c r="G52" i="9" s="1"/>
  <c r="N8" i="9"/>
  <c r="H51" i="9" s="1"/>
  <c r="L51" i="9" s="1"/>
  <c r="M8" i="9"/>
  <c r="G51" i="9" s="1"/>
  <c r="N7" i="9"/>
  <c r="M7" i="9"/>
  <c r="E93" i="8"/>
  <c r="E92" i="8"/>
  <c r="E90" i="8"/>
  <c r="E89" i="8"/>
  <c r="G89" i="8" s="1"/>
  <c r="F64" i="8"/>
  <c r="H59" i="8"/>
  <c r="G59" i="8"/>
  <c r="H53" i="8"/>
  <c r="L53" i="8" s="1"/>
  <c r="G53" i="8"/>
  <c r="F53" i="8"/>
  <c r="F52" i="8"/>
  <c r="F51" i="8"/>
  <c r="M20" i="8"/>
  <c r="M21" i="8" s="1"/>
  <c r="E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K62" i="8" s="1"/>
  <c r="N16" i="8"/>
  <c r="H61" i="8" s="1"/>
  <c r="M16" i="8"/>
  <c r="G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N12" i="8"/>
  <c r="H56" i="8" s="1"/>
  <c r="L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E92" i="7"/>
  <c r="F92" i="7" s="1"/>
  <c r="E90" i="7"/>
  <c r="F90" i="7" s="1"/>
  <c r="E89" i="7"/>
  <c r="H59" i="7"/>
  <c r="G59" i="7"/>
  <c r="F59" i="7"/>
  <c r="F58" i="7"/>
  <c r="H53" i="7"/>
  <c r="G53" i="7"/>
  <c r="K53" i="7" s="1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G65" i="3" s="1"/>
  <c r="G57" i="3"/>
  <c r="P20" i="3"/>
  <c r="P21" i="3" s="1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L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F60" i="7" l="1"/>
  <c r="F53" i="7"/>
  <c r="F61" i="7"/>
  <c r="F55" i="7"/>
  <c r="F63" i="7"/>
  <c r="F51" i="9"/>
  <c r="D94" i="8"/>
  <c r="G92" i="7"/>
  <c r="F61" i="8"/>
  <c r="K57" i="8"/>
  <c r="K61" i="8"/>
  <c r="K59" i="8"/>
  <c r="G92" i="8"/>
  <c r="F58" i="8"/>
  <c r="F93" i="8"/>
  <c r="G90" i="8"/>
  <c r="F45" i="8"/>
  <c r="L61" i="8"/>
  <c r="F57" i="8"/>
  <c r="E65" i="8"/>
  <c r="D46" i="8"/>
  <c r="D65" i="8"/>
  <c r="K63" i="8"/>
  <c r="L59" i="9"/>
  <c r="K62" i="10"/>
  <c r="G90" i="11"/>
  <c r="K55" i="13"/>
  <c r="G89" i="13"/>
  <c r="F62" i="7"/>
  <c r="L59" i="8"/>
  <c r="L61" i="9"/>
  <c r="L57" i="10"/>
  <c r="F52" i="12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L58" i="8"/>
  <c r="L62" i="10"/>
  <c r="F52" i="10"/>
  <c r="F65" i="10" s="1"/>
  <c r="L62" i="12"/>
  <c r="K58" i="3"/>
  <c r="F54" i="3"/>
  <c r="L61" i="7"/>
  <c r="L64" i="8"/>
  <c r="G93" i="8"/>
  <c r="L62" i="9"/>
  <c r="L54" i="10"/>
  <c r="G89" i="12"/>
  <c r="H89" i="12" s="1"/>
  <c r="F57" i="7"/>
  <c r="K56" i="8"/>
  <c r="I54" i="9"/>
  <c r="J54" i="9" s="1"/>
  <c r="I63" i="9"/>
  <c r="J63" i="9" s="1"/>
  <c r="I55" i="10"/>
  <c r="J55" i="10" s="1"/>
  <c r="I60" i="10"/>
  <c r="J60" i="10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K60" i="10"/>
  <c r="F65" i="14"/>
  <c r="E65" i="7"/>
  <c r="I51" i="13"/>
  <c r="J51" i="13" s="1"/>
  <c r="I61" i="13"/>
  <c r="D94" i="7"/>
  <c r="I55" i="8"/>
  <c r="M55" i="8" s="1"/>
  <c r="F92" i="12"/>
  <c r="F65" i="13"/>
  <c r="K63" i="9"/>
  <c r="F90" i="8"/>
  <c r="I56" i="9"/>
  <c r="M56" i="9" s="1"/>
  <c r="N56" i="9" s="1"/>
  <c r="F92" i="11"/>
  <c r="I59" i="14"/>
  <c r="M59" i="14" s="1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J61" i="7" s="1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I60" i="13"/>
  <c r="J60" i="13" s="1"/>
  <c r="I55" i="11"/>
  <c r="K55" i="11"/>
  <c r="K51" i="9"/>
  <c r="I51" i="9"/>
  <c r="G45" i="9"/>
  <c r="H45" i="9" s="1"/>
  <c r="F45" i="9"/>
  <c r="I53" i="7"/>
  <c r="J53" i="7" s="1"/>
  <c r="K54" i="7"/>
  <c r="D84" i="8"/>
  <c r="H51" i="10"/>
  <c r="L51" i="10" s="1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93" i="10"/>
  <c r="I59" i="11"/>
  <c r="J59" i="11" s="1"/>
  <c r="I63" i="11"/>
  <c r="I53" i="14"/>
  <c r="M53" i="14" s="1"/>
  <c r="N53" i="14" s="1"/>
  <c r="H93" i="13"/>
  <c r="F66" i="3"/>
  <c r="K57" i="3"/>
  <c r="I56" i="10"/>
  <c r="J56" i="10" s="1"/>
  <c r="I59" i="12"/>
  <c r="J59" i="12" s="1"/>
  <c r="K53" i="3"/>
  <c r="I64" i="11"/>
  <c r="J64" i="11" s="1"/>
  <c r="D84" i="14"/>
  <c r="H92" i="11"/>
  <c r="F92" i="8"/>
  <c r="I59" i="9"/>
  <c r="J59" i="9" s="1"/>
  <c r="I57" i="10"/>
  <c r="J57" i="10" s="1"/>
  <c r="G45" i="10"/>
  <c r="I58" i="11"/>
  <c r="M58" i="11" s="1"/>
  <c r="N58" i="11" s="1"/>
  <c r="D84" i="11"/>
  <c r="I53" i="12"/>
  <c r="M53" i="12" s="1"/>
  <c r="N53" i="12" s="1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H45" i="8" s="1"/>
  <c r="I53" i="10"/>
  <c r="K56" i="10"/>
  <c r="D84" i="10"/>
  <c r="H54" i="12"/>
  <c r="L54" i="12" s="1"/>
  <c r="D84" i="12"/>
  <c r="H93" i="7"/>
  <c r="H93" i="9"/>
  <c r="L53" i="6"/>
  <c r="L59" i="6"/>
  <c r="H89" i="13"/>
  <c r="D84" i="6"/>
  <c r="H92" i="7"/>
  <c r="N62" i="9"/>
  <c r="H92" i="9"/>
  <c r="H90" i="11"/>
  <c r="N55" i="8"/>
  <c r="H89" i="8"/>
  <c r="H93" i="8"/>
  <c r="H90" i="8"/>
  <c r="H45" i="10"/>
  <c r="H90" i="10"/>
  <c r="H92" i="12"/>
  <c r="H90" i="14"/>
  <c r="L57" i="8"/>
  <c r="I57" i="8"/>
  <c r="L56" i="7"/>
  <c r="I56" i="7"/>
  <c r="J56" i="7" s="1"/>
  <c r="G45" i="7"/>
  <c r="H45" i="7" s="1"/>
  <c r="F45" i="7"/>
  <c r="K60" i="8"/>
  <c r="I60" i="8"/>
  <c r="J60" i="8" s="1"/>
  <c r="K57" i="9"/>
  <c r="I57" i="9"/>
  <c r="J57" i="9" s="1"/>
  <c r="K52" i="7"/>
  <c r="I57" i="7"/>
  <c r="J57" i="7" s="1"/>
  <c r="I59" i="7"/>
  <c r="J59" i="7" s="1"/>
  <c r="K59" i="7"/>
  <c r="I61" i="9"/>
  <c r="J61" i="9" s="1"/>
  <c r="K61" i="9"/>
  <c r="I52" i="12"/>
  <c r="J52" i="12" s="1"/>
  <c r="K52" i="12"/>
  <c r="G65" i="12"/>
  <c r="E43" i="12" s="1"/>
  <c r="L51" i="8"/>
  <c r="I62" i="8"/>
  <c r="I58" i="9"/>
  <c r="J58" i="9" s="1"/>
  <c r="K61" i="10"/>
  <c r="I61" i="10"/>
  <c r="E44" i="11"/>
  <c r="H51" i="11"/>
  <c r="I51" i="11" s="1"/>
  <c r="E45" i="11"/>
  <c r="E91" i="11"/>
  <c r="E94" i="11" s="1"/>
  <c r="F94" i="11" s="1"/>
  <c r="M51" i="13"/>
  <c r="I52" i="11"/>
  <c r="K52" i="11"/>
  <c r="G65" i="14"/>
  <c r="E43" i="14" s="1"/>
  <c r="K51" i="14"/>
  <c r="I56" i="14"/>
  <c r="J56" i="14" s="1"/>
  <c r="K56" i="14"/>
  <c r="K61" i="14"/>
  <c r="I61" i="14"/>
  <c r="E91" i="14"/>
  <c r="E45" i="14"/>
  <c r="I64" i="8"/>
  <c r="J64" i="8" s="1"/>
  <c r="I51" i="7"/>
  <c r="K52" i="8"/>
  <c r="I61" i="8"/>
  <c r="J61" i="8" s="1"/>
  <c r="K60" i="9"/>
  <c r="I60" i="9"/>
  <c r="J60" i="9" s="1"/>
  <c r="M61" i="9"/>
  <c r="N61" i="9" s="1"/>
  <c r="F44" i="10"/>
  <c r="G89" i="9"/>
  <c r="K57" i="12"/>
  <c r="I57" i="12"/>
  <c r="F93" i="7"/>
  <c r="F65" i="8"/>
  <c r="I58" i="8"/>
  <c r="K54" i="10"/>
  <c r="I54" i="10"/>
  <c r="J54" i="10" s="1"/>
  <c r="K58" i="10"/>
  <c r="I58" i="10"/>
  <c r="K63" i="10"/>
  <c r="I63" i="10"/>
  <c r="J63" i="10" s="1"/>
  <c r="I52" i="10"/>
  <c r="I64" i="10"/>
  <c r="J64" i="10" s="1"/>
  <c r="K57" i="13"/>
  <c r="I57" i="13"/>
  <c r="I62" i="13"/>
  <c r="J62" i="13" s="1"/>
  <c r="K62" i="13"/>
  <c r="I57" i="11"/>
  <c r="J57" i="11" s="1"/>
  <c r="K57" i="11"/>
  <c r="F89" i="9"/>
  <c r="K55" i="8"/>
  <c r="F65" i="9"/>
  <c r="K59" i="10"/>
  <c r="I59" i="10"/>
  <c r="J59" i="10" s="1"/>
  <c r="K62" i="12"/>
  <c r="I62" i="12"/>
  <c r="E91" i="7"/>
  <c r="E94" i="7" s="1"/>
  <c r="G65" i="8"/>
  <c r="E43" i="8" s="1"/>
  <c r="K51" i="8"/>
  <c r="I63" i="8"/>
  <c r="J63" i="8" s="1"/>
  <c r="I53" i="9"/>
  <c r="J53" i="9" s="1"/>
  <c r="K53" i="9"/>
  <c r="M59" i="9"/>
  <c r="N59" i="9" s="1"/>
  <c r="J62" i="9"/>
  <c r="M55" i="10"/>
  <c r="N55" i="10" s="1"/>
  <c r="M63" i="11"/>
  <c r="N63" i="11" s="1"/>
  <c r="J63" i="11"/>
  <c r="D84" i="9"/>
  <c r="K51" i="7"/>
  <c r="K58" i="7"/>
  <c r="I58" i="7"/>
  <c r="E91" i="8"/>
  <c r="E94" i="8" s="1"/>
  <c r="F94" i="8" s="1"/>
  <c r="K52" i="9"/>
  <c r="K62" i="9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J59" i="8" s="1"/>
  <c r="E44" i="9"/>
  <c r="H52" i="9"/>
  <c r="G65" i="10"/>
  <c r="E43" i="10" s="1"/>
  <c r="K51" i="10"/>
  <c r="K55" i="10"/>
  <c r="I62" i="10"/>
  <c r="J62" i="10" s="1"/>
  <c r="K61" i="11"/>
  <c r="I61" i="11"/>
  <c r="J61" i="11" s="1"/>
  <c r="K56" i="9"/>
  <c r="K57" i="10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L58" i="12"/>
  <c r="I58" i="12"/>
  <c r="J58" i="12" s="1"/>
  <c r="G65" i="11"/>
  <c r="E43" i="11" s="1"/>
  <c r="K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K52" i="14"/>
  <c r="I52" i="14"/>
  <c r="J52" i="14" s="1"/>
  <c r="I57" i="14"/>
  <c r="K57" i="14"/>
  <c r="K62" i="14"/>
  <c r="I62" i="14"/>
  <c r="J62" i="14" s="1"/>
  <c r="I62" i="11"/>
  <c r="G65" i="9"/>
  <c r="E43" i="9" s="1"/>
  <c r="E91" i="10"/>
  <c r="E94" i="10" s="1"/>
  <c r="F94" i="10" s="1"/>
  <c r="M59" i="11"/>
  <c r="N59" i="11" s="1"/>
  <c r="I58" i="13"/>
  <c r="J58" i="13" s="1"/>
  <c r="K58" i="13"/>
  <c r="K63" i="13"/>
  <c r="I63" i="13"/>
  <c r="J63" i="13" s="1"/>
  <c r="F45" i="13"/>
  <c r="G45" i="13"/>
  <c r="H45" i="13" s="1"/>
  <c r="K59" i="13"/>
  <c r="I59" i="13"/>
  <c r="K59" i="12"/>
  <c r="I61" i="12"/>
  <c r="J61" i="12" s="1"/>
  <c r="M60" i="10"/>
  <c r="N60" i="10" s="1"/>
  <c r="K64" i="11"/>
  <c r="F89" i="11"/>
  <c r="G89" i="11"/>
  <c r="I51" i="12"/>
  <c r="K51" i="12"/>
  <c r="I56" i="12"/>
  <c r="J56" i="12" s="1"/>
  <c r="E91" i="12"/>
  <c r="E45" i="12"/>
  <c r="M59" i="12"/>
  <c r="N59" i="12" s="1"/>
  <c r="M64" i="11"/>
  <c r="N64" i="11" s="1"/>
  <c r="F65" i="12"/>
  <c r="K64" i="13"/>
  <c r="I64" i="13"/>
  <c r="J61" i="13"/>
  <c r="M61" i="13"/>
  <c r="N61" i="13" s="1"/>
  <c r="F90" i="10"/>
  <c r="I54" i="11"/>
  <c r="K54" i="12"/>
  <c r="I55" i="12"/>
  <c r="I60" i="12"/>
  <c r="J60" i="12" s="1"/>
  <c r="K60" i="12"/>
  <c r="G90" i="13"/>
  <c r="F90" i="13"/>
  <c r="K54" i="14"/>
  <c r="I54" i="14"/>
  <c r="J54" i="14" s="1"/>
  <c r="K58" i="14"/>
  <c r="I58" i="14"/>
  <c r="E94" i="14"/>
  <c r="F94" i="14" s="1"/>
  <c r="F90" i="9"/>
  <c r="F92" i="9"/>
  <c r="K56" i="13"/>
  <c r="I56" i="13"/>
  <c r="E91" i="13"/>
  <c r="I55" i="13"/>
  <c r="K61" i="13"/>
  <c r="I64" i="12"/>
  <c r="J64" i="12" s="1"/>
  <c r="L51" i="13"/>
  <c r="L65" i="13" s="1"/>
  <c r="H65" i="13"/>
  <c r="M60" i="13"/>
  <c r="N60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M58" i="3" s="1"/>
  <c r="N58" i="3" s="1"/>
  <c r="K59" i="3"/>
  <c r="D70" i="3"/>
  <c r="I53" i="3"/>
  <c r="E42" i="3"/>
  <c r="F42" i="3" s="1"/>
  <c r="F49" i="3"/>
  <c r="L55" i="3"/>
  <c r="F44" i="8" l="1"/>
  <c r="M63" i="13"/>
  <c r="N63" i="13" s="1"/>
  <c r="G91" i="9"/>
  <c r="H91" i="9" s="1"/>
  <c r="J56" i="9"/>
  <c r="M57" i="10"/>
  <c r="N57" i="10" s="1"/>
  <c r="J52" i="10"/>
  <c r="M53" i="6"/>
  <c r="M57" i="11"/>
  <c r="N57" i="11" s="1"/>
  <c r="M64" i="10"/>
  <c r="N64" i="10" s="1"/>
  <c r="F94" i="7"/>
  <c r="J58" i="8"/>
  <c r="M62" i="14"/>
  <c r="N62" i="14" s="1"/>
  <c r="L65" i="10"/>
  <c r="M56" i="8"/>
  <c r="N56" i="8" s="1"/>
  <c r="I52" i="8"/>
  <c r="J52" i="8" s="1"/>
  <c r="J52" i="7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I51" i="10"/>
  <c r="M51" i="10" s="1"/>
  <c r="H65" i="10"/>
  <c r="M54" i="9"/>
  <c r="N54" i="9" s="1"/>
  <c r="M53" i="3"/>
  <c r="N53" i="3" s="1"/>
  <c r="M60" i="8"/>
  <c r="N60" i="8" s="1"/>
  <c r="J55" i="8"/>
  <c r="J53" i="12"/>
  <c r="H65" i="8"/>
  <c r="M51" i="3"/>
  <c r="N51" i="3" s="1"/>
  <c r="F44" i="14"/>
  <c r="M59" i="3"/>
  <c r="N59" i="3" s="1"/>
  <c r="F44" i="13"/>
  <c r="I54" i="12"/>
  <c r="M54" i="12" s="1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F70" i="3" s="1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E46" i="9"/>
  <c r="F46" i="9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H90" i="13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G70" i="3"/>
  <c r="H70" i="3" s="1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M52" i="8" l="1"/>
  <c r="N52" i="8" s="1"/>
  <c r="I65" i="8"/>
  <c r="J65" i="8" s="1"/>
  <c r="I65" i="12"/>
  <c r="J65" i="12" s="1"/>
  <c r="G94" i="11"/>
  <c r="H94" i="11" s="1"/>
  <c r="G46" i="7"/>
  <c r="H46" i="7" s="1"/>
  <c r="J54" i="12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J61" i="3"/>
  <c r="N49" i="3"/>
  <c r="M61" i="3"/>
  <c r="N61" i="3" s="1"/>
  <c r="M65" i="8" l="1"/>
  <c r="N65" i="8" s="1"/>
  <c r="M65" i="7"/>
  <c r="N65" i="7" s="1"/>
  <c r="N52" i="9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N54" i="4" s="1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L61" i="4" l="1"/>
  <c r="G61" i="4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<sst xmlns="http://schemas.openxmlformats.org/spreadsheetml/2006/main" count="1876" uniqueCount="185">
  <si>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</si>
  <si>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</si>
  <si>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</si>
  <si>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</si>
  <si>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</si>
  <si>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</si>
  <si>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</si>
  <si>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</si>
  <si>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</si>
  <si>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</si>
  <si>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</si>
  <si>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</si>
  <si>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</si>
  <si>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</si>
  <si>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</si>
  <si>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</si>
  <si>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</si>
  <si>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</si>
  <si>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</si>
  <si>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</si>
  <si>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</si>
  <si>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</si>
  <si>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</si>
  <si>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</si>
  <si>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</si>
  <si>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</si>
  <si>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</si>
  <si>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</si>
  <si>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</si>
  <si>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</si>
  <si>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</si>
  <si>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</si>
  <si>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</si>
  <si>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</si>
  <si>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</si>
  <si>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</si>
  <si>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</si>
  <si>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</si>
  <si>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</si>
  <si>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</si>
  <si>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</si>
  <si>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</si>
  <si>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</si>
  <si>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</si>
  <si>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</si>
  <si>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</si>
  <si>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</si>
  <si>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</si>
  <si>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</si>
  <si>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</si>
  <si>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</si>
  <si>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</si>
  <si>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</si>
  <si>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</si>
  <si>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</si>
  <si>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</si>
  <si>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</si>
  <si>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</si>
  <si>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</si>
  <si>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</si>
  <si>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</si>
  <si>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</si>
  <si>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</si>
  <si>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</si>
  <si>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</si>
  <si>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</si>
  <si>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</si>
  <si>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</si>
  <si>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</si>
  <si>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</si>
  <si>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</si>
  <si>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</si>
  <si>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</si>
  <si>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</si>
  <si>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</si>
  <si>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</si>
  <si>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</si>
  <si>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</si>
  <si>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</si>
  <si>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</si>
  <si>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</si>
  <si>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</si>
  <si>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</si>
  <si>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</si>
  <si>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</si>
  <si>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</si>
  <si>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</si>
  <si>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</si>
  <si>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</si>
  <si>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</si>
  <si>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</si>
  <si>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</si>
  <si>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</si>
  <si>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</si>
  <si>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</si>
  <si>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</si>
  <si>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</si>
  <si>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</si>
  <si>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</si>
  <si>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</si>
  <si>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</si>
  <si>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</si>
  <si>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</si>
  <si>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</si>
  <si>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</si>
  <si>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</si>
  <si>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</si>
  <si>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</si>
  <si>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</si>
  <si>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</si>
  <si>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</si>
  <si>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</si>
  <si>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</si>
  <si>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</si>
  <si>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</si>
  <si>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</si>
  <si>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</si>
  <si>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</si>
  <si>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</si>
  <si>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</si>
  <si>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</si>
  <si>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</si>
  <si>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</si>
  <si>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</si>
  <si>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</si>
  <si>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</si>
  <si>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</si>
  <si>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</si>
  <si>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</si>
  <si>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</si>
  <si>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</si>
  <si>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</si>
  <si>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</si>
  <si>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</si>
  <si>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</si>
  <si>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</si>
  <si>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</si>
  <si>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</si>
  <si>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</si>
  <si>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</si>
  <si>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</si>
  <si>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</si>
  <si>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</si>
  <si>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</si>
  <si>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</si>
  <si>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</si>
  <si>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</si>
  <si>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</si>
  <si>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</si>
  <si>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</si>
  <si>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</si>
  <si>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</si>
  <si>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</si>
  <si>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</si>
  <si>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</si>
  <si>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</si>
  <si>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</si>
  <si>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</si>
  <si>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</si>
  <si>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</si>
  <si>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</si>
  <si>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</si>
  <si>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</si>
  <si>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</si>
  <si>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</si>
  <si>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</si>
  <si>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</si>
  <si>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</si>
  <si>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</si>
  <si>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</si>
  <si>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</si>
  <si>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</si>
  <si>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</si>
  <si>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</si>
  <si>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</si>
  <si>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</si>
  <si>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</si>
  <si>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</si>
  <si>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JULI 2026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</si>
  <si>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</si>
  <si>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</si>
  <si>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</si>
  <si>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</si>
  <si>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</si>
  <si>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17 JUNI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</si>
</sst>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7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18"/>
  <sheetViews>
    <sheetView showGridLines="0" topLeftCell="A4" zoomScale="171" zoomScaleNormal="110" workbookViewId="0">
      <selection activeCell="C15" sqref="C15"/>
    </sheetView>
  </sheetViews>
  <sheetFormatPr baseColWidth="10" defaultColWidth="8.6640625" defaultRowHeight="15" x14ac:dyDescent="0.2"/>
  <cols>
    <col min="1" max="1" width="3" customWidth="1"/>
    <col min="2" max="2" width="17.5" bestFit="1" customWidth="1"/>
    <col min="3" max="3" width="64.83203125" bestFit="1" customWidth="1"/>
  </cols>
  <sheetData>
    <row r="1" spans="2:3" ht="18" x14ac:dyDescent="0.2">
      <c r="B1" s="224" t="s">
        <v>0</v>
      </c>
      <c r="C1" s="224"/>
    </row>
    <row r="3" spans="2:3" x14ac:dyDescent="0.2">
      <c r="B3" s="225" t="s">
        <v>1</v>
      </c>
      <c r="C3" s="225"/>
    </row>
    <row r="4" spans="2:3" x14ac:dyDescent="0.2">
      <c r="B4" s="1" t="s">
        <v>2</v>
      </c>
      <c r="C4" s="2" t="s">
        <v>3</v>
      </c>
    </row>
    <row r="5" spans="2:3" x14ac:dyDescent="0.2">
      <c r="B5" s="1" t="s">
        <v>4</v>
      </c>
      <c r="C5" s="2" t="s">
        <v>5</v>
      </c>
    </row>
    <row r="6" spans="2:3" x14ac:dyDescent="0.2">
      <c r="B6" s="1" t="s">
        <v>6</v>
      </c>
      <c r="C6" s="2" t="s">
        <v>7</v>
      </c>
    </row>
    <row r="7" spans="2:3" x14ac:dyDescent="0.2">
      <c r="B7" s="1" t="s">
        <v>8</v>
      </c>
      <c r="C7" s="2" t="s">
        <v>9</v>
      </c>
    </row>
    <row r="8" spans="2:3" x14ac:dyDescent="0.2">
      <c r="B8" s="1" t="s">
        <v>10</v>
      </c>
      <c r="C8" s="2" t="s">
        <v>11</v>
      </c>
    </row>
    <row r="9" spans="2:3" x14ac:dyDescent="0.2">
      <c r="B9" s="1" t="s">
        <v>12</v>
      </c>
      <c r="C9" s="2" t="s">
        <v>13</v>
      </c>
    </row>
    <row r="11" spans="2:3" x14ac:dyDescent="0.2">
      <c r="B11" s="226" t="s">
        <v>14</v>
      </c>
      <c r="C11" s="226"/>
    </row>
    <row r="12" spans="2:3" x14ac:dyDescent="0.2">
      <c r="B12" s="1" t="s">
        <v>15</v>
      </c>
      <c r="C12" s="2" t="s">
        <v>16</v>
      </c>
    </row>
    <row r="13" spans="2:3" x14ac:dyDescent="0.2">
      <c r="B13" s="1" t="s">
        <v>15</v>
      </c>
      <c r="C13" s="2" t="s">
        <v>17</v>
      </c>
    </row>
    <row r="14" spans="2:3" x14ac:dyDescent="0.2">
      <c r="B14" s="1" t="s">
        <v>18</v>
      </c>
      <c r="C14" s="2" t="s">
        <v>19</v>
      </c>
    </row>
    <row r="15" spans="2:3" x14ac:dyDescent="0.2">
      <c r="B15" s="1" t="s">
        <v>18</v>
      </c>
      <c r="C15" s="2" t="s">
        <v>20</v>
      </c>
    </row>
    <row r="16" spans="2:3" x14ac:dyDescent="0.2">
      <c r="B16" s="1" t="s">
        <v>21</v>
      </c>
      <c r="C16" s="2" t="s">
        <v>22</v>
      </c>
    </row>
    <row r="17" spans="2:3" x14ac:dyDescent="0.2">
      <c r="B17" s="1" t="s">
        <v>23</v>
      </c>
      <c r="C17" s="2" t="s">
        <v>24</v>
      </c>
    </row>
    <row r="18" spans="2:3" x14ac:dyDescent="0.2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29"/>
  <sheetViews>
    <sheetView showGridLines="0" topLeftCell="C10" zoomScale="110" zoomScaleNormal="110" workbookViewId="0">
      <selection activeCell="I25" sqref="I25"/>
    </sheetView>
  </sheetViews>
  <sheetFormatPr baseColWidth="10" defaultColWidth="8.6640625" defaultRowHeight="15" x14ac:dyDescent="0.2"/>
  <cols>
    <col min="1" max="1" width="2" customWidth="1"/>
    <col min="2" max="2" width="32" customWidth="1"/>
    <col min="3" max="3" width="14.33203125" bestFit="1" customWidth="1"/>
    <col min="4" max="6" width="12.6640625" bestFit="1" customWidth="1"/>
    <col min="7" max="7" width="12.83203125" bestFit="1" customWidth="1"/>
    <col min="8" max="8" width="12.6640625" bestFit="1" customWidth="1"/>
    <col min="9" max="9" width="12.83203125" bestFit="1" customWidth="1"/>
    <col min="10" max="11" width="11.33203125" bestFit="1" customWidth="1"/>
    <col min="12" max="13" width="11.1640625" bestFit="1" customWidth="1"/>
    <col min="14" max="15" width="11.33203125" bestFit="1" customWidth="1"/>
    <col min="16" max="16" width="9.6640625" bestFit="1" customWidth="1"/>
    <col min="17" max="17" width="8.33203125" bestFit="1" customWidth="1"/>
    <col min="18" max="18" width="10.33203125" bestFit="1" customWidth="1"/>
    <col min="19" max="19" width="8.83203125" bestFit="1" customWidth="1"/>
    <col min="20" max="20" width="10" bestFit="1" customWidth="1"/>
    <col min="22" max="22" width="10.1640625" bestFit="1" customWidth="1"/>
    <col min="24" max="24" width="10.1640625" bestFit="1" customWidth="1"/>
    <col min="25" max="25" width="8.83203125" bestFit="1" customWidth="1"/>
    <col min="26" max="26" width="10" bestFit="1" customWidth="1"/>
  </cols>
  <sheetData>
    <row r="1" spans="2:27" ht="18" x14ac:dyDescent="0.2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">
      <c r="B3" s="225" t="s">
        <v>28</v>
      </c>
      <c r="C3" s="225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x14ac:dyDescent="0.2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">
      <c r="B7" s="145" t="s">
        <v>175</v>
      </c>
      <c r="C7" s="146" t="s">
        <v>176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>
        <v>241473268</v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">
      <c r="B13" s="145" t="s">
        <v>175</v>
      </c>
      <c r="C13" s="146" t="s">
        <v>177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>
        <v>404133664</v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x14ac:dyDescent="0.2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">
      <c r="B29" s="227" t="s">
        <v>102</v>
      </c>
      <c r="C29" s="227"/>
      <c r="D29" s="227"/>
      <c r="E29" s="227"/>
      <c r="F29" s="227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70"/>
  <sheetViews>
    <sheetView showGridLines="0" zoomScaleNormal="100" workbookViewId="0">
      <selection activeCell="C3" sqref="C3"/>
    </sheetView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6" width="12.6640625" bestFit="1" customWidth="1"/>
    <col min="7" max="7" width="13.6640625" bestFit="1" customWidth="1"/>
    <col min="8" max="8" width="9" bestFit="1" customWidth="1"/>
    <col min="9" max="9" width="4.83203125" bestFit="1" customWidth="1"/>
    <col min="10" max="10" width="3.5" bestFit="1" customWidth="1"/>
    <col min="11" max="13" width="12.6640625" bestFit="1" customWidth="1"/>
    <col min="14" max="14" width="8.1640625" bestFit="1" customWidth="1"/>
    <col min="16" max="16" width="13.33203125" bestFit="1" customWidth="1"/>
    <col min="17" max="17" width="12" bestFit="1" customWidth="1"/>
  </cols>
  <sheetData>
    <row r="1" spans="2:17" ht="19" x14ac:dyDescent="0.2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6" x14ac:dyDescent="0.2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">
      <c r="B22" s="84" t="s">
        <v>125</v>
      </c>
      <c r="C22" s="85"/>
      <c r="D22" s="85"/>
      <c r="E22" s="85"/>
    </row>
    <row r="23" spans="2:17" x14ac:dyDescent="0.2">
      <c r="B23" s="84" t="s">
        <v>126</v>
      </c>
      <c r="C23" s="85"/>
      <c r="D23" s="85"/>
      <c r="E23" s="85"/>
    </row>
    <row r="24" spans="2:17" x14ac:dyDescent="0.2">
      <c r="B24" s="84" t="s">
        <v>127</v>
      </c>
      <c r="C24" s="85"/>
      <c r="D24" s="85"/>
      <c r="E24" s="85"/>
    </row>
    <row r="25" spans="2:17" x14ac:dyDescent="0.2">
      <c r="B25" s="84" t="s">
        <v>128</v>
      </c>
      <c r="C25" s="85"/>
      <c r="D25" s="85"/>
      <c r="E25" s="85"/>
    </row>
    <row r="27" spans="2:17" x14ac:dyDescent="0.2">
      <c r="B27" s="82" t="s">
        <v>129</v>
      </c>
      <c r="C27" s="82"/>
    </row>
    <row r="28" spans="2:17" x14ac:dyDescent="0.2">
      <c r="B28" s="83" t="s">
        <v>130</v>
      </c>
      <c r="C28" s="83" t="s">
        <v>131</v>
      </c>
    </row>
    <row r="29" spans="2:17" x14ac:dyDescent="0.2">
      <c r="B29" s="76"/>
      <c r="C29" s="85"/>
    </row>
    <row r="30" spans="2:17" x14ac:dyDescent="0.2">
      <c r="B30" s="84" t="s">
        <v>132</v>
      </c>
      <c r="C30" s="85"/>
    </row>
    <row r="31" spans="2:17" x14ac:dyDescent="0.2">
      <c r="B31" s="84" t="s">
        <v>133</v>
      </c>
      <c r="C31" s="85"/>
    </row>
    <row r="32" spans="2:17" x14ac:dyDescent="0.2">
      <c r="B32" s="84" t="s">
        <v>134</v>
      </c>
      <c r="C32" s="85"/>
    </row>
    <row r="33" spans="2:14" x14ac:dyDescent="0.2">
      <c r="B33" s="84" t="s">
        <v>135</v>
      </c>
      <c r="C33" s="85"/>
    </row>
    <row r="34" spans="2:14" x14ac:dyDescent="0.2">
      <c r="B34" s="84" t="s">
        <v>136</v>
      </c>
      <c r="C34" s="85"/>
    </row>
    <row r="35" spans="2:14" x14ac:dyDescent="0.2">
      <c r="B35" s="84"/>
      <c r="C35" s="85"/>
    </row>
    <row r="36" spans="2:14" x14ac:dyDescent="0.2">
      <c r="B36" s="76"/>
      <c r="C36" s="85"/>
    </row>
    <row r="39" spans="2:14" ht="20" customHeight="1" x14ac:dyDescent="0.2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6" x14ac:dyDescent="0.2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">
      <c r="B44" s="229" t="s">
        <v>146</v>
      </c>
      <c r="C44" s="230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9" x14ac:dyDescent="0.2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" customHeight="1" x14ac:dyDescent="0.2">
      <c r="B47" s="231" t="s">
        <v>41</v>
      </c>
      <c r="C47" s="231" t="s">
        <v>42</v>
      </c>
      <c r="D47" s="232" t="s">
        <v>138</v>
      </c>
      <c r="E47" s="233"/>
      <c r="F47" s="234"/>
      <c r="G47" s="101" t="s">
        <v>139</v>
      </c>
      <c r="H47" s="101"/>
      <c r="I47" s="101"/>
      <c r="J47" s="231" t="s">
        <v>140</v>
      </c>
      <c r="K47" s="102" t="s">
        <v>148</v>
      </c>
      <c r="L47" s="102"/>
      <c r="M47" s="102"/>
      <c r="N47" s="228" t="s">
        <v>149</v>
      </c>
    </row>
    <row r="48" spans="2:14" ht="16" x14ac:dyDescent="0.2">
      <c r="B48" s="231"/>
      <c r="C48" s="231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31"/>
      <c r="K48" s="104" t="s">
        <v>143</v>
      </c>
      <c r="L48" s="104" t="s">
        <v>111</v>
      </c>
      <c r="M48" s="104" t="s">
        <v>146</v>
      </c>
      <c r="N48" s="228"/>
    </row>
    <row r="49" spans="2:14" x14ac:dyDescent="0.2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9" x14ac:dyDescent="0.2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70"/>
  <sheetViews>
    <sheetView showGridLines="0" zoomScale="85" zoomScaleNormal="100" workbookViewId="0">
      <selection activeCell="D35" sqref="D35"/>
    </sheetView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4.1640625" bestFit="1" customWidth="1"/>
    <col min="4" max="4" width="38.33203125" bestFit="1" customWidth="1"/>
    <col min="5" max="7" width="12.6640625" bestFit="1" customWidth="1"/>
    <col min="8" max="8" width="9.1640625" bestFit="1" customWidth="1"/>
    <col min="9" max="9" width="5.33203125" bestFit="1" customWidth="1"/>
    <col min="10" max="10" width="3.6640625" bestFit="1" customWidth="1"/>
    <col min="11" max="13" width="12.6640625" bestFit="1" customWidth="1"/>
    <col min="14" max="14" width="8.33203125" bestFit="1" customWidth="1"/>
    <col min="16" max="16" width="14.1640625" bestFit="1" customWidth="1"/>
    <col min="17" max="17" width="13.33203125" bestFit="1" customWidth="1"/>
  </cols>
  <sheetData>
    <row r="1" spans="2:17" ht="19" x14ac:dyDescent="0.2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6" x14ac:dyDescent="0.2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">
      <c r="B22" s="84" t="s">
        <v>125</v>
      </c>
      <c r="C22" s="85"/>
      <c r="D22" s="85"/>
      <c r="E22" s="85"/>
    </row>
    <row r="23" spans="2:17" x14ac:dyDescent="0.2">
      <c r="B23" s="84" t="s">
        <v>126</v>
      </c>
      <c r="C23" s="85"/>
      <c r="D23" s="85"/>
      <c r="E23" s="85"/>
    </row>
    <row r="24" spans="2:17" x14ac:dyDescent="0.2">
      <c r="B24" s="84" t="s">
        <v>127</v>
      </c>
      <c r="C24" s="85"/>
      <c r="D24" s="85"/>
      <c r="E24" s="85"/>
    </row>
    <row r="25" spans="2:17" x14ac:dyDescent="0.2">
      <c r="B25" s="84" t="s">
        <v>128</v>
      </c>
      <c r="C25" s="85"/>
      <c r="D25" s="85"/>
      <c r="E25" s="85"/>
    </row>
    <row r="27" spans="2:17" x14ac:dyDescent="0.2">
      <c r="B27" s="82" t="s">
        <v>129</v>
      </c>
      <c r="C27" s="82"/>
    </row>
    <row r="28" spans="2:17" x14ac:dyDescent="0.2">
      <c r="B28" s="83" t="s">
        <v>130</v>
      </c>
      <c r="C28" s="83" t="s">
        <v>131</v>
      </c>
    </row>
    <row r="29" spans="2:17" x14ac:dyDescent="0.2">
      <c r="B29" s="76"/>
      <c r="C29" s="85"/>
    </row>
    <row r="30" spans="2:17" x14ac:dyDescent="0.2">
      <c r="B30" s="84" t="s">
        <v>132</v>
      </c>
      <c r="C30" s="85"/>
    </row>
    <row r="31" spans="2:17" x14ac:dyDescent="0.2">
      <c r="B31" s="84" t="s">
        <v>133</v>
      </c>
      <c r="C31" s="85"/>
    </row>
    <row r="32" spans="2:17" x14ac:dyDescent="0.2">
      <c r="B32" s="84" t="s">
        <v>134</v>
      </c>
      <c r="C32" s="85"/>
    </row>
    <row r="33" spans="2:14" x14ac:dyDescent="0.2">
      <c r="B33" s="84" t="s">
        <v>135</v>
      </c>
      <c r="C33" s="85"/>
    </row>
    <row r="34" spans="2:14" x14ac:dyDescent="0.2">
      <c r="B34" s="84" t="s">
        <v>136</v>
      </c>
      <c r="C34" s="85"/>
    </row>
    <row r="35" spans="2:14" x14ac:dyDescent="0.2">
      <c r="B35" s="84"/>
      <c r="C35" s="85"/>
    </row>
    <row r="36" spans="2:14" x14ac:dyDescent="0.2">
      <c r="B36" s="76"/>
      <c r="C36" s="85"/>
    </row>
    <row r="39" spans="2:14" ht="20" customHeight="1" x14ac:dyDescent="0.2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6" x14ac:dyDescent="0.2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">
      <c r="B44" s="229" t="s">
        <v>146</v>
      </c>
      <c r="C44" s="230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9" x14ac:dyDescent="0.2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" customHeight="1" x14ac:dyDescent="0.2">
      <c r="B47" s="231" t="s">
        <v>41</v>
      </c>
      <c r="C47" s="231" t="s">
        <v>42</v>
      </c>
      <c r="D47" s="232" t="s">
        <v>138</v>
      </c>
      <c r="E47" s="233"/>
      <c r="F47" s="234"/>
      <c r="G47" s="101" t="s">
        <v>139</v>
      </c>
      <c r="H47" s="101"/>
      <c r="I47" s="101"/>
      <c r="J47" s="231" t="s">
        <v>140</v>
      </c>
      <c r="K47" s="102" t="s">
        <v>148</v>
      </c>
      <c r="L47" s="102"/>
      <c r="M47" s="102"/>
      <c r="N47" s="228" t="s">
        <v>149</v>
      </c>
    </row>
    <row r="48" spans="2:14" ht="16" x14ac:dyDescent="0.2">
      <c r="B48" s="231"/>
      <c r="C48" s="231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31"/>
      <c r="K48" s="104" t="s">
        <v>143</v>
      </c>
      <c r="L48" s="104" t="s">
        <v>111</v>
      </c>
      <c r="M48" s="104" t="s">
        <v>146</v>
      </c>
      <c r="N48" s="228"/>
    </row>
    <row r="49" spans="2:14" x14ac:dyDescent="0.2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9" x14ac:dyDescent="0.2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70"/>
  <sheetViews>
    <sheetView showGridLines="0" zoomScale="108" zoomScaleNormal="100" workbookViewId="0">
      <selection activeCell="D41" sqref="D41"/>
    </sheetView>
  </sheetViews>
  <sheetFormatPr baseColWidth="10" defaultColWidth="8.6640625" defaultRowHeight="15" x14ac:dyDescent="0.2"/>
  <cols>
    <col min="1" max="1" width="2" customWidth="1"/>
    <col min="2" max="2" width="29.83203125" bestFit="1" customWidth="1"/>
    <col min="3" max="3" width="17.33203125" bestFit="1" customWidth="1"/>
    <col min="4" max="4" width="22.5" customWidth="1"/>
    <col min="5" max="5" width="16.5" bestFit="1" customWidth="1"/>
    <col min="6" max="7" width="15.5" bestFit="1" customWidth="1"/>
    <col min="8" max="8" width="13.5" bestFit="1" customWidth="1"/>
    <col min="9" max="9" width="15.5" bestFit="1" customWidth="1"/>
    <col min="10" max="10" width="7.1640625" bestFit="1" customWidth="1"/>
    <col min="11" max="11" width="15.5" bestFit="1" customWidth="1"/>
    <col min="12" max="12" width="13.5" bestFit="1" customWidth="1"/>
    <col min="13" max="13" width="15.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7" ht="20" x14ac:dyDescent="0.2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6" x14ac:dyDescent="0.2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">
      <c r="B27" s="82" t="s">
        <v>129</v>
      </c>
      <c r="C27" s="16"/>
    </row>
    <row r="28" spans="2:17" x14ac:dyDescent="0.2">
      <c r="B28" s="12" t="s">
        <v>130</v>
      </c>
      <c r="C28" s="12" t="s">
        <v>131</v>
      </c>
    </row>
    <row r="29" spans="2:17" x14ac:dyDescent="0.2">
      <c r="B29" s="74" t="s">
        <v>168</v>
      </c>
      <c r="C29" s="15">
        <v>3087270.2699850001</v>
      </c>
    </row>
    <row r="30" spans="2:17" x14ac:dyDescent="0.2">
      <c r="B30" s="74" t="s">
        <v>132</v>
      </c>
      <c r="C30" s="15">
        <v>174213927.33888301</v>
      </c>
    </row>
    <row r="31" spans="2:17" x14ac:dyDescent="0.2">
      <c r="B31" s="74" t="s">
        <v>133</v>
      </c>
      <c r="C31" s="15">
        <v>309778739.936719</v>
      </c>
    </row>
    <row r="32" spans="2:17" x14ac:dyDescent="0.2">
      <c r="B32" s="74" t="s">
        <v>134</v>
      </c>
      <c r="C32" s="15">
        <v>276397406.795636</v>
      </c>
    </row>
    <row r="33" spans="2:17" x14ac:dyDescent="0.2">
      <c r="B33" s="74" t="s">
        <v>135</v>
      </c>
      <c r="C33" s="15">
        <v>399290297.73101801</v>
      </c>
    </row>
    <row r="34" spans="2:17" x14ac:dyDescent="0.2">
      <c r="B34" s="74" t="s">
        <v>136</v>
      </c>
      <c r="C34" s="15">
        <v>8321067.1999199996</v>
      </c>
    </row>
    <row r="35" spans="2:17" x14ac:dyDescent="0.2">
      <c r="B35" s="13"/>
      <c r="C35" s="15"/>
    </row>
    <row r="36" spans="2:17" x14ac:dyDescent="0.2">
      <c r="B36" s="13"/>
      <c r="C36" s="15"/>
    </row>
    <row r="38" spans="2:17" ht="29.25" customHeight="1" x14ac:dyDescent="0.2">
      <c r="E38" s="29"/>
    </row>
    <row r="39" spans="2:17" ht="24.75" customHeight="1" x14ac:dyDescent="0.2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6" x14ac:dyDescent="0.2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ht="16" x14ac:dyDescent="0.2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ht="16" x14ac:dyDescent="0.2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ht="16" x14ac:dyDescent="0.2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">
      <c r="B44" s="222" t="s">
        <v>146</v>
      </c>
      <c r="C44" s="223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5" customHeight="1" x14ac:dyDescent="0.25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25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">
      <c r="B47" s="205" t="s">
        <v>41</v>
      </c>
      <c r="C47" s="205" t="s">
        <v>42</v>
      </c>
      <c r="D47" s="212" t="s">
        <v>138</v>
      </c>
      <c r="E47" s="213"/>
      <c r="F47" s="214"/>
      <c r="G47" s="70" t="s">
        <v>139</v>
      </c>
      <c r="H47" s="70"/>
      <c r="I47" s="70"/>
      <c r="J47" s="205" t="s">
        <v>140</v>
      </c>
      <c r="K47" s="35" t="s">
        <v>148</v>
      </c>
      <c r="L47" s="35"/>
      <c r="M47" s="35"/>
      <c r="N47" s="235" t="s">
        <v>149</v>
      </c>
    </row>
    <row r="48" spans="2:17" ht="17" x14ac:dyDescent="0.2">
      <c r="B48" s="205"/>
      <c r="C48" s="205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05"/>
      <c r="K48" s="34" t="s">
        <v>143</v>
      </c>
      <c r="L48" s="34" t="s">
        <v>111</v>
      </c>
      <c r="M48" s="34" t="s">
        <v>146</v>
      </c>
      <c r="N48" s="235"/>
    </row>
    <row r="49" spans="2:14" ht="16" x14ac:dyDescent="0.2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ht="16" x14ac:dyDescent="0.2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ht="16" x14ac:dyDescent="0.2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ht="16" x14ac:dyDescent="0.2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ht="16" x14ac:dyDescent="0.2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ht="16" x14ac:dyDescent="0.2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ht="16" x14ac:dyDescent="0.2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ht="16" x14ac:dyDescent="0.2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ht="16" x14ac:dyDescent="0.2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ht="16" x14ac:dyDescent="0.2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ht="16" x14ac:dyDescent="0.2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ht="16" x14ac:dyDescent="0.2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ht="16" x14ac:dyDescent="0.2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ht="16" x14ac:dyDescent="0.2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R94"/>
  <sheetViews>
    <sheetView showGridLines="0" topLeftCell="A29" zoomScaleNormal="100" workbookViewId="0">
      <selection activeCell="B41" sqref="B41:F46"/>
    </sheetView>
  </sheetViews>
  <sheetFormatPr baseColWidth="10" defaultColWidth="8.6640625" defaultRowHeight="15" x14ac:dyDescent="0.2"/>
  <cols>
    <col min="1" max="1" width="2" customWidth="1"/>
    <col min="2" max="2" width="33.6640625" customWidth="1"/>
    <col min="3" max="3" width="17" customWidth="1"/>
    <col min="4" max="4" width="15.83203125" customWidth="1"/>
    <col min="5" max="5" width="15.5" customWidth="1"/>
    <col min="6" max="6" width="15.6640625" bestFit="1" customWidth="1"/>
    <col min="7" max="7" width="15.6640625" style="116" bestFit="1" customWidth="1"/>
    <col min="8" max="8" width="14" style="116" bestFit="1" customWidth="1"/>
    <col min="9" max="9" width="15.6640625" style="116" bestFit="1" customWidth="1"/>
    <col min="10" max="10" width="9.5" customWidth="1"/>
    <col min="11" max="11" width="14.33203125" bestFit="1" customWidth="1"/>
    <col min="12" max="12" width="12.1640625" customWidth="1"/>
    <col min="13" max="13" width="14.33203125" bestFit="1" customWidth="1"/>
    <col min="14" max="14" width="12.5" bestFit="1" customWidth="1"/>
    <col min="16" max="16" width="13.33203125" bestFit="1" customWidth="1"/>
    <col min="17" max="17" width="12.1640625" bestFit="1" customWidth="1"/>
    <col min="18" max="18" width="13.33203125" bestFit="1" customWidth="1"/>
  </cols>
  <sheetData>
    <row r="1" spans="2:14" ht="19" x14ac:dyDescent="0.2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6" x14ac:dyDescent="0.2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">
      <c r="B15" s="84" t="s">
        <v>117</v>
      </c>
      <c r="C15" s="150"/>
      <c r="D15" s="150" t="s">
        <v>168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">
      <c r="B29" s="82" t="s">
        <v>129</v>
      </c>
      <c r="C29" s="82"/>
    </row>
    <row r="30" spans="2:18" x14ac:dyDescent="0.2">
      <c r="B30" s="83" t="s">
        <v>130</v>
      </c>
      <c r="C30" s="83" t="s">
        <v>131</v>
      </c>
    </row>
    <row r="31" spans="2:18" x14ac:dyDescent="0.2">
      <c r="B31" s="76"/>
      <c r="C31" s="15"/>
    </row>
    <row r="32" spans="2:18" x14ac:dyDescent="0.2">
      <c r="B32" s="84" t="s">
        <v>132</v>
      </c>
      <c r="C32" s="15">
        <v>240237597.65824801</v>
      </c>
    </row>
    <row r="33" spans="2:14" x14ac:dyDescent="0.2">
      <c r="B33" s="84" t="s">
        <v>133</v>
      </c>
      <c r="C33" s="15">
        <v>449933743.924721</v>
      </c>
    </row>
    <row r="34" spans="2:14" x14ac:dyDescent="0.2">
      <c r="B34" s="84" t="s">
        <v>134</v>
      </c>
      <c r="C34" s="15">
        <v>318278585.086043</v>
      </c>
    </row>
    <row r="35" spans="2:14" x14ac:dyDescent="0.2">
      <c r="B35" s="84" t="s">
        <v>135</v>
      </c>
      <c r="C35" s="15">
        <v>267561093.287265</v>
      </c>
    </row>
    <row r="36" spans="2:14" x14ac:dyDescent="0.2">
      <c r="B36" s="84" t="s">
        <v>136</v>
      </c>
      <c r="C36" s="15">
        <v>311290805.19997603</v>
      </c>
    </row>
    <row r="37" spans="2:14" x14ac:dyDescent="0.2">
      <c r="B37" s="84"/>
      <c r="C37" s="85"/>
    </row>
    <row r="38" spans="2:14" x14ac:dyDescent="0.2">
      <c r="B38" s="76"/>
      <c r="C38" s="85"/>
    </row>
    <row r="41" spans="2:14" ht="20" customHeight="1" x14ac:dyDescent="0.2">
      <c r="B41" s="216" t="s">
        <v>182</v>
      </c>
      <c r="C41" s="217"/>
      <c r="D41" s="218"/>
      <c r="E41" s="67" t="s">
        <v>138</v>
      </c>
      <c r="F41" s="73">
        <v>1</v>
      </c>
      <c r="G41" s="117"/>
      <c r="H41" s="117"/>
    </row>
    <row r="42" spans="2:14" ht="20" customHeight="1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" customHeight="1" x14ac:dyDescent="0.2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" customHeight="1" x14ac:dyDescent="0.2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" customHeight="1" x14ac:dyDescent="0.2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" customHeight="1" x14ac:dyDescent="0.2">
      <c r="B46" s="222" t="s">
        <v>146</v>
      </c>
      <c r="C46" s="223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" customHeight="1" x14ac:dyDescent="0.2">
      <c r="B48" s="219" t="s">
        <v>147</v>
      </c>
      <c r="C48" s="220"/>
      <c r="D48" s="220"/>
      <c r="E48" s="220"/>
      <c r="F48" s="220"/>
      <c r="G48" s="220"/>
      <c r="H48" s="220"/>
      <c r="I48" s="220"/>
      <c r="J48" s="221"/>
      <c r="K48" s="241"/>
      <c r="L48" s="242"/>
      <c r="M48" s="242"/>
      <c r="N48" s="243"/>
    </row>
    <row r="49" spans="2:14" s="158" customFormat="1" ht="20" customHeight="1" x14ac:dyDescent="0.2">
      <c r="B49" s="240" t="s">
        <v>41</v>
      </c>
      <c r="C49" s="240" t="s">
        <v>42</v>
      </c>
      <c r="D49" s="237" t="s">
        <v>138</v>
      </c>
      <c r="E49" s="238"/>
      <c r="F49" s="239"/>
      <c r="G49" s="159" t="s">
        <v>139</v>
      </c>
      <c r="H49" s="159"/>
      <c r="I49" s="159"/>
      <c r="J49" s="240" t="s">
        <v>140</v>
      </c>
      <c r="K49" s="160" t="s">
        <v>148</v>
      </c>
      <c r="L49" s="160"/>
      <c r="M49" s="160"/>
      <c r="N49" s="236" t="s">
        <v>149</v>
      </c>
    </row>
    <row r="50" spans="2:14" s="158" customFormat="1" ht="20" customHeight="1" x14ac:dyDescent="0.2">
      <c r="B50" s="240"/>
      <c r="C50" s="240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40"/>
      <c r="K50" s="163" t="s">
        <v>143</v>
      </c>
      <c r="L50" s="163" t="s">
        <v>111</v>
      </c>
      <c r="M50" s="163" t="s">
        <v>146</v>
      </c>
      <c r="N50" s="236"/>
    </row>
    <row r="51" spans="2:14" s="158" customFormat="1" ht="20" customHeight="1" x14ac:dyDescent="0.2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" customHeight="1" x14ac:dyDescent="0.2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" customHeight="1" x14ac:dyDescent="0.2">
      <c r="B53" s="187" t="s">
        <v>175</v>
      </c>
      <c r="C53" s="188" t="s">
        <v>176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" customHeight="1" x14ac:dyDescent="0.2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" customHeight="1" x14ac:dyDescent="0.2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" customHeight="1" x14ac:dyDescent="0.2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" customHeight="1" x14ac:dyDescent="0.2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" customHeight="1" x14ac:dyDescent="0.2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" customHeight="1" x14ac:dyDescent="0.2">
      <c r="B59" s="187" t="s">
        <v>175</v>
      </c>
      <c r="C59" s="188" t="s">
        <v>177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" customHeight="1" x14ac:dyDescent="0.2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" customHeight="1" x14ac:dyDescent="0.2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" customHeight="1" x14ac:dyDescent="0.2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" customHeight="1" x14ac:dyDescent="0.2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" customHeight="1" x14ac:dyDescent="0.2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" customHeight="1" x14ac:dyDescent="0.2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" customHeight="1" x14ac:dyDescent="0.2">
      <c r="B67" s="135" t="s">
        <v>174</v>
      </c>
      <c r="C67" s="136"/>
      <c r="D67" s="137"/>
      <c r="G67"/>
      <c r="H67"/>
      <c r="I67"/>
    </row>
    <row r="68" spans="2:14" ht="20" customHeight="1" x14ac:dyDescent="0.2">
      <c r="B68" s="205" t="s">
        <v>41</v>
      </c>
      <c r="C68" s="205" t="s">
        <v>42</v>
      </c>
      <c r="D68" s="134" t="s">
        <v>139</v>
      </c>
      <c r="G68"/>
      <c r="H68"/>
      <c r="I68"/>
    </row>
    <row r="69" spans="2:14" ht="20" customHeight="1" x14ac:dyDescent="0.2">
      <c r="B69" s="205"/>
      <c r="C69" s="205"/>
      <c r="D69" s="71" t="s">
        <v>171</v>
      </c>
      <c r="G69"/>
      <c r="H69"/>
      <c r="I69"/>
    </row>
    <row r="70" spans="2:14" s="158" customFormat="1" ht="20" customHeight="1" x14ac:dyDescent="0.2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" customHeight="1" x14ac:dyDescent="0.2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" customHeight="1" x14ac:dyDescent="0.2">
      <c r="B72" s="185" t="s">
        <v>175</v>
      </c>
      <c r="C72" s="186" t="s">
        <v>176</v>
      </c>
      <c r="D72" s="192">
        <f>IF(E22="",0,E22)</f>
        <v>12315315.119999999</v>
      </c>
    </row>
    <row r="73" spans="2:14" s="158" customFormat="1" ht="20" customHeight="1" x14ac:dyDescent="0.2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" customHeight="1" x14ac:dyDescent="0.2">
      <c r="B74" s="185" t="s">
        <v>73</v>
      </c>
      <c r="C74" s="186" t="s">
        <v>74</v>
      </c>
      <c r="D74" s="192">
        <f>0</f>
        <v>0</v>
      </c>
    </row>
    <row r="75" spans="2:14" s="158" customFormat="1" ht="20" customHeight="1" x14ac:dyDescent="0.2">
      <c r="B75" s="183" t="s">
        <v>75</v>
      </c>
      <c r="C75" s="184" t="s">
        <v>74</v>
      </c>
      <c r="D75" s="191">
        <v>2883783.76</v>
      </c>
    </row>
    <row r="76" spans="2:14" s="158" customFormat="1" ht="20" customHeight="1" x14ac:dyDescent="0.2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" customHeight="1" x14ac:dyDescent="0.2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" customHeight="1" x14ac:dyDescent="0.2">
      <c r="B78" s="185" t="s">
        <v>175</v>
      </c>
      <c r="C78" s="186" t="s">
        <v>177</v>
      </c>
      <c r="D78" s="192">
        <f>IF(E23="",0,E23)</f>
        <v>17151621.32</v>
      </c>
    </row>
    <row r="79" spans="2:14" s="158" customFormat="1" ht="20" customHeight="1" x14ac:dyDescent="0.2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" customHeight="1" x14ac:dyDescent="0.2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" customHeight="1" x14ac:dyDescent="0.2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" customHeight="1" x14ac:dyDescent="0.2">
      <c r="B82" s="183" t="s">
        <v>86</v>
      </c>
      <c r="C82" s="184" t="s">
        <v>87</v>
      </c>
      <c r="D82" s="191">
        <f>0</f>
        <v>0</v>
      </c>
    </row>
    <row r="83" spans="2:9" s="158" customFormat="1" ht="20" customHeight="1" x14ac:dyDescent="0.2">
      <c r="B83" s="185" t="s">
        <v>88</v>
      </c>
      <c r="C83" s="186" t="s">
        <v>89</v>
      </c>
      <c r="D83" s="192">
        <f>0</f>
        <v>0</v>
      </c>
    </row>
    <row r="84" spans="2:9" s="158" customFormat="1" ht="20" customHeight="1" x14ac:dyDescent="0.2">
      <c r="B84" s="189" t="s">
        <v>152</v>
      </c>
      <c r="C84" s="190"/>
      <c r="D84" s="193">
        <f>SUM(D70:D83)</f>
        <v>726140776.47983217</v>
      </c>
    </row>
    <row r="87" spans="2:9" s="158" customFormat="1" ht="20" customHeight="1" x14ac:dyDescent="0.2">
      <c r="B87" s="219" t="s">
        <v>145</v>
      </c>
      <c r="C87" s="220"/>
      <c r="D87" s="220"/>
      <c r="E87" s="220"/>
      <c r="F87" s="221"/>
      <c r="G87" s="167"/>
      <c r="H87" s="167"/>
      <c r="I87" s="168"/>
    </row>
    <row r="88" spans="2:9" s="158" customFormat="1" ht="20" customHeight="1" x14ac:dyDescent="0.2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" customHeight="1" x14ac:dyDescent="0.2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" customHeight="1" x14ac:dyDescent="0.2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" customHeight="1" x14ac:dyDescent="0.2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" hidden="1" customHeight="1" x14ac:dyDescent="0.2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" hidden="1" customHeight="1" x14ac:dyDescent="0.2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" customHeight="1" x14ac:dyDescent="0.2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N94"/>
  <sheetViews>
    <sheetView showGridLines="0" topLeftCell="A69" zoomScaleNormal="100" workbookViewId="0">
      <selection activeCell="D70" sqref="D70:D83"/>
    </sheetView>
  </sheetViews>
  <sheetFormatPr baseColWidth="10" defaultColWidth="8.6640625" defaultRowHeight="15" x14ac:dyDescent="0.2"/>
  <cols>
    <col min="1" max="1" width="2" customWidth="1"/>
    <col min="2" max="2" width="31.5" customWidth="1"/>
    <col min="3" max="3" width="16.1640625" customWidth="1"/>
    <col min="4" max="4" width="17.5" customWidth="1"/>
    <col min="5" max="5" width="16.83203125" customWidth="1"/>
    <col min="6" max="6" width="15.1640625" customWidth="1"/>
    <col min="7" max="7" width="16" customWidth="1"/>
    <col min="8" max="8" width="14.5" customWidth="1"/>
    <col min="9" max="9" width="15.5" customWidth="1"/>
    <col min="10" max="10" width="10" customWidth="1"/>
    <col min="11" max="12" width="12.6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NETWORKDAYS.INTL(TODAY(),EOMONTH(TODAY(),0),11)</f>
        <v>12</v>
      </c>
      <c r="D3" s="79" t="s">
        <v>104</v>
      </c>
      <c r="E3" s="80">
        <f ca="1">DAY(EOMONTH(TODAY(),0))</f>
        <v>30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">
      <c r="B10" s="74" t="s">
        <v>113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">
      <c r="B11" s="74" t="s">
        <v>114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">
      <c r="B12" s="74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">
      <c r="B13" s="74" t="s">
        <v>115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">
      <c r="B14" s="74" t="s">
        <v>116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">
      <c r="B16" s="74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">
      <c r="B17" s="74" t="s">
        <v>118</v>
      </c>
      <c r="C17" s="15">
        <v>314350697.279998</v>
      </c>
      <c r="D17" s="15">
        <v>42787524.299999997</v>
      </c>
      <c r="E17" s="15" t="s">
        <v>168</v>
      </c>
      <c r="F17" s="1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">
      <c r="B18" s="74" t="s">
        <v>119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">
      <c r="B19" s="74" t="s">
        <v>121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">
      <c r="B20" s="74" t="s">
        <v>123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">
      <c r="B21" s="74" t="s">
        <v>124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">
      <c r="B22" s="74" t="s">
        <v>172</v>
      </c>
      <c r="C22" s="15">
        <v>197567845.80000001</v>
      </c>
      <c r="D22" s="15" t="s">
        <v>168</v>
      </c>
      <c r="E22" s="15">
        <v>12832432.08</v>
      </c>
      <c r="F22" s="15">
        <v>210400277.88</v>
      </c>
      <c r="H22" s="116"/>
      <c r="I22" s="116"/>
      <c r="J22" s="116"/>
    </row>
    <row r="23" spans="2:14" x14ac:dyDescent="0.2">
      <c r="B23" s="74" t="s">
        <v>173</v>
      </c>
      <c r="C23" s="15">
        <v>300521523.82997501</v>
      </c>
      <c r="D23" s="15" t="s">
        <v>168</v>
      </c>
      <c r="E23" s="15">
        <v>13813693.32</v>
      </c>
      <c r="F23" s="15">
        <v>314335217.149975</v>
      </c>
      <c r="H23" s="116"/>
      <c r="I23" s="116"/>
      <c r="J23" s="116"/>
    </row>
    <row r="24" spans="2:14" x14ac:dyDescent="0.2">
      <c r="B24" s="74" t="s">
        <v>125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6"/>
      <c r="I24" s="116"/>
      <c r="J24" s="116"/>
    </row>
    <row r="25" spans="2:14" x14ac:dyDescent="0.2">
      <c r="B25" s="74" t="s">
        <v>126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6"/>
      <c r="I25" s="116"/>
      <c r="J25" s="116"/>
    </row>
    <row r="26" spans="2:14" x14ac:dyDescent="0.2">
      <c r="B26" s="74" t="s">
        <v>127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6"/>
      <c r="I26" s="116"/>
      <c r="J26" s="116"/>
    </row>
    <row r="27" spans="2:14" x14ac:dyDescent="0.2">
      <c r="B27" s="74" t="s">
        <v>128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6"/>
      <c r="I27" s="116"/>
      <c r="J27" s="116"/>
    </row>
    <row r="28" spans="2:14" x14ac:dyDescent="0.2">
      <c r="C28" s="15"/>
      <c r="D28" s="15"/>
      <c r="E28" s="15"/>
      <c r="F28" s="15"/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291427595.82048202</v>
      </c>
      <c r="G32" s="116"/>
      <c r="H32" s="116"/>
      <c r="I32" s="116"/>
    </row>
    <row r="33" spans="2:14" x14ac:dyDescent="0.2">
      <c r="B33" s="84" t="s">
        <v>133</v>
      </c>
      <c r="C33" s="15">
        <v>436148035.92440403</v>
      </c>
      <c r="G33" s="116"/>
      <c r="H33" s="116"/>
      <c r="I33" s="116"/>
    </row>
    <row r="34" spans="2:14" x14ac:dyDescent="0.2">
      <c r="B34" s="84" t="s">
        <v>134</v>
      </c>
      <c r="C34" s="15">
        <v>135628039.89320499</v>
      </c>
      <c r="G34" s="116"/>
      <c r="H34" s="116"/>
      <c r="I34" s="116"/>
    </row>
    <row r="35" spans="2:14" x14ac:dyDescent="0.2">
      <c r="B35" s="84" t="s">
        <v>135</v>
      </c>
      <c r="C35" s="15">
        <v>513829145.026452</v>
      </c>
      <c r="G35" s="116"/>
      <c r="H35" s="116"/>
      <c r="I35" s="116"/>
    </row>
    <row r="36" spans="2:14" x14ac:dyDescent="0.2">
      <c r="B36" s="84" t="s">
        <v>136</v>
      </c>
      <c r="C36" s="15">
        <v>296173392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4" customHeight="1" x14ac:dyDescent="0.2">
      <c r="B41" s="244" t="s">
        <v>183</v>
      </c>
      <c r="C41" s="245"/>
      <c r="D41" s="246"/>
      <c r="E41" s="67" t="s">
        <v>138</v>
      </c>
      <c r="F41" s="73">
        <v>0.97</v>
      </c>
      <c r="G41" s="117"/>
      <c r="H41" s="117"/>
      <c r="I41" s="116"/>
    </row>
    <row r="42" spans="2:14" ht="18" customHeight="1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" customHeight="1" x14ac:dyDescent="0.2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44">
        <f>IFERROR(E43/D43,0)</f>
        <v>0.90747649723109647</v>
      </c>
      <c r="G43" s="118">
        <f>D43-E43</f>
        <v>632794080.21160698</v>
      </c>
      <c r="H43" s="118">
        <f ca="1">IFERROR(G43/C3,0)</f>
        <v>52732840.017633915</v>
      </c>
      <c r="I43" s="116"/>
    </row>
    <row r="44" spans="2:14" ht="20" customHeight="1" x14ac:dyDescent="0.2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44">
        <f>IFERROR(E44/D44,0)</f>
        <v>0.62339823969550423</v>
      </c>
      <c r="G44" s="118">
        <f>D44-E44</f>
        <v>555587329.71669078</v>
      </c>
      <c r="H44" s="118">
        <f ca="1">IFERROR(G44/C3,0)</f>
        <v>46298944.143057562</v>
      </c>
      <c r="I44" s="116"/>
    </row>
    <row r="45" spans="2:14" ht="20" customHeight="1" x14ac:dyDescent="0.2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44">
        <f>IFERROR(E45/D45,0)</f>
        <v>0.93843307645863372</v>
      </c>
      <c r="G45" s="118">
        <f>D45-E45</f>
        <v>109772514.73971272</v>
      </c>
      <c r="H45" s="118">
        <f ca="1">IFERROR(G45/C3,0)</f>
        <v>9147709.5616427269</v>
      </c>
      <c r="I45" s="116"/>
    </row>
    <row r="46" spans="2:14" ht="18.75" customHeight="1" x14ac:dyDescent="0.2">
      <c r="B46" s="222" t="s">
        <v>146</v>
      </c>
      <c r="C46" s="223"/>
      <c r="D46" s="47">
        <f>D43+D44+D45</f>
        <v>10097522879.624619</v>
      </c>
      <c r="E46" s="47">
        <f>E43+E44+E45</f>
        <v>8799368954.9566078</v>
      </c>
      <c r="F46" s="43">
        <f>IFERROR(E46/D46,0)</f>
        <v>0.87143837749677178</v>
      </c>
      <c r="G46" s="119">
        <f>G43+G44+G45</f>
        <v>1298153924.6680105</v>
      </c>
      <c r="H46" s="119">
        <f ca="1">IFERROR(G46/C3,0)</f>
        <v>108179493.72233421</v>
      </c>
      <c r="I46" s="116"/>
    </row>
    <row r="47" spans="2:14" x14ac:dyDescent="0.2">
      <c r="G47" s="116"/>
      <c r="H47" s="116"/>
      <c r="I47" s="116"/>
    </row>
    <row r="48" spans="2:14" ht="25.5" customHeight="1" x14ac:dyDescent="0.2">
      <c r="B48" s="219" t="s">
        <v>147</v>
      </c>
      <c r="C48" s="220"/>
      <c r="D48" s="220"/>
      <c r="E48" s="220"/>
      <c r="F48" s="220"/>
      <c r="G48" s="220"/>
      <c r="H48" s="220"/>
      <c r="I48" s="220"/>
      <c r="J48" s="221"/>
      <c r="K48" s="209"/>
      <c r="L48" s="210"/>
      <c r="M48" s="210"/>
      <c r="N48" s="211"/>
    </row>
    <row r="49" spans="2:14" ht="20" customHeight="1" x14ac:dyDescent="0.2">
      <c r="B49" s="205" t="s">
        <v>41</v>
      </c>
      <c r="C49" s="205" t="s">
        <v>42</v>
      </c>
      <c r="D49" s="212" t="s">
        <v>138</v>
      </c>
      <c r="E49" s="213"/>
      <c r="F49" s="214"/>
      <c r="G49" s="120" t="s">
        <v>139</v>
      </c>
      <c r="H49" s="120"/>
      <c r="I49" s="120"/>
      <c r="J49" s="205" t="s">
        <v>140</v>
      </c>
      <c r="K49" s="132" t="s">
        <v>148</v>
      </c>
      <c r="L49" s="132"/>
      <c r="M49" s="132"/>
      <c r="N49" s="215" t="s">
        <v>149</v>
      </c>
    </row>
    <row r="50" spans="2:14" ht="22.5" customHeight="1" x14ac:dyDescent="0.2">
      <c r="B50" s="205"/>
      <c r="C50" s="20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05"/>
      <c r="K50" s="133" t="s">
        <v>143</v>
      </c>
      <c r="L50" s="133" t="s">
        <v>111</v>
      </c>
      <c r="M50" s="133" t="s">
        <v>146</v>
      </c>
      <c r="N50" s="215"/>
    </row>
    <row r="51" spans="2:14" ht="20" customHeight="1" x14ac:dyDescent="0.2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288424016.78064901</v>
      </c>
      <c r="H51" s="122">
        <f>N8</f>
        <v>44585739.113441996</v>
      </c>
      <c r="I51" s="122">
        <f t="shared" ref="I51:I64" si="1">G51+H51</f>
        <v>333009755.89409101</v>
      </c>
      <c r="J51" s="61">
        <f t="shared" ref="J51:J64" si="2">IFERROR(I51/F51,0)</f>
        <v>0.68668335312474404</v>
      </c>
      <c r="K51" s="51">
        <f t="shared" ref="K51:M64" si="3">D51-G51</f>
        <v>128259461.21935099</v>
      </c>
      <c r="L51" s="51">
        <f t="shared" si="3"/>
        <v>23684662.107212313</v>
      </c>
      <c r="M51" s="51">
        <f t="shared" si="3"/>
        <v>151944123.3265633</v>
      </c>
      <c r="N51" s="51">
        <f ca="1">IFERROR(M51/C3,0)</f>
        <v>12662010.277213609</v>
      </c>
    </row>
    <row r="52" spans="2:14" ht="20" customHeight="1" x14ac:dyDescent="0.2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514873412.84566295</v>
      </c>
      <c r="H52" s="122">
        <f>N9</f>
        <v>95906107.167067006</v>
      </c>
      <c r="I52" s="122">
        <f t="shared" si="1"/>
        <v>610779520.01273</v>
      </c>
      <c r="J52" s="61">
        <f t="shared" si="2"/>
        <v>0.81793983256583846</v>
      </c>
      <c r="K52" s="54">
        <f t="shared" si="3"/>
        <v>40308958.154337049</v>
      </c>
      <c r="L52" s="54">
        <f t="shared" si="3"/>
        <v>95640676.832932994</v>
      </c>
      <c r="M52" s="54">
        <f t="shared" si="3"/>
        <v>135949634.98727</v>
      </c>
      <c r="N52" s="54">
        <f ca="1">IFERROR(M52/C3,0)</f>
        <v>11329136.248939166</v>
      </c>
    </row>
    <row r="53" spans="2:14" ht="20" customHeight="1" x14ac:dyDescent="0.2">
      <c r="B53" s="155" t="s">
        <v>175</v>
      </c>
      <c r="C53" s="156" t="s">
        <v>176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197567845.80000001</v>
      </c>
      <c r="H53" s="122">
        <f>IF(D22="",0,D22)</f>
        <v>0</v>
      </c>
      <c r="I53" s="122">
        <f>G53+H53</f>
        <v>197567845.80000001</v>
      </c>
      <c r="J53" s="61">
        <f>IFERROR(I53/F53,0)</f>
        <v>0.81817688324821114</v>
      </c>
      <c r="K53" s="54">
        <f>D53-G53</f>
        <v>43905422.199999988</v>
      </c>
      <c r="L53" s="54">
        <f>E53-H53</f>
        <v>0</v>
      </c>
      <c r="M53" s="54">
        <f>F53-I53</f>
        <v>43905422.199999988</v>
      </c>
      <c r="N53" s="54">
        <f ca="1">IFERROR(M53/C3,0)</f>
        <v>3658785.1833333322</v>
      </c>
    </row>
    <row r="54" spans="2:14" ht="20" customHeight="1" x14ac:dyDescent="0.2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670664362.43227303</v>
      </c>
      <c r="H54" s="122">
        <f t="shared" ref="H54:H58" si="4">N10</f>
        <v>27278643.871089</v>
      </c>
      <c r="I54" s="122">
        <f t="shared" si="1"/>
        <v>697943006.30336201</v>
      </c>
      <c r="J54" s="61">
        <f t="shared" si="2"/>
        <v>1.0613580555041204</v>
      </c>
      <c r="K54" s="54">
        <f>D54-G54</f>
        <v>-59951890.43227303</v>
      </c>
      <c r="L54" s="54">
        <f t="shared" si="3"/>
        <v>19603182.94624589</v>
      </c>
      <c r="M54" s="54">
        <f t="shared" si="3"/>
        <v>-40348707.486027122</v>
      </c>
      <c r="N54" s="54">
        <f ca="1">IFERROR(M54/C3,0)</f>
        <v>-3362392.29050226</v>
      </c>
    </row>
    <row r="55" spans="2:14" ht="20" customHeight="1" x14ac:dyDescent="0.2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314350697.279998</v>
      </c>
      <c r="H55" s="122">
        <f t="shared" si="4"/>
        <v>42787524.299999997</v>
      </c>
      <c r="I55" s="122">
        <f t="shared" si="1"/>
        <v>357138221.57999802</v>
      </c>
      <c r="J55" s="61">
        <f t="shared" si="2"/>
        <v>0.73194171115386675</v>
      </c>
      <c r="K55" s="54">
        <f t="shared" si="3"/>
        <v>90712586.720001996</v>
      </c>
      <c r="L55" s="54">
        <f t="shared" si="3"/>
        <v>40081790.891524151</v>
      </c>
      <c r="M55" s="54">
        <f t="shared" si="3"/>
        <v>130794377.61152613</v>
      </c>
      <c r="N55" s="54">
        <f ca="1">IFERROR(M55/C3,0)</f>
        <v>10899531.467627177</v>
      </c>
    </row>
    <row r="56" spans="2:14" ht="20" customHeight="1" x14ac:dyDescent="0.2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413013469.09840298</v>
      </c>
      <c r="H56" s="122">
        <f t="shared" si="4"/>
        <v>61457252.569306999</v>
      </c>
      <c r="I56" s="122">
        <f t="shared" si="1"/>
        <v>474470721.66770995</v>
      </c>
      <c r="J56" s="61">
        <f t="shared" si="2"/>
        <v>0.85465854479274705</v>
      </c>
      <c r="K56" s="54">
        <f t="shared" si="3"/>
        <v>60905362.901597023</v>
      </c>
      <c r="L56" s="54">
        <f t="shared" si="3"/>
        <v>19782141.553346604</v>
      </c>
      <c r="M56" s="54">
        <f t="shared" si="3"/>
        <v>80687504.454943657</v>
      </c>
      <c r="N56" s="54">
        <f ca="1">IFERROR(M56/C3,0)</f>
        <v>6723958.7045786381</v>
      </c>
    </row>
    <row r="57" spans="2:14" ht="20" customHeight="1" x14ac:dyDescent="0.2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1005613301.6380841</v>
      </c>
      <c r="H57" s="122">
        <f t="shared" si="4"/>
        <v>73190755.369811997</v>
      </c>
      <c r="I57" s="122">
        <f t="shared" si="1"/>
        <v>1078804057.0078959</v>
      </c>
      <c r="J57" s="61">
        <f t="shared" si="2"/>
        <v>1.0238373801174427</v>
      </c>
      <c r="K57" s="54">
        <f t="shared" si="3"/>
        <v>-43854956.638084054</v>
      </c>
      <c r="L57" s="54">
        <f t="shared" si="3"/>
        <v>18737820.969344392</v>
      </c>
      <c r="M57" s="54">
        <f t="shared" si="3"/>
        <v>-25117135.668739557</v>
      </c>
      <c r="N57" s="54">
        <f ca="1">IFERROR(M57/C3,0)</f>
        <v>-2093094.6390616298</v>
      </c>
    </row>
    <row r="58" spans="2:14" ht="20" customHeight="1" x14ac:dyDescent="0.2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389875776.90495598</v>
      </c>
      <c r="H58" s="122">
        <f t="shared" si="4"/>
        <v>68378257.859753996</v>
      </c>
      <c r="I58" s="122">
        <f>G58+H58</f>
        <v>458254034.76470995</v>
      </c>
      <c r="J58" s="61">
        <f>IFERROR(I58/F58,0)</f>
        <v>0.805270480723705</v>
      </c>
      <c r="K58" s="54">
        <f t="shared" si="3"/>
        <v>115411282.09504402</v>
      </c>
      <c r="L58" s="54">
        <f t="shared" si="3"/>
        <v>-4596853.8597539961</v>
      </c>
      <c r="M58" s="54">
        <f t="shared" si="3"/>
        <v>110814428.23529005</v>
      </c>
      <c r="N58" s="54">
        <f ca="1">IFERROR(M58/C3,0)</f>
        <v>9234535.6862741709</v>
      </c>
    </row>
    <row r="59" spans="2:14" ht="20" customHeight="1" x14ac:dyDescent="0.2">
      <c r="B59" s="155" t="s">
        <v>175</v>
      </c>
      <c r="C59" s="156" t="s">
        <v>177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300521523.82997501</v>
      </c>
      <c r="H59" s="122">
        <f>IF(D23="",0,D23)</f>
        <v>0</v>
      </c>
      <c r="I59" s="122">
        <f>G59+H59</f>
        <v>300521523.82997501</v>
      </c>
      <c r="J59" s="61">
        <f>IFERROR(I59/F59,0)</f>
        <v>0.74361913050127648</v>
      </c>
      <c r="K59" s="54">
        <f>D59-G59</f>
        <v>103612140.17002499</v>
      </c>
      <c r="L59" s="54">
        <f>E59-H59</f>
        <v>0</v>
      </c>
      <c r="M59" s="54">
        <f>F59-I59</f>
        <v>103612140.17002499</v>
      </c>
      <c r="N59" s="54">
        <f ca="1">IFERROR(M59/C3,0)</f>
        <v>8634345.0141687486</v>
      </c>
    </row>
    <row r="60" spans="2:14" ht="20" customHeight="1" x14ac:dyDescent="0.2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374466810.62618703</v>
      </c>
      <c r="H60" s="122">
        <f t="shared" ref="H60:H64" si="5">N15</f>
        <v>92402940.934527993</v>
      </c>
      <c r="I60" s="122">
        <f t="shared" si="1"/>
        <v>466869751.56071502</v>
      </c>
      <c r="J60" s="61">
        <f t="shared" si="2"/>
        <v>0.86061843603889787</v>
      </c>
      <c r="K60" s="54">
        <f t="shared" si="3"/>
        <v>29550498.373812973</v>
      </c>
      <c r="L60" s="54">
        <f t="shared" si="3"/>
        <v>46061449.283467412</v>
      </c>
      <c r="M60" s="54">
        <f t="shared" si="3"/>
        <v>75611947.657280385</v>
      </c>
      <c r="N60" s="54">
        <f ca="1">IFERROR(M60/C3,0)</f>
        <v>6300995.6381066991</v>
      </c>
    </row>
    <row r="61" spans="2:14" ht="20" customHeight="1" x14ac:dyDescent="0.2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454249976.114806</v>
      </c>
      <c r="H61" s="122">
        <f t="shared" si="5"/>
        <v>58885063.089941002</v>
      </c>
      <c r="I61" s="122">
        <f t="shared" si="1"/>
        <v>513135039.20474702</v>
      </c>
      <c r="J61" s="61">
        <f t="shared" si="2"/>
        <v>0.74327411358408568</v>
      </c>
      <c r="K61" s="54">
        <f t="shared" si="3"/>
        <v>177379619.885194</v>
      </c>
      <c r="L61" s="54">
        <f t="shared" si="3"/>
        <v>-143462.4793157354</v>
      </c>
      <c r="M61" s="54">
        <f t="shared" si="3"/>
        <v>177236157.40587825</v>
      </c>
      <c r="N61" s="54">
        <f ca="1">IFERROR(M61/C3,0)</f>
        <v>14769679.783823187</v>
      </c>
    </row>
    <row r="62" spans="2:14" ht="20" customHeight="1" x14ac:dyDescent="0.2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297882183.23181498</v>
      </c>
      <c r="H62" s="122">
        <f t="shared" si="5"/>
        <v>34050666.405826002</v>
      </c>
      <c r="I62" s="122">
        <f t="shared" si="1"/>
        <v>331932849.63764095</v>
      </c>
      <c r="J62" s="61">
        <f t="shared" si="2"/>
        <v>0.7371253801892611</v>
      </c>
      <c r="K62" s="54">
        <f t="shared" si="3"/>
        <v>88660839.768185019</v>
      </c>
      <c r="L62" s="54">
        <f t="shared" si="3"/>
        <v>29713488.393987805</v>
      </c>
      <c r="M62" s="54">
        <f t="shared" si="3"/>
        <v>118374328.16217285</v>
      </c>
      <c r="N62" s="54">
        <f ca="1">IFERROR(M62/C3,0)</f>
        <v>9864527.3468477372</v>
      </c>
    </row>
    <row r="63" spans="2:14" ht="20" customHeight="1" x14ac:dyDescent="0.2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686645252.87729704</v>
      </c>
      <c r="H63" s="122">
        <f t="shared" si="5"/>
        <v>191906951.15242499</v>
      </c>
      <c r="I63" s="122">
        <f t="shared" si="1"/>
        <v>878552204.02972198</v>
      </c>
      <c r="J63" s="61">
        <f t="shared" si="2"/>
        <v>0.96210328634737907</v>
      </c>
      <c r="K63" s="54">
        <f t="shared" si="3"/>
        <v>-103294310.87729704</v>
      </c>
      <c r="L63" s="54">
        <f t="shared" si="3"/>
        <v>137899993.84029239</v>
      </c>
      <c r="M63" s="54">
        <f t="shared" si="3"/>
        <v>34605682.96299541</v>
      </c>
      <c r="N63" s="54">
        <f ca="1">IFERROR(M63/C3,0)</f>
        <v>2883806.9135829508</v>
      </c>
    </row>
    <row r="64" spans="2:14" ht="20" customHeight="1" x14ac:dyDescent="0.2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298336622.32828599</v>
      </c>
      <c r="H64" s="122">
        <f t="shared" si="5"/>
        <v>128847592.67048</v>
      </c>
      <c r="I64" s="122">
        <f t="shared" si="1"/>
        <v>427184214.99876601</v>
      </c>
      <c r="J64" s="61">
        <f t="shared" si="2"/>
        <v>0.82548356969854886</v>
      </c>
      <c r="K64" s="54">
        <f t="shared" si="3"/>
        <v>-38810933.328285992</v>
      </c>
      <c r="L64" s="54">
        <f t="shared" si="3"/>
        <v>129122439.23740639</v>
      </c>
      <c r="M64" s="54">
        <f t="shared" si="3"/>
        <v>90311505.909120381</v>
      </c>
      <c r="N64" s="54">
        <f ca="1">IFERROR(M64/C3,0)</f>
        <v>7525958.8257600321</v>
      </c>
    </row>
    <row r="65" spans="2:14" ht="20" customHeight="1" x14ac:dyDescent="0.2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6206485251.788393</v>
      </c>
      <c r="H65" s="152">
        <f>SUM(H51:H64)</f>
        <v>919677494.50367093</v>
      </c>
      <c r="I65" s="152">
        <f>SUM(I51:I64)</f>
        <v>7126162746.2920628</v>
      </c>
      <c r="J65" s="153">
        <f>IFERROR(I65/F65,0)</f>
        <v>0.85707197080200292</v>
      </c>
      <c r="K65" s="154">
        <f>SUM(K51:K64)</f>
        <v>632794080.21160793</v>
      </c>
      <c r="L65" s="154">
        <f>SUM(L51:L64)</f>
        <v>555587329.71669066</v>
      </c>
      <c r="M65" s="154">
        <f>SUM(M51:M64)</f>
        <v>1188381409.9282987</v>
      </c>
      <c r="N65" s="154">
        <f ca="1">IFERROR(M65/C3,0)</f>
        <v>99031784.160691559</v>
      </c>
    </row>
    <row r="66" spans="2:14" x14ac:dyDescent="0.2">
      <c r="G66" s="116"/>
      <c r="H66" s="116"/>
      <c r="I66" s="116"/>
    </row>
    <row r="67" spans="2:14" ht="20" x14ac:dyDescent="0.2">
      <c r="B67" s="135" t="s">
        <v>174</v>
      </c>
      <c r="C67" s="136"/>
      <c r="D67" s="137"/>
    </row>
    <row r="68" spans="2:14" ht="18.75" customHeight="1" x14ac:dyDescent="0.2">
      <c r="B68" s="205" t="s">
        <v>41</v>
      </c>
      <c r="C68" s="205" t="s">
        <v>42</v>
      </c>
      <c r="D68" s="134" t="s">
        <v>139</v>
      </c>
    </row>
    <row r="69" spans="2:14" ht="18" customHeight="1" x14ac:dyDescent="0.2">
      <c r="B69" s="205"/>
      <c r="C69" s="205"/>
      <c r="D69" s="71" t="s">
        <v>171</v>
      </c>
    </row>
    <row r="70" spans="2:14" ht="20" customHeight="1" x14ac:dyDescent="0.2">
      <c r="B70" s="201" t="s">
        <v>67</v>
      </c>
      <c r="C70" s="202" t="s">
        <v>68</v>
      </c>
      <c r="D70" s="191">
        <f>IF(E24="",0,E24)</f>
        <v>126214286.45999999</v>
      </c>
    </row>
    <row r="71" spans="2:14" ht="20" customHeight="1" x14ac:dyDescent="0.2">
      <c r="B71" s="201" t="s">
        <v>69</v>
      </c>
      <c r="C71" s="202" t="s">
        <v>70</v>
      </c>
      <c r="D71" s="192">
        <f>IF(E12="",0,E12)+IF(E13="",0,E13)</f>
        <v>93672971.199999988</v>
      </c>
    </row>
    <row r="72" spans="2:14" ht="20" customHeight="1" x14ac:dyDescent="0.2">
      <c r="B72" s="201" t="s">
        <v>175</v>
      </c>
      <c r="C72" s="202" t="s">
        <v>176</v>
      </c>
      <c r="D72" s="192">
        <f>IF(E22="",0,E22)</f>
        <v>12832432.08</v>
      </c>
    </row>
    <row r="73" spans="2:14" ht="20" customHeight="1" x14ac:dyDescent="0.2">
      <c r="B73" s="201" t="s">
        <v>71</v>
      </c>
      <c r="C73" s="202" t="s">
        <v>72</v>
      </c>
      <c r="D73" s="191">
        <f>IF(E14="",0,E14)</f>
        <v>260324322.93000001</v>
      </c>
    </row>
    <row r="74" spans="2:14" ht="20" customHeight="1" x14ac:dyDescent="0.2">
      <c r="B74" s="201" t="s">
        <v>73</v>
      </c>
      <c r="C74" s="202" t="s">
        <v>74</v>
      </c>
      <c r="D74" s="192">
        <f>0</f>
        <v>0</v>
      </c>
    </row>
    <row r="75" spans="2:14" ht="20" customHeight="1" x14ac:dyDescent="0.2">
      <c r="B75" s="201" t="s">
        <v>75</v>
      </c>
      <c r="C75" s="202" t="s">
        <v>74</v>
      </c>
      <c r="D75" s="192">
        <f>IF(E16="",0,E16)</f>
        <v>14439639.5</v>
      </c>
    </row>
    <row r="76" spans="2:14" ht="20" customHeight="1" x14ac:dyDescent="0.2">
      <c r="B76" s="201" t="s">
        <v>76</v>
      </c>
      <c r="C76" s="202" t="s">
        <v>77</v>
      </c>
      <c r="D76" s="192">
        <f>IF(E19="",0,E19)</f>
        <v>709237967.049927</v>
      </c>
    </row>
    <row r="77" spans="2:14" ht="20" customHeight="1" x14ac:dyDescent="0.2">
      <c r="B77" s="201" t="s">
        <v>78</v>
      </c>
      <c r="C77" s="202" t="s">
        <v>79</v>
      </c>
      <c r="D77" s="191">
        <f>IF(E25="",0,E25)</f>
        <v>247976756.949745</v>
      </c>
    </row>
    <row r="78" spans="2:14" ht="20" customHeight="1" x14ac:dyDescent="0.2">
      <c r="B78" s="201" t="s">
        <v>175</v>
      </c>
      <c r="C78" s="202" t="s">
        <v>177</v>
      </c>
      <c r="D78" s="192">
        <f>IF(E23="",0,E23)</f>
        <v>13813693.32</v>
      </c>
    </row>
    <row r="79" spans="2:14" ht="20" customHeight="1" x14ac:dyDescent="0.2">
      <c r="B79" s="201" t="s">
        <v>80</v>
      </c>
      <c r="C79" s="202" t="s">
        <v>81</v>
      </c>
      <c r="D79" s="192">
        <f>IF(E11="",0,E11)</f>
        <v>40868468.799999997</v>
      </c>
    </row>
    <row r="80" spans="2:14" ht="20" customHeight="1" x14ac:dyDescent="0.2">
      <c r="B80" s="201" t="s">
        <v>82</v>
      </c>
      <c r="C80" s="202" t="s">
        <v>83</v>
      </c>
      <c r="D80" s="191">
        <f>IF(E26="",0,E26)</f>
        <v>469103962.04973102</v>
      </c>
    </row>
    <row r="81" spans="2:9" ht="20" customHeight="1" x14ac:dyDescent="0.2">
      <c r="B81" s="201" t="s">
        <v>84</v>
      </c>
      <c r="C81" s="202" t="s">
        <v>85</v>
      </c>
      <c r="D81" s="192">
        <f>IF(E10="",0,E10)</f>
        <v>162788612.639999</v>
      </c>
    </row>
    <row r="82" spans="2:9" ht="20" customHeight="1" x14ac:dyDescent="0.2">
      <c r="B82" s="201" t="s">
        <v>86</v>
      </c>
      <c r="C82" s="202" t="s">
        <v>87</v>
      </c>
      <c r="D82" s="192">
        <f>IF(E27="",0,E27)</f>
        <v>19182702.936000001</v>
      </c>
    </row>
    <row r="83" spans="2:9" ht="20" customHeight="1" x14ac:dyDescent="0.2">
      <c r="B83" s="201" t="s">
        <v>88</v>
      </c>
      <c r="C83" s="202" t="s">
        <v>89</v>
      </c>
      <c r="D83" s="192">
        <f>IF(E20="",0,E20)+IF(E21="",0,E21)</f>
        <v>82886488.079999998</v>
      </c>
    </row>
    <row r="84" spans="2:9" ht="20" customHeight="1" x14ac:dyDescent="0.2">
      <c r="B84" s="57" t="s">
        <v>152</v>
      </c>
      <c r="C84" s="58"/>
      <c r="D84" s="129">
        <f>SUM(D70:D83)</f>
        <v>2253342303.9954014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206" t="s">
        <v>145</v>
      </c>
      <c r="C87" s="207"/>
      <c r="D87" s="207"/>
      <c r="E87" s="207"/>
      <c r="F87" s="208"/>
      <c r="G87" s="124"/>
      <c r="H87" s="124"/>
      <c r="I87" s="116"/>
    </row>
    <row r="88" spans="2:9" ht="18" customHeight="1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" customHeight="1" x14ac:dyDescent="0.2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291427595.82048202</v>
      </c>
      <c r="F89" s="61">
        <f t="shared" ref="F89:F94" si="7">IFERROR(E89/D89,0)</f>
        <v>1.0480570955664552</v>
      </c>
      <c r="G89" s="125">
        <f>D89-E89</f>
        <v>-13362977.916272461</v>
      </c>
      <c r="H89" s="125">
        <f ca="1">IFERROR(G89/C3,0)</f>
        <v>-1113581.4930227052</v>
      </c>
      <c r="I89" s="116"/>
    </row>
    <row r="90" spans="2:9" ht="20" customHeight="1" x14ac:dyDescent="0.2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436148035.92440403</v>
      </c>
      <c r="F90" s="61">
        <f t="shared" si="7"/>
        <v>1.0443693954602793</v>
      </c>
      <c r="G90" s="126">
        <f>D90-E90</f>
        <v>-18529482.737882435</v>
      </c>
      <c r="H90" s="126">
        <f ca="1">IFERROR(G90/C3,0)</f>
        <v>-1544123.561490203</v>
      </c>
      <c r="I90" s="116"/>
    </row>
    <row r="91" spans="2:9" ht="20" customHeight="1" x14ac:dyDescent="0.2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945630576.91965699</v>
      </c>
      <c r="F91" s="61">
        <f t="shared" si="7"/>
        <v>0.86970886150280302</v>
      </c>
      <c r="G91" s="125">
        <f>D91-E91</f>
        <v>141664975.39386773</v>
      </c>
      <c r="H91" s="125">
        <f ca="1">IFERROR(G91/C3,0)</f>
        <v>11805414.616155645</v>
      </c>
      <c r="I91" s="116"/>
    </row>
    <row r="92" spans="2:9" ht="20" hidden="1" customHeight="1" x14ac:dyDescent="0.2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" hidden="1" customHeight="1" x14ac:dyDescent="0.2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" customHeight="1" x14ac:dyDescent="0.2">
      <c r="B94" s="57" t="s">
        <v>152</v>
      </c>
      <c r="C94" s="58"/>
      <c r="D94" s="123">
        <f>SUM(D89:D93)</f>
        <v>1782978723.4042559</v>
      </c>
      <c r="E94" s="123">
        <f>SUM(E89:E93)</f>
        <v>1673206208.6645432</v>
      </c>
      <c r="F94" s="43">
        <f t="shared" si="7"/>
        <v>0.93843307645863372</v>
      </c>
      <c r="G94" s="119">
        <f>SUM(G89:G93)</f>
        <v>109772514.73971283</v>
      </c>
      <c r="H94" s="119">
        <f ca="1">IFERROR(G94/C3,0)</f>
        <v>9147709.5616427362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N94"/>
  <sheetViews>
    <sheetView showGridLines="0" tabSelected="1" topLeftCell="A58" zoomScale="81" zoomScaleNormal="100" workbookViewId="0">
      <selection activeCell="B67" sqref="B67:D84"/>
    </sheetView>
  </sheetViews>
  <sheetFormatPr baseColWidth="10" defaultColWidth="8.6640625" defaultRowHeight="15" x14ac:dyDescent="0.2"/>
  <cols>
    <col min="1" max="1" width="2" customWidth="1"/>
    <col min="2" max="2" width="45.33203125" customWidth="1"/>
    <col min="3" max="3" width="13.6640625" bestFit="1" customWidth="1"/>
    <col min="4" max="4" width="18.33203125" customWidth="1"/>
    <col min="5" max="5" width="15.33203125" customWidth="1"/>
    <col min="6" max="6" width="15.1640625" bestFit="1" customWidth="1"/>
    <col min="7" max="7" width="14.6640625" customWidth="1"/>
    <col min="8" max="8" width="15.5" customWidth="1"/>
    <col min="9" max="9" width="14.83203125" customWidth="1"/>
    <col min="10" max="10" width="9.33203125" customWidth="1"/>
    <col min="11" max="11" width="8.1640625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MAX(0,NETWORKDAYS.INTL(MAX(TODAY(),DATE(YEAR(TODAY()),6,1)),EOMONTH(DATE(YEAR(TODAY()),6,1),0),11))</f>
        <v>12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212167427.80072099</v>
      </c>
      <c r="N8" s="11">
        <f>D24</f>
        <v>35421015.648971997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309246532.670479</v>
      </c>
      <c r="N9" s="11">
        <f>D12+D13</f>
        <v>92871246.237861991</v>
      </c>
    </row>
    <row r="10" spans="2:14" x14ac:dyDescent="0.2">
      <c r="B10" s="74" t="s">
        <v>113</v>
      </c>
      <c r="C10" s="15">
        <v>196309422.20397699</v>
      </c>
      <c r="D10" s="15">
        <v>25863250.952498998</v>
      </c>
      <c r="E10" s="15">
        <v>100774808.19</v>
      </c>
      <c r="F10" s="15">
        <v>322947481.34647602</v>
      </c>
      <c r="H10" s="116"/>
      <c r="I10" s="116"/>
      <c r="J10" s="116"/>
      <c r="M10" s="11">
        <f>C14</f>
        <v>582201107.59037697</v>
      </c>
      <c r="N10" s="11">
        <f>D14</f>
        <v>18129072.575142998</v>
      </c>
    </row>
    <row r="11" spans="2:14" x14ac:dyDescent="0.2">
      <c r="B11" s="74" t="s">
        <v>114</v>
      </c>
      <c r="C11" s="15">
        <v>225020394.74196199</v>
      </c>
      <c r="D11" s="15">
        <v>54803361.760242999</v>
      </c>
      <c r="E11" s="15">
        <v>2360360.36</v>
      </c>
      <c r="F11" s="15">
        <v>282184116.86220503</v>
      </c>
      <c r="H11" s="116"/>
      <c r="I11" s="116"/>
      <c r="J11" s="116"/>
      <c r="M11" s="11">
        <f>C17</f>
        <v>197164413.23962</v>
      </c>
      <c r="N11" s="11">
        <f>D17</f>
        <v>46234425.210000001</v>
      </c>
    </row>
    <row r="12" spans="2:14" x14ac:dyDescent="0.2">
      <c r="B12" s="74" t="s">
        <v>70</v>
      </c>
      <c r="C12" s="15">
        <v>155862235.142488</v>
      </c>
      <c r="D12" s="15">
        <v>51775981.068047002</v>
      </c>
      <c r="E12" s="15">
        <v>29921364.199999999</v>
      </c>
      <c r="F12" s="15">
        <v>237559580.41053501</v>
      </c>
      <c r="H12" s="116"/>
      <c r="I12" s="116"/>
      <c r="J12" s="116"/>
      <c r="M12" s="11">
        <f>C16</f>
        <v>288223079.27416199</v>
      </c>
      <c r="N12" s="11">
        <f>D16</f>
        <v>54912122.962808996</v>
      </c>
    </row>
    <row r="13" spans="2:14" x14ac:dyDescent="0.2">
      <c r="B13" s="74" t="s">
        <v>115</v>
      </c>
      <c r="C13" s="15">
        <v>153384297.527991</v>
      </c>
      <c r="D13" s="15">
        <v>41095265.169814996</v>
      </c>
      <c r="E13" s="15">
        <v>20057814.960000001</v>
      </c>
      <c r="F13" s="15">
        <v>214537377.65780601</v>
      </c>
      <c r="H13" s="116"/>
      <c r="I13" s="116"/>
      <c r="J13" s="116"/>
      <c r="M13" s="11">
        <f>C19</f>
        <v>552907346.45246303</v>
      </c>
      <c r="N13" s="11">
        <f>D19</f>
        <v>45672098.689937003</v>
      </c>
    </row>
    <row r="14" spans="2:14" x14ac:dyDescent="0.2">
      <c r="B14" s="74" t="s">
        <v>116</v>
      </c>
      <c r="C14" s="15">
        <v>582201107.59037697</v>
      </c>
      <c r="D14" s="15">
        <v>18129072.575142998</v>
      </c>
      <c r="E14" s="15">
        <v>146583333.69</v>
      </c>
      <c r="F14" s="15">
        <v>746913513.85552001</v>
      </c>
      <c r="H14" s="116"/>
      <c r="I14" s="116"/>
      <c r="J14" s="116"/>
      <c r="M14" s="11">
        <f>C25</f>
        <v>284518972.08385497</v>
      </c>
      <c r="N14" s="11">
        <f>D25</f>
        <v>37425665.979971997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225020394.74196199</v>
      </c>
      <c r="N15" s="11">
        <f>D11</f>
        <v>54803361.760242999</v>
      </c>
    </row>
    <row r="16" spans="2:14" x14ac:dyDescent="0.2">
      <c r="B16" s="74" t="s">
        <v>74</v>
      </c>
      <c r="C16" s="15">
        <v>288223079.27416199</v>
      </c>
      <c r="D16" s="15">
        <v>54912122.962808996</v>
      </c>
      <c r="E16" s="15">
        <v>22882161.899999999</v>
      </c>
      <c r="F16" s="15">
        <v>366017364.136971</v>
      </c>
      <c r="H16" s="116"/>
      <c r="I16" s="116"/>
      <c r="J16" s="116"/>
      <c r="M16" s="11">
        <f>C26</f>
        <v>319529239.042409</v>
      </c>
      <c r="N16" s="11">
        <f>D26</f>
        <v>29243601.095465999</v>
      </c>
    </row>
    <row r="17" spans="2:14" x14ac:dyDescent="0.2">
      <c r="B17" s="74" t="s">
        <v>118</v>
      </c>
      <c r="C17" s="15">
        <v>197164413.23962</v>
      </c>
      <c r="D17" s="15">
        <v>46234425.210000001</v>
      </c>
      <c r="E17" s="15" t="s">
        <v>168</v>
      </c>
      <c r="F17" s="15">
        <v>243398838.44962001</v>
      </c>
      <c r="H17" s="116"/>
      <c r="I17" s="116"/>
      <c r="J17" s="116"/>
      <c r="M17" s="11">
        <f>C10</f>
        <v>196309422.20397699</v>
      </c>
      <c r="N17" s="11">
        <f>D10</f>
        <v>25863250.952498998</v>
      </c>
    </row>
    <row r="18" spans="2:14" x14ac:dyDescent="0.2">
      <c r="B18" s="74" t="s">
        <v>119</v>
      </c>
      <c r="C18" s="15">
        <v>300585035.238033</v>
      </c>
      <c r="D18" s="15">
        <v>2025072.1099950001</v>
      </c>
      <c r="E18" s="15">
        <v>6986486.4000000004</v>
      </c>
      <c r="F18" s="15">
        <v>309596593.74802798</v>
      </c>
      <c r="H18" s="116"/>
      <c r="I18" s="116"/>
      <c r="J18" s="116"/>
      <c r="M18" s="11">
        <f>C27</f>
        <v>418494886.80674899</v>
      </c>
      <c r="N18" s="11">
        <f>D27</f>
        <v>68276379.211264998</v>
      </c>
    </row>
    <row r="19" spans="2:14" x14ac:dyDescent="0.2">
      <c r="B19" s="74" t="s">
        <v>121</v>
      </c>
      <c r="C19" s="15">
        <v>552907346.45246303</v>
      </c>
      <c r="D19" s="15">
        <v>45672098.689937003</v>
      </c>
      <c r="E19" s="15">
        <v>914346866.62996995</v>
      </c>
      <c r="F19" s="15">
        <v>1512926311.7723701</v>
      </c>
      <c r="H19" s="116"/>
      <c r="I19" s="116"/>
      <c r="J19" s="116"/>
      <c r="M19" s="11">
        <f>C20+C21</f>
        <v>111310416.547754</v>
      </c>
      <c r="N19" s="11">
        <f>D20+D21</f>
        <v>106422498.50697801</v>
      </c>
    </row>
    <row r="20" spans="2:14" x14ac:dyDescent="0.2">
      <c r="B20" s="74" t="s">
        <v>123</v>
      </c>
      <c r="C20" s="15">
        <v>78812636.547754005</v>
      </c>
      <c r="D20" s="15">
        <v>20773286.339760002</v>
      </c>
      <c r="E20" s="15">
        <v>3913513.6</v>
      </c>
      <c r="F20" s="15">
        <v>103499436.487514</v>
      </c>
      <c r="H20" s="116"/>
      <c r="I20" s="116"/>
      <c r="J20" s="116"/>
      <c r="M20" s="14">
        <f>IFERROR(C31,0)+IFERROR(C15,0)+IFERROR(C36,0)</f>
        <v>1661756.7999799999</v>
      </c>
      <c r="N20" s="10" t="s">
        <v>120</v>
      </c>
    </row>
    <row r="21" spans="2:14" x14ac:dyDescent="0.2">
      <c r="B21" s="74" t="s">
        <v>124</v>
      </c>
      <c r="C21" s="15">
        <v>32497780</v>
      </c>
      <c r="D21" s="15">
        <v>85649212.167218</v>
      </c>
      <c r="E21" s="15">
        <v>18583784.140000001</v>
      </c>
      <c r="F21" s="15">
        <v>136730776.30721799</v>
      </c>
      <c r="H21" s="116"/>
      <c r="I21" s="116"/>
      <c r="J21" s="116"/>
      <c r="M21" s="14">
        <f>IFERROR(C34,0)+IFERROR(C35,0)+M20</f>
        <v>556226172.03801799</v>
      </c>
      <c r="N21" s="10" t="s">
        <v>122</v>
      </c>
    </row>
    <row r="22" spans="2:14" x14ac:dyDescent="0.2">
      <c r="B22" s="74" t="s">
        <v>172</v>
      </c>
      <c r="C22" s="15">
        <v>147569605.5</v>
      </c>
      <c r="D22" s="15" t="s">
        <v>168</v>
      </c>
      <c r="E22" s="15">
        <v>4684684.5599999996</v>
      </c>
      <c r="F22" s="15">
        <v>152254290.06</v>
      </c>
      <c r="H22" s="116"/>
      <c r="I22" s="116"/>
      <c r="J22" s="116"/>
    </row>
    <row r="23" spans="2:14" x14ac:dyDescent="0.2">
      <c r="B23" s="74" t="s">
        <v>173</v>
      </c>
      <c r="C23" s="15">
        <v>241954678.63999999</v>
      </c>
      <c r="D23" s="15" t="s">
        <v>168</v>
      </c>
      <c r="E23" s="15">
        <v>8102071.8600000003</v>
      </c>
      <c r="F23" s="15">
        <v>250056750.5</v>
      </c>
      <c r="H23" s="116"/>
      <c r="I23" s="116"/>
      <c r="J23" s="116"/>
    </row>
    <row r="24" spans="2:14" x14ac:dyDescent="0.2">
      <c r="B24" s="74" t="s">
        <v>125</v>
      </c>
      <c r="C24" s="15">
        <v>212167427.80072099</v>
      </c>
      <c r="D24" s="15">
        <v>35421015.648971997</v>
      </c>
      <c r="E24" s="15">
        <v>274761734.67987001</v>
      </c>
      <c r="F24" s="15">
        <v>522350178.12956297</v>
      </c>
      <c r="H24" s="116"/>
      <c r="I24" s="116"/>
      <c r="J24" s="116"/>
    </row>
    <row r="25" spans="2:14" x14ac:dyDescent="0.2">
      <c r="B25" s="74" t="s">
        <v>126</v>
      </c>
      <c r="C25" s="15">
        <v>284518972.08385497</v>
      </c>
      <c r="D25" s="15">
        <v>37425665.979971997</v>
      </c>
      <c r="E25" s="15">
        <v>151966173.43963</v>
      </c>
      <c r="F25" s="15">
        <v>473910811.50345701</v>
      </c>
      <c r="H25" s="116"/>
      <c r="I25" s="116"/>
      <c r="J25" s="116"/>
    </row>
    <row r="26" spans="2:14" x14ac:dyDescent="0.2">
      <c r="B26" s="74" t="s">
        <v>127</v>
      </c>
      <c r="C26" s="15">
        <v>319529239.042409</v>
      </c>
      <c r="D26" s="15">
        <v>29243601.095465999</v>
      </c>
      <c r="E26" s="15">
        <v>361548924.39965802</v>
      </c>
      <c r="F26" s="15">
        <v>710321764.53753304</v>
      </c>
      <c r="H26" s="116"/>
      <c r="I26" s="116"/>
      <c r="J26" s="116"/>
    </row>
    <row r="27" spans="2:14" x14ac:dyDescent="0.2">
      <c r="B27" s="74" t="s">
        <v>128</v>
      </c>
      <c r="C27" s="15">
        <v>418494886.80674899</v>
      </c>
      <c r="D27" s="15">
        <v>68276379.211264998</v>
      </c>
      <c r="E27" s="15">
        <v>7244865.0549999997</v>
      </c>
      <c r="F27" s="15">
        <v>494016131.07301402</v>
      </c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4" t="s">
        <v>168</v>
      </c>
      <c r="C31" s="15">
        <v>1250756.7999799999</v>
      </c>
      <c r="G31" s="116"/>
      <c r="H31" s="116"/>
      <c r="I31" s="116"/>
    </row>
    <row r="32" spans="2:14" x14ac:dyDescent="0.2">
      <c r="B32" s="74" t="s">
        <v>132</v>
      </c>
      <c r="C32" s="15">
        <v>117232787.74518099</v>
      </c>
      <c r="G32" s="116"/>
      <c r="H32" s="116"/>
      <c r="I32" s="116"/>
    </row>
    <row r="33" spans="2:14" x14ac:dyDescent="0.2">
      <c r="B33" s="74" t="s">
        <v>133</v>
      </c>
      <c r="C33" s="15">
        <v>168936934.47497499</v>
      </c>
      <c r="G33" s="116"/>
      <c r="H33" s="116"/>
      <c r="I33" s="116"/>
    </row>
    <row r="34" spans="2:14" x14ac:dyDescent="0.2">
      <c r="B34" s="74" t="s">
        <v>134</v>
      </c>
      <c r="C34" s="15">
        <v>103060603.74711999</v>
      </c>
      <c r="G34" s="116"/>
      <c r="H34" s="116"/>
      <c r="I34" s="116"/>
    </row>
    <row r="35" spans="2:14" x14ac:dyDescent="0.2">
      <c r="B35" s="74" t="s">
        <v>135</v>
      </c>
      <c r="C35" s="15">
        <v>451503811.49091798</v>
      </c>
      <c r="G35" s="116"/>
      <c r="H35" s="116"/>
      <c r="I35" s="116"/>
    </row>
    <row r="36" spans="2:14" x14ac:dyDescent="0.2">
      <c r="B36" s="74" t="s">
        <v>136</v>
      </c>
      <c r="C36" s="15">
        <v>411000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4" customHeight="1" x14ac:dyDescent="0.2">
      <c r="B41" s="216" t="s">
        <v>184</v>
      </c>
      <c r="C41" s="217"/>
      <c r="D41" s="218"/>
      <c r="E41" s="67" t="s">
        <v>138</v>
      </c>
      <c r="F41" s="73">
        <f ca="1">IF(MONTH(TODAY())=6,DAY(TODAY())/DAY(EOMONTH(TODAY(),0)),IF(MONTH(TODAY())&gt;6,1,0))</f>
        <v>0.56666666666666665</v>
      </c>
      <c r="G41" s="117"/>
      <c r="H41" s="117"/>
      <c r="I41" s="116"/>
    </row>
    <row r="42" spans="2:14" ht="18" customHeight="1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" customHeight="1" x14ac:dyDescent="0.2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4086617522.5945277</v>
      </c>
      <c r="F43" s="44">
        <f>IFERROR(E43/D43,0)</f>
        <v>0.56295085719874427</v>
      </c>
      <c r="G43" s="118">
        <f>D43-E43</f>
        <v>3172661809.4054723</v>
      </c>
      <c r="H43" s="118">
        <f ca="1">IFERROR(G43/C3,0)</f>
        <v>264388484.11712268</v>
      </c>
      <c r="I43" s="116"/>
    </row>
    <row r="44" spans="2:14" ht="20" customHeight="1" x14ac:dyDescent="0.2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615274738.831146</v>
      </c>
      <c r="F44" s="44">
        <f>IFERROR(E44/D44,0)</f>
        <v>0.34003880722818375</v>
      </c>
      <c r="G44" s="118">
        <f>D44-E44</f>
        <v>1194150320.168854</v>
      </c>
      <c r="H44" s="118">
        <f ca="1">IFERROR(G44/C3,0)</f>
        <v>99512526.680737838</v>
      </c>
      <c r="I44" s="116"/>
    </row>
    <row r="45" spans="2:14" ht="20" customHeight="1" x14ac:dyDescent="0.2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842395894.25817394</v>
      </c>
      <c r="F45" s="44">
        <f>IFERROR(E45/D45,0)</f>
        <v>0.46011164470021249</v>
      </c>
      <c r="G45" s="118">
        <f>D45-E45</f>
        <v>988455169.74182606</v>
      </c>
      <c r="H45" s="118">
        <f ca="1">IFERROR(G45/C3,0)</f>
        <v>82371264.145152166</v>
      </c>
      <c r="I45" s="116"/>
    </row>
    <row r="46" spans="2:14" ht="18.75" customHeight="1" x14ac:dyDescent="0.2">
      <c r="B46" s="222" t="s">
        <v>146</v>
      </c>
      <c r="C46" s="223"/>
      <c r="D46" s="47">
        <f>D43+D44+D45</f>
        <v>10899555455</v>
      </c>
      <c r="E46" s="47">
        <f>E43+E44+E45</f>
        <v>5544288155.6838474</v>
      </c>
      <c r="F46" s="43">
        <f>IFERROR(E46/D46,0)</f>
        <v>0.50867103512377587</v>
      </c>
      <c r="G46" s="119">
        <f>G43+G44+G45</f>
        <v>5355267299.3161526</v>
      </c>
      <c r="H46" s="119">
        <f ca="1">IFERROR(G46/C3,0)</f>
        <v>446272274.94301271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219" t="s">
        <v>147</v>
      </c>
      <c r="C48" s="220"/>
      <c r="D48" s="220"/>
      <c r="E48" s="220"/>
      <c r="F48" s="220"/>
      <c r="G48" s="220"/>
      <c r="H48" s="220"/>
      <c r="I48" s="220"/>
      <c r="J48" s="221"/>
      <c r="K48" s="209"/>
      <c r="L48" s="210"/>
      <c r="M48" s="210"/>
      <c r="N48" s="211"/>
    </row>
    <row r="49" spans="2:14" ht="21.75" customHeight="1" x14ac:dyDescent="0.2">
      <c r="B49" s="205" t="s">
        <v>41</v>
      </c>
      <c r="C49" s="205" t="s">
        <v>42</v>
      </c>
      <c r="D49" s="212" t="s">
        <v>138</v>
      </c>
      <c r="E49" s="213"/>
      <c r="F49" s="214"/>
      <c r="G49" s="120" t="s">
        <v>139</v>
      </c>
      <c r="H49" s="120"/>
      <c r="I49" s="120"/>
      <c r="J49" s="205" t="s">
        <v>140</v>
      </c>
      <c r="K49" s="132" t="s">
        <v>148</v>
      </c>
      <c r="L49" s="132"/>
      <c r="M49" s="132"/>
      <c r="N49" s="215" t="s">
        <v>149</v>
      </c>
    </row>
    <row r="50" spans="2:14" ht="19.5" customHeight="1" x14ac:dyDescent="0.2">
      <c r="B50" s="205"/>
      <c r="C50" s="20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05"/>
      <c r="K50" s="133" t="s">
        <v>143</v>
      </c>
      <c r="L50" s="133" t="s">
        <v>111</v>
      </c>
      <c r="M50" s="133" t="s">
        <v>146</v>
      </c>
      <c r="N50" s="215"/>
    </row>
    <row r="51" spans="2:14" ht="20" customHeight="1" x14ac:dyDescent="0.2">
      <c r="B51" s="50" t="s">
        <v>67</v>
      </c>
      <c r="C51" s="55" t="s">
        <v>68</v>
      </c>
      <c r="D51" s="127">
        <f>TARGETS!N5</f>
        <v>451683478</v>
      </c>
      <c r="E51" s="127">
        <f>TARGETS!O5</f>
        <v>101830423</v>
      </c>
      <c r="F51" s="127">
        <f t="shared" ref="F51:F64" si="0">D51+E51</f>
        <v>553513901</v>
      </c>
      <c r="G51" s="122">
        <f>M8</f>
        <v>212167427.80072099</v>
      </c>
      <c r="H51" s="122">
        <f>N8</f>
        <v>35421015.648971997</v>
      </c>
      <c r="I51" s="122">
        <f t="shared" ref="I51:I64" si="1">G51+H51</f>
        <v>247588443.44969299</v>
      </c>
      <c r="J51" s="61">
        <f t="shared" ref="J51:J64" si="2">IFERROR(I51/F51,0)</f>
        <v>0.44730302708277059</v>
      </c>
      <c r="K51" s="51">
        <f t="shared" ref="K51:M64" si="3">D51-G51</f>
        <v>239516050.19927901</v>
      </c>
      <c r="L51" s="51">
        <f t="shared" si="3"/>
        <v>66409407.351028003</v>
      </c>
      <c r="M51" s="51">
        <f t="shared" si="3"/>
        <v>305925457.55030704</v>
      </c>
      <c r="N51" s="51">
        <f ca="1">IFERROR(M51/C3,0)</f>
        <v>25493788.129192252</v>
      </c>
    </row>
    <row r="52" spans="2:14" ht="20" customHeight="1" x14ac:dyDescent="0.2">
      <c r="B52" s="53" t="s">
        <v>69</v>
      </c>
      <c r="C52" s="56" t="s">
        <v>70</v>
      </c>
      <c r="D52" s="128">
        <f>TARGETS!N6</f>
        <v>590182371</v>
      </c>
      <c r="E52" s="128">
        <f>TARGETS!O6</f>
        <v>225106806</v>
      </c>
      <c r="F52" s="128">
        <f t="shared" si="0"/>
        <v>815289177</v>
      </c>
      <c r="G52" s="122">
        <f>M9</f>
        <v>309246532.670479</v>
      </c>
      <c r="H52" s="122">
        <f>N9</f>
        <v>92871246.237861991</v>
      </c>
      <c r="I52" s="122">
        <f t="shared" si="1"/>
        <v>402117778.90834099</v>
      </c>
      <c r="J52" s="61">
        <f t="shared" si="2"/>
        <v>0.49322104383625465</v>
      </c>
      <c r="K52" s="54">
        <f t="shared" si="3"/>
        <v>280935838.329521</v>
      </c>
      <c r="L52" s="54">
        <f t="shared" si="3"/>
        <v>132235559.76213801</v>
      </c>
      <c r="M52" s="54">
        <f t="shared" si="3"/>
        <v>413171398.09165901</v>
      </c>
      <c r="N52" s="54">
        <f ca="1">IFERROR(M52/C3,0)</f>
        <v>34430949.840971582</v>
      </c>
    </row>
    <row r="53" spans="2:14" ht="20" customHeight="1" x14ac:dyDescent="0.2">
      <c r="B53" s="155" t="s">
        <v>175</v>
      </c>
      <c r="C53" s="156" t="s">
        <v>176</v>
      </c>
      <c r="D53" s="157">
        <f>TARGETS!N7</f>
        <v>241473268</v>
      </c>
      <c r="E53" s="157">
        <f>TARGETS!O7</f>
        <v>0</v>
      </c>
      <c r="F53" s="157">
        <f>D53+E53</f>
        <v>241473268</v>
      </c>
      <c r="G53" s="122">
        <f>C22</f>
        <v>147569605.5</v>
      </c>
      <c r="H53" s="122">
        <f>IF(D22="",0,D22)</f>
        <v>0</v>
      </c>
      <c r="I53" s="122">
        <f>G53+H53</f>
        <v>147569605.5</v>
      </c>
      <c r="J53" s="61">
        <f>IFERROR(I53/F53,0)</f>
        <v>0.61112191308894692</v>
      </c>
      <c r="K53" s="54">
        <f>D53-G53</f>
        <v>93903662.5</v>
      </c>
      <c r="L53" s="54">
        <f>E53-H53</f>
        <v>0</v>
      </c>
      <c r="M53" s="54">
        <f>F53-I53</f>
        <v>93903662.5</v>
      </c>
      <c r="N53" s="54">
        <f ca="1">IFERROR(M53/C3,0)</f>
        <v>7825305.208333333</v>
      </c>
    </row>
    <row r="54" spans="2:14" ht="20" customHeight="1" x14ac:dyDescent="0.2">
      <c r="B54" s="53" t="s">
        <v>71</v>
      </c>
      <c r="C54" s="56" t="s">
        <v>72</v>
      </c>
      <c r="D54" s="128">
        <f>TARGETS!N8</f>
        <v>645712472</v>
      </c>
      <c r="E54" s="128">
        <f>TARGETS!O8</f>
        <v>80441848</v>
      </c>
      <c r="F54" s="128">
        <f t="shared" si="0"/>
        <v>726154320</v>
      </c>
      <c r="G54" s="122">
        <f>M10</f>
        <v>582201107.59037697</v>
      </c>
      <c r="H54" s="122">
        <f t="shared" ref="H54:H58" si="4">N10</f>
        <v>18129072.575142998</v>
      </c>
      <c r="I54" s="122">
        <f t="shared" si="1"/>
        <v>600330180.16551995</v>
      </c>
      <c r="J54" s="61">
        <f t="shared" si="2"/>
        <v>0.82672534422919908</v>
      </c>
      <c r="K54" s="54">
        <f>D54-G54</f>
        <v>63511364.409623027</v>
      </c>
      <c r="L54" s="54">
        <f t="shared" si="3"/>
        <v>62312775.424857005</v>
      </c>
      <c r="M54" s="54">
        <f t="shared" si="3"/>
        <v>125824139.83448005</v>
      </c>
      <c r="N54" s="54">
        <f ca="1">IFERROR(M54/C3,0)</f>
        <v>10485344.986206671</v>
      </c>
    </row>
    <row r="55" spans="2:14" ht="20" customHeight="1" x14ac:dyDescent="0.2">
      <c r="B55" s="50" t="s">
        <v>73</v>
      </c>
      <c r="C55" s="55" t="s">
        <v>74</v>
      </c>
      <c r="D55" s="127">
        <f>TARGETS!N9</f>
        <v>508918832</v>
      </c>
      <c r="E55" s="127">
        <f>TARGETS!O9</f>
        <v>80519404</v>
      </c>
      <c r="F55" s="127">
        <f t="shared" si="0"/>
        <v>589438236</v>
      </c>
      <c r="G55" s="122">
        <f>M11</f>
        <v>197164413.23962</v>
      </c>
      <c r="H55" s="122">
        <f t="shared" si="4"/>
        <v>46234425.210000001</v>
      </c>
      <c r="I55" s="122">
        <f t="shared" si="1"/>
        <v>243398838.44962001</v>
      </c>
      <c r="J55" s="61">
        <f t="shared" si="2"/>
        <v>0.4129335757065139</v>
      </c>
      <c r="K55" s="54">
        <f t="shared" si="3"/>
        <v>311754418.76038003</v>
      </c>
      <c r="L55" s="54">
        <f t="shared" si="3"/>
        <v>34284978.789999999</v>
      </c>
      <c r="M55" s="54">
        <f t="shared" si="3"/>
        <v>346039397.55037999</v>
      </c>
      <c r="N55" s="54">
        <f ca="1">IFERROR(M55/C3,0)</f>
        <v>28836616.462531667</v>
      </c>
    </row>
    <row r="56" spans="2:14" ht="20" customHeight="1" x14ac:dyDescent="0.2">
      <c r="B56" s="53" t="s">
        <v>75</v>
      </c>
      <c r="C56" s="56" t="s">
        <v>74</v>
      </c>
      <c r="D56" s="128">
        <f>TARGETS!N10</f>
        <v>440063284</v>
      </c>
      <c r="E56" s="128">
        <f>TARGETS!O10</f>
        <v>82149325</v>
      </c>
      <c r="F56" s="128">
        <f t="shared" si="0"/>
        <v>522212609</v>
      </c>
      <c r="G56" s="122">
        <f>M12</f>
        <v>288223079.27416199</v>
      </c>
      <c r="H56" s="122">
        <f t="shared" si="4"/>
        <v>54912122.962808996</v>
      </c>
      <c r="I56" s="122">
        <f t="shared" si="1"/>
        <v>343135202.23697102</v>
      </c>
      <c r="J56" s="61">
        <f t="shared" si="2"/>
        <v>0.65707950425412076</v>
      </c>
      <c r="K56" s="54">
        <f t="shared" si="3"/>
        <v>151840204.72583801</v>
      </c>
      <c r="L56" s="54">
        <f t="shared" si="3"/>
        <v>27237202.037191004</v>
      </c>
      <c r="M56" s="54">
        <f t="shared" si="3"/>
        <v>179077406.76302898</v>
      </c>
      <c r="N56" s="54">
        <f ca="1">IFERROR(M56/C3,0)</f>
        <v>14923117.230252415</v>
      </c>
    </row>
    <row r="57" spans="2:14" ht="20" customHeight="1" x14ac:dyDescent="0.2">
      <c r="B57" s="50" t="s">
        <v>76</v>
      </c>
      <c r="C57" s="55" t="s">
        <v>77</v>
      </c>
      <c r="D57" s="127">
        <f>TARGETS!N11</f>
        <v>996758345</v>
      </c>
      <c r="E57" s="127">
        <f>TARGETS!O11</f>
        <v>125488598</v>
      </c>
      <c r="F57" s="127">
        <f t="shared" si="0"/>
        <v>1122246943</v>
      </c>
      <c r="G57" s="122">
        <f>M13</f>
        <v>552907346.45246303</v>
      </c>
      <c r="H57" s="122">
        <f t="shared" si="4"/>
        <v>45672098.689937003</v>
      </c>
      <c r="I57" s="122">
        <f t="shared" si="1"/>
        <v>598579445.14240003</v>
      </c>
      <c r="J57" s="61">
        <f t="shared" si="2"/>
        <v>0.53337587495874339</v>
      </c>
      <c r="K57" s="54">
        <f t="shared" si="3"/>
        <v>443850998.54753697</v>
      </c>
      <c r="L57" s="54">
        <f t="shared" si="3"/>
        <v>79816499.310063004</v>
      </c>
      <c r="M57" s="54">
        <f t="shared" si="3"/>
        <v>523667497.85759997</v>
      </c>
      <c r="N57" s="54">
        <f ca="1">IFERROR(M57/C3,0)</f>
        <v>43638958.154799998</v>
      </c>
    </row>
    <row r="58" spans="2:14" ht="20" customHeight="1" x14ac:dyDescent="0.2">
      <c r="B58" s="53" t="s">
        <v>78</v>
      </c>
      <c r="C58" s="56" t="s">
        <v>79</v>
      </c>
      <c r="D58" s="128">
        <f>TARGETS!N12</f>
        <v>540287059</v>
      </c>
      <c r="E58" s="128">
        <f>TARGETS!O12</f>
        <v>97341426</v>
      </c>
      <c r="F58" s="128">
        <f t="shared" si="0"/>
        <v>637628485</v>
      </c>
      <c r="G58" s="122">
        <f>M14</f>
        <v>284518972.08385497</v>
      </c>
      <c r="H58" s="122">
        <f t="shared" si="4"/>
        <v>37425665.979971997</v>
      </c>
      <c r="I58" s="122">
        <f>G58+H58</f>
        <v>321944638.06382698</v>
      </c>
      <c r="J58" s="61">
        <f>IFERROR(I58/F58,0)</f>
        <v>0.5049094349412997</v>
      </c>
      <c r="K58" s="54">
        <f t="shared" si="3"/>
        <v>255768086.91614503</v>
      </c>
      <c r="L58" s="54">
        <f t="shared" si="3"/>
        <v>59915760.020028003</v>
      </c>
      <c r="M58" s="54">
        <f t="shared" si="3"/>
        <v>315683846.93617302</v>
      </c>
      <c r="N58" s="54">
        <f ca="1">IFERROR(M58/C3,0)</f>
        <v>26306987.244681086</v>
      </c>
    </row>
    <row r="59" spans="2:14" ht="20" customHeight="1" x14ac:dyDescent="0.2">
      <c r="B59" s="155" t="s">
        <v>175</v>
      </c>
      <c r="C59" s="156" t="s">
        <v>177</v>
      </c>
      <c r="D59" s="157">
        <f>TARGETS!N13</f>
        <v>404133664</v>
      </c>
      <c r="E59" s="157">
        <f>TARGETS!O13</f>
        <v>0</v>
      </c>
      <c r="F59" s="157">
        <f>D59+E59</f>
        <v>404133664</v>
      </c>
      <c r="G59" s="122">
        <f>C23</f>
        <v>241954678.63999999</v>
      </c>
      <c r="H59" s="122">
        <f>IF(D23="",0,D23)</f>
        <v>0</v>
      </c>
      <c r="I59" s="122">
        <f>G59+H59</f>
        <v>241954678.63999999</v>
      </c>
      <c r="J59" s="61">
        <f>IFERROR(I59/F59,0)</f>
        <v>0.59869963874130516</v>
      </c>
      <c r="K59" s="54">
        <f>D59-G59</f>
        <v>162178985.36000001</v>
      </c>
      <c r="L59" s="54">
        <f>E59-H59</f>
        <v>0</v>
      </c>
      <c r="M59" s="54">
        <f>F59-I59</f>
        <v>162178985.36000001</v>
      </c>
      <c r="N59" s="54">
        <f ca="1">IFERROR(M59/C3,0)</f>
        <v>13514915.446666667</v>
      </c>
    </row>
    <row r="60" spans="2:14" ht="20" customHeight="1" x14ac:dyDescent="0.2">
      <c r="B60" s="53" t="s">
        <v>80</v>
      </c>
      <c r="C60" s="56" t="s">
        <v>81</v>
      </c>
      <c r="D60" s="128">
        <f>TARGETS!N14</f>
        <v>439017309</v>
      </c>
      <c r="E60" s="128">
        <f>TARGETS!O14</f>
        <v>172024412</v>
      </c>
      <c r="F60" s="128">
        <f t="shared" si="0"/>
        <v>611041721</v>
      </c>
      <c r="G60" s="122">
        <f>M15</f>
        <v>225020394.74196199</v>
      </c>
      <c r="H60" s="122">
        <f t="shared" ref="H60:H64" si="5">N15</f>
        <v>54803361.760242999</v>
      </c>
      <c r="I60" s="122">
        <f t="shared" si="1"/>
        <v>279823756.50220501</v>
      </c>
      <c r="J60" s="61">
        <f t="shared" si="2"/>
        <v>0.45794541826744595</v>
      </c>
      <c r="K60" s="54">
        <f t="shared" si="3"/>
        <v>213996914.25803801</v>
      </c>
      <c r="L60" s="54">
        <f t="shared" si="3"/>
        <v>117221050.239757</v>
      </c>
      <c r="M60" s="54">
        <f t="shared" si="3"/>
        <v>331217964.49779499</v>
      </c>
      <c r="N60" s="54">
        <f ca="1">IFERROR(M60/C3,0)</f>
        <v>27601497.041482914</v>
      </c>
    </row>
    <row r="61" spans="2:14" ht="20" customHeight="1" x14ac:dyDescent="0.2">
      <c r="B61" s="50" t="s">
        <v>82</v>
      </c>
      <c r="C61" s="55" t="s">
        <v>83</v>
      </c>
      <c r="D61" s="127">
        <f>TARGETS!N15</f>
        <v>666629596</v>
      </c>
      <c r="E61" s="127">
        <f>TARGETS!O15</f>
        <v>92301622</v>
      </c>
      <c r="F61" s="127">
        <f t="shared" si="0"/>
        <v>758931218</v>
      </c>
      <c r="G61" s="122">
        <f>M16</f>
        <v>319529239.042409</v>
      </c>
      <c r="H61" s="122">
        <f t="shared" si="5"/>
        <v>29243601.095465999</v>
      </c>
      <c r="I61" s="122">
        <f t="shared" si="1"/>
        <v>348772840.13787502</v>
      </c>
      <c r="J61" s="61">
        <f t="shared" si="2"/>
        <v>0.45955790441324951</v>
      </c>
      <c r="K61" s="54">
        <f t="shared" si="3"/>
        <v>347100356.957591</v>
      </c>
      <c r="L61" s="54">
        <f t="shared" si="3"/>
        <v>63058020.904533997</v>
      </c>
      <c r="M61" s="54">
        <f t="shared" si="3"/>
        <v>410158377.86212498</v>
      </c>
      <c r="N61" s="54">
        <f ca="1">IFERROR(M61/C3,0)</f>
        <v>34179864.821843751</v>
      </c>
    </row>
    <row r="62" spans="2:14" ht="20" customHeight="1" x14ac:dyDescent="0.2">
      <c r="B62" s="53" t="s">
        <v>84</v>
      </c>
      <c r="C62" s="56" t="s">
        <v>85</v>
      </c>
      <c r="D62" s="128">
        <f>TARGETS!N16</f>
        <v>421543023</v>
      </c>
      <c r="E62" s="128">
        <f>TARGETS!O16</f>
        <v>97324176</v>
      </c>
      <c r="F62" s="128">
        <f t="shared" si="0"/>
        <v>518867199</v>
      </c>
      <c r="G62" s="122">
        <f>M17</f>
        <v>196309422.20397699</v>
      </c>
      <c r="H62" s="122">
        <f t="shared" si="5"/>
        <v>25863250.952498998</v>
      </c>
      <c r="I62" s="122">
        <f t="shared" si="1"/>
        <v>222172673.15647599</v>
      </c>
      <c r="J62" s="61">
        <f t="shared" si="2"/>
        <v>0.42818793245104708</v>
      </c>
      <c r="K62" s="54">
        <f t="shared" si="3"/>
        <v>225233600.79602301</v>
      </c>
      <c r="L62" s="54">
        <f t="shared" si="3"/>
        <v>71460925.047500998</v>
      </c>
      <c r="M62" s="54">
        <f t="shared" si="3"/>
        <v>296694525.84352398</v>
      </c>
      <c r="N62" s="54">
        <f ca="1">IFERROR(M62/C3,0)</f>
        <v>24724543.820293665</v>
      </c>
    </row>
    <row r="63" spans="2:14" ht="20" customHeight="1" x14ac:dyDescent="0.2">
      <c r="B63" s="50" t="s">
        <v>86</v>
      </c>
      <c r="C63" s="55" t="s">
        <v>87</v>
      </c>
      <c r="D63" s="127">
        <f>TARGETS!N17</f>
        <v>618350942</v>
      </c>
      <c r="E63" s="127">
        <f>TARGETS!O17</f>
        <v>363366966</v>
      </c>
      <c r="F63" s="127">
        <f t="shared" si="0"/>
        <v>981717908</v>
      </c>
      <c r="G63" s="122">
        <f>M18</f>
        <v>418494886.80674899</v>
      </c>
      <c r="H63" s="122">
        <f t="shared" si="5"/>
        <v>68276379.211264998</v>
      </c>
      <c r="I63" s="122">
        <f t="shared" si="1"/>
        <v>486771266.01801395</v>
      </c>
      <c r="J63" s="61">
        <f t="shared" si="2"/>
        <v>0.49583618883930347</v>
      </c>
      <c r="K63" s="54">
        <f t="shared" si="3"/>
        <v>199856055.19325101</v>
      </c>
      <c r="L63" s="54">
        <f t="shared" si="3"/>
        <v>295090586.78873503</v>
      </c>
      <c r="M63" s="54">
        <f t="shared" si="3"/>
        <v>494946641.98198605</v>
      </c>
      <c r="N63" s="54">
        <f ca="1">IFERROR(M63/C3,0)</f>
        <v>41245553.498498835</v>
      </c>
    </row>
    <row r="64" spans="2:14" ht="20" customHeight="1" x14ac:dyDescent="0.2">
      <c r="B64" s="53" t="s">
        <v>88</v>
      </c>
      <c r="C64" s="56" t="s">
        <v>89</v>
      </c>
      <c r="D64" s="128">
        <f>TARGETS!N18</f>
        <v>294525689</v>
      </c>
      <c r="E64" s="128">
        <f>TARGETS!O18</f>
        <v>291530053</v>
      </c>
      <c r="F64" s="128">
        <f t="shared" si="0"/>
        <v>586055742</v>
      </c>
      <c r="G64" s="122">
        <f>M19</f>
        <v>111310416.547754</v>
      </c>
      <c r="H64" s="122">
        <f t="shared" si="5"/>
        <v>106422498.50697801</v>
      </c>
      <c r="I64" s="122">
        <f t="shared" si="1"/>
        <v>217732915.05473202</v>
      </c>
      <c r="J64" s="61">
        <f t="shared" si="2"/>
        <v>0.37152253523135353</v>
      </c>
      <c r="K64" s="54">
        <f t="shared" si="3"/>
        <v>183215272.45224601</v>
      </c>
      <c r="L64" s="54">
        <f t="shared" si="3"/>
        <v>185107554.49302199</v>
      </c>
      <c r="M64" s="54">
        <f t="shared" si="3"/>
        <v>368322826.94526798</v>
      </c>
      <c r="N64" s="54">
        <f ca="1">IFERROR(M64/C3,0)</f>
        <v>30693568.912105665</v>
      </c>
    </row>
    <row r="65" spans="2:14" ht="20" customHeight="1" x14ac:dyDescent="0.2">
      <c r="B65" s="57" t="s">
        <v>152</v>
      </c>
      <c r="C65" s="58"/>
      <c r="D65" s="151">
        <f>SUM(D51:D64)</f>
        <v>7259279332</v>
      </c>
      <c r="E65" s="151">
        <f t="shared" ref="E65" si="6">SUM(E51:E52,E54:E58,E60:E64)</f>
        <v>1809425059</v>
      </c>
      <c r="F65" s="151">
        <f>SUM(F51:F64)</f>
        <v>9068704391</v>
      </c>
      <c r="G65" s="152">
        <f>SUM(G51:G64)</f>
        <v>4086617522.5945277</v>
      </c>
      <c r="H65" s="152">
        <f>SUM(H51:H64)</f>
        <v>615274738.831146</v>
      </c>
      <c r="I65" s="152">
        <f>SUM(I51:I64)</f>
        <v>4701892261.4256735</v>
      </c>
      <c r="J65" s="153">
        <f>IFERROR(I65/F65,0)</f>
        <v>0.51847453160916179</v>
      </c>
      <c r="K65" s="154">
        <f>SUM(K51:K64)</f>
        <v>3172661809.4054723</v>
      </c>
      <c r="L65" s="154">
        <f>SUM(L51:L64)</f>
        <v>1194150320.168854</v>
      </c>
      <c r="M65" s="154">
        <f>SUM(M51:M64)</f>
        <v>4366812129.5743265</v>
      </c>
      <c r="N65" s="154">
        <f ca="1">IFERROR(M65/C3,0)</f>
        <v>363901010.79786056</v>
      </c>
    </row>
    <row r="66" spans="2:14" x14ac:dyDescent="0.2">
      <c r="G66" s="116"/>
      <c r="H66" s="116"/>
      <c r="I66" s="116"/>
    </row>
    <row r="67" spans="2:14" ht="20" x14ac:dyDescent="0.2">
      <c r="B67" s="135" t="s">
        <v>174</v>
      </c>
      <c r="C67" s="136"/>
      <c r="D67" s="137"/>
    </row>
    <row r="68" spans="2:14" ht="17" x14ac:dyDescent="0.2">
      <c r="B68" s="205" t="s">
        <v>41</v>
      </c>
      <c r="C68" s="205" t="s">
        <v>42</v>
      </c>
      <c r="D68" s="134" t="s">
        <v>139</v>
      </c>
    </row>
    <row r="69" spans="2:14" ht="17" x14ac:dyDescent="0.2">
      <c r="B69" s="205"/>
      <c r="C69" s="205"/>
      <c r="D69" s="71" t="s">
        <v>171</v>
      </c>
    </row>
    <row r="70" spans="2:14" ht="20" customHeight="1" x14ac:dyDescent="0.2">
      <c r="B70" s="50" t="s">
        <v>67</v>
      </c>
      <c r="C70" s="55" t="s">
        <v>68</v>
      </c>
      <c r="D70" s="191">
        <f>IF(E24="",0,E24)</f>
        <v>274761734.67987001</v>
      </c>
    </row>
    <row r="71" spans="2:14" ht="20" customHeight="1" x14ac:dyDescent="0.2">
      <c r="B71" s="53" t="s">
        <v>69</v>
      </c>
      <c r="C71" s="56" t="s">
        <v>70</v>
      </c>
      <c r="D71" s="192">
        <f>IF(E12="",0,E12)+IF(E13="",0,E13)</f>
        <v>49979179.159999996</v>
      </c>
    </row>
    <row r="72" spans="2:14" ht="20" customHeight="1" x14ac:dyDescent="0.2">
      <c r="B72" s="53" t="s">
        <v>175</v>
      </c>
      <c r="C72" s="56" t="s">
        <v>176</v>
      </c>
      <c r="D72" s="192">
        <f>IF(E22="",0,E22)</f>
        <v>4684684.5599999996</v>
      </c>
    </row>
    <row r="73" spans="2:14" ht="20" customHeight="1" x14ac:dyDescent="0.2">
      <c r="B73" s="50" t="s">
        <v>71</v>
      </c>
      <c r="C73" s="55" t="s">
        <v>72</v>
      </c>
      <c r="D73" s="191">
        <f>IF(E14="",0,E14)</f>
        <v>146583333.69</v>
      </c>
    </row>
    <row r="74" spans="2:14" ht="20" customHeight="1" x14ac:dyDescent="0.2">
      <c r="B74" s="53" t="s">
        <v>73</v>
      </c>
      <c r="C74" s="56" t="s">
        <v>74</v>
      </c>
      <c r="D74" s="192">
        <f>0</f>
        <v>0</v>
      </c>
    </row>
    <row r="75" spans="2:14" ht="20" customHeight="1" x14ac:dyDescent="0.2">
      <c r="B75" s="50" t="s">
        <v>75</v>
      </c>
      <c r="C75" s="55" t="s">
        <v>74</v>
      </c>
      <c r="D75" s="192">
        <f>IF(E16="",0,E16)</f>
        <v>22882161.899999999</v>
      </c>
    </row>
    <row r="76" spans="2:14" ht="20" customHeight="1" x14ac:dyDescent="0.2">
      <c r="B76" s="53" t="s">
        <v>76</v>
      </c>
      <c r="C76" s="56" t="s">
        <v>77</v>
      </c>
      <c r="D76" s="192">
        <f>IF(E19="",0,E19)</f>
        <v>914346866.62996995</v>
      </c>
    </row>
    <row r="77" spans="2:14" ht="20" customHeight="1" x14ac:dyDescent="0.2">
      <c r="B77" s="50" t="s">
        <v>78</v>
      </c>
      <c r="C77" s="55" t="s">
        <v>79</v>
      </c>
      <c r="D77" s="191">
        <f>IF(E25="",0,E25)</f>
        <v>151966173.43963</v>
      </c>
    </row>
    <row r="78" spans="2:14" ht="20" customHeight="1" x14ac:dyDescent="0.2">
      <c r="B78" s="53" t="s">
        <v>175</v>
      </c>
      <c r="C78" s="56" t="s">
        <v>177</v>
      </c>
      <c r="D78" s="192">
        <f>IF(E23="",0,E23)</f>
        <v>8102071.8600000003</v>
      </c>
    </row>
    <row r="79" spans="2:14" ht="20" customHeight="1" x14ac:dyDescent="0.2">
      <c r="B79" s="53" t="s">
        <v>80</v>
      </c>
      <c r="C79" s="56" t="s">
        <v>81</v>
      </c>
      <c r="D79" s="192">
        <f>IF(E11="",0,E11)</f>
        <v>2360360.36</v>
      </c>
    </row>
    <row r="80" spans="2:14" ht="20" customHeight="1" x14ac:dyDescent="0.2">
      <c r="B80" s="50" t="s">
        <v>82</v>
      </c>
      <c r="C80" s="55" t="s">
        <v>83</v>
      </c>
      <c r="D80" s="191">
        <f>IF(E26="",0,E26)</f>
        <v>361548924.39965802</v>
      </c>
    </row>
    <row r="81" spans="2:9" ht="20" customHeight="1" x14ac:dyDescent="0.2">
      <c r="B81" s="53" t="s">
        <v>84</v>
      </c>
      <c r="C81" s="56" t="s">
        <v>85</v>
      </c>
      <c r="D81" s="192">
        <f>IF(E10="",0,E10)</f>
        <v>100774808.19</v>
      </c>
    </row>
    <row r="82" spans="2:9" ht="20" customHeight="1" x14ac:dyDescent="0.2">
      <c r="B82" s="50" t="s">
        <v>86</v>
      </c>
      <c r="C82" s="55" t="s">
        <v>87</v>
      </c>
      <c r="D82" s="192">
        <f>IF(E27="",0,E27)</f>
        <v>7244865.0549999997</v>
      </c>
    </row>
    <row r="83" spans="2:9" ht="20" customHeight="1" x14ac:dyDescent="0.2">
      <c r="B83" s="53" t="s">
        <v>88</v>
      </c>
      <c r="C83" s="56" t="s">
        <v>89</v>
      </c>
      <c r="D83" s="192">
        <f>IF(E20="",0,E20)+IF(E21="",0,E21)</f>
        <v>22497297.740000002</v>
      </c>
    </row>
    <row r="84" spans="2:9" ht="20" customHeight="1" x14ac:dyDescent="0.2">
      <c r="B84" s="57" t="s">
        <v>152</v>
      </c>
      <c r="C84" s="58"/>
      <c r="D84" s="129">
        <f>SUM(D70:D83)</f>
        <v>2067732461.6641278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206" t="s">
        <v>145</v>
      </c>
      <c r="C87" s="207"/>
      <c r="D87" s="207"/>
      <c r="E87" s="207"/>
      <c r="F87" s="208"/>
      <c r="G87" s="124"/>
      <c r="H87" s="124"/>
      <c r="I87" s="116"/>
    </row>
    <row r="88" spans="2:9" ht="34.5" customHeight="1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" customHeight="1" x14ac:dyDescent="0.2">
      <c r="B89" s="50" t="s">
        <v>92</v>
      </c>
      <c r="C89" s="55" t="s">
        <v>93</v>
      </c>
      <c r="D89" s="125">
        <f>TARGETS!I22</f>
        <v>285530553</v>
      </c>
      <c r="E89" s="122">
        <f>IFERROR(C32,0)</f>
        <v>117232787.74518099</v>
      </c>
      <c r="F89" s="61">
        <f t="shared" ref="F89:F94" si="7">IFERROR(E89/D89,0)</f>
        <v>0.41057878574970225</v>
      </c>
      <c r="G89" s="125">
        <f>D89-E89</f>
        <v>168297765.25481901</v>
      </c>
      <c r="H89" s="125">
        <f ca="1">IFERROR(G89/C3,0)</f>
        <v>14024813.771234917</v>
      </c>
      <c r="I89" s="116"/>
    </row>
    <row r="90" spans="2:9" ht="20" customHeight="1" x14ac:dyDescent="0.2">
      <c r="B90" s="53" t="s">
        <v>94</v>
      </c>
      <c r="C90" s="56" t="s">
        <v>95</v>
      </c>
      <c r="D90" s="126">
        <f>TARGETS!I23</f>
        <v>428831462</v>
      </c>
      <c r="E90" s="122">
        <f>IFERROR(C33,0)</f>
        <v>168936934.47497499</v>
      </c>
      <c r="F90" s="61">
        <f t="shared" si="7"/>
        <v>0.39394715510629907</v>
      </c>
      <c r="G90" s="126">
        <f>D90-E90</f>
        <v>259894527.52502501</v>
      </c>
      <c r="H90" s="126">
        <f ca="1">IFERROR(G90/C3,0)</f>
        <v>21657877.293752085</v>
      </c>
      <c r="I90" s="116"/>
    </row>
    <row r="91" spans="2:9" ht="20" customHeight="1" x14ac:dyDescent="0.2">
      <c r="B91" s="50" t="s">
        <v>96</v>
      </c>
      <c r="C91" s="55" t="s">
        <v>97</v>
      </c>
      <c r="D91" s="125">
        <f>TARGETS!I24</f>
        <v>1116489049</v>
      </c>
      <c r="E91" s="122">
        <f>M21+M7</f>
        <v>556226172.03801799</v>
      </c>
      <c r="F91" s="61">
        <f t="shared" si="7"/>
        <v>0.49819223263874396</v>
      </c>
      <c r="G91" s="125">
        <f>D91-E91</f>
        <v>560262876.96198201</v>
      </c>
      <c r="H91" s="125">
        <f ca="1">IFERROR(G91/C3,0)</f>
        <v>46688573.08016517</v>
      </c>
      <c r="I91" s="116"/>
    </row>
    <row r="92" spans="2:9" ht="20" hidden="1" customHeight="1" x14ac:dyDescent="0.2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" hidden="1" customHeight="1" x14ac:dyDescent="0.2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" customHeight="1" x14ac:dyDescent="0.2">
      <c r="B94" s="57" t="s">
        <v>152</v>
      </c>
      <c r="C94" s="58"/>
      <c r="D94" s="123">
        <f>SUM(D89:D93)</f>
        <v>1830851064</v>
      </c>
      <c r="E94" s="123">
        <f>SUM(E89:E93)</f>
        <v>842395894.25817394</v>
      </c>
      <c r="F94" s="43">
        <f t="shared" si="7"/>
        <v>0.46011164470021249</v>
      </c>
      <c r="G94" s="119">
        <f>SUM(G89:G93)</f>
        <v>988455169.74182606</v>
      </c>
      <c r="H94" s="119">
        <f ca="1">IFERROR(G94/C3,0)</f>
        <v>82371264.145152166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N94"/>
  <sheetViews>
    <sheetView showGridLines="0" topLeftCell="A67" zoomScaleNormal="100" workbookViewId="0">
      <selection activeCell="D70" sqref="D70"/>
    </sheetView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7" width="7.83203125" bestFit="1" customWidth="1"/>
    <col min="8" max="8" width="9.5" bestFit="1" customWidth="1"/>
    <col min="9" max="9" width="4.83203125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MAX(0,NETWORKDAYS.INTL(MAX(TODAY(),DATE(YEAR(TODAY()),7,1)),EOMONTH(DATE(YEAR(TODAY()),7,1),0),11))</f>
        <v>27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0</v>
      </c>
      <c r="G32" s="116"/>
      <c r="H32" s="116"/>
      <c r="I32" s="116"/>
    </row>
    <row r="33" spans="2:14" x14ac:dyDescent="0.2">
      <c r="B33" s="84" t="s">
        <v>133</v>
      </c>
      <c r="C33" s="15">
        <v>0</v>
      </c>
      <c r="G33" s="116"/>
      <c r="H33" s="116"/>
      <c r="I33" s="116"/>
    </row>
    <row r="34" spans="2:14" x14ac:dyDescent="0.2">
      <c r="B34" s="84" t="s">
        <v>134</v>
      </c>
      <c r="C34" s="15">
        <v>0</v>
      </c>
      <c r="G34" s="116"/>
      <c r="H34" s="116"/>
      <c r="I34" s="116"/>
    </row>
    <row r="35" spans="2:14" x14ac:dyDescent="0.2">
      <c r="B35" s="84" t="s">
        <v>135</v>
      </c>
      <c r="C35" s="15">
        <v>0</v>
      </c>
      <c r="G35" s="116"/>
      <c r="H35" s="116"/>
      <c r="I35" s="116"/>
    </row>
    <row r="36" spans="2:14" x14ac:dyDescent="0.2">
      <c r="B36" s="84" t="s">
        <v>136</v>
      </c>
      <c r="C36" s="15">
        <v>0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216" t="s">
        <v>178</v>
      </c>
      <c r="C41" s="217"/>
      <c r="D41" s="218"/>
      <c r="E41" s="67" t="s">
        <v>138</v>
      </c>
      <c r="F41" s="73">
        <f ca="1">IF(MONTH(TODAY())=7,DAY(TODAY())/DAY(EOMONTH(TODAY(),0)),IF(MONTH(TODAY())&gt;7,1,0))</f>
        <v>0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SUM(TARGETS!P5:P7,TARGETS!P8:P13,TARGETS!P14:P18)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f>SUM(TARGETS!Q5:Q6,TARGETS!Q8:Q12,TARGETS!Q14:Q18)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SUM(TARGETS!J22:J26)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219" t="s">
        <v>147</v>
      </c>
      <c r="C48" s="220"/>
      <c r="D48" s="220"/>
      <c r="E48" s="220"/>
      <c r="F48" s="220"/>
      <c r="G48" s="220"/>
      <c r="H48" s="220"/>
      <c r="I48" s="220"/>
      <c r="J48" s="221"/>
      <c r="K48" s="209"/>
      <c r="L48" s="210"/>
      <c r="M48" s="210"/>
      <c r="N48" s="211"/>
    </row>
    <row r="49" spans="2:14" ht="17" x14ac:dyDescent="0.2">
      <c r="B49" s="205" t="s">
        <v>41</v>
      </c>
      <c r="C49" s="205" t="s">
        <v>42</v>
      </c>
      <c r="D49" s="212" t="s">
        <v>138</v>
      </c>
      <c r="E49" s="213"/>
      <c r="F49" s="214"/>
      <c r="G49" s="120" t="s">
        <v>139</v>
      </c>
      <c r="H49" s="120"/>
      <c r="I49" s="120"/>
      <c r="J49" s="205" t="s">
        <v>140</v>
      </c>
      <c r="K49" s="132" t="s">
        <v>148</v>
      </c>
      <c r="L49" s="132"/>
      <c r="M49" s="132"/>
      <c r="N49" s="215" t="s">
        <v>149</v>
      </c>
    </row>
    <row r="50" spans="2:14" ht="51" x14ac:dyDescent="0.2">
      <c r="B50" s="205"/>
      <c r="C50" s="20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05"/>
      <c r="K50" s="133" t="s">
        <v>143</v>
      </c>
      <c r="L50" s="133" t="s">
        <v>111</v>
      </c>
      <c r="M50" s="133" t="s">
        <v>146</v>
      </c>
      <c r="N50" s="215"/>
    </row>
    <row r="51" spans="2:14" ht="16" x14ac:dyDescent="0.2">
      <c r="B51" s="50" t="s">
        <v>67</v>
      </c>
      <c r="C51" s="55" t="s">
        <v>68</v>
      </c>
      <c r="D51" s="127">
        <f>TARGETS!P5</f>
        <v>0</v>
      </c>
      <c r="E51" s="127">
        <f>TARGETS!Q5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TARGETS!P6</f>
        <v>0</v>
      </c>
      <c r="E52" s="128">
        <f>TARGETS!Q6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155" t="s">
        <v>175</v>
      </c>
      <c r="C53" s="156" t="s">
        <v>176</v>
      </c>
      <c r="D53" s="157">
        <f>TARGETS!P7</f>
        <v>0</v>
      </c>
      <c r="E53" s="157">
        <f>TARGETS!Q7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TARGETS!P8</f>
        <v>0</v>
      </c>
      <c r="E54" s="128">
        <f>TARGETS!Q8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TARGETS!P9</f>
        <v>0</v>
      </c>
      <c r="E55" s="127">
        <f>TARGETS!Q9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TARGETS!P10</f>
        <v>0</v>
      </c>
      <c r="E56" s="128">
        <f>TARGETS!Q10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TARGETS!P11</f>
        <v>0</v>
      </c>
      <c r="E57" s="127">
        <f>TARGETS!Q11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TARGETS!P12</f>
        <v>0</v>
      </c>
      <c r="E58" s="128">
        <f>TARGETS!Q12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155" t="s">
        <v>175</v>
      </c>
      <c r="C59" s="156" t="s">
        <v>177</v>
      </c>
      <c r="D59" s="157">
        <f>TARGETS!P13</f>
        <v>0</v>
      </c>
      <c r="E59" s="157">
        <f>TARGETS!Q13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TARGETS!P14</f>
        <v>0</v>
      </c>
      <c r="E60" s="128">
        <f>TARGETS!Q14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TARGETS!P15</f>
        <v>0</v>
      </c>
      <c r="E61" s="127">
        <f>TARGETS!Q15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TARGETS!P16</f>
        <v>0</v>
      </c>
      <c r="E62" s="128">
        <f>TARGETS!Q16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TARGETS!P17</f>
        <v>0</v>
      </c>
      <c r="E63" s="127">
        <f>TARGETS!Q17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TARGETS!P18</f>
        <v>0</v>
      </c>
      <c r="E64" s="128">
        <f>TARGETS!Q18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174</v>
      </c>
      <c r="C67" s="136"/>
      <c r="D67" s="137"/>
    </row>
    <row r="68" spans="2:14" ht="17" x14ac:dyDescent="0.2">
      <c r="B68" s="205" t="s">
        <v>41</v>
      </c>
      <c r="C68" s="205" t="s">
        <v>42</v>
      </c>
      <c r="D68" s="134" t="s">
        <v>139</v>
      </c>
    </row>
    <row r="69" spans="2:14" ht="17" x14ac:dyDescent="0.2">
      <c r="B69" s="205"/>
      <c r="C69" s="205"/>
      <c r="D69" s="71" t="s">
        <v>171</v>
      </c>
    </row>
    <row r="70" spans="2:14" ht="16" x14ac:dyDescent="0.2">
      <c r="B70" s="50" t="s">
        <v>67</v>
      </c>
      <c r="C70" s="55" t="s">
        <v>68</v>
      </c>
      <c r="D70" s="148">
        <f>IF(E24="",0,E24)</f>
        <v>0</v>
      </c>
    </row>
    <row r="71" spans="2:14" ht="16" x14ac:dyDescent="0.2">
      <c r="B71" s="53" t="s">
        <v>69</v>
      </c>
      <c r="C71" s="56" t="s">
        <v>70</v>
      </c>
      <c r="D71" s="149">
        <f>IF(E12="",0,E12)+IF(E13="",0,E13)</f>
        <v>0</v>
      </c>
    </row>
    <row r="72" spans="2:14" ht="16" x14ac:dyDescent="0.2">
      <c r="B72" s="53" t="s">
        <v>175</v>
      </c>
      <c r="C72" s="56" t="s">
        <v>176</v>
      </c>
      <c r="D72" s="149">
        <f>IF(E22="",0,E22)</f>
        <v>0</v>
      </c>
    </row>
    <row r="73" spans="2:14" ht="16" x14ac:dyDescent="0.2">
      <c r="B73" s="50" t="s">
        <v>71</v>
      </c>
      <c r="C73" s="55" t="s">
        <v>72</v>
      </c>
      <c r="D73" s="148">
        <f>IF(E14="",0,E14)</f>
        <v>0</v>
      </c>
    </row>
    <row r="74" spans="2:14" ht="16" x14ac:dyDescent="0.2">
      <c r="B74" s="53" t="s">
        <v>73</v>
      </c>
      <c r="C74" s="56" t="s">
        <v>74</v>
      </c>
      <c r="D74" s="149">
        <f>0</f>
        <v>0</v>
      </c>
    </row>
    <row r="75" spans="2:14" ht="16" x14ac:dyDescent="0.2">
      <c r="B75" s="50" t="s">
        <v>75</v>
      </c>
      <c r="C75" s="55" t="s">
        <v>74</v>
      </c>
      <c r="D75" s="148">
        <f>0</f>
        <v>0</v>
      </c>
    </row>
    <row r="76" spans="2:14" ht="16" x14ac:dyDescent="0.2">
      <c r="B76" s="53" t="s">
        <v>76</v>
      </c>
      <c r="C76" s="56" t="s">
        <v>77</v>
      </c>
      <c r="D76" s="149">
        <f>IF(E19="",0,E19)</f>
        <v>0</v>
      </c>
    </row>
    <row r="77" spans="2:14" ht="16" x14ac:dyDescent="0.2">
      <c r="B77" s="50" t="s">
        <v>78</v>
      </c>
      <c r="C77" s="55" t="s">
        <v>79</v>
      </c>
      <c r="D77" s="148">
        <f>IF(E25="",0,E25)</f>
        <v>0</v>
      </c>
    </row>
    <row r="78" spans="2:14" ht="16" x14ac:dyDescent="0.2">
      <c r="B78" s="53" t="s">
        <v>175</v>
      </c>
      <c r="C78" s="56" t="s">
        <v>177</v>
      </c>
      <c r="D78" s="149">
        <f>IF(E23="",0,E23)</f>
        <v>0</v>
      </c>
    </row>
    <row r="79" spans="2:14" ht="16" x14ac:dyDescent="0.2">
      <c r="B79" s="53" t="s">
        <v>80</v>
      </c>
      <c r="C79" s="56" t="s">
        <v>81</v>
      </c>
      <c r="D79" s="149">
        <f>IF(E11="",0,E11)</f>
        <v>0</v>
      </c>
    </row>
    <row r="80" spans="2:14" ht="16" x14ac:dyDescent="0.2">
      <c r="B80" s="50" t="s">
        <v>82</v>
      </c>
      <c r="C80" s="55" t="s">
        <v>83</v>
      </c>
      <c r="D80" s="148">
        <f>IF(E26="",0,E26)</f>
        <v>0</v>
      </c>
    </row>
    <row r="81" spans="2:9" ht="16" x14ac:dyDescent="0.2">
      <c r="B81" s="53" t="s">
        <v>84</v>
      </c>
      <c r="C81" s="56" t="s">
        <v>85</v>
      </c>
      <c r="D81" s="149">
        <f>IF(E10="",0,E10)</f>
        <v>0</v>
      </c>
    </row>
    <row r="82" spans="2:9" ht="16" x14ac:dyDescent="0.2">
      <c r="B82" s="50" t="s">
        <v>86</v>
      </c>
      <c r="C82" s="55" t="s">
        <v>87</v>
      </c>
      <c r="D82" s="148">
        <f>0</f>
        <v>0</v>
      </c>
    </row>
    <row r="83" spans="2:9" ht="16" x14ac:dyDescent="0.2">
      <c r="B83" s="53" t="s">
        <v>88</v>
      </c>
      <c r="C83" s="56" t="s">
        <v>89</v>
      </c>
      <c r="D83" s="149">
        <f>0</f>
        <v>0</v>
      </c>
    </row>
    <row r="84" spans="2:9" ht="16" x14ac:dyDescent="0.2">
      <c r="B84" s="57" t="s">
        <v>152</v>
      </c>
      <c r="C84" s="58"/>
      <c r="D84" s="129">
        <f>SUM(D70:D83)</f>
        <v>0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206" t="s">
        <v>145</v>
      </c>
      <c r="C87" s="207"/>
      <c r="D87" s="207"/>
      <c r="E87" s="207"/>
      <c r="F87" s="208"/>
      <c r="G87" s="124"/>
      <c r="H87" s="124"/>
      <c r="I87" s="116"/>
    </row>
    <row r="88" spans="2:9" ht="17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16" x14ac:dyDescent="0.2">
      <c r="B89" s="50" t="s">
        <v>92</v>
      </c>
      <c r="C89" s="55" t="s">
        <v>93</v>
      </c>
      <c r="D89" s="125">
        <f>TARGETS!J22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94</v>
      </c>
      <c r="C90" s="56" t="s">
        <v>95</v>
      </c>
      <c r="D90" s="126">
        <f>TARGETS!J23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96</v>
      </c>
      <c r="C91" s="55" t="s">
        <v>97</v>
      </c>
      <c r="D91" s="125">
        <f>TARGETS!J24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16" x14ac:dyDescent="0.2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16" x14ac:dyDescent="0.2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N94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7" width="7.83203125" bestFit="1" customWidth="1"/>
    <col min="8" max="8" width="9.5" bestFit="1" customWidth="1"/>
    <col min="9" max="9" width="4.83203125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0</v>
      </c>
      <c r="G32" s="116"/>
      <c r="H32" s="116"/>
      <c r="I32" s="116"/>
    </row>
    <row r="33" spans="2:14" x14ac:dyDescent="0.2">
      <c r="B33" s="84" t="s">
        <v>133</v>
      </c>
      <c r="C33" s="15">
        <v>0</v>
      </c>
      <c r="G33" s="116"/>
      <c r="H33" s="116"/>
      <c r="I33" s="116"/>
    </row>
    <row r="34" spans="2:14" x14ac:dyDescent="0.2">
      <c r="B34" s="84" t="s">
        <v>134</v>
      </c>
      <c r="C34" s="15">
        <v>0</v>
      </c>
      <c r="G34" s="116"/>
      <c r="H34" s="116"/>
      <c r="I34" s="116"/>
    </row>
    <row r="35" spans="2:14" x14ac:dyDescent="0.2">
      <c r="B35" s="84" t="s">
        <v>135</v>
      </c>
      <c r="C35" s="15">
        <v>0</v>
      </c>
      <c r="G35" s="116"/>
      <c r="H35" s="116"/>
      <c r="I35" s="116"/>
    </row>
    <row r="36" spans="2:14" x14ac:dyDescent="0.2">
      <c r="B36" s="84" t="s">
        <v>136</v>
      </c>
      <c r="C36" s="15">
        <v>0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216" t="s">
        <v>162</v>
      </c>
      <c r="C41" s="217"/>
      <c r="D41" s="218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219" t="s">
        <v>147</v>
      </c>
      <c r="C48" s="220"/>
      <c r="D48" s="220"/>
      <c r="E48" s="220"/>
      <c r="F48" s="220"/>
      <c r="G48" s="220"/>
      <c r="H48" s="220"/>
      <c r="I48" s="220"/>
      <c r="J48" s="221"/>
      <c r="K48" s="209"/>
      <c r="L48" s="210"/>
      <c r="M48" s="210"/>
      <c r="N48" s="211"/>
    </row>
    <row r="49" spans="2:14" ht="17" x14ac:dyDescent="0.2">
      <c r="B49" s="205" t="s">
        <v>41</v>
      </c>
      <c r="C49" s="205" t="s">
        <v>42</v>
      </c>
      <c r="D49" s="212" t="s">
        <v>138</v>
      </c>
      <c r="E49" s="213"/>
      <c r="F49" s="214"/>
      <c r="G49" s="120" t="s">
        <v>139</v>
      </c>
      <c r="H49" s="120"/>
      <c r="I49" s="120"/>
      <c r="J49" s="205" t="s">
        <v>140</v>
      </c>
      <c r="K49" s="132" t="s">
        <v>148</v>
      </c>
      <c r="L49" s="132"/>
      <c r="M49" s="132"/>
      <c r="N49" s="215" t="s">
        <v>149</v>
      </c>
    </row>
    <row r="50" spans="2:14" ht="51" x14ac:dyDescent="0.2">
      <c r="B50" s="205"/>
      <c r="C50" s="20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05"/>
      <c r="K50" s="133" t="s">
        <v>143</v>
      </c>
      <c r="L50" s="133" t="s">
        <v>111</v>
      </c>
      <c r="M50" s="133" t="s">
        <v>146</v>
      </c>
      <c r="N50" s="215"/>
    </row>
    <row r="51" spans="2:14" ht="16" x14ac:dyDescent="0.2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155" t="s">
        <v>175</v>
      </c>
      <c r="C53" s="156" t="s">
        <v>176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155" t="s">
        <v>175</v>
      </c>
      <c r="C59" s="156" t="s">
        <v>177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174</v>
      </c>
      <c r="C67" s="136"/>
      <c r="D67" s="137"/>
    </row>
    <row r="68" spans="2:14" ht="17" x14ac:dyDescent="0.2">
      <c r="B68" s="205" t="s">
        <v>41</v>
      </c>
      <c r="C68" s="205" t="s">
        <v>42</v>
      </c>
      <c r="D68" s="134" t="s">
        <v>139</v>
      </c>
    </row>
    <row r="69" spans="2:14" ht="17" x14ac:dyDescent="0.2">
      <c r="B69" s="205"/>
      <c r="C69" s="205"/>
      <c r="D69" s="71" t="s">
        <v>171</v>
      </c>
    </row>
    <row r="70" spans="2:14" ht="16" x14ac:dyDescent="0.2">
      <c r="B70" s="50" t="s">
        <v>67</v>
      </c>
      <c r="C70" s="55" t="s">
        <v>68</v>
      </c>
      <c r="D70" s="148">
        <f>IF(E24="",0,E24)</f>
        <v>0</v>
      </c>
    </row>
    <row r="71" spans="2:14" ht="16" x14ac:dyDescent="0.2">
      <c r="B71" s="53" t="s">
        <v>69</v>
      </c>
      <c r="C71" s="56" t="s">
        <v>70</v>
      </c>
      <c r="D71" s="149">
        <f>IF(E12="",0,E12)+IF(E13="",0,E13)</f>
        <v>0</v>
      </c>
    </row>
    <row r="72" spans="2:14" ht="16" x14ac:dyDescent="0.2">
      <c r="B72" s="53" t="s">
        <v>175</v>
      </c>
      <c r="C72" s="56" t="s">
        <v>176</v>
      </c>
      <c r="D72" s="149">
        <f>IF(E22="",0,E22)</f>
        <v>0</v>
      </c>
    </row>
    <row r="73" spans="2:14" ht="16" x14ac:dyDescent="0.2">
      <c r="B73" s="50" t="s">
        <v>71</v>
      </c>
      <c r="C73" s="55" t="s">
        <v>72</v>
      </c>
      <c r="D73" s="148">
        <f>IF(E14="",0,E14)</f>
        <v>0</v>
      </c>
    </row>
    <row r="74" spans="2:14" ht="16" x14ac:dyDescent="0.2">
      <c r="B74" s="53" t="s">
        <v>73</v>
      </c>
      <c r="C74" s="56" t="s">
        <v>74</v>
      </c>
      <c r="D74" s="149">
        <f>0</f>
        <v>0</v>
      </c>
    </row>
    <row r="75" spans="2:14" ht="16" x14ac:dyDescent="0.2">
      <c r="B75" s="50" t="s">
        <v>75</v>
      </c>
      <c r="C75" s="55" t="s">
        <v>74</v>
      </c>
      <c r="D75" s="148">
        <f>0</f>
        <v>0</v>
      </c>
    </row>
    <row r="76" spans="2:14" ht="16" x14ac:dyDescent="0.2">
      <c r="B76" s="53" t="s">
        <v>76</v>
      </c>
      <c r="C76" s="56" t="s">
        <v>77</v>
      </c>
      <c r="D76" s="149">
        <f>IF(E19="",0,E19)</f>
        <v>0</v>
      </c>
    </row>
    <row r="77" spans="2:14" ht="16" x14ac:dyDescent="0.2">
      <c r="B77" s="50" t="s">
        <v>78</v>
      </c>
      <c r="C77" s="55" t="s">
        <v>79</v>
      </c>
      <c r="D77" s="148">
        <f>IF(E25="",0,E25)</f>
        <v>0</v>
      </c>
    </row>
    <row r="78" spans="2:14" ht="16" x14ac:dyDescent="0.2">
      <c r="B78" s="53" t="s">
        <v>175</v>
      </c>
      <c r="C78" s="56" t="s">
        <v>177</v>
      </c>
      <c r="D78" s="149">
        <f>IF(E23="",0,E23)</f>
        <v>0</v>
      </c>
    </row>
    <row r="79" spans="2:14" ht="16" x14ac:dyDescent="0.2">
      <c r="B79" s="53" t="s">
        <v>80</v>
      </c>
      <c r="C79" s="56" t="s">
        <v>81</v>
      </c>
      <c r="D79" s="149">
        <f>IF(E11="",0,E11)</f>
        <v>0</v>
      </c>
    </row>
    <row r="80" spans="2:14" ht="16" x14ac:dyDescent="0.2">
      <c r="B80" s="50" t="s">
        <v>82</v>
      </c>
      <c r="C80" s="55" t="s">
        <v>83</v>
      </c>
      <c r="D80" s="148">
        <f>IF(E26="",0,E26)</f>
        <v>0</v>
      </c>
    </row>
    <row r="81" spans="2:9" ht="16" x14ac:dyDescent="0.2">
      <c r="B81" s="53" t="s">
        <v>84</v>
      </c>
      <c r="C81" s="56" t="s">
        <v>85</v>
      </c>
      <c r="D81" s="149">
        <f>IF(E10="",0,E10)</f>
        <v>0</v>
      </c>
    </row>
    <row r="82" spans="2:9" ht="16" x14ac:dyDescent="0.2">
      <c r="B82" s="50" t="s">
        <v>86</v>
      </c>
      <c r="C82" s="55" t="s">
        <v>87</v>
      </c>
      <c r="D82" s="148">
        <f>0</f>
        <v>0</v>
      </c>
    </row>
    <row r="83" spans="2:9" ht="16" x14ac:dyDescent="0.2">
      <c r="B83" s="53" t="s">
        <v>88</v>
      </c>
      <c r="C83" s="56" t="s">
        <v>89</v>
      </c>
      <c r="D83" s="149">
        <f>0</f>
        <v>0</v>
      </c>
    </row>
    <row r="84" spans="2:9" ht="16" x14ac:dyDescent="0.2">
      <c r="B84" s="57" t="s">
        <v>152</v>
      </c>
      <c r="C84" s="58"/>
      <c r="D84" s="129">
        <f>SUM(D70:D83)</f>
        <v>0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206" t="s">
        <v>145</v>
      </c>
      <c r="C87" s="207"/>
      <c r="D87" s="207"/>
      <c r="E87" s="207"/>
      <c r="F87" s="208"/>
      <c r="G87" s="124"/>
      <c r="H87" s="124"/>
      <c r="I87" s="116"/>
    </row>
    <row r="88" spans="2:9" ht="17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16" x14ac:dyDescent="0.2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16" x14ac:dyDescent="0.2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16" x14ac:dyDescent="0.2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N94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7" width="7.83203125" bestFit="1" customWidth="1"/>
    <col min="8" max="8" width="9.5" bestFit="1" customWidth="1"/>
    <col min="9" max="9" width="4.83203125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0</v>
      </c>
      <c r="G32" s="116"/>
      <c r="H32" s="116"/>
      <c r="I32" s="116"/>
    </row>
    <row r="33" spans="2:14" x14ac:dyDescent="0.2">
      <c r="B33" s="84" t="s">
        <v>133</v>
      </c>
      <c r="C33" s="15">
        <v>0</v>
      </c>
      <c r="G33" s="116"/>
      <c r="H33" s="116"/>
      <c r="I33" s="116"/>
    </row>
    <row r="34" spans="2:14" x14ac:dyDescent="0.2">
      <c r="B34" s="84" t="s">
        <v>134</v>
      </c>
      <c r="C34" s="15">
        <v>0</v>
      </c>
      <c r="G34" s="116"/>
      <c r="H34" s="116"/>
      <c r="I34" s="116"/>
    </row>
    <row r="35" spans="2:14" x14ac:dyDescent="0.2">
      <c r="B35" s="84" t="s">
        <v>135</v>
      </c>
      <c r="C35" s="15">
        <v>0</v>
      </c>
      <c r="G35" s="116"/>
      <c r="H35" s="116"/>
      <c r="I35" s="116"/>
    </row>
    <row r="36" spans="2:14" x14ac:dyDescent="0.2">
      <c r="B36" s="84" t="s">
        <v>136</v>
      </c>
      <c r="C36" s="15">
        <v>0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216" t="s">
        <v>164</v>
      </c>
      <c r="C41" s="217"/>
      <c r="D41" s="218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219" t="s">
        <v>147</v>
      </c>
      <c r="C48" s="220"/>
      <c r="D48" s="220"/>
      <c r="E48" s="220"/>
      <c r="F48" s="220"/>
      <c r="G48" s="220"/>
      <c r="H48" s="220"/>
      <c r="I48" s="220"/>
      <c r="J48" s="221"/>
      <c r="K48" s="209"/>
      <c r="L48" s="210"/>
      <c r="M48" s="210"/>
      <c r="N48" s="211"/>
    </row>
    <row r="49" spans="2:14" ht="17" x14ac:dyDescent="0.2">
      <c r="B49" s="205" t="s">
        <v>41</v>
      </c>
      <c r="C49" s="205" t="s">
        <v>42</v>
      </c>
      <c r="D49" s="212" t="s">
        <v>138</v>
      </c>
      <c r="E49" s="213"/>
      <c r="F49" s="214"/>
      <c r="G49" s="120" t="s">
        <v>139</v>
      </c>
      <c r="H49" s="120"/>
      <c r="I49" s="120"/>
      <c r="J49" s="205" t="s">
        <v>140</v>
      </c>
      <c r="K49" s="132" t="s">
        <v>148</v>
      </c>
      <c r="L49" s="132"/>
      <c r="M49" s="132"/>
      <c r="N49" s="215" t="s">
        <v>149</v>
      </c>
    </row>
    <row r="50" spans="2:14" ht="51" x14ac:dyDescent="0.2">
      <c r="B50" s="205"/>
      <c r="C50" s="20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05"/>
      <c r="K50" s="133" t="s">
        <v>143</v>
      </c>
      <c r="L50" s="133" t="s">
        <v>111</v>
      </c>
      <c r="M50" s="133" t="s">
        <v>146</v>
      </c>
      <c r="N50" s="215"/>
    </row>
    <row r="51" spans="2:14" ht="16" x14ac:dyDescent="0.2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155" t="s">
        <v>175</v>
      </c>
      <c r="C53" s="156" t="s">
        <v>176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155" t="s">
        <v>175</v>
      </c>
      <c r="C59" s="156" t="s">
        <v>177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174</v>
      </c>
      <c r="C67" s="136"/>
      <c r="D67" s="137"/>
    </row>
    <row r="68" spans="2:14" ht="17" x14ac:dyDescent="0.2">
      <c r="B68" s="205" t="s">
        <v>41</v>
      </c>
      <c r="C68" s="205" t="s">
        <v>42</v>
      </c>
      <c r="D68" s="134" t="s">
        <v>139</v>
      </c>
    </row>
    <row r="69" spans="2:14" ht="17" x14ac:dyDescent="0.2">
      <c r="B69" s="205"/>
      <c r="C69" s="205"/>
      <c r="D69" s="71" t="s">
        <v>171</v>
      </c>
    </row>
    <row r="70" spans="2:14" ht="16" x14ac:dyDescent="0.2">
      <c r="B70" s="50" t="s">
        <v>67</v>
      </c>
      <c r="C70" s="55" t="s">
        <v>68</v>
      </c>
      <c r="D70" s="148">
        <f>IF(E24="",0,E24)</f>
        <v>0</v>
      </c>
    </row>
    <row r="71" spans="2:14" ht="16" x14ac:dyDescent="0.2">
      <c r="B71" s="53" t="s">
        <v>69</v>
      </c>
      <c r="C71" s="56" t="s">
        <v>70</v>
      </c>
      <c r="D71" s="149">
        <f>IF(E12="",0,E12)+IF(E13="",0,E13)</f>
        <v>0</v>
      </c>
    </row>
    <row r="72" spans="2:14" ht="16" x14ac:dyDescent="0.2">
      <c r="B72" s="53" t="s">
        <v>175</v>
      </c>
      <c r="C72" s="56" t="s">
        <v>176</v>
      </c>
      <c r="D72" s="149">
        <f>IF(E22="",0,E22)</f>
        <v>0</v>
      </c>
    </row>
    <row r="73" spans="2:14" ht="16" x14ac:dyDescent="0.2">
      <c r="B73" s="50" t="s">
        <v>71</v>
      </c>
      <c r="C73" s="55" t="s">
        <v>72</v>
      </c>
      <c r="D73" s="148">
        <f>IF(E14="",0,E14)</f>
        <v>0</v>
      </c>
    </row>
    <row r="74" spans="2:14" ht="16" x14ac:dyDescent="0.2">
      <c r="B74" s="53" t="s">
        <v>73</v>
      </c>
      <c r="C74" s="56" t="s">
        <v>74</v>
      </c>
      <c r="D74" s="149">
        <f>0</f>
        <v>0</v>
      </c>
    </row>
    <row r="75" spans="2:14" ht="16" x14ac:dyDescent="0.2">
      <c r="B75" s="50" t="s">
        <v>75</v>
      </c>
      <c r="C75" s="55" t="s">
        <v>74</v>
      </c>
      <c r="D75" s="148">
        <f>0</f>
        <v>0</v>
      </c>
    </row>
    <row r="76" spans="2:14" ht="16" x14ac:dyDescent="0.2">
      <c r="B76" s="53" t="s">
        <v>76</v>
      </c>
      <c r="C76" s="56" t="s">
        <v>77</v>
      </c>
      <c r="D76" s="149">
        <f>IF(E19="",0,E19)</f>
        <v>0</v>
      </c>
    </row>
    <row r="77" spans="2:14" ht="16" x14ac:dyDescent="0.2">
      <c r="B77" s="50" t="s">
        <v>78</v>
      </c>
      <c r="C77" s="55" t="s">
        <v>79</v>
      </c>
      <c r="D77" s="148">
        <f>IF(E25="",0,E25)</f>
        <v>0</v>
      </c>
    </row>
    <row r="78" spans="2:14" ht="16" x14ac:dyDescent="0.2">
      <c r="B78" s="53" t="s">
        <v>175</v>
      </c>
      <c r="C78" s="56" t="s">
        <v>177</v>
      </c>
      <c r="D78" s="149">
        <f>IF(E23="",0,E23)</f>
        <v>0</v>
      </c>
    </row>
    <row r="79" spans="2:14" ht="16" x14ac:dyDescent="0.2">
      <c r="B79" s="53" t="s">
        <v>80</v>
      </c>
      <c r="C79" s="56" t="s">
        <v>81</v>
      </c>
      <c r="D79" s="149">
        <f>IF(E11="",0,E11)</f>
        <v>0</v>
      </c>
    </row>
    <row r="80" spans="2:14" ht="16" x14ac:dyDescent="0.2">
      <c r="B80" s="50" t="s">
        <v>82</v>
      </c>
      <c r="C80" s="55" t="s">
        <v>83</v>
      </c>
      <c r="D80" s="148">
        <f>IF(E26="",0,E26)</f>
        <v>0</v>
      </c>
    </row>
    <row r="81" spans="2:9" ht="16" x14ac:dyDescent="0.2">
      <c r="B81" s="53" t="s">
        <v>84</v>
      </c>
      <c r="C81" s="56" t="s">
        <v>85</v>
      </c>
      <c r="D81" s="149">
        <f>IF(E10="",0,E10)</f>
        <v>0</v>
      </c>
    </row>
    <row r="82" spans="2:9" ht="16" x14ac:dyDescent="0.2">
      <c r="B82" s="50" t="s">
        <v>86</v>
      </c>
      <c r="C82" s="55" t="s">
        <v>87</v>
      </c>
      <c r="D82" s="148">
        <f>0</f>
        <v>0</v>
      </c>
    </row>
    <row r="83" spans="2:9" ht="16" x14ac:dyDescent="0.2">
      <c r="B83" s="53" t="s">
        <v>88</v>
      </c>
      <c r="C83" s="56" t="s">
        <v>89</v>
      </c>
      <c r="D83" s="149">
        <f>0</f>
        <v>0</v>
      </c>
    </row>
    <row r="84" spans="2:9" ht="16" x14ac:dyDescent="0.2">
      <c r="B84" s="57" t="s">
        <v>152</v>
      </c>
      <c r="C84" s="58"/>
      <c r="D84" s="129">
        <f>SUM(D70:D83)</f>
        <v>0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206" t="s">
        <v>145</v>
      </c>
      <c r="C87" s="207"/>
      <c r="D87" s="207"/>
      <c r="E87" s="207"/>
      <c r="F87" s="208"/>
      <c r="G87" s="124"/>
      <c r="H87" s="124"/>
      <c r="I87" s="116"/>
    </row>
    <row r="88" spans="2:9" ht="17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16" x14ac:dyDescent="0.2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16" x14ac:dyDescent="0.2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16" x14ac:dyDescent="0.2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N94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7" width="7.83203125" bestFit="1" customWidth="1"/>
    <col min="8" max="8" width="9.5" bestFit="1" customWidth="1"/>
    <col min="9" max="9" width="4.83203125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0</v>
      </c>
      <c r="G32" s="116"/>
      <c r="H32" s="116"/>
      <c r="I32" s="116"/>
    </row>
    <row r="33" spans="2:14" x14ac:dyDescent="0.2">
      <c r="B33" s="84" t="s">
        <v>133</v>
      </c>
      <c r="C33" s="15">
        <v>0</v>
      </c>
      <c r="G33" s="116"/>
      <c r="H33" s="116"/>
      <c r="I33" s="116"/>
    </row>
    <row r="34" spans="2:14" x14ac:dyDescent="0.2">
      <c r="B34" s="84" t="s">
        <v>134</v>
      </c>
      <c r="C34" s="15">
        <v>0</v>
      </c>
      <c r="G34" s="116"/>
      <c r="H34" s="116"/>
      <c r="I34" s="116"/>
    </row>
    <row r="35" spans="2:14" x14ac:dyDescent="0.2">
      <c r="B35" s="84" t="s">
        <v>135</v>
      </c>
      <c r="C35" s="15">
        <v>0</v>
      </c>
      <c r="G35" s="116"/>
      <c r="H35" s="116"/>
      <c r="I35" s="116"/>
    </row>
    <row r="36" spans="2:14" x14ac:dyDescent="0.2">
      <c r="B36" s="84" t="s">
        <v>136</v>
      </c>
      <c r="C36" s="15">
        <v>0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216" t="s">
        <v>166</v>
      </c>
      <c r="C41" s="217"/>
      <c r="D41" s="218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219" t="s">
        <v>147</v>
      </c>
      <c r="C48" s="220"/>
      <c r="D48" s="220"/>
      <c r="E48" s="220"/>
      <c r="F48" s="220"/>
      <c r="G48" s="220"/>
      <c r="H48" s="220"/>
      <c r="I48" s="220"/>
      <c r="J48" s="221"/>
      <c r="K48" s="209"/>
      <c r="L48" s="210"/>
      <c r="M48" s="210"/>
      <c r="N48" s="211"/>
    </row>
    <row r="49" spans="2:14" ht="17" x14ac:dyDescent="0.2">
      <c r="B49" s="205" t="s">
        <v>41</v>
      </c>
      <c r="C49" s="205" t="s">
        <v>42</v>
      </c>
      <c r="D49" s="212" t="s">
        <v>138</v>
      </c>
      <c r="E49" s="213"/>
      <c r="F49" s="214"/>
      <c r="G49" s="120" t="s">
        <v>139</v>
      </c>
      <c r="H49" s="120"/>
      <c r="I49" s="120"/>
      <c r="J49" s="205" t="s">
        <v>140</v>
      </c>
      <c r="K49" s="132" t="s">
        <v>148</v>
      </c>
      <c r="L49" s="132"/>
      <c r="M49" s="132"/>
      <c r="N49" s="215" t="s">
        <v>149</v>
      </c>
    </row>
    <row r="50" spans="2:14" ht="51" x14ac:dyDescent="0.2">
      <c r="B50" s="205"/>
      <c r="C50" s="20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05"/>
      <c r="K50" s="133" t="s">
        <v>143</v>
      </c>
      <c r="L50" s="133" t="s">
        <v>111</v>
      </c>
      <c r="M50" s="133" t="s">
        <v>146</v>
      </c>
      <c r="N50" s="215"/>
    </row>
    <row r="51" spans="2:14" ht="16" x14ac:dyDescent="0.2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155" t="s">
        <v>175</v>
      </c>
      <c r="C53" s="156" t="s">
        <v>176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155" t="s">
        <v>175</v>
      </c>
      <c r="C59" s="156" t="s">
        <v>177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174</v>
      </c>
      <c r="C67" s="136"/>
      <c r="D67" s="137"/>
    </row>
    <row r="68" spans="2:14" ht="17" x14ac:dyDescent="0.2">
      <c r="B68" s="205" t="s">
        <v>41</v>
      </c>
      <c r="C68" s="205" t="s">
        <v>42</v>
      </c>
      <c r="D68" s="134" t="s">
        <v>139</v>
      </c>
    </row>
    <row r="69" spans="2:14" ht="17" x14ac:dyDescent="0.2">
      <c r="B69" s="205"/>
      <c r="C69" s="205"/>
      <c r="D69" s="71" t="s">
        <v>171</v>
      </c>
    </row>
    <row r="70" spans="2:14" ht="16" x14ac:dyDescent="0.2">
      <c r="B70" s="50" t="s">
        <v>67</v>
      </c>
      <c r="C70" s="55" t="s">
        <v>68</v>
      </c>
      <c r="D70" s="148">
        <f>IF(E24="",0,E24)</f>
        <v>0</v>
      </c>
    </row>
    <row r="71" spans="2:14" ht="16" x14ac:dyDescent="0.2">
      <c r="B71" s="53" t="s">
        <v>69</v>
      </c>
      <c r="C71" s="56" t="s">
        <v>70</v>
      </c>
      <c r="D71" s="149">
        <f>IF(E12="",0,E12)+IF(E13="",0,E13)</f>
        <v>0</v>
      </c>
    </row>
    <row r="72" spans="2:14" ht="16" x14ac:dyDescent="0.2">
      <c r="B72" s="53" t="s">
        <v>175</v>
      </c>
      <c r="C72" s="56" t="s">
        <v>176</v>
      </c>
      <c r="D72" s="149">
        <f>IF(E22="",0,E22)</f>
        <v>0</v>
      </c>
    </row>
    <row r="73" spans="2:14" ht="16" x14ac:dyDescent="0.2">
      <c r="B73" s="50" t="s">
        <v>71</v>
      </c>
      <c r="C73" s="55" t="s">
        <v>72</v>
      </c>
      <c r="D73" s="148">
        <f>IF(E14="",0,E14)</f>
        <v>0</v>
      </c>
    </row>
    <row r="74" spans="2:14" ht="16" x14ac:dyDescent="0.2">
      <c r="B74" s="53" t="s">
        <v>73</v>
      </c>
      <c r="C74" s="56" t="s">
        <v>74</v>
      </c>
      <c r="D74" s="149">
        <f>0</f>
        <v>0</v>
      </c>
    </row>
    <row r="75" spans="2:14" ht="16" x14ac:dyDescent="0.2">
      <c r="B75" s="50" t="s">
        <v>75</v>
      </c>
      <c r="C75" s="55" t="s">
        <v>74</v>
      </c>
      <c r="D75" s="148">
        <f>0</f>
        <v>0</v>
      </c>
    </row>
    <row r="76" spans="2:14" ht="16" x14ac:dyDescent="0.2">
      <c r="B76" s="53" t="s">
        <v>76</v>
      </c>
      <c r="C76" s="56" t="s">
        <v>77</v>
      </c>
      <c r="D76" s="149">
        <f>IF(E19="",0,E19)</f>
        <v>0</v>
      </c>
    </row>
    <row r="77" spans="2:14" ht="16" x14ac:dyDescent="0.2">
      <c r="B77" s="50" t="s">
        <v>78</v>
      </c>
      <c r="C77" s="55" t="s">
        <v>79</v>
      </c>
      <c r="D77" s="148">
        <f>IF(E25="",0,E25)</f>
        <v>0</v>
      </c>
    </row>
    <row r="78" spans="2:14" ht="16" x14ac:dyDescent="0.2">
      <c r="B78" s="53" t="s">
        <v>175</v>
      </c>
      <c r="C78" s="56" t="s">
        <v>177</v>
      </c>
      <c r="D78" s="149">
        <f>IF(E23="",0,E23)</f>
        <v>0</v>
      </c>
    </row>
    <row r="79" spans="2:14" ht="16" x14ac:dyDescent="0.2">
      <c r="B79" s="53" t="s">
        <v>80</v>
      </c>
      <c r="C79" s="56" t="s">
        <v>81</v>
      </c>
      <c r="D79" s="149">
        <f>IF(E11="",0,E11)</f>
        <v>0</v>
      </c>
    </row>
    <row r="80" spans="2:14" ht="16" x14ac:dyDescent="0.2">
      <c r="B80" s="50" t="s">
        <v>82</v>
      </c>
      <c r="C80" s="55" t="s">
        <v>83</v>
      </c>
      <c r="D80" s="148">
        <f>IF(E26="",0,E26)</f>
        <v>0</v>
      </c>
    </row>
    <row r="81" spans="2:9" ht="16" x14ac:dyDescent="0.2">
      <c r="B81" s="53" t="s">
        <v>84</v>
      </c>
      <c r="C81" s="56" t="s">
        <v>85</v>
      </c>
      <c r="D81" s="149">
        <f>IF(E10="",0,E10)</f>
        <v>0</v>
      </c>
    </row>
    <row r="82" spans="2:9" ht="16" x14ac:dyDescent="0.2">
      <c r="B82" s="50" t="s">
        <v>86</v>
      </c>
      <c r="C82" s="55" t="s">
        <v>87</v>
      </c>
      <c r="D82" s="148">
        <f>0</f>
        <v>0</v>
      </c>
    </row>
    <row r="83" spans="2:9" ht="16" x14ac:dyDescent="0.2">
      <c r="B83" s="53" t="s">
        <v>88</v>
      </c>
      <c r="C83" s="56" t="s">
        <v>89</v>
      </c>
      <c r="D83" s="149">
        <f>0</f>
        <v>0</v>
      </c>
    </row>
    <row r="84" spans="2:9" ht="16" x14ac:dyDescent="0.2">
      <c r="B84" s="57" t="s">
        <v>152</v>
      </c>
      <c r="C84" s="58"/>
      <c r="D84" s="129">
        <f>SUM(D70:D83)</f>
        <v>0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206" t="s">
        <v>145</v>
      </c>
      <c r="C87" s="207"/>
      <c r="D87" s="207"/>
      <c r="E87" s="207"/>
      <c r="F87" s="208"/>
      <c r="G87" s="124"/>
      <c r="H87" s="124"/>
      <c r="I87" s="116"/>
    </row>
    <row r="88" spans="2:9" ht="17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16" x14ac:dyDescent="0.2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16" x14ac:dyDescent="0.2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16" x14ac:dyDescent="0.2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N94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7" width="7.83203125" bestFit="1" customWidth="1"/>
    <col min="8" max="8" width="9.5" bestFit="1" customWidth="1"/>
    <col min="9" max="9" width="4.83203125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0</v>
      </c>
      <c r="G32" s="116"/>
      <c r="H32" s="116"/>
      <c r="I32" s="116"/>
    </row>
    <row r="33" spans="2:14" x14ac:dyDescent="0.2">
      <c r="B33" s="84" t="s">
        <v>133</v>
      </c>
      <c r="C33" s="15">
        <v>0</v>
      </c>
      <c r="G33" s="116"/>
      <c r="H33" s="116"/>
      <c r="I33" s="116"/>
    </row>
    <row r="34" spans="2:14" x14ac:dyDescent="0.2">
      <c r="B34" s="84" t="s">
        <v>134</v>
      </c>
      <c r="C34" s="15">
        <v>0</v>
      </c>
      <c r="G34" s="116"/>
      <c r="H34" s="116"/>
      <c r="I34" s="116"/>
    </row>
    <row r="35" spans="2:14" x14ac:dyDescent="0.2">
      <c r="B35" s="84" t="s">
        <v>135</v>
      </c>
      <c r="C35" s="15">
        <v>0</v>
      </c>
      <c r="G35" s="116"/>
      <c r="H35" s="116"/>
      <c r="I35" s="116"/>
    </row>
    <row r="36" spans="2:14" x14ac:dyDescent="0.2">
      <c r="B36" s="84" t="s">
        <v>136</v>
      </c>
      <c r="C36" s="15">
        <v>0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216" t="s">
        <v>179</v>
      </c>
      <c r="C41" s="217"/>
      <c r="D41" s="218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219" t="s">
        <v>147</v>
      </c>
      <c r="C48" s="220"/>
      <c r="D48" s="220"/>
      <c r="E48" s="220"/>
      <c r="F48" s="220"/>
      <c r="G48" s="220"/>
      <c r="H48" s="220"/>
      <c r="I48" s="220"/>
      <c r="J48" s="221"/>
      <c r="K48" s="209"/>
      <c r="L48" s="210"/>
      <c r="M48" s="210"/>
      <c r="N48" s="211"/>
    </row>
    <row r="49" spans="2:14" ht="17" x14ac:dyDescent="0.2">
      <c r="B49" s="205" t="s">
        <v>41</v>
      </c>
      <c r="C49" s="205" t="s">
        <v>42</v>
      </c>
      <c r="D49" s="212" t="s">
        <v>138</v>
      </c>
      <c r="E49" s="213"/>
      <c r="F49" s="214"/>
      <c r="G49" s="120" t="s">
        <v>139</v>
      </c>
      <c r="H49" s="120"/>
      <c r="I49" s="120"/>
      <c r="J49" s="205" t="s">
        <v>140</v>
      </c>
      <c r="K49" s="132" t="s">
        <v>148</v>
      </c>
      <c r="L49" s="132"/>
      <c r="M49" s="132"/>
      <c r="N49" s="215" t="s">
        <v>149</v>
      </c>
    </row>
    <row r="50" spans="2:14" ht="51" x14ac:dyDescent="0.2">
      <c r="B50" s="205"/>
      <c r="C50" s="20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05"/>
      <c r="K50" s="133" t="s">
        <v>143</v>
      </c>
      <c r="L50" s="133" t="s">
        <v>111</v>
      </c>
      <c r="M50" s="133" t="s">
        <v>146</v>
      </c>
      <c r="N50" s="215"/>
    </row>
    <row r="51" spans="2:14" ht="16" x14ac:dyDescent="0.2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155" t="s">
        <v>175</v>
      </c>
      <c r="C53" s="156" t="s">
        <v>176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155" t="s">
        <v>175</v>
      </c>
      <c r="C59" s="156" t="s">
        <v>177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174</v>
      </c>
      <c r="C67" s="136"/>
      <c r="D67" s="137"/>
    </row>
    <row r="68" spans="2:14" ht="17" x14ac:dyDescent="0.2">
      <c r="B68" s="205" t="s">
        <v>41</v>
      </c>
      <c r="C68" s="205" t="s">
        <v>42</v>
      </c>
      <c r="D68" s="134" t="s">
        <v>139</v>
      </c>
    </row>
    <row r="69" spans="2:14" ht="17" x14ac:dyDescent="0.2">
      <c r="B69" s="205"/>
      <c r="C69" s="205"/>
      <c r="D69" s="71" t="s">
        <v>171</v>
      </c>
    </row>
    <row r="70" spans="2:14" ht="16" x14ac:dyDescent="0.2">
      <c r="B70" s="50" t="s">
        <v>67</v>
      </c>
      <c r="C70" s="55" t="s">
        <v>68</v>
      </c>
      <c r="D70" s="148">
        <f>IF(E24="",0,E24)</f>
        <v>0</v>
      </c>
    </row>
    <row r="71" spans="2:14" ht="16" x14ac:dyDescent="0.2">
      <c r="B71" s="53" t="s">
        <v>69</v>
      </c>
      <c r="C71" s="56" t="s">
        <v>70</v>
      </c>
      <c r="D71" s="149">
        <f>IF(E12="",0,E12)+IF(E13="",0,E13)</f>
        <v>0</v>
      </c>
    </row>
    <row r="72" spans="2:14" ht="16" x14ac:dyDescent="0.2">
      <c r="B72" s="53" t="s">
        <v>175</v>
      </c>
      <c r="C72" s="56" t="s">
        <v>176</v>
      </c>
      <c r="D72" s="149">
        <f>IF(E22="",0,E22)</f>
        <v>0</v>
      </c>
    </row>
    <row r="73" spans="2:14" ht="16" x14ac:dyDescent="0.2">
      <c r="B73" s="50" t="s">
        <v>71</v>
      </c>
      <c r="C73" s="55" t="s">
        <v>72</v>
      </c>
      <c r="D73" s="148">
        <f>IF(E14="",0,E14)</f>
        <v>0</v>
      </c>
    </row>
    <row r="74" spans="2:14" ht="16" x14ac:dyDescent="0.2">
      <c r="B74" s="53" t="s">
        <v>73</v>
      </c>
      <c r="C74" s="56" t="s">
        <v>74</v>
      </c>
      <c r="D74" s="149">
        <f>0</f>
        <v>0</v>
      </c>
    </row>
    <row r="75" spans="2:14" ht="16" x14ac:dyDescent="0.2">
      <c r="B75" s="50" t="s">
        <v>75</v>
      </c>
      <c r="C75" s="55" t="s">
        <v>74</v>
      </c>
      <c r="D75" s="148">
        <f>0</f>
        <v>0</v>
      </c>
    </row>
    <row r="76" spans="2:14" ht="16" x14ac:dyDescent="0.2">
      <c r="B76" s="53" t="s">
        <v>76</v>
      </c>
      <c r="C76" s="56" t="s">
        <v>77</v>
      </c>
      <c r="D76" s="149">
        <f>IF(E19="",0,E19)</f>
        <v>0</v>
      </c>
    </row>
    <row r="77" spans="2:14" ht="16" x14ac:dyDescent="0.2">
      <c r="B77" s="50" t="s">
        <v>78</v>
      </c>
      <c r="C77" s="55" t="s">
        <v>79</v>
      </c>
      <c r="D77" s="148">
        <f>IF(E25="",0,E25)</f>
        <v>0</v>
      </c>
    </row>
    <row r="78" spans="2:14" ht="16" x14ac:dyDescent="0.2">
      <c r="B78" s="53" t="s">
        <v>175</v>
      </c>
      <c r="C78" s="56" t="s">
        <v>177</v>
      </c>
      <c r="D78" s="149">
        <f>IF(E23="",0,E23)</f>
        <v>0</v>
      </c>
    </row>
    <row r="79" spans="2:14" ht="16" x14ac:dyDescent="0.2">
      <c r="B79" s="53" t="s">
        <v>80</v>
      </c>
      <c r="C79" s="56" t="s">
        <v>81</v>
      </c>
      <c r="D79" s="149">
        <f>IF(E11="",0,E11)</f>
        <v>0</v>
      </c>
    </row>
    <row r="80" spans="2:14" ht="16" x14ac:dyDescent="0.2">
      <c r="B80" s="50" t="s">
        <v>82</v>
      </c>
      <c r="C80" s="55" t="s">
        <v>83</v>
      </c>
      <c r="D80" s="148">
        <f>IF(E26="",0,E26)</f>
        <v>0</v>
      </c>
    </row>
    <row r="81" spans="2:9" ht="16" x14ac:dyDescent="0.2">
      <c r="B81" s="53" t="s">
        <v>84</v>
      </c>
      <c r="C81" s="56" t="s">
        <v>85</v>
      </c>
      <c r="D81" s="149">
        <f>IF(E10="",0,E10)</f>
        <v>0</v>
      </c>
    </row>
    <row r="82" spans="2:9" ht="16" x14ac:dyDescent="0.2">
      <c r="B82" s="50" t="s">
        <v>86</v>
      </c>
      <c r="C82" s="55" t="s">
        <v>87</v>
      </c>
      <c r="D82" s="148">
        <f>0</f>
        <v>0</v>
      </c>
    </row>
    <row r="83" spans="2:9" ht="16" x14ac:dyDescent="0.2">
      <c r="B83" s="53" t="s">
        <v>88</v>
      </c>
      <c r="C83" s="56" t="s">
        <v>89</v>
      </c>
      <c r="D83" s="149">
        <f>0</f>
        <v>0</v>
      </c>
    </row>
    <row r="84" spans="2:9" ht="16" x14ac:dyDescent="0.2">
      <c r="B84" s="57" t="s">
        <v>152</v>
      </c>
      <c r="C84" s="58"/>
      <c r="D84" s="129">
        <f>SUM(D70:D83)</f>
        <v>0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206" t="s">
        <v>145</v>
      </c>
      <c r="C87" s="207"/>
      <c r="D87" s="207"/>
      <c r="E87" s="207"/>
      <c r="F87" s="208"/>
      <c r="G87" s="124"/>
      <c r="H87" s="124"/>
      <c r="I87" s="116"/>
    </row>
    <row r="88" spans="2:9" ht="17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16" x14ac:dyDescent="0.2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16" x14ac:dyDescent="0.2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16" x14ac:dyDescent="0.2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N94"/>
  <sheetViews>
    <sheetView showGridLines="0" zoomScaleNormal="100" workbookViewId="0"/>
  </sheetViews>
  <sheetFormatPr baseColWidth="10" defaultColWidth="8.6640625" defaultRowHeight="15" x14ac:dyDescent="0.2"/>
  <cols>
    <col min="1" max="1" width="2" customWidth="1"/>
    <col min="2" max="2" width="49.1640625" bestFit="1" customWidth="1"/>
    <col min="3" max="3" width="13.6640625" bestFit="1" customWidth="1"/>
    <col min="4" max="4" width="37.1640625" bestFit="1" customWidth="1"/>
    <col min="5" max="5" width="13.33203125" bestFit="1" customWidth="1"/>
    <col min="6" max="6" width="10.6640625" bestFit="1" customWidth="1"/>
    <col min="7" max="7" width="7.83203125" bestFit="1" customWidth="1"/>
    <col min="8" max="8" width="9.5" bestFit="1" customWidth="1"/>
    <col min="9" max="9" width="4.83203125" bestFit="1" customWidth="1"/>
    <col min="10" max="10" width="3.5" bestFit="1" customWidth="1"/>
    <col min="11" max="11" width="5.5" bestFit="1" customWidth="1"/>
    <col min="12" max="12" width="9.1640625" bestFit="1" customWidth="1"/>
    <col min="13" max="13" width="13.33203125" bestFit="1" customWidth="1"/>
    <col min="14" max="14" width="12" bestFit="1" customWidth="1"/>
    <col min="16" max="16" width="13.33203125" bestFit="1" customWidth="1"/>
    <col min="17" max="17" width="12" bestFit="1" customWidth="1"/>
  </cols>
  <sheetData>
    <row r="1" spans="2:14" ht="19" x14ac:dyDescent="0.2">
      <c r="B1" s="86" t="s">
        <v>180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">
      <c r="G2" s="116"/>
      <c r="H2" s="116"/>
      <c r="I2" s="116"/>
    </row>
    <row r="3" spans="2:14" ht="16" x14ac:dyDescent="0.2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">
      <c r="G4" s="116"/>
      <c r="H4" s="116"/>
      <c r="I4" s="116"/>
    </row>
    <row r="5" spans="2:14" x14ac:dyDescent="0.2">
      <c r="G5" s="116"/>
      <c r="H5" s="116"/>
      <c r="I5" s="116"/>
    </row>
    <row r="6" spans="2:14" x14ac:dyDescent="0.2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">
      <c r="G28" s="116"/>
      <c r="H28" s="116"/>
      <c r="I28" s="116"/>
    </row>
    <row r="29" spans="2:14" x14ac:dyDescent="0.2">
      <c r="B29" s="82" t="s">
        <v>129</v>
      </c>
      <c r="C29" s="82"/>
      <c r="G29" s="116"/>
      <c r="H29" s="116"/>
      <c r="I29" s="116"/>
    </row>
    <row r="30" spans="2:14" x14ac:dyDescent="0.2">
      <c r="B30" s="83" t="s">
        <v>130</v>
      </c>
      <c r="C30" s="83" t="s">
        <v>131</v>
      </c>
      <c r="G30" s="116"/>
      <c r="H30" s="116"/>
      <c r="I30" s="116"/>
    </row>
    <row r="31" spans="2:14" x14ac:dyDescent="0.2">
      <c r="B31" s="76"/>
      <c r="C31" s="112"/>
      <c r="G31" s="116"/>
      <c r="H31" s="116"/>
      <c r="I31" s="116"/>
    </row>
    <row r="32" spans="2:14" x14ac:dyDescent="0.2">
      <c r="B32" s="84" t="s">
        <v>132</v>
      </c>
      <c r="C32" s="15">
        <v>0</v>
      </c>
      <c r="G32" s="116"/>
      <c r="H32" s="116"/>
      <c r="I32" s="116"/>
    </row>
    <row r="33" spans="2:14" x14ac:dyDescent="0.2">
      <c r="B33" s="84" t="s">
        <v>133</v>
      </c>
      <c r="C33" s="15">
        <v>0</v>
      </c>
      <c r="G33" s="116"/>
      <c r="H33" s="116"/>
      <c r="I33" s="116"/>
    </row>
    <row r="34" spans="2:14" x14ac:dyDescent="0.2">
      <c r="B34" s="84" t="s">
        <v>134</v>
      </c>
      <c r="C34" s="15">
        <v>0</v>
      </c>
      <c r="G34" s="116"/>
      <c r="H34" s="116"/>
      <c r="I34" s="116"/>
    </row>
    <row r="35" spans="2:14" x14ac:dyDescent="0.2">
      <c r="B35" s="84" t="s">
        <v>135</v>
      </c>
      <c r="C35" s="15">
        <v>0</v>
      </c>
      <c r="G35" s="116"/>
      <c r="H35" s="116"/>
      <c r="I35" s="116"/>
    </row>
    <row r="36" spans="2:14" x14ac:dyDescent="0.2">
      <c r="B36" s="84" t="s">
        <v>136</v>
      </c>
      <c r="C36" s="15">
        <v>0</v>
      </c>
      <c r="G36" s="116"/>
      <c r="H36" s="116"/>
      <c r="I36" s="116"/>
    </row>
    <row r="37" spans="2:14" x14ac:dyDescent="0.2">
      <c r="B37" s="84"/>
      <c r="C37" s="85"/>
      <c r="G37" s="116"/>
      <c r="H37" s="116"/>
      <c r="I37" s="116"/>
    </row>
    <row r="38" spans="2:14" x14ac:dyDescent="0.2">
      <c r="B38" s="76"/>
      <c r="C38" s="85"/>
      <c r="G38" s="116"/>
      <c r="H38" s="116"/>
      <c r="I38" s="116"/>
    </row>
    <row r="39" spans="2:14" ht="20" customHeight="1" x14ac:dyDescent="0.2">
      <c r="G39" s="116"/>
      <c r="H39" s="116"/>
      <c r="I39" s="116"/>
    </row>
    <row r="40" spans="2:14" x14ac:dyDescent="0.2">
      <c r="G40" s="116"/>
      <c r="H40" s="116"/>
      <c r="I40" s="116"/>
    </row>
    <row r="41" spans="2:14" ht="20" x14ac:dyDescent="0.2">
      <c r="B41" s="216" t="s">
        <v>181</v>
      </c>
      <c r="C41" s="217"/>
      <c r="D41" s="218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17" x14ac:dyDescent="0.2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16" x14ac:dyDescent="0.2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16" x14ac:dyDescent="0.2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16" x14ac:dyDescent="0.2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" customHeight="1" x14ac:dyDescent="0.2">
      <c r="G47" s="116"/>
      <c r="H47" s="116"/>
      <c r="I47" s="116"/>
    </row>
    <row r="48" spans="2:14" ht="19" x14ac:dyDescent="0.2">
      <c r="B48" s="219" t="s">
        <v>147</v>
      </c>
      <c r="C48" s="220"/>
      <c r="D48" s="220"/>
      <c r="E48" s="220"/>
      <c r="F48" s="220"/>
      <c r="G48" s="220"/>
      <c r="H48" s="220"/>
      <c r="I48" s="220"/>
      <c r="J48" s="221"/>
      <c r="K48" s="209"/>
      <c r="L48" s="210"/>
      <c r="M48" s="210"/>
      <c r="N48" s="211"/>
    </row>
    <row r="49" spans="2:14" ht="17" x14ac:dyDescent="0.2">
      <c r="B49" s="205" t="s">
        <v>41</v>
      </c>
      <c r="C49" s="205" t="s">
        <v>42</v>
      </c>
      <c r="D49" s="212" t="s">
        <v>138</v>
      </c>
      <c r="E49" s="213"/>
      <c r="F49" s="214"/>
      <c r="G49" s="120" t="s">
        <v>139</v>
      </c>
      <c r="H49" s="120"/>
      <c r="I49" s="120"/>
      <c r="J49" s="205" t="s">
        <v>140</v>
      </c>
      <c r="K49" s="132" t="s">
        <v>148</v>
      </c>
      <c r="L49" s="132"/>
      <c r="M49" s="132"/>
      <c r="N49" s="215" t="s">
        <v>149</v>
      </c>
    </row>
    <row r="50" spans="2:14" ht="51" x14ac:dyDescent="0.2">
      <c r="B50" s="205"/>
      <c r="C50" s="20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05"/>
      <c r="K50" s="133" t="s">
        <v>143</v>
      </c>
      <c r="L50" s="133" t="s">
        <v>111</v>
      </c>
      <c r="M50" s="133" t="s">
        <v>146</v>
      </c>
      <c r="N50" s="215"/>
    </row>
    <row r="51" spans="2:14" ht="16" x14ac:dyDescent="0.2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ht="16" x14ac:dyDescent="0.2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16" x14ac:dyDescent="0.2">
      <c r="B53" s="155" t="s">
        <v>175</v>
      </c>
      <c r="C53" s="156" t="s">
        <v>176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ht="16" x14ac:dyDescent="0.2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ht="16" x14ac:dyDescent="0.2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ht="16" x14ac:dyDescent="0.2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ht="16" x14ac:dyDescent="0.2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ht="16" x14ac:dyDescent="0.2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ht="16" x14ac:dyDescent="0.2">
      <c r="B59" s="155" t="s">
        <v>175</v>
      </c>
      <c r="C59" s="156" t="s">
        <v>177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ht="16" x14ac:dyDescent="0.2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ht="16" x14ac:dyDescent="0.2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16" x14ac:dyDescent="0.2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ht="16" x14ac:dyDescent="0.2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ht="16" x14ac:dyDescent="0.2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ht="16" x14ac:dyDescent="0.2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">
      <c r="G66" s="116"/>
      <c r="H66" s="116"/>
      <c r="I66" s="116"/>
    </row>
    <row r="67" spans="2:14" ht="20" x14ac:dyDescent="0.2">
      <c r="B67" s="135" t="s">
        <v>174</v>
      </c>
      <c r="C67" s="136"/>
      <c r="D67" s="137"/>
    </row>
    <row r="68" spans="2:14" ht="17" x14ac:dyDescent="0.2">
      <c r="B68" s="205" t="s">
        <v>41</v>
      </c>
      <c r="C68" s="205" t="s">
        <v>42</v>
      </c>
      <c r="D68" s="134" t="s">
        <v>139</v>
      </c>
    </row>
    <row r="69" spans="2:14" ht="17" x14ac:dyDescent="0.2">
      <c r="B69" s="205"/>
      <c r="C69" s="205"/>
      <c r="D69" s="71" t="s">
        <v>171</v>
      </c>
    </row>
    <row r="70" spans="2:14" ht="16" x14ac:dyDescent="0.2">
      <c r="B70" s="50" t="s">
        <v>67</v>
      </c>
      <c r="C70" s="55" t="s">
        <v>68</v>
      </c>
      <c r="D70" s="148">
        <f>IF(E24="",0,E24)</f>
        <v>0</v>
      </c>
    </row>
    <row r="71" spans="2:14" ht="16" x14ac:dyDescent="0.2">
      <c r="B71" s="53" t="s">
        <v>69</v>
      </c>
      <c r="C71" s="56" t="s">
        <v>70</v>
      </c>
      <c r="D71" s="149">
        <f>IF(E12="",0,E12)+IF(E13="",0,E13)</f>
        <v>0</v>
      </c>
    </row>
    <row r="72" spans="2:14" ht="16" x14ac:dyDescent="0.2">
      <c r="B72" s="53" t="s">
        <v>175</v>
      </c>
      <c r="C72" s="56" t="s">
        <v>176</v>
      </c>
      <c r="D72" s="149">
        <f>IF(E22="",0,E22)</f>
        <v>0</v>
      </c>
    </row>
    <row r="73" spans="2:14" ht="16" x14ac:dyDescent="0.2">
      <c r="B73" s="50" t="s">
        <v>71</v>
      </c>
      <c r="C73" s="55" t="s">
        <v>72</v>
      </c>
      <c r="D73" s="148">
        <f>IF(E14="",0,E14)</f>
        <v>0</v>
      </c>
    </row>
    <row r="74" spans="2:14" ht="16" x14ac:dyDescent="0.2">
      <c r="B74" s="53" t="s">
        <v>73</v>
      </c>
      <c r="C74" s="56" t="s">
        <v>74</v>
      </c>
      <c r="D74" s="149">
        <f>0</f>
        <v>0</v>
      </c>
    </row>
    <row r="75" spans="2:14" ht="16" x14ac:dyDescent="0.2">
      <c r="B75" s="50" t="s">
        <v>75</v>
      </c>
      <c r="C75" s="55" t="s">
        <v>74</v>
      </c>
      <c r="D75" s="148">
        <f>0</f>
        <v>0</v>
      </c>
    </row>
    <row r="76" spans="2:14" ht="16" x14ac:dyDescent="0.2">
      <c r="B76" s="53" t="s">
        <v>76</v>
      </c>
      <c r="C76" s="56" t="s">
        <v>77</v>
      </c>
      <c r="D76" s="149">
        <f>IF(E19="",0,E19)</f>
        <v>0</v>
      </c>
    </row>
    <row r="77" spans="2:14" ht="16" x14ac:dyDescent="0.2">
      <c r="B77" s="50" t="s">
        <v>78</v>
      </c>
      <c r="C77" s="55" t="s">
        <v>79</v>
      </c>
      <c r="D77" s="148">
        <f>IF(E25="",0,E25)</f>
        <v>0</v>
      </c>
    </row>
    <row r="78" spans="2:14" ht="16" x14ac:dyDescent="0.2">
      <c r="B78" s="53" t="s">
        <v>175</v>
      </c>
      <c r="C78" s="56" t="s">
        <v>177</v>
      </c>
      <c r="D78" s="149">
        <f>IF(E23="",0,E23)</f>
        <v>0</v>
      </c>
    </row>
    <row r="79" spans="2:14" ht="16" x14ac:dyDescent="0.2">
      <c r="B79" s="53" t="s">
        <v>80</v>
      </c>
      <c r="C79" s="56" t="s">
        <v>81</v>
      </c>
      <c r="D79" s="149">
        <f>IF(E11="",0,E11)</f>
        <v>0</v>
      </c>
    </row>
    <row r="80" spans="2:14" ht="16" x14ac:dyDescent="0.2">
      <c r="B80" s="50" t="s">
        <v>82</v>
      </c>
      <c r="C80" s="55" t="s">
        <v>83</v>
      </c>
      <c r="D80" s="148">
        <f>IF(E26="",0,E26)</f>
        <v>0</v>
      </c>
    </row>
    <row r="81" spans="2:9" ht="16" x14ac:dyDescent="0.2">
      <c r="B81" s="53" t="s">
        <v>84</v>
      </c>
      <c r="C81" s="56" t="s">
        <v>85</v>
      </c>
      <c r="D81" s="149">
        <f>IF(E10="",0,E10)</f>
        <v>0</v>
      </c>
    </row>
    <row r="82" spans="2:9" ht="16" x14ac:dyDescent="0.2">
      <c r="B82" s="50" t="s">
        <v>86</v>
      </c>
      <c r="C82" s="55" t="s">
        <v>87</v>
      </c>
      <c r="D82" s="148">
        <f>0</f>
        <v>0</v>
      </c>
    </row>
    <row r="83" spans="2:9" ht="16" x14ac:dyDescent="0.2">
      <c r="B83" s="53" t="s">
        <v>88</v>
      </c>
      <c r="C83" s="56" t="s">
        <v>89</v>
      </c>
      <c r="D83" s="149">
        <f>0</f>
        <v>0</v>
      </c>
    </row>
    <row r="84" spans="2:9" ht="16" x14ac:dyDescent="0.2">
      <c r="B84" s="57" t="s">
        <v>152</v>
      </c>
      <c r="C84" s="58"/>
      <c r="D84" s="129">
        <f>SUM(D70:D83)</f>
        <v>0</v>
      </c>
    </row>
    <row r="85" spans="2:9" x14ac:dyDescent="0.2">
      <c r="G85" s="116"/>
      <c r="H85" s="116"/>
      <c r="I85" s="116"/>
    </row>
    <row r="86" spans="2:9" x14ac:dyDescent="0.2">
      <c r="G86" s="116"/>
      <c r="H86" s="116"/>
      <c r="I86" s="116"/>
    </row>
    <row r="87" spans="2:9" ht="19" x14ac:dyDescent="0.2">
      <c r="B87" s="206" t="s">
        <v>145</v>
      </c>
      <c r="C87" s="207"/>
      <c r="D87" s="207"/>
      <c r="E87" s="207"/>
      <c r="F87" s="208"/>
      <c r="G87" s="124"/>
      <c r="H87" s="124"/>
      <c r="I87" s="116"/>
    </row>
    <row r="88" spans="2:9" ht="17" x14ac:dyDescent="0.2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16" x14ac:dyDescent="0.2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ht="16" x14ac:dyDescent="0.2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ht="16" x14ac:dyDescent="0.2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ht="16" x14ac:dyDescent="0.2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16" x14ac:dyDescent="0.2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16" x14ac:dyDescent="0.2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Randy Thurion</cp:lastModifiedBy>
  <cp:revision>0</cp:revision>
  <dcterms:created xsi:type="dcterms:W3CDTF">2026-03-24T08:59:20Z</dcterms:created>
  <dcterms:modified xsi:type="dcterms:W3CDTF">2026-06-17T02:03:51Z</dcterms:modified>
  <dc:language>en-US</dc:language>
</cp:coreProperties>
</file>