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2" i="12" l="1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<sst xmlns="http://schemas.openxmlformats.org/spreadsheetml/2006/main" count="2120" uniqueCount="228">
  <si>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</si>
  <si>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</si>
  <si>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</si>
  <si>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</si>
  <si>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</si>
  <si>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</si>
  <si>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</si>
  <si>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</si>
  <si>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</si>
  <si>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</si>
  <si>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</si>
  <si>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</si>
  <si>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</si>
  <si>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</si>
  <si>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</si>
  <si>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</si>
  <si>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</si>
  <si>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</si>
  <si>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</si>
  <si>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</si>
  <si>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</si>
  <si>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</si>
  <si>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</si>
  <si>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</si>
  <si>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</si>
  <si>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</si>
  <si>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</si>
  <si>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</si>
  <si>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</si>
  <si>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</si>
  <si>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</si>
  <si>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</si>
  <si>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</si>
  <si>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</si>
  <si>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</si>
  <si>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</si>
  <si>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</si>
  <si>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</si>
  <si>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</si>
  <si>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</si>
  <si>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</si>
  <si>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</si>
  <si>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</si>
  <si>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</si>
  <si>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</si>
  <si>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</si>
  <si>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</si>
  <si>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</si>
  <si>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</si>
  <si>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</si>
  <si>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</si>
  <si>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</si>
  <si>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</si>
  <si>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</si>
  <si>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</si>
  <si>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</si>
  <si>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</si>
  <si>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</si>
  <si>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</si>
  <si>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</si>
  <si>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</si>
  <si>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</si>
  <si>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</si>
  <si>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</si>
  <si>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</si>
  <si>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</si>
  <si>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</si>
  <si>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</si>
  <si>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</si>
  <si>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</si>
  <si>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</si>
  <si>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</si>
  <si>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</si>
  <si>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</si>
  <si>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</si>
  <si>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</si>
  <si>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</si>
  <si>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</si>
  <si>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</si>
  <si>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</si>
  <si>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</si>
  <si>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</si>
  <si>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</si>
  <si>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</si>
  <si>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</si>
  <si>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</si>
  <si>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</si>
  <si>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</si>
  <si>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</si>
  <si>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</si>
  <si>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</si>
  <si>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</si>
  <si>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</si>
  <si>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</si>
  <si>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</si>
  <si>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</si>
  <si>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</si>
  <si>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</si>
  <si>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</si>
  <si>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</si>
  <si>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</si>
  <si>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</si>
  <si>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</si>
  <si>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</si>
  <si>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</si>
  <si>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</si>
  <si>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</si>
  <si>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</si>
  <si>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</si>
  <si>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</si>
  <si>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</si>
  <si>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</si>
  <si>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</si>
  <si>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</si>
  <si>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</si>
  <si>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</si>
  <si>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</si>
  <si>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</si>
  <si>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</si>
  <si>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</si>
  <si>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</si>
  <si>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</si>
  <si>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</si>
  <si>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</si>
  <si>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</si>
  <si>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</si>
  <si>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</si>
  <si>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</si>
  <si>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</si>
  <si>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</si>
  <si>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</si>
  <si>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</si>
  <si>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</si>
  <si>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</si>
  <si>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</si>
  <si>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</si>
  <si>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</si>
  <si>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</si>
  <si>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</si>
  <si>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</si>
  <si>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</si>
  <si>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</si>
  <si>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</si>
  <si>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</si>
  <si>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</si>
  <si>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</si>
  <si>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</si>
  <si>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</si>
  <si>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</si>
  <si>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</si>
  <si>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</si>
  <si>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</si>
  <si>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</si>
  <si>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</si>
  <si>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</si>
  <si>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</si>
  <si>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</si>
  <si>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</si>
  <si>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</si>
  <si>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</si>
  <si>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</si>
  <si>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</si>
  <si>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</si>
  <si>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</si>
  <si>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</si>
  <si>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</si>
  <si>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</si>
  <si>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</si>
  <si>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</si>
  <si>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</si>
  <si>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</si>
  <si>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</si>
  <si>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</si>
  <si>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</si>
  <si>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</si>
  <si>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</si>
  <si>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</si>
  <si>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</si>
  <si>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</si>
  <si>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</si>
  <si>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</si>
  <si>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</si>
  <si>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</si>
  <si>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</si>
  <si>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</si>
  <si>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</si>
  <si>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</si>
  <si>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</si>
  <si>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</si>
  <si>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</si>
  <si>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</si>
  <si>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</si>
  <si>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</si>
  <si>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</si>
  <si>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</si>
  <si>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</si>
  <si>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</si>
  <si>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</si>
  <si>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</si>
  <si>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</si>
  <si>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</si>
  <si>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</si>
  <si>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</si>
  <si>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</si>
  <si>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</si>
  <si>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</si>
  <si>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</si>
  <si>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</si>
  <si>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</si>
  <si>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</si>
  <si>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</si>
  <si>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</si>
  <si>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</si>
  <si>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</si>
  <si>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</si>
  <si>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</si>
  <si>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</si>
  <si>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</si>
  <si>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</si>
  <si>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</si>
  <si>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</si>
  <si>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</si>
  <si>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</si>
  <si>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</si>
  <si>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</si>
  <si>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</si>
  <si>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</si>
  <si>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2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</si>
</sst>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1" t="s">
        <v>177</v>
      </c>
      <c r="C41" s="262"/>
      <c r="D41" s="26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  <c r="Q48"/>
      <c r="R48"/>
    </row>
    <row r="49" spans="2:18" s="139" customFormat="1" ht="33.950000000000003" customHeight="1" x14ac:dyDescent="0.25">
      <c r="B49" s="269" t="s">
        <v>41</v>
      </c>
      <c r="C49" s="269" t="s">
        <v>42</v>
      </c>
      <c r="D49" s="266" t="s">
        <v>137</v>
      </c>
      <c r="E49" s="267"/>
      <c r="F49" s="268"/>
      <c r="G49" s="140" t="s">
        <v>138</v>
      </c>
      <c r="H49" s="140"/>
      <c r="I49" s="140"/>
      <c r="J49" s="266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8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9"/>
      <c r="C50" s="26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6"/>
      <c r="K50" s="275"/>
      <c r="L50" s="275"/>
      <c r="M50" s="277"/>
      <c r="N50" s="188"/>
      <c r="O50" s="183"/>
      <c r="P50" s="279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70" t="s">
        <v>41</v>
      </c>
      <c r="C78" s="270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70" t="s">
        <v>41</v>
      </c>
      <c r="C78" s="270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1" t="s">
        <v>179</v>
      </c>
      <c r="C41" s="262"/>
      <c r="D41" s="26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1" t="s">
        <v>188</v>
      </c>
      <c r="C41" s="262"/>
      <c r="D41" s="26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1" t="s">
        <v>218</v>
      </c>
      <c r="C40" s="262"/>
      <c r="D40" s="26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5.75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87"/>
      <c r="G67" s="271" t="s">
        <v>185</v>
      </c>
      <c r="H67" s="272"/>
      <c r="I67" s="272"/>
      <c r="J67" s="272"/>
      <c r="K67" s="272"/>
      <c r="L67" s="273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70" t="s">
        <v>41</v>
      </c>
      <c r="C78" s="270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zoomScale="84" zoomScaleNormal="84" workbookViewId="0">
      <selection activeCell="J18" sqref="J1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226</v>
      </c>
      <c r="C40" s="262"/>
      <c r="D40" s="26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95%</v>
      </c>
      <c r="N49" s="274" t="str">
        <f>"PER HARI"&amp;CHAR(10)&amp;TEXT($H$40,"0%")</f>
        <v>PER HARI
95%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abSelected="1" topLeftCell="A31" zoomScale="73" zoomScaleNormal="73" workbookViewId="0">
      <selection activeCell="B48" sqref="B48:L4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26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22829327.111478001</v>
      </c>
      <c r="D10" s="235">
        <v>3694145.28</v>
      </c>
      <c r="E10" s="235">
        <v>21813140.973623</v>
      </c>
      <c r="F10" s="235">
        <v>18115315.679985002</v>
      </c>
      <c r="G10" s="235">
        <v>66451929.045085996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235">
        <v>21229693.035904001</v>
      </c>
      <c r="D11" s="235">
        <v>19801023.489305001</v>
      </c>
      <c r="E11" s="235">
        <v>11767765.855973</v>
      </c>
      <c r="F11" s="235">
        <v>972973.02</v>
      </c>
      <c r="G11" s="235">
        <v>53771455.401182003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235">
        <v>0</v>
      </c>
      <c r="D12" s="235">
        <v>0</v>
      </c>
      <c r="E12" s="235">
        <v>1545045.04</v>
      </c>
      <c r="F12" s="235">
        <v>0</v>
      </c>
      <c r="G12" s="235">
        <v>1545045.04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235">
        <v>12831185.979831999</v>
      </c>
      <c r="D13" s="235">
        <v>4994459.2429989995</v>
      </c>
      <c r="E13" s="235">
        <v>12284954.939983999</v>
      </c>
      <c r="F13" s="235">
        <v>18887387.170000002</v>
      </c>
      <c r="G13" s="235">
        <v>48997987.332814999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235">
        <v>1140153.1599999999</v>
      </c>
      <c r="D14" s="235">
        <v>5964126.2299880004</v>
      </c>
      <c r="E14" s="235">
        <v>24033648.909924999</v>
      </c>
      <c r="F14" s="235">
        <v>6414414.54</v>
      </c>
      <c r="G14" s="235">
        <v>37552342.839913003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235">
        <v>33281936.979975</v>
      </c>
      <c r="D15" s="235">
        <v>1906279.3299990001</v>
      </c>
      <c r="E15" s="235">
        <v>8236495.4799990002</v>
      </c>
      <c r="F15" s="235">
        <v>24683964.210000001</v>
      </c>
      <c r="G15" s="235">
        <v>68108675.999972999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235">
        <v>24092320.229979999</v>
      </c>
      <c r="D16" s="235">
        <v>268972.96999900002</v>
      </c>
      <c r="E16" s="235">
        <v>0</v>
      </c>
      <c r="F16" s="235">
        <v>1091891.94</v>
      </c>
      <c r="G16" s="235">
        <v>25453185.139979001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235">
        <v>44226099.108975999</v>
      </c>
      <c r="D17" s="235">
        <v>3479770.1999989999</v>
      </c>
      <c r="E17" s="235">
        <v>59587297.579875</v>
      </c>
      <c r="F17" s="235">
        <v>172490989.74000001</v>
      </c>
      <c r="G17" s="235">
        <v>279784156.62884998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235">
        <v>15716027.090439999</v>
      </c>
      <c r="D18" s="235">
        <v>0</v>
      </c>
      <c r="E18" s="235">
        <v>6981982.9994999999</v>
      </c>
      <c r="F18" s="235" t="s">
        <v>164</v>
      </c>
      <c r="G18" s="235">
        <v>22698010.08994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235">
        <v>2332400</v>
      </c>
      <c r="D19" s="235">
        <v>12045032.40667</v>
      </c>
      <c r="E19" s="235">
        <v>4192540.5</v>
      </c>
      <c r="F19" s="235">
        <v>16162162.5</v>
      </c>
      <c r="G19" s="235">
        <v>34732135.406669997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235">
        <v>459459.48</v>
      </c>
      <c r="D20" s="235">
        <v>0</v>
      </c>
      <c r="E20" s="235">
        <v>0</v>
      </c>
      <c r="F20" s="235" t="s">
        <v>164</v>
      </c>
      <c r="G20" s="235">
        <v>459459.48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235">
        <v>297297.3</v>
      </c>
      <c r="D21" s="235">
        <v>0</v>
      </c>
      <c r="E21" s="235">
        <v>0</v>
      </c>
      <c r="F21" s="235" t="s">
        <v>164</v>
      </c>
      <c r="G21" s="235">
        <v>297297.3</v>
      </c>
      <c r="H21" s="111"/>
      <c r="I21" s="111"/>
      <c r="J21" s="111"/>
      <c r="M21" s="14">
        <f>SUM(C33,C34)+M20</f>
        <v>100984459.15882701</v>
      </c>
      <c r="N21" s="10" t="s">
        <v>223</v>
      </c>
    </row>
    <row r="22" spans="2:15" ht="15" customHeight="1" x14ac:dyDescent="0.25">
      <c r="B22" s="72" t="s">
        <v>124</v>
      </c>
      <c r="C22" s="235">
        <v>24142386.242304999</v>
      </c>
      <c r="D22" s="235">
        <v>7628806.3299850002</v>
      </c>
      <c r="E22" s="235">
        <v>9453918.8900000006</v>
      </c>
      <c r="F22" s="235">
        <v>74432433.089969993</v>
      </c>
      <c r="G22" s="235">
        <v>115657544.55226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15124825.596582999</v>
      </c>
      <c r="D23" s="235">
        <v>8652653.2199789993</v>
      </c>
      <c r="E23" s="235">
        <v>18310631.499988001</v>
      </c>
      <c r="F23" s="235">
        <v>18955856.199965</v>
      </c>
      <c r="G23" s="235">
        <v>61043966.516515002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38217658.354423001</v>
      </c>
      <c r="D24" s="235">
        <v>6268450.4599980004</v>
      </c>
      <c r="E24" s="235">
        <v>22947162.569993999</v>
      </c>
      <c r="F24" s="235">
        <v>61440000.609972998</v>
      </c>
      <c r="G24" s="235">
        <v>128873271.994388</v>
      </c>
      <c r="H24" s="111"/>
      <c r="I24" s="111"/>
      <c r="J24" s="111"/>
    </row>
    <row r="25" spans="2:15" ht="15" customHeight="1" x14ac:dyDescent="0.25">
      <c r="B25" s="72" t="s">
        <v>224</v>
      </c>
      <c r="C25" s="235">
        <v>30572496.150494002</v>
      </c>
      <c r="D25" s="235">
        <v>1893038.215199</v>
      </c>
      <c r="E25" s="235">
        <v>12680153.279998001</v>
      </c>
      <c r="F25" s="235">
        <v>29513694.069988001</v>
      </c>
      <c r="G25" s="235">
        <v>74659381.715679005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68663137.828872994</v>
      </c>
      <c r="D26" s="235">
        <v>3715837.8599700001</v>
      </c>
      <c r="E26" s="235">
        <v>31963960.749435</v>
      </c>
      <c r="F26" s="235">
        <v>3565405.4871999999</v>
      </c>
      <c r="G26" s="235">
        <v>107908341.925478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15509042.029937999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13028594.909956001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19529865.159830999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81454593.998996004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227</v>
      </c>
      <c r="C40" s="262"/>
      <c r="D40" s="263"/>
      <c r="E40" s="66" t="s">
        <v>137</v>
      </c>
      <c r="F40" s="174">
        <f ca="1">IF(MONTH(TODAY())=10,DAY(TODAY())/DAY(EOMONTH(TODAY(),0)),IF(MONTH(TODAY())&gt;10,1,0))</f>
        <v>6.4516129032258063E-2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331064083.41928303</v>
      </c>
      <c r="F42" s="176">
        <f>IFERROR(E42/D42,0)</f>
        <v>7.4153355395745149E-2</v>
      </c>
      <c r="G42" s="184">
        <f>D42*$H$40-E42</f>
        <v>3687063936.3742929</v>
      </c>
      <c r="H42" s="184">
        <f ca="1">IFERROR(G42/$C$3,0)</f>
        <v>141810151.39901125</v>
      </c>
      <c r="I42" s="204">
        <f>D42*$J$40-E42</f>
        <v>3910293270.8072691</v>
      </c>
      <c r="J42" s="204">
        <f ca="1">IFERROR(I42/$C$3,0)</f>
        <v>150395895.0310488</v>
      </c>
      <c r="K42" s="185">
        <f>D42*$L$40-E42</f>
        <v>4133522605.2402458</v>
      </c>
      <c r="L42" s="185">
        <f ca="1">IFERROR(K42/$C$3,0)</f>
        <v>158981638.66308638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80043622.264091015</v>
      </c>
      <c r="F43" s="176">
        <f>IFERROR(E43/D43,0)</f>
        <v>6.2538571770259968E-2</v>
      </c>
      <c r="G43" s="184">
        <f>D43*$H$40-E43</f>
        <v>1071873634.5342162</v>
      </c>
      <c r="H43" s="184">
        <f ca="1">IFERROR(G43/$C$3,0)</f>
        <v>41225909.020546779</v>
      </c>
      <c r="I43" s="204">
        <f>D43*$J$40-E43</f>
        <v>1135869037.6896777</v>
      </c>
      <c r="J43" s="204">
        <f ca="1">IFERROR(I43/$C$3,0)</f>
        <v>43687270.680372223</v>
      </c>
      <c r="K43" s="185">
        <f>D43*$L$40-E43</f>
        <v>1199864440.8451393</v>
      </c>
      <c r="L43" s="185">
        <f ca="1">IFERROR(K43/$C$3,0)</f>
        <v>46148632.340197667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245798699.26829401</v>
      </c>
      <c r="F44" s="176">
        <f>IFERROR(E44/D44,0)</f>
        <v>8.4350744034442052E-2</v>
      </c>
      <c r="G44" s="184">
        <f>IF(D44=0,0,D44*$H$40-E44)</f>
        <v>2376808034.9548998</v>
      </c>
      <c r="H44" s="184">
        <f ca="1">IFERROR(G44/$C$3,0)</f>
        <v>91415693.65211153</v>
      </c>
      <c r="I44" s="204">
        <f>IF(D44=0,0,D44*$J$40-E44)</f>
        <v>2522508409.0784106</v>
      </c>
      <c r="J44" s="204">
        <f ca="1">IFERROR(I44/$C$3,0)</f>
        <v>97019554.195323482</v>
      </c>
      <c r="K44" s="185">
        <f>IF(D44=0,0,D44*$L$40-E44)</f>
        <v>2668208783.2019215</v>
      </c>
      <c r="L44" s="185">
        <f ca="1">IFERROR(K44/$C$3,0)</f>
        <v>102623414.73853543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129522096.098721</v>
      </c>
      <c r="F45" s="176">
        <f>IFERROR(E45/D45,0)</f>
        <v>7.2773921298743424E-2</v>
      </c>
      <c r="G45" s="184">
        <f>D45*$H$40-E45</f>
        <v>1472286414.5395768</v>
      </c>
      <c r="H45" s="184">
        <f ca="1">IFERROR(G45/$C$3,0)</f>
        <v>56626400.559214488</v>
      </c>
      <c r="I45" s="204">
        <f>D45*$J$40-E45</f>
        <v>1561275776.2417045</v>
      </c>
      <c r="J45" s="204">
        <f ca="1">IFERROR(I45/$C$3,0)</f>
        <v>60049068.316988632</v>
      </c>
      <c r="K45" s="185">
        <f>D45*$L$40-E45</f>
        <v>1650265137.9438322</v>
      </c>
      <c r="L45" s="185">
        <f ca="1">IFERROR(K45/$C$3,0)</f>
        <v>63471736.074762776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786428501.05038905</v>
      </c>
      <c r="F46" s="177">
        <f>IFERROR(E46/D46,0)</f>
        <v>7.5340744615301436E-2</v>
      </c>
      <c r="G46" s="181">
        <f>SUM(G42:G45)</f>
        <v>8608032020.4029865</v>
      </c>
      <c r="H46" s="181">
        <f ca="1">IFERROR(G46/$C$3,0)</f>
        <v>331078154.63088411</v>
      </c>
      <c r="I46" s="186">
        <f>SUM(I42:I45)</f>
        <v>9129946493.8170624</v>
      </c>
      <c r="J46" s="186">
        <f ca="1">IFERROR(I46/$C$3,0)</f>
        <v>351151788.22373319</v>
      </c>
      <c r="K46" s="186">
        <f>SUM(K42:K45)</f>
        <v>9651860967.2311382</v>
      </c>
      <c r="L46" s="186">
        <f ca="1">IFERROR(K46/$C$3,0)</f>
        <v>371225421.81658226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24142386.242304999</v>
      </c>
      <c r="I51" s="114">
        <f t="shared" ref="I51:I64" si="1">SUMIF($B$10:$B$26,$T51,D$10:D$26)+SUMIF($B$10:$B$26,$U51,D$10:D$26)</f>
        <v>7628806.3299850002</v>
      </c>
      <c r="J51" s="114">
        <f t="shared" ref="J51:J64" si="2">SUMIF($B$10:$B$26,$T51,E$10:E$26)+SUMIF($B$10:$B$26,$U51,E$10:E$26)</f>
        <v>9453918.8900000006</v>
      </c>
      <c r="K51" s="114">
        <f t="shared" ref="K51:K64" si="3">SUM(H51:J51)</f>
        <v>41225111.462290004</v>
      </c>
      <c r="L51" s="187">
        <f t="shared" ref="L51:L65" si="4">IFERROR(K51/G51,0)</f>
        <v>8.3075868613518594E-2</v>
      </c>
      <c r="M51" s="184">
        <f t="shared" ref="M51:M64" si="5">G51*$H$40-K51</f>
        <v>405385931.37456399</v>
      </c>
      <c r="N51" s="184">
        <f t="shared" ref="N51:N65" ca="1" si="6">IFERROR(M51/$C$3,0)</f>
        <v>15591766.591329385</v>
      </c>
      <c r="O51" s="180">
        <f t="shared" ref="O51:O64" si="7">G51*$J$40-K51</f>
        <v>430197655.97661144</v>
      </c>
      <c r="P51" s="180">
        <f t="shared" ref="P51:P65" ca="1" si="8">IFERROR(O51/$C$3,0)</f>
        <v>16546063.691408131</v>
      </c>
      <c r="Q51" s="185">
        <f t="shared" ref="Q51:Q64" si="9">G51*$L$40-K51</f>
        <v>455009380.57865888</v>
      </c>
      <c r="R51" s="185">
        <f t="shared" ref="R51:R65" ca="1" si="10">IFERROR(Q51/$C$3,0)</f>
        <v>17500360.791486882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13971339.139831999</v>
      </c>
      <c r="I52" s="114">
        <f t="shared" si="1"/>
        <v>10958585.472987</v>
      </c>
      <c r="J52" s="114">
        <f t="shared" si="2"/>
        <v>36318603.849909</v>
      </c>
      <c r="K52" s="114">
        <f t="shared" si="3"/>
        <v>61248528.462728001</v>
      </c>
      <c r="L52" s="187">
        <f t="shared" si="4"/>
        <v>7.9813993322243496E-2</v>
      </c>
      <c r="M52" s="184">
        <f t="shared" si="5"/>
        <v>629403239.75412035</v>
      </c>
      <c r="N52" s="184">
        <f t="shared" ca="1" si="6"/>
        <v>24207816.913620014</v>
      </c>
      <c r="O52" s="180">
        <f t="shared" si="7"/>
        <v>667772782.43283415</v>
      </c>
      <c r="P52" s="180">
        <f t="shared" ca="1" si="8"/>
        <v>25683568.555109005</v>
      </c>
      <c r="Q52" s="185">
        <f t="shared" si="9"/>
        <v>706142325.11154795</v>
      </c>
      <c r="R52" s="185">
        <f t="shared" ca="1" si="10"/>
        <v>27159320.196597997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459459.48</v>
      </c>
      <c r="I53" s="114">
        <f t="shared" si="1"/>
        <v>0</v>
      </c>
      <c r="J53" s="114">
        <f t="shared" si="2"/>
        <v>0</v>
      </c>
      <c r="K53" s="114">
        <f t="shared" si="3"/>
        <v>459459.48</v>
      </c>
      <c r="L53" s="187">
        <f t="shared" si="4"/>
        <v>1.7473057786859026E-3</v>
      </c>
      <c r="M53" s="184">
        <f t="shared" si="5"/>
        <v>236198335.07670969</v>
      </c>
      <c r="N53" s="184">
        <f t="shared" ca="1" si="6"/>
        <v>9084551.3491042182</v>
      </c>
      <c r="O53" s="180">
        <f t="shared" si="7"/>
        <v>249345990.32986021</v>
      </c>
      <c r="P53" s="180">
        <f t="shared" ca="1" si="8"/>
        <v>9590230.3973023165</v>
      </c>
      <c r="Q53" s="185">
        <f t="shared" si="9"/>
        <v>262493645.58301076</v>
      </c>
      <c r="R53" s="185">
        <f t="shared" ca="1" si="10"/>
        <v>10095909.445500415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33281936.979975</v>
      </c>
      <c r="I54" s="114">
        <f t="shared" si="1"/>
        <v>1906279.3299990001</v>
      </c>
      <c r="J54" s="114">
        <f t="shared" si="2"/>
        <v>8236495.4799990002</v>
      </c>
      <c r="K54" s="114">
        <f t="shared" si="3"/>
        <v>43424711.789972998</v>
      </c>
      <c r="L54" s="187">
        <f t="shared" si="4"/>
        <v>6.1287699358336556E-2</v>
      </c>
      <c r="M54" s="184">
        <f t="shared" si="5"/>
        <v>594260191.05602694</v>
      </c>
      <c r="N54" s="184">
        <f t="shared" ca="1" si="6"/>
        <v>22856161.194462575</v>
      </c>
      <c r="O54" s="180">
        <f t="shared" si="7"/>
        <v>629687130.10302687</v>
      </c>
      <c r="P54" s="180">
        <f t="shared" ca="1" si="8"/>
        <v>24218735.773193341</v>
      </c>
      <c r="Q54" s="185">
        <f t="shared" si="9"/>
        <v>665114069.15002692</v>
      </c>
      <c r="R54" s="185">
        <f t="shared" ca="1" si="10"/>
        <v>25581310.351924114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0</v>
      </c>
      <c r="I55" s="114">
        <f t="shared" si="1"/>
        <v>0</v>
      </c>
      <c r="J55" s="114">
        <f t="shared" si="2"/>
        <v>1545045.04</v>
      </c>
      <c r="K55" s="114">
        <f t="shared" si="3"/>
        <v>1545045.04</v>
      </c>
      <c r="L55" s="187">
        <f t="shared" si="4"/>
        <v>2.8761023178191258E-3</v>
      </c>
      <c r="M55" s="184">
        <f t="shared" si="5"/>
        <v>481935854.57361704</v>
      </c>
      <c r="N55" s="184">
        <f t="shared" ca="1" si="6"/>
        <v>18535994.406677578</v>
      </c>
      <c r="O55" s="180">
        <f t="shared" si="7"/>
        <v>508795904.55215132</v>
      </c>
      <c r="P55" s="180">
        <f t="shared" ca="1" si="8"/>
        <v>19569073.252005819</v>
      </c>
      <c r="Q55" s="185">
        <f t="shared" si="9"/>
        <v>535655954.5306856</v>
      </c>
      <c r="R55" s="185">
        <f t="shared" ca="1" si="10"/>
        <v>20602152.097334061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30572496.150494002</v>
      </c>
      <c r="I56" s="114">
        <f t="shared" si="1"/>
        <v>1893038.215199</v>
      </c>
      <c r="J56" s="114">
        <f t="shared" si="2"/>
        <v>12680153.279998001</v>
      </c>
      <c r="K56" s="114">
        <f t="shared" si="3"/>
        <v>45145687.645691007</v>
      </c>
      <c r="L56" s="187">
        <f t="shared" si="4"/>
        <v>8.1078729907143196E-2</v>
      </c>
      <c r="M56" s="184">
        <f t="shared" si="5"/>
        <v>455985976.94322646</v>
      </c>
      <c r="N56" s="184">
        <f t="shared" ca="1" si="6"/>
        <v>17537922.190124094</v>
      </c>
      <c r="O56" s="180">
        <f t="shared" si="7"/>
        <v>483826624.97594404</v>
      </c>
      <c r="P56" s="180">
        <f t="shared" ca="1" si="8"/>
        <v>18608716.345228616</v>
      </c>
      <c r="Q56" s="185">
        <f t="shared" si="9"/>
        <v>511667273.00866163</v>
      </c>
      <c r="R56" s="185">
        <f t="shared" ca="1" si="10"/>
        <v>19679510.500333138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44226099.108975999</v>
      </c>
      <c r="I57" s="114">
        <f t="shared" si="1"/>
        <v>3479770.1999989999</v>
      </c>
      <c r="J57" s="114">
        <f t="shared" si="2"/>
        <v>59587297.579875</v>
      </c>
      <c r="K57" s="114">
        <f t="shared" si="3"/>
        <v>107293166.88885</v>
      </c>
      <c r="L57" s="187">
        <f t="shared" si="4"/>
        <v>9.8339273951021725E-2</v>
      </c>
      <c r="M57" s="184">
        <f t="shared" si="5"/>
        <v>874652767.02214289</v>
      </c>
      <c r="N57" s="184">
        <f t="shared" ca="1" si="6"/>
        <v>33640491.03931319</v>
      </c>
      <c r="O57" s="180">
        <f t="shared" si="7"/>
        <v>929205318.9060868</v>
      </c>
      <c r="P57" s="180">
        <f t="shared" ca="1" si="8"/>
        <v>35738666.111772567</v>
      </c>
      <c r="Q57" s="185">
        <f t="shared" si="9"/>
        <v>983757870.79003096</v>
      </c>
      <c r="R57" s="185">
        <f t="shared" ca="1" si="10"/>
        <v>37836841.184231959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15124825.596582999</v>
      </c>
      <c r="I58" s="114">
        <f t="shared" si="1"/>
        <v>8652653.2199789993</v>
      </c>
      <c r="J58" s="114">
        <f t="shared" si="2"/>
        <v>18310631.499988001</v>
      </c>
      <c r="K58" s="114">
        <f t="shared" si="3"/>
        <v>42088110.316550002</v>
      </c>
      <c r="L58" s="187">
        <f t="shared" si="4"/>
        <v>7.0564611571151584E-2</v>
      </c>
      <c r="M58" s="184">
        <f t="shared" si="5"/>
        <v>494714947.78149694</v>
      </c>
      <c r="N58" s="184">
        <f t="shared" ca="1" si="6"/>
        <v>19027497.991596036</v>
      </c>
      <c r="O58" s="180">
        <f t="shared" si="7"/>
        <v>524537339.89805508</v>
      </c>
      <c r="P58" s="180">
        <f t="shared" ca="1" si="8"/>
        <v>20174513.073002119</v>
      </c>
      <c r="Q58" s="185">
        <f t="shared" si="9"/>
        <v>554359732.01461327</v>
      </c>
      <c r="R58" s="185">
        <f t="shared" ca="1" si="10"/>
        <v>21321528.154408202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297297.3</v>
      </c>
      <c r="I59" s="114">
        <f t="shared" si="1"/>
        <v>0</v>
      </c>
      <c r="J59" s="114">
        <f t="shared" si="2"/>
        <v>0</v>
      </c>
      <c r="K59" s="114">
        <f t="shared" si="3"/>
        <v>297297.3</v>
      </c>
      <c r="L59" s="187">
        <f t="shared" si="4"/>
        <v>6.6981975886405394E-4</v>
      </c>
      <c r="M59" s="184">
        <f t="shared" si="5"/>
        <v>399164746.71877801</v>
      </c>
      <c r="N59" s="184">
        <f t="shared" ca="1" si="6"/>
        <v>15352490.258414539</v>
      </c>
      <c r="O59" s="180">
        <f t="shared" si="7"/>
        <v>421357082.49759901</v>
      </c>
      <c r="P59" s="180">
        <f t="shared" ca="1" si="8"/>
        <v>16206041.634523038</v>
      </c>
      <c r="Q59" s="185">
        <f t="shared" si="9"/>
        <v>443549418.27642</v>
      </c>
      <c r="R59" s="185">
        <f t="shared" ca="1" si="10"/>
        <v>17059593.010631539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21229693.035904001</v>
      </c>
      <c r="I60" s="114">
        <f t="shared" si="1"/>
        <v>19801023.489305001</v>
      </c>
      <c r="J60" s="114">
        <f t="shared" si="2"/>
        <v>11767765.855973</v>
      </c>
      <c r="K60" s="114">
        <f t="shared" si="3"/>
        <v>52798482.381182</v>
      </c>
      <c r="L60" s="187">
        <f t="shared" si="4"/>
        <v>9.4106021016040126E-2</v>
      </c>
      <c r="M60" s="184">
        <f t="shared" si="5"/>
        <v>452149379.93428421</v>
      </c>
      <c r="N60" s="184">
        <f t="shared" ca="1" si="6"/>
        <v>17390360.766703241</v>
      </c>
      <c r="O60" s="180">
        <f t="shared" si="7"/>
        <v>480202038.95181006</v>
      </c>
      <c r="P60" s="180">
        <f t="shared" ca="1" si="8"/>
        <v>18469309.190454233</v>
      </c>
      <c r="Q60" s="185">
        <f t="shared" si="9"/>
        <v>508254697.96933597</v>
      </c>
      <c r="R60" s="185">
        <f t="shared" ca="1" si="10"/>
        <v>19548257.61420523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38217658.354423001</v>
      </c>
      <c r="I61" s="114">
        <f t="shared" si="1"/>
        <v>6268450.4599980004</v>
      </c>
      <c r="J61" s="114">
        <f t="shared" si="2"/>
        <v>22947162.569993999</v>
      </c>
      <c r="K61" s="114">
        <f t="shared" si="3"/>
        <v>67433271.384415001</v>
      </c>
      <c r="L61" s="187">
        <f t="shared" si="4"/>
        <v>9.6545676534082539E-2</v>
      </c>
      <c r="M61" s="184">
        <f t="shared" si="5"/>
        <v>561180524.95216918</v>
      </c>
      <c r="N61" s="184">
        <f t="shared" ca="1" si="6"/>
        <v>21583866.344314199</v>
      </c>
      <c r="O61" s="180">
        <f t="shared" si="7"/>
        <v>596103513.63753498</v>
      </c>
      <c r="P61" s="180">
        <f t="shared" ca="1" si="8"/>
        <v>22927058.216828268</v>
      </c>
      <c r="Q61" s="185">
        <f t="shared" si="9"/>
        <v>631026502.32290077</v>
      </c>
      <c r="R61" s="185">
        <f t="shared" ca="1" si="10"/>
        <v>24270250.089342337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22829327.111478001</v>
      </c>
      <c r="I62" s="114">
        <f t="shared" si="1"/>
        <v>3694145.28</v>
      </c>
      <c r="J62" s="114">
        <f t="shared" si="2"/>
        <v>21813140.973623</v>
      </c>
      <c r="K62" s="114">
        <f t="shared" si="3"/>
        <v>48336613.365101002</v>
      </c>
      <c r="L62" s="187">
        <f t="shared" si="4"/>
        <v>0.10533371650803693</v>
      </c>
      <c r="M62" s="184">
        <f t="shared" si="5"/>
        <v>364664593.37834132</v>
      </c>
      <c r="N62" s="184">
        <f t="shared" ca="1" si="6"/>
        <v>14025561.283782359</v>
      </c>
      <c r="O62" s="180">
        <f t="shared" si="7"/>
        <v>387609104.86408812</v>
      </c>
      <c r="P62" s="180">
        <f t="shared" ca="1" si="8"/>
        <v>14908042.49477262</v>
      </c>
      <c r="Q62" s="185">
        <f t="shared" si="9"/>
        <v>410553616.34983492</v>
      </c>
      <c r="R62" s="185">
        <f t="shared" ca="1" si="10"/>
        <v>15790523.705762882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68663137.828872994</v>
      </c>
      <c r="I63" s="114">
        <f t="shared" si="1"/>
        <v>3715837.8599700001</v>
      </c>
      <c r="J63" s="114">
        <f t="shared" si="2"/>
        <v>31963960.749435</v>
      </c>
      <c r="K63" s="114">
        <f t="shared" si="3"/>
        <v>104342936.43827799</v>
      </c>
      <c r="L63" s="187">
        <f t="shared" si="4"/>
        <v>0.10859542812608115</v>
      </c>
      <c r="M63" s="184">
        <f t="shared" si="5"/>
        <v>760413936.06486881</v>
      </c>
      <c r="N63" s="184">
        <f t="shared" ca="1" si="6"/>
        <v>29246689.848648801</v>
      </c>
      <c r="O63" s="180">
        <f t="shared" si="7"/>
        <v>808455984.53726578</v>
      </c>
      <c r="P63" s="180">
        <f t="shared" ca="1" si="8"/>
        <v>31094460.94374099</v>
      </c>
      <c r="Q63" s="185">
        <f t="shared" si="9"/>
        <v>856498033.00966287</v>
      </c>
      <c r="R63" s="185">
        <f t="shared" ca="1" si="10"/>
        <v>32942232.038833186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18048427.090439998</v>
      </c>
      <c r="I64" s="114">
        <f t="shared" si="1"/>
        <v>12045032.40667</v>
      </c>
      <c r="J64" s="114">
        <f t="shared" si="2"/>
        <v>11174523.499499999</v>
      </c>
      <c r="K64" s="114">
        <f t="shared" si="3"/>
        <v>41267982.996610001</v>
      </c>
      <c r="L64" s="187">
        <f t="shared" si="4"/>
        <v>7.9547939578064233E-2</v>
      </c>
      <c r="M64" s="184">
        <f t="shared" si="5"/>
        <v>425635181.23306268</v>
      </c>
      <c r="N64" s="184">
        <f t="shared" ca="1" si="6"/>
        <v>16370583.893579334</v>
      </c>
      <c r="O64" s="180">
        <f t="shared" si="7"/>
        <v>451574245.91248894</v>
      </c>
      <c r="P64" s="180">
        <f t="shared" ca="1" si="8"/>
        <v>17368240.227403421</v>
      </c>
      <c r="Q64" s="185">
        <f t="shared" si="9"/>
        <v>477513310.59191519</v>
      </c>
      <c r="R64" s="185">
        <f t="shared" ca="1" si="10"/>
        <v>18365896.561227508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331064083.41928303</v>
      </c>
      <c r="I65" s="135">
        <f t="shared" si="12"/>
        <v>80043622.264091015</v>
      </c>
      <c r="J65" s="135">
        <f t="shared" si="12"/>
        <v>245798699.26829401</v>
      </c>
      <c r="K65" s="135">
        <f t="shared" si="12"/>
        <v>656906404.95166802</v>
      </c>
      <c r="L65" s="189">
        <f t="shared" si="4"/>
        <v>7.586836466404237E-2</v>
      </c>
      <c r="M65" s="181">
        <f>SUM(M51:M64)</f>
        <v>7135745605.863409</v>
      </c>
      <c r="N65" s="181">
        <f t="shared" ca="1" si="6"/>
        <v>274451754.07166958</v>
      </c>
      <c r="O65" s="181">
        <f>SUM(O51:O64)</f>
        <v>7568670717.5753565</v>
      </c>
      <c r="P65" s="181">
        <f t="shared" ca="1" si="8"/>
        <v>291102719.90674448</v>
      </c>
      <c r="Q65" s="186">
        <f>SUM(Q51:Q64)</f>
        <v>8001595829.2873039</v>
      </c>
      <c r="R65" s="186">
        <f t="shared" ca="1" si="10"/>
        <v>307753685.74181938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15509042.029937999</v>
      </c>
      <c r="F69" s="187">
        <f t="shared" ref="F69:F74" si="13">IFERROR(E69/D69,0)</f>
        <v>5.7573513652165544E-2</v>
      </c>
      <c r="G69" s="184">
        <f>D69*$H$40-E69</f>
        <v>226931221.58282804</v>
      </c>
      <c r="H69" s="184">
        <f t="shared" ref="H69:H74" ca="1" si="14">IFERROR(G69/$C$3,0)</f>
        <v>8728123.9070318472</v>
      </c>
      <c r="I69" s="204">
        <f>D69*$J$40-E69</f>
        <v>240400125.11687058</v>
      </c>
      <c r="J69" s="204">
        <f t="shared" ref="J69:J74" ca="1" si="15">IFERROR(I69/$C$3,0)</f>
        <v>9246158.6583411768</v>
      </c>
      <c r="K69" s="185">
        <f>D69*$L$40-E69</f>
        <v>253869028.65091315</v>
      </c>
      <c r="L69" s="185">
        <f t="shared" ref="L69:L74" ca="1" si="16">IFERROR(K69/$C$3,0)</f>
        <v>9764193.4096505065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13028594.909956001</v>
      </c>
      <c r="F70" s="187">
        <f t="shared" si="13"/>
        <v>3.1570774261465359E-2</v>
      </c>
      <c r="G70" s="184">
        <f>D70*$H$40-E70</f>
        <v>358382486.80281001</v>
      </c>
      <c r="H70" s="184">
        <f t="shared" ca="1" si="14"/>
        <v>13783941.800108077</v>
      </c>
      <c r="I70" s="204">
        <f>D70*$J$40-E70</f>
        <v>379016435.78685254</v>
      </c>
      <c r="J70" s="204">
        <f t="shared" ca="1" si="15"/>
        <v>14577555.222571252</v>
      </c>
      <c r="K70" s="185">
        <f>D70*$L$40-E70</f>
        <v>399650384.77089512</v>
      </c>
      <c r="L70" s="185">
        <f t="shared" ca="1" si="16"/>
        <v>15371168.645034429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100984459.15882701</v>
      </c>
      <c r="F71" s="187">
        <f t="shared" si="13"/>
        <v>9.1993880336068784E-2</v>
      </c>
      <c r="G71" s="184">
        <f>D71*$H$40-E71</f>
        <v>886972706.15393901</v>
      </c>
      <c r="H71" s="184">
        <f t="shared" ca="1" si="14"/>
        <v>34114334.852074578</v>
      </c>
      <c r="I71" s="204">
        <f>D71*$J$40-E71</f>
        <v>941859215.33798146</v>
      </c>
      <c r="J71" s="204">
        <f t="shared" ca="1" si="15"/>
        <v>36225354.436076209</v>
      </c>
      <c r="K71" s="185">
        <f>D71*$L$40-E71</f>
        <v>996745724.52202392</v>
      </c>
      <c r="L71" s="185">
        <f t="shared" ca="1" si="16"/>
        <v>38336374.020077839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129522096.098721</v>
      </c>
      <c r="F74" s="177">
        <f t="shared" si="13"/>
        <v>7.2773921298743424E-2</v>
      </c>
      <c r="G74" s="181">
        <f>SUM(G69:G73)</f>
        <v>1472286414.539577</v>
      </c>
      <c r="H74" s="181">
        <f t="shared" ca="1" si="14"/>
        <v>56626400.559214503</v>
      </c>
      <c r="I74" s="186">
        <f>SUM(I69:I73)</f>
        <v>1561275776.2417045</v>
      </c>
      <c r="J74" s="186">
        <f t="shared" ca="1" si="15"/>
        <v>60049068.316988632</v>
      </c>
      <c r="K74" s="186">
        <f>SUM(K69:K73)</f>
        <v>1650265137.9438322</v>
      </c>
      <c r="L74" s="186">
        <f t="shared" ca="1" si="16"/>
        <v>63471736.074762776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74432433.089969993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25301801.710000001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0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24683964.210000001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29513694.069988001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172490989.74000001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18955856.199965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0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972973.02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61440000.609972998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18115315.679985002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3565405.4871999999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16162162.5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445634596.31708103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174</v>
      </c>
      <c r="C40" s="262"/>
      <c r="D40" s="26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176</v>
      </c>
      <c r="C40" s="262"/>
      <c r="D40" s="26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2026-10-02T00:46:11Z</dcterms:modified>
  <dc:language>en-US</dc:language>
</cp:coreProperties>
</file>