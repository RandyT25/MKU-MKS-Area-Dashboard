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6" i="9" l="1"/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<sst xmlns="http://schemas.openxmlformats.org/spreadsheetml/2006/main" count="1881" uniqueCount="186">
  <si>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</si>
  <si>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</si>
  <si>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</si>
  <si>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</si>
  <si>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</si>
  <si>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</si>
  <si>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</si>
  <si>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</si>
  <si>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</si>
  <si>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</si>
  <si>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</si>
  <si>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</si>
  <si>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</si>
  <si>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</si>
  <si>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</si>
  <si>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</si>
  <si>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</si>
  <si>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</si>
  <si>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</si>
  <si>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</si>
  <si>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</si>
  <si>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</si>
  <si>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</si>
  <si>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</si>
  <si>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</si>
  <si>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</si>
  <si>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</si>
  <si>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</si>
  <si>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</si>
  <si>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</si>
  <si>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</si>
  <si>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</si>
  <si>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</si>
  <si>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</si>
  <si>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</si>
  <si>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</si>
  <si>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</si>
  <si>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</si>
  <si>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</si>
  <si>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</si>
  <si>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</si>
  <si>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</si>
  <si>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</si>
  <si>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</si>
  <si>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</si>
  <si>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</si>
  <si>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</si>
  <si>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</si>
  <si>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</si>
  <si>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</si>
  <si>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</si>
  <si>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</si>
  <si>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</si>
  <si>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</si>
  <si>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</si>
  <si>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</si>
  <si>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</si>
  <si>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</si>
  <si>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</si>
  <si>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</si>
  <si>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</si>
  <si>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</si>
  <si>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</si>
  <si>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</si>
  <si>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</si>
  <si>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</si>
  <si>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</si>
  <si>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</si>
  <si>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</si>
  <si>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</si>
  <si>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</si>
  <si>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</si>
  <si>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</si>
  <si>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</si>
  <si>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</si>
  <si>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</si>
  <si>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</si>
  <si>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</si>
  <si>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</si>
  <si>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</si>
  <si>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</si>
  <si>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</si>
  <si>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</si>
  <si>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</si>
  <si>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</si>
  <si>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</si>
  <si>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</si>
  <si>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</si>
  <si>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</si>
  <si>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</si>
  <si>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</si>
  <si>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</si>
  <si>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</si>
  <si>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</si>
  <si>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</si>
  <si>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</si>
  <si>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</si>
  <si>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</si>
  <si>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</si>
  <si>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</si>
  <si>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</si>
  <si>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</si>
  <si>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</si>
  <si>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</si>
  <si>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</si>
  <si>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</si>
  <si>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</si>
  <si>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</si>
  <si>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</si>
  <si>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</si>
  <si>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</si>
  <si>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</si>
  <si>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</si>
  <si>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</si>
  <si>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</si>
  <si>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</si>
  <si>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</si>
  <si>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</si>
  <si>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</si>
  <si>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</si>
  <si>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</si>
  <si>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</si>
  <si>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</si>
  <si>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</si>
  <si>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</si>
  <si>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</si>
  <si>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</si>
  <si>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</si>
  <si>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</si>
  <si>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</si>
  <si>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</si>
  <si>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</si>
  <si>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</si>
  <si>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</si>
  <si>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</si>
  <si>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</si>
  <si>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</si>
  <si>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</si>
  <si>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</si>
  <si>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</si>
  <si>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</si>
  <si>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</si>
  <si>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</si>
  <si>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</si>
  <si>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</si>
  <si>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</si>
  <si>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</si>
  <si>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</si>
  <si>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</si>
  <si>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</si>
  <si>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</si>
  <si>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</si>
  <si>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</si>
  <si>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</si>
  <si>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</si>
  <si>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</si>
  <si>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</si>
  <si>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</si>
  <si>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</si>
  <si>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</si>
  <si>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</si>
  <si>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</si>
  <si>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</si>
  <si>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</si>
  <si>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</si>
  <si>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</si>
  <si>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</si>
  <si>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</si>
  <si>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</si>
  <si>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</si>
  <si>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</si>
  <si>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</si>
  <si>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</si>
  <si>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</si>
  <si>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</si>
  <si>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</si>
  <si>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</si>
  <si>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</si>
  <si>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</si>
  <si>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</si>
  <si>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</si>
  <si>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</si>
  <si>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</si>
  <si>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</si>
  <si>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</si>
  <si>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02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</si>
</sst>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26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24338233.854292575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21368743.450641952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4222019.7976812581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49928997.102615789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5844004.7433293574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5228832.1148950001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1688670.0846153842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-1551873.364847197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5030552.9850586969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3103365.5559593714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-966043.67956690607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4262093.3936650017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3985082.3142317305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2908151.8329723226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6816775.2848414714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4552858.7754681865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1330987.8062690543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3473519.4580430915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45706977.304934569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-513960.68908740237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-712672.41299547825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5448652.8997641439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4222019.7976812627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77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3.5703125" customWidth="1"/>
    <col min="8" max="9" width="12.57031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26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39458977.411850996</v>
      </c>
      <c r="N8" s="11">
        <f>D24</f>
        <v>7420756.7799840001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54099776.831804007</v>
      </c>
      <c r="N9" s="11">
        <f>D12+D13</f>
        <v>43799673.818334997</v>
      </c>
    </row>
    <row r="10" spans="2:14" x14ac:dyDescent="0.25">
      <c r="B10" s="74" t="s">
        <v>113</v>
      </c>
      <c r="C10" s="206">
        <v>45578630.668854997</v>
      </c>
      <c r="D10" s="206">
        <v>2978246.0857000002</v>
      </c>
      <c r="E10" s="206">
        <v>12609008.58</v>
      </c>
      <c r="F10" s="206">
        <v>61165885.334555</v>
      </c>
      <c r="H10" s="116"/>
      <c r="I10" s="116"/>
      <c r="J10" s="116"/>
      <c r="M10" s="11">
        <f>C14</f>
        <v>51207168.727599002</v>
      </c>
      <c r="N10" s="11">
        <f>D14</f>
        <v>597878.38</v>
      </c>
    </row>
    <row r="11" spans="2:14" x14ac:dyDescent="0.25">
      <c r="B11" s="74" t="s">
        <v>114</v>
      </c>
      <c r="C11" s="206">
        <v>48567987.865744002</v>
      </c>
      <c r="D11" s="206">
        <v>7405207.2079739999</v>
      </c>
      <c r="E11" s="206" t="s">
        <v>168</v>
      </c>
      <c r="F11" s="206">
        <v>55973195.073717996</v>
      </c>
      <c r="H11" s="116"/>
      <c r="I11" s="116"/>
      <c r="J11" s="116"/>
      <c r="M11" s="11">
        <f>C17</f>
        <v>23873873.999899998</v>
      </c>
      <c r="N11" s="11">
        <f>D17</f>
        <v>12735432.119999999</v>
      </c>
    </row>
    <row r="12" spans="2:14" x14ac:dyDescent="0.25">
      <c r="B12" s="74" t="s">
        <v>70</v>
      </c>
      <c r="C12" s="206">
        <v>41529416.391831003</v>
      </c>
      <c r="D12" s="206">
        <v>42574745.878334999</v>
      </c>
      <c r="E12" s="206">
        <v>648648.64</v>
      </c>
      <c r="F12" s="206">
        <v>84752810.910165995</v>
      </c>
      <c r="H12" s="116"/>
      <c r="I12" s="116"/>
      <c r="J12" s="116"/>
      <c r="M12" s="11">
        <f>C16</f>
        <v>43088663.012911998</v>
      </c>
      <c r="N12" s="11">
        <f>D16</f>
        <v>15144545.149985</v>
      </c>
    </row>
    <row r="13" spans="2:14" x14ac:dyDescent="0.25">
      <c r="B13" s="74" t="s">
        <v>115</v>
      </c>
      <c r="C13" s="206">
        <v>12570360.439973</v>
      </c>
      <c r="D13" s="206">
        <v>1224927.94</v>
      </c>
      <c r="E13" s="206">
        <v>972972.96</v>
      </c>
      <c r="F13" s="206">
        <v>14768261.339973001</v>
      </c>
      <c r="H13" s="116"/>
      <c r="I13" s="116"/>
      <c r="J13" s="116"/>
      <c r="M13" s="11">
        <f>C19</f>
        <v>117563142.22395</v>
      </c>
      <c r="N13" s="11">
        <f>D19</f>
        <v>8934259.4399980009</v>
      </c>
    </row>
    <row r="14" spans="2:14" x14ac:dyDescent="0.25">
      <c r="B14" s="74" t="s">
        <v>116</v>
      </c>
      <c r="C14" s="206">
        <v>51207168.727599002</v>
      </c>
      <c r="D14" s="206">
        <v>597878.38</v>
      </c>
      <c r="E14" s="206">
        <v>30882882.52</v>
      </c>
      <c r="F14" s="206">
        <v>82687929.627599001</v>
      </c>
      <c r="H14" s="116"/>
      <c r="I14" s="116"/>
      <c r="J14" s="116"/>
      <c r="M14" s="11">
        <f>C25</f>
        <v>31906235.919829998</v>
      </c>
      <c r="N14" s="11">
        <f>D25</f>
        <v>3264890.0999960001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48567987.865744002</v>
      </c>
      <c r="N15" s="11">
        <f>D11</f>
        <v>7405207.2079739999</v>
      </c>
    </row>
    <row r="16" spans="2:14" x14ac:dyDescent="0.25">
      <c r="B16" s="74" t="s">
        <v>74</v>
      </c>
      <c r="C16" s="206">
        <v>43088663.012911998</v>
      </c>
      <c r="D16" s="206">
        <v>15144545.149985</v>
      </c>
      <c r="E16" s="206">
        <v>720720.7</v>
      </c>
      <c r="F16" s="206">
        <v>58953928.862897001</v>
      </c>
      <c r="H16" s="116"/>
      <c r="I16" s="116"/>
      <c r="J16" s="116"/>
      <c r="M16" s="11">
        <f>C26</f>
        <v>30436229.037845999</v>
      </c>
      <c r="N16" s="11">
        <f>D26</f>
        <v>3719935.1599989999</v>
      </c>
    </row>
    <row r="17" spans="2:14" x14ac:dyDescent="0.25">
      <c r="B17" s="74" t="s">
        <v>118</v>
      </c>
      <c r="C17" s="206">
        <v>23873873.999899998</v>
      </c>
      <c r="D17" s="206">
        <v>12735432.119999999</v>
      </c>
      <c r="E17" s="206" t="s">
        <v>168</v>
      </c>
      <c r="F17" s="206">
        <v>36609306.119900003</v>
      </c>
      <c r="H17" s="116"/>
      <c r="I17" s="116"/>
      <c r="J17" s="116"/>
      <c r="M17" s="11">
        <f>C10</f>
        <v>45578630.668854997</v>
      </c>
      <c r="N17" s="11">
        <f>D10</f>
        <v>2978246.0857000002</v>
      </c>
    </row>
    <row r="18" spans="2:14" x14ac:dyDescent="0.25">
      <c r="B18" s="74" t="s">
        <v>119</v>
      </c>
      <c r="C18" s="206">
        <v>151934477.78388199</v>
      </c>
      <c r="D18" s="206">
        <v>0</v>
      </c>
      <c r="E18" s="206">
        <v>713513.52</v>
      </c>
      <c r="F18" s="206">
        <v>152647991.303882</v>
      </c>
      <c r="H18" s="116"/>
      <c r="I18" s="116"/>
      <c r="J18" s="116"/>
      <c r="M18" s="11">
        <f>C27</f>
        <v>60946118.369949996</v>
      </c>
      <c r="N18" s="11">
        <f>D27</f>
        <v>0</v>
      </c>
    </row>
    <row r="19" spans="2:14" x14ac:dyDescent="0.25">
      <c r="B19" s="74" t="s">
        <v>121</v>
      </c>
      <c r="C19" s="206">
        <v>117563142.22395</v>
      </c>
      <c r="D19" s="206">
        <v>8934259.4399980009</v>
      </c>
      <c r="E19" s="206">
        <v>82209909.950000003</v>
      </c>
      <c r="F19" s="206">
        <v>208707311.61394799</v>
      </c>
      <c r="H19" s="116"/>
      <c r="I19" s="116"/>
      <c r="J19" s="116"/>
      <c r="M19" s="11">
        <f>C20+C21</f>
        <v>25539321.600968</v>
      </c>
      <c r="N19" s="11">
        <f>D20+D21</f>
        <v>3783783.6599699999</v>
      </c>
    </row>
    <row r="20" spans="2:14" x14ac:dyDescent="0.25">
      <c r="B20" s="74" t="s">
        <v>123</v>
      </c>
      <c r="C20" s="206">
        <v>17570272.900973</v>
      </c>
      <c r="D20" s="206">
        <v>0</v>
      </c>
      <c r="E20" s="206" t="s">
        <v>168</v>
      </c>
      <c r="F20" s="206">
        <v>17570272.900973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7969048.6999949999</v>
      </c>
      <c r="D21" s="206">
        <v>3783783.6599699999</v>
      </c>
      <c r="E21" s="206">
        <v>6151351.5</v>
      </c>
      <c r="F21" s="206">
        <v>17904183.859965</v>
      </c>
      <c r="H21" s="116"/>
      <c r="I21" s="116"/>
      <c r="J21" s="116"/>
      <c r="M21" s="14">
        <f>IFERROR(C34,0)+IFERROR(C35,0)+M20</f>
        <v>30767724.973331001</v>
      </c>
      <c r="N21" s="10" t="s">
        <v>122</v>
      </c>
    </row>
    <row r="22" spans="2:14" x14ac:dyDescent="0.25">
      <c r="B22" s="74" t="s">
        <v>172</v>
      </c>
      <c r="C22" s="206">
        <v>590000</v>
      </c>
      <c r="D22" s="206">
        <v>0</v>
      </c>
      <c r="E22" s="206" t="s">
        <v>168</v>
      </c>
      <c r="F22" s="206">
        <v>590000</v>
      </c>
      <c r="H22" s="116"/>
      <c r="I22" s="116"/>
      <c r="J22" s="116"/>
    </row>
    <row r="23" spans="2:14" x14ac:dyDescent="0.25">
      <c r="B23" s="74" t="s">
        <v>173</v>
      </c>
      <c r="C23" s="206">
        <v>45142878.399999999</v>
      </c>
      <c r="D23" s="206">
        <v>0</v>
      </c>
      <c r="E23" s="206" t="s">
        <v>168</v>
      </c>
      <c r="F23" s="206">
        <v>45142878.399999999</v>
      </c>
      <c r="H23" s="116"/>
      <c r="I23" s="116"/>
      <c r="J23" s="116"/>
    </row>
    <row r="24" spans="2:14" x14ac:dyDescent="0.25">
      <c r="B24" s="74" t="s">
        <v>125</v>
      </c>
      <c r="C24" s="206">
        <v>39458977.411850996</v>
      </c>
      <c r="D24" s="206">
        <v>7420756.7799840001</v>
      </c>
      <c r="E24" s="206">
        <v>15427026.720000001</v>
      </c>
      <c r="F24" s="206">
        <v>62306760.911835</v>
      </c>
      <c r="H24" s="116"/>
      <c r="I24" s="116"/>
      <c r="J24" s="116"/>
    </row>
    <row r="25" spans="2:14" x14ac:dyDescent="0.25">
      <c r="B25" s="74" t="s">
        <v>126</v>
      </c>
      <c r="C25" s="206">
        <v>31906235.919829998</v>
      </c>
      <c r="D25" s="206">
        <v>3264890.0999960001</v>
      </c>
      <c r="E25" s="206">
        <v>6576576.4800000004</v>
      </c>
      <c r="F25" s="206">
        <v>41747702.499825999</v>
      </c>
      <c r="H25" s="116"/>
      <c r="I25" s="116"/>
      <c r="J25" s="116"/>
    </row>
    <row r="26" spans="2:14" x14ac:dyDescent="0.25">
      <c r="B26" s="74" t="s">
        <v>127</v>
      </c>
      <c r="C26" s="206">
        <v>30436229.037845999</v>
      </c>
      <c r="D26" s="206">
        <v>3719935.1599989999</v>
      </c>
      <c r="E26" s="206">
        <v>40229730.309927002</v>
      </c>
      <c r="F26" s="206">
        <v>74385894.507771999</v>
      </c>
      <c r="H26" s="116"/>
      <c r="I26" s="116"/>
      <c r="J26" s="116"/>
    </row>
    <row r="27" spans="2:14" x14ac:dyDescent="0.25">
      <c r="B27" s="74" t="s">
        <v>128</v>
      </c>
      <c r="C27" s="206">
        <v>60946118.369949996</v>
      </c>
      <c r="D27" s="206">
        <v>0</v>
      </c>
      <c r="E27" s="206" t="s">
        <v>168</v>
      </c>
      <c r="F27" s="206">
        <v>60946118.369949996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23981693.439870998</v>
      </c>
      <c r="G32" s="116"/>
      <c r="H32" s="116"/>
      <c r="I32" s="116"/>
    </row>
    <row r="33" spans="2:14" x14ac:dyDescent="0.25">
      <c r="B33" s="84" t="s">
        <v>133</v>
      </c>
      <c r="C33" s="206">
        <v>80912921.518979996</v>
      </c>
      <c r="G33" s="116"/>
      <c r="H33" s="116"/>
      <c r="I33" s="116"/>
    </row>
    <row r="34" spans="2:14" x14ac:dyDescent="0.25">
      <c r="B34" s="84" t="s">
        <v>134</v>
      </c>
      <c r="C34" s="206">
        <v>14547580.921572</v>
      </c>
      <c r="G34" s="116"/>
      <c r="H34" s="116"/>
      <c r="I34" s="116"/>
    </row>
    <row r="35" spans="2:14" x14ac:dyDescent="0.25">
      <c r="B35" s="84" t="s">
        <v>135</v>
      </c>
      <c r="C35" s="206">
        <v>16220144.051759001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6.4516129032258063E-2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617999004.07120895</v>
      </c>
      <c r="F43" s="44">
        <f>IFERROR(E43/D43,0)</f>
        <v>7.7756812933041389E-2</v>
      </c>
      <c r="G43" s="118">
        <f>D43-E43</f>
        <v>7329844802.2764807</v>
      </c>
      <c r="H43" s="118">
        <f ca="1">IFERROR(G43/C3,0)</f>
        <v>281917107.77986467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109784607.901941</v>
      </c>
      <c r="F44" s="44">
        <f>IFERROR(E44/D44,0)</f>
        <v>7.4043427177321999E-2</v>
      </c>
      <c r="G44" s="118">
        <f>D44-E44</f>
        <v>1372921043.1887989</v>
      </c>
      <c r="H44" s="118">
        <f ca="1">IFERROR(G44/C3,0)</f>
        <v>52804655.5072615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135662339.93218198</v>
      </c>
      <c r="F45" s="44">
        <f>IFERROR(E45/D45,0)</f>
        <v>7.3288850308190254E-2</v>
      </c>
      <c r="G45" s="118">
        <f>D45-E45</f>
        <v>1715401489.8550522</v>
      </c>
      <c r="H45" s="118">
        <f ca="1">IFERROR(G45/C3,0)</f>
        <v>65976980.379040472</v>
      </c>
      <c r="I45" s="116"/>
    </row>
    <row r="46" spans="2:14" x14ac:dyDescent="0.25">
      <c r="B46" s="222" t="s">
        <v>146</v>
      </c>
      <c r="C46" s="223"/>
      <c r="D46" s="47">
        <f>D43+D44+D45</f>
        <v>11281613287.225662</v>
      </c>
      <c r="E46" s="47">
        <f>E43+E44+E45</f>
        <v>863445951.90533197</v>
      </c>
      <c r="F46" s="43">
        <f>IFERROR(E46/D46,0)</f>
        <v>7.6535680662181943E-2</v>
      </c>
      <c r="G46" s="119">
        <f>G43+G44+G45</f>
        <v>10418167335.320332</v>
      </c>
      <c r="H46" s="119">
        <f ca="1">IFERROR(G46/C3,0)</f>
        <v>400698743.6661666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39458977.411850996</v>
      </c>
      <c r="H51" s="122">
        <f>N8</f>
        <v>7420756.7799840001</v>
      </c>
      <c r="I51" s="122">
        <f t="shared" ref="I51:I64" si="1">G51+H51</f>
        <v>46879734.191834994</v>
      </c>
      <c r="J51" s="61">
        <f t="shared" ref="J51:J64" si="2">IFERROR(I51/F51,0)</f>
        <v>8.2597876109656507E-2</v>
      </c>
      <c r="K51" s="51">
        <f t="shared" ref="K51:M64" si="3">D51-G51</f>
        <v>451778199.71361244</v>
      </c>
      <c r="L51" s="51">
        <f t="shared" si="3"/>
        <v>68907921.293997452</v>
      </c>
      <c r="M51" s="51">
        <f t="shared" si="3"/>
        <v>520686121.0076099</v>
      </c>
      <c r="N51" s="51">
        <f ca="1">IFERROR(M51/C3,0)</f>
        <v>20026389.269523457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54099776.831804007</v>
      </c>
      <c r="H52" s="122">
        <f>N9</f>
        <v>43799673.818334997</v>
      </c>
      <c r="I52" s="122">
        <f t="shared" si="1"/>
        <v>97899450.650139004</v>
      </c>
      <c r="J52" s="61">
        <f t="shared" si="2"/>
        <v>0.11672452296721629</v>
      </c>
      <c r="K52" s="54">
        <f t="shared" si="3"/>
        <v>603357383.01994562</v>
      </c>
      <c r="L52" s="54">
        <f t="shared" si="3"/>
        <v>137465383.06268731</v>
      </c>
      <c r="M52" s="54">
        <f t="shared" si="3"/>
        <v>740822766.08263302</v>
      </c>
      <c r="N52" s="54">
        <f ca="1">IFERROR(M52/C3,0)</f>
        <v>28493183.310870502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590000</v>
      </c>
      <c r="H53" s="122">
        <f>IF(D22="",0,D22)</f>
        <v>0</v>
      </c>
      <c r="I53" s="122">
        <f>G53+H53</f>
        <v>590000</v>
      </c>
      <c r="J53" s="61">
        <f>IFERROR(I53/F53,0)</f>
        <v>2.3699007458363374E-3</v>
      </c>
      <c r="K53" s="54">
        <f>D53-G53</f>
        <v>248365573.78787571</v>
      </c>
      <c r="L53" s="54">
        <f>E53-H53</f>
        <v>0</v>
      </c>
      <c r="M53" s="54">
        <f>F53-I53</f>
        <v>248365573.78787571</v>
      </c>
      <c r="N53" s="54">
        <f ca="1">IFERROR(M53/C3,0)</f>
        <v>9552522.06876445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51207168.727599002</v>
      </c>
      <c r="H54" s="122">
        <f t="shared" ref="H54:H58" si="4">N10</f>
        <v>597878.38</v>
      </c>
      <c r="I54" s="122">
        <f t="shared" si="1"/>
        <v>51805047.107599005</v>
      </c>
      <c r="J54" s="61">
        <f t="shared" si="2"/>
        <v>6.6427786086725907E-2</v>
      </c>
      <c r="K54" s="54">
        <f>D54-G54</f>
        <v>677180108.8463037</v>
      </c>
      <c r="L54" s="54">
        <f t="shared" si="3"/>
        <v>50884988.144593351</v>
      </c>
      <c r="M54" s="54">
        <f t="shared" si="3"/>
        <v>728065096.99089706</v>
      </c>
      <c r="N54" s="54">
        <f ca="1">IFERROR(M54/C3,0)</f>
        <v>28002503.730419118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23873873.999899998</v>
      </c>
      <c r="H55" s="122">
        <f t="shared" si="4"/>
        <v>12735432.119999999</v>
      </c>
      <c r="I55" s="122">
        <f t="shared" si="1"/>
        <v>36609306.119899996</v>
      </c>
      <c r="J55" s="61">
        <f t="shared" si="2"/>
        <v>6.6249401679612713E-2</v>
      </c>
      <c r="K55" s="54">
        <f t="shared" si="3"/>
        <v>458438304.47746539</v>
      </c>
      <c r="L55" s="54">
        <f t="shared" si="3"/>
        <v>57550679.979588963</v>
      </c>
      <c r="M55" s="54">
        <f t="shared" si="3"/>
        <v>515988984.45705438</v>
      </c>
      <c r="N55" s="54">
        <f ca="1">IFERROR(M55/C3,0)</f>
        <v>19845730.171425167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43088663.012911998</v>
      </c>
      <c r="H56" s="122">
        <f t="shared" si="4"/>
        <v>15144545.149985</v>
      </c>
      <c r="I56" s="122">
        <f t="shared" si="1"/>
        <v>58233208.162896998</v>
      </c>
      <c r="J56" s="61">
        <f t="shared" si="2"/>
        <v>9.2706733079143747E-2</v>
      </c>
      <c r="K56" s="54">
        <f t="shared" si="3"/>
        <v>462103339.99017459</v>
      </c>
      <c r="L56" s="54">
        <f t="shared" si="3"/>
        <v>107807775.6597771</v>
      </c>
      <c r="M56" s="54">
        <f t="shared" si="3"/>
        <v>569911115.6499517</v>
      </c>
      <c r="N56" s="54">
        <f ca="1">IFERROR(M56/C3,0)</f>
        <v>21919658.294228911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117563142.22395</v>
      </c>
      <c r="H57" s="122">
        <f t="shared" si="4"/>
        <v>8934259.4399980009</v>
      </c>
      <c r="I57" s="122">
        <f t="shared" si="1"/>
        <v>126497401.663948</v>
      </c>
      <c r="J57" s="61">
        <f t="shared" si="2"/>
        <v>0.1088259780712609</v>
      </c>
      <c r="K57" s="54">
        <f t="shared" si="3"/>
        <v>943682260.82476866</v>
      </c>
      <c r="L57" s="54">
        <f t="shared" si="3"/>
        <v>92202738.348660395</v>
      </c>
      <c r="M57" s="54">
        <f t="shared" si="3"/>
        <v>1035884999.173429</v>
      </c>
      <c r="N57" s="54">
        <f ca="1">IFERROR(M57/C3,0)</f>
        <v>39841730.73743958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31906235.919829998</v>
      </c>
      <c r="H58" s="122">
        <f t="shared" si="4"/>
        <v>3264890.0999960001</v>
      </c>
      <c r="I58" s="122">
        <f>G58+H58</f>
        <v>35171126.019825995</v>
      </c>
      <c r="J58" s="61">
        <f>IFERROR(I58/F58,0)</f>
        <v>5.2668794911090756E-2</v>
      </c>
      <c r="K58" s="54">
        <f t="shared" si="3"/>
        <v>531207934.81425875</v>
      </c>
      <c r="L58" s="54">
        <f t="shared" si="3"/>
        <v>101400144.65557449</v>
      </c>
      <c r="M58" s="54">
        <f t="shared" si="3"/>
        <v>632608079.46983337</v>
      </c>
      <c r="N58" s="54">
        <f ca="1">IFERROR(M58/C3,0)</f>
        <v>24331079.979608975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45142878.399999999</v>
      </c>
      <c r="H59" s="122">
        <f>IF(D23="",0,D23)</f>
        <v>0</v>
      </c>
      <c r="I59" s="122">
        <f>G59+H59</f>
        <v>45142878.399999999</v>
      </c>
      <c r="J59" s="61">
        <f>IFERROR(I59/F59,0)</f>
        <v>0.10502027233895823</v>
      </c>
      <c r="K59" s="54">
        <f>D59-G59</f>
        <v>384706305.90128499</v>
      </c>
      <c r="L59" s="54">
        <f>E59-H59</f>
        <v>0</v>
      </c>
      <c r="M59" s="54">
        <f>F59-I59</f>
        <v>384706305.90128499</v>
      </c>
      <c r="N59" s="54">
        <f ca="1">IFERROR(M59/C3,0)</f>
        <v>14796396.380818654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48567987.865744002</v>
      </c>
      <c r="H60" s="122">
        <f t="shared" ref="H60:H64" si="5">N15</f>
        <v>7405207.2079739999</v>
      </c>
      <c r="I60" s="122">
        <f t="shared" si="1"/>
        <v>55973195.073718004</v>
      </c>
      <c r="J60" s="61">
        <f t="shared" si="2"/>
        <v>8.8511326926383291E-2</v>
      </c>
      <c r="K60" s="54">
        <f t="shared" si="3"/>
        <v>466153123.56110406</v>
      </c>
      <c r="L60" s="54">
        <f t="shared" si="3"/>
        <v>110258224.87419207</v>
      </c>
      <c r="M60" s="54">
        <f t="shared" si="3"/>
        <v>576411348.43529618</v>
      </c>
      <c r="N60" s="54">
        <f ca="1">IFERROR(M60/C3,0)</f>
        <v>22169667.247511391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30436229.037845999</v>
      </c>
      <c r="H61" s="122">
        <f t="shared" si="5"/>
        <v>3719935.1599989999</v>
      </c>
      <c r="I61" s="122">
        <f t="shared" si="1"/>
        <v>34156164.197844997</v>
      </c>
      <c r="J61" s="61">
        <f t="shared" si="2"/>
        <v>4.4370690388708667E-2</v>
      </c>
      <c r="K61" s="54">
        <f t="shared" si="3"/>
        <v>668408947.20175505</v>
      </c>
      <c r="L61" s="54">
        <f t="shared" si="3"/>
        <v>67226025.466211826</v>
      </c>
      <c r="M61" s="54">
        <f t="shared" si="3"/>
        <v>735634972.66796684</v>
      </c>
      <c r="N61" s="54">
        <f ca="1">IFERROR(M61/C3,0)</f>
        <v>28293652.7949218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45578630.668854997</v>
      </c>
      <c r="H62" s="122">
        <f t="shared" si="5"/>
        <v>2978246.0857000002</v>
      </c>
      <c r="I62" s="122">
        <f t="shared" si="1"/>
        <v>48556876.754554994</v>
      </c>
      <c r="J62" s="61">
        <f t="shared" si="2"/>
        <v>9.1578459661385211E-2</v>
      </c>
      <c r="K62" s="54">
        <f t="shared" si="3"/>
        <v>436291733.54851109</v>
      </c>
      <c r="L62" s="54">
        <f t="shared" si="3"/>
        <v>45372982.570365794</v>
      </c>
      <c r="M62" s="54">
        <f t="shared" si="3"/>
        <v>481664716.11887693</v>
      </c>
      <c r="N62" s="54">
        <f ca="1">IFERROR(M62/C3,0)</f>
        <v>18525566.00457219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60946118.369949996</v>
      </c>
      <c r="H63" s="122">
        <f t="shared" si="5"/>
        <v>0</v>
      </c>
      <c r="I63" s="122">
        <f t="shared" si="1"/>
        <v>60946118.369949996</v>
      </c>
      <c r="J63" s="61">
        <f t="shared" si="2"/>
        <v>5.904645614366464E-2</v>
      </c>
      <c r="K63" s="54">
        <f t="shared" si="3"/>
        <v>645108810.62285042</v>
      </c>
      <c r="L63" s="54">
        <f t="shared" si="3"/>
        <v>326117403.61363631</v>
      </c>
      <c r="M63" s="54">
        <f t="shared" si="3"/>
        <v>971226214.23648667</v>
      </c>
      <c r="N63" s="54">
        <f ca="1">IFERROR(M63/C3,0)</f>
        <v>37354854.393711023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25539321.600968</v>
      </c>
      <c r="H64" s="122">
        <f t="shared" si="5"/>
        <v>3783783.6599699999</v>
      </c>
      <c r="I64" s="122">
        <f t="shared" si="1"/>
        <v>29323105.260938</v>
      </c>
      <c r="J64" s="61">
        <f t="shared" si="2"/>
        <v>4.9690690287140703E-2</v>
      </c>
      <c r="K64" s="54">
        <f t="shared" si="3"/>
        <v>353062775.96656919</v>
      </c>
      <c r="L64" s="54">
        <f t="shared" si="3"/>
        <v>207726775.51951399</v>
      </c>
      <c r="M64" s="54">
        <f t="shared" si="3"/>
        <v>560789551.48608315</v>
      </c>
      <c r="N64" s="54">
        <f ca="1">IFERROR(M64/C3,0)</f>
        <v>21568828.903310891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617999004.07120895</v>
      </c>
      <c r="H65" s="152">
        <f>SUM(H51:H64)</f>
        <v>109784607.901941</v>
      </c>
      <c r="I65" s="152">
        <f>SUM(I51:I64)</f>
        <v>727783611.9731499</v>
      </c>
      <c r="J65" s="153">
        <f>IFERROR(I65/F65,0)</f>
        <v>7.7172980774636024E-2</v>
      </c>
      <c r="K65" s="154">
        <f>SUM(K51:K64)</f>
        <v>7329844802.2764807</v>
      </c>
      <c r="L65" s="154">
        <f>SUM(L51:L64)</f>
        <v>1372921043.1887991</v>
      </c>
      <c r="M65" s="154">
        <f>SUM(M51:M64)</f>
        <v>8702765845.4652786</v>
      </c>
      <c r="N65" s="154">
        <f ca="1">IFERROR(M65/C3,0)</f>
        <v>334721763.28712612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15427026.720000001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1621621.6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30882882.52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720720.7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82209909.950000003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6576576.4800000004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0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40229730.309927002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12609008.58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6151351.5</v>
      </c>
    </row>
    <row r="84" spans="2:9" ht="20.100000000000001" customHeight="1" x14ac:dyDescent="0.25">
      <c r="B84" s="57" t="s">
        <v>152</v>
      </c>
      <c r="C84" s="58"/>
      <c r="D84" s="129">
        <f>SUM(D70:D83)</f>
        <v>196428828.35992703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23981693.439870998</v>
      </c>
      <c r="F89" s="61">
        <f t="shared" ref="F89:F94" si="7">IFERROR(E89/D89,0)</f>
        <v>8.1810548257126622E-2</v>
      </c>
      <c r="G89" s="125">
        <f>D89-E89</f>
        <v>269155242.45374614</v>
      </c>
      <c r="H89" s="125">
        <f ca="1">IFERROR(G89/C3,0)</f>
        <v>10352124.709759466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80912921.518979996</v>
      </c>
      <c r="F90" s="61">
        <f t="shared" si="7"/>
        <v>0.18539391683299766</v>
      </c>
      <c r="G90" s="126">
        <f>D90-E90</f>
        <v>355524923.37463713</v>
      </c>
      <c r="H90" s="126">
        <f ca="1">IFERROR(G90/C3,0)</f>
        <v>13674035.514409121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30767724.973331001</v>
      </c>
      <c r="F91" s="61">
        <f t="shared" si="7"/>
        <v>2.7434708346698266E-2</v>
      </c>
      <c r="G91" s="125">
        <f>D91-E91</f>
        <v>1090721324.026669</v>
      </c>
      <c r="H91" s="125">
        <f ca="1">IFERROR(G91/C3,0)</f>
        <v>41950820.154871888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135662339.93218198</v>
      </c>
      <c r="F94" s="43">
        <f t="shared" si="7"/>
        <v>7.3288850308190254E-2</v>
      </c>
      <c r="G94" s="119">
        <f>SUM(G89:G93)</f>
        <v>1715401489.8550522</v>
      </c>
      <c r="H94" s="119">
        <f ca="1">IFERROR(G94/C3,0)</f>
        <v>65976980.379040472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2026-07-02T01:02:34Z</dcterms:modified>
  <dc:language>en-US</dc:language>
</cp:coreProperties>
</file>