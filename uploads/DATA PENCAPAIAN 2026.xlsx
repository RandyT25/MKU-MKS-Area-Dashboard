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6" i="8" l="1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<sst xmlns="http://schemas.openxmlformats.org/spreadsheetml/2006/main" count="1875" uniqueCount="185">
  <si>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</si>
  <si>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</si>
  <si>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</si>
  <si>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</si>
  <si>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</si>
  <si>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</si>
  <si>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</si>
  <si>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</si>
  <si>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</si>
  <si>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</si>
  <si>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</si>
  <si>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</si>
  <si>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</si>
  <si>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</si>
  <si>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</si>
  <si>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</si>
  <si>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</si>
  <si>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</si>
  <si>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</si>
  <si>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</si>
  <si>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</si>
  <si>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</si>
  <si>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</si>
  <si>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</si>
  <si>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</si>
  <si>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</si>
  <si>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</si>
  <si>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</si>
  <si>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</si>
  <si>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</si>
  <si>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</si>
  <si>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</si>
  <si>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</si>
  <si>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</si>
  <si>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</si>
  <si>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</si>
  <si>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</si>
  <si>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</si>
  <si>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</si>
  <si>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</si>
  <si>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</si>
  <si>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</si>
  <si>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</si>
  <si>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</si>
  <si>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</si>
  <si>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</si>
  <si>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</si>
  <si>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</si>
  <si>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</si>
  <si>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</si>
  <si>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</si>
  <si>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</si>
  <si>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</si>
  <si>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</si>
  <si>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</si>
  <si>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</si>
  <si>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</si>
  <si>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</si>
  <si>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</si>
  <si>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</si>
  <si>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</si>
  <si>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</si>
  <si>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</si>
  <si>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</si>
  <si>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</si>
  <si>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</si>
  <si>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</si>
  <si>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</si>
  <si>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</si>
  <si>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</si>
  <si>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</si>
  <si>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</si>
  <si>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</si>
  <si>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</si>
  <si>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</si>
  <si>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</si>
  <si>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</si>
  <si>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</si>
  <si>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</si>
  <si>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</si>
  <si>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</si>
  <si>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</si>
  <si>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</si>
  <si>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</si>
  <si>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</si>
  <si>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</si>
  <si>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</si>
  <si>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</si>
  <si>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</si>
  <si>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</si>
  <si>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</si>
  <si>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</si>
  <si>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</si>
  <si>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</si>
  <si>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</si>
  <si>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</si>
  <si>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</si>
  <si>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</si>
  <si>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</si>
  <si>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</si>
  <si>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</si>
  <si>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</si>
  <si>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</si>
  <si>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</si>
  <si>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</si>
  <si>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</si>
  <si>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</si>
  <si>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</si>
  <si>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</si>
  <si>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</si>
  <si>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</si>
  <si>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</si>
  <si>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</si>
  <si>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</si>
  <si>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</si>
  <si>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</si>
  <si>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</si>
  <si>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</si>
  <si>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</si>
  <si>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</si>
  <si>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</si>
  <si>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</si>
  <si>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</si>
  <si>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</si>
  <si>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</si>
  <si>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</si>
  <si>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</si>
  <si>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</si>
  <si>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</si>
  <si>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</si>
  <si>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</si>
  <si>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</si>
  <si>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</si>
  <si>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</si>
  <si>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</si>
  <si>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</si>
  <si>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</si>
  <si>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</si>
  <si>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</si>
  <si>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</si>
  <si>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</si>
  <si>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</si>
  <si>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</si>
  <si>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</si>
  <si>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</si>
  <si>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</si>
  <si>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</si>
  <si>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</si>
  <si>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</si>
  <si>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</si>
  <si>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</si>
  <si>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</si>
  <si>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</si>
  <si>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</si>
  <si>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</si>
  <si>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</si>
  <si>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</si>
  <si>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</si>
  <si>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</si>
  <si>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</si>
  <si>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</si>
  <si>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</si>
  <si>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</si>
  <si>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</si>
  <si>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</si>
  <si>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</si>
  <si>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</si>
  <si>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</si>
  <si>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</si>
  <si>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</si>
  <si>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</si>
  <si>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</si>
  <si>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</si>
  <si>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</si>
  <si>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</si>
  <si>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</si>
  <si>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</si>
  <si>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</si>
  <si>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</si>
  <si>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</si>
  <si>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</si>
  <si>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</si>
  <si>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</si>
  <si>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</si>
  <si>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13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</si>
</sst>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15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183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42186272.01410713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37039155.314446054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7318167.6493141809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86543594.977867365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10129608.221770886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9063308.9991513323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2927028.146666666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-2689913.8324018079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8719625.174101742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5379166.9636629103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-1674475.7112493038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7387628.5490193367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6907476.0113349995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5040796.5104853595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11815743.82705855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7891621.8774781907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2307045.5308663608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6020767.0606080256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79225427.328553244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-890865.19441816409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-1235298.8491921623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9444331.6929245163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7318167.6493141893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56" zoomScaleNormal="100" workbookViewId="0">
      <selection activeCell="E43" sqref="E43:E45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15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182652151.89806399</v>
      </c>
      <c r="N8" s="11">
        <f>D24</f>
        <v>34358204.848972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264848838.000655</v>
      </c>
      <c r="N9" s="11">
        <f>D12+D13</f>
        <v>77604053.417861998</v>
      </c>
    </row>
    <row r="10" spans="2:14" x14ac:dyDescent="0.25">
      <c r="B10" s="74" t="s">
        <v>113</v>
      </c>
      <c r="C10" s="205">
        <v>151710781.81419799</v>
      </c>
      <c r="D10" s="205">
        <v>23935450.952498998</v>
      </c>
      <c r="E10" s="205">
        <v>77206250.260000005</v>
      </c>
      <c r="F10" s="205">
        <v>252852483.02669701</v>
      </c>
      <c r="H10" s="116"/>
      <c r="I10" s="116"/>
      <c r="J10" s="116"/>
      <c r="M10" s="11">
        <f>C14</f>
        <v>481942612.94040698</v>
      </c>
      <c r="N10" s="11">
        <f>D14</f>
        <v>15260820.285153</v>
      </c>
    </row>
    <row r="11" spans="2:14" x14ac:dyDescent="0.25">
      <c r="B11" s="74" t="s">
        <v>114</v>
      </c>
      <c r="C11" s="205">
        <v>187934863.95361799</v>
      </c>
      <c r="D11" s="205">
        <v>48022944.660267003</v>
      </c>
      <c r="E11" s="205">
        <v>1783783.8</v>
      </c>
      <c r="F11" s="205">
        <v>237741592.413885</v>
      </c>
      <c r="H11" s="116"/>
      <c r="I11" s="116"/>
      <c r="J11" s="116"/>
      <c r="M11" s="11">
        <f>C17</f>
        <v>149416665.23982</v>
      </c>
      <c r="N11" s="11">
        <f>D17</f>
        <v>46234425.210000001</v>
      </c>
    </row>
    <row r="12" spans="2:14" x14ac:dyDescent="0.25">
      <c r="B12" s="74" t="s">
        <v>70</v>
      </c>
      <c r="C12" s="205">
        <v>128751027.032639</v>
      </c>
      <c r="D12" s="205">
        <v>49075175.658046998</v>
      </c>
      <c r="E12" s="205">
        <v>29707864.199999999</v>
      </c>
      <c r="F12" s="205">
        <v>207534066.89068601</v>
      </c>
      <c r="H12" s="116"/>
      <c r="I12" s="116"/>
      <c r="J12" s="116"/>
      <c r="M12" s="11">
        <f>C16</f>
        <v>246394866.224498</v>
      </c>
      <c r="N12" s="11">
        <f>D16</f>
        <v>52194708.560814001</v>
      </c>
    </row>
    <row r="13" spans="2:14" x14ac:dyDescent="0.25">
      <c r="B13" s="74" t="s">
        <v>115</v>
      </c>
      <c r="C13" s="205">
        <v>136097810.968016</v>
      </c>
      <c r="D13" s="205">
        <v>28528877.759815</v>
      </c>
      <c r="E13" s="205">
        <v>13913657.4</v>
      </c>
      <c r="F13" s="205">
        <v>178540346.12783101</v>
      </c>
      <c r="H13" s="116"/>
      <c r="I13" s="116"/>
      <c r="J13" s="116"/>
      <c r="M13" s="11">
        <f>C19</f>
        <v>446511323.25056702</v>
      </c>
      <c r="N13" s="11">
        <f>D19</f>
        <v>38460947.329939</v>
      </c>
    </row>
    <row r="14" spans="2:14" x14ac:dyDescent="0.25">
      <c r="B14" s="74" t="s">
        <v>116</v>
      </c>
      <c r="C14" s="205">
        <v>481942612.94040698</v>
      </c>
      <c r="D14" s="205">
        <v>15260820.285153</v>
      </c>
      <c r="E14" s="205">
        <v>128026306.64</v>
      </c>
      <c r="F14" s="205">
        <v>625229739.86556005</v>
      </c>
      <c r="H14" s="116"/>
      <c r="I14" s="116"/>
      <c r="J14" s="116"/>
      <c r="M14" s="11">
        <f>C25</f>
        <v>235880756.900805</v>
      </c>
      <c r="N14" s="11">
        <f>D25</f>
        <v>31460892.939971998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187934863.95361799</v>
      </c>
      <c r="N15" s="11">
        <f>D11</f>
        <v>48022944.660267003</v>
      </c>
    </row>
    <row r="16" spans="2:14" x14ac:dyDescent="0.25">
      <c r="B16" s="74" t="s">
        <v>74</v>
      </c>
      <c r="C16" s="205">
        <v>246394866.224498</v>
      </c>
      <c r="D16" s="205">
        <v>52194708.560814001</v>
      </c>
      <c r="E16" s="205">
        <v>17069909.699999999</v>
      </c>
      <c r="F16" s="205">
        <v>315659484.48531199</v>
      </c>
      <c r="H16" s="116"/>
      <c r="I16" s="116"/>
      <c r="J16" s="116"/>
      <c r="M16" s="11">
        <f>C26</f>
        <v>278243843.15952998</v>
      </c>
      <c r="N16" s="11">
        <f>D26</f>
        <v>26733940.735466</v>
      </c>
    </row>
    <row r="17" spans="2:14" x14ac:dyDescent="0.25">
      <c r="B17" s="74" t="s">
        <v>118</v>
      </c>
      <c r="C17" s="205">
        <v>149416665.23982</v>
      </c>
      <c r="D17" s="205">
        <v>46234425.210000001</v>
      </c>
      <c r="E17" s="205" t="s">
        <v>168</v>
      </c>
      <c r="F17" s="205">
        <v>195651090.44982001</v>
      </c>
      <c r="H17" s="116"/>
      <c r="I17" s="116"/>
      <c r="J17" s="116"/>
      <c r="M17" s="11">
        <f>C10</f>
        <v>151710781.81419799</v>
      </c>
      <c r="N17" s="11">
        <f>D10</f>
        <v>23935450.952498998</v>
      </c>
    </row>
    <row r="18" spans="2:14" x14ac:dyDescent="0.25">
      <c r="B18" s="74" t="s">
        <v>119</v>
      </c>
      <c r="C18" s="205">
        <v>234109007.198033</v>
      </c>
      <c r="D18" s="205">
        <v>1777900.9299969999</v>
      </c>
      <c r="E18" s="205">
        <v>5689189.1200000001</v>
      </c>
      <c r="F18" s="205">
        <v>241576097.24803001</v>
      </c>
      <c r="H18" s="116"/>
      <c r="I18" s="116"/>
      <c r="J18" s="116"/>
      <c r="M18" s="11">
        <f>C27</f>
        <v>384460553.55784702</v>
      </c>
      <c r="N18" s="11">
        <f>D27</f>
        <v>50952055.171508998</v>
      </c>
    </row>
    <row r="19" spans="2:14" x14ac:dyDescent="0.25">
      <c r="B19" s="74" t="s">
        <v>121</v>
      </c>
      <c r="C19" s="205">
        <v>446511323.25056702</v>
      </c>
      <c r="D19" s="205">
        <v>38460947.329939</v>
      </c>
      <c r="E19" s="205">
        <v>698069386.81997001</v>
      </c>
      <c r="F19" s="205">
        <v>1183041657.400476</v>
      </c>
      <c r="H19" s="116"/>
      <c r="I19" s="116"/>
      <c r="J19" s="116"/>
      <c r="M19" s="11">
        <f>C20+C21</f>
        <v>90238958.720900998</v>
      </c>
      <c r="N19" s="11">
        <f>D20+D21</f>
        <v>89768479.319114</v>
      </c>
    </row>
    <row r="20" spans="2:14" x14ac:dyDescent="0.25">
      <c r="B20" s="74" t="s">
        <v>123</v>
      </c>
      <c r="C20" s="205">
        <v>63598320.720900998</v>
      </c>
      <c r="D20" s="205">
        <v>19557070.13978</v>
      </c>
      <c r="E20" s="205">
        <v>3048648.72</v>
      </c>
      <c r="F20" s="205">
        <v>86204039.580680996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26640638</v>
      </c>
      <c r="D21" s="205">
        <v>70211409.179334</v>
      </c>
      <c r="E21" s="205">
        <v>16627027.34</v>
      </c>
      <c r="F21" s="205">
        <v>113479074.519334</v>
      </c>
      <c r="H21" s="116"/>
      <c r="I21" s="116"/>
      <c r="J21" s="116"/>
      <c r="M21" s="14">
        <f>IFERROR(C34,0)+IFERROR(C35,0)+M20</f>
        <v>419040028.12441802</v>
      </c>
      <c r="N21" s="10" t="s">
        <v>122</v>
      </c>
    </row>
    <row r="22" spans="2:14" x14ac:dyDescent="0.25">
      <c r="B22" s="74" t="s">
        <v>172</v>
      </c>
      <c r="C22" s="205">
        <v>92198236.400000006</v>
      </c>
      <c r="D22" s="205" t="s">
        <v>168</v>
      </c>
      <c r="E22" s="205">
        <v>4684684.5599999996</v>
      </c>
      <c r="F22" s="205">
        <v>96882920.959999993</v>
      </c>
      <c r="H22" s="116"/>
      <c r="I22" s="116"/>
      <c r="J22" s="116"/>
    </row>
    <row r="23" spans="2:14" x14ac:dyDescent="0.25">
      <c r="B23" s="74" t="s">
        <v>173</v>
      </c>
      <c r="C23" s="205">
        <v>190630278.84</v>
      </c>
      <c r="D23" s="205" t="s">
        <v>168</v>
      </c>
      <c r="E23" s="205">
        <v>5129098.96</v>
      </c>
      <c r="F23" s="205">
        <v>195759377.80000001</v>
      </c>
      <c r="H23" s="116"/>
      <c r="I23" s="116"/>
      <c r="J23" s="116"/>
    </row>
    <row r="24" spans="2:14" x14ac:dyDescent="0.25">
      <c r="B24" s="74" t="s">
        <v>125</v>
      </c>
      <c r="C24" s="205">
        <v>182652151.89806399</v>
      </c>
      <c r="D24" s="205">
        <v>34358204.848972</v>
      </c>
      <c r="E24" s="205">
        <v>167092617.4799</v>
      </c>
      <c r="F24" s="205">
        <v>384102974.22693598</v>
      </c>
      <c r="H24" s="116"/>
      <c r="I24" s="116"/>
      <c r="J24" s="116"/>
    </row>
    <row r="25" spans="2:14" x14ac:dyDescent="0.25">
      <c r="B25" s="74" t="s">
        <v>126</v>
      </c>
      <c r="C25" s="205">
        <v>235880756.900805</v>
      </c>
      <c r="D25" s="205">
        <v>31460892.939971998</v>
      </c>
      <c r="E25" s="205">
        <v>130529236.16968501</v>
      </c>
      <c r="F25" s="205">
        <v>397870886.01046199</v>
      </c>
      <c r="H25" s="116"/>
      <c r="I25" s="116"/>
      <c r="J25" s="116"/>
    </row>
    <row r="26" spans="2:14" x14ac:dyDescent="0.25">
      <c r="B26" s="74" t="s">
        <v>127</v>
      </c>
      <c r="C26" s="205">
        <v>278243843.15952998</v>
      </c>
      <c r="D26" s="205">
        <v>26733940.735466</v>
      </c>
      <c r="E26" s="205">
        <v>314650726.179685</v>
      </c>
      <c r="F26" s="205">
        <v>619628510.07468104</v>
      </c>
      <c r="H26" s="116"/>
      <c r="I26" s="116"/>
      <c r="J26" s="116"/>
    </row>
    <row r="27" spans="2:14" x14ac:dyDescent="0.25">
      <c r="B27" s="74" t="s">
        <v>128</v>
      </c>
      <c r="C27" s="205">
        <v>384460553.55784702</v>
      </c>
      <c r="D27" s="205">
        <v>50952055.171508998</v>
      </c>
      <c r="E27" s="205">
        <v>5677297.4550000001</v>
      </c>
      <c r="F27" s="205">
        <v>441089906.18435597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92875238.249441996</v>
      </c>
      <c r="G32" s="116"/>
      <c r="H32" s="116"/>
      <c r="I32" s="116"/>
    </row>
    <row r="33" spans="2:14" x14ac:dyDescent="0.25">
      <c r="B33" s="84" t="s">
        <v>133</v>
      </c>
      <c r="C33" s="206">
        <v>167127682.15738502</v>
      </c>
      <c r="G33" s="116"/>
      <c r="H33" s="116"/>
      <c r="I33" s="116"/>
    </row>
    <row r="34" spans="2:14" x14ac:dyDescent="0.25">
      <c r="B34" s="84" t="s">
        <v>134</v>
      </c>
      <c r="C34" s="205">
        <v>85859981.992045999</v>
      </c>
      <c r="G34" s="116"/>
      <c r="H34" s="116"/>
      <c r="I34" s="116"/>
    </row>
    <row r="35" spans="2:14" x14ac:dyDescent="0.25">
      <c r="B35" s="84" t="s">
        <v>135</v>
      </c>
      <c r="C35" s="205">
        <v>332769046.13237202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0.43333333333333335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3383064730.9009104</v>
      </c>
      <c r="F43" s="44">
        <f>IFERROR(E43/D43,0)</f>
        <v>0.46603313857724826</v>
      </c>
      <c r="G43" s="118">
        <f>D43-E43</f>
        <v>3876214601.0990896</v>
      </c>
      <c r="H43" s="118">
        <f ca="1">IFERROR(G43/C3,0)</f>
        <v>258414306.7399393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534986923.43156695</v>
      </c>
      <c r="F44" s="44">
        <f>IFERROR(E44/D44,0)</f>
        <v>0.2956668035355019</v>
      </c>
      <c r="G44" s="118">
        <f>D44-E44</f>
        <v>1274438135.568433</v>
      </c>
      <c r="H44" s="118">
        <f ca="1">IFERROR(G44/C3,0)</f>
        <v>84962542.371228874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679042948.53124499</v>
      </c>
      <c r="F45" s="44">
        <f>IFERROR(E45/D45,0)</f>
        <v>0.37088923391053341</v>
      </c>
      <c r="G45" s="118">
        <f>D45-E45</f>
        <v>1151808115.468755</v>
      </c>
      <c r="H45" s="118">
        <f ca="1">IFERROR(G45/C3,0)</f>
        <v>76787207.697916999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4597094602.8637228</v>
      </c>
      <c r="F46" s="43">
        <f>IFERROR(E46/D46,0)</f>
        <v>0.42176899983153698</v>
      </c>
      <c r="G46" s="119">
        <f>G43+G44+G45</f>
        <v>6302460852.1362772</v>
      </c>
      <c r="H46" s="119">
        <f ca="1">IFERROR(G46/C3,0)</f>
        <v>420164056.80908513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182652151.89806399</v>
      </c>
      <c r="H51" s="122">
        <f>N8</f>
        <v>34358204.848972</v>
      </c>
      <c r="I51" s="122">
        <f t="shared" ref="I51:I64" si="1">G51+H51</f>
        <v>217010356.74703598</v>
      </c>
      <c r="J51" s="61">
        <f t="shared" ref="J51:J64" si="2">IFERROR(I51/F51,0)</f>
        <v>0.39205945208417808</v>
      </c>
      <c r="K51" s="51">
        <f t="shared" ref="K51:M64" si="3">D51-G51</f>
        <v>269031326.10193598</v>
      </c>
      <c r="L51" s="51">
        <f t="shared" si="3"/>
        <v>67472218.151028007</v>
      </c>
      <c r="M51" s="51">
        <f t="shared" si="3"/>
        <v>336503544.25296402</v>
      </c>
      <c r="N51" s="51">
        <f ca="1">IFERROR(M51/C3,0)</f>
        <v>22433569.616864268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264848838.000655</v>
      </c>
      <c r="H52" s="122">
        <f>N9</f>
        <v>77604053.417861998</v>
      </c>
      <c r="I52" s="122">
        <f t="shared" si="1"/>
        <v>342452891.41851699</v>
      </c>
      <c r="J52" s="61">
        <f t="shared" si="2"/>
        <v>0.42003855942088264</v>
      </c>
      <c r="K52" s="54">
        <f t="shared" si="3"/>
        <v>325333532.999345</v>
      </c>
      <c r="L52" s="54">
        <f t="shared" si="3"/>
        <v>147502752.582138</v>
      </c>
      <c r="M52" s="54">
        <f t="shared" si="3"/>
        <v>472836285.58148301</v>
      </c>
      <c r="N52" s="54">
        <f ca="1">IFERROR(M52/C3,0)</f>
        <v>31522419.038765535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92198236.400000006</v>
      </c>
      <c r="H53" s="122">
        <f>IF(D22="",0,D22)</f>
        <v>0</v>
      </c>
      <c r="I53" s="122">
        <f>G53+H53</f>
        <v>92198236.400000006</v>
      </c>
      <c r="J53" s="61">
        <f>IFERROR(I53/F53,0)</f>
        <v>0.38181549934545966</v>
      </c>
      <c r="K53" s="54">
        <f>D53-G53</f>
        <v>149275031.59999999</v>
      </c>
      <c r="L53" s="54">
        <f>E53-H53</f>
        <v>0</v>
      </c>
      <c r="M53" s="54">
        <f>F53-I53</f>
        <v>149275031.59999999</v>
      </c>
      <c r="N53" s="54">
        <f ca="1">IFERROR(M53/C3,0)</f>
        <v>9951668.7733333334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481942612.94040698</v>
      </c>
      <c r="H54" s="122">
        <f t="shared" ref="H54:H58" si="4">N10</f>
        <v>15260820.285153</v>
      </c>
      <c r="I54" s="122">
        <f t="shared" si="1"/>
        <v>497203433.22555995</v>
      </c>
      <c r="J54" s="61">
        <f t="shared" si="2"/>
        <v>0.68470767098866803</v>
      </c>
      <c r="K54" s="54">
        <f>D54-G54</f>
        <v>163769859.05959302</v>
      </c>
      <c r="L54" s="54">
        <f t="shared" si="3"/>
        <v>65181027.714846998</v>
      </c>
      <c r="M54" s="54">
        <f t="shared" si="3"/>
        <v>228950886.77444005</v>
      </c>
      <c r="N54" s="54">
        <f ca="1">IFERROR(M54/C3,0)</f>
        <v>15263392.451629337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149416665.23982</v>
      </c>
      <c r="H55" s="122">
        <f t="shared" si="4"/>
        <v>46234425.210000001</v>
      </c>
      <c r="I55" s="122">
        <f t="shared" si="1"/>
        <v>195651090.44982001</v>
      </c>
      <c r="J55" s="61">
        <f t="shared" si="2"/>
        <v>0.33192806048269324</v>
      </c>
      <c r="K55" s="54">
        <f t="shared" si="3"/>
        <v>359502166.76018</v>
      </c>
      <c r="L55" s="54">
        <f t="shared" si="3"/>
        <v>34284978.789999999</v>
      </c>
      <c r="M55" s="54">
        <f t="shared" si="3"/>
        <v>393787145.55017996</v>
      </c>
      <c r="N55" s="54">
        <f ca="1">IFERROR(M55/C3,0)</f>
        <v>26252476.370011996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246394866.224498</v>
      </c>
      <c r="H56" s="122">
        <f t="shared" si="4"/>
        <v>52194708.560814001</v>
      </c>
      <c r="I56" s="122">
        <f t="shared" si="1"/>
        <v>298589574.785312</v>
      </c>
      <c r="J56" s="61">
        <f t="shared" si="2"/>
        <v>0.57177779632148251</v>
      </c>
      <c r="K56" s="54">
        <f t="shared" si="3"/>
        <v>193668417.775502</v>
      </c>
      <c r="L56" s="54">
        <f t="shared" si="3"/>
        <v>29954616.439185999</v>
      </c>
      <c r="M56" s="54">
        <f t="shared" si="3"/>
        <v>223623034.214688</v>
      </c>
      <c r="N56" s="54">
        <f ca="1">IFERROR(M56/C3,0)</f>
        <v>14908202.280979199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446511323.25056702</v>
      </c>
      <c r="H57" s="122">
        <f t="shared" si="4"/>
        <v>38460947.329939</v>
      </c>
      <c r="I57" s="122">
        <f t="shared" si="1"/>
        <v>484972270.58050603</v>
      </c>
      <c r="J57" s="61">
        <f t="shared" si="2"/>
        <v>0.43214398899058176</v>
      </c>
      <c r="K57" s="54">
        <f t="shared" si="3"/>
        <v>550247021.74943304</v>
      </c>
      <c r="L57" s="54">
        <f t="shared" si="3"/>
        <v>87027650.670060992</v>
      </c>
      <c r="M57" s="54">
        <f t="shared" si="3"/>
        <v>637274672.41949391</v>
      </c>
      <c r="N57" s="54">
        <f ca="1">IFERROR(M57/C3,0)</f>
        <v>42484978.161299594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235880756.900805</v>
      </c>
      <c r="H58" s="122">
        <f t="shared" si="4"/>
        <v>31460892.939971998</v>
      </c>
      <c r="I58" s="122">
        <f>G58+H58</f>
        <v>267341649.84077698</v>
      </c>
      <c r="J58" s="61">
        <f>IFERROR(I58/F58,0)</f>
        <v>0.41927494792014658</v>
      </c>
      <c r="K58" s="54">
        <f t="shared" si="3"/>
        <v>304406302.099195</v>
      </c>
      <c r="L58" s="54">
        <f t="shared" si="3"/>
        <v>65880533.060028002</v>
      </c>
      <c r="M58" s="54">
        <f t="shared" si="3"/>
        <v>370286835.15922302</v>
      </c>
      <c r="N58" s="54">
        <f ca="1">IFERROR(M58/C3,0)</f>
        <v>24685789.010614868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190630278.84</v>
      </c>
      <c r="H59" s="122">
        <f>IF(D23="",0,D23)</f>
        <v>0</v>
      </c>
      <c r="I59" s="122">
        <f>G59+H59</f>
        <v>190630278.84</v>
      </c>
      <c r="J59" s="61">
        <f>IFERROR(I59/F59,0)</f>
        <v>0.47170106284439595</v>
      </c>
      <c r="K59" s="54">
        <f>D59-G59</f>
        <v>213503385.16</v>
      </c>
      <c r="L59" s="54">
        <f>E59-H59</f>
        <v>0</v>
      </c>
      <c r="M59" s="54">
        <f>F59-I59</f>
        <v>213503385.16</v>
      </c>
      <c r="N59" s="54">
        <f ca="1">IFERROR(M59/C3,0)</f>
        <v>14233559.010666667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187934863.95361799</v>
      </c>
      <c r="H60" s="122">
        <f t="shared" ref="H60:H64" si="5">N15</f>
        <v>48022944.660267003</v>
      </c>
      <c r="I60" s="122">
        <f t="shared" si="1"/>
        <v>235957808.61388499</v>
      </c>
      <c r="J60" s="61">
        <f t="shared" si="2"/>
        <v>0.38615662483361751</v>
      </c>
      <c r="K60" s="54">
        <f t="shared" si="3"/>
        <v>251082445.04638201</v>
      </c>
      <c r="L60" s="54">
        <f t="shared" si="3"/>
        <v>124001467.339733</v>
      </c>
      <c r="M60" s="54">
        <f t="shared" si="3"/>
        <v>375083912.38611501</v>
      </c>
      <c r="N60" s="54">
        <f ca="1">IFERROR(M60/C3,0)</f>
        <v>25005594.159074333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278243843.15952998</v>
      </c>
      <c r="H61" s="122">
        <f t="shared" si="5"/>
        <v>26733940.735466</v>
      </c>
      <c r="I61" s="122">
        <f t="shared" si="1"/>
        <v>304977783.89499599</v>
      </c>
      <c r="J61" s="61">
        <f t="shared" si="2"/>
        <v>0.40185167859967513</v>
      </c>
      <c r="K61" s="54">
        <f t="shared" si="3"/>
        <v>388385752.84047002</v>
      </c>
      <c r="L61" s="54">
        <f t="shared" si="3"/>
        <v>65567681.264533997</v>
      </c>
      <c r="M61" s="54">
        <f t="shared" si="3"/>
        <v>453953434.10500401</v>
      </c>
      <c r="N61" s="54">
        <f ca="1">IFERROR(M61/C3,0)</f>
        <v>30263562.273666933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151710781.81419799</v>
      </c>
      <c r="H62" s="122">
        <f t="shared" si="5"/>
        <v>23935450.952498998</v>
      </c>
      <c r="I62" s="122">
        <f t="shared" si="1"/>
        <v>175646232.76669699</v>
      </c>
      <c r="J62" s="61">
        <f t="shared" si="2"/>
        <v>0.33851866740702757</v>
      </c>
      <c r="K62" s="54">
        <f t="shared" si="3"/>
        <v>269832241.18580198</v>
      </c>
      <c r="L62" s="54">
        <f t="shared" si="3"/>
        <v>73388725.047500998</v>
      </c>
      <c r="M62" s="54">
        <f t="shared" si="3"/>
        <v>343220966.23330301</v>
      </c>
      <c r="N62" s="54">
        <f ca="1">IFERROR(M62/C3,0)</f>
        <v>22881397.748886868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384460553.55784702</v>
      </c>
      <c r="H63" s="122">
        <f t="shared" si="5"/>
        <v>50952055.171508998</v>
      </c>
      <c r="I63" s="122">
        <f t="shared" si="1"/>
        <v>435412608.72935605</v>
      </c>
      <c r="J63" s="61">
        <f t="shared" si="2"/>
        <v>0.44352110232602182</v>
      </c>
      <c r="K63" s="54">
        <f t="shared" si="3"/>
        <v>233890388.44215298</v>
      </c>
      <c r="L63" s="54">
        <f t="shared" si="3"/>
        <v>312414910.82849097</v>
      </c>
      <c r="M63" s="54">
        <f t="shared" si="3"/>
        <v>546305299.27064395</v>
      </c>
      <c r="N63" s="54">
        <f ca="1">IFERROR(M63/C3,0)</f>
        <v>36420353.284709595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90238958.720900998</v>
      </c>
      <c r="H64" s="122">
        <f t="shared" si="5"/>
        <v>89768479.319114</v>
      </c>
      <c r="I64" s="122">
        <f t="shared" si="1"/>
        <v>180007438.04001498</v>
      </c>
      <c r="J64" s="61">
        <f t="shared" si="2"/>
        <v>0.30715071133969879</v>
      </c>
      <c r="K64" s="54">
        <f t="shared" si="3"/>
        <v>204286730.27909899</v>
      </c>
      <c r="L64" s="54">
        <f t="shared" si="3"/>
        <v>201761573.680886</v>
      </c>
      <c r="M64" s="54">
        <f t="shared" si="3"/>
        <v>406048303.95998502</v>
      </c>
      <c r="N64" s="54">
        <f ca="1">IFERROR(M64/C3,0)</f>
        <v>27069886.930665668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3383064730.9009104</v>
      </c>
      <c r="H65" s="152">
        <f>SUM(H51:H64)</f>
        <v>534986923.43156695</v>
      </c>
      <c r="I65" s="152">
        <f>SUM(I51:I64)</f>
        <v>3918051654.3324776</v>
      </c>
      <c r="J65" s="153">
        <f>IFERROR(I65/F65,0)</f>
        <v>0.4320409493357007</v>
      </c>
      <c r="K65" s="154">
        <f>SUM(K51:K64)</f>
        <v>3876214601.0990896</v>
      </c>
      <c r="L65" s="154">
        <f>SUM(L51:L64)</f>
        <v>1274438135.5684328</v>
      </c>
      <c r="M65" s="154">
        <f>SUM(M51:M64)</f>
        <v>5150652736.6675224</v>
      </c>
      <c r="N65" s="154">
        <f ca="1">IFERROR(M65/C3,0)</f>
        <v>343376849.11116815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167092617.4799</v>
      </c>
    </row>
    <row r="71" spans="2:14" ht="20.100000000000001" customHeight="1" x14ac:dyDescent="0.25">
      <c r="B71" s="53" t="s">
        <v>69</v>
      </c>
      <c r="C71" s="56" t="s">
        <v>70</v>
      </c>
      <c r="D71" s="192">
        <f>IF(E12="",0,E12)+IF(E13="",0,E13)</f>
        <v>43621521.600000001</v>
      </c>
    </row>
    <row r="72" spans="2:14" ht="20.100000000000001" customHeight="1" x14ac:dyDescent="0.25">
      <c r="B72" s="53" t="s">
        <v>175</v>
      </c>
      <c r="C72" s="56" t="s">
        <v>176</v>
      </c>
      <c r="D72" s="192">
        <f>IF(E22="",0,E22)</f>
        <v>4684684.5599999996</v>
      </c>
    </row>
    <row r="73" spans="2:14" ht="20.100000000000001" customHeight="1" x14ac:dyDescent="0.25">
      <c r="B73" s="50" t="s">
        <v>71</v>
      </c>
      <c r="C73" s="55" t="s">
        <v>72</v>
      </c>
      <c r="D73" s="191">
        <f>IF(E14="",0,E14)</f>
        <v>128026306.64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f>IF(E16="",0,E16)</f>
        <v>17069909.699999999</v>
      </c>
    </row>
    <row r="76" spans="2:14" ht="20.100000000000001" customHeight="1" x14ac:dyDescent="0.25">
      <c r="B76" s="53" t="s">
        <v>76</v>
      </c>
      <c r="C76" s="56" t="s">
        <v>77</v>
      </c>
      <c r="D76" s="192">
        <f>IF(E19="",0,E19)</f>
        <v>698069386.81997001</v>
      </c>
    </row>
    <row r="77" spans="2:14" ht="20.100000000000001" customHeight="1" x14ac:dyDescent="0.25">
      <c r="B77" s="50" t="s">
        <v>78</v>
      </c>
      <c r="C77" s="55" t="s">
        <v>79</v>
      </c>
      <c r="D77" s="191">
        <f>IF(E25="",0,E25)</f>
        <v>130529236.16968501</v>
      </c>
    </row>
    <row r="78" spans="2:14" ht="20.100000000000001" customHeight="1" x14ac:dyDescent="0.25">
      <c r="B78" s="53" t="s">
        <v>175</v>
      </c>
      <c r="C78" s="56" t="s">
        <v>177</v>
      </c>
      <c r="D78" s="192">
        <f>IF(E23="",0,E23)</f>
        <v>5129098.96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1783783.8</v>
      </c>
    </row>
    <row r="80" spans="2:14" ht="20.100000000000001" customHeight="1" x14ac:dyDescent="0.25">
      <c r="B80" s="50" t="s">
        <v>82</v>
      </c>
      <c r="C80" s="55" t="s">
        <v>83</v>
      </c>
      <c r="D80" s="191">
        <f>IF(E26="",0,E26)</f>
        <v>314650726.179685</v>
      </c>
    </row>
    <row r="81" spans="2:9" ht="20.100000000000001" customHeight="1" x14ac:dyDescent="0.25">
      <c r="B81" s="53" t="s">
        <v>84</v>
      </c>
      <c r="C81" s="56" t="s">
        <v>85</v>
      </c>
      <c r="D81" s="192">
        <f>IF(E10="",0,E10)</f>
        <v>77206250.260000005</v>
      </c>
    </row>
    <row r="82" spans="2:9" ht="20.100000000000001" customHeight="1" x14ac:dyDescent="0.25">
      <c r="B82" s="50" t="s">
        <v>86</v>
      </c>
      <c r="C82" s="55" t="s">
        <v>87</v>
      </c>
      <c r="D82" s="192">
        <f>IF(E27="",0,E27)</f>
        <v>5677297.4550000001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19675676.059999999</v>
      </c>
    </row>
    <row r="84" spans="2:9" ht="20.100000000000001" customHeight="1" x14ac:dyDescent="0.25">
      <c r="B84" s="57" t="s">
        <v>152</v>
      </c>
      <c r="C84" s="58"/>
      <c r="D84" s="129">
        <f>SUM(D70:D83)</f>
        <v>1613216495.6842396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92875238.249441996</v>
      </c>
      <c r="F89" s="61">
        <f t="shared" ref="F89:F94" si="7">IFERROR(E89/D89,0)</f>
        <v>0.32527250507388605</v>
      </c>
      <c r="G89" s="125">
        <f>D89-E89</f>
        <v>192655314.75055802</v>
      </c>
      <c r="H89" s="125">
        <f ca="1">IFERROR(G89/C3,0)</f>
        <v>12843687.650037201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167127682.15738502</v>
      </c>
      <c r="F90" s="61">
        <f t="shared" si="7"/>
        <v>0.38972812623851982</v>
      </c>
      <c r="G90" s="126">
        <f>D90-E90</f>
        <v>261703779.84261498</v>
      </c>
      <c r="H90" s="126">
        <f ca="1">IFERROR(G90/C3,0)</f>
        <v>17446918.656174332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419040028.12441802</v>
      </c>
      <c r="F91" s="61">
        <f t="shared" si="7"/>
        <v>0.37531942521042855</v>
      </c>
      <c r="G91" s="125">
        <f>D91-E91</f>
        <v>697449020.87558198</v>
      </c>
      <c r="H91" s="125">
        <f ca="1">IFERROR(G91/C3,0)</f>
        <v>46496601.391705468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679042948.53124499</v>
      </c>
      <c r="F94" s="43">
        <f t="shared" si="7"/>
        <v>0.37088923391053341</v>
      </c>
      <c r="G94" s="119">
        <f>SUM(G89:G93)</f>
        <v>1151808115.468755</v>
      </c>
      <c r="H94" s="119">
        <f ca="1">IFERROR(G94/C3,0)</f>
        <v>76787207.697916999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2026-06-13T00:57:32Z</dcterms:modified>
  <dc:language>en-US</dc:language>
</cp:coreProperties>
</file>