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290" tabRatio="500" activeTab="7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72" i="8" l="1"/>
  <c r="D74" i="8"/>
  <c r="D79" i="8"/>
  <c r="D82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65" i="13" s="1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D60" i="11"/>
  <c r="D59" i="11"/>
  <c r="D58" i="11"/>
  <c r="D57" i="11"/>
  <c r="F57" i="11" s="1"/>
  <c r="D56" i="11"/>
  <c r="D55" i="11"/>
  <c r="F55" i="11" s="1"/>
  <c r="D54" i="11"/>
  <c r="D53" i="11"/>
  <c r="D52" i="11"/>
  <c r="D51" i="11"/>
  <c r="F41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F57" i="10" s="1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F62" i="10" s="1"/>
  <c r="D61" i="10"/>
  <c r="D60" i="10"/>
  <c r="D59" i="10"/>
  <c r="D58" i="10"/>
  <c r="D57" i="10"/>
  <c r="D56" i="10"/>
  <c r="D55" i="10"/>
  <c r="D54" i="10"/>
  <c r="D53" i="10"/>
  <c r="D52" i="10"/>
  <c r="D65" i="10" s="1"/>
  <c r="D51" i="10"/>
  <c r="F41" i="10"/>
  <c r="D93" i="9"/>
  <c r="D92" i="9"/>
  <c r="D91" i="9"/>
  <c r="D90" i="9"/>
  <c r="D94" i="9" s="1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D52" i="9"/>
  <c r="D51" i="9"/>
  <c r="F51" i="9" s="1"/>
  <c r="F41" i="9"/>
  <c r="D93" i="8"/>
  <c r="F93" i="8" s="1"/>
  <c r="D92" i="8"/>
  <c r="D91" i="8"/>
  <c r="D90" i="8"/>
  <c r="D89" i="8"/>
  <c r="D45" i="8"/>
  <c r="D44" i="8"/>
  <c r="D43" i="8"/>
  <c r="E64" i="8"/>
  <c r="E63" i="8"/>
  <c r="E62" i="8"/>
  <c r="E61" i="8"/>
  <c r="F61" i="8" s="1"/>
  <c r="E60" i="8"/>
  <c r="E59" i="8"/>
  <c r="E58" i="8"/>
  <c r="F58" i="8" s="1"/>
  <c r="E57" i="8"/>
  <c r="E56" i="8"/>
  <c r="E55" i="8"/>
  <c r="E54" i="8"/>
  <c r="E53" i="8"/>
  <c r="E52" i="8"/>
  <c r="E51" i="8"/>
  <c r="D64" i="8"/>
  <c r="D63" i="8"/>
  <c r="D62" i="8"/>
  <c r="F62" i="8" s="1"/>
  <c r="D61" i="8"/>
  <c r="D60" i="8"/>
  <c r="F60" i="8" s="1"/>
  <c r="D59" i="8"/>
  <c r="F59" i="8" s="1"/>
  <c r="D58" i="8"/>
  <c r="D57" i="8"/>
  <c r="D56" i="8"/>
  <c r="F56" i="8" s="1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F61" i="7" s="1"/>
  <c r="D60" i="7"/>
  <c r="F60" i="7" s="1"/>
  <c r="D59" i="7"/>
  <c r="D58" i="7"/>
  <c r="D57" i="7"/>
  <c r="D56" i="7"/>
  <c r="D55" i="7"/>
  <c r="D54" i="7"/>
  <c r="D53" i="7"/>
  <c r="F53" i="7" s="1"/>
  <c r="D52" i="7"/>
  <c r="F52" i="7" s="1"/>
  <c r="D51" i="7"/>
  <c r="D94" i="14"/>
  <c r="E93" i="14"/>
  <c r="F93" i="14" s="1"/>
  <c r="E92" i="14"/>
  <c r="F92" i="14" s="1"/>
  <c r="G90" i="14"/>
  <c r="F90" i="14"/>
  <c r="E90" i="14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1" i="13"/>
  <c r="F60" i="13"/>
  <c r="H59" i="13"/>
  <c r="L59" i="13" s="1"/>
  <c r="G59" i="13"/>
  <c r="F59" i="13"/>
  <c r="F58" i="13"/>
  <c r="F57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D94" i="12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F60" i="10"/>
  <c r="H59" i="10"/>
  <c r="L59" i="10" s="1"/>
  <c r="G59" i="10"/>
  <c r="F59" i="10"/>
  <c r="F58" i="10"/>
  <c r="F55" i="10"/>
  <c r="F54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L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F63" i="9"/>
  <c r="H59" i="9"/>
  <c r="G59" i="9"/>
  <c r="K59" i="9" s="1"/>
  <c r="F59" i="9"/>
  <c r="F58" i="9"/>
  <c r="F56" i="9"/>
  <c r="F55" i="9"/>
  <c r="F54" i="9"/>
  <c r="H53" i="9"/>
  <c r="L53" i="9" s="1"/>
  <c r="G53" i="9"/>
  <c r="F53" i="9"/>
  <c r="F52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D94" i="8"/>
  <c r="E93" i="8"/>
  <c r="E92" i="8"/>
  <c r="G92" i="8" s="1"/>
  <c r="E90" i="8"/>
  <c r="E89" i="8"/>
  <c r="G89" i="8" s="1"/>
  <c r="F64" i="8"/>
  <c r="F63" i="8"/>
  <c r="H59" i="8"/>
  <c r="G59" i="8"/>
  <c r="K59" i="8" s="1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K62" i="8" s="1"/>
  <c r="N16" i="8"/>
  <c r="H61" i="8" s="1"/>
  <c r="M16" i="8"/>
  <c r="G61" i="8" s="1"/>
  <c r="K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K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G92" i="7"/>
  <c r="E92" i="7"/>
  <c r="F92" i="7" s="1"/>
  <c r="E90" i="7"/>
  <c r="F90" i="7" s="1"/>
  <c r="E89" i="7"/>
  <c r="H59" i="7"/>
  <c r="G59" i="7"/>
  <c r="F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G90" i="8" l="1"/>
  <c r="F45" i="8"/>
  <c r="L61" i="8"/>
  <c r="F57" i="8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I61" i="13"/>
  <c r="D94" i="7"/>
  <c r="I55" i="8"/>
  <c r="M55" i="8" s="1"/>
  <c r="F92" i="12"/>
  <c r="F65" i="13"/>
  <c r="K63" i="9"/>
  <c r="F90" i="8"/>
  <c r="I56" i="9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D84" i="8"/>
  <c r="H51" i="10"/>
  <c r="L51" i="10" s="1"/>
  <c r="L65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92" i="9"/>
  <c r="H90" i="11"/>
  <c r="N55" i="8"/>
  <c r="H89" i="8"/>
  <c r="H93" i="8"/>
  <c r="H90" i="8"/>
  <c r="H45" i="10"/>
  <c r="H90" i="10"/>
  <c r="H89" i="12"/>
  <c r="H92" i="12"/>
  <c r="H90" i="14"/>
  <c r="L57" i="8"/>
  <c r="I57" i="8"/>
  <c r="L56" i="7"/>
  <c r="I56" i="7"/>
  <c r="J56" i="7" s="1"/>
  <c r="G45" i="7"/>
  <c r="H45" i="7" s="1"/>
  <c r="F45" i="7"/>
  <c r="F44" i="8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M57" i="10"/>
  <c r="N57" i="10" s="1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I51" i="7"/>
  <c r="K52" i="8"/>
  <c r="I52" i="8"/>
  <c r="J52" i="8" s="1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M56" i="8"/>
  <c r="N56" i="8" s="1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M59" i="11"/>
  <c r="N59" i="11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J52" i="7" l="1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46" i="7" l="1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L61" i="4" s="1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1" i="4" l="1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<sst xmlns="http://schemas.openxmlformats.org/spreadsheetml/2006/main" count="1878" uniqueCount="185">
  <si>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</si>
  <si>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</si>
  <si>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</si>
  <si>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</si>
  <si>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</si>
  <si>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</si>
  <si>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</si>
  <si>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</si>
  <si>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</si>
  <si>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</si>
  <si>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</si>
  <si>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</si>
  <si>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</si>
  <si>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</si>
  <si>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</si>
  <si>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</si>
  <si>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</si>
  <si>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</si>
  <si>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</si>
  <si>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</si>
  <si>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</si>
  <si>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</si>
  <si>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</si>
  <si>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</si>
  <si>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</si>
  <si>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</si>
  <si>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</si>
  <si>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</si>
  <si>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</si>
  <si>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</si>
  <si>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</si>
  <si>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</si>
  <si>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</si>
  <si>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</si>
  <si>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</si>
  <si>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</si>
  <si>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</si>
  <si>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</si>
  <si>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</si>
  <si>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</si>
  <si>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</si>
  <si>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</si>
  <si>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</si>
  <si>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</si>
  <si>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</si>
  <si>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</si>
  <si>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</si>
  <si>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</si>
  <si>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</si>
  <si>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</si>
  <si>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</si>
  <si>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</si>
  <si>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</si>
  <si>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</si>
  <si>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</si>
  <si>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</si>
  <si>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</si>
  <si>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</si>
  <si>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</si>
  <si>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</si>
  <si>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</si>
  <si>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</si>
  <si>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</si>
  <si>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</si>
  <si>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</si>
  <si>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</si>
  <si>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</si>
  <si>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</si>
  <si>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</si>
  <si>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</si>
  <si>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</si>
  <si>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</si>
  <si>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</si>
  <si>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</si>
  <si>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</si>
  <si>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</si>
  <si>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</si>
  <si>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</si>
  <si>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</si>
  <si>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</si>
  <si>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</si>
  <si>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</si>
  <si>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</si>
  <si>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</si>
  <si>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</si>
  <si>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</si>
  <si>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</si>
  <si>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</si>
  <si>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</si>
  <si>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</si>
  <si>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</si>
  <si>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</si>
  <si>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</si>
  <si>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</si>
  <si>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</si>
  <si>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</si>
  <si>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</si>
  <si>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</si>
  <si>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</si>
  <si>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</si>
  <si>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</si>
  <si>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</si>
  <si>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</si>
  <si>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</si>
  <si>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</si>
  <si>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</si>
  <si>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</si>
  <si>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</si>
  <si>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</si>
  <si>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</si>
  <si>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</si>
  <si>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</si>
  <si>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</si>
  <si>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</si>
  <si>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</si>
  <si>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</si>
  <si>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</si>
  <si>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</si>
  <si>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</si>
  <si>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</si>
  <si>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</si>
  <si>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</si>
  <si>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</si>
  <si>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</si>
  <si>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</si>
  <si>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</si>
  <si>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</si>
  <si>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</si>
  <si>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</si>
  <si>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</si>
  <si>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</si>
  <si>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</si>
  <si>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</si>
  <si>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</si>
  <si>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</si>
  <si>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</si>
  <si>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</si>
  <si>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</si>
  <si>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</si>
  <si>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</si>
  <si>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</si>
  <si>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</si>
  <si>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</si>
  <si>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</si>
  <si>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</si>
  <si>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</si>
  <si>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</si>
  <si>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</si>
  <si>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</si>
  <si>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</si>
  <si>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</si>
  <si>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</si>
  <si>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</si>
  <si>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</si>
  <si>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</si>
  <si>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</si>
  <si>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</si>
  <si>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</si>
  <si>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</si>
  <si>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</si>
  <si>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</si>
  <si>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</si>
  <si>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</si>
  <si>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</si>
  <si>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</si>
  <si>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</si>
  <si>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</si>
  <si>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</si>
  <si>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</si>
  <si>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</si>
  <si>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</si>
  <si>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</si>
  <si>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</si>
  <si>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</si>
  <si>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</si>
  <si>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</si>
  <si>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</si>
  <si>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</si>
  <si>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</si>
  <si>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</si>
  <si>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</si>
  <si>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</si>
  <si>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</si>
  <si>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</si>
  <si>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08 JUNI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</si>
</sst>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8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6" t="s">
        <v>0</v>
      </c>
      <c r="C1" s="206"/>
    </row>
    <row r="3" spans="2:3" x14ac:dyDescent="0.25">
      <c r="B3" s="207" t="s">
        <v>1</v>
      </c>
      <c r="C3" s="207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8" t="s">
        <v>14</v>
      </c>
      <c r="C11" s="208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0" zoomScale="110" zoomScaleNormal="110" workbookViewId="0">
      <selection activeCell="I25" sqref="I2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2.85546875" bestFit="1" customWidth="1"/>
    <col min="10" max="11" width="11.28515625" bestFit="1" customWidth="1"/>
    <col min="12" max="13" width="11.140625" bestFit="1" customWidth="1"/>
    <col min="14" max="15" width="11.285156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7" t="s">
        <v>28</v>
      </c>
      <c r="C3" s="207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09" t="s">
        <v>102</v>
      </c>
      <c r="C29" s="209"/>
      <c r="D29" s="209"/>
      <c r="E29" s="209"/>
      <c r="F29" s="209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1" t="s">
        <v>146</v>
      </c>
      <c r="C44" s="212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3" t="s">
        <v>41</v>
      </c>
      <c r="C47" s="213" t="s">
        <v>42</v>
      </c>
      <c r="D47" s="214" t="s">
        <v>138</v>
      </c>
      <c r="E47" s="215"/>
      <c r="F47" s="216"/>
      <c r="G47" s="101" t="s">
        <v>139</v>
      </c>
      <c r="H47" s="101"/>
      <c r="I47" s="101"/>
      <c r="J47" s="213" t="s">
        <v>140</v>
      </c>
      <c r="K47" s="102" t="s">
        <v>148</v>
      </c>
      <c r="L47" s="102"/>
      <c r="M47" s="102"/>
      <c r="N47" s="210" t="s">
        <v>149</v>
      </c>
    </row>
    <row r="48" spans="2:14" ht="15.75" x14ac:dyDescent="0.25">
      <c r="B48" s="213"/>
      <c r="C48" s="213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3"/>
      <c r="K48" s="104" t="s">
        <v>143</v>
      </c>
      <c r="L48" s="104" t="s">
        <v>111</v>
      </c>
      <c r="M48" s="104" t="s">
        <v>146</v>
      </c>
      <c r="N48" s="210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1" t="s">
        <v>146</v>
      </c>
      <c r="C44" s="212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3" t="s">
        <v>41</v>
      </c>
      <c r="C47" s="213" t="s">
        <v>42</v>
      </c>
      <c r="D47" s="214" t="s">
        <v>138</v>
      </c>
      <c r="E47" s="215"/>
      <c r="F47" s="216"/>
      <c r="G47" s="101" t="s">
        <v>139</v>
      </c>
      <c r="H47" s="101"/>
      <c r="I47" s="101"/>
      <c r="J47" s="213" t="s">
        <v>140</v>
      </c>
      <c r="K47" s="102" t="s">
        <v>148</v>
      </c>
      <c r="L47" s="102"/>
      <c r="M47" s="102"/>
      <c r="N47" s="210" t="s">
        <v>149</v>
      </c>
    </row>
    <row r="48" spans="2:14" ht="15.75" x14ac:dyDescent="0.25">
      <c r="B48" s="213"/>
      <c r="C48" s="213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3"/>
      <c r="K48" s="104" t="s">
        <v>143</v>
      </c>
      <c r="L48" s="104" t="s">
        <v>111</v>
      </c>
      <c r="M48" s="104" t="s">
        <v>146</v>
      </c>
      <c r="N48" s="210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1" t="s">
        <v>146</v>
      </c>
      <c r="C44" s="222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3" t="s">
        <v>41</v>
      </c>
      <c r="C47" s="223" t="s">
        <v>42</v>
      </c>
      <c r="D47" s="218" t="s">
        <v>138</v>
      </c>
      <c r="E47" s="219"/>
      <c r="F47" s="220"/>
      <c r="G47" s="70" t="s">
        <v>139</v>
      </c>
      <c r="H47" s="70"/>
      <c r="I47" s="70"/>
      <c r="J47" s="223" t="s">
        <v>140</v>
      </c>
      <c r="K47" s="35" t="s">
        <v>148</v>
      </c>
      <c r="L47" s="35"/>
      <c r="M47" s="35"/>
      <c r="N47" s="217" t="s">
        <v>149</v>
      </c>
    </row>
    <row r="48" spans="2:17" ht="15.75" x14ac:dyDescent="0.25">
      <c r="B48" s="223"/>
      <c r="C48" s="223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3"/>
      <c r="K48" s="34" t="s">
        <v>143</v>
      </c>
      <c r="L48" s="34" t="s">
        <v>111</v>
      </c>
      <c r="M48" s="34" t="s">
        <v>146</v>
      </c>
      <c r="N48" s="217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4" t="s">
        <v>182</v>
      </c>
      <c r="C41" s="225"/>
      <c r="D41" s="226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1" t="s">
        <v>146</v>
      </c>
      <c r="C46" s="222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35"/>
      <c r="L48" s="236"/>
      <c r="M48" s="236"/>
      <c r="N48" s="237"/>
    </row>
    <row r="49" spans="2:14" s="158" customFormat="1" ht="20.100000000000001" customHeight="1" x14ac:dyDescent="0.25">
      <c r="B49" s="234" t="s">
        <v>41</v>
      </c>
      <c r="C49" s="234" t="s">
        <v>42</v>
      </c>
      <c r="D49" s="231" t="s">
        <v>138</v>
      </c>
      <c r="E49" s="232"/>
      <c r="F49" s="233"/>
      <c r="G49" s="159" t="s">
        <v>139</v>
      </c>
      <c r="H49" s="159"/>
      <c r="I49" s="159"/>
      <c r="J49" s="234" t="s">
        <v>140</v>
      </c>
      <c r="K49" s="160" t="s">
        <v>148</v>
      </c>
      <c r="L49" s="160"/>
      <c r="M49" s="160"/>
      <c r="N49" s="227" t="s">
        <v>149</v>
      </c>
    </row>
    <row r="50" spans="2:14" s="158" customFormat="1" ht="20.100000000000001" customHeight="1" x14ac:dyDescent="0.25">
      <c r="B50" s="234"/>
      <c r="C50" s="234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4"/>
      <c r="K50" s="163" t="s">
        <v>143</v>
      </c>
      <c r="L50" s="163" t="s">
        <v>111</v>
      </c>
      <c r="M50" s="163" t="s">
        <v>146</v>
      </c>
      <c r="N50" s="227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3" t="s">
        <v>41</v>
      </c>
      <c r="C68" s="223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3"/>
      <c r="C69" s="223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8" t="s">
        <v>145</v>
      </c>
      <c r="C87" s="229"/>
      <c r="D87" s="229"/>
      <c r="E87" s="229"/>
      <c r="F87" s="230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33" zoomScaleNormal="100" workbookViewId="0">
      <selection activeCell="B41" sqref="B41:D41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20</v>
      </c>
      <c r="D3" s="79" t="s">
        <v>104</v>
      </c>
      <c r="E3" s="80">
        <f ca="1">DAY(EOMONTH(TODAY(),0))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205">
        <v>297882183.23181498</v>
      </c>
      <c r="D10" s="205">
        <v>34050666.405826002</v>
      </c>
      <c r="E10" s="205">
        <v>162788612.639999</v>
      </c>
      <c r="F10" s="20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205">
        <v>374466810.62618703</v>
      </c>
      <c r="D11" s="205">
        <v>92402940.934527993</v>
      </c>
      <c r="E11" s="205">
        <v>40868468.799999997</v>
      </c>
      <c r="F11" s="20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205">
        <v>278227678.91783297</v>
      </c>
      <c r="D12" s="205">
        <v>62708999.627249002</v>
      </c>
      <c r="E12" s="205">
        <v>52162025.759999998</v>
      </c>
      <c r="F12" s="20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205">
        <v>236645733.92783001</v>
      </c>
      <c r="D13" s="205">
        <v>33197107.539818</v>
      </c>
      <c r="E13" s="205">
        <v>41510945.439999998</v>
      </c>
      <c r="F13" s="20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205">
        <v>670664362.43227303</v>
      </c>
      <c r="D14" s="205">
        <v>27278643.871089</v>
      </c>
      <c r="E14" s="205">
        <v>260324322.93000001</v>
      </c>
      <c r="F14" s="20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205">
        <v>413013469.09840298</v>
      </c>
      <c r="D16" s="205">
        <v>61457252.569306999</v>
      </c>
      <c r="E16" s="205">
        <v>14439639.5</v>
      </c>
      <c r="F16" s="20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205">
        <v>314350697.279998</v>
      </c>
      <c r="D17" s="205">
        <v>42787524.299999997</v>
      </c>
      <c r="E17" s="205" t="s">
        <v>168</v>
      </c>
      <c r="F17" s="20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205">
        <v>976940398.98976696</v>
      </c>
      <c r="D18" s="205">
        <v>11562280.951971</v>
      </c>
      <c r="E18" s="205">
        <v>11405405.380000001</v>
      </c>
      <c r="F18" s="20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205">
        <v>1005613301.6380841</v>
      </c>
      <c r="D19" s="205">
        <v>73190755.369811997</v>
      </c>
      <c r="E19" s="205">
        <v>709237967.049927</v>
      </c>
      <c r="F19" s="20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205">
        <v>234281528.32828599</v>
      </c>
      <c r="D20" s="205">
        <v>28741885.549775999</v>
      </c>
      <c r="E20" s="205">
        <v>3816216.3</v>
      </c>
      <c r="F20" s="20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205">
        <v>64055094</v>
      </c>
      <c r="D21" s="205">
        <v>100105707.120704</v>
      </c>
      <c r="E21" s="205">
        <v>79070271.780000001</v>
      </c>
      <c r="F21" s="20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205">
        <v>197567845.80000001</v>
      </c>
      <c r="D22" s="205" t="s">
        <v>168</v>
      </c>
      <c r="E22" s="205">
        <v>12832432.08</v>
      </c>
      <c r="F22" s="205">
        <v>210400277.88</v>
      </c>
      <c r="H22" s="116"/>
      <c r="I22" s="116"/>
      <c r="J22" s="116"/>
    </row>
    <row r="23" spans="2:14" x14ac:dyDescent="0.25">
      <c r="B23" s="74" t="s">
        <v>173</v>
      </c>
      <c r="C23" s="205">
        <v>300521523.82997501</v>
      </c>
      <c r="D23" s="205" t="s">
        <v>168</v>
      </c>
      <c r="E23" s="205">
        <v>13813693.32</v>
      </c>
      <c r="F23" s="205">
        <v>314335217.149975</v>
      </c>
      <c r="H23" s="116"/>
      <c r="I23" s="116"/>
      <c r="J23" s="116"/>
    </row>
    <row r="24" spans="2:14" x14ac:dyDescent="0.25">
      <c r="B24" s="74" t="s">
        <v>125</v>
      </c>
      <c r="C24" s="205">
        <v>288424016.78064901</v>
      </c>
      <c r="D24" s="205">
        <v>44585739.113441996</v>
      </c>
      <c r="E24" s="205">
        <v>126214286.45999999</v>
      </c>
      <c r="F24" s="205">
        <v>459224042.35409099</v>
      </c>
      <c r="H24" s="116"/>
      <c r="I24" s="116"/>
      <c r="J24" s="116"/>
    </row>
    <row r="25" spans="2:14" x14ac:dyDescent="0.25">
      <c r="B25" s="74" t="s">
        <v>126</v>
      </c>
      <c r="C25" s="205">
        <v>389875776.90495598</v>
      </c>
      <c r="D25" s="205">
        <v>68378257.859753996</v>
      </c>
      <c r="E25" s="205">
        <v>247976756.949745</v>
      </c>
      <c r="F25" s="205">
        <v>706230791.71445501</v>
      </c>
      <c r="H25" s="116"/>
      <c r="I25" s="116"/>
      <c r="J25" s="116"/>
    </row>
    <row r="26" spans="2:14" x14ac:dyDescent="0.25">
      <c r="B26" s="74" t="s">
        <v>127</v>
      </c>
      <c r="C26" s="205">
        <v>454249976.114806</v>
      </c>
      <c r="D26" s="205">
        <v>58885063.089941002</v>
      </c>
      <c r="E26" s="205">
        <v>469103962.04973102</v>
      </c>
      <c r="F26" s="205">
        <v>982239001.25447798</v>
      </c>
      <c r="H26" s="116"/>
      <c r="I26" s="116"/>
      <c r="J26" s="116"/>
    </row>
    <row r="27" spans="2:14" x14ac:dyDescent="0.25">
      <c r="B27" s="74" t="s">
        <v>128</v>
      </c>
      <c r="C27" s="205">
        <v>686645252.87729704</v>
      </c>
      <c r="D27" s="205">
        <v>191906951.15242499</v>
      </c>
      <c r="E27" s="205">
        <v>19182702.936000001</v>
      </c>
      <c r="F27" s="20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291427595.82048202</v>
      </c>
      <c r="G32" s="116"/>
      <c r="H32" s="116"/>
      <c r="I32" s="116"/>
    </row>
    <row r="33" spans="2:14" x14ac:dyDescent="0.25">
      <c r="B33" s="84" t="s">
        <v>133</v>
      </c>
      <c r="C33" s="205">
        <v>436148035.92440403</v>
      </c>
      <c r="G33" s="116"/>
      <c r="H33" s="116"/>
      <c r="I33" s="116"/>
    </row>
    <row r="34" spans="2:14" x14ac:dyDescent="0.25">
      <c r="B34" s="84" t="s">
        <v>134</v>
      </c>
      <c r="C34" s="205">
        <v>135628039.89320499</v>
      </c>
      <c r="G34" s="116"/>
      <c r="H34" s="116"/>
      <c r="I34" s="116"/>
    </row>
    <row r="35" spans="2:14" x14ac:dyDescent="0.25">
      <c r="B35" s="84" t="s">
        <v>135</v>
      </c>
      <c r="C35" s="205">
        <v>513829145.026452</v>
      </c>
      <c r="G35" s="116"/>
      <c r="H35" s="116"/>
      <c r="I35" s="116"/>
    </row>
    <row r="36" spans="2:14" x14ac:dyDescent="0.25">
      <c r="B36" s="84" t="s">
        <v>136</v>
      </c>
      <c r="C36" s="20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45" t="s">
        <v>183</v>
      </c>
      <c r="C41" s="246"/>
      <c r="D41" s="247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31639704.01058035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27779366.485834539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5488625.7369856359</v>
      </c>
      <c r="I45" s="116"/>
    </row>
    <row r="46" spans="2:14" ht="18.75" customHeight="1" x14ac:dyDescent="0.25">
      <c r="B46" s="221" t="s">
        <v>146</v>
      </c>
      <c r="C46" s="222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64907696.233400524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20.100000000000001" customHeight="1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22.5" customHeight="1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7597206.1663281647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6797481.7493634997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2195271.1099999994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-2017435.374301356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6539718.880576307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4034375.2227471829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-1255856.7834369778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5540721.4117645025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5180607.0085012494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3780597.3828640194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8861807.8702939115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5918716.4081086423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1730284.1481497705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4515575.2954560192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59419070.496414937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3" t="s">
        <v>41</v>
      </c>
      <c r="C68" s="223" t="s">
        <v>42</v>
      </c>
      <c r="D68" s="134" t="s">
        <v>139</v>
      </c>
    </row>
    <row r="69" spans="2:14" ht="18" customHeight="1" x14ac:dyDescent="0.25">
      <c r="B69" s="223"/>
      <c r="C69" s="223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-668148.89581362309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-926474.13689412177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7083248.7696933867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5488625.7369856415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68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20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92363992.324272007</v>
      </c>
      <c r="N8" s="11">
        <f>D24</f>
        <v>26055169.459989998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166454827.28515399</v>
      </c>
      <c r="N9" s="11">
        <f>D12+D13</f>
        <v>37813286.126001999</v>
      </c>
    </row>
    <row r="10" spans="2:14" x14ac:dyDescent="0.25">
      <c r="B10" s="74" t="s">
        <v>113</v>
      </c>
      <c r="C10" s="205">
        <v>71727112.708320007</v>
      </c>
      <c r="D10" s="205">
        <v>11772770.791799</v>
      </c>
      <c r="E10" s="205">
        <v>41971341.25</v>
      </c>
      <c r="F10" s="205">
        <v>125471224.750119</v>
      </c>
      <c r="H10" s="116"/>
      <c r="I10" s="116"/>
      <c r="J10" s="116"/>
      <c r="M10" s="11">
        <f>C14</f>
        <v>270811727.06423998</v>
      </c>
      <c r="N10" s="11">
        <f>D14</f>
        <v>7184072.0075920001</v>
      </c>
    </row>
    <row r="11" spans="2:14" x14ac:dyDescent="0.25">
      <c r="B11" s="74" t="s">
        <v>114</v>
      </c>
      <c r="C11" s="205">
        <v>119278251.877675</v>
      </c>
      <c r="D11" s="205">
        <v>19707239.534437999</v>
      </c>
      <c r="E11" s="205" t="s">
        <v>168</v>
      </c>
      <c r="F11" s="205">
        <v>138985491.41211301</v>
      </c>
      <c r="H11" s="116"/>
      <c r="I11" s="116"/>
      <c r="J11" s="116"/>
      <c r="M11" s="11">
        <f>C17</f>
        <v>93157656.040000007</v>
      </c>
      <c r="N11" s="11">
        <f>D17</f>
        <v>33673767.340000004</v>
      </c>
    </row>
    <row r="12" spans="2:14" x14ac:dyDescent="0.25">
      <c r="B12" s="74" t="s">
        <v>70</v>
      </c>
      <c r="C12" s="205">
        <v>81171393.985780999</v>
      </c>
      <c r="D12" s="205">
        <v>25053538.606082</v>
      </c>
      <c r="E12" s="205">
        <v>1859459.44</v>
      </c>
      <c r="F12" s="205">
        <v>108084392.031863</v>
      </c>
      <c r="H12" s="116"/>
      <c r="I12" s="116"/>
      <c r="J12" s="116"/>
      <c r="M12" s="11">
        <f>C16</f>
        <v>166183439.07484499</v>
      </c>
      <c r="N12" s="11">
        <f>D16</f>
        <v>35733598.889857002</v>
      </c>
    </row>
    <row r="13" spans="2:14" x14ac:dyDescent="0.25">
      <c r="B13" s="74" t="s">
        <v>115</v>
      </c>
      <c r="C13" s="205">
        <v>85283433.299373001</v>
      </c>
      <c r="D13" s="205">
        <v>12759747.519920001</v>
      </c>
      <c r="E13" s="205">
        <v>6426216.0999999996</v>
      </c>
      <c r="F13" s="205">
        <v>104469396.919293</v>
      </c>
      <c r="H13" s="116"/>
      <c r="I13" s="116"/>
      <c r="J13" s="116"/>
      <c r="M13" s="11">
        <f>C19</f>
        <v>225173461.261388</v>
      </c>
      <c r="N13" s="11">
        <f>D19</f>
        <v>31810496.829944</v>
      </c>
    </row>
    <row r="14" spans="2:14" x14ac:dyDescent="0.25">
      <c r="B14" s="74" t="s">
        <v>116</v>
      </c>
      <c r="C14" s="205">
        <v>270811727.06423998</v>
      </c>
      <c r="D14" s="205">
        <v>7184072.0075920001</v>
      </c>
      <c r="E14" s="205">
        <v>71471531.810000002</v>
      </c>
      <c r="F14" s="205">
        <v>349467330.881832</v>
      </c>
      <c r="H14" s="116"/>
      <c r="I14" s="116"/>
      <c r="J14" s="116"/>
      <c r="M14" s="11">
        <f>C25</f>
        <v>114934350.132837</v>
      </c>
      <c r="N14" s="11">
        <f>D25</f>
        <v>16357258.739984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119278251.877675</v>
      </c>
      <c r="N15" s="11">
        <f>D11</f>
        <v>19707239.534437999</v>
      </c>
    </row>
    <row r="16" spans="2:14" x14ac:dyDescent="0.25">
      <c r="B16" s="74" t="s">
        <v>74</v>
      </c>
      <c r="C16" s="205">
        <v>166183439.07484499</v>
      </c>
      <c r="D16" s="205">
        <v>35733598.889857002</v>
      </c>
      <c r="E16" s="205">
        <v>7963693.5999999996</v>
      </c>
      <c r="F16" s="205">
        <v>209880731.564702</v>
      </c>
      <c r="H16" s="116"/>
      <c r="I16" s="116"/>
      <c r="J16" s="116"/>
      <c r="M16" s="11">
        <f>C26</f>
        <v>152773967.65607199</v>
      </c>
      <c r="N16" s="11">
        <f>D26</f>
        <v>11866324.495468</v>
      </c>
    </row>
    <row r="17" spans="2:14" x14ac:dyDescent="0.25">
      <c r="B17" s="74" t="s">
        <v>118</v>
      </c>
      <c r="C17" s="205">
        <v>93157656.040000007</v>
      </c>
      <c r="D17" s="205">
        <v>33673767.340000004</v>
      </c>
      <c r="E17" s="205" t="s">
        <v>168</v>
      </c>
      <c r="F17" s="205">
        <v>126831423.38</v>
      </c>
      <c r="H17" s="116"/>
      <c r="I17" s="116"/>
      <c r="J17" s="116"/>
      <c r="M17" s="11">
        <f>C10</f>
        <v>71727112.708320007</v>
      </c>
      <c r="N17" s="11">
        <f>D10</f>
        <v>11772770.791799</v>
      </c>
    </row>
    <row r="18" spans="2:14" x14ac:dyDescent="0.25">
      <c r="B18" s="74" t="s">
        <v>119</v>
      </c>
      <c r="C18" s="205">
        <v>134560565.819148</v>
      </c>
      <c r="D18" s="205">
        <v>612409.019998</v>
      </c>
      <c r="E18" s="205">
        <v>6662162.0800000001</v>
      </c>
      <c r="F18" s="205">
        <v>141835136.919146</v>
      </c>
      <c r="H18" s="116"/>
      <c r="I18" s="116"/>
      <c r="J18" s="116"/>
      <c r="M18" s="11">
        <f>C27</f>
        <v>223158538.444594</v>
      </c>
      <c r="N18" s="11">
        <f>D27</f>
        <v>11198866.199999999</v>
      </c>
    </row>
    <row r="19" spans="2:14" x14ac:dyDescent="0.25">
      <c r="B19" s="74" t="s">
        <v>121</v>
      </c>
      <c r="C19" s="205">
        <v>225173461.261388</v>
      </c>
      <c r="D19" s="205">
        <v>31810496.829944</v>
      </c>
      <c r="E19" s="205">
        <v>413706317.48997998</v>
      </c>
      <c r="F19" s="205">
        <v>670690275.58131194</v>
      </c>
      <c r="H19" s="116"/>
      <c r="I19" s="116"/>
      <c r="J19" s="116"/>
      <c r="M19" s="11">
        <f>C20+C21</f>
        <v>44742360.789889999</v>
      </c>
      <c r="N19" s="11">
        <f>D20+D21</f>
        <v>11183358.439948</v>
      </c>
    </row>
    <row r="20" spans="2:14" x14ac:dyDescent="0.25">
      <c r="B20" s="74" t="s">
        <v>123</v>
      </c>
      <c r="C20" s="205">
        <v>30893672.789889999</v>
      </c>
      <c r="D20" s="205">
        <v>4154827.08</v>
      </c>
      <c r="E20" s="205">
        <v>1945946</v>
      </c>
      <c r="F20" s="205">
        <v>36994445.869889997</v>
      </c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205">
        <v>13848688</v>
      </c>
      <c r="D21" s="205">
        <v>7028531.3599479999</v>
      </c>
      <c r="E21" s="205">
        <v>11383783.960000001</v>
      </c>
      <c r="F21" s="205">
        <v>32261003.319947999</v>
      </c>
      <c r="H21" s="116"/>
      <c r="I21" s="116"/>
      <c r="J21" s="116"/>
      <c r="M21" s="14">
        <f>IFERROR(C34,0)+IFERROR(C35,0)+M20</f>
        <v>215640573.270042</v>
      </c>
      <c r="N21" s="10" t="s">
        <v>122</v>
      </c>
    </row>
    <row r="22" spans="2:14" x14ac:dyDescent="0.25">
      <c r="B22" s="74" t="s">
        <v>172</v>
      </c>
      <c r="C22" s="205">
        <v>35091520</v>
      </c>
      <c r="D22" s="205" t="s">
        <v>168</v>
      </c>
      <c r="E22" s="205" t="s">
        <v>168</v>
      </c>
      <c r="F22" s="205">
        <v>35091520</v>
      </c>
      <c r="H22" s="116"/>
      <c r="I22" s="116"/>
      <c r="J22" s="116"/>
    </row>
    <row r="23" spans="2:14" x14ac:dyDescent="0.25">
      <c r="B23" s="74" t="s">
        <v>173</v>
      </c>
      <c r="C23" s="205">
        <v>92325602.239999995</v>
      </c>
      <c r="D23" s="205" t="s">
        <v>168</v>
      </c>
      <c r="E23" s="205">
        <v>3687657.56</v>
      </c>
      <c r="F23" s="205">
        <v>96013259.799999997</v>
      </c>
      <c r="H23" s="116"/>
      <c r="I23" s="116"/>
      <c r="J23" s="116"/>
    </row>
    <row r="24" spans="2:14" x14ac:dyDescent="0.25">
      <c r="B24" s="74" t="s">
        <v>125</v>
      </c>
      <c r="C24" s="205">
        <v>92363992.324272007</v>
      </c>
      <c r="D24" s="205">
        <v>26055169.459989998</v>
      </c>
      <c r="E24" s="205">
        <v>144205676.39989999</v>
      </c>
      <c r="F24" s="205">
        <v>262624838.18416199</v>
      </c>
      <c r="H24" s="116"/>
      <c r="I24" s="116"/>
      <c r="J24" s="116"/>
    </row>
    <row r="25" spans="2:14" x14ac:dyDescent="0.25">
      <c r="B25" s="74" t="s">
        <v>126</v>
      </c>
      <c r="C25" s="205">
        <v>114934350.132837</v>
      </c>
      <c r="D25" s="205">
        <v>16357258.739984</v>
      </c>
      <c r="E25" s="205">
        <v>78310361.589805007</v>
      </c>
      <c r="F25" s="205">
        <v>209601970.46262601</v>
      </c>
      <c r="H25" s="116"/>
      <c r="I25" s="116"/>
      <c r="J25" s="116"/>
    </row>
    <row r="26" spans="2:14" x14ac:dyDescent="0.25">
      <c r="B26" s="74" t="s">
        <v>127</v>
      </c>
      <c r="C26" s="205">
        <v>152773967.65607199</v>
      </c>
      <c r="D26" s="205">
        <v>11866324.495468</v>
      </c>
      <c r="E26" s="205">
        <v>185059370.96979001</v>
      </c>
      <c r="F26" s="205">
        <v>349699663.12133002</v>
      </c>
      <c r="H26" s="116"/>
      <c r="I26" s="116"/>
      <c r="J26" s="116"/>
    </row>
    <row r="27" spans="2:14" x14ac:dyDescent="0.25">
      <c r="B27" s="74" t="s">
        <v>128</v>
      </c>
      <c r="C27" s="205">
        <v>223158538.444594</v>
      </c>
      <c r="D27" s="205">
        <v>11198866.199999999</v>
      </c>
      <c r="E27" s="205" t="s">
        <v>168</v>
      </c>
      <c r="F27" s="205">
        <v>234357404.64459401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57713265.689695001</v>
      </c>
      <c r="G32" s="116"/>
      <c r="H32" s="116"/>
      <c r="I32" s="116"/>
    </row>
    <row r="33" spans="2:14" x14ac:dyDescent="0.25">
      <c r="B33" s="84" t="s">
        <v>133</v>
      </c>
      <c r="C33" s="205">
        <v>75575344.161186993</v>
      </c>
      <c r="G33" s="116"/>
      <c r="H33" s="116"/>
      <c r="I33" s="116"/>
    </row>
    <row r="34" spans="2:14" x14ac:dyDescent="0.25">
      <c r="B34" s="84" t="s">
        <v>134</v>
      </c>
      <c r="C34" s="205">
        <v>34766242.950185001</v>
      </c>
      <c r="G34" s="116"/>
      <c r="H34" s="116"/>
      <c r="I34" s="116"/>
    </row>
    <row r="35" spans="2:14" x14ac:dyDescent="0.25">
      <c r="B35" s="84" t="s">
        <v>135</v>
      </c>
      <c r="C35" s="205">
        <v>180874330.319857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4" t="s">
        <v>184</v>
      </c>
      <c r="C41" s="225"/>
      <c r="D41" s="226"/>
      <c r="E41" s="67" t="s">
        <v>138</v>
      </c>
      <c r="F41" s="73">
        <f ca="1">IF(MONTH(TODAY())=6,DAY(TODAY())/DAY(EOMONTH(TODAY(),0)),IF(MONTH(TODAY())&gt;6,1,0))</f>
        <v>0.26666666666666666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1868176806.8992867</v>
      </c>
      <c r="F43" s="44">
        <f>IFERROR(E43/D43,0)</f>
        <v>0.25735017505995134</v>
      </c>
      <c r="G43" s="118">
        <f>D43-E43</f>
        <v>5391102525.1007137</v>
      </c>
      <c r="H43" s="118">
        <f ca="1">IFERROR(G43/C3,0)</f>
        <v>269555126.2550357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254356208.85502195</v>
      </c>
      <c r="F44" s="44">
        <f>IFERROR(E44/D44,0)</f>
        <v>0.14057294475384069</v>
      </c>
      <c r="G44" s="118">
        <f>D44-E44</f>
        <v>1555068850.144978</v>
      </c>
      <c r="H44" s="118">
        <f ca="1">IFERROR(G44/C3,0)</f>
        <v>77753442.507248908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348929183.120924</v>
      </c>
      <c r="F45" s="44">
        <f>IFERROR(E45/D45,0)</f>
        <v>0.19058305177407045</v>
      </c>
      <c r="G45" s="118">
        <f>D45-E45</f>
        <v>1481921880.879076</v>
      </c>
      <c r="H45" s="118">
        <f ca="1">IFERROR(G45/C3,0)</f>
        <v>74096094.043953806</v>
      </c>
      <c r="I45" s="116"/>
    </row>
    <row r="46" spans="2:14" ht="18.75" customHeight="1" x14ac:dyDescent="0.25">
      <c r="B46" s="221" t="s">
        <v>146</v>
      </c>
      <c r="C46" s="222"/>
      <c r="D46" s="47">
        <f>D43+D44+D45</f>
        <v>10899555455</v>
      </c>
      <c r="E46" s="47">
        <f>E43+E44+E45</f>
        <v>2471462198.8752327</v>
      </c>
      <c r="F46" s="43">
        <f>IFERROR(E46/D46,0)</f>
        <v>0.22674889898757183</v>
      </c>
      <c r="G46" s="119">
        <f>G43+G44+G45</f>
        <v>8428093256.1247673</v>
      </c>
      <c r="H46" s="119">
        <f ca="1">IFERROR(G46/C3,0)</f>
        <v>421404662.80623835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21.75" customHeight="1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19.5" customHeight="1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92363992.324272007</v>
      </c>
      <c r="H51" s="122">
        <f>N8</f>
        <v>26055169.459989998</v>
      </c>
      <c r="I51" s="122">
        <f t="shared" ref="I51:I64" si="1">G51+H51</f>
        <v>118419161.784262</v>
      </c>
      <c r="J51" s="61">
        <f t="shared" ref="J51:J64" si="2">IFERROR(I51/F51,0)</f>
        <v>0.21394071868894582</v>
      </c>
      <c r="K51" s="51">
        <f t="shared" ref="K51:M64" si="3">D51-G51</f>
        <v>359319485.67572796</v>
      </c>
      <c r="L51" s="51">
        <f t="shared" si="3"/>
        <v>75775253.540010005</v>
      </c>
      <c r="M51" s="51">
        <f t="shared" si="3"/>
        <v>435094739.215738</v>
      </c>
      <c r="N51" s="51">
        <f ca="1">IFERROR(M51/C3,0)</f>
        <v>21754736.960786901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166454827.28515399</v>
      </c>
      <c r="H52" s="122">
        <f>N9</f>
        <v>37813286.126001999</v>
      </c>
      <c r="I52" s="122">
        <f t="shared" si="1"/>
        <v>204268113.411156</v>
      </c>
      <c r="J52" s="61">
        <f t="shared" si="2"/>
        <v>0.25054682335266176</v>
      </c>
      <c r="K52" s="54">
        <f t="shared" si="3"/>
        <v>423727543.71484601</v>
      </c>
      <c r="L52" s="54">
        <f t="shared" si="3"/>
        <v>187293519.87399799</v>
      </c>
      <c r="M52" s="54">
        <f t="shared" si="3"/>
        <v>611021063.58884406</v>
      </c>
      <c r="N52" s="54">
        <f ca="1">IFERROR(M52/C3,0)</f>
        <v>30551053.179442205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35091520</v>
      </c>
      <c r="H53" s="122">
        <f>IF(D22="",0,D22)</f>
        <v>0</v>
      </c>
      <c r="I53" s="122">
        <f>G53+H53</f>
        <v>35091520</v>
      </c>
      <c r="J53" s="61">
        <f>IFERROR(I53/F53,0)</f>
        <v>0.14532258701199174</v>
      </c>
      <c r="K53" s="54">
        <f>D53-G53</f>
        <v>206381748</v>
      </c>
      <c r="L53" s="54">
        <f>E53-H53</f>
        <v>0</v>
      </c>
      <c r="M53" s="54">
        <f>F53-I53</f>
        <v>206381748</v>
      </c>
      <c r="N53" s="54">
        <f ca="1">IFERROR(M53/C3,0)</f>
        <v>10319087.4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270811727.06423998</v>
      </c>
      <c r="H54" s="122">
        <f t="shared" ref="H54:H58" si="4">N10</f>
        <v>7184072.0075920001</v>
      </c>
      <c r="I54" s="122">
        <f t="shared" si="1"/>
        <v>277995799.071832</v>
      </c>
      <c r="J54" s="61">
        <f t="shared" si="2"/>
        <v>0.38283294805962459</v>
      </c>
      <c r="K54" s="54">
        <f>D54-G54</f>
        <v>374900744.93576002</v>
      </c>
      <c r="L54" s="54">
        <f t="shared" si="3"/>
        <v>73257775.992408007</v>
      </c>
      <c r="M54" s="54">
        <f t="shared" si="3"/>
        <v>448158520.928168</v>
      </c>
      <c r="N54" s="54">
        <f ca="1">IFERROR(M54/C3,0)</f>
        <v>22407926.0464084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93157656.040000007</v>
      </c>
      <c r="H55" s="122">
        <f t="shared" si="4"/>
        <v>33673767.340000004</v>
      </c>
      <c r="I55" s="122">
        <f t="shared" si="1"/>
        <v>126831423.38000001</v>
      </c>
      <c r="J55" s="61">
        <f t="shared" si="2"/>
        <v>0.21517338990543533</v>
      </c>
      <c r="K55" s="54">
        <f t="shared" si="3"/>
        <v>415761175.95999998</v>
      </c>
      <c r="L55" s="54">
        <f t="shared" si="3"/>
        <v>46845636.659999996</v>
      </c>
      <c r="M55" s="54">
        <f t="shared" si="3"/>
        <v>462606812.62</v>
      </c>
      <c r="N55" s="54">
        <f ca="1">IFERROR(M55/C3,0)</f>
        <v>23130340.631000001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166183439.07484499</v>
      </c>
      <c r="H56" s="122">
        <f t="shared" si="4"/>
        <v>35733598.889857002</v>
      </c>
      <c r="I56" s="122">
        <f t="shared" si="1"/>
        <v>201917037.96470198</v>
      </c>
      <c r="J56" s="61">
        <f t="shared" si="2"/>
        <v>0.38665676485935246</v>
      </c>
      <c r="K56" s="54">
        <f t="shared" si="3"/>
        <v>273879844.92515504</v>
      </c>
      <c r="L56" s="54">
        <f t="shared" si="3"/>
        <v>46415726.110142998</v>
      </c>
      <c r="M56" s="54">
        <f t="shared" si="3"/>
        <v>320295571.03529799</v>
      </c>
      <c r="N56" s="54">
        <f ca="1">IFERROR(M56/C3,0)</f>
        <v>16014778.5517649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225173461.261388</v>
      </c>
      <c r="H57" s="122">
        <f t="shared" si="4"/>
        <v>31810496.829944</v>
      </c>
      <c r="I57" s="122">
        <f t="shared" si="1"/>
        <v>256983958.09133202</v>
      </c>
      <c r="J57" s="61">
        <f t="shared" si="2"/>
        <v>0.22899056192067704</v>
      </c>
      <c r="K57" s="54">
        <f t="shared" si="3"/>
        <v>771584883.73861194</v>
      </c>
      <c r="L57" s="54">
        <f t="shared" si="3"/>
        <v>93678101.170056</v>
      </c>
      <c r="M57" s="54">
        <f t="shared" si="3"/>
        <v>865262984.90866804</v>
      </c>
      <c r="N57" s="54">
        <f ca="1">IFERROR(M57/C3,0)</f>
        <v>43263149.245433405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114934350.132837</v>
      </c>
      <c r="H58" s="122">
        <f t="shared" si="4"/>
        <v>16357258.739984</v>
      </c>
      <c r="I58" s="122">
        <f>G58+H58</f>
        <v>131291608.872821</v>
      </c>
      <c r="J58" s="61">
        <f>IFERROR(I58/F58,0)</f>
        <v>0.20590612239166353</v>
      </c>
      <c r="K58" s="54">
        <f t="shared" si="3"/>
        <v>425352708.867163</v>
      </c>
      <c r="L58" s="54">
        <f t="shared" si="3"/>
        <v>80984167.260015994</v>
      </c>
      <c r="M58" s="54">
        <f t="shared" si="3"/>
        <v>506336876.12717903</v>
      </c>
      <c r="N58" s="54">
        <f ca="1">IFERROR(M58/C3,0)</f>
        <v>25316843.806358952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92325602.239999995</v>
      </c>
      <c r="H59" s="122">
        <f>IF(D23="",0,D23)</f>
        <v>0</v>
      </c>
      <c r="I59" s="122">
        <f>G59+H59</f>
        <v>92325602.239999995</v>
      </c>
      <c r="J59" s="61">
        <f>IFERROR(I59/F59,0)</f>
        <v>0.2284531343570527</v>
      </c>
      <c r="K59" s="54">
        <f>D59-G59</f>
        <v>311808061.75999999</v>
      </c>
      <c r="L59" s="54">
        <f>E59-H59</f>
        <v>0</v>
      </c>
      <c r="M59" s="54">
        <f>F59-I59</f>
        <v>311808061.75999999</v>
      </c>
      <c r="N59" s="54">
        <f ca="1">IFERROR(M59/C3,0)</f>
        <v>15590403.088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119278251.877675</v>
      </c>
      <c r="H60" s="122">
        <f t="shared" ref="H60:H64" si="5">N15</f>
        <v>19707239.534437999</v>
      </c>
      <c r="I60" s="122">
        <f t="shared" si="1"/>
        <v>138985491.41211301</v>
      </c>
      <c r="J60" s="61">
        <f t="shared" si="2"/>
        <v>0.22745663125041016</v>
      </c>
      <c r="K60" s="54">
        <f t="shared" si="3"/>
        <v>319739057.122325</v>
      </c>
      <c r="L60" s="54">
        <f t="shared" si="3"/>
        <v>152317172.46556199</v>
      </c>
      <c r="M60" s="54">
        <f t="shared" si="3"/>
        <v>472056229.58788699</v>
      </c>
      <c r="N60" s="54">
        <f ca="1">IFERROR(M60/C3,0)</f>
        <v>23602811.47939435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152773967.65607199</v>
      </c>
      <c r="H61" s="122">
        <f t="shared" si="5"/>
        <v>11866324.495468</v>
      </c>
      <c r="I61" s="122">
        <f t="shared" si="1"/>
        <v>164640292.15153998</v>
      </c>
      <c r="J61" s="61">
        <f t="shared" si="2"/>
        <v>0.21693704020426788</v>
      </c>
      <c r="K61" s="54">
        <f t="shared" si="3"/>
        <v>513855628.34392798</v>
      </c>
      <c r="L61" s="54">
        <f t="shared" si="3"/>
        <v>80435297.504531994</v>
      </c>
      <c r="M61" s="54">
        <f t="shared" si="3"/>
        <v>594290925.84845996</v>
      </c>
      <c r="N61" s="54">
        <f ca="1">IFERROR(M61/C3,0)</f>
        <v>29714546.292422999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71727112.708320007</v>
      </c>
      <c r="H62" s="122">
        <f t="shared" si="5"/>
        <v>11772770.791799</v>
      </c>
      <c r="I62" s="122">
        <f t="shared" si="1"/>
        <v>83499883.500119001</v>
      </c>
      <c r="J62" s="61">
        <f t="shared" si="2"/>
        <v>0.16092727322337252</v>
      </c>
      <c r="K62" s="54">
        <f t="shared" si="3"/>
        <v>349815910.29167998</v>
      </c>
      <c r="L62" s="54">
        <f t="shared" si="3"/>
        <v>85551405.208201006</v>
      </c>
      <c r="M62" s="54">
        <f t="shared" si="3"/>
        <v>435367315.49988103</v>
      </c>
      <c r="N62" s="54">
        <f ca="1">IFERROR(M62/C3,0)</f>
        <v>21768365.774994053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223158538.444594</v>
      </c>
      <c r="H63" s="122">
        <f t="shared" si="5"/>
        <v>11198866.199999999</v>
      </c>
      <c r="I63" s="122">
        <f t="shared" si="1"/>
        <v>234357404.64459398</v>
      </c>
      <c r="J63" s="61">
        <f t="shared" si="2"/>
        <v>0.23872173741032948</v>
      </c>
      <c r="K63" s="54">
        <f t="shared" si="3"/>
        <v>395192403.55540597</v>
      </c>
      <c r="L63" s="54">
        <f t="shared" si="3"/>
        <v>352168099.80000001</v>
      </c>
      <c r="M63" s="54">
        <f t="shared" si="3"/>
        <v>747360503.35540605</v>
      </c>
      <c r="N63" s="54">
        <f ca="1">IFERROR(M63/C3,0)</f>
        <v>37368025.167770304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44742360.789889999</v>
      </c>
      <c r="H64" s="122">
        <f t="shared" si="5"/>
        <v>11183358.439948</v>
      </c>
      <c r="I64" s="122">
        <f t="shared" si="1"/>
        <v>55925719.229837999</v>
      </c>
      <c r="J64" s="61">
        <f t="shared" si="2"/>
        <v>9.5427303619589815E-2</v>
      </c>
      <c r="K64" s="54">
        <f t="shared" si="3"/>
        <v>249783328.21011001</v>
      </c>
      <c r="L64" s="54">
        <f t="shared" si="3"/>
        <v>280346694.56005198</v>
      </c>
      <c r="M64" s="54">
        <f t="shared" si="3"/>
        <v>530130022.77016199</v>
      </c>
      <c r="N64" s="54">
        <f ca="1">IFERROR(M64/C3,0)</f>
        <v>26506501.1385081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1868176806.8992867</v>
      </c>
      <c r="H65" s="152">
        <f>SUM(H51:H64)</f>
        <v>254356208.85502195</v>
      </c>
      <c r="I65" s="152">
        <f>SUM(I51:I64)</f>
        <v>2122533015.7543089</v>
      </c>
      <c r="J65" s="153">
        <f>IFERROR(I65/F65,0)</f>
        <v>0.23405030357597295</v>
      </c>
      <c r="K65" s="154">
        <f>SUM(K51:K64)</f>
        <v>5391102525.1007128</v>
      </c>
      <c r="L65" s="154">
        <f>SUM(L51:L64)</f>
        <v>1555068850.144978</v>
      </c>
      <c r="M65" s="154">
        <f>SUM(M51:M64)</f>
        <v>6946171375.2456903</v>
      </c>
      <c r="N65" s="154">
        <f ca="1">IFERROR(M65/C3,0)</f>
        <v>347308568.76228452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48">
        <v>144205676.39989999</v>
      </c>
    </row>
    <row r="71" spans="2:14" ht="20.100000000000001" customHeight="1" x14ac:dyDescent="0.25">
      <c r="B71" s="53" t="s">
        <v>69</v>
      </c>
      <c r="C71" s="56" t="s">
        <v>70</v>
      </c>
      <c r="D71" s="149">
        <v>8285675.5399999991</v>
      </c>
    </row>
    <row r="72" spans="2:14" ht="20.100000000000001" customHeight="1" x14ac:dyDescent="0.25">
      <c r="B72" s="53" t="s">
        <v>175</v>
      </c>
      <c r="C72" s="56" t="s">
        <v>176</v>
      </c>
      <c r="D72" s="149">
        <f>IF(E22="",0,E22)</f>
        <v>0</v>
      </c>
    </row>
    <row r="73" spans="2:14" ht="20.100000000000001" customHeight="1" x14ac:dyDescent="0.25">
      <c r="B73" s="50" t="s">
        <v>71</v>
      </c>
      <c r="C73" s="55" t="s">
        <v>72</v>
      </c>
      <c r="D73" s="148">
        <v>71471531.810000002</v>
      </c>
    </row>
    <row r="74" spans="2:14" ht="20.100000000000001" customHeight="1" x14ac:dyDescent="0.25">
      <c r="B74" s="53" t="s">
        <v>73</v>
      </c>
      <c r="C74" s="56" t="s">
        <v>74</v>
      </c>
      <c r="D74" s="149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48">
        <v>7963693.5999999996</v>
      </c>
    </row>
    <row r="76" spans="2:14" ht="20.100000000000001" customHeight="1" x14ac:dyDescent="0.25">
      <c r="B76" s="53" t="s">
        <v>76</v>
      </c>
      <c r="C76" s="56" t="s">
        <v>77</v>
      </c>
      <c r="D76" s="149">
        <v>413706317.48997998</v>
      </c>
    </row>
    <row r="77" spans="2:14" ht="20.100000000000001" customHeight="1" x14ac:dyDescent="0.25">
      <c r="B77" s="50" t="s">
        <v>78</v>
      </c>
      <c r="C77" s="55" t="s">
        <v>79</v>
      </c>
      <c r="D77" s="148">
        <v>78310361.589805007</v>
      </c>
    </row>
    <row r="78" spans="2:14" ht="20.100000000000001" customHeight="1" x14ac:dyDescent="0.25">
      <c r="B78" s="53" t="s">
        <v>175</v>
      </c>
      <c r="C78" s="56" t="s">
        <v>177</v>
      </c>
      <c r="D78" s="149">
        <v>3687657.56</v>
      </c>
    </row>
    <row r="79" spans="2:14" ht="20.100000000000001" customHeight="1" x14ac:dyDescent="0.25">
      <c r="B79" s="53" t="s">
        <v>80</v>
      </c>
      <c r="C79" s="56" t="s">
        <v>81</v>
      </c>
      <c r="D79" s="149">
        <f>IF(E11="",0,E11)</f>
        <v>0</v>
      </c>
    </row>
    <row r="80" spans="2:14" ht="20.100000000000001" customHeight="1" x14ac:dyDescent="0.25">
      <c r="B80" s="50" t="s">
        <v>82</v>
      </c>
      <c r="C80" s="55" t="s">
        <v>83</v>
      </c>
      <c r="D80" s="148">
        <v>185059370.96979001</v>
      </c>
    </row>
    <row r="81" spans="2:9" ht="20.100000000000001" customHeight="1" x14ac:dyDescent="0.25">
      <c r="B81" s="53" t="s">
        <v>84</v>
      </c>
      <c r="C81" s="56" t="s">
        <v>85</v>
      </c>
      <c r="D81" s="149">
        <v>41971341.25</v>
      </c>
    </row>
    <row r="82" spans="2:9" ht="20.100000000000001" customHeight="1" x14ac:dyDescent="0.25">
      <c r="B82" s="50" t="s">
        <v>86</v>
      </c>
      <c r="C82" s="55" t="s">
        <v>87</v>
      </c>
      <c r="D82" s="149">
        <f t="shared" ref="D82" si="7">IF(E11="",0,E11)</f>
        <v>0</v>
      </c>
    </row>
    <row r="83" spans="2:9" ht="20.100000000000001" customHeight="1" x14ac:dyDescent="0.25">
      <c r="B83" s="53" t="s">
        <v>88</v>
      </c>
      <c r="C83" s="56" t="s">
        <v>89</v>
      </c>
      <c r="D83" s="149">
        <v>13329729.960000001</v>
      </c>
    </row>
    <row r="84" spans="2:9" ht="20.100000000000001" customHeight="1" x14ac:dyDescent="0.25">
      <c r="B84" s="57" t="s">
        <v>152</v>
      </c>
      <c r="C84" s="58"/>
      <c r="D84" s="129">
        <f>SUM(D70:D83)</f>
        <v>967991356.16947496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57713265.689695001</v>
      </c>
      <c r="F89" s="61">
        <f t="shared" ref="F89:F94" si="8">IFERROR(E89/D89,0)</f>
        <v>0.20212641023286571</v>
      </c>
      <c r="G89" s="125">
        <f>D89-E89</f>
        <v>227817287.310305</v>
      </c>
      <c r="H89" s="125">
        <f ca="1">IFERROR(G89/C3,0)</f>
        <v>11390864.365515251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75575344.161186993</v>
      </c>
      <c r="F90" s="61">
        <f t="shared" si="8"/>
        <v>0.17623553973562461</v>
      </c>
      <c r="G90" s="126">
        <f>D90-E90</f>
        <v>353256117.83881301</v>
      </c>
      <c r="H90" s="126">
        <f ca="1">IFERROR(G90/C3,0)</f>
        <v>17662805.89194065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215640573.270042</v>
      </c>
      <c r="F91" s="61">
        <f t="shared" si="8"/>
        <v>0.19314168236865709</v>
      </c>
      <c r="G91" s="125">
        <f>D91-E91</f>
        <v>900848475.72995806</v>
      </c>
      <c r="H91" s="125">
        <f ca="1">IFERROR(G91/C3,0)</f>
        <v>45042423.786497906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8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8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348929183.120924</v>
      </c>
      <c r="F94" s="43">
        <f t="shared" si="8"/>
        <v>0.19058305177407045</v>
      </c>
      <c r="G94" s="119">
        <f>SUM(G89:G93)</f>
        <v>1481921880.879076</v>
      </c>
      <c r="H94" s="119">
        <f ca="1">IFERROR(G94/C3,0)</f>
        <v>74096094.043953806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178</v>
      </c>
      <c r="C41" s="225"/>
      <c r="D41" s="226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162</v>
      </c>
      <c r="C41" s="225"/>
      <c r="D41" s="226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164</v>
      </c>
      <c r="C41" s="225"/>
      <c r="D41" s="226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166</v>
      </c>
      <c r="C41" s="225"/>
      <c r="D41" s="226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179</v>
      </c>
      <c r="C41" s="225"/>
      <c r="D41" s="226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181</v>
      </c>
      <c r="C41" s="225"/>
      <c r="D41" s="226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2026-06-08T01:01:07Z</dcterms:modified>
  <dc:language>en-US</dc:language>
</cp:coreProperties>
</file>