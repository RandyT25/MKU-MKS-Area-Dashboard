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<sst xmlns="http://schemas.openxmlformats.org/spreadsheetml/2006/main" count="1875" uniqueCount="185">
  <si>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</si>
  <si>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</si>
  <si>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</si>
  <si>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</si>
  <si>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</si>
  <si>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</si>
  <si>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</si>
  <si>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</si>
  <si>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</si>
  <si>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</si>
  <si>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</si>
  <si>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</si>
  <si>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</si>
  <si>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</si>
  <si>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</si>
  <si>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</si>
  <si>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</si>
  <si>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</si>
  <si>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</si>
  <si>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</si>
  <si>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</si>
  <si>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</si>
  <si>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</si>
  <si>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</si>
  <si>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</si>
  <si>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</si>
  <si>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</si>
  <si>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</si>
  <si>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</si>
  <si>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</si>
  <si>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</si>
  <si>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</si>
  <si>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</si>
  <si>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</si>
  <si>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</si>
  <si>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</si>
  <si>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</si>
  <si>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</si>
  <si>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</si>
  <si>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</si>
  <si>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</si>
  <si>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</si>
  <si>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</si>
  <si>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</si>
  <si>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</si>
  <si>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</si>
  <si>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</si>
  <si>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</si>
  <si>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</si>
  <si>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</si>
  <si>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</si>
  <si>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</si>
  <si>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</si>
  <si>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</si>
  <si>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</si>
  <si>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</si>
  <si>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</si>
  <si>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</si>
  <si>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</si>
  <si>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</si>
  <si>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</si>
  <si>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</si>
  <si>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</si>
  <si>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</si>
  <si>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</si>
  <si>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</si>
  <si>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</si>
  <si>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</si>
  <si>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</si>
  <si>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</si>
  <si>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</si>
  <si>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</si>
  <si>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</si>
  <si>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</si>
  <si>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</si>
  <si>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</si>
  <si>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</si>
  <si>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</si>
  <si>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</si>
  <si>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</si>
  <si>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</si>
  <si>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</si>
  <si>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</si>
  <si>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</si>
  <si>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</si>
  <si>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</si>
  <si>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</si>
  <si>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</si>
  <si>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</si>
  <si>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</si>
  <si>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</si>
  <si>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</si>
  <si>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</si>
  <si>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</si>
  <si>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</si>
  <si>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</si>
  <si>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</si>
  <si>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</si>
  <si>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</si>
  <si>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</si>
  <si>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</si>
  <si>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</si>
  <si>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</si>
  <si>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</si>
  <si>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</si>
  <si>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</si>
  <si>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</si>
  <si>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</si>
  <si>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</si>
  <si>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</si>
  <si>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</si>
  <si>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</si>
  <si>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</si>
  <si>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</si>
  <si>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</si>
  <si>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</si>
  <si>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</si>
  <si>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</si>
  <si>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</si>
  <si>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</si>
  <si>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</si>
  <si>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</si>
  <si>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</si>
  <si>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</si>
  <si>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</si>
  <si>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</si>
  <si>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</si>
  <si>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</si>
  <si>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</si>
  <si>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</si>
  <si>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</si>
  <si>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</si>
  <si>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</si>
  <si>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</si>
  <si>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</si>
  <si>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</si>
  <si>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</si>
  <si>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</si>
  <si>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</si>
  <si>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</si>
  <si>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</si>
  <si>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</si>
  <si>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</si>
  <si>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</si>
  <si>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</si>
  <si>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</si>
  <si>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</si>
  <si>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</si>
  <si>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</si>
  <si>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</si>
  <si>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</si>
  <si>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</si>
  <si>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</si>
  <si>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</si>
  <si>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</si>
  <si>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</si>
  <si>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</si>
  <si>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</si>
  <si>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</si>
  <si>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</si>
  <si>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</si>
  <si>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</si>
  <si>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</si>
  <si>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</si>
  <si>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</si>
  <si>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</si>
  <si>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</si>
  <si>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</si>
  <si>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</si>
  <si>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</si>
  <si>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</si>
  <si>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</si>
  <si>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</si>
  <si>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</si>
  <si>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</si>
  <si>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</si>
  <si>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</si>
  <si>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</si>
  <si>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</si>
  <si>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</si>
  <si>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</si>
  <si>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</si>
  <si>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</si>
  <si>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</si>
  <si>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23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</si>
</sst>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41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182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7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183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90399154.315943852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79369618.530955821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15681787.819958959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185450560.66685864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21706303.332366187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19421376.426752858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6272203.1714285696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-5764101.0694324458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18684911.087360878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11526786.350706236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-3588162.2383913654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15830632.605041435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14801734.310003569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10801706.808182912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25319451.057982605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16910618.308881838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4943668.9947136296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12901643.701302912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169768772.84689981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-1908996.8451817802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-2647068.9625546336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20237853.627695389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15681787.819958976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7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269228327.14556301</v>
      </c>
      <c r="N8" s="11">
        <f>D24</f>
        <v>45580726.018472001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413715743.12521899</v>
      </c>
      <c r="N9" s="11">
        <f>D12+D13</f>
        <v>116164090.418745</v>
      </c>
    </row>
    <row r="10" spans="2:14" x14ac:dyDescent="0.25">
      <c r="B10" s="74" t="s">
        <v>113</v>
      </c>
      <c r="C10" s="205">
        <v>248297316.40555099</v>
      </c>
      <c r="D10" s="205">
        <v>29458987.892499</v>
      </c>
      <c r="E10" s="205">
        <v>124077510.04000001</v>
      </c>
      <c r="F10" s="205">
        <v>401833814.33805001</v>
      </c>
      <c r="H10" s="116"/>
      <c r="I10" s="116"/>
      <c r="J10" s="116"/>
      <c r="M10" s="11">
        <f>C14</f>
        <v>779465004.640347</v>
      </c>
      <c r="N10" s="11">
        <f>D14</f>
        <v>23195396.925105002</v>
      </c>
    </row>
    <row r="11" spans="2:14" x14ac:dyDescent="0.25">
      <c r="B11" s="74" t="s">
        <v>114</v>
      </c>
      <c r="C11" s="205">
        <v>270823037.35390502</v>
      </c>
      <c r="D11" s="205">
        <v>75385183.480155006</v>
      </c>
      <c r="E11" s="205">
        <v>2984684.68</v>
      </c>
      <c r="F11" s="205">
        <v>349192905.51406002</v>
      </c>
      <c r="H11" s="116"/>
      <c r="I11" s="116"/>
      <c r="J11" s="116"/>
      <c r="M11" s="11">
        <f>C17</f>
        <v>252074323.43939</v>
      </c>
      <c r="N11" s="11">
        <f>D17</f>
        <v>49801992.810000002</v>
      </c>
    </row>
    <row r="12" spans="2:14" x14ac:dyDescent="0.25">
      <c r="B12" s="74" t="s">
        <v>70</v>
      </c>
      <c r="C12" s="205">
        <v>213662463.846358</v>
      </c>
      <c r="D12" s="205">
        <v>71573888.308929995</v>
      </c>
      <c r="E12" s="205">
        <v>44660102.520000003</v>
      </c>
      <c r="F12" s="205">
        <v>329896454.67528802</v>
      </c>
      <c r="H12" s="116"/>
      <c r="I12" s="116"/>
      <c r="J12" s="116"/>
      <c r="M12" s="11">
        <f>C16</f>
        <v>388335116.82376301</v>
      </c>
      <c r="N12" s="11">
        <f>D16</f>
        <v>80188962.052796006</v>
      </c>
    </row>
    <row r="13" spans="2:14" x14ac:dyDescent="0.25">
      <c r="B13" s="74" t="s">
        <v>115</v>
      </c>
      <c r="C13" s="205">
        <v>200053279.27886099</v>
      </c>
      <c r="D13" s="205">
        <v>44590202.109815001</v>
      </c>
      <c r="E13" s="205">
        <v>29747724.800000001</v>
      </c>
      <c r="F13" s="205">
        <v>274391206.188676</v>
      </c>
      <c r="H13" s="116"/>
      <c r="I13" s="116"/>
      <c r="J13" s="116"/>
      <c r="M13" s="11">
        <f>C19</f>
        <v>723607416.51107204</v>
      </c>
      <c r="N13" s="11">
        <f>D19</f>
        <v>55233572.569936</v>
      </c>
    </row>
    <row r="14" spans="2:14" x14ac:dyDescent="0.25">
      <c r="B14" s="74" t="s">
        <v>116</v>
      </c>
      <c r="C14" s="205">
        <v>779465004.640347</v>
      </c>
      <c r="D14" s="205">
        <v>23195396.925105002</v>
      </c>
      <c r="E14" s="205">
        <v>207802666.91</v>
      </c>
      <c r="F14" s="205">
        <v>1010463068.4754519</v>
      </c>
      <c r="H14" s="116"/>
      <c r="I14" s="116"/>
      <c r="J14" s="116"/>
      <c r="M14" s="11">
        <f>C25</f>
        <v>346950683.470164</v>
      </c>
      <c r="N14" s="11">
        <f>D25</f>
        <v>49437708.359926999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270823037.35390502</v>
      </c>
      <c r="N15" s="11">
        <f>D11</f>
        <v>75385183.480155006</v>
      </c>
    </row>
    <row r="16" spans="2:14" x14ac:dyDescent="0.25">
      <c r="B16" s="74" t="s">
        <v>74</v>
      </c>
      <c r="C16" s="205">
        <v>388335116.82376301</v>
      </c>
      <c r="D16" s="205">
        <v>80188962.052796006</v>
      </c>
      <c r="E16" s="205">
        <v>30956603.27</v>
      </c>
      <c r="F16" s="205">
        <v>499480682.146559</v>
      </c>
      <c r="H16" s="116"/>
      <c r="I16" s="116"/>
      <c r="J16" s="116"/>
      <c r="M16" s="11">
        <f>C26</f>
        <v>412833801.89116597</v>
      </c>
      <c r="N16" s="11">
        <f>D26</f>
        <v>36896596.625460997</v>
      </c>
    </row>
    <row r="17" spans="2:14" x14ac:dyDescent="0.25">
      <c r="B17" s="74" t="s">
        <v>118</v>
      </c>
      <c r="C17" s="205">
        <v>252074323.43939</v>
      </c>
      <c r="D17" s="205">
        <v>49801992.810000002</v>
      </c>
      <c r="E17" s="205" t="s">
        <v>168</v>
      </c>
      <c r="F17" s="205">
        <v>301876316.24939001</v>
      </c>
      <c r="H17" s="116"/>
      <c r="I17" s="116"/>
      <c r="J17" s="116"/>
      <c r="M17" s="11">
        <f>C10</f>
        <v>248297316.40555099</v>
      </c>
      <c r="N17" s="11">
        <f>D10</f>
        <v>29458987.892499</v>
      </c>
    </row>
    <row r="18" spans="2:14" x14ac:dyDescent="0.25">
      <c r="B18" s="74" t="s">
        <v>119</v>
      </c>
      <c r="C18" s="205">
        <v>398631172.90298897</v>
      </c>
      <c r="D18" s="205">
        <v>3209277.5299920002</v>
      </c>
      <c r="E18" s="205">
        <v>8770270.1600000001</v>
      </c>
      <c r="F18" s="205">
        <v>410610720.59298098</v>
      </c>
      <c r="H18" s="116"/>
      <c r="I18" s="116"/>
      <c r="J18" s="116"/>
      <c r="M18" s="11">
        <f>C27</f>
        <v>618235789.38517201</v>
      </c>
      <c r="N18" s="11">
        <f>D27</f>
        <v>99871780.521954998</v>
      </c>
    </row>
    <row r="19" spans="2:14" x14ac:dyDescent="0.25">
      <c r="B19" s="74" t="s">
        <v>121</v>
      </c>
      <c r="C19" s="205">
        <v>723607416.51107204</v>
      </c>
      <c r="D19" s="205">
        <v>55233572.569936</v>
      </c>
      <c r="E19" s="205">
        <v>1130760398.3099501</v>
      </c>
      <c r="F19" s="205">
        <v>1909601387.3909581</v>
      </c>
      <c r="H19" s="116"/>
      <c r="I19" s="116"/>
      <c r="J19" s="116"/>
      <c r="M19" s="11">
        <f>C20+C21</f>
        <v>139756959.957582</v>
      </c>
      <c r="N19" s="11">
        <f>D20+D21</f>
        <v>115552929.046872</v>
      </c>
    </row>
    <row r="20" spans="2:14" x14ac:dyDescent="0.25">
      <c r="B20" s="74" t="s">
        <v>123</v>
      </c>
      <c r="C20" s="205">
        <v>96439159.457581997</v>
      </c>
      <c r="D20" s="205">
        <v>21291124.199754</v>
      </c>
      <c r="E20" s="205">
        <v>8237838</v>
      </c>
      <c r="F20" s="205">
        <v>125968121.657336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43317800.5</v>
      </c>
      <c r="D21" s="205">
        <v>94261804.847118005</v>
      </c>
      <c r="E21" s="205">
        <v>42151352.140000001</v>
      </c>
      <c r="F21" s="205">
        <v>179730957.48711801</v>
      </c>
      <c r="H21" s="116"/>
      <c r="I21" s="116"/>
      <c r="J21" s="116"/>
      <c r="M21" s="14">
        <f>IFERROR(C34,0)+IFERROR(C35,0)+M20</f>
        <v>693872984.94133496</v>
      </c>
      <c r="N21" s="10" t="s">
        <v>122</v>
      </c>
    </row>
    <row r="22" spans="2:14" x14ac:dyDescent="0.25">
      <c r="B22" s="74" t="s">
        <v>172</v>
      </c>
      <c r="C22" s="205">
        <v>174731592.19999999</v>
      </c>
      <c r="D22" s="205" t="s">
        <v>168</v>
      </c>
      <c r="E22" s="205">
        <v>7027026.8399999999</v>
      </c>
      <c r="F22" s="205">
        <v>181758619.03999999</v>
      </c>
      <c r="H22" s="116"/>
      <c r="I22" s="116"/>
      <c r="J22" s="116"/>
    </row>
    <row r="23" spans="2:14" x14ac:dyDescent="0.25">
      <c r="B23" s="74" t="s">
        <v>173</v>
      </c>
      <c r="C23" s="205">
        <v>326729714.68000001</v>
      </c>
      <c r="D23" s="205" t="s">
        <v>168</v>
      </c>
      <c r="E23" s="205">
        <v>12750720.380000001</v>
      </c>
      <c r="F23" s="205">
        <v>339480435.06</v>
      </c>
      <c r="H23" s="116"/>
      <c r="I23" s="116"/>
      <c r="J23" s="116"/>
    </row>
    <row r="24" spans="2:14" x14ac:dyDescent="0.25">
      <c r="B24" s="74" t="s">
        <v>125</v>
      </c>
      <c r="C24" s="205">
        <v>269228327.14556301</v>
      </c>
      <c r="D24" s="205">
        <v>45580726.018472001</v>
      </c>
      <c r="E24" s="205">
        <v>288489774.95986998</v>
      </c>
      <c r="F24" s="205">
        <v>603298828.12390494</v>
      </c>
      <c r="H24" s="116"/>
      <c r="I24" s="116"/>
      <c r="J24" s="116"/>
    </row>
    <row r="25" spans="2:14" x14ac:dyDescent="0.25">
      <c r="B25" s="74" t="s">
        <v>126</v>
      </c>
      <c r="C25" s="205">
        <v>346950683.470164</v>
      </c>
      <c r="D25" s="205">
        <v>49437708.359926999</v>
      </c>
      <c r="E25" s="205">
        <v>226582120.10947901</v>
      </c>
      <c r="F25" s="205">
        <v>622970511.93956995</v>
      </c>
      <c r="H25" s="116"/>
      <c r="I25" s="116"/>
      <c r="J25" s="116"/>
    </row>
    <row r="26" spans="2:14" x14ac:dyDescent="0.25">
      <c r="B26" s="74" t="s">
        <v>127</v>
      </c>
      <c r="C26" s="205">
        <v>412833801.89116597</v>
      </c>
      <c r="D26" s="205">
        <v>36896596.625460997</v>
      </c>
      <c r="E26" s="205">
        <v>482561357.99949998</v>
      </c>
      <c r="F26" s="205">
        <v>932291756.51612699</v>
      </c>
      <c r="H26" s="116"/>
      <c r="I26" s="116"/>
      <c r="J26" s="116"/>
    </row>
    <row r="27" spans="2:14" x14ac:dyDescent="0.25">
      <c r="B27" s="74" t="s">
        <v>128</v>
      </c>
      <c r="C27" s="205">
        <v>618235789.38517201</v>
      </c>
      <c r="D27" s="205">
        <v>99871780.521954998</v>
      </c>
      <c r="E27" s="205">
        <v>15485405.749</v>
      </c>
      <c r="F27" s="205">
        <v>733592975.65612698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164073143.30486599</v>
      </c>
      <c r="G32" s="116"/>
      <c r="H32" s="116"/>
      <c r="I32" s="116"/>
    </row>
    <row r="33" spans="2:14" x14ac:dyDescent="0.25">
      <c r="B33" s="84" t="s">
        <v>133</v>
      </c>
      <c r="C33" s="206">
        <v>232240413.76351598</v>
      </c>
      <c r="G33" s="116"/>
      <c r="H33" s="116"/>
      <c r="I33" s="116"/>
    </row>
    <row r="34" spans="2:14" x14ac:dyDescent="0.25">
      <c r="B34" s="84" t="s">
        <v>134</v>
      </c>
      <c r="C34" s="205">
        <v>125450648.721535</v>
      </c>
      <c r="G34" s="116"/>
      <c r="H34" s="116"/>
      <c r="I34" s="116"/>
    </row>
    <row r="35" spans="2:14" x14ac:dyDescent="0.25">
      <c r="B35" s="84" t="s">
        <v>135</v>
      </c>
      <c r="C35" s="205">
        <v>568011336.2198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184</v>
      </c>
      <c r="C41" s="226"/>
      <c r="D41" s="227"/>
      <c r="E41" s="67" t="s">
        <v>138</v>
      </c>
      <c r="F41" s="73">
        <f ca="1">IF(MONTH(TODAY())=6,DAY(TODAY())/DAY(EOMONTH(TODAY(),0)),IF(MONTH(TODAY())&gt;6,1,0))</f>
        <v>0.76666666666666672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5364784827.0288944</v>
      </c>
      <c r="F43" s="44">
        <f>IFERROR(E43/D43,0)</f>
        <v>0.73902443778132532</v>
      </c>
      <c r="G43" s="118">
        <f>D43-E43</f>
        <v>1894494504.9711056</v>
      </c>
      <c r="H43" s="118">
        <f ca="1">IFERROR(G43/C3,0)</f>
        <v>270642072.13872939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776767926.72192299</v>
      </c>
      <c r="F44" s="44">
        <f>IFERROR(E44/D44,0)</f>
        <v>0.42928991331158689</v>
      </c>
      <c r="G44" s="118">
        <f>D44-E44</f>
        <v>1032657132.278077</v>
      </c>
      <c r="H44" s="118">
        <f ca="1">IFERROR(G44/C3,0)</f>
        <v>147522447.46829671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1090186542.009717</v>
      </c>
      <c r="F45" s="44">
        <f>IFERROR(E45/D45,0)</f>
        <v>0.59545342788719435</v>
      </c>
      <c r="G45" s="118">
        <f>D45-E45</f>
        <v>740664521.99028301</v>
      </c>
      <c r="H45" s="118">
        <f ca="1">IFERROR(G45/C3,0)</f>
        <v>105809217.42718329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7231739295.7605343</v>
      </c>
      <c r="F46" s="43">
        <f>IFERROR(E46/D46,0)</f>
        <v>0.66348938042634453</v>
      </c>
      <c r="G46" s="119">
        <f>G43+G44+G45</f>
        <v>3667816159.2394657</v>
      </c>
      <c r="H46" s="119">
        <f ca="1">IFERROR(G46/C3,0)</f>
        <v>523973737.03420937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269228327.14556301</v>
      </c>
      <c r="H51" s="122">
        <f>N8</f>
        <v>45580726.018472001</v>
      </c>
      <c r="I51" s="122">
        <f t="shared" ref="I51:I64" si="1">G51+H51</f>
        <v>314809053.16403502</v>
      </c>
      <c r="J51" s="61">
        <f t="shared" ref="J51:J64" si="2">IFERROR(I51/F51,0)</f>
        <v>0.56874642641366113</v>
      </c>
      <c r="K51" s="51">
        <f t="shared" ref="K51:M64" si="3">D51-G51</f>
        <v>182455150.85443699</v>
      </c>
      <c r="L51" s="51">
        <f t="shared" si="3"/>
        <v>56249696.981527999</v>
      </c>
      <c r="M51" s="51">
        <f t="shared" si="3"/>
        <v>238704847.83596498</v>
      </c>
      <c r="N51" s="51">
        <f ca="1">IFERROR(M51/C3,0)</f>
        <v>34100692.547994994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413715743.12521899</v>
      </c>
      <c r="H52" s="122">
        <f>N9</f>
        <v>116164090.418745</v>
      </c>
      <c r="I52" s="122">
        <f t="shared" si="1"/>
        <v>529879833.54396397</v>
      </c>
      <c r="J52" s="61">
        <f t="shared" si="2"/>
        <v>0.64992869829788502</v>
      </c>
      <c r="K52" s="54">
        <f t="shared" si="3"/>
        <v>176466627.87478101</v>
      </c>
      <c r="L52" s="54">
        <f t="shared" si="3"/>
        <v>108942715.581255</v>
      </c>
      <c r="M52" s="54">
        <f t="shared" si="3"/>
        <v>285409343.45603603</v>
      </c>
      <c r="N52" s="54">
        <f ca="1">IFERROR(M52/C3,0)</f>
        <v>40772763.350862287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174731592.19999999</v>
      </c>
      <c r="H53" s="122">
        <f>IF(D22="",0,D22)</f>
        <v>0</v>
      </c>
      <c r="I53" s="122">
        <f>G53+H53</f>
        <v>174731592.19999999</v>
      </c>
      <c r="J53" s="61">
        <f>IFERROR(I53/F53,0)</f>
        <v>0.72360635877922519</v>
      </c>
      <c r="K53" s="54">
        <f>D53-G53</f>
        <v>66741675.800000012</v>
      </c>
      <c r="L53" s="54">
        <f>E53-H53</f>
        <v>0</v>
      </c>
      <c r="M53" s="54">
        <f>F53-I53</f>
        <v>66741675.800000012</v>
      </c>
      <c r="N53" s="54">
        <f ca="1">IFERROR(M53/C3,0)</f>
        <v>9534525.1142857168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779465004.640347</v>
      </c>
      <c r="H54" s="122">
        <f t="shared" ref="H54:H58" si="4">N10</f>
        <v>23195396.925105002</v>
      </c>
      <c r="I54" s="122">
        <f t="shared" si="1"/>
        <v>802660401.56545198</v>
      </c>
      <c r="J54" s="61">
        <f t="shared" si="2"/>
        <v>1.1053578825578727</v>
      </c>
      <c r="K54" s="54">
        <f>D54-G54</f>
        <v>-133752532.640347</v>
      </c>
      <c r="L54" s="54">
        <f t="shared" si="3"/>
        <v>57246451.074894994</v>
      </c>
      <c r="M54" s="54">
        <f t="shared" si="3"/>
        <v>-76506081.56545198</v>
      </c>
      <c r="N54" s="54">
        <f ca="1">IFERROR(M54/C3,0)</f>
        <v>-10929440.223635998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252074323.43939</v>
      </c>
      <c r="H55" s="122">
        <f t="shared" si="4"/>
        <v>49801992.810000002</v>
      </c>
      <c r="I55" s="122">
        <f t="shared" si="1"/>
        <v>301876316.24939001</v>
      </c>
      <c r="J55" s="61">
        <f t="shared" si="2"/>
        <v>0.5121424057895525</v>
      </c>
      <c r="K55" s="54">
        <f t="shared" si="3"/>
        <v>256844508.56061</v>
      </c>
      <c r="L55" s="54">
        <f t="shared" si="3"/>
        <v>30717411.189999998</v>
      </c>
      <c r="M55" s="54">
        <f t="shared" si="3"/>
        <v>287561919.75060999</v>
      </c>
      <c r="N55" s="54">
        <f ca="1">IFERROR(M55/C3,0)</f>
        <v>41080274.250087142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388335116.82376301</v>
      </c>
      <c r="H56" s="122">
        <f t="shared" si="4"/>
        <v>80188962.052796006</v>
      </c>
      <c r="I56" s="122">
        <f t="shared" si="1"/>
        <v>468524078.87655902</v>
      </c>
      <c r="J56" s="61">
        <f t="shared" si="2"/>
        <v>0.89719028380748844</v>
      </c>
      <c r="K56" s="54">
        <f t="shared" si="3"/>
        <v>51728167.176236987</v>
      </c>
      <c r="L56" s="54">
        <f t="shared" si="3"/>
        <v>1960362.9472039938</v>
      </c>
      <c r="M56" s="54">
        <f t="shared" si="3"/>
        <v>53688530.123440981</v>
      </c>
      <c r="N56" s="54">
        <f ca="1">IFERROR(M56/C3,0)</f>
        <v>7669790.0176344262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723607416.51107204</v>
      </c>
      <c r="H57" s="122">
        <f t="shared" si="4"/>
        <v>55233572.569936</v>
      </c>
      <c r="I57" s="122">
        <f t="shared" si="1"/>
        <v>778840989.08100808</v>
      </c>
      <c r="J57" s="61">
        <f t="shared" si="2"/>
        <v>0.69400143519126345</v>
      </c>
      <c r="K57" s="54">
        <f t="shared" si="3"/>
        <v>273150928.48892796</v>
      </c>
      <c r="L57" s="54">
        <f t="shared" si="3"/>
        <v>70255025.430063993</v>
      </c>
      <c r="M57" s="54">
        <f t="shared" si="3"/>
        <v>343405953.91899192</v>
      </c>
      <c r="N57" s="54">
        <f ca="1">IFERROR(M57/C3,0)</f>
        <v>49057993.416998848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346950683.470164</v>
      </c>
      <c r="H58" s="122">
        <f t="shared" si="4"/>
        <v>49437708.359926999</v>
      </c>
      <c r="I58" s="122">
        <f>G58+H58</f>
        <v>396388391.830091</v>
      </c>
      <c r="J58" s="61">
        <f>IFERROR(I58/F58,0)</f>
        <v>0.62166042006434363</v>
      </c>
      <c r="K58" s="54">
        <f t="shared" si="3"/>
        <v>193336375.529836</v>
      </c>
      <c r="L58" s="54">
        <f t="shared" si="3"/>
        <v>47903717.640073001</v>
      </c>
      <c r="M58" s="54">
        <f t="shared" si="3"/>
        <v>241240093.169909</v>
      </c>
      <c r="N58" s="54">
        <f ca="1">IFERROR(M58/C3,0)</f>
        <v>34462870.452844143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326729714.68000001</v>
      </c>
      <c r="H59" s="122">
        <f>IF(D23="",0,D23)</f>
        <v>0</v>
      </c>
      <c r="I59" s="122">
        <f>G59+H59</f>
        <v>326729714.68000001</v>
      </c>
      <c r="J59" s="61">
        <f>IFERROR(I59/F59,0)</f>
        <v>0.80846943421174633</v>
      </c>
      <c r="K59" s="54">
        <f>D59-G59</f>
        <v>77403949.319999993</v>
      </c>
      <c r="L59" s="54">
        <f>E59-H59</f>
        <v>0</v>
      </c>
      <c r="M59" s="54">
        <f>F59-I59</f>
        <v>77403949.319999993</v>
      </c>
      <c r="N59" s="54">
        <f ca="1">IFERROR(M59/C3,0)</f>
        <v>11057707.045714285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270823037.35390502</v>
      </c>
      <c r="H60" s="122">
        <f t="shared" ref="H60:H64" si="5">N15</f>
        <v>75385183.480155006</v>
      </c>
      <c r="I60" s="122">
        <f t="shared" si="1"/>
        <v>346208220.83406001</v>
      </c>
      <c r="J60" s="61">
        <f t="shared" si="2"/>
        <v>0.56658687768074678</v>
      </c>
      <c r="K60" s="54">
        <f t="shared" si="3"/>
        <v>168194271.64609498</v>
      </c>
      <c r="L60" s="54">
        <f t="shared" si="3"/>
        <v>96639228.519844994</v>
      </c>
      <c r="M60" s="54">
        <f t="shared" si="3"/>
        <v>264833500.16593999</v>
      </c>
      <c r="N60" s="54">
        <f ca="1">IFERROR(M60/C3,0)</f>
        <v>37833357.166562855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412833801.89116597</v>
      </c>
      <c r="H61" s="122">
        <f t="shared" si="5"/>
        <v>36896596.625460997</v>
      </c>
      <c r="I61" s="122">
        <f t="shared" si="1"/>
        <v>449730398.51662695</v>
      </c>
      <c r="J61" s="61">
        <f t="shared" si="2"/>
        <v>0.59258387038260818</v>
      </c>
      <c r="K61" s="54">
        <f t="shared" si="3"/>
        <v>253795794.10883403</v>
      </c>
      <c r="L61" s="54">
        <f t="shared" si="3"/>
        <v>55405025.374539003</v>
      </c>
      <c r="M61" s="54">
        <f t="shared" si="3"/>
        <v>309200819.48337305</v>
      </c>
      <c r="N61" s="54">
        <f ca="1">IFERROR(M61/C3,0)</f>
        <v>44171545.640481867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248297316.40555099</v>
      </c>
      <c r="H62" s="122">
        <f t="shared" si="5"/>
        <v>29458987.892499</v>
      </c>
      <c r="I62" s="122">
        <f t="shared" si="1"/>
        <v>277756304.29804999</v>
      </c>
      <c r="J62" s="61">
        <f t="shared" si="2"/>
        <v>0.53531289862485598</v>
      </c>
      <c r="K62" s="54">
        <f t="shared" si="3"/>
        <v>173245706.59444901</v>
      </c>
      <c r="L62" s="54">
        <f t="shared" si="3"/>
        <v>67865188.107501</v>
      </c>
      <c r="M62" s="54">
        <f t="shared" si="3"/>
        <v>241110894.70195001</v>
      </c>
      <c r="N62" s="54">
        <f ca="1">IFERROR(M62/C3,0)</f>
        <v>34444413.528850004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618235789.38517201</v>
      </c>
      <c r="H63" s="122">
        <f t="shared" si="5"/>
        <v>99871780.521954998</v>
      </c>
      <c r="I63" s="122">
        <f t="shared" si="1"/>
        <v>718107569.90712702</v>
      </c>
      <c r="J63" s="61">
        <f t="shared" si="2"/>
        <v>0.73148056489067026</v>
      </c>
      <c r="K63" s="54">
        <f t="shared" si="3"/>
        <v>115152.61482799053</v>
      </c>
      <c r="L63" s="54">
        <f t="shared" si="3"/>
        <v>263495185.47804499</v>
      </c>
      <c r="M63" s="54">
        <f t="shared" si="3"/>
        <v>263610338.09287298</v>
      </c>
      <c r="N63" s="54">
        <f ca="1">IFERROR(M63/C3,0)</f>
        <v>37658619.727553286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139756959.957582</v>
      </c>
      <c r="H64" s="122">
        <f t="shared" si="5"/>
        <v>115552929.046872</v>
      </c>
      <c r="I64" s="122">
        <f t="shared" si="1"/>
        <v>255309889.00445402</v>
      </c>
      <c r="J64" s="61">
        <f t="shared" si="2"/>
        <v>0.43564096502693084</v>
      </c>
      <c r="K64" s="54">
        <f t="shared" si="3"/>
        <v>154768729.042418</v>
      </c>
      <c r="L64" s="54">
        <f t="shared" si="3"/>
        <v>175977123.95312798</v>
      </c>
      <c r="M64" s="54">
        <f t="shared" si="3"/>
        <v>330745852.99554598</v>
      </c>
      <c r="N64" s="54">
        <f ca="1">IFERROR(M64/C3,0)</f>
        <v>47249407.57079228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5364784827.0288944</v>
      </c>
      <c r="H65" s="152">
        <f>SUM(H51:H64)</f>
        <v>776767926.72192299</v>
      </c>
      <c r="I65" s="152">
        <f>SUM(I51:I64)</f>
        <v>6141552753.7508173</v>
      </c>
      <c r="J65" s="153">
        <f>IFERROR(I65/F65,0)</f>
        <v>0.67722493632561687</v>
      </c>
      <c r="K65" s="154">
        <f>SUM(K51:K64)</f>
        <v>1894494504.9711061</v>
      </c>
      <c r="L65" s="154">
        <f>SUM(L51:L64)</f>
        <v>1032657132.278077</v>
      </c>
      <c r="M65" s="154">
        <f>SUM(M51:M64)</f>
        <v>2927151637.2491832</v>
      </c>
      <c r="N65" s="154">
        <f ca="1">IFERROR(M65/C3,0)</f>
        <v>418164519.60702616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49">
        <v>288489774.95986998</v>
      </c>
    </row>
    <row r="71" spans="2:14" ht="20.100000000000001" customHeight="1" x14ac:dyDescent="0.25">
      <c r="B71" s="53" t="s">
        <v>69</v>
      </c>
      <c r="C71" s="56" t="s">
        <v>70</v>
      </c>
      <c r="D71" s="192">
        <v>74407827.320000008</v>
      </c>
    </row>
    <row r="72" spans="2:14" ht="20.100000000000001" customHeight="1" x14ac:dyDescent="0.25">
      <c r="B72" s="53" t="s">
        <v>175</v>
      </c>
      <c r="C72" s="56" t="s">
        <v>176</v>
      </c>
      <c r="D72" s="249">
        <v>7027026.8399999999</v>
      </c>
    </row>
    <row r="73" spans="2:14" ht="20.100000000000001" customHeight="1" x14ac:dyDescent="0.25">
      <c r="B73" s="50" t="s">
        <v>71</v>
      </c>
      <c r="C73" s="55" t="s">
        <v>72</v>
      </c>
      <c r="D73" s="249">
        <v>207802666.91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49">
        <v>30956603.27</v>
      </c>
    </row>
    <row r="76" spans="2:14" ht="20.100000000000001" customHeight="1" x14ac:dyDescent="0.25">
      <c r="B76" s="53" t="s">
        <v>76</v>
      </c>
      <c r="C76" s="56" t="s">
        <v>77</v>
      </c>
      <c r="D76" s="249">
        <v>1130760398.3099501</v>
      </c>
    </row>
    <row r="77" spans="2:14" ht="20.100000000000001" customHeight="1" x14ac:dyDescent="0.25">
      <c r="B77" s="50" t="s">
        <v>78</v>
      </c>
      <c r="C77" s="55" t="s">
        <v>79</v>
      </c>
      <c r="D77" s="249">
        <v>226582120.10947901</v>
      </c>
    </row>
    <row r="78" spans="2:14" ht="20.100000000000001" customHeight="1" x14ac:dyDescent="0.25">
      <c r="B78" s="53" t="s">
        <v>175</v>
      </c>
      <c r="C78" s="56" t="s">
        <v>177</v>
      </c>
      <c r="D78" s="249">
        <v>12750720.380000001</v>
      </c>
    </row>
    <row r="79" spans="2:14" ht="20.100000000000001" customHeight="1" x14ac:dyDescent="0.25">
      <c r="B79" s="53" t="s">
        <v>80</v>
      </c>
      <c r="C79" s="56" t="s">
        <v>81</v>
      </c>
      <c r="D79" s="249">
        <v>2984684.68</v>
      </c>
    </row>
    <row r="80" spans="2:14" ht="20.100000000000001" customHeight="1" x14ac:dyDescent="0.25">
      <c r="B80" s="50" t="s">
        <v>82</v>
      </c>
      <c r="C80" s="55" t="s">
        <v>83</v>
      </c>
      <c r="D80" s="249">
        <v>482561357.99949998</v>
      </c>
    </row>
    <row r="81" spans="2:9" ht="20.100000000000001" customHeight="1" x14ac:dyDescent="0.25">
      <c r="B81" s="53" t="s">
        <v>84</v>
      </c>
      <c r="C81" s="56" t="s">
        <v>85</v>
      </c>
      <c r="D81" s="249">
        <v>124077510.04000001</v>
      </c>
    </row>
    <row r="82" spans="2:9" ht="20.100000000000001" customHeight="1" x14ac:dyDescent="0.25">
      <c r="B82" s="50" t="s">
        <v>86</v>
      </c>
      <c r="C82" s="55" t="s">
        <v>87</v>
      </c>
      <c r="D82" s="249">
        <v>15485405.749</v>
      </c>
    </row>
    <row r="83" spans="2:9" ht="20.100000000000001" customHeight="1" x14ac:dyDescent="0.25">
      <c r="B83" s="53" t="s">
        <v>88</v>
      </c>
      <c r="C83" s="56" t="s">
        <v>89</v>
      </c>
      <c r="D83" s="192">
        <v>50389190.140000001</v>
      </c>
    </row>
    <row r="84" spans="2:9" ht="20.100000000000001" customHeight="1" x14ac:dyDescent="0.25">
      <c r="B84" s="57" t="s">
        <v>152</v>
      </c>
      <c r="C84" s="58"/>
      <c r="D84" s="129">
        <f>SUM(D70:D83)</f>
        <v>2654275286.707799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164073143.30486599</v>
      </c>
      <c r="F89" s="61">
        <f t="shared" ref="F89:F94" si="7">IFERROR(E89/D89,0)</f>
        <v>0.57462552284156432</v>
      </c>
      <c r="G89" s="125">
        <f>D89-E89</f>
        <v>121457409.69513401</v>
      </c>
      <c r="H89" s="125">
        <f ca="1">IFERROR(G89/C3,0)</f>
        <v>17351058.527876288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232240413.76351598</v>
      </c>
      <c r="F90" s="61">
        <f t="shared" si="7"/>
        <v>0.54156570667736126</v>
      </c>
      <c r="G90" s="126">
        <f>D90-E90</f>
        <v>196591048.23648402</v>
      </c>
      <c r="H90" s="126">
        <f ca="1">IFERROR(G90/C3,0)</f>
        <v>28084435.462354861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693872984.94133496</v>
      </c>
      <c r="F91" s="61">
        <f t="shared" si="7"/>
        <v>0.621477645090037</v>
      </c>
      <c r="G91" s="125">
        <f>D91-E91</f>
        <v>422616064.05866504</v>
      </c>
      <c r="H91" s="125">
        <f ca="1">IFERROR(G91/C3,0)</f>
        <v>60373723.436952151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1090186542.009717</v>
      </c>
      <c r="F94" s="43">
        <f t="shared" si="7"/>
        <v>0.59545342788719435</v>
      </c>
      <c r="G94" s="119">
        <f>SUM(G89:G93)</f>
        <v>740664521.99028301</v>
      </c>
      <c r="H94" s="119">
        <f ca="1">IFERROR(G94/C3,0)</f>
        <v>105809217.42718329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179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181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2026-06-23T00:50:32Z</dcterms:modified>
  <dc:language>en-US</dc:language>
</cp:coreProperties>
</file>