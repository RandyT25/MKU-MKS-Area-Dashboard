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firstSheet="4" activeTab="11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definedNames>
    <definedName name="_xlnm._FilterDatabase" localSheetId="11" hidden="1">OKT!$B$42:$L$47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" i="14" l="1"/>
  <c r="U93" i="14"/>
  <c r="T93" i="14"/>
  <c r="D93" i="14"/>
  <c r="U92" i="14"/>
  <c r="T92" i="14"/>
  <c r="D92" i="14" s="1"/>
  <c r="U91" i="14"/>
  <c r="T91" i="14"/>
  <c r="D91" i="14" s="1"/>
  <c r="U90" i="14"/>
  <c r="T90" i="14"/>
  <c r="D90" i="14"/>
  <c r="U89" i="14"/>
  <c r="T89" i="14"/>
  <c r="D89" i="14" s="1"/>
  <c r="U88" i="14"/>
  <c r="D88" i="14" s="1"/>
  <c r="T88" i="14"/>
  <c r="U87" i="14"/>
  <c r="T87" i="14"/>
  <c r="D87" i="14" s="1"/>
  <c r="U86" i="14"/>
  <c r="T86" i="14"/>
  <c r="D86" i="14"/>
  <c r="U85" i="14"/>
  <c r="T85" i="14"/>
  <c r="D85" i="14"/>
  <c r="U84" i="14"/>
  <c r="T84" i="14"/>
  <c r="D84" i="14" s="1"/>
  <c r="U83" i="14"/>
  <c r="T83" i="14"/>
  <c r="D83" i="14" s="1"/>
  <c r="U82" i="14"/>
  <c r="T82" i="14"/>
  <c r="D82" i="14"/>
  <c r="U81" i="14"/>
  <c r="T81" i="14"/>
  <c r="D81" i="14" s="1"/>
  <c r="U80" i="14"/>
  <c r="D80" i="14" s="1"/>
  <c r="T80" i="14"/>
  <c r="D94" i="13"/>
  <c r="U93" i="13"/>
  <c r="T93" i="13"/>
  <c r="D93" i="13"/>
  <c r="U92" i="13"/>
  <c r="T92" i="13"/>
  <c r="D92" i="13" s="1"/>
  <c r="U91" i="13"/>
  <c r="T91" i="13"/>
  <c r="D91" i="13" s="1"/>
  <c r="U90" i="13"/>
  <c r="T90" i="13"/>
  <c r="D90" i="13"/>
  <c r="U89" i="13"/>
  <c r="T89" i="13"/>
  <c r="D89" i="13" s="1"/>
  <c r="U88" i="13"/>
  <c r="T88" i="13"/>
  <c r="D88" i="13"/>
  <c r="U87" i="13"/>
  <c r="T87" i="13"/>
  <c r="D87" i="13" s="1"/>
  <c r="U86" i="13"/>
  <c r="D86" i="13" s="1"/>
  <c r="T86" i="13"/>
  <c r="U85" i="13"/>
  <c r="T85" i="13"/>
  <c r="D85" i="13"/>
  <c r="U84" i="13"/>
  <c r="T84" i="13"/>
  <c r="D84" i="13" s="1"/>
  <c r="U83" i="13"/>
  <c r="T83" i="13"/>
  <c r="D83" i="13"/>
  <c r="U82" i="13"/>
  <c r="T82" i="13"/>
  <c r="D82" i="13"/>
  <c r="U81" i="13"/>
  <c r="T81" i="13"/>
  <c r="D81" i="13" s="1"/>
  <c r="U80" i="13"/>
  <c r="T80" i="13"/>
  <c r="D80" i="13"/>
  <c r="D95" i="12"/>
  <c r="E69" i="14"/>
  <c r="E70" i="14"/>
  <c r="E72" i="14"/>
  <c r="E73" i="14"/>
  <c r="E69" i="13"/>
  <c r="E70" i="13"/>
  <c r="E72" i="13"/>
  <c r="E73" i="13"/>
  <c r="E70" i="12"/>
  <c r="E71" i="12"/>
  <c r="E73" i="12"/>
  <c r="E74" i="12"/>
  <c r="E69" i="11"/>
  <c r="E70" i="11"/>
  <c r="E72" i="11"/>
  <c r="E73" i="11"/>
  <c r="E69" i="10"/>
  <c r="E70" i="10"/>
  <c r="E72" i="10"/>
  <c r="E73" i="10"/>
  <c r="J64" i="14"/>
  <c r="I64" i="14"/>
  <c r="H64" i="14"/>
  <c r="J63" i="14"/>
  <c r="I63" i="14"/>
  <c r="H63" i="14"/>
  <c r="J62" i="14"/>
  <c r="I62" i="14"/>
  <c r="H62" i="14"/>
  <c r="J61" i="14"/>
  <c r="I61" i="14"/>
  <c r="H61" i="14"/>
  <c r="J60" i="14"/>
  <c r="I60" i="14"/>
  <c r="H60" i="14"/>
  <c r="J59" i="14"/>
  <c r="I59" i="14"/>
  <c r="H59" i="14"/>
  <c r="J58" i="14"/>
  <c r="I58" i="14"/>
  <c r="H58" i="14"/>
  <c r="J57" i="14"/>
  <c r="I57" i="14"/>
  <c r="H57" i="14"/>
  <c r="J56" i="14"/>
  <c r="I56" i="14"/>
  <c r="H56" i="14"/>
  <c r="J55" i="14"/>
  <c r="I55" i="14"/>
  <c r="H55" i="14"/>
  <c r="J54" i="14"/>
  <c r="I54" i="14"/>
  <c r="H54" i="14"/>
  <c r="J53" i="14"/>
  <c r="I53" i="14"/>
  <c r="H53" i="14"/>
  <c r="J52" i="14"/>
  <c r="I52" i="14"/>
  <c r="H52" i="14"/>
  <c r="J51" i="14"/>
  <c r="I51" i="14"/>
  <c r="H51" i="14"/>
  <c r="J64" i="13"/>
  <c r="I64" i="13"/>
  <c r="H64" i="13"/>
  <c r="J63" i="13"/>
  <c r="I63" i="13"/>
  <c r="H63" i="13"/>
  <c r="J62" i="13"/>
  <c r="I62" i="13"/>
  <c r="H62" i="13"/>
  <c r="J61" i="13"/>
  <c r="I61" i="13"/>
  <c r="H61" i="13"/>
  <c r="J60" i="13"/>
  <c r="I60" i="13"/>
  <c r="H60" i="13"/>
  <c r="J59" i="13"/>
  <c r="I59" i="13"/>
  <c r="H59" i="13"/>
  <c r="J58" i="13"/>
  <c r="I58" i="13"/>
  <c r="H58" i="13"/>
  <c r="J57" i="13"/>
  <c r="I57" i="13"/>
  <c r="H57" i="13"/>
  <c r="J56" i="13"/>
  <c r="I56" i="13"/>
  <c r="H56" i="13"/>
  <c r="J55" i="13"/>
  <c r="I55" i="13"/>
  <c r="H55" i="13"/>
  <c r="J54" i="13"/>
  <c r="I54" i="13"/>
  <c r="H54" i="13"/>
  <c r="J53" i="13"/>
  <c r="I53" i="13"/>
  <c r="H53" i="13"/>
  <c r="J52" i="13"/>
  <c r="I52" i="13"/>
  <c r="H52" i="13"/>
  <c r="J51" i="13"/>
  <c r="I51" i="13"/>
  <c r="H51" i="13"/>
  <c r="J65" i="12"/>
  <c r="I65" i="12"/>
  <c r="H65" i="12"/>
  <c r="J64" i="12"/>
  <c r="I64" i="12"/>
  <c r="H64" i="12"/>
  <c r="J63" i="12"/>
  <c r="I63" i="12"/>
  <c r="H63" i="12"/>
  <c r="J62" i="12"/>
  <c r="I62" i="12"/>
  <c r="H62" i="12"/>
  <c r="J61" i="12"/>
  <c r="I61" i="12"/>
  <c r="H61" i="12"/>
  <c r="J60" i="12"/>
  <c r="I60" i="12"/>
  <c r="H60" i="12"/>
  <c r="J59" i="12"/>
  <c r="I59" i="12"/>
  <c r="H59" i="12"/>
  <c r="J58" i="12"/>
  <c r="I58" i="12"/>
  <c r="H58" i="12"/>
  <c r="J57" i="12"/>
  <c r="I57" i="12"/>
  <c r="H57" i="12"/>
  <c r="J56" i="12"/>
  <c r="I56" i="12"/>
  <c r="H56" i="12"/>
  <c r="J55" i="12"/>
  <c r="I55" i="12"/>
  <c r="H55" i="12"/>
  <c r="J54" i="12"/>
  <c r="I54" i="12"/>
  <c r="H54" i="12"/>
  <c r="J53" i="12"/>
  <c r="I53" i="12"/>
  <c r="H53" i="12"/>
  <c r="J52" i="12"/>
  <c r="I52" i="12"/>
  <c r="H52" i="12"/>
  <c r="J64" i="10"/>
  <c r="I64" i="10"/>
  <c r="H64" i="10"/>
  <c r="J63" i="10"/>
  <c r="I63" i="10"/>
  <c r="H63" i="10"/>
  <c r="J62" i="10"/>
  <c r="I62" i="10"/>
  <c r="H62" i="10"/>
  <c r="J61" i="10"/>
  <c r="I61" i="10"/>
  <c r="H61" i="10"/>
  <c r="J60" i="10"/>
  <c r="I60" i="10"/>
  <c r="H60" i="10"/>
  <c r="J59" i="10"/>
  <c r="I59" i="10"/>
  <c r="H59" i="10"/>
  <c r="J58" i="10"/>
  <c r="I58" i="10"/>
  <c r="H58" i="10"/>
  <c r="J57" i="10"/>
  <c r="I57" i="10"/>
  <c r="H57" i="10"/>
  <c r="J56" i="10"/>
  <c r="I56" i="10"/>
  <c r="H56" i="10"/>
  <c r="J55" i="10"/>
  <c r="I55" i="10"/>
  <c r="H55" i="10"/>
  <c r="J54" i="10"/>
  <c r="I54" i="10"/>
  <c r="H54" i="10"/>
  <c r="J53" i="10"/>
  <c r="I53" i="10"/>
  <c r="H53" i="10"/>
  <c r="J52" i="10"/>
  <c r="I52" i="10"/>
  <c r="H52" i="10"/>
  <c r="J51" i="10"/>
  <c r="I51" i="10"/>
  <c r="H51" i="10"/>
  <c r="D95" i="14" l="1"/>
  <c r="D95" i="13"/>
  <c r="J64" i="11"/>
  <c r="I64" i="11"/>
  <c r="H64" i="11"/>
  <c r="J63" i="11"/>
  <c r="I63" i="11"/>
  <c r="H63" i="11"/>
  <c r="J62" i="11"/>
  <c r="I62" i="11"/>
  <c r="H62" i="11"/>
  <c r="J61" i="11"/>
  <c r="I61" i="11"/>
  <c r="H61" i="11"/>
  <c r="J60" i="11"/>
  <c r="I60" i="11"/>
  <c r="H60" i="11"/>
  <c r="J59" i="11"/>
  <c r="I59" i="11"/>
  <c r="H59" i="11"/>
  <c r="J58" i="11"/>
  <c r="I58" i="11"/>
  <c r="H58" i="11"/>
  <c r="J57" i="11"/>
  <c r="I57" i="11"/>
  <c r="H57" i="11"/>
  <c r="J56" i="11"/>
  <c r="I56" i="11"/>
  <c r="H56" i="11"/>
  <c r="J55" i="11"/>
  <c r="I55" i="11"/>
  <c r="H55" i="11"/>
  <c r="J54" i="11"/>
  <c r="I54" i="11"/>
  <c r="H54" i="11"/>
  <c r="J53" i="11"/>
  <c r="I53" i="11"/>
  <c r="H53" i="11"/>
  <c r="J52" i="11"/>
  <c r="I52" i="11"/>
  <c r="H52" i="11"/>
  <c r="J51" i="11"/>
  <c r="I51" i="11"/>
  <c r="H51" i="11"/>
  <c r="M7" i="11"/>
  <c r="M20" i="11" s="1"/>
  <c r="M21" i="11" s="1"/>
  <c r="E71" i="11" s="1"/>
  <c r="N7" i="11"/>
  <c r="D73" i="14" l="1"/>
  <c r="K73" i="14" s="1"/>
  <c r="D72" i="14"/>
  <c r="D71" i="14"/>
  <c r="D70" i="14"/>
  <c r="D69" i="14"/>
  <c r="K69" i="14" s="1"/>
  <c r="L68" i="14"/>
  <c r="K68" i="14"/>
  <c r="J68" i="14"/>
  <c r="I68" i="14"/>
  <c r="H68" i="14"/>
  <c r="G68" i="14"/>
  <c r="E65" i="14"/>
  <c r="F64" i="14"/>
  <c r="D64" i="14"/>
  <c r="K63" i="14"/>
  <c r="F63" i="14"/>
  <c r="D63" i="14"/>
  <c r="K62" i="14"/>
  <c r="F62" i="14"/>
  <c r="D62" i="14"/>
  <c r="K61" i="14"/>
  <c r="F61" i="14"/>
  <c r="D61" i="14"/>
  <c r="F60" i="14"/>
  <c r="D60" i="14"/>
  <c r="F59" i="14"/>
  <c r="D59" i="14"/>
  <c r="K58" i="14"/>
  <c r="F58" i="14"/>
  <c r="D58" i="14"/>
  <c r="K57" i="14"/>
  <c r="F57" i="14"/>
  <c r="D57" i="14"/>
  <c r="K56" i="14"/>
  <c r="F56" i="14"/>
  <c r="D56" i="14"/>
  <c r="F55" i="14"/>
  <c r="D55" i="14"/>
  <c r="G55" i="14" s="1"/>
  <c r="F54" i="14"/>
  <c r="D54" i="14"/>
  <c r="G54" i="14" s="1"/>
  <c r="F53" i="14"/>
  <c r="D53" i="14"/>
  <c r="F52" i="14"/>
  <c r="D52" i="14"/>
  <c r="F51" i="14"/>
  <c r="D51" i="14"/>
  <c r="R49" i="14"/>
  <c r="Q49" i="14"/>
  <c r="P49" i="14"/>
  <c r="O49" i="14"/>
  <c r="N49" i="14"/>
  <c r="M49" i="14"/>
  <c r="D45" i="14"/>
  <c r="D44" i="14"/>
  <c r="D43" i="14"/>
  <c r="D42" i="14"/>
  <c r="L41" i="14"/>
  <c r="K41" i="14"/>
  <c r="J41" i="14"/>
  <c r="I41" i="14"/>
  <c r="H41" i="14"/>
  <c r="G41" i="14"/>
  <c r="F40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O7" i="14"/>
  <c r="N7" i="14"/>
  <c r="M7" i="14"/>
  <c r="M20" i="14" s="1"/>
  <c r="M21" i="14" s="1"/>
  <c r="E71" i="14" s="1"/>
  <c r="E3" i="14"/>
  <c r="J2" i="14" s="1"/>
  <c r="C3" i="14"/>
  <c r="D73" i="13"/>
  <c r="G73" i="13" s="1"/>
  <c r="D72" i="13"/>
  <c r="D71" i="13"/>
  <c r="D70" i="13"/>
  <c r="D69" i="13"/>
  <c r="K69" i="13" s="1"/>
  <c r="L68" i="13"/>
  <c r="K68" i="13"/>
  <c r="J68" i="13"/>
  <c r="I68" i="13"/>
  <c r="H68" i="13"/>
  <c r="G68" i="13"/>
  <c r="F64" i="13"/>
  <c r="E64" i="13"/>
  <c r="D64" i="13"/>
  <c r="K63" i="13"/>
  <c r="F63" i="13"/>
  <c r="E63" i="13"/>
  <c r="D63" i="13"/>
  <c r="F62" i="13"/>
  <c r="E62" i="13"/>
  <c r="D62" i="13"/>
  <c r="F61" i="13"/>
  <c r="E61" i="13"/>
  <c r="D61" i="13"/>
  <c r="F60" i="13"/>
  <c r="E60" i="13"/>
  <c r="D60" i="13"/>
  <c r="K59" i="13"/>
  <c r="F59" i="13"/>
  <c r="E59" i="13"/>
  <c r="D59" i="13"/>
  <c r="F58" i="13"/>
  <c r="E58" i="13"/>
  <c r="D58" i="13"/>
  <c r="F57" i="13"/>
  <c r="E57" i="13"/>
  <c r="D57" i="13"/>
  <c r="K56" i="13"/>
  <c r="F56" i="13"/>
  <c r="E56" i="13"/>
  <c r="D56" i="13"/>
  <c r="K55" i="13"/>
  <c r="F55" i="13"/>
  <c r="E55" i="13"/>
  <c r="D55" i="13"/>
  <c r="F54" i="13"/>
  <c r="E54" i="13"/>
  <c r="D54" i="13"/>
  <c r="K53" i="13"/>
  <c r="F53" i="13"/>
  <c r="E53" i="13"/>
  <c r="D53" i="13"/>
  <c r="F52" i="13"/>
  <c r="E52" i="13"/>
  <c r="D52" i="13"/>
  <c r="F51" i="13"/>
  <c r="E51" i="13"/>
  <c r="D51" i="13"/>
  <c r="R49" i="13"/>
  <c r="Q49" i="13"/>
  <c r="P49" i="13"/>
  <c r="O49" i="13"/>
  <c r="N49" i="13"/>
  <c r="M49" i="13"/>
  <c r="D45" i="13"/>
  <c r="D44" i="13"/>
  <c r="K44" i="13" s="1"/>
  <c r="D43" i="13"/>
  <c r="D42" i="13"/>
  <c r="L41" i="13"/>
  <c r="K41" i="13"/>
  <c r="J41" i="13"/>
  <c r="I41" i="13"/>
  <c r="H41" i="13"/>
  <c r="G41" i="13"/>
  <c r="F40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O7" i="13"/>
  <c r="N7" i="13"/>
  <c r="M7" i="13"/>
  <c r="M20" i="13" s="1"/>
  <c r="M21" i="13" s="1"/>
  <c r="E71" i="13" s="1"/>
  <c r="E3" i="13"/>
  <c r="J2" i="13" s="1"/>
  <c r="C3" i="13"/>
  <c r="U94" i="12"/>
  <c r="T94" i="12"/>
  <c r="U93" i="12"/>
  <c r="T93" i="12"/>
  <c r="U92" i="12"/>
  <c r="T92" i="12"/>
  <c r="U91" i="12"/>
  <c r="T91" i="12"/>
  <c r="D91" i="12" s="1"/>
  <c r="U90" i="12"/>
  <c r="T90" i="12"/>
  <c r="U89" i="12"/>
  <c r="T89" i="12"/>
  <c r="U88" i="12"/>
  <c r="T88" i="12"/>
  <c r="U87" i="12"/>
  <c r="T87" i="12"/>
  <c r="D87" i="12" s="1"/>
  <c r="U86" i="12"/>
  <c r="T86" i="12"/>
  <c r="U85" i="12"/>
  <c r="T85" i="12"/>
  <c r="U84" i="12"/>
  <c r="T84" i="12"/>
  <c r="U83" i="12"/>
  <c r="T83" i="12"/>
  <c r="D83" i="12" s="1"/>
  <c r="U82" i="12"/>
  <c r="T82" i="12"/>
  <c r="U81" i="12"/>
  <c r="T81" i="12"/>
  <c r="D74" i="12"/>
  <c r="F74" i="12" s="1"/>
  <c r="D73" i="12"/>
  <c r="D72" i="12"/>
  <c r="D71" i="12"/>
  <c r="D70" i="12"/>
  <c r="L69" i="12"/>
  <c r="K69" i="12"/>
  <c r="J69" i="12"/>
  <c r="I69" i="12"/>
  <c r="H69" i="12"/>
  <c r="G69" i="12"/>
  <c r="K65" i="12"/>
  <c r="F65" i="12"/>
  <c r="E65" i="12"/>
  <c r="D65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K60" i="12"/>
  <c r="F60" i="12"/>
  <c r="E60" i="12"/>
  <c r="D60" i="12"/>
  <c r="F59" i="12"/>
  <c r="E59" i="12"/>
  <c r="D59" i="12"/>
  <c r="K58" i="12"/>
  <c r="F58" i="12"/>
  <c r="E58" i="12"/>
  <c r="D58" i="12"/>
  <c r="K57" i="12"/>
  <c r="F57" i="12"/>
  <c r="E57" i="12"/>
  <c r="D57" i="12"/>
  <c r="F56" i="12"/>
  <c r="E56" i="12"/>
  <c r="D56" i="12"/>
  <c r="K55" i="12"/>
  <c r="F55" i="12"/>
  <c r="E55" i="12"/>
  <c r="D55" i="12"/>
  <c r="F54" i="12"/>
  <c r="E54" i="12"/>
  <c r="D54" i="12"/>
  <c r="F53" i="12"/>
  <c r="E53" i="12"/>
  <c r="D53" i="12"/>
  <c r="F52" i="12"/>
  <c r="E52" i="12"/>
  <c r="D52" i="12"/>
  <c r="R50" i="12"/>
  <c r="Q50" i="12"/>
  <c r="P50" i="12"/>
  <c r="O50" i="12"/>
  <c r="N50" i="12"/>
  <c r="M50" i="12"/>
  <c r="D46" i="12"/>
  <c r="D45" i="12"/>
  <c r="D44" i="12"/>
  <c r="D43" i="12"/>
  <c r="L42" i="12"/>
  <c r="K42" i="12"/>
  <c r="J42" i="12"/>
  <c r="I42" i="12"/>
  <c r="H42" i="12"/>
  <c r="G42" i="12"/>
  <c r="F41" i="12"/>
  <c r="O7" i="12"/>
  <c r="N7" i="12"/>
  <c r="M7" i="12"/>
  <c r="M20" i="12" s="1"/>
  <c r="M21" i="12" s="1"/>
  <c r="E72" i="12" s="1"/>
  <c r="E3" i="12"/>
  <c r="J2" i="12" s="1"/>
  <c r="C3" i="12"/>
  <c r="U93" i="11"/>
  <c r="T93" i="11"/>
  <c r="U92" i="11"/>
  <c r="T92" i="11"/>
  <c r="U91" i="11"/>
  <c r="T91" i="11"/>
  <c r="U90" i="11"/>
  <c r="T90" i="11"/>
  <c r="U89" i="11"/>
  <c r="T89" i="11"/>
  <c r="U88" i="11"/>
  <c r="T88" i="11"/>
  <c r="U87" i="11"/>
  <c r="T87" i="11"/>
  <c r="U86" i="11"/>
  <c r="T86" i="11"/>
  <c r="U85" i="11"/>
  <c r="T85" i="11"/>
  <c r="U84" i="11"/>
  <c r="T84" i="11"/>
  <c r="U83" i="11"/>
  <c r="T83" i="11"/>
  <c r="U82" i="11"/>
  <c r="T82" i="11"/>
  <c r="U81" i="11"/>
  <c r="T81" i="11"/>
  <c r="U80" i="11"/>
  <c r="T80" i="11"/>
  <c r="D73" i="11"/>
  <c r="D72" i="11"/>
  <c r="D71" i="11"/>
  <c r="D70" i="11"/>
  <c r="D69" i="11"/>
  <c r="L68" i="11"/>
  <c r="K68" i="11"/>
  <c r="J68" i="11"/>
  <c r="I68" i="11"/>
  <c r="H68" i="11"/>
  <c r="G68" i="11"/>
  <c r="K64" i="11"/>
  <c r="F64" i="11"/>
  <c r="E64" i="11"/>
  <c r="D64" i="11"/>
  <c r="F63" i="11"/>
  <c r="E63" i="11"/>
  <c r="D63" i="11"/>
  <c r="F62" i="11"/>
  <c r="E62" i="11"/>
  <c r="D62" i="11"/>
  <c r="F61" i="11"/>
  <c r="E61" i="11"/>
  <c r="D61" i="11"/>
  <c r="K60" i="11"/>
  <c r="F60" i="11"/>
  <c r="E60" i="11"/>
  <c r="D60" i="11"/>
  <c r="F59" i="11"/>
  <c r="E59" i="11"/>
  <c r="D59" i="11"/>
  <c r="F58" i="11"/>
  <c r="E58" i="11"/>
  <c r="D58" i="11"/>
  <c r="F57" i="11"/>
  <c r="E57" i="11"/>
  <c r="D57" i="11"/>
  <c r="F56" i="11"/>
  <c r="E56" i="11"/>
  <c r="D56" i="11"/>
  <c r="F55" i="11"/>
  <c r="E55" i="11"/>
  <c r="D55" i="11"/>
  <c r="F54" i="11"/>
  <c r="E54" i="11"/>
  <c r="D54" i="11"/>
  <c r="F53" i="11"/>
  <c r="E53" i="11"/>
  <c r="D53" i="11"/>
  <c r="F52" i="11"/>
  <c r="E52" i="11"/>
  <c r="D52" i="11"/>
  <c r="F51" i="11"/>
  <c r="E51" i="11"/>
  <c r="D51" i="11"/>
  <c r="R49" i="11"/>
  <c r="Q49" i="11"/>
  <c r="P49" i="11"/>
  <c r="O49" i="11"/>
  <c r="N49" i="11"/>
  <c r="M49" i="11"/>
  <c r="D45" i="11"/>
  <c r="D44" i="11"/>
  <c r="D43" i="11"/>
  <c r="D42" i="11"/>
  <c r="L41" i="11"/>
  <c r="K41" i="11"/>
  <c r="J41" i="11"/>
  <c r="I41" i="11"/>
  <c r="H41" i="11"/>
  <c r="G41" i="11"/>
  <c r="F40" i="11"/>
  <c r="O7" i="11"/>
  <c r="E3" i="11"/>
  <c r="J2" i="11" s="1"/>
  <c r="C3" i="11"/>
  <c r="U93" i="10"/>
  <c r="T93" i="10"/>
  <c r="U92" i="10"/>
  <c r="T92" i="10"/>
  <c r="U91" i="10"/>
  <c r="T91" i="10"/>
  <c r="U90" i="10"/>
  <c r="T90" i="10"/>
  <c r="U89" i="10"/>
  <c r="T89" i="10"/>
  <c r="U88" i="10"/>
  <c r="T88" i="10"/>
  <c r="U87" i="10"/>
  <c r="T87" i="10"/>
  <c r="U86" i="10"/>
  <c r="T86" i="10"/>
  <c r="U85" i="10"/>
  <c r="T85" i="10"/>
  <c r="U84" i="10"/>
  <c r="T84" i="10"/>
  <c r="U83" i="10"/>
  <c r="T83" i="10"/>
  <c r="U82" i="10"/>
  <c r="T82" i="10"/>
  <c r="U81" i="10"/>
  <c r="T81" i="10"/>
  <c r="U80" i="10"/>
  <c r="T80" i="10"/>
  <c r="D73" i="10"/>
  <c r="F73" i="10" s="1"/>
  <c r="D72" i="10"/>
  <c r="D71" i="10"/>
  <c r="D70" i="10"/>
  <c r="D69" i="10"/>
  <c r="L68" i="10"/>
  <c r="K68" i="10"/>
  <c r="J68" i="10"/>
  <c r="I68" i="10"/>
  <c r="H68" i="10"/>
  <c r="G68" i="10"/>
  <c r="F64" i="10"/>
  <c r="E64" i="10"/>
  <c r="D64" i="10"/>
  <c r="F63" i="10"/>
  <c r="E63" i="10"/>
  <c r="D63" i="10"/>
  <c r="K62" i="10"/>
  <c r="F62" i="10"/>
  <c r="E62" i="10"/>
  <c r="D62" i="10"/>
  <c r="K61" i="10"/>
  <c r="F61" i="10"/>
  <c r="E61" i="10"/>
  <c r="D61" i="10"/>
  <c r="F60" i="10"/>
  <c r="E60" i="10"/>
  <c r="D60" i="10"/>
  <c r="F59" i="10"/>
  <c r="E59" i="10"/>
  <c r="D59" i="10"/>
  <c r="F58" i="10"/>
  <c r="E58" i="10"/>
  <c r="D58" i="10"/>
  <c r="F57" i="10"/>
  <c r="E57" i="10"/>
  <c r="D57" i="10"/>
  <c r="F56" i="10"/>
  <c r="E56" i="10"/>
  <c r="D56" i="10"/>
  <c r="F55" i="10"/>
  <c r="E55" i="10"/>
  <c r="D55" i="10"/>
  <c r="F54" i="10"/>
  <c r="E54" i="10"/>
  <c r="D54" i="10"/>
  <c r="F53" i="10"/>
  <c r="E53" i="10"/>
  <c r="D53" i="10"/>
  <c r="K52" i="10"/>
  <c r="F52" i="10"/>
  <c r="E52" i="10"/>
  <c r="D52" i="10"/>
  <c r="F51" i="10"/>
  <c r="E51" i="10"/>
  <c r="D51" i="10"/>
  <c r="R49" i="10"/>
  <c r="Q49" i="10"/>
  <c r="P49" i="10"/>
  <c r="O49" i="10"/>
  <c r="N49" i="10"/>
  <c r="M49" i="10"/>
  <c r="D45" i="10"/>
  <c r="D44" i="10"/>
  <c r="D43" i="10"/>
  <c r="D42" i="10"/>
  <c r="L41" i="10"/>
  <c r="K41" i="10"/>
  <c r="J41" i="10"/>
  <c r="I41" i="10"/>
  <c r="H41" i="10"/>
  <c r="G41" i="10"/>
  <c r="F40" i="10"/>
  <c r="O7" i="10"/>
  <c r="N7" i="10"/>
  <c r="M7" i="10"/>
  <c r="M20" i="10" s="1"/>
  <c r="M21" i="10" s="1"/>
  <c r="E71" i="10" s="1"/>
  <c r="E3" i="10"/>
  <c r="J2" i="10" s="1"/>
  <c r="C3" i="10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E73" i="9"/>
  <c r="D73" i="9"/>
  <c r="E72" i="9"/>
  <c r="D72" i="9"/>
  <c r="D71" i="9"/>
  <c r="E70" i="9"/>
  <c r="D70" i="9"/>
  <c r="E69" i="9"/>
  <c r="D69" i="9"/>
  <c r="L68" i="9"/>
  <c r="K68" i="9"/>
  <c r="J68" i="9"/>
  <c r="I68" i="9"/>
  <c r="H68" i="9"/>
  <c r="G68" i="9"/>
  <c r="E64" i="9"/>
  <c r="D64" i="9"/>
  <c r="E63" i="9"/>
  <c r="D63" i="9"/>
  <c r="E62" i="9"/>
  <c r="D62" i="9"/>
  <c r="E61" i="9"/>
  <c r="D61" i="9"/>
  <c r="E60" i="9"/>
  <c r="D60" i="9"/>
  <c r="H59" i="9"/>
  <c r="G59" i="9"/>
  <c r="E59" i="9"/>
  <c r="D59" i="9"/>
  <c r="E58" i="9"/>
  <c r="D58" i="9"/>
  <c r="E57" i="9"/>
  <c r="D57" i="9"/>
  <c r="E56" i="9"/>
  <c r="D56" i="9"/>
  <c r="E55" i="9"/>
  <c r="D55" i="9"/>
  <c r="E54" i="9"/>
  <c r="D54" i="9"/>
  <c r="H53" i="9"/>
  <c r="G53" i="9"/>
  <c r="E53" i="9"/>
  <c r="D53" i="9"/>
  <c r="E52" i="9"/>
  <c r="D52" i="9"/>
  <c r="E51" i="9"/>
  <c r="D51" i="9"/>
  <c r="P49" i="9"/>
  <c r="O49" i="9"/>
  <c r="N49" i="9"/>
  <c r="M49" i="9"/>
  <c r="L49" i="9"/>
  <c r="K49" i="9"/>
  <c r="D45" i="9"/>
  <c r="D44" i="9"/>
  <c r="D43" i="9"/>
  <c r="L42" i="9"/>
  <c r="K42" i="9"/>
  <c r="J42" i="9"/>
  <c r="I42" i="9"/>
  <c r="H42" i="9"/>
  <c r="G42" i="9"/>
  <c r="F41" i="9"/>
  <c r="M20" i="9"/>
  <c r="M21" i="9" s="1"/>
  <c r="N19" i="9"/>
  <c r="H64" i="9" s="1"/>
  <c r="M19" i="9"/>
  <c r="G64" i="9" s="1"/>
  <c r="N18" i="9"/>
  <c r="H63" i="9" s="1"/>
  <c r="M18" i="9"/>
  <c r="G63" i="9" s="1"/>
  <c r="N17" i="9"/>
  <c r="H62" i="9" s="1"/>
  <c r="M17" i="9"/>
  <c r="G62" i="9" s="1"/>
  <c r="N16" i="9"/>
  <c r="H61" i="9" s="1"/>
  <c r="M16" i="9"/>
  <c r="G61" i="9" s="1"/>
  <c r="N15" i="9"/>
  <c r="H60" i="9" s="1"/>
  <c r="M15" i="9"/>
  <c r="G60" i="9" s="1"/>
  <c r="N14" i="9"/>
  <c r="H58" i="9" s="1"/>
  <c r="M14" i="9"/>
  <c r="G58" i="9" s="1"/>
  <c r="N13" i="9"/>
  <c r="H57" i="9" s="1"/>
  <c r="M13" i="9"/>
  <c r="G57" i="9" s="1"/>
  <c r="N12" i="9"/>
  <c r="H56" i="9" s="1"/>
  <c r="M12" i="9"/>
  <c r="G56" i="9" s="1"/>
  <c r="N11" i="9"/>
  <c r="H55" i="9" s="1"/>
  <c r="M11" i="9"/>
  <c r="G55" i="9" s="1"/>
  <c r="N10" i="9"/>
  <c r="H54" i="9" s="1"/>
  <c r="M10" i="9"/>
  <c r="G54" i="9" s="1"/>
  <c r="N9" i="9"/>
  <c r="H52" i="9" s="1"/>
  <c r="M9" i="9"/>
  <c r="G52" i="9" s="1"/>
  <c r="N8" i="9"/>
  <c r="H51" i="9" s="1"/>
  <c r="M8" i="9"/>
  <c r="G51" i="9" s="1"/>
  <c r="N7" i="9"/>
  <c r="M7" i="9"/>
  <c r="E3" i="9"/>
  <c r="J2" i="9" s="1"/>
  <c r="C3" i="9"/>
  <c r="D84" i="8"/>
  <c r="D94" i="8" s="1"/>
  <c r="E73" i="8"/>
  <c r="D73" i="8"/>
  <c r="E72" i="8"/>
  <c r="D72" i="8"/>
  <c r="D71" i="8"/>
  <c r="E70" i="8"/>
  <c r="D70" i="8"/>
  <c r="E69" i="8"/>
  <c r="D69" i="8"/>
  <c r="L68" i="8"/>
  <c r="K68" i="8"/>
  <c r="J68" i="8"/>
  <c r="I68" i="8"/>
  <c r="H68" i="8"/>
  <c r="G68" i="8"/>
  <c r="E64" i="8"/>
  <c r="D64" i="8"/>
  <c r="E63" i="8"/>
  <c r="D63" i="8"/>
  <c r="E62" i="8"/>
  <c r="D62" i="8"/>
  <c r="E61" i="8"/>
  <c r="D61" i="8"/>
  <c r="E60" i="8"/>
  <c r="D60" i="8"/>
  <c r="H59" i="8"/>
  <c r="G59" i="8"/>
  <c r="E59" i="8"/>
  <c r="D59" i="8"/>
  <c r="E58" i="8"/>
  <c r="D58" i="8"/>
  <c r="E57" i="8"/>
  <c r="D57" i="8"/>
  <c r="E56" i="8"/>
  <c r="D56" i="8"/>
  <c r="E55" i="8"/>
  <c r="D55" i="8"/>
  <c r="E54" i="8"/>
  <c r="D54" i="8"/>
  <c r="H53" i="8"/>
  <c r="G53" i="8"/>
  <c r="E53" i="8"/>
  <c r="D53" i="8"/>
  <c r="E52" i="8"/>
  <c r="D52" i="8"/>
  <c r="E51" i="8"/>
  <c r="D51" i="8"/>
  <c r="P49" i="8"/>
  <c r="O49" i="8"/>
  <c r="N49" i="8"/>
  <c r="M49" i="8"/>
  <c r="L49" i="8"/>
  <c r="K49" i="8"/>
  <c r="D45" i="8"/>
  <c r="D44" i="8"/>
  <c r="D43" i="8"/>
  <c r="L42" i="8"/>
  <c r="K42" i="8"/>
  <c r="J42" i="8"/>
  <c r="I42" i="8"/>
  <c r="H42" i="8"/>
  <c r="G42" i="8"/>
  <c r="F41" i="8"/>
  <c r="M20" i="8"/>
  <c r="M21" i="8" s="1"/>
  <c r="N19" i="8"/>
  <c r="H64" i="8" s="1"/>
  <c r="M19" i="8"/>
  <c r="G64" i="8" s="1"/>
  <c r="N18" i="8"/>
  <c r="H63" i="8" s="1"/>
  <c r="M18" i="8"/>
  <c r="G63" i="8" s="1"/>
  <c r="N17" i="8"/>
  <c r="H62" i="8" s="1"/>
  <c r="M17" i="8"/>
  <c r="G62" i="8" s="1"/>
  <c r="N16" i="8"/>
  <c r="H61" i="8" s="1"/>
  <c r="M16" i="8"/>
  <c r="G61" i="8" s="1"/>
  <c r="N15" i="8"/>
  <c r="H60" i="8" s="1"/>
  <c r="M15" i="8"/>
  <c r="G60" i="8" s="1"/>
  <c r="N14" i="8"/>
  <c r="H58" i="8" s="1"/>
  <c r="M14" i="8"/>
  <c r="G58" i="8" s="1"/>
  <c r="N13" i="8"/>
  <c r="H57" i="8" s="1"/>
  <c r="M13" i="8"/>
  <c r="G57" i="8" s="1"/>
  <c r="N12" i="8"/>
  <c r="H56" i="8" s="1"/>
  <c r="M12" i="8"/>
  <c r="G56" i="8" s="1"/>
  <c r="N11" i="8"/>
  <c r="H55" i="8" s="1"/>
  <c r="M11" i="8"/>
  <c r="G55" i="8" s="1"/>
  <c r="N10" i="8"/>
  <c r="H54" i="8" s="1"/>
  <c r="M10" i="8"/>
  <c r="G54" i="8" s="1"/>
  <c r="N9" i="8"/>
  <c r="H52" i="8" s="1"/>
  <c r="M9" i="8"/>
  <c r="G52" i="8" s="1"/>
  <c r="N8" i="8"/>
  <c r="H51" i="8" s="1"/>
  <c r="M8" i="8"/>
  <c r="G51" i="8" s="1"/>
  <c r="N7" i="8"/>
  <c r="M7" i="8"/>
  <c r="E3" i="8"/>
  <c r="J2" i="8" s="1"/>
  <c r="C3" i="8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E73" i="7"/>
  <c r="D73" i="7"/>
  <c r="E72" i="7"/>
  <c r="D72" i="7"/>
  <c r="D71" i="7"/>
  <c r="E70" i="7"/>
  <c r="D70" i="7"/>
  <c r="E69" i="7"/>
  <c r="D69" i="7"/>
  <c r="L68" i="7"/>
  <c r="K68" i="7"/>
  <c r="J68" i="7"/>
  <c r="I68" i="7"/>
  <c r="H68" i="7"/>
  <c r="G68" i="7"/>
  <c r="E64" i="7"/>
  <c r="D64" i="7"/>
  <c r="E63" i="7"/>
  <c r="D63" i="7"/>
  <c r="E62" i="7"/>
  <c r="D62" i="7"/>
  <c r="E61" i="7"/>
  <c r="D61" i="7"/>
  <c r="E60" i="7"/>
  <c r="D60" i="7"/>
  <c r="H59" i="7"/>
  <c r="G59" i="7"/>
  <c r="E59" i="7"/>
  <c r="D59" i="7"/>
  <c r="E58" i="7"/>
  <c r="D58" i="7"/>
  <c r="E57" i="7"/>
  <c r="D57" i="7"/>
  <c r="E56" i="7"/>
  <c r="D56" i="7"/>
  <c r="E55" i="7"/>
  <c r="D55" i="7"/>
  <c r="E54" i="7"/>
  <c r="D54" i="7"/>
  <c r="H53" i="7"/>
  <c r="G53" i="7"/>
  <c r="E53" i="7"/>
  <c r="D53" i="7"/>
  <c r="E52" i="7"/>
  <c r="D52" i="7"/>
  <c r="E51" i="7"/>
  <c r="D51" i="7"/>
  <c r="P49" i="7"/>
  <c r="O49" i="7"/>
  <c r="N49" i="7"/>
  <c r="M49" i="7"/>
  <c r="L49" i="7"/>
  <c r="K49" i="7"/>
  <c r="D45" i="7"/>
  <c r="D44" i="7"/>
  <c r="D43" i="7"/>
  <c r="L42" i="7"/>
  <c r="K42" i="7"/>
  <c r="J42" i="7"/>
  <c r="I42" i="7"/>
  <c r="H42" i="7"/>
  <c r="G42" i="7"/>
  <c r="M20" i="7"/>
  <c r="M21" i="7" s="1"/>
  <c r="N19" i="7"/>
  <c r="H64" i="7" s="1"/>
  <c r="M19" i="7"/>
  <c r="G64" i="7" s="1"/>
  <c r="N18" i="7"/>
  <c r="H63" i="7" s="1"/>
  <c r="M18" i="7"/>
  <c r="G63" i="7" s="1"/>
  <c r="N17" i="7"/>
  <c r="H62" i="7" s="1"/>
  <c r="M17" i="7"/>
  <c r="G62" i="7" s="1"/>
  <c r="N16" i="7"/>
  <c r="H61" i="7" s="1"/>
  <c r="M16" i="7"/>
  <c r="G61" i="7" s="1"/>
  <c r="N15" i="7"/>
  <c r="H60" i="7" s="1"/>
  <c r="M15" i="7"/>
  <c r="G60" i="7" s="1"/>
  <c r="N14" i="7"/>
  <c r="H58" i="7" s="1"/>
  <c r="M14" i="7"/>
  <c r="G58" i="7" s="1"/>
  <c r="N13" i="7"/>
  <c r="H57" i="7" s="1"/>
  <c r="M13" i="7"/>
  <c r="G57" i="7" s="1"/>
  <c r="N12" i="7"/>
  <c r="H56" i="7" s="1"/>
  <c r="M12" i="7"/>
  <c r="G56" i="7" s="1"/>
  <c r="N11" i="7"/>
  <c r="H55" i="7" s="1"/>
  <c r="M11" i="7"/>
  <c r="G55" i="7" s="1"/>
  <c r="N10" i="7"/>
  <c r="H54" i="7" s="1"/>
  <c r="M10" i="7"/>
  <c r="G54" i="7" s="1"/>
  <c r="N9" i="7"/>
  <c r="H52" i="7" s="1"/>
  <c r="M9" i="7"/>
  <c r="G52" i="7" s="1"/>
  <c r="N8" i="7"/>
  <c r="H51" i="7" s="1"/>
  <c r="M8" i="7"/>
  <c r="G51" i="7" s="1"/>
  <c r="N7" i="7"/>
  <c r="M7" i="7"/>
  <c r="E3" i="7"/>
  <c r="J2" i="7" s="1"/>
  <c r="C3" i="7"/>
  <c r="D93" i="6"/>
  <c r="D92" i="6"/>
  <c r="D91" i="6"/>
  <c r="D90" i="6"/>
  <c r="D89" i="6"/>
  <c r="D88" i="6"/>
  <c r="D87" i="6"/>
  <c r="D86" i="6"/>
  <c r="D84" i="6"/>
  <c r="D83" i="6"/>
  <c r="D82" i="6"/>
  <c r="D81" i="6"/>
  <c r="D80" i="6"/>
  <c r="E73" i="6"/>
  <c r="D73" i="6"/>
  <c r="E72" i="6"/>
  <c r="D72" i="6"/>
  <c r="D71" i="6"/>
  <c r="E70" i="6"/>
  <c r="D70" i="6"/>
  <c r="E69" i="6"/>
  <c r="D69" i="6"/>
  <c r="L68" i="6"/>
  <c r="K68" i="6"/>
  <c r="J68" i="6"/>
  <c r="I68" i="6"/>
  <c r="H68" i="6"/>
  <c r="G68" i="6"/>
  <c r="E64" i="6"/>
  <c r="D64" i="6"/>
  <c r="E63" i="6"/>
  <c r="D63" i="6"/>
  <c r="E62" i="6"/>
  <c r="D62" i="6"/>
  <c r="E61" i="6"/>
  <c r="D61" i="6"/>
  <c r="E60" i="6"/>
  <c r="D60" i="6"/>
  <c r="H59" i="6"/>
  <c r="G59" i="6"/>
  <c r="E59" i="6"/>
  <c r="D59" i="6"/>
  <c r="E58" i="6"/>
  <c r="D58" i="6"/>
  <c r="E57" i="6"/>
  <c r="D57" i="6"/>
  <c r="E56" i="6"/>
  <c r="D56" i="6"/>
  <c r="E55" i="6"/>
  <c r="D55" i="6"/>
  <c r="E54" i="6"/>
  <c r="D54" i="6"/>
  <c r="H53" i="6"/>
  <c r="G53" i="6"/>
  <c r="E53" i="6"/>
  <c r="D53" i="6"/>
  <c r="E52" i="6"/>
  <c r="D52" i="6"/>
  <c r="E51" i="6"/>
  <c r="D51" i="6"/>
  <c r="P49" i="6"/>
  <c r="O49" i="6"/>
  <c r="N49" i="6"/>
  <c r="M49" i="6"/>
  <c r="L49" i="6"/>
  <c r="K49" i="6"/>
  <c r="D45" i="6"/>
  <c r="D44" i="6"/>
  <c r="D43" i="6"/>
  <c r="L42" i="6"/>
  <c r="K42" i="6"/>
  <c r="J42" i="6"/>
  <c r="I42" i="6"/>
  <c r="H42" i="6"/>
  <c r="G42" i="6"/>
  <c r="M20" i="6"/>
  <c r="M21" i="6" s="1"/>
  <c r="N19" i="6"/>
  <c r="H64" i="6" s="1"/>
  <c r="M19" i="6"/>
  <c r="G64" i="6" s="1"/>
  <c r="N18" i="6"/>
  <c r="H63" i="6" s="1"/>
  <c r="M18" i="6"/>
  <c r="G63" i="6" s="1"/>
  <c r="N17" i="6"/>
  <c r="H62" i="6" s="1"/>
  <c r="M17" i="6"/>
  <c r="G62" i="6" s="1"/>
  <c r="N16" i="6"/>
  <c r="H61" i="6" s="1"/>
  <c r="M16" i="6"/>
  <c r="G61" i="6" s="1"/>
  <c r="N15" i="6"/>
  <c r="H60" i="6" s="1"/>
  <c r="M15" i="6"/>
  <c r="G60" i="6" s="1"/>
  <c r="N14" i="6"/>
  <c r="H58" i="6" s="1"/>
  <c r="M14" i="6"/>
  <c r="G58" i="6" s="1"/>
  <c r="N13" i="6"/>
  <c r="H57" i="6" s="1"/>
  <c r="M13" i="6"/>
  <c r="G57" i="6" s="1"/>
  <c r="N12" i="6"/>
  <c r="H56" i="6" s="1"/>
  <c r="M12" i="6"/>
  <c r="G56" i="6" s="1"/>
  <c r="N11" i="6"/>
  <c r="H55" i="6" s="1"/>
  <c r="M11" i="6"/>
  <c r="G55" i="6" s="1"/>
  <c r="N10" i="6"/>
  <c r="H54" i="6" s="1"/>
  <c r="M10" i="6"/>
  <c r="G54" i="6" s="1"/>
  <c r="N9" i="6"/>
  <c r="H52" i="6" s="1"/>
  <c r="M9" i="6"/>
  <c r="G52" i="6" s="1"/>
  <c r="N8" i="6"/>
  <c r="H51" i="6" s="1"/>
  <c r="M8" i="6"/>
  <c r="G51" i="6" s="1"/>
  <c r="N7" i="6"/>
  <c r="M7" i="6"/>
  <c r="E3" i="6"/>
  <c r="J2" i="6" s="1"/>
  <c r="C3" i="6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Q15" i="5"/>
  <c r="H56" i="5" s="1"/>
  <c r="P15" i="5"/>
  <c r="G56" i="5" s="1"/>
  <c r="Q14" i="5"/>
  <c r="H55" i="5" s="1"/>
  <c r="P14" i="5"/>
  <c r="G55" i="5" s="1"/>
  <c r="Q13" i="5"/>
  <c r="H54" i="5" s="1"/>
  <c r="P13" i="5"/>
  <c r="G54" i="5" s="1"/>
  <c r="Q12" i="5"/>
  <c r="H53" i="5" s="1"/>
  <c r="P12" i="5"/>
  <c r="G53" i="5" s="1"/>
  <c r="Q11" i="5"/>
  <c r="H52" i="5" s="1"/>
  <c r="P11" i="5"/>
  <c r="G52" i="5" s="1"/>
  <c r="Q10" i="5"/>
  <c r="H51" i="5" s="1"/>
  <c r="P10" i="5"/>
  <c r="G51" i="5" s="1"/>
  <c r="Q9" i="5"/>
  <c r="H50" i="5" s="1"/>
  <c r="P9" i="5"/>
  <c r="G50" i="5" s="1"/>
  <c r="Q8" i="5"/>
  <c r="H49" i="5" s="1"/>
  <c r="P8" i="5"/>
  <c r="G49" i="5" s="1"/>
  <c r="Q7" i="5"/>
  <c r="P7" i="5"/>
  <c r="E3" i="5"/>
  <c r="J2" i="5" s="1"/>
  <c r="C3" i="5"/>
  <c r="E69" i="4"/>
  <c r="D69" i="4"/>
  <c r="E68" i="4"/>
  <c r="D68" i="4"/>
  <c r="D67" i="4"/>
  <c r="E66" i="4"/>
  <c r="D66" i="4"/>
  <c r="E65" i="4"/>
  <c r="D65" i="4"/>
  <c r="E60" i="4"/>
  <c r="D60" i="4"/>
  <c r="E59" i="4"/>
  <c r="D59" i="4"/>
  <c r="F59" i="4" s="1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D43" i="4"/>
  <c r="D42" i="4"/>
  <c r="D41" i="4"/>
  <c r="P20" i="4"/>
  <c r="P21" i="4" s="1"/>
  <c r="Q19" i="4"/>
  <c r="H60" i="4" s="1"/>
  <c r="P19" i="4"/>
  <c r="G60" i="4" s="1"/>
  <c r="Q18" i="4"/>
  <c r="H59" i="4" s="1"/>
  <c r="P18" i="4"/>
  <c r="G59" i="4" s="1"/>
  <c r="Q17" i="4"/>
  <c r="H58" i="4" s="1"/>
  <c r="P17" i="4"/>
  <c r="G58" i="4" s="1"/>
  <c r="Q16" i="4"/>
  <c r="H57" i="4" s="1"/>
  <c r="P16" i="4"/>
  <c r="G57" i="4" s="1"/>
  <c r="Q15" i="4"/>
  <c r="H56" i="4" s="1"/>
  <c r="P15" i="4"/>
  <c r="G56" i="4" s="1"/>
  <c r="Q14" i="4"/>
  <c r="H55" i="4" s="1"/>
  <c r="P14" i="4"/>
  <c r="G55" i="4" s="1"/>
  <c r="Q13" i="4"/>
  <c r="H54" i="4" s="1"/>
  <c r="P13" i="4"/>
  <c r="G54" i="4" s="1"/>
  <c r="Q12" i="4"/>
  <c r="H53" i="4" s="1"/>
  <c r="P12" i="4"/>
  <c r="G53" i="4" s="1"/>
  <c r="Q11" i="4"/>
  <c r="H52" i="4" s="1"/>
  <c r="P11" i="4"/>
  <c r="G52" i="4" s="1"/>
  <c r="Q10" i="4"/>
  <c r="H51" i="4" s="1"/>
  <c r="P10" i="4"/>
  <c r="G51" i="4" s="1"/>
  <c r="Q9" i="4"/>
  <c r="H50" i="4" s="1"/>
  <c r="P9" i="4"/>
  <c r="G50" i="4" s="1"/>
  <c r="Q8" i="4"/>
  <c r="H49" i="4" s="1"/>
  <c r="P8" i="4"/>
  <c r="G49" i="4" s="1"/>
  <c r="Q7" i="4"/>
  <c r="P7" i="4"/>
  <c r="E3" i="4"/>
  <c r="J2" i="4" s="1"/>
  <c r="C3" i="4"/>
  <c r="E69" i="3"/>
  <c r="D69" i="3"/>
  <c r="E68" i="3"/>
  <c r="D68" i="3"/>
  <c r="D67" i="3"/>
  <c r="E66" i="3"/>
  <c r="D66" i="3"/>
  <c r="E65" i="3"/>
  <c r="D65" i="3"/>
  <c r="E60" i="3"/>
  <c r="D60" i="3"/>
  <c r="E59" i="3"/>
  <c r="D59" i="3"/>
  <c r="E58" i="3"/>
  <c r="D58" i="3"/>
  <c r="F58" i="3" s="1"/>
  <c r="E57" i="3"/>
  <c r="D57" i="3"/>
  <c r="E56" i="3"/>
  <c r="D56" i="3"/>
  <c r="E55" i="3"/>
  <c r="D55" i="3"/>
  <c r="F55" i="3" s="1"/>
  <c r="E54" i="3"/>
  <c r="D54" i="3"/>
  <c r="F54" i="3" s="1"/>
  <c r="E53" i="3"/>
  <c r="D53" i="3"/>
  <c r="F53" i="3" s="1"/>
  <c r="E52" i="3"/>
  <c r="D52" i="3"/>
  <c r="E51" i="3"/>
  <c r="D51" i="3"/>
  <c r="F51" i="3" s="1"/>
  <c r="E50" i="3"/>
  <c r="D50" i="3"/>
  <c r="F50" i="3" s="1"/>
  <c r="E49" i="3"/>
  <c r="D49" i="3"/>
  <c r="D43" i="3"/>
  <c r="D42" i="3"/>
  <c r="D41" i="3"/>
  <c r="P20" i="3"/>
  <c r="P21" i="3" s="1"/>
  <c r="Q19" i="3"/>
  <c r="H60" i="3" s="1"/>
  <c r="P19" i="3"/>
  <c r="G60" i="3" s="1"/>
  <c r="Q18" i="3"/>
  <c r="H59" i="3" s="1"/>
  <c r="P18" i="3"/>
  <c r="G59" i="3" s="1"/>
  <c r="Q17" i="3"/>
  <c r="H58" i="3" s="1"/>
  <c r="P17" i="3"/>
  <c r="G58" i="3" s="1"/>
  <c r="Q16" i="3"/>
  <c r="H57" i="3" s="1"/>
  <c r="P16" i="3"/>
  <c r="G57" i="3" s="1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E3" i="3"/>
  <c r="J2" i="3" s="1"/>
  <c r="C3" i="3"/>
  <c r="F52" i="4" l="1"/>
  <c r="F56" i="4"/>
  <c r="F60" i="4"/>
  <c r="F54" i="6"/>
  <c r="F58" i="6"/>
  <c r="F61" i="6"/>
  <c r="I56" i="7"/>
  <c r="I61" i="7"/>
  <c r="J61" i="7" s="1"/>
  <c r="F54" i="7"/>
  <c r="F58" i="7"/>
  <c r="F61" i="7"/>
  <c r="I53" i="8"/>
  <c r="F57" i="8"/>
  <c r="F60" i="8"/>
  <c r="F64" i="8"/>
  <c r="F69" i="8"/>
  <c r="I52" i="9"/>
  <c r="I57" i="9"/>
  <c r="D81" i="12"/>
  <c r="D85" i="12"/>
  <c r="D89" i="12"/>
  <c r="I62" i="9"/>
  <c r="F57" i="3"/>
  <c r="L59" i="5"/>
  <c r="F59" i="3"/>
  <c r="D93" i="12"/>
  <c r="F55" i="5"/>
  <c r="F59" i="5"/>
  <c r="D46" i="6"/>
  <c r="G52" i="11"/>
  <c r="D81" i="11"/>
  <c r="D82" i="11"/>
  <c r="D85" i="11"/>
  <c r="D86" i="11"/>
  <c r="D89" i="11"/>
  <c r="D90" i="11"/>
  <c r="D93" i="11"/>
  <c r="L57" i="5"/>
  <c r="L51" i="3"/>
  <c r="L55" i="3"/>
  <c r="L59" i="3"/>
  <c r="F53" i="4"/>
  <c r="F57" i="4"/>
  <c r="F52" i="5"/>
  <c r="F56" i="5"/>
  <c r="K72" i="7"/>
  <c r="F52" i="8"/>
  <c r="F55" i="8"/>
  <c r="F59" i="8"/>
  <c r="F62" i="8"/>
  <c r="I55" i="9"/>
  <c r="I60" i="9"/>
  <c r="I64" i="9"/>
  <c r="M64" i="9" s="1"/>
  <c r="N64" i="9" s="1"/>
  <c r="L53" i="4"/>
  <c r="L57" i="4"/>
  <c r="I55" i="6"/>
  <c r="I60" i="6"/>
  <c r="I53" i="6"/>
  <c r="F57" i="6"/>
  <c r="F60" i="6"/>
  <c r="F64" i="6"/>
  <c r="I55" i="7"/>
  <c r="I60" i="7"/>
  <c r="I64" i="7"/>
  <c r="M64" i="7" s="1"/>
  <c r="N64" i="7" s="1"/>
  <c r="I53" i="7"/>
  <c r="F57" i="7"/>
  <c r="F60" i="7"/>
  <c r="F64" i="7"/>
  <c r="F69" i="7"/>
  <c r="F53" i="8"/>
  <c r="F56" i="8"/>
  <c r="I59" i="8"/>
  <c r="M59" i="8" s="1"/>
  <c r="N59" i="8" s="1"/>
  <c r="F63" i="8"/>
  <c r="I56" i="9"/>
  <c r="I61" i="9"/>
  <c r="D82" i="10"/>
  <c r="D86" i="10"/>
  <c r="D90" i="10"/>
  <c r="F54" i="9"/>
  <c r="F58" i="9"/>
  <c r="F61" i="9"/>
  <c r="K70" i="9"/>
  <c r="D83" i="11"/>
  <c r="D87" i="11"/>
  <c r="D91" i="11"/>
  <c r="F53" i="6"/>
  <c r="F56" i="6"/>
  <c r="I59" i="6"/>
  <c r="F63" i="6"/>
  <c r="I54" i="7"/>
  <c r="M54" i="7" s="1"/>
  <c r="N54" i="7" s="1"/>
  <c r="I58" i="7"/>
  <c r="J58" i="7" s="1"/>
  <c r="I63" i="7"/>
  <c r="F56" i="7"/>
  <c r="J56" i="7" s="1"/>
  <c r="I59" i="7"/>
  <c r="F63" i="7"/>
  <c r="G59" i="10"/>
  <c r="G54" i="11"/>
  <c r="G54" i="12"/>
  <c r="F58" i="5"/>
  <c r="F73" i="7"/>
  <c r="I54" i="8"/>
  <c r="J54" i="8" s="1"/>
  <c r="I58" i="8"/>
  <c r="I63" i="8"/>
  <c r="I53" i="9"/>
  <c r="F57" i="9"/>
  <c r="J57" i="9" s="1"/>
  <c r="F60" i="9"/>
  <c r="O60" i="9" s="1"/>
  <c r="P60" i="9" s="1"/>
  <c r="F64" i="9"/>
  <c r="D81" i="10"/>
  <c r="D85" i="10"/>
  <c r="D89" i="10"/>
  <c r="D93" i="10"/>
  <c r="D84" i="12"/>
  <c r="D88" i="12"/>
  <c r="D92" i="12"/>
  <c r="G57" i="13"/>
  <c r="G62" i="13"/>
  <c r="G69" i="5"/>
  <c r="G53" i="10"/>
  <c r="G61" i="10"/>
  <c r="G63" i="10"/>
  <c r="D80" i="10"/>
  <c r="D84" i="10"/>
  <c r="D88" i="10"/>
  <c r="D92" i="10"/>
  <c r="G58" i="12"/>
  <c r="L58" i="12" s="1"/>
  <c r="I44" i="13"/>
  <c r="E71" i="9"/>
  <c r="F71" i="9" s="1"/>
  <c r="G69" i="4"/>
  <c r="G64" i="12"/>
  <c r="G59" i="14"/>
  <c r="I51" i="5"/>
  <c r="F60" i="5"/>
  <c r="F52" i="9"/>
  <c r="J52" i="9" s="1"/>
  <c r="F55" i="9"/>
  <c r="K55" i="9" s="1"/>
  <c r="L55" i="9" s="1"/>
  <c r="F59" i="9"/>
  <c r="O59" i="9" s="1"/>
  <c r="P59" i="9" s="1"/>
  <c r="F62" i="9"/>
  <c r="G70" i="9"/>
  <c r="G58" i="11"/>
  <c r="G61" i="13"/>
  <c r="G69" i="3"/>
  <c r="L55" i="4"/>
  <c r="L59" i="4"/>
  <c r="E42" i="3"/>
  <c r="G42" i="3" s="1"/>
  <c r="H42" i="3" s="1"/>
  <c r="D44" i="3"/>
  <c r="F58" i="4"/>
  <c r="L55" i="5"/>
  <c r="F53" i="5"/>
  <c r="F57" i="5"/>
  <c r="F52" i="6"/>
  <c r="F55" i="6"/>
  <c r="F59" i="6"/>
  <c r="M59" i="6" s="1"/>
  <c r="N59" i="6" s="1"/>
  <c r="F62" i="6"/>
  <c r="I57" i="7"/>
  <c r="I62" i="7"/>
  <c r="F52" i="7"/>
  <c r="F55" i="7"/>
  <c r="F59" i="7"/>
  <c r="J59" i="7" s="1"/>
  <c r="F62" i="7"/>
  <c r="H65" i="8"/>
  <c r="D46" i="8"/>
  <c r="F54" i="8"/>
  <c r="K54" i="8" s="1"/>
  <c r="L54" i="8" s="1"/>
  <c r="F58" i="8"/>
  <c r="O58" i="8" s="1"/>
  <c r="P58" i="8" s="1"/>
  <c r="F61" i="8"/>
  <c r="I54" i="9"/>
  <c r="I58" i="9"/>
  <c r="I63" i="9"/>
  <c r="D83" i="10"/>
  <c r="D87" i="10"/>
  <c r="D91" i="10"/>
  <c r="G53" i="12"/>
  <c r="G62" i="12"/>
  <c r="G52" i="13"/>
  <c r="G59" i="13"/>
  <c r="O59" i="13" s="1"/>
  <c r="P59" i="13" s="1"/>
  <c r="G60" i="14"/>
  <c r="F52" i="3"/>
  <c r="F56" i="3"/>
  <c r="F60" i="3"/>
  <c r="F55" i="4"/>
  <c r="F53" i="9"/>
  <c r="F56" i="9"/>
  <c r="J56" i="9" s="1"/>
  <c r="I59" i="9"/>
  <c r="F63" i="9"/>
  <c r="G72" i="9"/>
  <c r="H72" i="9" s="1"/>
  <c r="G56" i="11"/>
  <c r="D80" i="11"/>
  <c r="D84" i="11"/>
  <c r="D88" i="11"/>
  <c r="D92" i="11"/>
  <c r="D82" i="12"/>
  <c r="D86" i="12"/>
  <c r="D90" i="12"/>
  <c r="D94" i="12"/>
  <c r="D46" i="13"/>
  <c r="E65" i="10"/>
  <c r="G56" i="12"/>
  <c r="D65" i="14"/>
  <c r="I51" i="4"/>
  <c r="L53" i="5"/>
  <c r="G44" i="13"/>
  <c r="D74" i="11"/>
  <c r="K62" i="11"/>
  <c r="K56" i="12"/>
  <c r="K61" i="11"/>
  <c r="K64" i="12"/>
  <c r="K63" i="10"/>
  <c r="K62" i="12"/>
  <c r="I55" i="4"/>
  <c r="G65" i="4"/>
  <c r="G54" i="10"/>
  <c r="O54" i="10" s="1"/>
  <c r="P54" i="10" s="1"/>
  <c r="G63" i="11"/>
  <c r="D61" i="3"/>
  <c r="D44" i="4"/>
  <c r="D44" i="5"/>
  <c r="H65" i="6"/>
  <c r="E44" i="6"/>
  <c r="K44" i="6" s="1"/>
  <c r="L44" i="6" s="1"/>
  <c r="D65" i="6"/>
  <c r="D74" i="6"/>
  <c r="D94" i="6"/>
  <c r="D65" i="7"/>
  <c r="J62" i="9"/>
  <c r="D65" i="9"/>
  <c r="K72" i="9"/>
  <c r="K54" i="10"/>
  <c r="F65" i="11"/>
  <c r="K63" i="11"/>
  <c r="E61" i="3"/>
  <c r="F51" i="4"/>
  <c r="F54" i="4"/>
  <c r="F51" i="5"/>
  <c r="J51" i="5" s="1"/>
  <c r="F54" i="5"/>
  <c r="I52" i="6"/>
  <c r="I57" i="6"/>
  <c r="J57" i="6" s="1"/>
  <c r="E65" i="6"/>
  <c r="E65" i="7"/>
  <c r="I56" i="8"/>
  <c r="I61" i="8"/>
  <c r="M61" i="8" s="1"/>
  <c r="N61" i="8" s="1"/>
  <c r="F70" i="9"/>
  <c r="D65" i="10"/>
  <c r="G57" i="10"/>
  <c r="K72" i="10"/>
  <c r="L72" i="10" s="1"/>
  <c r="E66" i="12"/>
  <c r="K53" i="12"/>
  <c r="M53" i="12" s="1"/>
  <c r="N53" i="12" s="1"/>
  <c r="G63" i="12"/>
  <c r="F70" i="12"/>
  <c r="F65" i="13"/>
  <c r="G54" i="13"/>
  <c r="K57" i="13"/>
  <c r="K61" i="13"/>
  <c r="Q61" i="13" s="1"/>
  <c r="R61" i="13" s="1"/>
  <c r="G64" i="13"/>
  <c r="K73" i="13"/>
  <c r="L73" i="13" s="1"/>
  <c r="K53" i="14"/>
  <c r="G56" i="14"/>
  <c r="M56" i="14" s="1"/>
  <c r="N56" i="14" s="1"/>
  <c r="G57" i="14"/>
  <c r="M57" i="14" s="1"/>
  <c r="N57" i="14" s="1"/>
  <c r="G61" i="14"/>
  <c r="G62" i="14"/>
  <c r="O62" i="14" s="1"/>
  <c r="P62" i="14" s="1"/>
  <c r="G53" i="11"/>
  <c r="G57" i="11"/>
  <c r="F72" i="11"/>
  <c r="F66" i="12"/>
  <c r="G55" i="12"/>
  <c r="L55" i="12" s="1"/>
  <c r="K61" i="12"/>
  <c r="K52" i="14"/>
  <c r="I55" i="5"/>
  <c r="J55" i="5" s="1"/>
  <c r="L51" i="5"/>
  <c r="G65" i="5"/>
  <c r="H65" i="5" s="1"/>
  <c r="I54" i="6"/>
  <c r="J54" i="6" s="1"/>
  <c r="I58" i="6"/>
  <c r="J58" i="6" s="1"/>
  <c r="F72" i="6"/>
  <c r="I52" i="8"/>
  <c r="J52" i="8" s="1"/>
  <c r="I57" i="8"/>
  <c r="J57" i="8" s="1"/>
  <c r="I62" i="8"/>
  <c r="J62" i="8" s="1"/>
  <c r="E65" i="8"/>
  <c r="E65" i="9"/>
  <c r="D94" i="9"/>
  <c r="F65" i="10"/>
  <c r="G52" i="10"/>
  <c r="O52" i="10" s="1"/>
  <c r="P52" i="10" s="1"/>
  <c r="G56" i="10"/>
  <c r="G60" i="10"/>
  <c r="G62" i="10"/>
  <c r="L62" i="10" s="1"/>
  <c r="F69" i="10"/>
  <c r="G61" i="11"/>
  <c r="K73" i="11"/>
  <c r="L73" i="11" s="1"/>
  <c r="H66" i="12"/>
  <c r="E43" i="12" s="1"/>
  <c r="F43" i="12" s="1"/>
  <c r="G57" i="12"/>
  <c r="L57" i="12" s="1"/>
  <c r="G65" i="12"/>
  <c r="L65" i="12" s="1"/>
  <c r="I65" i="13"/>
  <c r="E43" i="13" s="1"/>
  <c r="F43" i="13" s="1"/>
  <c r="G53" i="13"/>
  <c r="L53" i="13" s="1"/>
  <c r="K60" i="13"/>
  <c r="G63" i="13"/>
  <c r="O63" i="13" s="1"/>
  <c r="P63" i="13" s="1"/>
  <c r="F65" i="14"/>
  <c r="K63" i="12"/>
  <c r="L63" i="12" s="1"/>
  <c r="J65" i="13"/>
  <c r="E44" i="13" s="1"/>
  <c r="F44" i="13" s="1"/>
  <c r="K54" i="13"/>
  <c r="M54" i="13" s="1"/>
  <c r="N54" i="13" s="1"/>
  <c r="G58" i="13"/>
  <c r="K64" i="13"/>
  <c r="H65" i="14"/>
  <c r="E42" i="14" s="1"/>
  <c r="F42" i="14" s="1"/>
  <c r="G69" i="14"/>
  <c r="F73" i="14"/>
  <c r="D61" i="4"/>
  <c r="D70" i="4"/>
  <c r="D61" i="5"/>
  <c r="D70" i="5"/>
  <c r="I65" i="14"/>
  <c r="E43" i="14" s="1"/>
  <c r="G73" i="14"/>
  <c r="H73" i="14" s="1"/>
  <c r="G65" i="3"/>
  <c r="H65" i="3" s="1"/>
  <c r="I59" i="4"/>
  <c r="J59" i="4" s="1"/>
  <c r="L51" i="4"/>
  <c r="I59" i="5"/>
  <c r="J59" i="5" s="1"/>
  <c r="L53" i="3"/>
  <c r="L57" i="3"/>
  <c r="D70" i="3"/>
  <c r="J55" i="9"/>
  <c r="I66" i="12"/>
  <c r="E44" i="12" s="1"/>
  <c r="F44" i="12" s="1"/>
  <c r="E61" i="4"/>
  <c r="E61" i="5"/>
  <c r="G64" i="10"/>
  <c r="J66" i="12"/>
  <c r="E45" i="12" s="1"/>
  <c r="F45" i="12" s="1"/>
  <c r="G59" i="12"/>
  <c r="K73" i="6"/>
  <c r="L73" i="6" s="1"/>
  <c r="J55" i="7"/>
  <c r="K72" i="8"/>
  <c r="L72" i="8" s="1"/>
  <c r="F72" i="9"/>
  <c r="G55" i="10"/>
  <c r="K60" i="10"/>
  <c r="D65" i="11"/>
  <c r="G55" i="11"/>
  <c r="D47" i="12"/>
  <c r="G60" i="12"/>
  <c r="L60" i="12" s="1"/>
  <c r="G56" i="13"/>
  <c r="M56" i="13" s="1"/>
  <c r="N56" i="13" s="1"/>
  <c r="J65" i="14"/>
  <c r="E44" i="14" s="1"/>
  <c r="F44" i="14" s="1"/>
  <c r="K55" i="14"/>
  <c r="M55" i="14" s="1"/>
  <c r="N55" i="14" s="1"/>
  <c r="G58" i="14"/>
  <c r="L58" i="14" s="1"/>
  <c r="K60" i="14"/>
  <c r="G63" i="14"/>
  <c r="O63" i="14" s="1"/>
  <c r="P63" i="14" s="1"/>
  <c r="G64" i="14"/>
  <c r="I51" i="3"/>
  <c r="J51" i="3" s="1"/>
  <c r="F68" i="3"/>
  <c r="I53" i="4"/>
  <c r="J53" i="4" s="1"/>
  <c r="I57" i="4"/>
  <c r="M57" i="4" s="1"/>
  <c r="N57" i="4" s="1"/>
  <c r="F50" i="4"/>
  <c r="F68" i="4"/>
  <c r="I53" i="5"/>
  <c r="I57" i="5"/>
  <c r="J57" i="5" s="1"/>
  <c r="F50" i="5"/>
  <c r="F68" i="5"/>
  <c r="I56" i="6"/>
  <c r="K69" i="6"/>
  <c r="L69" i="6" s="1"/>
  <c r="D46" i="7"/>
  <c r="D94" i="7"/>
  <c r="I55" i="8"/>
  <c r="I60" i="8"/>
  <c r="J60" i="8" s="1"/>
  <c r="I64" i="8"/>
  <c r="J64" i="8" s="1"/>
  <c r="F73" i="8"/>
  <c r="H65" i="9"/>
  <c r="D46" i="9"/>
  <c r="G58" i="10"/>
  <c r="M58" i="10" s="1"/>
  <c r="N58" i="10" s="1"/>
  <c r="E65" i="11"/>
  <c r="F70" i="11"/>
  <c r="K54" i="12"/>
  <c r="G61" i="12"/>
  <c r="K73" i="12"/>
  <c r="L73" i="12" s="1"/>
  <c r="D65" i="13"/>
  <c r="G55" i="13"/>
  <c r="O55" i="13" s="1"/>
  <c r="P55" i="13" s="1"/>
  <c r="K58" i="13"/>
  <c r="Q58" i="13" s="1"/>
  <c r="R58" i="13" s="1"/>
  <c r="G69" i="13"/>
  <c r="H69" i="13" s="1"/>
  <c r="F73" i="13"/>
  <c r="G52" i="14"/>
  <c r="G53" i="14"/>
  <c r="Q53" i="14" s="1"/>
  <c r="R53" i="14" s="1"/>
  <c r="K54" i="14"/>
  <c r="O54" i="14" s="1"/>
  <c r="P54" i="14" s="1"/>
  <c r="K59" i="14"/>
  <c r="E42" i="4"/>
  <c r="G42" i="4" s="1"/>
  <c r="H42" i="4" s="1"/>
  <c r="E42" i="5"/>
  <c r="G42" i="5" s="1"/>
  <c r="H42" i="5" s="1"/>
  <c r="D65" i="8"/>
  <c r="K59" i="12"/>
  <c r="E65" i="13"/>
  <c r="K52" i="13"/>
  <c r="M52" i="13" s="1"/>
  <c r="N52" i="13" s="1"/>
  <c r="G60" i="13"/>
  <c r="K62" i="13"/>
  <c r="L62" i="13" s="1"/>
  <c r="K64" i="14"/>
  <c r="Q64" i="14" s="1"/>
  <c r="R64" i="14" s="1"/>
  <c r="G59" i="11"/>
  <c r="D46" i="11"/>
  <c r="G60" i="11"/>
  <c r="L60" i="11" s="1"/>
  <c r="G62" i="11"/>
  <c r="G64" i="11"/>
  <c r="L64" i="11" s="1"/>
  <c r="I65" i="11"/>
  <c r="E43" i="11" s="1"/>
  <c r="F43" i="11" s="1"/>
  <c r="J65" i="11"/>
  <c r="E44" i="11" s="1"/>
  <c r="K53" i="10"/>
  <c r="O53" i="10" s="1"/>
  <c r="P53" i="10" s="1"/>
  <c r="K56" i="10"/>
  <c r="K57" i="10"/>
  <c r="O57" i="10" s="1"/>
  <c r="P57" i="10" s="1"/>
  <c r="K58" i="10"/>
  <c r="K59" i="10"/>
  <c r="L59" i="10" s="1"/>
  <c r="K64" i="10"/>
  <c r="I65" i="10"/>
  <c r="E43" i="10" s="1"/>
  <c r="I43" i="10" s="1"/>
  <c r="J43" i="10" s="1"/>
  <c r="K55" i="10"/>
  <c r="M55" i="10" s="1"/>
  <c r="N55" i="10" s="1"/>
  <c r="H69" i="4"/>
  <c r="H44" i="13"/>
  <c r="L44" i="13"/>
  <c r="H69" i="3"/>
  <c r="H69" i="5"/>
  <c r="J44" i="13"/>
  <c r="L50" i="3"/>
  <c r="G61" i="3"/>
  <c r="I49" i="3"/>
  <c r="K50" i="3"/>
  <c r="I50" i="3"/>
  <c r="J50" i="3" s="1"/>
  <c r="K52" i="3"/>
  <c r="I52" i="3"/>
  <c r="I53" i="3"/>
  <c r="J53" i="3" s="1"/>
  <c r="K54" i="3"/>
  <c r="I54" i="3"/>
  <c r="J54" i="3" s="1"/>
  <c r="I55" i="3"/>
  <c r="J55" i="3" s="1"/>
  <c r="K56" i="3"/>
  <c r="I56" i="3"/>
  <c r="I57" i="3"/>
  <c r="J57" i="3" s="1"/>
  <c r="K58" i="3"/>
  <c r="I58" i="3"/>
  <c r="J58" i="3" s="1"/>
  <c r="I59" i="3"/>
  <c r="J59" i="3" s="1"/>
  <c r="K60" i="3"/>
  <c r="I60" i="3"/>
  <c r="E67" i="3"/>
  <c r="E70" i="3" s="1"/>
  <c r="F70" i="3" s="1"/>
  <c r="E43" i="3"/>
  <c r="F43" i="3" s="1"/>
  <c r="L52" i="3"/>
  <c r="L54" i="3"/>
  <c r="L56" i="3"/>
  <c r="L58" i="3"/>
  <c r="L60" i="3"/>
  <c r="H61" i="4"/>
  <c r="L50" i="4"/>
  <c r="L54" i="4"/>
  <c r="L58" i="4"/>
  <c r="G61" i="5"/>
  <c r="I49" i="5"/>
  <c r="K50" i="5"/>
  <c r="I50" i="5"/>
  <c r="K52" i="5"/>
  <c r="I52" i="5"/>
  <c r="K54" i="5"/>
  <c r="I54" i="5"/>
  <c r="K56" i="5"/>
  <c r="I56" i="5"/>
  <c r="J56" i="5" s="1"/>
  <c r="K58" i="5"/>
  <c r="I58" i="5"/>
  <c r="J58" i="5" s="1"/>
  <c r="K60" i="5"/>
  <c r="I60" i="5"/>
  <c r="J60" i="5" s="1"/>
  <c r="E67" i="5"/>
  <c r="E70" i="5" s="1"/>
  <c r="F70" i="5" s="1"/>
  <c r="E43" i="5"/>
  <c r="F43" i="5" s="1"/>
  <c r="L52" i="5"/>
  <c r="L56" i="5"/>
  <c r="L60" i="5"/>
  <c r="K52" i="6"/>
  <c r="L52" i="6" s="1"/>
  <c r="O53" i="6"/>
  <c r="P53" i="6" s="1"/>
  <c r="M53" i="6"/>
  <c r="N53" i="6" s="1"/>
  <c r="K53" i="6"/>
  <c r="L53" i="6" s="1"/>
  <c r="M55" i="6"/>
  <c r="N55" i="6" s="1"/>
  <c r="K55" i="6"/>
  <c r="L55" i="6" s="1"/>
  <c r="M58" i="6"/>
  <c r="N58" i="6" s="1"/>
  <c r="M60" i="6"/>
  <c r="N60" i="6" s="1"/>
  <c r="K60" i="6"/>
  <c r="L60" i="6" s="1"/>
  <c r="H61" i="3"/>
  <c r="G61" i="4"/>
  <c r="I49" i="4"/>
  <c r="K50" i="4"/>
  <c r="I50" i="4"/>
  <c r="K52" i="4"/>
  <c r="I52" i="4"/>
  <c r="J52" i="4" s="1"/>
  <c r="K54" i="4"/>
  <c r="I54" i="4"/>
  <c r="K56" i="4"/>
  <c r="I56" i="4"/>
  <c r="J56" i="4" s="1"/>
  <c r="K58" i="4"/>
  <c r="I58" i="4"/>
  <c r="J58" i="4" s="1"/>
  <c r="K60" i="4"/>
  <c r="I60" i="4"/>
  <c r="J60" i="4" s="1"/>
  <c r="E67" i="4"/>
  <c r="E70" i="4" s="1"/>
  <c r="E43" i="4"/>
  <c r="F43" i="4" s="1"/>
  <c r="L52" i="4"/>
  <c r="M55" i="4"/>
  <c r="N55" i="4" s="1"/>
  <c r="L56" i="4"/>
  <c r="L60" i="4"/>
  <c r="H65" i="4"/>
  <c r="H61" i="5"/>
  <c r="L50" i="5"/>
  <c r="L54" i="5"/>
  <c r="L58" i="5"/>
  <c r="G65" i="6"/>
  <c r="E43" i="6" s="1"/>
  <c r="I43" i="6" s="1"/>
  <c r="I51" i="6"/>
  <c r="I61" i="6"/>
  <c r="J61" i="6" s="1"/>
  <c r="I62" i="6"/>
  <c r="J62" i="6" s="1"/>
  <c r="I63" i="6"/>
  <c r="J63" i="6" s="1"/>
  <c r="I64" i="6"/>
  <c r="E71" i="6"/>
  <c r="E74" i="6" s="1"/>
  <c r="F74" i="6" s="1"/>
  <c r="E45" i="6"/>
  <c r="F45" i="6" s="1"/>
  <c r="G65" i="7"/>
  <c r="E43" i="7" s="1"/>
  <c r="I43" i="7" s="1"/>
  <c r="I51" i="7"/>
  <c r="E71" i="7"/>
  <c r="F71" i="7" s="1"/>
  <c r="E45" i="7"/>
  <c r="F45" i="7" s="1"/>
  <c r="E41" i="3"/>
  <c r="G41" i="3" s="1"/>
  <c r="K49" i="3"/>
  <c r="K51" i="3"/>
  <c r="K53" i="3"/>
  <c r="K55" i="3"/>
  <c r="K57" i="3"/>
  <c r="K59" i="3"/>
  <c r="F65" i="3"/>
  <c r="G66" i="3"/>
  <c r="H66" i="3" s="1"/>
  <c r="G68" i="3"/>
  <c r="H68" i="3" s="1"/>
  <c r="F69" i="3"/>
  <c r="E41" i="4"/>
  <c r="G41" i="4" s="1"/>
  <c r="K49" i="4"/>
  <c r="K51" i="4"/>
  <c r="K53" i="4"/>
  <c r="K55" i="4"/>
  <c r="K57" i="4"/>
  <c r="K59" i="4"/>
  <c r="F65" i="4"/>
  <c r="G66" i="4"/>
  <c r="H66" i="4" s="1"/>
  <c r="G68" i="4"/>
  <c r="H68" i="4" s="1"/>
  <c r="F69" i="4"/>
  <c r="E41" i="5"/>
  <c r="G41" i="5" s="1"/>
  <c r="K49" i="5"/>
  <c r="K51" i="5"/>
  <c r="K53" i="5"/>
  <c r="K55" i="5"/>
  <c r="K57" i="5"/>
  <c r="K59" i="5"/>
  <c r="F65" i="5"/>
  <c r="G66" i="5"/>
  <c r="H66" i="5" s="1"/>
  <c r="G68" i="5"/>
  <c r="H68" i="5" s="1"/>
  <c r="F69" i="5"/>
  <c r="G43" i="6"/>
  <c r="G45" i="6"/>
  <c r="H45" i="6" s="1"/>
  <c r="F69" i="6"/>
  <c r="G70" i="6"/>
  <c r="H70" i="6" s="1"/>
  <c r="I70" i="6"/>
  <c r="J70" i="6" s="1"/>
  <c r="K70" i="6"/>
  <c r="L70" i="6" s="1"/>
  <c r="G72" i="6"/>
  <c r="H72" i="6" s="1"/>
  <c r="I72" i="6"/>
  <c r="J72" i="6" s="1"/>
  <c r="K72" i="6"/>
  <c r="L72" i="6" s="1"/>
  <c r="F73" i="6"/>
  <c r="H65" i="7"/>
  <c r="F53" i="7"/>
  <c r="J53" i="7" s="1"/>
  <c r="O53" i="8"/>
  <c r="P53" i="8" s="1"/>
  <c r="M53" i="8"/>
  <c r="N53" i="8" s="1"/>
  <c r="K53" i="8"/>
  <c r="L53" i="8" s="1"/>
  <c r="J53" i="8"/>
  <c r="M54" i="8"/>
  <c r="N54" i="8" s="1"/>
  <c r="M56" i="8"/>
  <c r="N56" i="8" s="1"/>
  <c r="O57" i="8"/>
  <c r="P57" i="8" s="1"/>
  <c r="M57" i="8"/>
  <c r="N57" i="8" s="1"/>
  <c r="M58" i="8"/>
  <c r="N58" i="8" s="1"/>
  <c r="K58" i="8"/>
  <c r="L58" i="8" s="1"/>
  <c r="O59" i="8"/>
  <c r="P59" i="8" s="1"/>
  <c r="K59" i="8"/>
  <c r="L59" i="8" s="1"/>
  <c r="J59" i="8"/>
  <c r="O61" i="8"/>
  <c r="P61" i="8" s="1"/>
  <c r="O63" i="8"/>
  <c r="P63" i="8" s="1"/>
  <c r="K63" i="8"/>
  <c r="L63" i="8" s="1"/>
  <c r="O64" i="8"/>
  <c r="P64" i="8" s="1"/>
  <c r="L52" i="10"/>
  <c r="F49" i="3"/>
  <c r="L49" i="3"/>
  <c r="F66" i="3"/>
  <c r="F49" i="4"/>
  <c r="L49" i="4"/>
  <c r="F66" i="4"/>
  <c r="F49" i="5"/>
  <c r="L49" i="5"/>
  <c r="F66" i="5"/>
  <c r="G44" i="6"/>
  <c r="H44" i="6" s="1"/>
  <c r="I44" i="6"/>
  <c r="J44" i="6" s="1"/>
  <c r="F51" i="6"/>
  <c r="G69" i="6"/>
  <c r="I69" i="6"/>
  <c r="F70" i="6"/>
  <c r="G73" i="6"/>
  <c r="H73" i="6" s="1"/>
  <c r="I73" i="6"/>
  <c r="J73" i="6" s="1"/>
  <c r="I52" i="7"/>
  <c r="J52" i="7" s="1"/>
  <c r="J54" i="7"/>
  <c r="E44" i="7"/>
  <c r="O55" i="7"/>
  <c r="P55" i="7" s="1"/>
  <c r="M55" i="7"/>
  <c r="N55" i="7" s="1"/>
  <c r="K55" i="7"/>
  <c r="L55" i="7" s="1"/>
  <c r="O56" i="7"/>
  <c r="P56" i="7" s="1"/>
  <c r="M56" i="7"/>
  <c r="N56" i="7" s="1"/>
  <c r="K56" i="7"/>
  <c r="L56" i="7" s="1"/>
  <c r="O57" i="7"/>
  <c r="P57" i="7" s="1"/>
  <c r="M57" i="7"/>
  <c r="N57" i="7" s="1"/>
  <c r="K57" i="7"/>
  <c r="L57" i="7" s="1"/>
  <c r="O58" i="7"/>
  <c r="P58" i="7" s="1"/>
  <c r="M58" i="7"/>
  <c r="N58" i="7" s="1"/>
  <c r="K58" i="7"/>
  <c r="L58" i="7" s="1"/>
  <c r="O59" i="7"/>
  <c r="P59" i="7" s="1"/>
  <c r="M59" i="7"/>
  <c r="N59" i="7" s="1"/>
  <c r="K59" i="7"/>
  <c r="L59" i="7" s="1"/>
  <c r="O60" i="7"/>
  <c r="P60" i="7" s="1"/>
  <c r="M60" i="7"/>
  <c r="N60" i="7" s="1"/>
  <c r="O61" i="7"/>
  <c r="P61" i="7" s="1"/>
  <c r="M61" i="7"/>
  <c r="N61" i="7" s="1"/>
  <c r="K61" i="7"/>
  <c r="L61" i="7" s="1"/>
  <c r="O62" i="7"/>
  <c r="P62" i="7" s="1"/>
  <c r="O63" i="7"/>
  <c r="P63" i="7" s="1"/>
  <c r="M63" i="7"/>
  <c r="N63" i="7" s="1"/>
  <c r="K63" i="7"/>
  <c r="L63" i="7" s="1"/>
  <c r="O64" i="7"/>
  <c r="P64" i="7" s="1"/>
  <c r="K64" i="7"/>
  <c r="L64" i="7" s="1"/>
  <c r="L72" i="7"/>
  <c r="G65" i="8"/>
  <c r="E43" i="8" s="1"/>
  <c r="I51" i="8"/>
  <c r="E45" i="8"/>
  <c r="E71" i="8"/>
  <c r="F71" i="8" s="1"/>
  <c r="G65" i="9"/>
  <c r="E43" i="9" s="1"/>
  <c r="K43" i="9" s="1"/>
  <c r="I51" i="9"/>
  <c r="O52" i="9"/>
  <c r="P52" i="9" s="1"/>
  <c r="K52" i="9"/>
  <c r="L52" i="9" s="1"/>
  <c r="M53" i="9"/>
  <c r="N53" i="9" s="1"/>
  <c r="O54" i="9"/>
  <c r="P54" i="9" s="1"/>
  <c r="M54" i="9"/>
  <c r="N54" i="9" s="1"/>
  <c r="K54" i="9"/>
  <c r="L54" i="9" s="1"/>
  <c r="O55" i="9"/>
  <c r="P55" i="9" s="1"/>
  <c r="O56" i="9"/>
  <c r="P56" i="9" s="1"/>
  <c r="M56" i="9"/>
  <c r="N56" i="9" s="1"/>
  <c r="K56" i="9"/>
  <c r="L56" i="9" s="1"/>
  <c r="O57" i="9"/>
  <c r="P57" i="9" s="1"/>
  <c r="M57" i="9"/>
  <c r="N57" i="9" s="1"/>
  <c r="K57" i="9"/>
  <c r="L57" i="9" s="1"/>
  <c r="K58" i="9"/>
  <c r="L58" i="9" s="1"/>
  <c r="K60" i="9"/>
  <c r="L60" i="9" s="1"/>
  <c r="O61" i="9"/>
  <c r="P61" i="9" s="1"/>
  <c r="M61" i="9"/>
  <c r="N61" i="9" s="1"/>
  <c r="O62" i="9"/>
  <c r="P62" i="9" s="1"/>
  <c r="M62" i="9"/>
  <c r="N62" i="9" s="1"/>
  <c r="K62" i="9"/>
  <c r="L62" i="9" s="1"/>
  <c r="O63" i="9"/>
  <c r="P63" i="9" s="1"/>
  <c r="M63" i="9"/>
  <c r="N63" i="9" s="1"/>
  <c r="K63" i="9"/>
  <c r="L63" i="9" s="1"/>
  <c r="O64" i="9"/>
  <c r="P64" i="9" s="1"/>
  <c r="K64" i="9"/>
  <c r="L64" i="9" s="1"/>
  <c r="F51" i="7"/>
  <c r="G69" i="7"/>
  <c r="I69" i="7"/>
  <c r="K69" i="7"/>
  <c r="F70" i="7"/>
  <c r="F72" i="7"/>
  <c r="G73" i="7"/>
  <c r="H73" i="7" s="1"/>
  <c r="I73" i="7"/>
  <c r="J73" i="7" s="1"/>
  <c r="K73" i="7"/>
  <c r="L73" i="7" s="1"/>
  <c r="D74" i="7"/>
  <c r="E44" i="8"/>
  <c r="F44" i="8" s="1"/>
  <c r="F51" i="8"/>
  <c r="G69" i="8"/>
  <c r="I69" i="8"/>
  <c r="K69" i="8"/>
  <c r="F70" i="8"/>
  <c r="F72" i="8"/>
  <c r="G73" i="8"/>
  <c r="H73" i="8" s="1"/>
  <c r="I73" i="8"/>
  <c r="J73" i="8" s="1"/>
  <c r="K73" i="8"/>
  <c r="L73" i="8" s="1"/>
  <c r="D74" i="8"/>
  <c r="E45" i="9"/>
  <c r="F45" i="9" s="1"/>
  <c r="I70" i="9"/>
  <c r="J70" i="9" s="1"/>
  <c r="K71" i="9"/>
  <c r="L71" i="9" s="1"/>
  <c r="G71" i="9"/>
  <c r="H71" i="9" s="1"/>
  <c r="I72" i="9"/>
  <c r="J72" i="9" s="1"/>
  <c r="K73" i="9"/>
  <c r="L73" i="9" s="1"/>
  <c r="I73" i="9"/>
  <c r="J73" i="9" s="1"/>
  <c r="G73" i="9"/>
  <c r="H73" i="9" s="1"/>
  <c r="F73" i="9"/>
  <c r="F71" i="10"/>
  <c r="D46" i="10"/>
  <c r="G51" i="10"/>
  <c r="H65" i="10"/>
  <c r="E42" i="10" s="1"/>
  <c r="K51" i="10"/>
  <c r="J65" i="10"/>
  <c r="E44" i="10" s="1"/>
  <c r="F44" i="10" s="1"/>
  <c r="L61" i="10"/>
  <c r="O62" i="10"/>
  <c r="P62" i="10" s="1"/>
  <c r="L63" i="10"/>
  <c r="F71" i="11"/>
  <c r="H65" i="11"/>
  <c r="E42" i="11" s="1"/>
  <c r="K51" i="11"/>
  <c r="K52" i="11"/>
  <c r="L52" i="11" s="1"/>
  <c r="K53" i="11"/>
  <c r="K54" i="11"/>
  <c r="K55" i="11"/>
  <c r="K56" i="11"/>
  <c r="K57" i="11"/>
  <c r="K58" i="11"/>
  <c r="L58" i="11" s="1"/>
  <c r="K59" i="11"/>
  <c r="Q60" i="11"/>
  <c r="R60" i="11" s="1"/>
  <c r="K71" i="11"/>
  <c r="L71" i="11" s="1"/>
  <c r="F72" i="12"/>
  <c r="G70" i="7"/>
  <c r="H70" i="7" s="1"/>
  <c r="I70" i="7"/>
  <c r="J70" i="7" s="1"/>
  <c r="K70" i="7"/>
  <c r="L70" i="7" s="1"/>
  <c r="G72" i="7"/>
  <c r="H72" i="7" s="1"/>
  <c r="I72" i="7"/>
  <c r="J72" i="7" s="1"/>
  <c r="G70" i="8"/>
  <c r="H70" i="8" s="1"/>
  <c r="I70" i="8"/>
  <c r="J70" i="8" s="1"/>
  <c r="K70" i="8"/>
  <c r="L70" i="8" s="1"/>
  <c r="G72" i="8"/>
  <c r="H72" i="8" s="1"/>
  <c r="I72" i="8"/>
  <c r="J72" i="8" s="1"/>
  <c r="E44" i="9"/>
  <c r="F51" i="9"/>
  <c r="D74" i="9"/>
  <c r="K69" i="9"/>
  <c r="I69" i="9"/>
  <c r="G69" i="9"/>
  <c r="F69" i="9"/>
  <c r="H70" i="9"/>
  <c r="L70" i="9"/>
  <c r="L72" i="9"/>
  <c r="Q61" i="10"/>
  <c r="R61" i="10" s="1"/>
  <c r="O61" i="10"/>
  <c r="P61" i="10" s="1"/>
  <c r="M61" i="10"/>
  <c r="N61" i="10" s="1"/>
  <c r="O63" i="10"/>
  <c r="P63" i="10" s="1"/>
  <c r="M63" i="10"/>
  <c r="N63" i="10" s="1"/>
  <c r="G69" i="10"/>
  <c r="I69" i="10"/>
  <c r="K69" i="10"/>
  <c r="F70" i="10"/>
  <c r="F72" i="10"/>
  <c r="G73" i="10"/>
  <c r="H73" i="10" s="1"/>
  <c r="I73" i="10"/>
  <c r="J73" i="10" s="1"/>
  <c r="K73" i="10"/>
  <c r="L73" i="10" s="1"/>
  <c r="D74" i="10"/>
  <c r="G51" i="11"/>
  <c r="F69" i="11"/>
  <c r="G70" i="11"/>
  <c r="H70" i="11" s="1"/>
  <c r="I70" i="11"/>
  <c r="J70" i="11" s="1"/>
  <c r="K70" i="11"/>
  <c r="L70" i="11" s="1"/>
  <c r="G72" i="11"/>
  <c r="H72" i="11" s="1"/>
  <c r="I72" i="11"/>
  <c r="J72" i="11" s="1"/>
  <c r="K72" i="11"/>
  <c r="L72" i="11" s="1"/>
  <c r="F73" i="11"/>
  <c r="Q55" i="12"/>
  <c r="R55" i="12" s="1"/>
  <c r="Q58" i="12"/>
  <c r="R58" i="12" s="1"/>
  <c r="M58" i="12"/>
  <c r="N58" i="12" s="1"/>
  <c r="M60" i="12"/>
  <c r="N60" i="12" s="1"/>
  <c r="Q55" i="13"/>
  <c r="R55" i="13" s="1"/>
  <c r="M55" i="13"/>
  <c r="N55" i="13" s="1"/>
  <c r="M57" i="13"/>
  <c r="N57" i="13" s="1"/>
  <c r="G70" i="10"/>
  <c r="H70" i="10" s="1"/>
  <c r="I70" i="10"/>
  <c r="J70" i="10" s="1"/>
  <c r="K70" i="10"/>
  <c r="L70" i="10" s="1"/>
  <c r="G72" i="10"/>
  <c r="H72" i="10" s="1"/>
  <c r="I72" i="10"/>
  <c r="J72" i="10" s="1"/>
  <c r="G69" i="11"/>
  <c r="I69" i="11"/>
  <c r="K69" i="11"/>
  <c r="I71" i="11"/>
  <c r="J71" i="11" s="1"/>
  <c r="G73" i="11"/>
  <c r="H73" i="11" s="1"/>
  <c r="I73" i="11"/>
  <c r="J73" i="11" s="1"/>
  <c r="G52" i="12"/>
  <c r="D66" i="12"/>
  <c r="K52" i="12"/>
  <c r="Q57" i="12"/>
  <c r="R57" i="12" s="1"/>
  <c r="M57" i="12"/>
  <c r="N57" i="12" s="1"/>
  <c r="Q65" i="12"/>
  <c r="R65" i="12" s="1"/>
  <c r="E74" i="13"/>
  <c r="E45" i="13" s="1"/>
  <c r="F45" i="13" s="1"/>
  <c r="H65" i="13"/>
  <c r="E42" i="13" s="1"/>
  <c r="K51" i="13"/>
  <c r="O56" i="13"/>
  <c r="P56" i="13" s="1"/>
  <c r="Q56" i="13"/>
  <c r="R56" i="13" s="1"/>
  <c r="G70" i="12"/>
  <c r="I70" i="12"/>
  <c r="K70" i="12"/>
  <c r="F71" i="12"/>
  <c r="G72" i="12"/>
  <c r="H72" i="12" s="1"/>
  <c r="I72" i="12"/>
  <c r="J72" i="12" s="1"/>
  <c r="F73" i="12"/>
  <c r="G74" i="12"/>
  <c r="H74" i="12" s="1"/>
  <c r="I74" i="12"/>
  <c r="J74" i="12" s="1"/>
  <c r="K74" i="12"/>
  <c r="L74" i="12" s="1"/>
  <c r="D75" i="12"/>
  <c r="G51" i="13"/>
  <c r="M59" i="13"/>
  <c r="N59" i="13" s="1"/>
  <c r="Q59" i="13"/>
  <c r="R59" i="13" s="1"/>
  <c r="M52" i="14"/>
  <c r="N52" i="14" s="1"/>
  <c r="G71" i="12"/>
  <c r="H71" i="12" s="1"/>
  <c r="I71" i="12"/>
  <c r="J71" i="12" s="1"/>
  <c r="K71" i="12"/>
  <c r="L71" i="12" s="1"/>
  <c r="G73" i="12"/>
  <c r="H73" i="12" s="1"/>
  <c r="I73" i="12"/>
  <c r="J73" i="12" s="1"/>
  <c r="Q54" i="14"/>
  <c r="R54" i="14" s="1"/>
  <c r="L54" i="14"/>
  <c r="Q62" i="13"/>
  <c r="R62" i="13" s="1"/>
  <c r="Q63" i="13"/>
  <c r="R63" i="13" s="1"/>
  <c r="F69" i="13"/>
  <c r="I69" i="13"/>
  <c r="K70" i="13"/>
  <c r="L70" i="13" s="1"/>
  <c r="I70" i="13"/>
  <c r="J70" i="13" s="1"/>
  <c r="G70" i="13"/>
  <c r="H70" i="13" s="1"/>
  <c r="F70" i="13"/>
  <c r="I73" i="13"/>
  <c r="J73" i="13" s="1"/>
  <c r="D74" i="13"/>
  <c r="F71" i="14"/>
  <c r="K71" i="14"/>
  <c r="L71" i="14" s="1"/>
  <c r="G71" i="14"/>
  <c r="H71" i="14" s="1"/>
  <c r="I71" i="14"/>
  <c r="J71" i="14" s="1"/>
  <c r="K42" i="14"/>
  <c r="I43" i="14"/>
  <c r="J43" i="14" s="1"/>
  <c r="K44" i="14"/>
  <c r="L44" i="14" s="1"/>
  <c r="I44" i="14"/>
  <c r="J44" i="14" s="1"/>
  <c r="G44" i="14"/>
  <c r="H44" i="14" s="1"/>
  <c r="D46" i="14"/>
  <c r="K51" i="14"/>
  <c r="O53" i="14"/>
  <c r="P53" i="14" s="1"/>
  <c r="O56" i="14"/>
  <c r="P56" i="14" s="1"/>
  <c r="Q57" i="14"/>
  <c r="R57" i="14" s="1"/>
  <c r="Q61" i="14"/>
  <c r="R61" i="14" s="1"/>
  <c r="O61" i="14"/>
  <c r="P61" i="14" s="1"/>
  <c r="M61" i="14"/>
  <c r="N61" i="14" s="1"/>
  <c r="L61" i="14"/>
  <c r="L69" i="13"/>
  <c r="K72" i="13"/>
  <c r="L72" i="13" s="1"/>
  <c r="I72" i="13"/>
  <c r="J72" i="13" s="1"/>
  <c r="G72" i="13"/>
  <c r="H72" i="13" s="1"/>
  <c r="F72" i="13"/>
  <c r="H73" i="13"/>
  <c r="M53" i="14"/>
  <c r="N53" i="14" s="1"/>
  <c r="Q55" i="14"/>
  <c r="R55" i="14" s="1"/>
  <c r="O55" i="14"/>
  <c r="P55" i="14" s="1"/>
  <c r="L56" i="14"/>
  <c r="O59" i="14"/>
  <c r="P59" i="14" s="1"/>
  <c r="Q60" i="14"/>
  <c r="R60" i="14" s="1"/>
  <c r="M62" i="14"/>
  <c r="N62" i="14" s="1"/>
  <c r="Q62" i="14"/>
  <c r="R62" i="14" s="1"/>
  <c r="H69" i="14"/>
  <c r="L69" i="14"/>
  <c r="K72" i="14"/>
  <c r="L72" i="14" s="1"/>
  <c r="I72" i="14"/>
  <c r="J72" i="14" s="1"/>
  <c r="G72" i="14"/>
  <c r="H72" i="14" s="1"/>
  <c r="F72" i="14"/>
  <c r="L73" i="14"/>
  <c r="G51" i="14"/>
  <c r="E74" i="14"/>
  <c r="E45" i="14" s="1"/>
  <c r="F69" i="14"/>
  <c r="I69" i="14"/>
  <c r="K70" i="14"/>
  <c r="L70" i="14" s="1"/>
  <c r="I70" i="14"/>
  <c r="J70" i="14" s="1"/>
  <c r="G70" i="14"/>
  <c r="H70" i="14" s="1"/>
  <c r="F70" i="14"/>
  <c r="I73" i="14"/>
  <c r="J73" i="14" s="1"/>
  <c r="D74" i="14"/>
  <c r="O54" i="12" l="1"/>
  <c r="P54" i="12" s="1"/>
  <c r="D96" i="12"/>
  <c r="O57" i="14"/>
  <c r="P57" i="14" s="1"/>
  <c r="O65" i="12"/>
  <c r="P65" i="12" s="1"/>
  <c r="Q52" i="13"/>
  <c r="R52" i="13" s="1"/>
  <c r="O54" i="7"/>
  <c r="P54" i="7" s="1"/>
  <c r="J55" i="4"/>
  <c r="M58" i="5"/>
  <c r="N58" i="5" s="1"/>
  <c r="K43" i="6"/>
  <c r="J58" i="8"/>
  <c r="Q56" i="14"/>
  <c r="R56" i="14" s="1"/>
  <c r="M54" i="14"/>
  <c r="N54" i="14" s="1"/>
  <c r="O57" i="12"/>
  <c r="P57" i="12" s="1"/>
  <c r="O58" i="12"/>
  <c r="P58" i="12" s="1"/>
  <c r="E74" i="9"/>
  <c r="L59" i="14"/>
  <c r="J56" i="8"/>
  <c r="M51" i="4"/>
  <c r="N51" i="4" s="1"/>
  <c r="Q64" i="12"/>
  <c r="R64" i="12" s="1"/>
  <c r="M51" i="5"/>
  <c r="N51" i="5" s="1"/>
  <c r="M61" i="12"/>
  <c r="N61" i="12" s="1"/>
  <c r="K62" i="7"/>
  <c r="L62" i="7" s="1"/>
  <c r="J55" i="6"/>
  <c r="O60" i="6"/>
  <c r="P60" i="6" s="1"/>
  <c r="L57" i="14"/>
  <c r="Q52" i="10"/>
  <c r="R52" i="10" s="1"/>
  <c r="K43" i="7"/>
  <c r="L54" i="12"/>
  <c r="Q60" i="13"/>
  <c r="R60" i="13" s="1"/>
  <c r="J59" i="9"/>
  <c r="J58" i="9"/>
  <c r="K53" i="9"/>
  <c r="L53" i="9" s="1"/>
  <c r="K60" i="7"/>
  <c r="L60" i="7" s="1"/>
  <c r="K57" i="6"/>
  <c r="L57" i="6" s="1"/>
  <c r="Q58" i="14"/>
  <c r="R58" i="14" s="1"/>
  <c r="M64" i="11"/>
  <c r="N64" i="11" s="1"/>
  <c r="M60" i="9"/>
  <c r="N60" i="9" s="1"/>
  <c r="K54" i="7"/>
  <c r="L54" i="7" s="1"/>
  <c r="L55" i="14"/>
  <c r="M65" i="12"/>
  <c r="N65" i="12" s="1"/>
  <c r="K64" i="8"/>
  <c r="L64" i="8" s="1"/>
  <c r="G43" i="7"/>
  <c r="J64" i="6"/>
  <c r="J52" i="5"/>
  <c r="J56" i="3"/>
  <c r="G43" i="12"/>
  <c r="H43" i="12" s="1"/>
  <c r="J55" i="8"/>
  <c r="L64" i="13"/>
  <c r="O57" i="13"/>
  <c r="P57" i="13" s="1"/>
  <c r="Q54" i="10"/>
  <c r="R54" i="10" s="1"/>
  <c r="J54" i="9"/>
  <c r="L59" i="12"/>
  <c r="Q53" i="12"/>
  <c r="R53" i="12" s="1"/>
  <c r="Q56" i="12"/>
  <c r="R56" i="12" s="1"/>
  <c r="M64" i="14"/>
  <c r="N64" i="14" s="1"/>
  <c r="Q64" i="13"/>
  <c r="R64" i="13" s="1"/>
  <c r="L57" i="13"/>
  <c r="O53" i="12"/>
  <c r="P53" i="12" s="1"/>
  <c r="M63" i="12"/>
  <c r="N63" i="12" s="1"/>
  <c r="M62" i="12"/>
  <c r="N62" i="12" s="1"/>
  <c r="M54" i="12"/>
  <c r="N54" i="12" s="1"/>
  <c r="I45" i="12"/>
  <c r="J45" i="12" s="1"/>
  <c r="G45" i="12"/>
  <c r="H45" i="12" s="1"/>
  <c r="Q59" i="12"/>
  <c r="R59" i="12" s="1"/>
  <c r="K45" i="12"/>
  <c r="L45" i="12" s="1"/>
  <c r="Q62" i="12"/>
  <c r="R62" i="12" s="1"/>
  <c r="M56" i="12"/>
  <c r="N56" i="12" s="1"/>
  <c r="Q63" i="12"/>
  <c r="R63" i="12" s="1"/>
  <c r="L57" i="11"/>
  <c r="L54" i="11"/>
  <c r="Q63" i="14"/>
  <c r="R63" i="14" s="1"/>
  <c r="M56" i="5"/>
  <c r="N56" i="5" s="1"/>
  <c r="G42" i="14"/>
  <c r="H42" i="14" s="1"/>
  <c r="M63" i="13"/>
  <c r="N63" i="13" s="1"/>
  <c r="M59" i="12"/>
  <c r="N59" i="12" s="1"/>
  <c r="L56" i="13"/>
  <c r="G44" i="12"/>
  <c r="H44" i="12" s="1"/>
  <c r="M58" i="9"/>
  <c r="N58" i="9" s="1"/>
  <c r="M55" i="9"/>
  <c r="N55" i="9" s="1"/>
  <c r="M52" i="9"/>
  <c r="N52" i="9" s="1"/>
  <c r="M62" i="7"/>
  <c r="N62" i="7" s="1"/>
  <c r="M60" i="8"/>
  <c r="N60" i="8" s="1"/>
  <c r="K57" i="8"/>
  <c r="L57" i="8" s="1"/>
  <c r="M53" i="4"/>
  <c r="N53" i="4" s="1"/>
  <c r="L53" i="12"/>
  <c r="Q61" i="11"/>
  <c r="R61" i="11" s="1"/>
  <c r="J64" i="9"/>
  <c r="O56" i="12"/>
  <c r="P56" i="12" s="1"/>
  <c r="M59" i="9"/>
  <c r="N59" i="9" s="1"/>
  <c r="J60" i="9"/>
  <c r="O55" i="6"/>
  <c r="P55" i="6" s="1"/>
  <c r="L60" i="14"/>
  <c r="L63" i="14"/>
  <c r="L54" i="10"/>
  <c r="K62" i="8"/>
  <c r="L62" i="8" s="1"/>
  <c r="O56" i="8"/>
  <c r="P56" i="8" s="1"/>
  <c r="M53" i="13"/>
  <c r="N53" i="13" s="1"/>
  <c r="M63" i="14"/>
  <c r="N63" i="14" s="1"/>
  <c r="M58" i="13"/>
  <c r="N58" i="13" s="1"/>
  <c r="O53" i="13"/>
  <c r="P53" i="13" s="1"/>
  <c r="M62" i="10"/>
  <c r="N62" i="10" s="1"/>
  <c r="I71" i="9"/>
  <c r="J71" i="9" s="1"/>
  <c r="K59" i="9"/>
  <c r="L59" i="9" s="1"/>
  <c r="O62" i="8"/>
  <c r="P62" i="8" s="1"/>
  <c r="K55" i="8"/>
  <c r="L55" i="8" s="1"/>
  <c r="O59" i="6"/>
  <c r="P59" i="6" s="1"/>
  <c r="M59" i="14"/>
  <c r="N59" i="14" s="1"/>
  <c r="J57" i="4"/>
  <c r="O53" i="9"/>
  <c r="P53" i="9" s="1"/>
  <c r="O62" i="12"/>
  <c r="P62" i="12" s="1"/>
  <c r="M53" i="5"/>
  <c r="N53" i="5" s="1"/>
  <c r="J53" i="6"/>
  <c r="J61" i="9"/>
  <c r="M63" i="8"/>
  <c r="N63" i="8" s="1"/>
  <c r="J60" i="6"/>
  <c r="O55" i="8"/>
  <c r="P55" i="8" s="1"/>
  <c r="K58" i="6"/>
  <c r="L58" i="6" s="1"/>
  <c r="J52" i="3"/>
  <c r="Q63" i="10"/>
  <c r="R63" i="10" s="1"/>
  <c r="O54" i="8"/>
  <c r="P54" i="8" s="1"/>
  <c r="L63" i="11"/>
  <c r="L61" i="11"/>
  <c r="O63" i="11"/>
  <c r="P63" i="11" s="1"/>
  <c r="M60" i="11"/>
  <c r="N60" i="11" s="1"/>
  <c r="L53" i="11"/>
  <c r="Q63" i="11"/>
  <c r="R63" i="11" s="1"/>
  <c r="M63" i="11"/>
  <c r="N63" i="11" s="1"/>
  <c r="O61" i="11"/>
  <c r="P61" i="11" s="1"/>
  <c r="M61" i="11"/>
  <c r="N61" i="11" s="1"/>
  <c r="D94" i="11"/>
  <c r="M60" i="14"/>
  <c r="N60" i="14" s="1"/>
  <c r="M62" i="13"/>
  <c r="N62" i="13" s="1"/>
  <c r="O59" i="12"/>
  <c r="P59" i="12" s="1"/>
  <c r="Q57" i="13"/>
  <c r="R57" i="13" s="1"/>
  <c r="Q53" i="13"/>
  <c r="R53" i="13" s="1"/>
  <c r="G43" i="9"/>
  <c r="K61" i="9"/>
  <c r="L61" i="9" s="1"/>
  <c r="J53" i="9"/>
  <c r="L61" i="5"/>
  <c r="L55" i="10"/>
  <c r="J59" i="6"/>
  <c r="L56" i="10"/>
  <c r="J53" i="5"/>
  <c r="D94" i="10"/>
  <c r="M52" i="8"/>
  <c r="N52" i="8" s="1"/>
  <c r="F42" i="4"/>
  <c r="M60" i="13"/>
  <c r="N60" i="13" s="1"/>
  <c r="Q64" i="10"/>
  <c r="R64" i="10" s="1"/>
  <c r="J63" i="8"/>
  <c r="M58" i="14"/>
  <c r="N58" i="14" s="1"/>
  <c r="L58" i="13"/>
  <c r="I44" i="12"/>
  <c r="J44" i="12" s="1"/>
  <c r="J61" i="8"/>
  <c r="J64" i="7"/>
  <c r="F42" i="5"/>
  <c r="O63" i="12"/>
  <c r="P63" i="12" s="1"/>
  <c r="J51" i="4"/>
  <c r="J57" i="7"/>
  <c r="J63" i="7"/>
  <c r="J60" i="7"/>
  <c r="M52" i="10"/>
  <c r="N52" i="10" s="1"/>
  <c r="M62" i="8"/>
  <c r="N62" i="8" s="1"/>
  <c r="K56" i="8"/>
  <c r="L56" i="8" s="1"/>
  <c r="M50" i="5"/>
  <c r="N50" i="5" s="1"/>
  <c r="O58" i="13"/>
  <c r="P58" i="13" s="1"/>
  <c r="O54" i="13"/>
  <c r="P54" i="13" s="1"/>
  <c r="O52" i="6"/>
  <c r="P52" i="6" s="1"/>
  <c r="L62" i="12"/>
  <c r="Q59" i="14"/>
  <c r="R59" i="14" s="1"/>
  <c r="I43" i="12"/>
  <c r="J43" i="12" s="1"/>
  <c r="Q62" i="10"/>
  <c r="R62" i="10" s="1"/>
  <c r="M54" i="10"/>
  <c r="N54" i="10" s="1"/>
  <c r="K60" i="8"/>
  <c r="L60" i="8" s="1"/>
  <c r="M55" i="8"/>
  <c r="N55" i="8" s="1"/>
  <c r="K52" i="8"/>
  <c r="L52" i="8" s="1"/>
  <c r="I45" i="6"/>
  <c r="J45" i="6" s="1"/>
  <c r="F42" i="3"/>
  <c r="M51" i="3"/>
  <c r="N51" i="3" s="1"/>
  <c r="M50" i="4"/>
  <c r="N50" i="4" s="1"/>
  <c r="M60" i="3"/>
  <c r="N60" i="3" s="1"/>
  <c r="O60" i="12"/>
  <c r="P60" i="12" s="1"/>
  <c r="O55" i="12"/>
  <c r="P55" i="12" s="1"/>
  <c r="L59" i="11"/>
  <c r="Q59" i="10"/>
  <c r="R59" i="10" s="1"/>
  <c r="O52" i="8"/>
  <c r="P52" i="8" s="1"/>
  <c r="M57" i="5"/>
  <c r="N57" i="5" s="1"/>
  <c r="M58" i="4"/>
  <c r="N58" i="4" s="1"/>
  <c r="L52" i="13"/>
  <c r="J56" i="6"/>
  <c r="L60" i="10"/>
  <c r="L61" i="13"/>
  <c r="O60" i="10"/>
  <c r="P60" i="10" s="1"/>
  <c r="M60" i="10"/>
  <c r="N60" i="10" s="1"/>
  <c r="M56" i="3"/>
  <c r="N56" i="3" s="1"/>
  <c r="L55" i="13"/>
  <c r="L56" i="12"/>
  <c r="L59" i="13"/>
  <c r="O58" i="14"/>
  <c r="P58" i="14" s="1"/>
  <c r="O52" i="13"/>
  <c r="P52" i="13" s="1"/>
  <c r="Q54" i="12"/>
  <c r="R54" i="12" s="1"/>
  <c r="O60" i="8"/>
  <c r="P60" i="8" s="1"/>
  <c r="O58" i="6"/>
  <c r="P58" i="6" s="1"/>
  <c r="M55" i="5"/>
  <c r="N55" i="5" s="1"/>
  <c r="J50" i="5"/>
  <c r="M50" i="3"/>
  <c r="N50" i="3" s="1"/>
  <c r="L58" i="10"/>
  <c r="L62" i="11"/>
  <c r="L61" i="12"/>
  <c r="J63" i="9"/>
  <c r="O56" i="6"/>
  <c r="P56" i="6" s="1"/>
  <c r="E46" i="14"/>
  <c r="F46" i="14" s="1"/>
  <c r="I42" i="14"/>
  <c r="Q60" i="12"/>
  <c r="R60" i="12" s="1"/>
  <c r="M55" i="12"/>
  <c r="N55" i="12" s="1"/>
  <c r="K44" i="12"/>
  <c r="L44" i="12" s="1"/>
  <c r="Q64" i="11"/>
  <c r="R64" i="11" s="1"/>
  <c r="L56" i="11"/>
  <c r="Q60" i="10"/>
  <c r="R60" i="10" s="1"/>
  <c r="O58" i="9"/>
  <c r="P58" i="9" s="1"/>
  <c r="M64" i="8"/>
  <c r="N64" i="8" s="1"/>
  <c r="K61" i="8"/>
  <c r="L61" i="8" s="1"/>
  <c r="F44" i="6"/>
  <c r="J54" i="4"/>
  <c r="K59" i="6"/>
  <c r="L59" i="6" s="1"/>
  <c r="J60" i="3"/>
  <c r="Q52" i="14"/>
  <c r="R52" i="14" s="1"/>
  <c r="L64" i="12"/>
  <c r="M59" i="4"/>
  <c r="N59" i="4" s="1"/>
  <c r="F70" i="4"/>
  <c r="M59" i="3"/>
  <c r="N59" i="3" s="1"/>
  <c r="J54" i="5"/>
  <c r="Q55" i="10"/>
  <c r="R55" i="10" s="1"/>
  <c r="L64" i="14"/>
  <c r="L54" i="13"/>
  <c r="J52" i="6"/>
  <c r="J62" i="7"/>
  <c r="M61" i="13"/>
  <c r="N61" i="13" s="1"/>
  <c r="L52" i="14"/>
  <c r="M64" i="13"/>
  <c r="N64" i="13" s="1"/>
  <c r="O61" i="13"/>
  <c r="P61" i="13" s="1"/>
  <c r="O52" i="14"/>
  <c r="P52" i="14" s="1"/>
  <c r="I43" i="13"/>
  <c r="J43" i="13" s="1"/>
  <c r="M64" i="12"/>
  <c r="N64" i="12" s="1"/>
  <c r="O60" i="13"/>
  <c r="P60" i="13" s="1"/>
  <c r="G43" i="13"/>
  <c r="H43" i="13" s="1"/>
  <c r="O64" i="12"/>
  <c r="P64" i="12" s="1"/>
  <c r="I43" i="9"/>
  <c r="J43" i="9" s="1"/>
  <c r="G71" i="8"/>
  <c r="H71" i="8" s="1"/>
  <c r="G45" i="7"/>
  <c r="H45" i="7" s="1"/>
  <c r="M59" i="5"/>
  <c r="N59" i="5" s="1"/>
  <c r="O64" i="13"/>
  <c r="P64" i="13" s="1"/>
  <c r="L61" i="3"/>
  <c r="G43" i="4"/>
  <c r="H43" i="4" s="1"/>
  <c r="E74" i="10"/>
  <c r="K43" i="12"/>
  <c r="L43" i="12" s="1"/>
  <c r="F43" i="14"/>
  <c r="K43" i="14"/>
  <c r="L43" i="14" s="1"/>
  <c r="G43" i="14"/>
  <c r="H43" i="14" s="1"/>
  <c r="K72" i="12"/>
  <c r="L72" i="12" s="1"/>
  <c r="O61" i="12"/>
  <c r="P61" i="12" s="1"/>
  <c r="Q54" i="13"/>
  <c r="R54" i="13" s="1"/>
  <c r="E75" i="12"/>
  <c r="E46" i="12" s="1"/>
  <c r="E47" i="12" s="1"/>
  <c r="F47" i="12" s="1"/>
  <c r="I45" i="9"/>
  <c r="J45" i="9" s="1"/>
  <c r="Q56" i="10"/>
  <c r="R56" i="10" s="1"/>
  <c r="M52" i="5"/>
  <c r="N52" i="5" s="1"/>
  <c r="M58" i="3"/>
  <c r="N58" i="3" s="1"/>
  <c r="M57" i="6"/>
  <c r="N57" i="6" s="1"/>
  <c r="K54" i="6"/>
  <c r="L54" i="6" s="1"/>
  <c r="M52" i="6"/>
  <c r="N52" i="6" s="1"/>
  <c r="M54" i="5"/>
  <c r="N54" i="5" s="1"/>
  <c r="L63" i="13"/>
  <c r="L60" i="13"/>
  <c r="Q61" i="12"/>
  <c r="R61" i="12" s="1"/>
  <c r="M62" i="11"/>
  <c r="N62" i="11" s="1"/>
  <c r="G45" i="9"/>
  <c r="H45" i="9" s="1"/>
  <c r="I71" i="7"/>
  <c r="J71" i="7" s="1"/>
  <c r="E74" i="7"/>
  <c r="F74" i="7" s="1"/>
  <c r="M54" i="4"/>
  <c r="N54" i="4" s="1"/>
  <c r="O57" i="6"/>
  <c r="P57" i="6" s="1"/>
  <c r="M54" i="6"/>
  <c r="N54" i="6" s="1"/>
  <c r="O64" i="14"/>
  <c r="P64" i="14" s="1"/>
  <c r="O60" i="14"/>
  <c r="P60" i="14" s="1"/>
  <c r="L53" i="14"/>
  <c r="G45" i="13"/>
  <c r="H45" i="13" s="1"/>
  <c r="I71" i="10"/>
  <c r="J71" i="10" s="1"/>
  <c r="Q62" i="11"/>
  <c r="R62" i="11" s="1"/>
  <c r="L55" i="11"/>
  <c r="I44" i="8"/>
  <c r="J44" i="8" s="1"/>
  <c r="G71" i="7"/>
  <c r="H71" i="7" s="1"/>
  <c r="M53" i="10"/>
  <c r="N53" i="10" s="1"/>
  <c r="L61" i="4"/>
  <c r="M60" i="5"/>
  <c r="N60" i="5" s="1"/>
  <c r="J50" i="4"/>
  <c r="M55" i="3"/>
  <c r="N55" i="3" s="1"/>
  <c r="K56" i="6"/>
  <c r="L56" i="6" s="1"/>
  <c r="O54" i="6"/>
  <c r="P54" i="6" s="1"/>
  <c r="L64" i="10"/>
  <c r="O62" i="13"/>
  <c r="P62" i="13" s="1"/>
  <c r="G71" i="10"/>
  <c r="H71" i="10" s="1"/>
  <c r="K71" i="10"/>
  <c r="L71" i="10" s="1"/>
  <c r="I71" i="8"/>
  <c r="J71" i="8" s="1"/>
  <c r="K71" i="7"/>
  <c r="L71" i="7" s="1"/>
  <c r="I45" i="7"/>
  <c r="J45" i="7" s="1"/>
  <c r="M53" i="3"/>
  <c r="N53" i="3" s="1"/>
  <c r="M56" i="6"/>
  <c r="N56" i="6" s="1"/>
  <c r="L62" i="14"/>
  <c r="K43" i="13"/>
  <c r="L43" i="13" s="1"/>
  <c r="G71" i="11"/>
  <c r="H71" i="11" s="1"/>
  <c r="E74" i="11"/>
  <c r="E45" i="11" s="1"/>
  <c r="O53" i="11"/>
  <c r="P53" i="11" s="1"/>
  <c r="F44" i="11"/>
  <c r="G44" i="11"/>
  <c r="H44" i="11" s="1"/>
  <c r="K44" i="11"/>
  <c r="L44" i="11" s="1"/>
  <c r="I44" i="11"/>
  <c r="J44" i="11" s="1"/>
  <c r="O62" i="11"/>
  <c r="P62" i="11" s="1"/>
  <c r="O64" i="11"/>
  <c r="P64" i="11" s="1"/>
  <c r="O60" i="11"/>
  <c r="P60" i="11" s="1"/>
  <c r="M57" i="10"/>
  <c r="N57" i="10" s="1"/>
  <c r="M64" i="10"/>
  <c r="N64" i="10" s="1"/>
  <c r="Q58" i="10"/>
  <c r="R58" i="10" s="1"/>
  <c r="O55" i="10"/>
  <c r="P55" i="10" s="1"/>
  <c r="O56" i="10"/>
  <c r="P56" i="10" s="1"/>
  <c r="M59" i="10"/>
  <c r="N59" i="10" s="1"/>
  <c r="L57" i="10"/>
  <c r="Q53" i="10"/>
  <c r="R53" i="10" s="1"/>
  <c r="O59" i="10"/>
  <c r="P59" i="10" s="1"/>
  <c r="Q57" i="10"/>
  <c r="R57" i="10" s="1"/>
  <c r="L53" i="10"/>
  <c r="I43" i="11"/>
  <c r="J43" i="11" s="1"/>
  <c r="O57" i="11"/>
  <c r="P57" i="11" s="1"/>
  <c r="G43" i="11"/>
  <c r="H43" i="11" s="1"/>
  <c r="O59" i="11"/>
  <c r="P59" i="11" s="1"/>
  <c r="O55" i="11"/>
  <c r="P55" i="11" s="1"/>
  <c r="K43" i="11"/>
  <c r="L43" i="11" s="1"/>
  <c r="O58" i="11"/>
  <c r="P58" i="11" s="1"/>
  <c r="O56" i="11"/>
  <c r="P56" i="11" s="1"/>
  <c r="O54" i="11"/>
  <c r="P54" i="11" s="1"/>
  <c r="O52" i="11"/>
  <c r="P52" i="11" s="1"/>
  <c r="M58" i="11"/>
  <c r="N58" i="11" s="1"/>
  <c r="Q58" i="11"/>
  <c r="R58" i="11" s="1"/>
  <c r="M56" i="11"/>
  <c r="N56" i="11" s="1"/>
  <c r="Q56" i="11"/>
  <c r="R56" i="11" s="1"/>
  <c r="M54" i="11"/>
  <c r="N54" i="11" s="1"/>
  <c r="Q54" i="11"/>
  <c r="R54" i="11" s="1"/>
  <c r="M52" i="11"/>
  <c r="N52" i="11" s="1"/>
  <c r="Q52" i="11"/>
  <c r="R52" i="11" s="1"/>
  <c r="M59" i="11"/>
  <c r="N59" i="11" s="1"/>
  <c r="Q59" i="11"/>
  <c r="R59" i="11" s="1"/>
  <c r="M57" i="11"/>
  <c r="N57" i="11" s="1"/>
  <c r="Q57" i="11"/>
  <c r="R57" i="11" s="1"/>
  <c r="M55" i="11"/>
  <c r="N55" i="11" s="1"/>
  <c r="Q55" i="11"/>
  <c r="R55" i="11" s="1"/>
  <c r="M53" i="11"/>
  <c r="N53" i="11" s="1"/>
  <c r="Q53" i="11"/>
  <c r="R53" i="11" s="1"/>
  <c r="O64" i="10"/>
  <c r="P64" i="10" s="1"/>
  <c r="O58" i="10"/>
  <c r="P58" i="10" s="1"/>
  <c r="M56" i="10"/>
  <c r="N56" i="10" s="1"/>
  <c r="I44" i="10"/>
  <c r="J44" i="10" s="1"/>
  <c r="F43" i="10"/>
  <c r="K43" i="10"/>
  <c r="L43" i="10" s="1"/>
  <c r="G43" i="10"/>
  <c r="H43" i="10" s="1"/>
  <c r="I74" i="14"/>
  <c r="J74" i="14" s="1"/>
  <c r="J69" i="14"/>
  <c r="K74" i="14"/>
  <c r="L74" i="14" s="1"/>
  <c r="G74" i="14"/>
  <c r="H74" i="14" s="1"/>
  <c r="G65" i="14"/>
  <c r="Q51" i="14"/>
  <c r="M51" i="14"/>
  <c r="O51" i="14"/>
  <c r="L42" i="14"/>
  <c r="I45" i="13"/>
  <c r="J45" i="13" s="1"/>
  <c r="L70" i="12"/>
  <c r="G75" i="12"/>
  <c r="H75" i="12" s="1"/>
  <c r="H70" i="12"/>
  <c r="K65" i="13"/>
  <c r="L51" i="13"/>
  <c r="K45" i="13"/>
  <c r="L45" i="13" s="1"/>
  <c r="F71" i="13"/>
  <c r="I71" i="13"/>
  <c r="J71" i="13" s="1"/>
  <c r="K71" i="13"/>
  <c r="G71" i="13"/>
  <c r="K66" i="12"/>
  <c r="L52" i="12"/>
  <c r="G66" i="12"/>
  <c r="O52" i="12"/>
  <c r="Q52" i="12"/>
  <c r="M52" i="12"/>
  <c r="I74" i="11"/>
  <c r="J74" i="11" s="1"/>
  <c r="J69" i="11"/>
  <c r="L69" i="10"/>
  <c r="H69" i="10"/>
  <c r="G74" i="9"/>
  <c r="H74" i="9" s="1"/>
  <c r="H69" i="9"/>
  <c r="K74" i="9"/>
  <c r="L74" i="9" s="1"/>
  <c r="L69" i="9"/>
  <c r="F65" i="9"/>
  <c r="O51" i="9"/>
  <c r="M51" i="9"/>
  <c r="K51" i="9"/>
  <c r="K65" i="11"/>
  <c r="L51" i="11"/>
  <c r="F42" i="10"/>
  <c r="G44" i="10"/>
  <c r="H44" i="10" s="1"/>
  <c r="K44" i="10"/>
  <c r="L44" i="10" s="1"/>
  <c r="G42" i="10"/>
  <c r="K42" i="10"/>
  <c r="F74" i="9"/>
  <c r="L69" i="8"/>
  <c r="H69" i="8"/>
  <c r="K44" i="8"/>
  <c r="L44" i="8" s="1"/>
  <c r="G44" i="8"/>
  <c r="H44" i="8" s="1"/>
  <c r="L69" i="7"/>
  <c r="H69" i="7"/>
  <c r="I65" i="9"/>
  <c r="J51" i="9"/>
  <c r="E74" i="8"/>
  <c r="F74" i="8" s="1"/>
  <c r="K45" i="8"/>
  <c r="L45" i="8" s="1"/>
  <c r="I45" i="8"/>
  <c r="J45" i="8" s="1"/>
  <c r="G45" i="8"/>
  <c r="H45" i="8" s="1"/>
  <c r="F45" i="8"/>
  <c r="K43" i="8"/>
  <c r="I43" i="8"/>
  <c r="G43" i="8"/>
  <c r="E46" i="8"/>
  <c r="F46" i="8" s="1"/>
  <c r="F43" i="8"/>
  <c r="K44" i="7"/>
  <c r="L44" i="7" s="1"/>
  <c r="I44" i="7"/>
  <c r="J44" i="7" s="1"/>
  <c r="G44" i="7"/>
  <c r="H44" i="7" s="1"/>
  <c r="F44" i="7"/>
  <c r="J69" i="6"/>
  <c r="F65" i="6"/>
  <c r="O51" i="6"/>
  <c r="M51" i="6"/>
  <c r="K51" i="6"/>
  <c r="F61" i="4"/>
  <c r="M49" i="4"/>
  <c r="K71" i="8"/>
  <c r="L71" i="8" s="1"/>
  <c r="L43" i="7"/>
  <c r="H43" i="7"/>
  <c r="L43" i="6"/>
  <c r="G46" i="6"/>
  <c r="H46" i="6" s="1"/>
  <c r="H43" i="6"/>
  <c r="E44" i="5"/>
  <c r="F44" i="5" s="1"/>
  <c r="F41" i="5"/>
  <c r="E44" i="4"/>
  <c r="F44" i="4" s="1"/>
  <c r="F41" i="4"/>
  <c r="E44" i="3"/>
  <c r="F44" i="3" s="1"/>
  <c r="F41" i="3"/>
  <c r="M52" i="7"/>
  <c r="N52" i="7" s="1"/>
  <c r="I65" i="7"/>
  <c r="J51" i="7"/>
  <c r="K45" i="6"/>
  <c r="L45" i="6" s="1"/>
  <c r="K71" i="6"/>
  <c r="L71" i="6" s="1"/>
  <c r="I71" i="6"/>
  <c r="J71" i="6" s="1"/>
  <c r="G71" i="6"/>
  <c r="H71" i="6" s="1"/>
  <c r="F71" i="6"/>
  <c r="E46" i="6"/>
  <c r="F46" i="6" s="1"/>
  <c r="F43" i="6"/>
  <c r="J49" i="4"/>
  <c r="I61" i="4"/>
  <c r="K64" i="6"/>
  <c r="L64" i="6" s="1"/>
  <c r="O64" i="6"/>
  <c r="P64" i="6" s="1"/>
  <c r="M63" i="6"/>
  <c r="N63" i="6" s="1"/>
  <c r="K62" i="6"/>
  <c r="L62" i="6" s="1"/>
  <c r="O62" i="6"/>
  <c r="P62" i="6" s="1"/>
  <c r="M61" i="6"/>
  <c r="N61" i="6" s="1"/>
  <c r="G43" i="5"/>
  <c r="H43" i="5" s="1"/>
  <c r="G67" i="5"/>
  <c r="H67" i="5" s="1"/>
  <c r="F67" i="5"/>
  <c r="M56" i="4"/>
  <c r="N56" i="4" s="1"/>
  <c r="J49" i="3"/>
  <c r="I61" i="3"/>
  <c r="M57" i="3"/>
  <c r="N57" i="3" s="1"/>
  <c r="M52" i="3"/>
  <c r="N52" i="3" s="1"/>
  <c r="F74" i="14"/>
  <c r="K65" i="14"/>
  <c r="L51" i="14"/>
  <c r="F45" i="14"/>
  <c r="K45" i="14"/>
  <c r="L45" i="14" s="1"/>
  <c r="G45" i="14"/>
  <c r="H45" i="14" s="1"/>
  <c r="I45" i="14"/>
  <c r="J45" i="14" s="1"/>
  <c r="J42" i="14"/>
  <c r="J69" i="13"/>
  <c r="F74" i="13"/>
  <c r="G65" i="13"/>
  <c r="Q51" i="13"/>
  <c r="O51" i="13"/>
  <c r="M51" i="13"/>
  <c r="I75" i="12"/>
  <c r="J75" i="12" s="1"/>
  <c r="J70" i="12"/>
  <c r="E46" i="13"/>
  <c r="F46" i="13" s="1"/>
  <c r="K42" i="13"/>
  <c r="I42" i="13"/>
  <c r="G42" i="13"/>
  <c r="F42" i="13"/>
  <c r="K74" i="11"/>
  <c r="L74" i="11" s="1"/>
  <c r="L69" i="11"/>
  <c r="H69" i="11"/>
  <c r="Q51" i="11"/>
  <c r="O51" i="11"/>
  <c r="M51" i="11"/>
  <c r="G65" i="11"/>
  <c r="J69" i="10"/>
  <c r="J69" i="9"/>
  <c r="I74" i="9"/>
  <c r="J74" i="9" s="1"/>
  <c r="K44" i="9"/>
  <c r="L44" i="9" s="1"/>
  <c r="I44" i="9"/>
  <c r="J44" i="9" s="1"/>
  <c r="G44" i="9"/>
  <c r="H44" i="9" s="1"/>
  <c r="F44" i="9"/>
  <c r="K42" i="11"/>
  <c r="I42" i="11"/>
  <c r="G42" i="11"/>
  <c r="F42" i="11"/>
  <c r="K65" i="10"/>
  <c r="L51" i="10"/>
  <c r="G65" i="10"/>
  <c r="Q51" i="10"/>
  <c r="O51" i="10"/>
  <c r="M51" i="10"/>
  <c r="I42" i="10"/>
  <c r="L43" i="9"/>
  <c r="H43" i="9"/>
  <c r="J69" i="8"/>
  <c r="O51" i="8"/>
  <c r="M51" i="8"/>
  <c r="K51" i="8"/>
  <c r="F65" i="8"/>
  <c r="J69" i="7"/>
  <c r="F65" i="7"/>
  <c r="O51" i="7"/>
  <c r="K51" i="7"/>
  <c r="M51" i="7"/>
  <c r="E46" i="9"/>
  <c r="F46" i="9" s="1"/>
  <c r="F43" i="9"/>
  <c r="I65" i="8"/>
  <c r="J51" i="8"/>
  <c r="G74" i="6"/>
  <c r="H74" i="6" s="1"/>
  <c r="H69" i="6"/>
  <c r="F61" i="5"/>
  <c r="M49" i="5"/>
  <c r="F61" i="3"/>
  <c r="M49" i="3"/>
  <c r="K45" i="9"/>
  <c r="L45" i="9" s="1"/>
  <c r="O53" i="7"/>
  <c r="P53" i="7" s="1"/>
  <c r="K53" i="7"/>
  <c r="L53" i="7" s="1"/>
  <c r="M53" i="7"/>
  <c r="N53" i="7" s="1"/>
  <c r="J43" i="7"/>
  <c r="I46" i="6"/>
  <c r="J46" i="6" s="1"/>
  <c r="J43" i="6"/>
  <c r="K61" i="5"/>
  <c r="H41" i="5"/>
  <c r="K61" i="4"/>
  <c r="H41" i="4"/>
  <c r="K61" i="3"/>
  <c r="H41" i="3"/>
  <c r="K52" i="7"/>
  <c r="L52" i="7" s="1"/>
  <c r="O52" i="7"/>
  <c r="P52" i="7" s="1"/>
  <c r="E46" i="7"/>
  <c r="F46" i="7" s="1"/>
  <c r="F43" i="7"/>
  <c r="J51" i="6"/>
  <c r="I65" i="6"/>
  <c r="G67" i="4"/>
  <c r="H67" i="4" s="1"/>
  <c r="F67" i="4"/>
  <c r="K45" i="7"/>
  <c r="L45" i="7" s="1"/>
  <c r="M64" i="6"/>
  <c r="N64" i="6" s="1"/>
  <c r="K63" i="6"/>
  <c r="L63" i="6" s="1"/>
  <c r="O63" i="6"/>
  <c r="P63" i="6" s="1"/>
  <c r="M62" i="6"/>
  <c r="N62" i="6" s="1"/>
  <c r="K61" i="6"/>
  <c r="L61" i="6" s="1"/>
  <c r="O61" i="6"/>
  <c r="P61" i="6" s="1"/>
  <c r="J49" i="5"/>
  <c r="I61" i="5"/>
  <c r="M60" i="4"/>
  <c r="N60" i="4" s="1"/>
  <c r="M52" i="4"/>
  <c r="N52" i="4" s="1"/>
  <c r="G43" i="3"/>
  <c r="H43" i="3" s="1"/>
  <c r="G67" i="3"/>
  <c r="H67" i="3" s="1"/>
  <c r="F67" i="3"/>
  <c r="M54" i="3"/>
  <c r="N54" i="3" s="1"/>
  <c r="I74" i="7" l="1"/>
  <c r="J74" i="7" s="1"/>
  <c r="F46" i="12"/>
  <c r="F75" i="12"/>
  <c r="G74" i="7"/>
  <c r="H74" i="7" s="1"/>
  <c r="I46" i="7"/>
  <c r="J46" i="7" s="1"/>
  <c r="G74" i="8"/>
  <c r="H74" i="8" s="1"/>
  <c r="E45" i="10"/>
  <c r="I74" i="13"/>
  <c r="J74" i="13" s="1"/>
  <c r="K74" i="6"/>
  <c r="L74" i="6" s="1"/>
  <c r="I74" i="8"/>
  <c r="J74" i="8" s="1"/>
  <c r="L65" i="14"/>
  <c r="J61" i="4"/>
  <c r="I46" i="14"/>
  <c r="J46" i="14" s="1"/>
  <c r="K74" i="7"/>
  <c r="L74" i="7" s="1"/>
  <c r="G74" i="10"/>
  <c r="H74" i="10" s="1"/>
  <c r="K74" i="10"/>
  <c r="L74" i="10" s="1"/>
  <c r="G44" i="4"/>
  <c r="H44" i="4" s="1"/>
  <c r="J61" i="5"/>
  <c r="K46" i="12"/>
  <c r="I46" i="12"/>
  <c r="G46" i="12"/>
  <c r="F74" i="10"/>
  <c r="F74" i="11"/>
  <c r="G74" i="11"/>
  <c r="H74" i="11" s="1"/>
  <c r="I74" i="10"/>
  <c r="J74" i="10" s="1"/>
  <c r="G46" i="7"/>
  <c r="H46" i="7" s="1"/>
  <c r="J65" i="9"/>
  <c r="G44" i="5"/>
  <c r="H44" i="5" s="1"/>
  <c r="J65" i="6"/>
  <c r="K46" i="6"/>
  <c r="L46" i="6" s="1"/>
  <c r="K75" i="12"/>
  <c r="L75" i="12" s="1"/>
  <c r="G44" i="3"/>
  <c r="H44" i="3" s="1"/>
  <c r="N49" i="3"/>
  <c r="M61" i="3"/>
  <c r="N61" i="3" s="1"/>
  <c r="N49" i="5"/>
  <c r="M61" i="5"/>
  <c r="N61" i="5" s="1"/>
  <c r="M65" i="7"/>
  <c r="N65" i="7" s="1"/>
  <c r="N51" i="7"/>
  <c r="O65" i="7"/>
  <c r="P65" i="7" s="1"/>
  <c r="P51" i="7"/>
  <c r="M65" i="8"/>
  <c r="N65" i="8" s="1"/>
  <c r="N51" i="8"/>
  <c r="J42" i="10"/>
  <c r="O65" i="10"/>
  <c r="P65" i="10" s="1"/>
  <c r="P51" i="10"/>
  <c r="L65" i="10"/>
  <c r="H42" i="11"/>
  <c r="L42" i="11"/>
  <c r="O65" i="11"/>
  <c r="P65" i="11" s="1"/>
  <c r="P51" i="11"/>
  <c r="G46" i="13"/>
  <c r="H46" i="13" s="1"/>
  <c r="H42" i="13"/>
  <c r="K46" i="13"/>
  <c r="L46" i="13" s="1"/>
  <c r="L42" i="13"/>
  <c r="M65" i="13"/>
  <c r="N65" i="13" s="1"/>
  <c r="N51" i="13"/>
  <c r="Q65" i="13"/>
  <c r="R65" i="13" s="1"/>
  <c r="R51" i="13"/>
  <c r="J61" i="3"/>
  <c r="G70" i="5"/>
  <c r="H70" i="5" s="1"/>
  <c r="K46" i="7"/>
  <c r="L46" i="7" s="1"/>
  <c r="N51" i="6"/>
  <c r="M65" i="6"/>
  <c r="N65" i="6" s="1"/>
  <c r="I74" i="6"/>
  <c r="J74" i="6" s="1"/>
  <c r="I46" i="8"/>
  <c r="J46" i="8" s="1"/>
  <c r="J43" i="8"/>
  <c r="K74" i="8"/>
  <c r="L74" i="8" s="1"/>
  <c r="I46" i="9"/>
  <c r="J46" i="9" s="1"/>
  <c r="L42" i="10"/>
  <c r="L65" i="11"/>
  <c r="M65" i="9"/>
  <c r="N65" i="9" s="1"/>
  <c r="N51" i="9"/>
  <c r="M66" i="12"/>
  <c r="N66" i="12" s="1"/>
  <c r="N52" i="12"/>
  <c r="O66" i="12"/>
  <c r="P66" i="12" s="1"/>
  <c r="P52" i="12"/>
  <c r="H71" i="13"/>
  <c r="G74" i="13"/>
  <c r="H74" i="13" s="1"/>
  <c r="L65" i="13"/>
  <c r="O65" i="14"/>
  <c r="P65" i="14" s="1"/>
  <c r="P51" i="14"/>
  <c r="Q65" i="14"/>
  <c r="R65" i="14" s="1"/>
  <c r="R51" i="14"/>
  <c r="G70" i="3"/>
  <c r="H70" i="3" s="1"/>
  <c r="G70" i="4"/>
  <c r="H70" i="4" s="1"/>
  <c r="J65" i="8"/>
  <c r="K65" i="7"/>
  <c r="L65" i="7" s="1"/>
  <c r="L51" i="7"/>
  <c r="K65" i="8"/>
  <c r="L65" i="8" s="1"/>
  <c r="L51" i="8"/>
  <c r="O65" i="8"/>
  <c r="P65" i="8" s="1"/>
  <c r="P51" i="8"/>
  <c r="G46" i="9"/>
  <c r="H46" i="9" s="1"/>
  <c r="K46" i="9"/>
  <c r="L46" i="9" s="1"/>
  <c r="M65" i="10"/>
  <c r="N65" i="10" s="1"/>
  <c r="N51" i="10"/>
  <c r="Q65" i="10"/>
  <c r="R65" i="10" s="1"/>
  <c r="R51" i="10"/>
  <c r="J42" i="11"/>
  <c r="M65" i="11"/>
  <c r="N65" i="11" s="1"/>
  <c r="N51" i="11"/>
  <c r="Q65" i="11"/>
  <c r="R65" i="11" s="1"/>
  <c r="R51" i="11"/>
  <c r="I46" i="13"/>
  <c r="J46" i="13" s="1"/>
  <c r="J42" i="13"/>
  <c r="O65" i="13"/>
  <c r="P65" i="13" s="1"/>
  <c r="P51" i="13"/>
  <c r="J65" i="7"/>
  <c r="N49" i="4"/>
  <c r="M61" i="4"/>
  <c r="N61" i="4" s="1"/>
  <c r="L51" i="6"/>
  <c r="K65" i="6"/>
  <c r="L65" i="6" s="1"/>
  <c r="P51" i="6"/>
  <c r="O65" i="6"/>
  <c r="P65" i="6" s="1"/>
  <c r="G46" i="8"/>
  <c r="H46" i="8" s="1"/>
  <c r="H43" i="8"/>
  <c r="K46" i="8"/>
  <c r="L46" i="8" s="1"/>
  <c r="L43" i="8"/>
  <c r="H42" i="10"/>
  <c r="L51" i="9"/>
  <c r="K65" i="9"/>
  <c r="L65" i="9" s="1"/>
  <c r="P51" i="9"/>
  <c r="O65" i="9"/>
  <c r="P65" i="9" s="1"/>
  <c r="Q66" i="12"/>
  <c r="R66" i="12" s="1"/>
  <c r="R52" i="12"/>
  <c r="L66" i="12"/>
  <c r="L71" i="13"/>
  <c r="K74" i="13"/>
  <c r="L74" i="13" s="1"/>
  <c r="K46" i="14"/>
  <c r="L46" i="14" s="1"/>
  <c r="G46" i="14"/>
  <c r="H46" i="14" s="1"/>
  <c r="M65" i="14"/>
  <c r="N65" i="14" s="1"/>
  <c r="N51" i="14"/>
  <c r="K45" i="10" l="1"/>
  <c r="G45" i="10"/>
  <c r="I45" i="10"/>
  <c r="E46" i="10"/>
  <c r="F46" i="10" s="1"/>
  <c r="F45" i="10"/>
  <c r="H46" i="12"/>
  <c r="G47" i="12"/>
  <c r="H47" i="12" s="1"/>
  <c r="J46" i="12"/>
  <c r="I47" i="12"/>
  <c r="J47" i="12" s="1"/>
  <c r="L46" i="12"/>
  <c r="K47" i="12"/>
  <c r="L47" i="12" s="1"/>
  <c r="G45" i="11"/>
  <c r="F45" i="11"/>
  <c r="K45" i="11"/>
  <c r="I45" i="11"/>
  <c r="E46" i="11"/>
  <c r="F46" i="11" s="1"/>
  <c r="J45" i="10" l="1"/>
  <c r="I46" i="10"/>
  <c r="J46" i="10" s="1"/>
  <c r="H45" i="10"/>
  <c r="G46" i="10"/>
  <c r="H46" i="10" s="1"/>
  <c r="L45" i="10"/>
  <c r="K46" i="10"/>
  <c r="L46" i="10" s="1"/>
  <c r="J45" i="11"/>
  <c r="I46" i="11"/>
  <c r="J46" i="11" s="1"/>
  <c r="L45" i="11"/>
  <c r="K46" i="11"/>
  <c r="L46" i="11" s="1"/>
  <c r="H45" i="11"/>
  <c r="G46" i="11"/>
  <c r="H46" i="11" s="1"/>
</calcChain>
</file>

<file path=xl/comments1.xml><?xml version="1.0" encoding="utf-8"?>
<comments xmlns="http://schemas.openxmlformats.org/spreadsheetml/2006/main">
  <authors>
    <author>Microsoft Office User</author>
  </authors>
  <commentList>
    <comment ref="H41" authorId="0" shapeId="0">
      <text>
        <r>
          <rPr>
            <b/>
            <sz val="10"/>
            <color rgb="FF000000"/>
            <rFont val="Tahoma"/>
            <family val="2"/>
          </rPr>
          <t>Dropdown 1 — pilih % target.</t>
        </r>
      </text>
    </comment>
    <comment ref="J4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Dropdown 2 — pilih % target pembanding.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</authors>
  <commentList>
    <comment ref="C3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HARI TERSISA = hari kerja (Senin-Sabtu) dari hari ini s/d akhir bulan, dikurangi sisa hari libur (J3 - J4). Jika J5 diisi, angka J5 yang dipakai. Semua nilai PER HARI di sheet ini dibagi dengan sel ini.</t>
        </r>
      </text>
    </comment>
    <comment ref="J3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Isi jumlah total hari libur / tanggal merah / off pada bulan ini.</t>
        </r>
      </text>
    </comment>
    <comment ref="J4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Isi berapa dari hari libur tersebut yang sudah terlewat. Sisanya (J3-J4) dipotong dari HARI TERSISA.</t>
        </r>
      </text>
    </comment>
    <comment ref="J5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Opsional. Isi angka untuk mengunci HARI TERSISA secara manual. Kosongkan agar otomatis.</t>
        </r>
      </text>
    </comment>
  </commentList>
</comments>
</file>

<file path=xl/sharedStrings.xml><?xml version="1.0" encoding="utf-8"?>
<sst xmlns="http://schemas.openxmlformats.org/spreadsheetml/2006/main" count="2130" uniqueCount="231">
  <si>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</si>
  <si>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</si>
  <si>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</si>
  <si>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</si>
  <si>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</si>
  <si>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</si>
  <si>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</si>
  <si>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</si>
  <si>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</si>
  <si>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</si>
  <si>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</si>
  <si>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</si>
  <si>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</si>
  <si>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</si>
  <si>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</si>
  <si>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</si>
  <si>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</si>
  <si>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</si>
  <si>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</si>
  <si>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</si>
  <si>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</si>
  <si>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</si>
  <si>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</si>
  <si>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</si>
  <si>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</si>
  <si>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</si>
  <si>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</si>
  <si>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</si>
  <si>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</si>
  <si>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</si>
  <si>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</si>
  <si>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</si>
  <si>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</si>
  <si>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</si>
  <si>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</si>
  <si>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</si>
  <si>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</si>
  <si>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</si>
  <si>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</si>
  <si>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</si>
  <si>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</si>
  <si>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</si>
  <si>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</si>
  <si>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</si>
  <si>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</si>
  <si>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</si>
  <si>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</si>
  <si>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</si>
  <si>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</si>
  <si>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</si>
  <si>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</si>
  <si>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</si>
  <si>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</si>
  <si>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</si>
  <si>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</si>
  <si>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</si>
  <si>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</si>
  <si>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</si>
  <si>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</si>
  <si>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</si>
  <si>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</si>
  <si>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</si>
  <si>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</si>
  <si>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</si>
  <si>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</si>
  <si>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</si>
  <si>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</si>
  <si>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</si>
  <si>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</si>
  <si>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</si>
  <si>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</si>
  <si>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</si>
  <si>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</si>
  <si>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</si>
  <si>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</si>
  <si>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</si>
  <si>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</si>
  <si>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</si>
  <si>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</si>
  <si>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</si>
  <si>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</si>
  <si>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</si>
  <si>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</si>
  <si>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</si>
  <si>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</si>
  <si>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</si>
  <si>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</si>
  <si>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</si>
  <si>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</si>
  <si>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</si>
  <si>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</si>
  <si>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</si>
  <si>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</si>
  <si>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</si>
  <si>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</si>
  <si>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</si>
  <si>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</si>
  <si>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</si>
  <si>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</si>
  <si>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</si>
  <si>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</si>
  <si>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</si>
  <si>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</si>
  <si>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</si>
  <si>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</si>
  <si>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</si>
  <si>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</si>
  <si>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</si>
  <si>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</si>
  <si>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</si>
  <si>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</si>
  <si>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</si>
  <si>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</si>
  <si>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</si>
  <si>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</si>
  <si>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</si>
  <si>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</si>
  <si>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</si>
  <si>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</si>
  <si>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</si>
  <si>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</si>
  <si>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</si>
  <si>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</si>
  <si>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</si>
  <si>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</si>
  <si>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</si>
  <si>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</si>
  <si>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</si>
  <si>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</si>
  <si>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</si>
  <si>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</si>
  <si>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</si>
  <si>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</si>
  <si>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</si>
  <si>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</si>
  <si>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</si>
  <si>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</si>
  <si>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</si>
  <si>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</si>
  <si>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</si>
  <si>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</si>
  <si>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</si>
  <si>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</si>
  <si>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</si>
  <si>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</si>
  <si>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</si>
  <si>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</si>
  <si>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</si>
  <si>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</si>
  <si>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</si>
  <si>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</si>
  <si>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</si>
  <si>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</si>
  <si>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</si>
  <si>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</si>
  <si>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</si>
  <si>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</si>
  <si>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</si>
  <si>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</si>
  <si>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JULI 2026</t>
  </si>
  <si>
    <t>DATA PENCAPAIAN — AGUSTUS 2026</t>
  </si>
  <si>
    <t>DATA PENCAPAIAN — SEPTEMBER 2026</t>
  </si>
  <si>
    <t>DATA PENCAPAIAN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</si>
  <si>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</si>
  <si>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</si>
  <si>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</si>
  <si>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</si>
  <si>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</si>
  <si>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</si>
  <si>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</si>
  <si>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</si>
  <si>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</si>
  <si>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</si>
  <si>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</si>
  <si>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</si>
  <si>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</si>
  <si>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</si>
  <si>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</si>
  <si>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30 MEI 2026</t>
  </si>
  <si>
    <t>DATA PENCAPAIAN — GLOBAL — 30 JUNI 2026</t>
  </si>
  <si>
    <t>EKA FIB</t>
  </si>
  <si>
    <t>FIB</t>
  </si>
  <si>
    <t>Vacant Hotel Kuta Seminyak</t>
  </si>
  <si>
    <t>Vacant Hotel Seminyak Kuta</t>
  </si>
  <si>
    <t>PILIHAN % TARGET</t>
  </si>
  <si>
    <t>SELISIH (Target x % - Achievement)</t>
  </si>
  <si>
    <t>PILIH TARGET %</t>
  </si>
  <si>
    <t>PENUH</t>
  </si>
  <si>
    <t>DATA PENCAPAIAN — GLOBAL —  31 JULI 2026</t>
  </si>
  <si>
    <t>EKA/WAHYU</t>
  </si>
  <si>
    <t>⚙️ KALENDER KERJA — INPUT MANUAL</t>
  </si>
  <si>
    <t>Total hari kalender bulan ini (auto)</t>
  </si>
  <si>
    <t>Total hari LIBUR / OFF bulan ini</t>
  </si>
  <si>
    <t>Libur yang SUDAH lewat</t>
  </si>
  <si>
    <t>Override HARI TERSISA (kosong = auto)</t>
  </si>
  <si>
    <t>JAN BAKERY</t>
  </si>
  <si>
    <t>FEB BAKERY</t>
  </si>
  <si>
    <t>MAR BAKERY</t>
  </si>
  <si>
    <t>APR BAKERY</t>
  </si>
  <si>
    <t>MEI BAKERY</t>
  </si>
  <si>
    <t>JUN BAKERY</t>
  </si>
  <si>
    <t>JUL BAKERY</t>
  </si>
  <si>
    <t>AGU BAKERY</t>
  </si>
  <si>
    <t>SEP BAKERY</t>
  </si>
  <si>
    <t>OKT BAKERY</t>
  </si>
  <si>
    <t>NOV BAKERY</t>
  </si>
  <si>
    <t>DES BAKERY</t>
  </si>
  <si>
    <t>BAKERY</t>
  </si>
  <si>
    <t>BAK_ACHIV (calc)</t>
  </si>
  <si>
    <t>Bakery</t>
  </si>
  <si>
    <t>MKS - BAKERY</t>
  </si>
  <si>
    <t>Global Food kini dipisah: urutan paste = GLOBAL (Food), BEVERAGE, BAKERY, BALIAN, Grand Total. Sel kosong otomatis dihitung 0. Target Bakery diisi di sheet TARGETS (kolom '&lt;BULAN&gt; BAKERY').</t>
  </si>
  <si>
    <t>FOOD, BEVERAGES &amp; BAKERY</t>
  </si>
  <si>
    <t>Eka/Wahyu - FIB</t>
  </si>
  <si>
    <t>Eka/Wahyu - Kuta/Legian</t>
  </si>
  <si>
    <t>KEY 1 (Nama_Kry)</t>
  </si>
  <si>
    <t>KEY 2 (opsional)</t>
  </si>
  <si>
    <t>n/a</t>
  </si>
  <si>
    <t>DATA PENCAPAIAN — GLOBAL — 31 AGUSTUS 2026</t>
  </si>
  <si>
    <t>Wahyu</t>
  </si>
  <si>
    <t>WAHYU</t>
  </si>
  <si>
    <t>WAHYU FIB</t>
  </si>
  <si>
    <t>NP5_calc = baris kosong (C30) + NP5 raw (C35) + KA dari MKS (M7)</t>
  </si>
  <si>
    <t>NP3_final = NP3 raw (C33) + NP4 (C34) + NP5_calc (M20)</t>
  </si>
  <si>
    <t>Ronald</t>
  </si>
  <si>
    <t>RONALD</t>
  </si>
  <si>
    <t>DATA PENCAPAIAN — GLOBAL —  30 SEPTEMBER 2026</t>
  </si>
  <si>
    <t>YUANGGA</t>
  </si>
  <si>
    <t>Yuangga</t>
  </si>
  <si>
    <t>BALIAN ALL AREA</t>
  </si>
  <si>
    <t>DATA PENCAPAIAN — GLOBAL —  28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</si>
</sst>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5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  <font>
      <b/>
      <sz val="9"/>
      <color theme="1"/>
      <name val="Calibri"/>
      <family val="2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0"/>
      <color rgb="FFFFFFFF"/>
      <name val="Calibri"/>
      <family val="2"/>
      <scheme val="minor"/>
    </font>
    <font>
      <b/>
      <sz val="10"/>
      <color rgb="FFFFFFFF"/>
      <name val="Calibri"/>
      <family val="2"/>
      <charset val="1"/>
    </font>
    <font>
      <b/>
      <sz val="10"/>
      <color rgb="FFFFFFFF"/>
      <name val="Calibri"/>
      <family val="2"/>
      <charset val="1"/>
      <scheme val="minor"/>
    </font>
    <font>
      <b/>
      <sz val="10"/>
      <color rgb="FFFFFFFF"/>
      <name val="Calibri"/>
      <family val="2"/>
    </font>
    <font>
      <b/>
      <sz val="12"/>
      <color rgb="FF2F5496"/>
      <name val="Calibri"/>
      <family val="2"/>
      <scheme val="minor"/>
    </font>
    <font>
      <b/>
      <sz val="12"/>
      <color rgb="FFC55A11"/>
      <name val="Calibri"/>
      <family val="2"/>
    </font>
    <font>
      <b/>
      <sz val="12"/>
      <color rgb="FF375623"/>
      <name val="Calibri"/>
      <family val="2"/>
    </font>
    <font>
      <b/>
      <sz val="11"/>
      <color rgb="FF1F3864"/>
      <name val="Arial"/>
      <family val="2"/>
    </font>
    <font>
      <sz val="10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1"/>
    </font>
  </fonts>
  <fills count="39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9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5" fillId="0" borderId="0" xfId="0" applyFont="1"/>
    <xf numFmtId="41" fontId="36" fillId="15" borderId="1" xfId="0" applyNumberFormat="1" applyFont="1" applyFill="1" applyBorder="1" applyAlignment="1">
      <alignment horizontal="centerContinuous" vertical="center" wrapText="1"/>
    </xf>
    <xf numFmtId="0" fontId="36" fillId="22" borderId="1" xfId="0" applyFont="1" applyFill="1" applyBorder="1" applyAlignment="1">
      <alignment horizontal="center" vertical="center" wrapText="1"/>
    </xf>
    <xf numFmtId="41" fontId="36" fillId="22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center" vertical="center"/>
    </xf>
    <xf numFmtId="41" fontId="38" fillId="24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center" vertical="center"/>
    </xf>
    <xf numFmtId="41" fontId="38" fillId="30" borderId="1" xfId="0" applyNumberFormat="1" applyFont="1" applyFill="1" applyBorder="1" applyAlignment="1">
      <alignment horizontal="center" vertical="center"/>
    </xf>
    <xf numFmtId="41" fontId="33" fillId="26" borderId="1" xfId="0" applyNumberFormat="1" applyFont="1" applyFill="1" applyBorder="1" applyAlignment="1">
      <alignment horizontal="center" vertical="center"/>
    </xf>
    <xf numFmtId="41" fontId="33" fillId="26" borderId="1" xfId="0" applyNumberFormat="1" applyFont="1" applyFill="1" applyBorder="1" applyAlignment="1">
      <alignment horizontal="right" vertical="center"/>
    </xf>
    <xf numFmtId="0" fontId="38" fillId="12" borderId="1" xfId="0" applyFont="1" applyFill="1" applyBorder="1" applyAlignment="1">
      <alignment horizontal="left" vertical="center"/>
    </xf>
    <xf numFmtId="0" fontId="38" fillId="12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left" vertical="center"/>
    </xf>
    <xf numFmtId="0" fontId="38" fillId="10" borderId="1" xfId="0" applyFont="1" applyFill="1" applyBorder="1" applyAlignment="1">
      <alignment horizontal="left" vertical="center" wrapText="1"/>
    </xf>
    <xf numFmtId="0" fontId="38" fillId="29" borderId="1" xfId="0" applyFont="1" applyFill="1" applyBorder="1" applyAlignment="1">
      <alignment horizontal="left" vertical="center"/>
    </xf>
    <xf numFmtId="0" fontId="38" fillId="29" borderId="1" xfId="0" applyFont="1" applyFill="1" applyBorder="1" applyAlignment="1">
      <alignment horizontal="left" vertical="center" wrapText="1"/>
    </xf>
    <xf numFmtId="0" fontId="33" fillId="16" borderId="1" xfId="0" applyFont="1" applyFill="1" applyBorder="1" applyAlignment="1">
      <alignment horizontal="centerContinuous" vertical="center" wrapText="1"/>
    </xf>
    <xf numFmtId="0" fontId="40" fillId="16" borderId="1" xfId="0" applyFont="1" applyFill="1" applyBorder="1" applyAlignment="1">
      <alignment horizontal="centerContinuous"/>
    </xf>
    <xf numFmtId="41" fontId="38" fillId="27" borderId="1" xfId="0" applyNumberFormat="1" applyFont="1" applyFill="1" applyBorder="1" applyAlignment="1">
      <alignment horizontal="center" vertical="center"/>
    </xf>
    <xf numFmtId="41" fontId="38" fillId="28" borderId="1" xfId="0" applyNumberFormat="1" applyFont="1" applyFill="1" applyBorder="1" applyAlignment="1">
      <alignment horizontal="center" vertical="center"/>
    </xf>
    <xf numFmtId="41" fontId="33" fillId="16" borderId="1" xfId="0" applyNumberFormat="1" applyFont="1" applyFill="1" applyBorder="1" applyAlignment="1">
      <alignment horizontal="center" vertical="center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0" fontId="41" fillId="12" borderId="1" xfId="0" applyFont="1" applyFill="1" applyBorder="1" applyAlignment="1">
      <alignment horizontal="left" vertical="center" wrapText="1"/>
    </xf>
    <xf numFmtId="41" fontId="33" fillId="16" borderId="1" xfId="0" applyNumberFormat="1" applyFont="1" applyFill="1" applyBorder="1" applyAlignment="1">
      <alignment horizontal="right" vertical="center"/>
    </xf>
    <xf numFmtId="0" fontId="38" fillId="31" borderId="1" xfId="0" applyFont="1" applyFill="1" applyBorder="1" applyAlignment="1">
      <alignment horizontal="left" vertical="center"/>
    </xf>
    <xf numFmtId="0" fontId="38" fillId="31" borderId="1" xfId="0" applyFont="1" applyFill="1" applyBorder="1" applyAlignment="1">
      <alignment horizontal="left" vertical="center" wrapText="1"/>
    </xf>
    <xf numFmtId="41" fontId="38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42" fillId="0" borderId="0" xfId="0" applyFont="1"/>
    <xf numFmtId="9" fontId="0" fillId="0" borderId="0" xfId="0" applyNumberFormat="1" applyAlignment="1">
      <alignment horizontal="center"/>
    </xf>
    <xf numFmtId="9" fontId="24" fillId="14" borderId="2" xfId="1" applyFont="1" applyFill="1" applyBorder="1" applyAlignment="1">
      <alignment horizontal="center" vertical="center" wrapText="1"/>
    </xf>
    <xf numFmtId="0" fontId="29" fillId="25" borderId="2" xfId="0" applyFont="1" applyFill="1" applyBorder="1" applyAlignment="1">
      <alignment horizontal="center" vertical="center" wrapText="1"/>
    </xf>
    <xf numFmtId="9" fontId="25" fillId="21" borderId="2" xfId="0" applyNumberFormat="1" applyFont="1" applyFill="1" applyBorder="1" applyAlignment="1">
      <alignment horizontal="center" vertical="center" wrapText="1"/>
    </xf>
    <xf numFmtId="9" fontId="22" fillId="16" borderId="2" xfId="0" applyNumberFormat="1" applyFont="1" applyFill="1" applyBorder="1" applyAlignment="1">
      <alignment horizontal="center" vertical="center" wrapText="1"/>
    </xf>
    <xf numFmtId="0" fontId="45" fillId="0" borderId="0" xfId="0" applyFont="1"/>
    <xf numFmtId="41" fontId="47" fillId="35" borderId="4" xfId="0" applyNumberFormat="1" applyFont="1" applyFill="1" applyBorder="1" applyAlignment="1">
      <alignment horizontal="center" vertical="center" wrapText="1"/>
    </xf>
    <xf numFmtId="41" fontId="26" fillId="36" borderId="4" xfId="0" applyNumberFormat="1" applyFont="1" applyFill="1" applyBorder="1" applyAlignment="1">
      <alignment horizontal="right" vertical="center"/>
    </xf>
    <xf numFmtId="41" fontId="22" fillId="26" borderId="4" xfId="0" applyNumberFormat="1" applyFont="1" applyFill="1" applyBorder="1" applyAlignment="1">
      <alignment horizontal="right" vertical="center"/>
    </xf>
    <xf numFmtId="41" fontId="47" fillId="33" borderId="4" xfId="0" applyNumberFormat="1" applyFont="1" applyFill="1" applyBorder="1" applyAlignment="1">
      <alignment horizontal="center" vertical="center" wrapText="1"/>
    </xf>
    <xf numFmtId="0" fontId="48" fillId="37" borderId="4" xfId="0" applyFont="1" applyFill="1" applyBorder="1" applyAlignment="1">
      <alignment horizontal="center" vertical="center" wrapText="1"/>
    </xf>
    <xf numFmtId="41" fontId="26" fillId="34" borderId="4" xfId="0" applyNumberFormat="1" applyFont="1" applyFill="1" applyBorder="1" applyAlignment="1">
      <alignment horizontal="right" vertical="center"/>
    </xf>
    <xf numFmtId="41" fontId="0" fillId="32" borderId="4" xfId="0" applyNumberFormat="1" applyFill="1" applyBorder="1" applyAlignment="1">
      <alignment horizontal="right"/>
    </xf>
    <xf numFmtId="41" fontId="45" fillId="26" borderId="4" xfId="0" applyNumberFormat="1" applyFont="1" applyFill="1" applyBorder="1" applyAlignment="1">
      <alignment horizontal="right"/>
    </xf>
    <xf numFmtId="9" fontId="25" fillId="24" borderId="2" xfId="0" applyNumberFormat="1" applyFont="1" applyFill="1" applyBorder="1" applyAlignment="1">
      <alignment horizontal="center" vertical="center" wrapText="1"/>
    </xf>
    <xf numFmtId="0" fontId="49" fillId="35" borderId="4" xfId="0" applyFont="1" applyFill="1" applyBorder="1" applyAlignment="1">
      <alignment horizontal="center" vertical="center" wrapText="1"/>
    </xf>
    <xf numFmtId="9" fontId="22" fillId="26" borderId="2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47" fillId="33" borderId="4" xfId="0" applyNumberFormat="1" applyFont="1" applyFill="1" applyBorder="1" applyAlignment="1">
      <alignment horizontal="center" vertical="center" wrapText="1"/>
    </xf>
    <xf numFmtId="49" fontId="47" fillId="35" borderId="4" xfId="0" applyNumberFormat="1" applyFont="1" applyFill="1" applyBorder="1" applyAlignment="1">
      <alignment horizontal="center" vertical="center" wrapText="1"/>
    </xf>
    <xf numFmtId="49" fontId="50" fillId="37" borderId="4" xfId="0" applyNumberFormat="1" applyFont="1" applyFill="1" applyBorder="1" applyAlignment="1">
      <alignment horizontal="center" vertical="center" wrapText="1"/>
    </xf>
    <xf numFmtId="41" fontId="26" fillId="34" borderId="13" xfId="0" applyNumberFormat="1" applyFont="1" applyFill="1" applyBorder="1" applyAlignment="1">
      <alignment horizontal="right" vertical="center"/>
    </xf>
    <xf numFmtId="41" fontId="26" fillId="36" borderId="13" xfId="0" applyNumberFormat="1" applyFont="1" applyFill="1" applyBorder="1" applyAlignment="1">
      <alignment horizontal="right" vertical="center"/>
    </xf>
    <xf numFmtId="41" fontId="0" fillId="32" borderId="13" xfId="0" applyNumberFormat="1" applyFill="1" applyBorder="1" applyAlignment="1">
      <alignment horizontal="right"/>
    </xf>
    <xf numFmtId="9" fontId="51" fillId="34" borderId="4" xfId="0" applyNumberFormat="1" applyFont="1" applyFill="1" applyBorder="1" applyAlignment="1">
      <alignment horizontal="center" vertical="center" wrapText="1"/>
    </xf>
    <xf numFmtId="9" fontId="52" fillId="36" borderId="4" xfId="0" applyNumberFormat="1" applyFont="1" applyFill="1" applyBorder="1" applyAlignment="1">
      <alignment horizontal="center" vertical="center"/>
    </xf>
    <xf numFmtId="9" fontId="53" fillId="32" borderId="4" xfId="0" applyNumberFormat="1" applyFont="1" applyFill="1" applyBorder="1" applyAlignment="1">
      <alignment horizontal="center" vertical="center"/>
    </xf>
    <xf numFmtId="49" fontId="50" fillId="35" borderId="4" xfId="0" applyNumberFormat="1" applyFont="1" applyFill="1" applyBorder="1" applyAlignment="1">
      <alignment horizontal="center" vertical="center" wrapText="1"/>
    </xf>
    <xf numFmtId="41" fontId="48" fillId="35" borderId="4" xfId="0" applyNumberFormat="1" applyFont="1" applyFill="1" applyBorder="1" applyAlignment="1">
      <alignment horizontal="center" vertical="center" wrapText="1"/>
    </xf>
    <xf numFmtId="0" fontId="48" fillId="35" borderId="4" xfId="0" applyFont="1" applyFill="1" applyBorder="1" applyAlignment="1">
      <alignment horizontal="center" vertical="center" wrapText="1"/>
    </xf>
    <xf numFmtId="41" fontId="0" fillId="36" borderId="4" xfId="0" applyNumberFormat="1" applyFill="1" applyBorder="1" applyAlignment="1">
      <alignment horizontal="right"/>
    </xf>
    <xf numFmtId="9" fontId="39" fillId="24" borderId="2" xfId="0" applyNumberFormat="1" applyFont="1" applyFill="1" applyBorder="1" applyAlignment="1">
      <alignment horizontal="center" vertical="center" wrapText="1"/>
    </xf>
    <xf numFmtId="9" fontId="33" fillId="16" borderId="2" xfId="0" applyNumberFormat="1" applyFont="1" applyFill="1" applyBorder="1" applyAlignment="1">
      <alignment horizontal="center" vertical="center" wrapText="1"/>
    </xf>
    <xf numFmtId="41" fontId="37" fillId="34" borderId="4" xfId="0" applyNumberFormat="1" applyFont="1" applyFill="1" applyBorder="1" applyAlignment="1">
      <alignment horizontal="right" vertical="center"/>
    </xf>
    <xf numFmtId="41" fontId="35" fillId="36" borderId="4" xfId="0" applyNumberFormat="1" applyFont="1" applyFill="1" applyBorder="1" applyAlignment="1">
      <alignment horizontal="right"/>
    </xf>
    <xf numFmtId="41" fontId="35" fillId="32" borderId="4" xfId="0" applyNumberFormat="1" applyFont="1" applyFill="1" applyBorder="1" applyAlignment="1">
      <alignment horizontal="right"/>
    </xf>
    <xf numFmtId="41" fontId="34" fillId="26" borderId="4" xfId="0" applyNumberFormat="1" applyFont="1" applyFill="1" applyBorder="1" applyAlignment="1">
      <alignment horizontal="right" vertical="center"/>
    </xf>
    <xf numFmtId="41" fontId="46" fillId="26" borderId="4" xfId="0" applyNumberFormat="1" applyFont="1" applyFill="1" applyBorder="1" applyAlignment="1">
      <alignment horizontal="right"/>
    </xf>
    <xf numFmtId="9" fontId="33" fillId="26" borderId="2" xfId="0" applyNumberFormat="1" applyFont="1" applyFill="1" applyBorder="1" applyAlignment="1">
      <alignment horizontal="center" vertical="center" wrapText="1"/>
    </xf>
    <xf numFmtId="41" fontId="37" fillId="36" borderId="4" xfId="0" applyNumberFormat="1" applyFont="1" applyFill="1" applyBorder="1" applyAlignment="1">
      <alignment horizontal="right" vertical="center"/>
    </xf>
    <xf numFmtId="41" fontId="26" fillId="32" borderId="4" xfId="0" applyNumberFormat="1" applyFont="1" applyFill="1" applyBorder="1" applyAlignment="1">
      <alignment horizontal="right" vertical="center"/>
    </xf>
    <xf numFmtId="0" fontId="54" fillId="2" borderId="0" xfId="0" applyFont="1" applyFill="1" applyAlignment="1">
      <alignment horizontal="centerContinuous" vertical="center"/>
    </xf>
    <xf numFmtId="0" fontId="55" fillId="0" borderId="0" xfId="0" applyFont="1"/>
    <xf numFmtId="1" fontId="56" fillId="0" borderId="0" xfId="0" applyNumberFormat="1" applyFont="1"/>
    <xf numFmtId="1" fontId="57" fillId="38" borderId="1" xfId="0" applyNumberFormat="1" applyFont="1" applyFill="1" applyBorder="1" applyAlignment="1">
      <alignment horizontal="center"/>
    </xf>
    <xf numFmtId="0" fontId="54" fillId="2" borderId="0" xfId="0" applyFont="1" applyFill="1" applyAlignment="1">
      <alignment horizontal="centerContinuous" vertical="center" wrapText="1"/>
    </xf>
    <xf numFmtId="41" fontId="54" fillId="2" borderId="0" xfId="0" applyNumberFormat="1" applyFont="1" applyFill="1" applyAlignment="1">
      <alignment horizontal="centerContinuous" vertical="center"/>
    </xf>
    <xf numFmtId="41" fontId="55" fillId="0" borderId="0" xfId="0" applyNumberFormat="1" applyFont="1"/>
    <xf numFmtId="0" fontId="48" fillId="37" borderId="13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30" fillId="15" borderId="8" xfId="0" applyFont="1" applyFill="1" applyBorder="1" applyAlignment="1">
      <alignment horizontal="center" vertical="center"/>
    </xf>
    <xf numFmtId="0" fontId="30" fillId="15" borderId="8" xfId="0" applyFont="1" applyFill="1" applyBorder="1" applyAlignment="1">
      <alignment horizontal="center" vertical="center" wrapText="1"/>
    </xf>
    <xf numFmtId="0" fontId="36" fillId="15" borderId="8" xfId="0" applyFont="1" applyFill="1" applyBorder="1" applyAlignment="1">
      <alignment horizontal="center" vertical="center" wrapText="1"/>
    </xf>
    <xf numFmtId="0" fontId="36" fillId="15" borderId="17" xfId="0" applyFont="1" applyFill="1" applyBorder="1" applyAlignment="1">
      <alignment horizontal="center" vertical="center" wrapText="1"/>
    </xf>
    <xf numFmtId="41" fontId="49" fillId="33" borderId="13" xfId="0" applyNumberFormat="1" applyFont="1" applyFill="1" applyBorder="1" applyAlignment="1">
      <alignment horizontal="center" vertical="center" wrapText="1"/>
    </xf>
    <xf numFmtId="41" fontId="48" fillId="35" borderId="13" xfId="0" applyNumberFormat="1" applyFont="1" applyFill="1" applyBorder="1" applyAlignment="1">
      <alignment horizontal="center" vertical="center" wrapText="1"/>
    </xf>
    <xf numFmtId="0" fontId="48" fillId="35" borderId="13" xfId="0" applyFont="1" applyFill="1" applyBorder="1" applyAlignment="1">
      <alignment horizontal="center" vertical="center" wrapText="1"/>
    </xf>
    <xf numFmtId="0" fontId="29" fillId="15" borderId="17" xfId="0" applyFont="1" applyFill="1" applyBorder="1" applyAlignment="1">
      <alignment horizontal="center" vertical="center" wrapText="1"/>
    </xf>
    <xf numFmtId="41" fontId="47" fillId="33" borderId="13" xfId="0" applyNumberFormat="1" applyFont="1" applyFill="1" applyBorder="1" applyAlignment="1">
      <alignment horizontal="center" vertical="center" wrapText="1"/>
    </xf>
    <xf numFmtId="41" fontId="47" fillId="35" borderId="13" xfId="0" applyNumberFormat="1" applyFont="1" applyFill="1" applyBorder="1" applyAlignment="1">
      <alignment horizontal="center" vertical="center" wrapText="1"/>
    </xf>
    <xf numFmtId="0" fontId="9" fillId="12" borderId="7" xfId="0" applyFont="1" applyFill="1" applyBorder="1" applyAlignment="1">
      <alignment vertical="center"/>
    </xf>
    <xf numFmtId="41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4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4" fillId="27" borderId="9" xfId="0" applyFont="1" applyFill="1" applyBorder="1" applyAlignment="1">
      <alignment horizontal="center" vertical="center"/>
    </xf>
    <xf numFmtId="0" fontId="24" fillId="27" borderId="11" xfId="0" applyFont="1" applyFill="1" applyBorder="1" applyAlignment="1">
      <alignment horizontal="center" vertical="center"/>
    </xf>
    <xf numFmtId="0" fontId="24" fillId="27" borderId="10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4" fillId="27" borderId="9" xfId="0" applyFont="1" applyFill="1" applyBorder="1" applyAlignment="1">
      <alignment horizontal="center"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24" fillId="27" borderId="10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36" fillId="15" borderId="2" xfId="0" applyFont="1" applyFill="1" applyBorder="1" applyAlignment="1">
      <alignment horizontal="center" vertical="center" wrapText="1"/>
    </xf>
    <xf numFmtId="0" fontId="36" fillId="15" borderId="6" xfId="0" applyFont="1" applyFill="1" applyBorder="1" applyAlignment="1">
      <alignment horizontal="center" vertical="center" wrapText="1"/>
    </xf>
    <xf numFmtId="0" fontId="36" fillId="15" borderId="3" xfId="0" applyFont="1" applyFill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33" fillId="27" borderId="9" xfId="0" applyFont="1" applyFill="1" applyBorder="1" applyAlignment="1">
      <alignment horizontal="center" vertical="center" wrapText="1"/>
    </xf>
    <xf numFmtId="0" fontId="33" fillId="27" borderId="11" xfId="0" applyFont="1" applyFill="1" applyBorder="1" applyAlignment="1">
      <alignment horizontal="center" vertical="center" wrapText="1"/>
    </xf>
    <xf numFmtId="0" fontId="33" fillId="27" borderId="10" xfId="0" applyFont="1" applyFill="1" applyBorder="1" applyAlignment="1">
      <alignment horizontal="center" vertical="center" wrapText="1"/>
    </xf>
    <xf numFmtId="0" fontId="49" fillId="33" borderId="12" xfId="0" applyFont="1" applyFill="1" applyBorder="1" applyAlignment="1">
      <alignment horizontal="center" vertical="center" wrapText="1"/>
    </xf>
    <xf numFmtId="0" fontId="49" fillId="33" borderId="13" xfId="0" applyFont="1" applyFill="1" applyBorder="1" applyAlignment="1">
      <alignment horizontal="center" vertical="center" wrapText="1"/>
    </xf>
    <xf numFmtId="0" fontId="49" fillId="35" borderId="12" xfId="0" applyFont="1" applyFill="1" applyBorder="1" applyAlignment="1">
      <alignment horizontal="center" vertical="center" wrapText="1"/>
    </xf>
    <xf numFmtId="0" fontId="49" fillId="35" borderId="13" xfId="0" applyFont="1" applyFill="1" applyBorder="1" applyAlignment="1">
      <alignment horizontal="center" vertical="center" wrapText="1"/>
    </xf>
    <xf numFmtId="0" fontId="48" fillId="37" borderId="12" xfId="0" applyFont="1" applyFill="1" applyBorder="1" applyAlignment="1">
      <alignment horizontal="center" vertical="center" wrapText="1"/>
    </xf>
    <xf numFmtId="0" fontId="48" fillId="37" borderId="13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49" fillId="37" borderId="12" xfId="0" applyFont="1" applyFill="1" applyBorder="1" applyAlignment="1">
      <alignment horizontal="center" vertical="center" wrapText="1"/>
    </xf>
    <xf numFmtId="0" fontId="49" fillId="37" borderId="13" xfId="0" applyFont="1" applyFill="1" applyBorder="1" applyAlignment="1">
      <alignment horizontal="center" vertical="center" wrapText="1"/>
    </xf>
    <xf numFmtId="0" fontId="24" fillId="27" borderId="2" xfId="0" applyFont="1" applyFill="1" applyBorder="1" applyAlignment="1">
      <alignment horizontal="center" vertical="center" wrapText="1"/>
    </xf>
    <xf numFmtId="0" fontId="24" fillId="27" borderId="6" xfId="0" applyFont="1" applyFill="1" applyBorder="1" applyAlignment="1">
      <alignment horizontal="center" vertical="center" wrapText="1"/>
    </xf>
    <xf numFmtId="0" fontId="24" fillId="27" borderId="3" xfId="0" applyFont="1" applyFill="1" applyBorder="1" applyAlignment="1">
      <alignment horizontal="center" vertical="center" wrapText="1"/>
    </xf>
    <xf numFmtId="0" fontId="28" fillId="18" borderId="14" xfId="0" applyFont="1" applyFill="1" applyBorder="1" applyAlignment="1">
      <alignment horizontal="center" vertical="center" wrapText="1"/>
    </xf>
    <xf numFmtId="0" fontId="29" fillId="15" borderId="7" xfId="0" applyFont="1" applyFill="1" applyBorder="1" applyAlignment="1">
      <alignment horizontal="center" vertical="center" wrapText="1"/>
    </xf>
    <xf numFmtId="41" fontId="29" fillId="15" borderId="2" xfId="0" applyNumberFormat="1" applyFont="1" applyFill="1" applyBorder="1" applyAlignment="1">
      <alignment horizontal="center" vertical="center" wrapText="1"/>
    </xf>
    <xf numFmtId="41" fontId="29" fillId="15" borderId="6" xfId="0" applyNumberFormat="1" applyFont="1" applyFill="1" applyBorder="1" applyAlignment="1">
      <alignment horizontal="center" vertical="center" wrapText="1"/>
    </xf>
    <xf numFmtId="41" fontId="29" fillId="15" borderId="3" xfId="0" applyNumberFormat="1" applyFont="1" applyFill="1" applyBorder="1" applyAlignment="1">
      <alignment horizontal="center" vertical="center" wrapText="1"/>
    </xf>
    <xf numFmtId="0" fontId="29" fillId="15" borderId="15" xfId="0" applyFont="1" applyFill="1" applyBorder="1" applyAlignment="1">
      <alignment horizontal="center" vertical="center" wrapText="1"/>
    </xf>
    <xf numFmtId="0" fontId="29" fillId="15" borderId="16" xfId="0" applyFont="1" applyFill="1" applyBorder="1" applyAlignment="1">
      <alignment horizontal="center" vertical="center" wrapText="1"/>
    </xf>
    <xf numFmtId="0" fontId="24" fillId="27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17/10/relationships/person" Target="persons/pers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9"/>
  <sheetViews>
    <sheetView showGridLines="0" zoomScale="171" zoomScaleNormal="110" workbookViewId="0">
      <selection activeCell="B16" sqref="B16:C17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40" t="s">
        <v>0</v>
      </c>
      <c r="C1" s="240"/>
    </row>
    <row r="3" spans="2:3" x14ac:dyDescent="0.25">
      <c r="B3" s="241" t="s">
        <v>1</v>
      </c>
      <c r="C3" s="241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42" t="s">
        <v>14</v>
      </c>
      <c r="C11" s="242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  <row r="19" spans="2:3" x14ac:dyDescent="0.25">
      <c r="B19" s="1" t="s">
        <v>210</v>
      </c>
      <c r="C19" s="2" t="s">
        <v>211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29"/>
  <sheetViews>
    <sheetView showGridLines="0" topLeftCell="A7" zoomScale="86" zoomScaleNormal="86" workbookViewId="0">
      <selection activeCell="O12" sqref="O12"/>
    </sheetView>
  </sheetViews>
  <sheetFormatPr defaultColWidth="8.7109375" defaultRowHeight="15" x14ac:dyDescent="0.25"/>
  <cols>
    <col min="1" max="1" width="2" customWidth="1"/>
    <col min="2" max="2" width="32.7109375" bestFit="1" customWidth="1"/>
    <col min="3" max="3" width="14.28515625" bestFit="1" customWidth="1"/>
    <col min="4" max="5" width="12.85546875" customWidth="1"/>
    <col min="6" max="6" width="11.140625" customWidth="1"/>
    <col min="7" max="12" width="12.85546875" customWidth="1"/>
    <col min="13" max="13" width="12.7109375" bestFit="1" customWidth="1"/>
    <col min="14" max="14" width="11.140625" customWidth="1"/>
    <col min="15" max="15" width="8.28515625" customWidth="1"/>
    <col min="16" max="17" width="11.140625" customWidth="1"/>
    <col min="18" max="18" width="8.28515625" customWidth="1"/>
    <col min="19" max="20" width="11.140625" customWidth="1"/>
    <col min="21" max="21" width="8.28515625" customWidth="1"/>
    <col min="22" max="22" width="12.85546875" customWidth="1"/>
    <col min="23" max="23" width="11.140625" customWidth="1"/>
    <col min="24" max="24" width="8.28515625" customWidth="1"/>
    <col min="25" max="30" width="11.140625" customWidth="1"/>
    <col min="31" max="33" width="11.140625" bestFit="1" customWidth="1"/>
    <col min="34" max="34" width="6.140625" bestFit="1" customWidth="1"/>
    <col min="35" max="35" width="5.7109375" bestFit="1" customWidth="1"/>
    <col min="36" max="36" width="8.28515625" bestFit="1" customWidth="1"/>
    <col min="37" max="37" width="6.140625" bestFit="1" customWidth="1"/>
    <col min="39" max="39" width="8.28515625" bestFit="1" customWidth="1"/>
  </cols>
  <sheetData>
    <row r="1" spans="2:39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</row>
    <row r="3" spans="2:39" x14ac:dyDescent="0.25">
      <c r="B3" s="241" t="s">
        <v>28</v>
      </c>
      <c r="C3" s="241"/>
      <c r="D3" s="17" t="s">
        <v>29</v>
      </c>
      <c r="E3" s="17"/>
      <c r="F3" s="17"/>
      <c r="G3" s="17" t="s">
        <v>30</v>
      </c>
      <c r="H3" s="17"/>
      <c r="I3" s="17"/>
      <c r="J3" s="17" t="s">
        <v>31</v>
      </c>
      <c r="K3" s="17"/>
      <c r="L3" s="17"/>
      <c r="M3" s="17" t="s">
        <v>32</v>
      </c>
      <c r="N3" s="17"/>
      <c r="O3" s="17"/>
      <c r="P3" s="17" t="s">
        <v>33</v>
      </c>
      <c r="Q3" s="17"/>
      <c r="R3" s="17"/>
      <c r="S3" s="17" t="s">
        <v>34</v>
      </c>
      <c r="T3" s="17"/>
      <c r="U3" s="17"/>
      <c r="V3" s="17" t="s">
        <v>35</v>
      </c>
      <c r="W3" s="17"/>
      <c r="X3" s="17"/>
      <c r="Y3" s="17" t="s">
        <v>36</v>
      </c>
      <c r="Z3" s="17"/>
      <c r="AA3" s="17"/>
      <c r="AB3" s="17" t="s">
        <v>37</v>
      </c>
      <c r="AC3" s="17"/>
      <c r="AD3" s="17"/>
      <c r="AE3" s="17" t="s">
        <v>38</v>
      </c>
      <c r="AF3" s="17"/>
      <c r="AG3" s="17"/>
      <c r="AH3" s="17" t="s">
        <v>39</v>
      </c>
      <c r="AI3" s="17"/>
      <c r="AJ3" s="17"/>
      <c r="AK3" s="17" t="s">
        <v>40</v>
      </c>
      <c r="AL3" s="17"/>
      <c r="AM3" s="18"/>
    </row>
    <row r="4" spans="2:39" ht="38.2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195</v>
      </c>
      <c r="G4" s="4" t="s">
        <v>45</v>
      </c>
      <c r="H4" s="4" t="s">
        <v>46</v>
      </c>
      <c r="I4" s="4" t="s">
        <v>196</v>
      </c>
      <c r="J4" s="4" t="s">
        <v>47</v>
      </c>
      <c r="K4" s="4" t="s">
        <v>48</v>
      </c>
      <c r="L4" s="4" t="s">
        <v>197</v>
      </c>
      <c r="M4" s="4" t="s">
        <v>49</v>
      </c>
      <c r="N4" s="4" t="s">
        <v>50</v>
      </c>
      <c r="O4" s="4" t="s">
        <v>198</v>
      </c>
      <c r="P4" s="4" t="s">
        <v>51</v>
      </c>
      <c r="Q4" s="4" t="s">
        <v>52</v>
      </c>
      <c r="R4" s="4" t="s">
        <v>199</v>
      </c>
      <c r="S4" s="4" t="s">
        <v>53</v>
      </c>
      <c r="T4" s="4" t="s">
        <v>54</v>
      </c>
      <c r="U4" s="4" t="s">
        <v>200</v>
      </c>
      <c r="V4" s="4" t="s">
        <v>55</v>
      </c>
      <c r="W4" s="4" t="s">
        <v>56</v>
      </c>
      <c r="X4" s="4" t="s">
        <v>201</v>
      </c>
      <c r="Y4" s="4" t="s">
        <v>57</v>
      </c>
      <c r="Z4" s="4" t="s">
        <v>58</v>
      </c>
      <c r="AA4" s="4" t="s">
        <v>202</v>
      </c>
      <c r="AB4" s="4" t="s">
        <v>59</v>
      </c>
      <c r="AC4" s="4" t="s">
        <v>60</v>
      </c>
      <c r="AD4" s="4" t="s">
        <v>203</v>
      </c>
      <c r="AE4" s="4" t="s">
        <v>61</v>
      </c>
      <c r="AF4" s="4" t="s">
        <v>62</v>
      </c>
      <c r="AG4" s="4" t="s">
        <v>204</v>
      </c>
      <c r="AH4" s="4" t="s">
        <v>63</v>
      </c>
      <c r="AI4" s="4" t="s">
        <v>64</v>
      </c>
      <c r="AJ4" s="4" t="s">
        <v>205</v>
      </c>
      <c r="AK4" s="4" t="s">
        <v>65</v>
      </c>
      <c r="AL4" s="4" t="s">
        <v>66</v>
      </c>
      <c r="AM4" s="4" t="s">
        <v>206</v>
      </c>
    </row>
    <row r="5" spans="2:39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0</v>
      </c>
      <c r="G5" s="7">
        <v>321645623</v>
      </c>
      <c r="H5" s="7">
        <v>42789365</v>
      </c>
      <c r="I5" s="7">
        <v>0</v>
      </c>
      <c r="J5" s="7">
        <v>317433802</v>
      </c>
      <c r="K5" s="7">
        <v>49588709</v>
      </c>
      <c r="L5" s="7">
        <v>0</v>
      </c>
      <c r="M5" s="7">
        <v>396683478.3262167</v>
      </c>
      <c r="N5" s="7">
        <v>49588709</v>
      </c>
      <c r="O5" s="7">
        <v>0</v>
      </c>
      <c r="P5" s="7">
        <v>416683478</v>
      </c>
      <c r="Q5" s="7">
        <v>68270401.220654309</v>
      </c>
      <c r="R5" s="7">
        <v>0</v>
      </c>
      <c r="S5" s="7">
        <v>451683478</v>
      </c>
      <c r="T5" s="7">
        <v>101830423</v>
      </c>
      <c r="U5" s="7">
        <v>0</v>
      </c>
      <c r="V5" s="7">
        <v>491237177.12546343</v>
      </c>
      <c r="W5" s="7">
        <v>76328678.073981449</v>
      </c>
      <c r="X5" s="7">
        <v>0</v>
      </c>
      <c r="Y5" s="7">
        <v>306848843</v>
      </c>
      <c r="Z5" s="7">
        <v>60640123.605248079</v>
      </c>
      <c r="AA5" s="7">
        <v>198385865</v>
      </c>
      <c r="AB5" s="7">
        <v>269047799.19044793</v>
      </c>
      <c r="AC5" s="7">
        <v>69550316.359371036</v>
      </c>
      <c r="AD5" s="7">
        <v>175769404.33699557</v>
      </c>
      <c r="AE5" s="7">
        <v>264756949.64136907</v>
      </c>
      <c r="AF5" s="7">
        <v>58508748.413354225</v>
      </c>
      <c r="AG5" s="7">
        <v>172968793.98622558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</row>
    <row r="6" spans="2:39" x14ac:dyDescent="0.25">
      <c r="B6" s="122" t="s">
        <v>69</v>
      </c>
      <c r="C6" s="123" t="s">
        <v>70</v>
      </c>
      <c r="D6" s="124">
        <v>1058997546</v>
      </c>
      <c r="E6" s="124">
        <v>173866062</v>
      </c>
      <c r="F6" s="124">
        <v>0</v>
      </c>
      <c r="G6" s="124">
        <v>1018372028</v>
      </c>
      <c r="H6" s="124">
        <v>159266402</v>
      </c>
      <c r="I6" s="124">
        <v>0</v>
      </c>
      <c r="J6" s="124">
        <v>1009948386</v>
      </c>
      <c r="K6" s="124">
        <v>172865092</v>
      </c>
      <c r="L6" s="124">
        <v>0</v>
      </c>
      <c r="M6" s="124">
        <v>535182371</v>
      </c>
      <c r="N6" s="124">
        <v>172865092</v>
      </c>
      <c r="O6" s="124">
        <v>0</v>
      </c>
      <c r="P6" s="7">
        <v>555182371</v>
      </c>
      <c r="Q6" s="7">
        <v>191546784</v>
      </c>
      <c r="R6" s="7">
        <v>0</v>
      </c>
      <c r="S6" s="7">
        <v>590182371</v>
      </c>
      <c r="T6" s="7">
        <v>225106806</v>
      </c>
      <c r="U6" s="7">
        <v>0</v>
      </c>
      <c r="V6" s="7">
        <v>657457159.85174966</v>
      </c>
      <c r="W6" s="7">
        <v>181265056.8810223</v>
      </c>
      <c r="X6" s="7">
        <v>0</v>
      </c>
      <c r="Y6" s="7">
        <v>222144871</v>
      </c>
      <c r="Z6" s="7">
        <v>165576502.41228893</v>
      </c>
      <c r="AA6" s="7">
        <v>449309820</v>
      </c>
      <c r="AB6" s="7">
        <v>184343826.51079065</v>
      </c>
      <c r="AC6" s="7">
        <v>174486695.16641188</v>
      </c>
      <c r="AD6" s="7">
        <v>426693359.74293905</v>
      </c>
      <c r="AE6" s="7">
        <v>180052976.96171179</v>
      </c>
      <c r="AF6" s="7">
        <v>163445127.22039506</v>
      </c>
      <c r="AG6" s="7">
        <v>423892749.39216906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</row>
    <row r="7" spans="2:39" x14ac:dyDescent="0.25">
      <c r="B7" s="128" t="s">
        <v>171</v>
      </c>
      <c r="C7" s="129" t="s">
        <v>172</v>
      </c>
      <c r="D7" s="130">
        <v>241473268</v>
      </c>
      <c r="E7" s="130">
        <v>0</v>
      </c>
      <c r="F7" s="130">
        <v>0</v>
      </c>
      <c r="G7" s="130">
        <v>0</v>
      </c>
      <c r="H7" s="130">
        <v>0</v>
      </c>
      <c r="I7" s="130">
        <v>0</v>
      </c>
      <c r="J7" s="130">
        <v>0</v>
      </c>
      <c r="K7" s="130">
        <v>0</v>
      </c>
      <c r="L7" s="130">
        <v>0</v>
      </c>
      <c r="M7" s="130">
        <v>241473268</v>
      </c>
      <c r="N7" s="130">
        <v>0</v>
      </c>
      <c r="O7" s="130">
        <v>0</v>
      </c>
      <c r="P7" s="121">
        <v>241473268</v>
      </c>
      <c r="Q7" s="7"/>
      <c r="R7" s="7">
        <v>0</v>
      </c>
      <c r="S7" s="7">
        <v>241473268</v>
      </c>
      <c r="T7" s="7"/>
      <c r="U7" s="7">
        <v>0</v>
      </c>
      <c r="V7" s="7">
        <v>248955573.78787571</v>
      </c>
      <c r="W7" s="7"/>
      <c r="X7" s="7">
        <v>0</v>
      </c>
      <c r="Y7" s="7">
        <v>262953105</v>
      </c>
      <c r="Z7" s="7"/>
      <c r="AA7" s="7">
        <v>0</v>
      </c>
      <c r="AB7" s="7">
        <v>262953105.06301075</v>
      </c>
      <c r="AC7" s="7">
        <v>0</v>
      </c>
      <c r="AD7" s="7">
        <v>0</v>
      </c>
      <c r="AE7" s="7">
        <v>262953105.06301075</v>
      </c>
      <c r="AF7" s="7">
        <v>0</v>
      </c>
      <c r="AG7" s="7">
        <v>0</v>
      </c>
      <c r="AH7" s="7"/>
      <c r="AI7" s="7"/>
      <c r="AJ7" s="7">
        <v>0</v>
      </c>
      <c r="AK7" s="7"/>
      <c r="AL7" s="7"/>
      <c r="AM7" s="7">
        <v>0</v>
      </c>
    </row>
    <row r="8" spans="2:39" x14ac:dyDescent="0.25">
      <c r="B8" s="125" t="s">
        <v>71</v>
      </c>
      <c r="C8" s="126" t="s">
        <v>72</v>
      </c>
      <c r="D8" s="127">
        <v>491334077</v>
      </c>
      <c r="E8" s="127">
        <v>28700620</v>
      </c>
      <c r="F8" s="127">
        <v>0</v>
      </c>
      <c r="G8" s="127">
        <v>471021318</v>
      </c>
      <c r="H8" s="127">
        <v>21400790</v>
      </c>
      <c r="I8" s="127">
        <v>0</v>
      </c>
      <c r="J8" s="127">
        <v>466809497</v>
      </c>
      <c r="K8" s="127">
        <v>28200135</v>
      </c>
      <c r="L8" s="127">
        <v>0</v>
      </c>
      <c r="M8" s="127">
        <v>590712471.92289722</v>
      </c>
      <c r="N8" s="127">
        <v>28200135</v>
      </c>
      <c r="O8" s="127">
        <v>0</v>
      </c>
      <c r="P8" s="7">
        <v>610712472</v>
      </c>
      <c r="Q8" s="7">
        <v>46881826.81733489</v>
      </c>
      <c r="R8" s="7">
        <v>0</v>
      </c>
      <c r="S8" s="7">
        <v>645712472</v>
      </c>
      <c r="T8" s="7">
        <v>80441848</v>
      </c>
      <c r="U8" s="7">
        <v>0</v>
      </c>
      <c r="V8" s="7">
        <v>728387277.57390273</v>
      </c>
      <c r="W8" s="7">
        <v>51482866.524593353</v>
      </c>
      <c r="X8" s="7">
        <v>0</v>
      </c>
      <c r="Y8" s="7">
        <v>633046146</v>
      </c>
      <c r="Z8" s="7">
        <v>35794312.055859983</v>
      </c>
      <c r="AA8" s="7">
        <v>109338663</v>
      </c>
      <c r="AB8" s="7">
        <v>595245101.89060342</v>
      </c>
      <c r="AC8" s="7">
        <v>44704504.809982933</v>
      </c>
      <c r="AD8" s="7">
        <v>86722202.085279256</v>
      </c>
      <c r="AE8" s="7">
        <v>590954252.3415246</v>
      </c>
      <c r="AF8" s="7">
        <v>33662936.863966122</v>
      </c>
      <c r="AG8" s="7">
        <v>83921591.734509259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</row>
    <row r="9" spans="2:39" x14ac:dyDescent="0.25">
      <c r="B9" s="5" t="s">
        <v>73</v>
      </c>
      <c r="C9" s="6" t="s">
        <v>221</v>
      </c>
      <c r="D9" s="7">
        <v>475292301</v>
      </c>
      <c r="E9" s="7">
        <v>74028954</v>
      </c>
      <c r="F9" s="7">
        <v>0</v>
      </c>
      <c r="G9" s="7">
        <v>454979542</v>
      </c>
      <c r="H9" s="7">
        <v>66729124</v>
      </c>
      <c r="I9" s="7">
        <v>0</v>
      </c>
      <c r="J9" s="7">
        <v>450767722</v>
      </c>
      <c r="K9" s="7">
        <v>73528469</v>
      </c>
      <c r="L9" s="7">
        <v>0</v>
      </c>
      <c r="M9" s="7">
        <v>395063284.19152415</v>
      </c>
      <c r="N9" s="7">
        <v>73528469</v>
      </c>
      <c r="O9" s="7">
        <v>0</v>
      </c>
      <c r="P9" s="7">
        <v>405063284</v>
      </c>
      <c r="Q9" s="7">
        <v>82869315.191524148</v>
      </c>
      <c r="R9" s="7">
        <v>0</v>
      </c>
      <c r="S9" s="7">
        <v>508918832</v>
      </c>
      <c r="T9" s="7">
        <v>80519404</v>
      </c>
      <c r="U9" s="7">
        <v>0</v>
      </c>
      <c r="V9" s="7">
        <v>482312178.47736537</v>
      </c>
      <c r="W9" s="7">
        <v>70286112.09958896</v>
      </c>
      <c r="X9" s="7">
        <v>0</v>
      </c>
      <c r="Y9" s="7">
        <v>5575802</v>
      </c>
      <c r="Z9" s="7">
        <v>54597557.63085559</v>
      </c>
      <c r="AA9" s="7">
        <v>490733908</v>
      </c>
      <c r="AB9" s="7">
        <v>5575801.9517222047</v>
      </c>
      <c r="AC9" s="7">
        <v>63507750.38497854</v>
      </c>
      <c r="AD9" s="7">
        <v>468117447.23398483</v>
      </c>
      <c r="AE9" s="7">
        <v>5575801.9517222047</v>
      </c>
      <c r="AF9" s="7">
        <v>63507750.38497854</v>
      </c>
      <c r="AG9" s="7">
        <v>468117447.23398483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</row>
    <row r="10" spans="2:39" x14ac:dyDescent="0.25">
      <c r="B10" s="5" t="s">
        <v>75</v>
      </c>
      <c r="C10" s="6" t="s">
        <v>225</v>
      </c>
      <c r="D10" s="7">
        <v>519152974</v>
      </c>
      <c r="E10" s="7">
        <v>72399034</v>
      </c>
      <c r="F10" s="7">
        <v>0</v>
      </c>
      <c r="G10" s="7">
        <v>498840215</v>
      </c>
      <c r="H10" s="7">
        <v>65099204</v>
      </c>
      <c r="I10" s="7">
        <v>0</v>
      </c>
      <c r="J10" s="7">
        <v>494628394</v>
      </c>
      <c r="K10" s="7">
        <v>71898548</v>
      </c>
      <c r="L10" s="7">
        <v>0</v>
      </c>
      <c r="M10" s="7">
        <v>463918832.1226536</v>
      </c>
      <c r="N10" s="7">
        <v>71898548</v>
      </c>
      <c r="O10" s="7">
        <v>0</v>
      </c>
      <c r="P10" s="7">
        <v>473918832</v>
      </c>
      <c r="Q10" s="7">
        <v>81239394.122653604</v>
      </c>
      <c r="R10" s="7">
        <v>0</v>
      </c>
      <c r="S10" s="7">
        <v>440063284</v>
      </c>
      <c r="T10" s="7">
        <v>82149325</v>
      </c>
      <c r="U10" s="7">
        <v>0</v>
      </c>
      <c r="V10" s="7">
        <v>505192003.00308657</v>
      </c>
      <c r="W10" s="7">
        <v>122952320.80976211</v>
      </c>
      <c r="X10" s="7">
        <v>0</v>
      </c>
      <c r="Y10" s="7">
        <v>309612765</v>
      </c>
      <c r="Z10" s="7">
        <v>107263766.34102874</v>
      </c>
      <c r="AA10" s="7">
        <v>209576770</v>
      </c>
      <c r="AB10" s="7">
        <v>271811720.41502386</v>
      </c>
      <c r="AC10" s="7">
        <v>116173959.09515169</v>
      </c>
      <c r="AD10" s="7">
        <v>186960308.99004278</v>
      </c>
      <c r="AE10" s="7">
        <v>267520870.86594501</v>
      </c>
      <c r="AF10" s="7">
        <v>105132391.14913487</v>
      </c>
      <c r="AG10" s="7">
        <v>184159698.63927278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</row>
    <row r="11" spans="2:39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0</v>
      </c>
      <c r="G11" s="7">
        <v>899243816</v>
      </c>
      <c r="H11" s="7">
        <v>66447539</v>
      </c>
      <c r="I11" s="7">
        <v>0</v>
      </c>
      <c r="J11" s="7">
        <v>895031995</v>
      </c>
      <c r="K11" s="7">
        <v>73246884</v>
      </c>
      <c r="L11" s="7">
        <v>0</v>
      </c>
      <c r="M11" s="7">
        <v>941758345.44471872</v>
      </c>
      <c r="N11" s="7">
        <v>73246884</v>
      </c>
      <c r="O11" s="7">
        <v>0</v>
      </c>
      <c r="P11" s="7">
        <v>961758345</v>
      </c>
      <c r="Q11" s="7">
        <v>91928576.339156389</v>
      </c>
      <c r="R11" s="7">
        <v>0</v>
      </c>
      <c r="S11" s="7">
        <v>996758345</v>
      </c>
      <c r="T11" s="7">
        <v>125488598</v>
      </c>
      <c r="U11" s="7">
        <v>0</v>
      </c>
      <c r="V11" s="7">
        <v>1061245403.0487187</v>
      </c>
      <c r="W11" s="7">
        <v>101136997.7886584</v>
      </c>
      <c r="X11" s="7">
        <v>0</v>
      </c>
      <c r="Y11" s="7">
        <v>706692044</v>
      </c>
      <c r="Z11" s="7">
        <v>85448443.319925025</v>
      </c>
      <c r="AA11" s="7">
        <v>368550890</v>
      </c>
      <c r="AB11" s="7">
        <v>668891000.09319413</v>
      </c>
      <c r="AC11" s="7">
        <v>94358636.074047983</v>
      </c>
      <c r="AD11" s="7">
        <v>345934429.35750455</v>
      </c>
      <c r="AE11" s="7">
        <v>664600150.5441153</v>
      </c>
      <c r="AF11" s="7">
        <v>83317068.128031164</v>
      </c>
      <c r="AG11" s="7">
        <v>343133819.00673455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</row>
    <row r="12" spans="2:39" x14ac:dyDescent="0.25">
      <c r="B12" s="122" t="s">
        <v>78</v>
      </c>
      <c r="C12" s="123" t="s">
        <v>79</v>
      </c>
      <c r="D12" s="124">
        <v>988070138</v>
      </c>
      <c r="E12" s="124">
        <v>45600197</v>
      </c>
      <c r="F12" s="124">
        <v>0</v>
      </c>
      <c r="G12" s="124">
        <v>967757378</v>
      </c>
      <c r="H12" s="124">
        <v>38300367</v>
      </c>
      <c r="I12" s="124">
        <v>0</v>
      </c>
      <c r="J12" s="124">
        <v>963545558</v>
      </c>
      <c r="K12" s="124">
        <v>45099712</v>
      </c>
      <c r="L12" s="124">
        <v>0</v>
      </c>
      <c r="M12" s="124">
        <v>485287059</v>
      </c>
      <c r="N12" s="124">
        <v>45099712</v>
      </c>
      <c r="O12" s="124">
        <v>0</v>
      </c>
      <c r="P12" s="7">
        <v>505287059</v>
      </c>
      <c r="Q12" s="7">
        <v>63781404</v>
      </c>
      <c r="R12" s="7">
        <v>0</v>
      </c>
      <c r="S12" s="7">
        <v>540287059</v>
      </c>
      <c r="T12" s="7">
        <v>97341426</v>
      </c>
      <c r="U12" s="7">
        <v>0</v>
      </c>
      <c r="V12" s="7">
        <v>563114170.73408878</v>
      </c>
      <c r="W12" s="7">
        <v>104665034.75557049</v>
      </c>
      <c r="X12" s="7">
        <v>0</v>
      </c>
      <c r="Y12" s="7">
        <v>302084971</v>
      </c>
      <c r="Z12" s="7">
        <v>88976480.286837116</v>
      </c>
      <c r="AA12" s="7">
        <v>275026731</v>
      </c>
      <c r="AB12" s="7">
        <v>264283926.94792593</v>
      </c>
      <c r="AC12" s="7">
        <v>97886673.040960073</v>
      </c>
      <c r="AD12" s="7">
        <v>252410270.18814293</v>
      </c>
      <c r="AE12" s="7">
        <v>259993077.39884707</v>
      </c>
      <c r="AF12" s="7">
        <v>86845105.094943255</v>
      </c>
      <c r="AG12" s="7">
        <v>249609659.83737293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</row>
    <row r="13" spans="2:39" x14ac:dyDescent="0.25">
      <c r="B13" s="128" t="s">
        <v>171</v>
      </c>
      <c r="C13" s="129" t="s">
        <v>173</v>
      </c>
      <c r="D13" s="130">
        <v>404133664</v>
      </c>
      <c r="E13" s="130">
        <v>0</v>
      </c>
      <c r="F13" s="130">
        <v>0</v>
      </c>
      <c r="G13" s="130">
        <v>0</v>
      </c>
      <c r="H13" s="130">
        <v>0</v>
      </c>
      <c r="I13" s="130">
        <v>0</v>
      </c>
      <c r="J13" s="130">
        <v>0</v>
      </c>
      <c r="K13" s="130">
        <v>0</v>
      </c>
      <c r="L13" s="130">
        <v>0</v>
      </c>
      <c r="M13" s="130">
        <v>404133664</v>
      </c>
      <c r="N13" s="130">
        <v>0</v>
      </c>
      <c r="O13" s="130">
        <v>0</v>
      </c>
      <c r="P13" s="121">
        <v>404133664</v>
      </c>
      <c r="Q13" s="7"/>
      <c r="R13" s="7">
        <v>0</v>
      </c>
      <c r="S13" s="7">
        <v>404133664</v>
      </c>
      <c r="T13" s="7"/>
      <c r="U13" s="7">
        <v>0</v>
      </c>
      <c r="V13" s="7">
        <v>429849184.30128497</v>
      </c>
      <c r="W13" s="7"/>
      <c r="X13" s="7">
        <v>0</v>
      </c>
      <c r="Y13" s="7">
        <v>443846716</v>
      </c>
      <c r="Z13" s="7"/>
      <c r="AA13" s="7">
        <v>0</v>
      </c>
      <c r="AB13" s="7">
        <v>443846715.57642001</v>
      </c>
      <c r="AC13" s="7">
        <v>0</v>
      </c>
      <c r="AD13" s="7">
        <v>0</v>
      </c>
      <c r="AE13" s="7">
        <v>443846715.57642001</v>
      </c>
      <c r="AF13" s="7">
        <v>0</v>
      </c>
      <c r="AG13" s="7">
        <v>0</v>
      </c>
      <c r="AH13" s="7"/>
      <c r="AI13" s="7"/>
      <c r="AJ13" s="7">
        <v>0</v>
      </c>
      <c r="AK13" s="7"/>
      <c r="AL13" s="7"/>
      <c r="AM13" s="7">
        <v>0</v>
      </c>
    </row>
    <row r="14" spans="2:39" x14ac:dyDescent="0.25">
      <c r="B14" s="125" t="s">
        <v>80</v>
      </c>
      <c r="C14" s="126" t="s">
        <v>220</v>
      </c>
      <c r="D14" s="127">
        <v>479914486</v>
      </c>
      <c r="E14" s="127">
        <v>120283183</v>
      </c>
      <c r="F14" s="127">
        <v>0</v>
      </c>
      <c r="G14" s="127">
        <v>459601727</v>
      </c>
      <c r="H14" s="127">
        <v>112983353</v>
      </c>
      <c r="I14" s="127">
        <v>0</v>
      </c>
      <c r="J14" s="127">
        <v>455389906</v>
      </c>
      <c r="K14" s="127">
        <v>119782698</v>
      </c>
      <c r="L14" s="127">
        <v>0</v>
      </c>
      <c r="M14" s="127">
        <v>384017309.32355773</v>
      </c>
      <c r="N14" s="127">
        <v>119782698</v>
      </c>
      <c r="O14" s="127">
        <v>0</v>
      </c>
      <c r="P14" s="7">
        <v>404017309</v>
      </c>
      <c r="Q14" s="7">
        <v>138464390.21799541</v>
      </c>
      <c r="R14" s="7">
        <v>0</v>
      </c>
      <c r="S14" s="7">
        <v>439017309</v>
      </c>
      <c r="T14" s="7">
        <v>172024412</v>
      </c>
      <c r="U14" s="7">
        <v>0</v>
      </c>
      <c r="V14" s="7">
        <v>514721111.42684805</v>
      </c>
      <c r="W14" s="7">
        <v>117663432.08216608</v>
      </c>
      <c r="X14" s="7">
        <v>0</v>
      </c>
      <c r="Y14" s="7">
        <v>387829132</v>
      </c>
      <c r="Z14" s="7">
        <v>101974877.61343271</v>
      </c>
      <c r="AA14" s="7">
        <v>140889511</v>
      </c>
      <c r="AB14" s="7">
        <v>350028087.21575695</v>
      </c>
      <c r="AC14" s="7">
        <v>110885070.36755566</v>
      </c>
      <c r="AD14" s="7">
        <v>118273050.61307113</v>
      </c>
      <c r="AE14" s="7">
        <v>345737237.66667807</v>
      </c>
      <c r="AF14" s="7">
        <v>99843502.42153886</v>
      </c>
      <c r="AG14" s="7">
        <v>115472440.26230113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</row>
    <row r="15" spans="2:39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0</v>
      </c>
      <c r="G15" s="7">
        <v>543752169</v>
      </c>
      <c r="H15" s="7">
        <v>33260564</v>
      </c>
      <c r="I15" s="7">
        <v>0</v>
      </c>
      <c r="J15" s="7">
        <v>539540348</v>
      </c>
      <c r="K15" s="7">
        <v>40059909</v>
      </c>
      <c r="L15" s="7">
        <v>0</v>
      </c>
      <c r="M15" s="7">
        <v>611629595.7161876</v>
      </c>
      <c r="N15" s="7">
        <v>40059909</v>
      </c>
      <c r="O15" s="7">
        <v>0</v>
      </c>
      <c r="P15" s="7">
        <v>631629596</v>
      </c>
      <c r="Q15" s="7">
        <v>58741600.610625267</v>
      </c>
      <c r="R15" s="7">
        <v>0</v>
      </c>
      <c r="S15" s="7">
        <v>666629596</v>
      </c>
      <c r="T15" s="7">
        <v>92301622</v>
      </c>
      <c r="U15" s="7">
        <v>0</v>
      </c>
      <c r="V15" s="7">
        <v>698845176.23960102</v>
      </c>
      <c r="W15" s="7">
        <v>70945960.626210824</v>
      </c>
      <c r="X15" s="7">
        <v>0</v>
      </c>
      <c r="Y15" s="7">
        <v>518888039</v>
      </c>
      <c r="Z15" s="7">
        <v>55257406.157477453</v>
      </c>
      <c r="AA15" s="7">
        <v>193954669</v>
      </c>
      <c r="AB15" s="7">
        <v>481086994.53224033</v>
      </c>
      <c r="AC15" s="7">
        <v>64167598.911600403</v>
      </c>
      <c r="AD15" s="7">
        <v>171338208.10934076</v>
      </c>
      <c r="AE15" s="7">
        <v>476796144.98316145</v>
      </c>
      <c r="AF15" s="7">
        <v>53126030.965583593</v>
      </c>
      <c r="AG15" s="7">
        <v>168537597.75857076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</row>
    <row r="16" spans="2:39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0</v>
      </c>
      <c r="G16" s="7">
        <v>344811375</v>
      </c>
      <c r="H16" s="7">
        <v>38283119</v>
      </c>
      <c r="I16" s="7">
        <v>0</v>
      </c>
      <c r="J16" s="7">
        <v>340599555</v>
      </c>
      <c r="K16" s="7">
        <v>45082463</v>
      </c>
      <c r="L16" s="7">
        <v>0</v>
      </c>
      <c r="M16" s="7">
        <v>366543022.9053762</v>
      </c>
      <c r="N16" s="7">
        <v>45082463</v>
      </c>
      <c r="O16" s="7">
        <v>0</v>
      </c>
      <c r="P16" s="7">
        <v>386543023</v>
      </c>
      <c r="Q16" s="7">
        <v>63764154.799813807</v>
      </c>
      <c r="R16" s="7">
        <v>0</v>
      </c>
      <c r="S16" s="7">
        <v>421543023</v>
      </c>
      <c r="T16" s="7">
        <v>97324176</v>
      </c>
      <c r="U16" s="7">
        <v>0</v>
      </c>
      <c r="V16" s="7">
        <v>481870364.2173661</v>
      </c>
      <c r="W16" s="7">
        <v>48351228.656065792</v>
      </c>
      <c r="X16" s="7">
        <v>0</v>
      </c>
      <c r="Y16" s="7">
        <v>210599044</v>
      </c>
      <c r="Z16" s="7">
        <v>32662674.187332422</v>
      </c>
      <c r="AA16" s="7">
        <v>285268852</v>
      </c>
      <c r="AB16" s="7">
        <v>172797999.38105893</v>
      </c>
      <c r="AC16" s="7">
        <v>41572866.941455372</v>
      </c>
      <c r="AD16" s="7">
        <v>262652391.23828724</v>
      </c>
      <c r="AE16" s="7">
        <v>168507149.83198008</v>
      </c>
      <c r="AF16" s="7">
        <v>30531298.995438561</v>
      </c>
      <c r="AG16" s="7">
        <v>259851780.88751724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</row>
    <row r="17" spans="2:39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0</v>
      </c>
      <c r="G17" s="7">
        <v>513161009</v>
      </c>
      <c r="H17" s="7">
        <v>304325909</v>
      </c>
      <c r="I17" s="7">
        <v>0</v>
      </c>
      <c r="J17" s="7">
        <v>508949188</v>
      </c>
      <c r="K17" s="7">
        <v>311125253</v>
      </c>
      <c r="L17" s="7">
        <v>0</v>
      </c>
      <c r="M17" s="7">
        <v>563350942.09827971</v>
      </c>
      <c r="N17" s="7">
        <v>311125253</v>
      </c>
      <c r="O17" s="7">
        <v>0</v>
      </c>
      <c r="P17" s="7">
        <v>583350942</v>
      </c>
      <c r="Q17" s="7">
        <v>329806944.99271739</v>
      </c>
      <c r="R17" s="7">
        <v>0</v>
      </c>
      <c r="S17" s="7">
        <v>618350942</v>
      </c>
      <c r="T17" s="7">
        <v>363366966</v>
      </c>
      <c r="U17" s="7">
        <v>0</v>
      </c>
      <c r="V17" s="7">
        <v>706054928.99280047</v>
      </c>
      <c r="W17" s="7">
        <v>326117403.61363631</v>
      </c>
      <c r="X17" s="7">
        <v>0</v>
      </c>
      <c r="Y17" s="7">
        <v>452060736</v>
      </c>
      <c r="Z17" s="7">
        <v>310428849.14490294</v>
      </c>
      <c r="AA17" s="7">
        <v>267991724</v>
      </c>
      <c r="AB17" s="7">
        <v>414259691.91367406</v>
      </c>
      <c r="AC17" s="7">
        <v>319339041.89902592</v>
      </c>
      <c r="AD17" s="7">
        <v>245375263.48110652</v>
      </c>
      <c r="AE17" s="7">
        <v>409968842.36459517</v>
      </c>
      <c r="AF17" s="7">
        <v>308297473.95300913</v>
      </c>
      <c r="AG17" s="7">
        <v>242574653.13033652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</row>
    <row r="18" spans="2:39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0</v>
      </c>
      <c r="G18" s="7">
        <v>291935697</v>
      </c>
      <c r="H18" s="7">
        <v>225689650</v>
      </c>
      <c r="I18" s="7">
        <v>0</v>
      </c>
      <c r="J18" s="7">
        <v>283512056</v>
      </c>
      <c r="K18" s="7">
        <v>239288340</v>
      </c>
      <c r="L18" s="7">
        <v>0</v>
      </c>
      <c r="M18" s="7">
        <v>239525689.01344877</v>
      </c>
      <c r="N18" s="7">
        <v>239288340</v>
      </c>
      <c r="O18" s="7">
        <v>0</v>
      </c>
      <c r="P18" s="7">
        <v>259525689</v>
      </c>
      <c r="Q18" s="7">
        <v>257970031.90788639</v>
      </c>
      <c r="R18" s="7">
        <v>0</v>
      </c>
      <c r="S18" s="7">
        <v>294525689</v>
      </c>
      <c r="T18" s="7">
        <v>291530053</v>
      </c>
      <c r="U18" s="7">
        <v>0</v>
      </c>
      <c r="V18" s="7">
        <v>378602097.56753719</v>
      </c>
      <c r="W18" s="7">
        <v>211510559.17948398</v>
      </c>
      <c r="X18" s="7">
        <v>0</v>
      </c>
      <c r="Y18" s="7">
        <v>165415307</v>
      </c>
      <c r="Z18" s="7">
        <v>195822004.71075061</v>
      </c>
      <c r="AA18" s="7">
        <v>227184322</v>
      </c>
      <c r="AB18" s="7">
        <v>127614263.01752643</v>
      </c>
      <c r="AC18" s="7">
        <v>204732197.46487355</v>
      </c>
      <c r="AD18" s="7">
        <v>204567860.95199081</v>
      </c>
      <c r="AE18" s="7">
        <v>123323413.46844758</v>
      </c>
      <c r="AF18" s="7">
        <v>193690629.51885673</v>
      </c>
      <c r="AG18" s="7">
        <v>201767250.60122082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</row>
    <row r="20" spans="2:39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39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39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285530553</v>
      </c>
      <c r="J22" s="7">
        <v>293136935.89361715</v>
      </c>
      <c r="K22" s="7">
        <v>298101474.90070933</v>
      </c>
      <c r="L22" s="7">
        <v>256257503.30496463</v>
      </c>
      <c r="M22" s="7">
        <v>269378070.68085116</v>
      </c>
      <c r="N22" s="7">
        <v>0</v>
      </c>
      <c r="O22" s="7">
        <v>0</v>
      </c>
    </row>
    <row r="23" spans="2:39" x14ac:dyDescent="0.25">
      <c r="B23" s="5" t="s">
        <v>94</v>
      </c>
      <c r="C23" s="6" t="s">
        <v>99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428831462</v>
      </c>
      <c r="J23" s="7">
        <v>436437844.89361715</v>
      </c>
      <c r="K23" s="7">
        <v>441402383.90070933</v>
      </c>
      <c r="L23" s="7">
        <v>399558412.3049646</v>
      </c>
      <c r="M23" s="7">
        <v>412678979.6808511</v>
      </c>
      <c r="N23" s="7">
        <v>0</v>
      </c>
      <c r="O23" s="7">
        <v>0</v>
      </c>
    </row>
    <row r="24" spans="2:39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1116489049</v>
      </c>
      <c r="J24" s="7">
        <v>1121489049</v>
      </c>
      <c r="K24" s="7">
        <v>1126453588.0070922</v>
      </c>
      <c r="L24" s="7">
        <v>1084609616.3049645</v>
      </c>
      <c r="M24" s="7">
        <v>1097730183.680851</v>
      </c>
      <c r="N24" s="7">
        <v>0</v>
      </c>
      <c r="O24" s="7">
        <v>0</v>
      </c>
    </row>
    <row r="25" spans="2:39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39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39" x14ac:dyDescent="0.25">
      <c r="B29" s="243" t="s">
        <v>102</v>
      </c>
      <c r="C29" s="243"/>
      <c r="D29" s="243"/>
      <c r="E29" s="243"/>
      <c r="F29" s="243"/>
    </row>
  </sheetData>
  <mergeCells count="2">
    <mergeCell ref="B3:C3"/>
    <mergeCell ref="B29:F29"/>
  </mergeCells>
  <pageMargins left="0.75" right="0.75" top="1" bottom="1" header="0.511811023622047" footer="0.511811023622047"/>
  <pageSetup paperSize="9" scale="30" fitToHeight="1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topLeftCell="A7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3" t="s">
        <v>166</v>
      </c>
      <c r="C1" s="83"/>
      <c r="D1" s="83"/>
      <c r="E1" s="83"/>
      <c r="F1" s="83"/>
      <c r="G1" s="215" t="s">
        <v>190</v>
      </c>
      <c r="H1" s="83"/>
      <c r="I1" s="83"/>
      <c r="J1" s="83"/>
      <c r="K1" s="83"/>
      <c r="L1" s="83"/>
      <c r="M1" s="83"/>
      <c r="N1" s="83"/>
    </row>
    <row r="2" spans="2:17" x14ac:dyDescent="0.25">
      <c r="G2" s="216" t="s">
        <v>191</v>
      </c>
      <c r="J2" s="217">
        <f ca="1">E3</f>
        <v>31</v>
      </c>
    </row>
    <row r="3" spans="2:17" ht="15.75" x14ac:dyDescent="0.25">
      <c r="B3" s="74" t="s">
        <v>103</v>
      </c>
      <c r="C3" s="75">
        <f ca="1">IF($J$5&lt;&gt;"",$J$5,MAX(0,NETWORKDAYS.INTL(MAX(TODAY(),DATE(YEAR(TODAY()),1,1)),EOMONTH(DATE(YEAR(TODAY()),1,1),0),11)-MAX(0,$J$3-$J$4)))</f>
        <v>0</v>
      </c>
      <c r="D3" s="76" t="s">
        <v>104</v>
      </c>
      <c r="E3" s="77">
        <f ca="1">DAY(EOMONTH(DATE(YEAR(TODAY()),1,1),0))</f>
        <v>31</v>
      </c>
      <c r="G3" s="216" t="s">
        <v>192</v>
      </c>
      <c r="J3" s="218">
        <v>0</v>
      </c>
    </row>
    <row r="4" spans="2:17" x14ac:dyDescent="0.25">
      <c r="G4" s="216" t="s">
        <v>193</v>
      </c>
      <c r="J4" s="218">
        <v>0</v>
      </c>
    </row>
    <row r="5" spans="2:17" x14ac:dyDescent="0.25">
      <c r="G5" s="216" t="s">
        <v>194</v>
      </c>
      <c r="J5" s="218"/>
    </row>
    <row r="6" spans="2:17" x14ac:dyDescent="0.25">
      <c r="B6" s="78" t="s">
        <v>105</v>
      </c>
      <c r="C6" s="78"/>
      <c r="D6" s="78"/>
      <c r="E6" s="78"/>
      <c r="P6" s="10" t="s">
        <v>106</v>
      </c>
      <c r="Q6" s="10" t="s">
        <v>107</v>
      </c>
    </row>
    <row r="7" spans="2:17" x14ac:dyDescent="0.25">
      <c r="B7" s="79" t="s">
        <v>108</v>
      </c>
      <c r="C7" s="79"/>
      <c r="D7" s="79"/>
      <c r="E7" s="79"/>
      <c r="P7" s="11">
        <f>C9</f>
        <v>0</v>
      </c>
      <c r="Q7" s="11">
        <f>D9</f>
        <v>0</v>
      </c>
    </row>
    <row r="8" spans="2:17" x14ac:dyDescent="0.25">
      <c r="B8" s="80" t="s">
        <v>109</v>
      </c>
      <c r="C8" s="80" t="s">
        <v>142</v>
      </c>
      <c r="D8" s="80" t="s">
        <v>110</v>
      </c>
      <c r="E8" s="80" t="s">
        <v>111</v>
      </c>
      <c r="P8" s="11">
        <f>C22</f>
        <v>0</v>
      </c>
      <c r="Q8" s="11">
        <f>D22</f>
        <v>0</v>
      </c>
    </row>
    <row r="9" spans="2:17" x14ac:dyDescent="0.25">
      <c r="B9" s="81"/>
      <c r="C9" s="82"/>
      <c r="D9" s="82"/>
      <c r="E9" s="82"/>
      <c r="P9" s="11">
        <f>C12+C13</f>
        <v>0</v>
      </c>
      <c r="Q9" s="11">
        <f>D12+D13</f>
        <v>0</v>
      </c>
    </row>
    <row r="10" spans="2:17" x14ac:dyDescent="0.25">
      <c r="B10" s="81" t="s">
        <v>112</v>
      </c>
      <c r="C10" s="82"/>
      <c r="D10" s="82"/>
      <c r="E10" s="82"/>
      <c r="P10" s="11">
        <f>C14</f>
        <v>0</v>
      </c>
      <c r="Q10" s="11">
        <f>D14</f>
        <v>0</v>
      </c>
    </row>
    <row r="11" spans="2:17" x14ac:dyDescent="0.25">
      <c r="B11" s="81" t="s">
        <v>113</v>
      </c>
      <c r="C11" s="82"/>
      <c r="D11" s="82"/>
      <c r="E11" s="82"/>
      <c r="P11" s="11">
        <f>C17</f>
        <v>0</v>
      </c>
      <c r="Q11" s="11">
        <f>D17</f>
        <v>0</v>
      </c>
    </row>
    <row r="12" spans="2:17" x14ac:dyDescent="0.25">
      <c r="B12" s="81" t="s">
        <v>70</v>
      </c>
      <c r="C12" s="82"/>
      <c r="D12" s="82"/>
      <c r="E12" s="82"/>
      <c r="P12" s="11">
        <f>C16</f>
        <v>0</v>
      </c>
      <c r="Q12" s="11">
        <f>D16</f>
        <v>0</v>
      </c>
    </row>
    <row r="13" spans="2:17" x14ac:dyDescent="0.25">
      <c r="B13" s="81" t="s">
        <v>114</v>
      </c>
      <c r="C13" s="82"/>
      <c r="D13" s="82"/>
      <c r="E13" s="82"/>
      <c r="P13" s="11">
        <f>C19</f>
        <v>0</v>
      </c>
      <c r="Q13" s="11">
        <f>D19</f>
        <v>0</v>
      </c>
    </row>
    <row r="14" spans="2:17" x14ac:dyDescent="0.25">
      <c r="B14" s="81" t="s">
        <v>115</v>
      </c>
      <c r="C14" s="82"/>
      <c r="D14" s="82"/>
      <c r="E14" s="82"/>
      <c r="P14" s="11">
        <f>C23</f>
        <v>0</v>
      </c>
      <c r="Q14" s="11">
        <f>D23</f>
        <v>0</v>
      </c>
    </row>
    <row r="15" spans="2:17" x14ac:dyDescent="0.25">
      <c r="B15" s="81" t="s">
        <v>116</v>
      </c>
      <c r="C15" s="82"/>
      <c r="D15" s="82"/>
      <c r="E15" s="82"/>
      <c r="P15" s="11">
        <f>C11</f>
        <v>0</v>
      </c>
      <c r="Q15" s="11">
        <f>D11</f>
        <v>0</v>
      </c>
    </row>
    <row r="16" spans="2:17" x14ac:dyDescent="0.25">
      <c r="B16" s="81" t="s">
        <v>74</v>
      </c>
      <c r="C16" s="82"/>
      <c r="D16" s="82"/>
      <c r="E16" s="82"/>
      <c r="P16" s="11">
        <f>C24</f>
        <v>0</v>
      </c>
      <c r="Q16" s="11">
        <f>D24</f>
        <v>0</v>
      </c>
    </row>
    <row r="17" spans="2:17" x14ac:dyDescent="0.25">
      <c r="B17" s="81" t="s">
        <v>117</v>
      </c>
      <c r="C17" s="82"/>
      <c r="D17" s="82"/>
      <c r="E17" s="82"/>
      <c r="P17" s="11">
        <f>C10</f>
        <v>0</v>
      </c>
      <c r="Q17" s="11">
        <f>D10</f>
        <v>0</v>
      </c>
    </row>
    <row r="18" spans="2:17" x14ac:dyDescent="0.25">
      <c r="B18" s="81" t="s">
        <v>118</v>
      </c>
      <c r="C18" s="82"/>
      <c r="D18" s="82"/>
      <c r="E18" s="82"/>
      <c r="P18" s="11">
        <f>C25</f>
        <v>0</v>
      </c>
      <c r="Q18" s="11">
        <f>D25</f>
        <v>0</v>
      </c>
    </row>
    <row r="19" spans="2:17" x14ac:dyDescent="0.25">
      <c r="B19" s="81" t="s">
        <v>120</v>
      </c>
      <c r="C19" s="82"/>
      <c r="D19" s="82"/>
      <c r="E19" s="82"/>
      <c r="P19" s="11">
        <f>C20+C21</f>
        <v>0</v>
      </c>
      <c r="Q19" s="11">
        <f>D20+D21</f>
        <v>0</v>
      </c>
    </row>
    <row r="20" spans="2:17" x14ac:dyDescent="0.25">
      <c r="B20" s="81" t="s">
        <v>122</v>
      </c>
      <c r="C20" s="82"/>
      <c r="D20" s="82"/>
      <c r="E20" s="82"/>
      <c r="P20" s="14">
        <f>IFERROR(C29,0)+IFERROR(C15,0)+IFERROR(C34,0)</f>
        <v>0</v>
      </c>
      <c r="Q20" s="10" t="s">
        <v>119</v>
      </c>
    </row>
    <row r="21" spans="2:17" x14ac:dyDescent="0.25">
      <c r="B21" s="81" t="s">
        <v>123</v>
      </c>
      <c r="C21" s="82"/>
      <c r="D21" s="82"/>
      <c r="E21" s="82"/>
      <c r="P21" s="14">
        <f>IFERROR(C32,0)+IFERROR(C33,0)+P20</f>
        <v>0</v>
      </c>
      <c r="Q21" s="10" t="s">
        <v>121</v>
      </c>
    </row>
    <row r="22" spans="2:17" x14ac:dyDescent="0.25">
      <c r="B22" s="81" t="s">
        <v>124</v>
      </c>
      <c r="C22" s="82"/>
      <c r="D22" s="82"/>
      <c r="E22" s="82"/>
    </row>
    <row r="23" spans="2:17" x14ac:dyDescent="0.25">
      <c r="B23" s="81" t="s">
        <v>125</v>
      </c>
      <c r="C23" s="82"/>
      <c r="D23" s="82"/>
      <c r="E23" s="82"/>
    </row>
    <row r="24" spans="2:17" x14ac:dyDescent="0.25">
      <c r="B24" s="81" t="s">
        <v>126</v>
      </c>
      <c r="C24" s="82"/>
      <c r="D24" s="82"/>
      <c r="E24" s="82"/>
    </row>
    <row r="25" spans="2:17" x14ac:dyDescent="0.25">
      <c r="B25" s="81" t="s">
        <v>127</v>
      </c>
      <c r="C25" s="82"/>
      <c r="D25" s="82"/>
      <c r="E25" s="82"/>
    </row>
    <row r="27" spans="2:17" x14ac:dyDescent="0.25">
      <c r="B27" s="79" t="s">
        <v>128</v>
      </c>
      <c r="C27" s="79"/>
    </row>
    <row r="28" spans="2:17" x14ac:dyDescent="0.25">
      <c r="B28" s="80" t="s">
        <v>129</v>
      </c>
      <c r="C28" s="80" t="s">
        <v>130</v>
      </c>
    </row>
    <row r="29" spans="2:17" x14ac:dyDescent="0.25">
      <c r="B29" s="73"/>
      <c r="C29" s="82"/>
    </row>
    <row r="30" spans="2:17" x14ac:dyDescent="0.25">
      <c r="B30" s="81" t="s">
        <v>131</v>
      </c>
      <c r="C30" s="82"/>
    </row>
    <row r="31" spans="2:17" x14ac:dyDescent="0.25">
      <c r="B31" s="81" t="s">
        <v>132</v>
      </c>
      <c r="C31" s="82"/>
    </row>
    <row r="32" spans="2:17" x14ac:dyDescent="0.25">
      <c r="B32" s="81" t="s">
        <v>133</v>
      </c>
      <c r="C32" s="82"/>
    </row>
    <row r="33" spans="2:14" x14ac:dyDescent="0.25">
      <c r="B33" s="81" t="s">
        <v>134</v>
      </c>
      <c r="C33" s="82"/>
    </row>
    <row r="34" spans="2:14" x14ac:dyDescent="0.25">
      <c r="B34" s="81" t="s">
        <v>135</v>
      </c>
      <c r="C34" s="82"/>
    </row>
    <row r="35" spans="2:14" x14ac:dyDescent="0.25">
      <c r="B35" s="81"/>
      <c r="C35" s="82"/>
    </row>
    <row r="36" spans="2:14" x14ac:dyDescent="0.25">
      <c r="B36" s="73"/>
      <c r="C36" s="82"/>
    </row>
    <row r="39" spans="2:14" ht="20.100000000000001" customHeight="1" x14ac:dyDescent="0.25">
      <c r="B39" s="84" t="s">
        <v>156</v>
      </c>
      <c r="C39" s="85"/>
      <c r="D39" s="86"/>
      <c r="E39" s="87" t="s">
        <v>137</v>
      </c>
      <c r="F39" s="88">
        <v>1</v>
      </c>
      <c r="G39" s="89"/>
      <c r="H39" s="89"/>
    </row>
    <row r="40" spans="2:14" ht="15.75" x14ac:dyDescent="0.25">
      <c r="B40" s="90" t="s">
        <v>136</v>
      </c>
      <c r="C40" s="90" t="s">
        <v>41</v>
      </c>
      <c r="D40" s="90" t="s">
        <v>137</v>
      </c>
      <c r="E40" s="90" t="s">
        <v>138</v>
      </c>
      <c r="F40" s="91" t="s">
        <v>139</v>
      </c>
      <c r="G40" s="92" t="s">
        <v>140</v>
      </c>
      <c r="H40" s="92" t="s">
        <v>141</v>
      </c>
    </row>
    <row r="41" spans="2:14" x14ac:dyDescent="0.25">
      <c r="B41" s="93" t="s">
        <v>142</v>
      </c>
      <c r="C41" s="94" t="s">
        <v>143</v>
      </c>
      <c r="D41" s="45">
        <f>SUM(TARGETS!D5:D18)</f>
        <v>7715107456</v>
      </c>
      <c r="E41" s="46">
        <f>P8+P9+P10+P11+P12+P13+P14+P15+P16+P17+P18+P19</f>
        <v>0</v>
      </c>
      <c r="F41" s="95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3" t="s">
        <v>110</v>
      </c>
      <c r="C42" s="94" t="s">
        <v>143</v>
      </c>
      <c r="D42" s="45">
        <f>SUM(TARGETS!E5:E18)</f>
        <v>1276773007</v>
      </c>
      <c r="E42" s="46">
        <f>Q8+Q9+Q10+Q11+Q12+Q13+Q14+Q15+Q16+Q17+Q18+Q19</f>
        <v>0</v>
      </c>
      <c r="F42" s="95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3" t="s">
        <v>144</v>
      </c>
      <c r="C43" s="94" t="s">
        <v>143</v>
      </c>
      <c r="D43" s="45">
        <f>SUM(TARGETS!D22:D26)</f>
        <v>1667021276</v>
      </c>
      <c r="E43" s="46">
        <f>IFERROR(C30,0)+IFERROR(C31,0)+P21+E9</f>
        <v>0</v>
      </c>
      <c r="F43" s="95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48" t="s">
        <v>145</v>
      </c>
      <c r="C44" s="249"/>
      <c r="D44" s="47">
        <f>D41+D42+D43</f>
        <v>10658901739</v>
      </c>
      <c r="E44" s="47">
        <f>E41+E42+E43</f>
        <v>0</v>
      </c>
      <c r="F44" s="96">
        <f>IFERROR(E44/D44,0)</f>
        <v>0</v>
      </c>
      <c r="G44" s="64">
        <f>G41+G42+G43</f>
        <v>10658901739</v>
      </c>
      <c r="H44" s="64">
        <f ca="1">IFERROR(G44/C3,0)</f>
        <v>0</v>
      </c>
    </row>
    <row r="46" spans="2:14" ht="18.75" x14ac:dyDescent="0.25">
      <c r="B46" s="97" t="s">
        <v>146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</row>
    <row r="47" spans="2:14" ht="17.100000000000001" customHeight="1" x14ac:dyDescent="0.25">
      <c r="B47" s="250" t="s">
        <v>41</v>
      </c>
      <c r="C47" s="250" t="s">
        <v>42</v>
      </c>
      <c r="D47" s="251" t="s">
        <v>137</v>
      </c>
      <c r="E47" s="252"/>
      <c r="F47" s="253"/>
      <c r="G47" s="98" t="s">
        <v>138</v>
      </c>
      <c r="H47" s="98"/>
      <c r="I47" s="98"/>
      <c r="J47" s="250" t="s">
        <v>139</v>
      </c>
      <c r="K47" s="99" t="s">
        <v>147</v>
      </c>
      <c r="L47" s="99"/>
      <c r="M47" s="99"/>
      <c r="N47" s="247" t="s">
        <v>148</v>
      </c>
    </row>
    <row r="48" spans="2:14" ht="15.75" x14ac:dyDescent="0.25">
      <c r="B48" s="250"/>
      <c r="C48" s="250"/>
      <c r="D48" s="100" t="s">
        <v>149</v>
      </c>
      <c r="E48" s="100" t="s">
        <v>150</v>
      </c>
      <c r="F48" s="100" t="s">
        <v>130</v>
      </c>
      <c r="G48" s="100" t="s">
        <v>149</v>
      </c>
      <c r="H48" s="100" t="s">
        <v>150</v>
      </c>
      <c r="I48" s="100" t="s">
        <v>130</v>
      </c>
      <c r="J48" s="250"/>
      <c r="K48" s="101" t="s">
        <v>142</v>
      </c>
      <c r="L48" s="101" t="s">
        <v>110</v>
      </c>
      <c r="M48" s="101" t="s">
        <v>145</v>
      </c>
      <c r="N48" s="247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2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2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2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2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2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2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2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2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2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2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2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2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3" t="s">
        <v>151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6">
        <f t="shared" si="4"/>
        <v>0</v>
      </c>
      <c r="K61" s="64">
        <f>SUM(K49:K60)</f>
        <v>7069500524</v>
      </c>
      <c r="L61" s="64">
        <f>SUM(L49:L60)</f>
        <v>1276773007</v>
      </c>
      <c r="M61" s="64">
        <f>SUM(M49:M60)</f>
        <v>8346273531</v>
      </c>
      <c r="N61" s="65">
        <f ca="1">IFERROR(M61/C3,0)</f>
        <v>0</v>
      </c>
    </row>
    <row r="63" spans="2:14" ht="18.75" x14ac:dyDescent="0.25">
      <c r="B63" s="244" t="s">
        <v>144</v>
      </c>
      <c r="C63" s="245"/>
      <c r="D63" s="245"/>
      <c r="E63" s="245"/>
      <c r="F63" s="245"/>
      <c r="G63" s="245"/>
      <c r="H63" s="246"/>
    </row>
    <row r="64" spans="2:14" x14ac:dyDescent="0.25">
      <c r="B64" s="224" t="s">
        <v>152</v>
      </c>
      <c r="C64" s="224" t="s">
        <v>42</v>
      </c>
      <c r="D64" s="224" t="s">
        <v>137</v>
      </c>
      <c r="E64" s="224" t="s">
        <v>138</v>
      </c>
      <c r="F64" s="224" t="s">
        <v>139</v>
      </c>
      <c r="G64" s="224" t="s">
        <v>140</v>
      </c>
      <c r="H64" s="224" t="s">
        <v>141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2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2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2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2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4" t="s">
        <v>101</v>
      </c>
      <c r="D69" s="51">
        <f>TARGETS!D26</f>
        <v>0</v>
      </c>
      <c r="E69" s="52">
        <f>0</f>
        <v>0</v>
      </c>
      <c r="F69" s="102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05" t="s">
        <v>151</v>
      </c>
      <c r="C70" s="58"/>
      <c r="D70" s="36">
        <f>SUM(D65:D69)</f>
        <v>1667021276</v>
      </c>
      <c r="E70" s="36">
        <f>SUM(E65:E69)</f>
        <v>0</v>
      </c>
      <c r="F70" s="106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7">
    <mergeCell ref="B63:H63"/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3" t="s">
        <v>166</v>
      </c>
      <c r="C1" s="83"/>
      <c r="D1" s="83"/>
      <c r="E1" s="83"/>
      <c r="F1" s="83"/>
      <c r="G1" s="215" t="s">
        <v>190</v>
      </c>
      <c r="H1" s="83"/>
      <c r="I1" s="83"/>
      <c r="J1" s="83"/>
      <c r="K1" s="83"/>
      <c r="L1" s="83"/>
      <c r="M1" s="83"/>
      <c r="N1" s="83"/>
    </row>
    <row r="2" spans="2:17" x14ac:dyDescent="0.25">
      <c r="G2" s="216" t="s">
        <v>191</v>
      </c>
      <c r="J2" s="217">
        <f ca="1">E3</f>
        <v>28</v>
      </c>
    </row>
    <row r="3" spans="2:17" ht="15.75" x14ac:dyDescent="0.25">
      <c r="B3" s="74" t="s">
        <v>103</v>
      </c>
      <c r="C3" s="75">
        <f ca="1">IF($J$5&lt;&gt;"",$J$5,MAX(0,NETWORKDAYS.INTL(MAX(TODAY(),DATE(YEAR(TODAY()),2,1)),EOMONTH(DATE(YEAR(TODAY()),2,1),0),11)-MAX(0,$J$3-$J$4)))</f>
        <v>0</v>
      </c>
      <c r="D3" s="76" t="s">
        <v>104</v>
      </c>
      <c r="E3" s="77">
        <f ca="1">DAY(EOMONTH(DATE(YEAR(TODAY()),2,1),0))</f>
        <v>28</v>
      </c>
      <c r="G3" s="216" t="s">
        <v>192</v>
      </c>
      <c r="J3" s="218">
        <v>0</v>
      </c>
    </row>
    <row r="4" spans="2:17" x14ac:dyDescent="0.25">
      <c r="G4" s="216" t="s">
        <v>193</v>
      </c>
      <c r="J4" s="218">
        <v>0</v>
      </c>
    </row>
    <row r="5" spans="2:17" x14ac:dyDescent="0.25">
      <c r="G5" s="216" t="s">
        <v>194</v>
      </c>
      <c r="J5" s="218"/>
    </row>
    <row r="6" spans="2:17" x14ac:dyDescent="0.25">
      <c r="B6" s="78" t="s">
        <v>105</v>
      </c>
      <c r="C6" s="78"/>
      <c r="D6" s="78"/>
      <c r="E6" s="78"/>
      <c r="P6" s="10" t="s">
        <v>106</v>
      </c>
      <c r="Q6" s="10" t="s">
        <v>107</v>
      </c>
    </row>
    <row r="7" spans="2:17" x14ac:dyDescent="0.25">
      <c r="B7" s="79" t="s">
        <v>108</v>
      </c>
      <c r="C7" s="79"/>
      <c r="D7" s="79"/>
      <c r="E7" s="79"/>
      <c r="P7" s="11">
        <f>C9</f>
        <v>0</v>
      </c>
      <c r="Q7" s="11">
        <f>D9</f>
        <v>0</v>
      </c>
    </row>
    <row r="8" spans="2:17" x14ac:dyDescent="0.25">
      <c r="B8" s="80" t="s">
        <v>109</v>
      </c>
      <c r="C8" s="80" t="s">
        <v>142</v>
      </c>
      <c r="D8" s="80" t="s">
        <v>110</v>
      </c>
      <c r="E8" s="80" t="s">
        <v>111</v>
      </c>
      <c r="P8" s="11">
        <f>C22</f>
        <v>0</v>
      </c>
      <c r="Q8" s="11">
        <f>D22</f>
        <v>0</v>
      </c>
    </row>
    <row r="9" spans="2:17" x14ac:dyDescent="0.25">
      <c r="B9" s="81"/>
      <c r="C9" s="82"/>
      <c r="D9" s="82"/>
      <c r="E9" s="82"/>
      <c r="P9" s="11">
        <f>C12+C13</f>
        <v>0</v>
      </c>
      <c r="Q9" s="11">
        <f>D12+D13</f>
        <v>0</v>
      </c>
    </row>
    <row r="10" spans="2:17" x14ac:dyDescent="0.25">
      <c r="B10" s="81" t="s">
        <v>112</v>
      </c>
      <c r="C10" s="82"/>
      <c r="D10" s="82"/>
      <c r="E10" s="82"/>
      <c r="P10" s="11">
        <f>C14</f>
        <v>0</v>
      </c>
      <c r="Q10" s="11">
        <f>D14</f>
        <v>0</v>
      </c>
    </row>
    <row r="11" spans="2:17" x14ac:dyDescent="0.25">
      <c r="B11" s="81" t="s">
        <v>113</v>
      </c>
      <c r="C11" s="82"/>
      <c r="D11" s="82"/>
      <c r="E11" s="82"/>
      <c r="P11" s="11">
        <f>C17</f>
        <v>0</v>
      </c>
      <c r="Q11" s="11">
        <f>D17</f>
        <v>0</v>
      </c>
    </row>
    <row r="12" spans="2:17" x14ac:dyDescent="0.25">
      <c r="B12" s="81" t="s">
        <v>70</v>
      </c>
      <c r="C12" s="82"/>
      <c r="D12" s="82"/>
      <c r="E12" s="82"/>
      <c r="P12" s="11">
        <f>C16</f>
        <v>0</v>
      </c>
      <c r="Q12" s="11">
        <f>D16</f>
        <v>0</v>
      </c>
    </row>
    <row r="13" spans="2:17" x14ac:dyDescent="0.25">
      <c r="B13" s="81" t="s">
        <v>114</v>
      </c>
      <c r="C13" s="82"/>
      <c r="D13" s="82"/>
      <c r="E13" s="82"/>
      <c r="P13" s="11">
        <f>C19</f>
        <v>0</v>
      </c>
      <c r="Q13" s="11">
        <f>D19</f>
        <v>0</v>
      </c>
    </row>
    <row r="14" spans="2:17" x14ac:dyDescent="0.25">
      <c r="B14" s="81" t="s">
        <v>115</v>
      </c>
      <c r="C14" s="82"/>
      <c r="D14" s="82"/>
      <c r="E14" s="82"/>
      <c r="P14" s="11">
        <f>C23</f>
        <v>0</v>
      </c>
      <c r="Q14" s="11">
        <f>D23</f>
        <v>0</v>
      </c>
    </row>
    <row r="15" spans="2:17" x14ac:dyDescent="0.25">
      <c r="B15" s="81" t="s">
        <v>116</v>
      </c>
      <c r="C15" s="82"/>
      <c r="D15" s="82"/>
      <c r="E15" s="82"/>
      <c r="P15" s="11">
        <f>C11</f>
        <v>0</v>
      </c>
      <c r="Q15" s="11">
        <f>D11</f>
        <v>0</v>
      </c>
    </row>
    <row r="16" spans="2:17" x14ac:dyDescent="0.25">
      <c r="B16" s="81" t="s">
        <v>74</v>
      </c>
      <c r="C16" s="82"/>
      <c r="D16" s="82"/>
      <c r="E16" s="82"/>
      <c r="P16" s="11">
        <f>C24</f>
        <v>0</v>
      </c>
      <c r="Q16" s="11">
        <f>D24</f>
        <v>0</v>
      </c>
    </row>
    <row r="17" spans="2:17" x14ac:dyDescent="0.25">
      <c r="B17" s="81" t="s">
        <v>117</v>
      </c>
      <c r="C17" s="82"/>
      <c r="D17" s="82"/>
      <c r="E17" s="82"/>
      <c r="P17" s="11">
        <f>C10</f>
        <v>0</v>
      </c>
      <c r="Q17" s="11">
        <f>D10</f>
        <v>0</v>
      </c>
    </row>
    <row r="18" spans="2:17" x14ac:dyDescent="0.25">
      <c r="B18" s="81" t="s">
        <v>118</v>
      </c>
      <c r="C18" s="82"/>
      <c r="D18" s="82"/>
      <c r="E18" s="82"/>
      <c r="P18" s="11">
        <f>C25</f>
        <v>0</v>
      </c>
      <c r="Q18" s="11">
        <f>D25</f>
        <v>0</v>
      </c>
    </row>
    <row r="19" spans="2:17" x14ac:dyDescent="0.25">
      <c r="B19" s="81" t="s">
        <v>120</v>
      </c>
      <c r="C19" s="82"/>
      <c r="D19" s="82"/>
      <c r="E19" s="82"/>
      <c r="P19" s="11">
        <f>C20+C21</f>
        <v>0</v>
      </c>
      <c r="Q19" s="11">
        <f>D20+D21</f>
        <v>0</v>
      </c>
    </row>
    <row r="20" spans="2:17" x14ac:dyDescent="0.25">
      <c r="B20" s="81" t="s">
        <v>122</v>
      </c>
      <c r="C20" s="82"/>
      <c r="D20" s="82"/>
      <c r="E20" s="82"/>
      <c r="P20" s="14">
        <f>IFERROR(C29,0)+IFERROR(C15,0)+IFERROR(C34,0)</f>
        <v>0</v>
      </c>
      <c r="Q20" s="10" t="s">
        <v>119</v>
      </c>
    </row>
    <row r="21" spans="2:17" x14ac:dyDescent="0.25">
      <c r="B21" s="81" t="s">
        <v>123</v>
      </c>
      <c r="C21" s="82"/>
      <c r="D21" s="82"/>
      <c r="E21" s="82"/>
      <c r="P21" s="14">
        <f>IFERROR(C32,0)+IFERROR(C33,0)+P20</f>
        <v>0</v>
      </c>
      <c r="Q21" s="10" t="s">
        <v>121</v>
      </c>
    </row>
    <row r="22" spans="2:17" x14ac:dyDescent="0.25">
      <c r="B22" s="81" t="s">
        <v>124</v>
      </c>
      <c r="C22" s="82"/>
      <c r="D22" s="82"/>
      <c r="E22" s="82"/>
    </row>
    <row r="23" spans="2:17" x14ac:dyDescent="0.25">
      <c r="B23" s="81" t="s">
        <v>125</v>
      </c>
      <c r="C23" s="82"/>
      <c r="D23" s="82"/>
      <c r="E23" s="82"/>
    </row>
    <row r="24" spans="2:17" x14ac:dyDescent="0.25">
      <c r="B24" s="81" t="s">
        <v>126</v>
      </c>
      <c r="C24" s="82"/>
      <c r="D24" s="82"/>
      <c r="E24" s="82"/>
    </row>
    <row r="25" spans="2:17" x14ac:dyDescent="0.25">
      <c r="B25" s="81" t="s">
        <v>127</v>
      </c>
      <c r="C25" s="82"/>
      <c r="D25" s="82"/>
      <c r="E25" s="82"/>
    </row>
    <row r="27" spans="2:17" x14ac:dyDescent="0.25">
      <c r="B27" s="79" t="s">
        <v>128</v>
      </c>
      <c r="C27" s="79"/>
    </row>
    <row r="28" spans="2:17" x14ac:dyDescent="0.25">
      <c r="B28" s="80" t="s">
        <v>129</v>
      </c>
      <c r="C28" s="80" t="s">
        <v>130</v>
      </c>
    </row>
    <row r="29" spans="2:17" x14ac:dyDescent="0.25">
      <c r="B29" s="73"/>
      <c r="C29" s="82"/>
    </row>
    <row r="30" spans="2:17" x14ac:dyDescent="0.25">
      <c r="B30" s="81" t="s">
        <v>131</v>
      </c>
      <c r="C30" s="82"/>
    </row>
    <row r="31" spans="2:17" x14ac:dyDescent="0.25">
      <c r="B31" s="81" t="s">
        <v>132</v>
      </c>
      <c r="C31" s="82"/>
    </row>
    <row r="32" spans="2:17" x14ac:dyDescent="0.25">
      <c r="B32" s="81" t="s">
        <v>133</v>
      </c>
      <c r="C32" s="82"/>
    </row>
    <row r="33" spans="2:14" x14ac:dyDescent="0.25">
      <c r="B33" s="81" t="s">
        <v>134</v>
      </c>
      <c r="C33" s="82"/>
    </row>
    <row r="34" spans="2:14" x14ac:dyDescent="0.25">
      <c r="B34" s="81" t="s">
        <v>135</v>
      </c>
      <c r="C34" s="82"/>
    </row>
    <row r="35" spans="2:14" x14ac:dyDescent="0.25">
      <c r="B35" s="81"/>
      <c r="C35" s="82"/>
    </row>
    <row r="36" spans="2:14" x14ac:dyDescent="0.25">
      <c r="B36" s="73"/>
      <c r="C36" s="82"/>
    </row>
    <row r="39" spans="2:14" ht="20.100000000000001" customHeight="1" x14ac:dyDescent="0.25">
      <c r="B39" s="84" t="s">
        <v>156</v>
      </c>
      <c r="C39" s="85"/>
      <c r="D39" s="86"/>
      <c r="E39" s="87" t="s">
        <v>137</v>
      </c>
      <c r="F39" s="88">
        <v>1</v>
      </c>
      <c r="G39" s="89"/>
      <c r="H39" s="89"/>
    </row>
    <row r="40" spans="2:14" ht="15.75" x14ac:dyDescent="0.25">
      <c r="B40" s="90" t="s">
        <v>136</v>
      </c>
      <c r="C40" s="90" t="s">
        <v>41</v>
      </c>
      <c r="D40" s="90" t="s">
        <v>137</v>
      </c>
      <c r="E40" s="90" t="s">
        <v>138</v>
      </c>
      <c r="F40" s="91" t="s">
        <v>139</v>
      </c>
      <c r="G40" s="92" t="s">
        <v>140</v>
      </c>
      <c r="H40" s="92" t="s">
        <v>141</v>
      </c>
    </row>
    <row r="41" spans="2:14" x14ac:dyDescent="0.25">
      <c r="B41" s="93" t="s">
        <v>142</v>
      </c>
      <c r="C41" s="94" t="s">
        <v>143</v>
      </c>
      <c r="D41" s="45">
        <f>SUM(TARGETS!G5:G18)</f>
        <v>6785121897</v>
      </c>
      <c r="E41" s="46">
        <f>P8+P9+P10+P11+P12+P13+P14+P15+P16+P17+P18+P19</f>
        <v>0</v>
      </c>
      <c r="F41" s="95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3" t="s">
        <v>110</v>
      </c>
      <c r="C42" s="94" t="s">
        <v>143</v>
      </c>
      <c r="D42" s="45">
        <f>SUM(TARGETS!H5:H18)</f>
        <v>1174575386</v>
      </c>
      <c r="E42" s="46">
        <f>Q8+Q9+Q10+Q11+Q12+Q13+Q14+Q15+Q16+Q17+Q18+Q19</f>
        <v>0</v>
      </c>
      <c r="F42" s="95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3" t="s">
        <v>144</v>
      </c>
      <c r="C43" s="94" t="s">
        <v>143</v>
      </c>
      <c r="D43" s="45">
        <f>SUM(TARGETS!E22:E26)</f>
        <v>1816737288</v>
      </c>
      <c r="E43" s="46">
        <f>IFERROR(C30,0)+IFERROR(C31,0)+P21+E9</f>
        <v>0</v>
      </c>
      <c r="F43" s="95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48" t="s">
        <v>145</v>
      </c>
      <c r="C44" s="249"/>
      <c r="D44" s="47">
        <f>D41+D42+D43</f>
        <v>9776434571</v>
      </c>
      <c r="E44" s="47">
        <f>E41+E42+E43</f>
        <v>0</v>
      </c>
      <c r="F44" s="96">
        <f>IFERROR(E44/D44,0)</f>
        <v>0</v>
      </c>
      <c r="G44" s="64">
        <f>G41+G42+G43</f>
        <v>9776434571</v>
      </c>
      <c r="H44" s="64">
        <f ca="1">IFERROR(G44/C3,0)</f>
        <v>0</v>
      </c>
    </row>
    <row r="46" spans="2:14" ht="18.75" x14ac:dyDescent="0.25">
      <c r="B46" s="97" t="s">
        <v>146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</row>
    <row r="47" spans="2:14" ht="17.100000000000001" customHeight="1" x14ac:dyDescent="0.25">
      <c r="B47" s="250" t="s">
        <v>41</v>
      </c>
      <c r="C47" s="250" t="s">
        <v>42</v>
      </c>
      <c r="D47" s="251" t="s">
        <v>137</v>
      </c>
      <c r="E47" s="252"/>
      <c r="F47" s="253"/>
      <c r="G47" s="98" t="s">
        <v>138</v>
      </c>
      <c r="H47" s="98"/>
      <c r="I47" s="98"/>
      <c r="J47" s="250" t="s">
        <v>139</v>
      </c>
      <c r="K47" s="99" t="s">
        <v>147</v>
      </c>
      <c r="L47" s="99"/>
      <c r="M47" s="99"/>
      <c r="N47" s="247" t="s">
        <v>148</v>
      </c>
    </row>
    <row r="48" spans="2:14" ht="15.75" x14ac:dyDescent="0.25">
      <c r="B48" s="250"/>
      <c r="C48" s="250"/>
      <c r="D48" s="100" t="s">
        <v>149</v>
      </c>
      <c r="E48" s="100" t="s">
        <v>150</v>
      </c>
      <c r="F48" s="100" t="s">
        <v>130</v>
      </c>
      <c r="G48" s="100" t="s">
        <v>149</v>
      </c>
      <c r="H48" s="100" t="s">
        <v>150</v>
      </c>
      <c r="I48" s="100" t="s">
        <v>130</v>
      </c>
      <c r="J48" s="250"/>
      <c r="K48" s="101" t="s">
        <v>142</v>
      </c>
      <c r="L48" s="101" t="s">
        <v>110</v>
      </c>
      <c r="M48" s="101" t="s">
        <v>145</v>
      </c>
      <c r="N48" s="247"/>
    </row>
    <row r="49" spans="2:14" x14ac:dyDescent="0.25">
      <c r="B49" s="50" t="s">
        <v>67</v>
      </c>
      <c r="C49" s="50" t="s">
        <v>68</v>
      </c>
      <c r="D49" s="51">
        <f>TARGETS!G5</f>
        <v>321645623</v>
      </c>
      <c r="E49" s="51">
        <f>TARGETS!H5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2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TARGETS!G6</f>
        <v>1018372028</v>
      </c>
      <c r="E50" s="51">
        <f>TARGETS!H6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2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TARGETS!G8</f>
        <v>471021318</v>
      </c>
      <c r="E51" s="51">
        <f>TARGETS!H8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2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TARGETS!G9</f>
        <v>454979542</v>
      </c>
      <c r="E52" s="51">
        <f>TARGETS!H9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2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TARGETS!G10</f>
        <v>498840215</v>
      </c>
      <c r="E53" s="51">
        <f>TARGETS!H10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2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TARGETS!G11</f>
        <v>899243816</v>
      </c>
      <c r="E54" s="51">
        <f>TARGETS!H11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2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TARGETS!G12</f>
        <v>967757378</v>
      </c>
      <c r="E55" s="51">
        <f>TARGETS!H12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2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TARGETS!G14</f>
        <v>459601727</v>
      </c>
      <c r="E56" s="51">
        <f>TARGETS!H14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2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TARGETS!G15</f>
        <v>543752169</v>
      </c>
      <c r="E57" s="51">
        <f>TARGETS!H15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2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TARGETS!G16</f>
        <v>344811375</v>
      </c>
      <c r="E58" s="51">
        <f>TARGETS!H16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2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TARGETS!G17</f>
        <v>513161009</v>
      </c>
      <c r="E59" s="51">
        <f>TARGETS!H17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2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TARGETS!G18</f>
        <v>291935697</v>
      </c>
      <c r="E60" s="51">
        <f>TARGETS!H18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2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3" t="s">
        <v>151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6">
        <f t="shared" si="4"/>
        <v>0</v>
      </c>
      <c r="K61" s="64">
        <f>SUM(K49:K60)</f>
        <v>6785121897</v>
      </c>
      <c r="L61" s="64">
        <f>SUM(L49:L60)</f>
        <v>1174575386</v>
      </c>
      <c r="M61" s="64">
        <f>SUM(M49:M60)</f>
        <v>7959697283</v>
      </c>
      <c r="N61" s="65">
        <f ca="1">IFERROR(M61/C3,0)</f>
        <v>0</v>
      </c>
    </row>
    <row r="63" spans="2:14" ht="18.75" x14ac:dyDescent="0.25">
      <c r="B63" s="244" t="s">
        <v>144</v>
      </c>
      <c r="C63" s="245"/>
      <c r="D63" s="245"/>
      <c r="E63" s="245"/>
      <c r="F63" s="245"/>
      <c r="G63" s="245"/>
      <c r="H63" s="246"/>
    </row>
    <row r="64" spans="2:14" x14ac:dyDescent="0.25">
      <c r="B64" s="224" t="s">
        <v>152</v>
      </c>
      <c r="C64" s="224" t="s">
        <v>42</v>
      </c>
      <c r="D64" s="224" t="s">
        <v>137</v>
      </c>
      <c r="E64" s="224" t="s">
        <v>138</v>
      </c>
      <c r="F64" s="224" t="s">
        <v>139</v>
      </c>
      <c r="G64" s="224" t="s">
        <v>140</v>
      </c>
      <c r="H64" s="224" t="s">
        <v>141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2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2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2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2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4" t="s">
        <v>101</v>
      </c>
      <c r="D69" s="51">
        <f>TARGETS!E26</f>
        <v>0</v>
      </c>
      <c r="E69" s="52">
        <f>0</f>
        <v>0</v>
      </c>
      <c r="F69" s="102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05" t="s">
        <v>151</v>
      </c>
      <c r="C70" s="58"/>
      <c r="D70" s="36">
        <f>SUM(D65:D69)</f>
        <v>1816737288</v>
      </c>
      <c r="E70" s="36">
        <f>SUM(E65:E69)</f>
        <v>0</v>
      </c>
      <c r="F70" s="106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7">
    <mergeCell ref="B63:H63"/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153</v>
      </c>
      <c r="C1" s="21"/>
      <c r="D1" s="21"/>
      <c r="E1" s="21"/>
      <c r="F1" s="21"/>
      <c r="G1" s="219" t="s">
        <v>190</v>
      </c>
      <c r="H1" s="21"/>
      <c r="I1" s="21"/>
      <c r="J1" s="21"/>
      <c r="K1" s="21"/>
      <c r="L1" s="21"/>
      <c r="M1" s="21"/>
      <c r="N1" s="21"/>
    </row>
    <row r="2" spans="2:17" x14ac:dyDescent="0.25">
      <c r="G2" s="216" t="s">
        <v>191</v>
      </c>
      <c r="J2" s="217">
        <f ca="1">E3</f>
        <v>31</v>
      </c>
    </row>
    <row r="3" spans="2:17" ht="15.75" x14ac:dyDescent="0.25">
      <c r="B3" s="22" t="s">
        <v>103</v>
      </c>
      <c r="C3" s="8">
        <f ca="1">IF($J$5&lt;&gt;"",$J$5,MAX(0,NETWORKDAYS.INTL(MAX(TODAY(),DATE(YEAR(TODAY()),3,1)),EOMONTH(DATE(YEAR(TODAY()),3,1),0),11)-MAX(0,$J$3-$J$4)))</f>
        <v>0</v>
      </c>
      <c r="D3" s="23" t="s">
        <v>104</v>
      </c>
      <c r="E3" s="9">
        <f ca="1">DAY(EOMONTH(DATE(YEAR(TODAY()),3,1),0))</f>
        <v>31</v>
      </c>
      <c r="G3" s="216" t="s">
        <v>192</v>
      </c>
      <c r="J3" s="218">
        <v>0</v>
      </c>
    </row>
    <row r="4" spans="2:17" x14ac:dyDescent="0.25">
      <c r="G4" s="216" t="s">
        <v>193</v>
      </c>
      <c r="J4" s="218">
        <v>0</v>
      </c>
    </row>
    <row r="5" spans="2:17" x14ac:dyDescent="0.25">
      <c r="G5" s="216" t="s">
        <v>194</v>
      </c>
      <c r="J5" s="218"/>
    </row>
    <row r="6" spans="2:17" x14ac:dyDescent="0.25">
      <c r="B6" s="78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79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142</v>
      </c>
      <c r="D8" s="12" t="s">
        <v>110</v>
      </c>
      <c r="E8" s="12" t="s">
        <v>111</v>
      </c>
      <c r="P8" s="11">
        <f>C22</f>
        <v>256161734.12700599</v>
      </c>
      <c r="Q8" s="11">
        <f>D22</f>
        <v>33244869.869984999</v>
      </c>
    </row>
    <row r="9" spans="2:17" x14ac:dyDescent="0.25">
      <c r="B9" s="72" t="s">
        <v>165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2" t="s">
        <v>112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2" t="s">
        <v>113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2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2" t="s">
        <v>114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2" t="s">
        <v>115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2" t="s">
        <v>116</v>
      </c>
      <c r="C15" s="15">
        <v>282161.88</v>
      </c>
      <c r="D15" s="15" t="s">
        <v>164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2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2" t="s">
        <v>117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2" t="s">
        <v>118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2" t="s">
        <v>120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2" t="s">
        <v>122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119</v>
      </c>
    </row>
    <row r="21" spans="2:17" x14ac:dyDescent="0.25">
      <c r="B21" s="72" t="s">
        <v>123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121</v>
      </c>
    </row>
    <row r="22" spans="2:17" x14ac:dyDescent="0.25">
      <c r="B22" s="72" t="s">
        <v>124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2" t="s">
        <v>125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2" t="s">
        <v>126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2" t="s">
        <v>127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79" t="s">
        <v>128</v>
      </c>
      <c r="C27" s="16"/>
    </row>
    <row r="28" spans="2:17" x14ac:dyDescent="0.25">
      <c r="B28" s="12" t="s">
        <v>129</v>
      </c>
      <c r="C28" s="12" t="s">
        <v>130</v>
      </c>
    </row>
    <row r="29" spans="2:17" x14ac:dyDescent="0.25">
      <c r="B29" s="72" t="s">
        <v>164</v>
      </c>
      <c r="C29" s="15">
        <v>3087270.2699850001</v>
      </c>
    </row>
    <row r="30" spans="2:17" x14ac:dyDescent="0.25">
      <c r="B30" s="72" t="s">
        <v>131</v>
      </c>
      <c r="C30" s="15">
        <v>174213927.33888301</v>
      </c>
    </row>
    <row r="31" spans="2:17" x14ac:dyDescent="0.25">
      <c r="B31" s="72" t="s">
        <v>132</v>
      </c>
      <c r="C31" s="15">
        <v>309778739.936719</v>
      </c>
    </row>
    <row r="32" spans="2:17" x14ac:dyDescent="0.25">
      <c r="B32" s="72" t="s">
        <v>133</v>
      </c>
      <c r="C32" s="15">
        <v>276397406.795636</v>
      </c>
    </row>
    <row r="33" spans="2:17" x14ac:dyDescent="0.25">
      <c r="B33" s="72" t="s">
        <v>134</v>
      </c>
      <c r="C33" s="15">
        <v>399290297.73101801</v>
      </c>
    </row>
    <row r="34" spans="2:17" x14ac:dyDescent="0.25">
      <c r="B34" s="72" t="s">
        <v>135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154</v>
      </c>
      <c r="C39" s="38"/>
      <c r="D39" s="39"/>
      <c r="E39" s="66" t="s">
        <v>137</v>
      </c>
      <c r="F39" s="71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7" t="s">
        <v>136</v>
      </c>
      <c r="C40" s="67" t="s">
        <v>41</v>
      </c>
      <c r="D40" s="67" t="s">
        <v>137</v>
      </c>
      <c r="E40" s="67" t="s">
        <v>138</v>
      </c>
      <c r="F40" s="68"/>
      <c r="G40" s="31" t="s">
        <v>140</v>
      </c>
      <c r="H40" s="31" t="s">
        <v>141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142</v>
      </c>
      <c r="C41" s="41" t="s">
        <v>143</v>
      </c>
      <c r="D41" s="45">
        <f>SUM(TARGETS!J5:J18)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110</v>
      </c>
      <c r="C42" s="41" t="s">
        <v>143</v>
      </c>
      <c r="D42" s="45">
        <f>SUM(TARGETS!K5:K18)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144</v>
      </c>
      <c r="C43" s="41" t="s">
        <v>143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61" t="s">
        <v>145</v>
      </c>
      <c r="C44" s="262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4">
        <f>G41+G42+G43</f>
        <v>3176975398.4292932</v>
      </c>
      <c r="H44" s="64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146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63" t="s">
        <v>41</v>
      </c>
      <c r="C47" s="263" t="s">
        <v>42</v>
      </c>
      <c r="D47" s="258" t="s">
        <v>137</v>
      </c>
      <c r="E47" s="259"/>
      <c r="F47" s="260"/>
      <c r="G47" s="69" t="s">
        <v>138</v>
      </c>
      <c r="H47" s="69"/>
      <c r="I47" s="69"/>
      <c r="J47" s="263" t="s">
        <v>139</v>
      </c>
      <c r="K47" s="35" t="s">
        <v>147</v>
      </c>
      <c r="L47" s="35"/>
      <c r="M47" s="35"/>
      <c r="N47" s="257" t="s">
        <v>148</v>
      </c>
    </row>
    <row r="48" spans="2:17" ht="15.75" x14ac:dyDescent="0.25">
      <c r="B48" s="263"/>
      <c r="C48" s="263"/>
      <c r="D48" s="70" t="s">
        <v>149</v>
      </c>
      <c r="E48" s="70" t="s">
        <v>150</v>
      </c>
      <c r="F48" s="70" t="s">
        <v>130</v>
      </c>
      <c r="G48" s="70" t="s">
        <v>149</v>
      </c>
      <c r="H48" s="70" t="s">
        <v>150</v>
      </c>
      <c r="I48" s="70" t="s">
        <v>130</v>
      </c>
      <c r="J48" s="263"/>
      <c r="K48" s="34" t="s">
        <v>142</v>
      </c>
      <c r="L48" s="34" t="s">
        <v>110</v>
      </c>
      <c r="M48" s="34" t="s">
        <v>145</v>
      </c>
      <c r="N48" s="257"/>
    </row>
    <row r="49" spans="2:14" x14ac:dyDescent="0.25">
      <c r="B49" s="50" t="s">
        <v>67</v>
      </c>
      <c r="C49" s="55" t="s">
        <v>68</v>
      </c>
      <c r="D49" s="51">
        <f>TARGETS!J5</f>
        <v>317433802</v>
      </c>
      <c r="E49" s="51">
        <f>TARGETS!K5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0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TARGETS!J6</f>
        <v>1009948386</v>
      </c>
      <c r="E50" s="54">
        <f>TARGETS!K6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0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TARGETS!J8</f>
        <v>466809497</v>
      </c>
      <c r="E51" s="51">
        <f>TARGETS!K8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0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TARGETS!J9</f>
        <v>450767722</v>
      </c>
      <c r="E52" s="54">
        <f>TARGETS!K9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0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TARGETS!J10</f>
        <v>494628394</v>
      </c>
      <c r="E53" s="51">
        <f>TARGETS!K10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0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TARGETS!J11</f>
        <v>895031995</v>
      </c>
      <c r="E54" s="54">
        <f>TARGETS!K11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0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TARGETS!J12</f>
        <v>963545558</v>
      </c>
      <c r="E55" s="51">
        <f>TARGETS!K12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0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TARGETS!J14</f>
        <v>455389906</v>
      </c>
      <c r="E56" s="54">
        <f>TARGETS!K14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0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TARGETS!J15</f>
        <v>539540348</v>
      </c>
      <c r="E57" s="51">
        <f>TARGETS!K15</f>
        <v>40059909</v>
      </c>
      <c r="F57" s="51">
        <f t="shared" si="0"/>
        <v>579600257</v>
      </c>
      <c r="G57" s="52">
        <f t="shared" ref="G57:H60" si="7">P16</f>
        <v>391231932.82522798</v>
      </c>
      <c r="H57" s="52">
        <f t="shared" si="7"/>
        <v>47651172.919932999</v>
      </c>
      <c r="I57" s="52">
        <f t="shared" si="2"/>
        <v>438883105.745161</v>
      </c>
      <c r="J57" s="60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TARGETS!J16</f>
        <v>340599555</v>
      </c>
      <c r="E58" s="54">
        <f>TARGETS!K16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7"/>
        <v>27052168.832586002</v>
      </c>
      <c r="I58" s="52">
        <f t="shared" si="2"/>
        <v>268845214.54823703</v>
      </c>
      <c r="J58" s="60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TARGETS!J17</f>
        <v>508949188</v>
      </c>
      <c r="E59" s="51">
        <f>TARGETS!K17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7"/>
        <v>176031889.35981199</v>
      </c>
      <c r="I59" s="52">
        <f t="shared" si="2"/>
        <v>727805151.44307697</v>
      </c>
      <c r="J59" s="60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TARGETS!J18</f>
        <v>283512056</v>
      </c>
      <c r="E60" s="54">
        <f>TARGETS!K18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7"/>
        <v>146484460.668556</v>
      </c>
      <c r="I60" s="52">
        <f t="shared" si="2"/>
        <v>332166836.23742998</v>
      </c>
      <c r="J60" s="60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151</v>
      </c>
      <c r="C61" s="58"/>
      <c r="D61" s="36">
        <f t="shared" ref="D61:I61" si="8">SUM(D49:D60)</f>
        <v>6726156407</v>
      </c>
      <c r="E61" s="36">
        <f t="shared" si="8"/>
        <v>1269766212</v>
      </c>
      <c r="F61" s="36">
        <f t="shared" si="8"/>
        <v>7995922619</v>
      </c>
      <c r="G61" s="36">
        <f t="shared" si="8"/>
        <v>4565958013.3156729</v>
      </c>
      <c r="H61" s="36">
        <f t="shared" si="8"/>
        <v>850498025.18287301</v>
      </c>
      <c r="I61" s="36">
        <f t="shared" si="8"/>
        <v>5416456038.4985456</v>
      </c>
      <c r="J61" s="43">
        <f t="shared" si="3"/>
        <v>0.67740225819943567</v>
      </c>
      <c r="K61" s="64">
        <f>SUM(K49:K60)</f>
        <v>2160198393.6843271</v>
      </c>
      <c r="L61" s="64">
        <f>SUM(L49:L60)</f>
        <v>419268186.81712699</v>
      </c>
      <c r="M61" s="64">
        <f>SUM(M49:M60)</f>
        <v>2579466580.5014544</v>
      </c>
      <c r="N61" s="65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254" t="s">
        <v>144</v>
      </c>
      <c r="C63" s="255"/>
      <c r="D63" s="255"/>
      <c r="E63" s="255"/>
      <c r="F63" s="255"/>
      <c r="G63" s="255"/>
      <c r="H63" s="256"/>
      <c r="I63" s="24"/>
      <c r="J63" s="24"/>
      <c r="K63" s="24"/>
      <c r="L63" s="24"/>
      <c r="M63" s="24"/>
      <c r="N63" s="24"/>
    </row>
    <row r="64" spans="2:14" x14ac:dyDescent="0.25">
      <c r="B64" s="225" t="s">
        <v>152</v>
      </c>
      <c r="C64" s="225" t="s">
        <v>42</v>
      </c>
      <c r="D64" s="225" t="s">
        <v>137</v>
      </c>
      <c r="E64" s="225" t="s">
        <v>138</v>
      </c>
      <c r="F64" s="225" t="s">
        <v>139</v>
      </c>
      <c r="G64" s="225" t="s">
        <v>140</v>
      </c>
      <c r="H64" s="225" t="s">
        <v>141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1" t="s">
        <v>93</v>
      </c>
      <c r="D65" s="51">
        <f>TARGETS!F22</f>
        <v>323873505</v>
      </c>
      <c r="E65" s="52">
        <f>IFERROR(C30,0)</f>
        <v>174213927.33888301</v>
      </c>
      <c r="F65" s="60">
        <f t="shared" ref="F65:F70" si="9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2" t="s">
        <v>95</v>
      </c>
      <c r="D66" s="54">
        <f>TARGETS!F23</f>
        <v>455379010</v>
      </c>
      <c r="E66" s="52">
        <f>IFERROR(C31,0)</f>
        <v>309778739.936719</v>
      </c>
      <c r="F66" s="60">
        <f t="shared" si="9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1" t="s">
        <v>97</v>
      </c>
      <c r="D67" s="51">
        <f>TARGETS!F24</f>
        <v>989815282</v>
      </c>
      <c r="E67" s="52">
        <f>P21+P7</f>
        <v>687566311.79655898</v>
      </c>
      <c r="F67" s="60">
        <f t="shared" si="9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2" t="s">
        <v>99</v>
      </c>
      <c r="D68" s="54">
        <f>TARGETS!F25</f>
        <v>0</v>
      </c>
      <c r="E68" s="52">
        <f>0</f>
        <v>0</v>
      </c>
      <c r="F68" s="60">
        <f t="shared" si="9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3" t="s">
        <v>101</v>
      </c>
      <c r="D69" s="51">
        <f>TARGETS!F26</f>
        <v>0</v>
      </c>
      <c r="E69" s="52">
        <f>0</f>
        <v>0</v>
      </c>
      <c r="F69" s="60">
        <f t="shared" si="9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151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9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7">
    <mergeCell ref="B63:H63"/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4"/>
  <sheetViews>
    <sheetView showGridLines="0" topLeftCell="A50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9" width="15.28515625" style="111" customWidth="1"/>
    <col min="10" max="18" width="15.28515625" customWidth="1"/>
  </cols>
  <sheetData>
    <row r="1" spans="2:14" ht="19.5" x14ac:dyDescent="0.25">
      <c r="B1" s="83" t="s">
        <v>155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191</v>
      </c>
      <c r="J2" s="217">
        <f ca="1">E3</f>
        <v>30</v>
      </c>
    </row>
    <row r="3" spans="2:14" ht="15.75" x14ac:dyDescent="0.25">
      <c r="B3" s="74" t="s">
        <v>103</v>
      </c>
      <c r="C3" s="75">
        <f ca="1">IF($J$5&lt;&gt;"",$J$5,MAX(0,NETWORKDAYS.INTL(MAX(TODAY(),DATE(YEAR(TODAY()),4,1)),EOMONTH(DATE(YEAR(TODAY()),4,1),0),11)-MAX(0,$J$3-$J$4)))</f>
        <v>0</v>
      </c>
      <c r="D3" s="76" t="s">
        <v>104</v>
      </c>
      <c r="E3" s="77">
        <f ca="1">DAY(EOMONTH(DATE(YEAR(TODAY()),4,1),0))</f>
        <v>30</v>
      </c>
      <c r="G3" s="221" t="s">
        <v>192</v>
      </c>
      <c r="J3" s="218">
        <v>0</v>
      </c>
    </row>
    <row r="4" spans="2:14" x14ac:dyDescent="0.25">
      <c r="G4" s="221" t="s">
        <v>193</v>
      </c>
      <c r="J4" s="218">
        <v>0</v>
      </c>
    </row>
    <row r="5" spans="2:14" x14ac:dyDescent="0.25">
      <c r="G5" s="221" t="s">
        <v>194</v>
      </c>
      <c r="J5" s="218"/>
    </row>
    <row r="6" spans="2:14" x14ac:dyDescent="0.25">
      <c r="B6" s="78" t="s">
        <v>105</v>
      </c>
      <c r="C6" s="78"/>
      <c r="D6" s="78"/>
      <c r="E6" s="78"/>
      <c r="F6" s="78"/>
      <c r="G6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G7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167</v>
      </c>
      <c r="F8" s="80" t="s">
        <v>111</v>
      </c>
      <c r="G8"/>
      <c r="J8" s="111"/>
      <c r="M8" s="11">
        <f>C24</f>
        <v>299770568.60838997</v>
      </c>
      <c r="N8" s="11">
        <f>D24</f>
        <v>45375105.343964003</v>
      </c>
    </row>
    <row r="9" spans="2:14" x14ac:dyDescent="0.25">
      <c r="B9" s="81"/>
      <c r="C9" s="82">
        <v>0</v>
      </c>
      <c r="D9" s="82">
        <v>0</v>
      </c>
      <c r="E9" s="82">
        <v>0</v>
      </c>
      <c r="F9" s="82"/>
      <c r="G9"/>
      <c r="J9" s="111"/>
      <c r="M9" s="11">
        <f>C12+C13</f>
        <v>491669786.60148901</v>
      </c>
      <c r="N9" s="11">
        <f>D12+D13</f>
        <v>120248212.43861198</v>
      </c>
    </row>
    <row r="10" spans="2:14" x14ac:dyDescent="0.25">
      <c r="B10" s="72" t="s">
        <v>112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1"/>
      <c r="M10" s="11">
        <f>C14</f>
        <v>537997275.46389103</v>
      </c>
      <c r="N10" s="11">
        <f>D14</f>
        <v>21205741.099730998</v>
      </c>
    </row>
    <row r="11" spans="2:14" x14ac:dyDescent="0.25">
      <c r="B11" s="72" t="s">
        <v>113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1"/>
      <c r="M11" s="11">
        <f>C17</f>
        <v>355626119.92999297</v>
      </c>
      <c r="N11" s="11">
        <f>D17</f>
        <v>44657675.509999998</v>
      </c>
    </row>
    <row r="12" spans="2:14" x14ac:dyDescent="0.25">
      <c r="B12" s="72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1"/>
      <c r="M12" s="11">
        <f>C16</f>
        <v>449682614.319305</v>
      </c>
      <c r="N12" s="11">
        <f>D16</f>
        <v>60505589.095815003</v>
      </c>
    </row>
    <row r="13" spans="2:14" x14ac:dyDescent="0.25">
      <c r="B13" s="72" t="s">
        <v>114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1"/>
      <c r="M13" s="11">
        <f>C19</f>
        <v>1030915377.322188</v>
      </c>
      <c r="N13" s="11">
        <f>D19</f>
        <v>59498535.799857996</v>
      </c>
    </row>
    <row r="14" spans="2:14" x14ac:dyDescent="0.25">
      <c r="B14" s="72" t="s">
        <v>115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1"/>
      <c r="M14" s="11">
        <f>C25</f>
        <v>378754537.60554802</v>
      </c>
      <c r="N14" s="11">
        <f>D25</f>
        <v>62284984.519973002</v>
      </c>
    </row>
    <row r="15" spans="2:14" x14ac:dyDescent="0.25">
      <c r="B15" s="81" t="s">
        <v>116</v>
      </c>
      <c r="C15" s="133"/>
      <c r="D15" s="133" t="s">
        <v>164</v>
      </c>
      <c r="E15" s="133"/>
      <c r="F15" s="133"/>
      <c r="G15"/>
      <c r="J15" s="111"/>
      <c r="M15" s="11">
        <f>C11</f>
        <v>304137742.30899602</v>
      </c>
      <c r="N15" s="11">
        <f>D11</f>
        <v>119707150.766315</v>
      </c>
    </row>
    <row r="16" spans="2:14" x14ac:dyDescent="0.25">
      <c r="B16" s="72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1"/>
      <c r="M16" s="11">
        <f>C26</f>
        <v>479291727.990435</v>
      </c>
      <c r="N16" s="11">
        <f>D26</f>
        <v>61629599.543938003</v>
      </c>
    </row>
    <row r="17" spans="2:18" x14ac:dyDescent="0.25">
      <c r="B17" s="72" t="s">
        <v>117</v>
      </c>
      <c r="C17" s="15">
        <v>355626119.92999297</v>
      </c>
      <c r="D17" s="15">
        <v>44657675.509999998</v>
      </c>
      <c r="E17" s="15" t="s">
        <v>164</v>
      </c>
      <c r="F17" s="15">
        <v>400283795.43999302</v>
      </c>
      <c r="G17"/>
      <c r="J17" s="111"/>
      <c r="M17" s="11">
        <f>C10</f>
        <v>303439555.68576801</v>
      </c>
      <c r="N17" s="11">
        <f>D10</f>
        <v>28364314.698472001</v>
      </c>
    </row>
    <row r="18" spans="2:18" x14ac:dyDescent="0.25">
      <c r="B18" s="72" t="s">
        <v>118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1"/>
      <c r="M18" s="11">
        <f>C27</f>
        <v>663559823.79009497</v>
      </c>
      <c r="N18" s="11">
        <f>D27</f>
        <v>200253231.98958299</v>
      </c>
    </row>
    <row r="19" spans="2:18" x14ac:dyDescent="0.25">
      <c r="B19" s="72" t="s">
        <v>120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1"/>
      <c r="M19" s="11">
        <f>C20+C21</f>
        <v>162674997.04759601</v>
      </c>
      <c r="N19" s="11">
        <f>D20+D21</f>
        <v>152708112.726924</v>
      </c>
    </row>
    <row r="20" spans="2:18" x14ac:dyDescent="0.25">
      <c r="B20" s="72" t="s">
        <v>122</v>
      </c>
      <c r="C20" s="15">
        <v>105315057.62759601</v>
      </c>
      <c r="D20" s="15">
        <v>16467727.799813</v>
      </c>
      <c r="E20" s="15" t="s">
        <v>164</v>
      </c>
      <c r="F20" s="15">
        <v>121782785.42740899</v>
      </c>
      <c r="G20"/>
      <c r="J20" s="111"/>
      <c r="M20" s="14">
        <f>IFERROR(C31,0)+IFERROR(C15,0)+IFERROR(C36,0)</f>
        <v>311290805.19997603</v>
      </c>
      <c r="N20" s="10" t="s">
        <v>119</v>
      </c>
    </row>
    <row r="21" spans="2:18" x14ac:dyDescent="0.25">
      <c r="B21" s="72" t="s">
        <v>123</v>
      </c>
      <c r="C21" s="15">
        <v>57359939.420000002</v>
      </c>
      <c r="D21" s="15">
        <v>136240384.927111</v>
      </c>
      <c r="E21" s="15" t="s">
        <v>164</v>
      </c>
      <c r="F21" s="15">
        <v>193600324.34711099</v>
      </c>
      <c r="G21"/>
      <c r="J21" s="111"/>
      <c r="M21" s="14">
        <f>IFERROR(C34,0)+IFERROR(C35,0)+M20</f>
        <v>897130483.57328391</v>
      </c>
      <c r="N21" s="10" t="s">
        <v>121</v>
      </c>
    </row>
    <row r="22" spans="2:18" x14ac:dyDescent="0.25">
      <c r="B22" s="72" t="s">
        <v>168</v>
      </c>
      <c r="C22" s="15">
        <v>38884328.600000001</v>
      </c>
      <c r="D22" s="15" t="s">
        <v>164</v>
      </c>
      <c r="E22" s="15">
        <v>12315315.119999999</v>
      </c>
      <c r="F22" s="15">
        <v>51199643.719999999</v>
      </c>
      <c r="G22"/>
      <c r="J22" s="111"/>
      <c r="Q22" s="14"/>
      <c r="R22" s="10"/>
    </row>
    <row r="23" spans="2:18" x14ac:dyDescent="0.25">
      <c r="B23" s="72" t="s">
        <v>169</v>
      </c>
      <c r="C23" s="15">
        <v>120550492.72</v>
      </c>
      <c r="D23" s="15" t="s">
        <v>164</v>
      </c>
      <c r="E23" s="15">
        <v>17151621.32</v>
      </c>
      <c r="F23" s="15">
        <v>137702114.03999999</v>
      </c>
      <c r="G23"/>
      <c r="J23" s="111"/>
      <c r="Q23" s="14"/>
      <c r="R23" s="10"/>
    </row>
    <row r="24" spans="2:18" x14ac:dyDescent="0.25">
      <c r="B24" s="72" t="s">
        <v>124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1"/>
    </row>
    <row r="25" spans="2:18" x14ac:dyDescent="0.25">
      <c r="B25" s="72" t="s">
        <v>125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1"/>
    </row>
    <row r="26" spans="2:18" x14ac:dyDescent="0.25">
      <c r="B26" s="72" t="s">
        <v>126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1"/>
    </row>
    <row r="27" spans="2:18" x14ac:dyDescent="0.25">
      <c r="B27" s="72" t="s">
        <v>127</v>
      </c>
      <c r="C27" s="15">
        <v>663559823.79009497</v>
      </c>
      <c r="D27" s="15">
        <v>200253231.98958299</v>
      </c>
      <c r="E27" s="15" t="s">
        <v>164</v>
      </c>
      <c r="F27" s="15">
        <v>863813055.77967799</v>
      </c>
      <c r="G27"/>
      <c r="J27" s="111"/>
    </row>
    <row r="29" spans="2:18" x14ac:dyDescent="0.25">
      <c r="B29" s="79" t="s">
        <v>128</v>
      </c>
      <c r="C29" s="79"/>
    </row>
    <row r="30" spans="2:18" x14ac:dyDescent="0.25">
      <c r="B30" s="80" t="s">
        <v>129</v>
      </c>
      <c r="C30" s="80" t="s">
        <v>130</v>
      </c>
    </row>
    <row r="31" spans="2:18" x14ac:dyDescent="0.25">
      <c r="B31" s="73"/>
      <c r="C31" s="15"/>
    </row>
    <row r="32" spans="2:18" x14ac:dyDescent="0.25">
      <c r="B32" s="81" t="s">
        <v>131</v>
      </c>
      <c r="C32" s="15">
        <v>240237597.65824801</v>
      </c>
    </row>
    <row r="33" spans="2:19" x14ac:dyDescent="0.25">
      <c r="B33" s="81" t="s">
        <v>132</v>
      </c>
      <c r="C33" s="15">
        <v>449933743.924721</v>
      </c>
    </row>
    <row r="34" spans="2:19" x14ac:dyDescent="0.25">
      <c r="B34" s="81" t="s">
        <v>133</v>
      </c>
      <c r="C34" s="15">
        <v>318278585.086043</v>
      </c>
    </row>
    <row r="35" spans="2:19" x14ac:dyDescent="0.25">
      <c r="B35" s="81" t="s">
        <v>134</v>
      </c>
      <c r="C35" s="15">
        <v>267561093.287265</v>
      </c>
    </row>
    <row r="36" spans="2:19" x14ac:dyDescent="0.25">
      <c r="B36" s="81" t="s">
        <v>135</v>
      </c>
      <c r="C36" s="15">
        <v>311290805.19997603</v>
      </c>
    </row>
    <row r="37" spans="2:19" x14ac:dyDescent="0.25">
      <c r="B37" s="81"/>
      <c r="C37" s="82"/>
    </row>
    <row r="38" spans="2:19" x14ac:dyDescent="0.25">
      <c r="B38" s="73"/>
      <c r="C38" s="82"/>
    </row>
    <row r="40" spans="2:19" x14ac:dyDescent="0.25">
      <c r="S40" s="178" t="s">
        <v>184</v>
      </c>
    </row>
    <row r="41" spans="2:19" ht="27.95" customHeight="1" x14ac:dyDescent="0.25">
      <c r="B41" s="264" t="s">
        <v>177</v>
      </c>
      <c r="C41" s="265"/>
      <c r="D41" s="266"/>
      <c r="E41" s="66" t="s">
        <v>137</v>
      </c>
      <c r="F41" s="174">
        <v>1</v>
      </c>
      <c r="G41" s="192" t="s">
        <v>186</v>
      </c>
      <c r="H41" s="198">
        <v>0.9</v>
      </c>
      <c r="I41" s="201" t="s">
        <v>186</v>
      </c>
      <c r="J41" s="199">
        <v>0.95</v>
      </c>
      <c r="K41" s="194" t="s">
        <v>187</v>
      </c>
      <c r="L41" s="200">
        <v>1</v>
      </c>
      <c r="S41" s="173">
        <v>0.7</v>
      </c>
    </row>
    <row r="42" spans="2:19" ht="33.950000000000003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ht="20.100000000000001" customHeight="1" x14ac:dyDescent="0.25">
      <c r="B43" s="109" t="s">
        <v>142</v>
      </c>
      <c r="C43" s="41" t="s">
        <v>143</v>
      </c>
      <c r="D43" s="45">
        <f>SUM(TARGETS!M5:M7,TARGETS!M8:M13,TARGETS!M14:M18)</f>
        <v>6619279333.0648613</v>
      </c>
      <c r="E43" s="46">
        <f>G65</f>
        <v>5616954947.9936943</v>
      </c>
      <c r="F43" s="176">
        <f>IFERROR(E43/D43,0)</f>
        <v>0.84857499817777438</v>
      </c>
      <c r="G43" s="184">
        <f>D43*$H$41-E43</f>
        <v>340396451.76468086</v>
      </c>
      <c r="H43" s="184">
        <f ca="1">IFERROR(G43/$C$3,0)</f>
        <v>0</v>
      </c>
      <c r="I43" s="204">
        <f>D43*$J$41-E43</f>
        <v>671360418.41792393</v>
      </c>
      <c r="J43" s="204">
        <f ca="1">IFERROR(I43/$C$3,0)</f>
        <v>0</v>
      </c>
      <c r="K43" s="185">
        <f>D43*$L$41-E43</f>
        <v>1002324385.071167</v>
      </c>
      <c r="L43" s="185">
        <f ca="1">IFERROR(K43/$C$3,0)</f>
        <v>0</v>
      </c>
      <c r="S43" s="173">
        <v>0.8</v>
      </c>
    </row>
    <row r="44" spans="2:19" ht="20.100000000000001" customHeight="1" x14ac:dyDescent="0.25">
      <c r="B44" s="109" t="s">
        <v>110</v>
      </c>
      <c r="C44" s="41" t="s">
        <v>143</v>
      </c>
      <c r="D44" s="45">
        <f>SUM(TARGETS!N5:N6,TARGETS!N8:N12,TARGETS!N14:N18)</f>
        <v>1269766212</v>
      </c>
      <c r="E44" s="46">
        <f>N8+N9+N10+N11+N12+N13+N14+N15+N16+N17+N18+N19</f>
        <v>976438253.53318501</v>
      </c>
      <c r="F44" s="176">
        <f>IFERROR(E44/D44,0)</f>
        <v>0.76899057819092842</v>
      </c>
      <c r="G44" s="184">
        <f>D44*$H$41-E44</f>
        <v>166351337.26681495</v>
      </c>
      <c r="H44" s="184">
        <f ca="1">IFERROR(G44/$C$3,0)</f>
        <v>0</v>
      </c>
      <c r="I44" s="204">
        <f>D44*$J$41-E44</f>
        <v>229839647.86681485</v>
      </c>
      <c r="J44" s="204">
        <f ca="1">IFERROR(I44/$C$3,0)</f>
        <v>0</v>
      </c>
      <c r="K44" s="185">
        <f>D44*$L$41-E44</f>
        <v>293327958.46681499</v>
      </c>
      <c r="L44" s="185">
        <f ca="1">IFERROR(K44/$C$3,0)</f>
        <v>0</v>
      </c>
      <c r="S44" s="173">
        <v>0.85</v>
      </c>
    </row>
    <row r="45" spans="2:19" ht="20.100000000000001" customHeight="1" x14ac:dyDescent="0.25">
      <c r="B45" s="109" t="s">
        <v>144</v>
      </c>
      <c r="C45" s="41" t="s">
        <v>143</v>
      </c>
      <c r="D45" s="45">
        <f>SUM(TARGETS!G22:G26)</f>
        <v>1791489361.7021284</v>
      </c>
      <c r="E45" s="46">
        <f>IFERROR(C32,0)+IFERROR(C33,0)+M21+F9</f>
        <v>1587301825.1562529</v>
      </c>
      <c r="F45" s="176">
        <f>IFERROR(E45/D45,0)</f>
        <v>0.88602358411334747</v>
      </c>
      <c r="G45" s="184">
        <f>D45*$H$41-E45</f>
        <v>25038600.375662804</v>
      </c>
      <c r="H45" s="184">
        <f ca="1">IFERROR(G45/$C$3,0)</f>
        <v>0</v>
      </c>
      <c r="I45" s="204">
        <f>D45*$J$41-E45</f>
        <v>114613068.46076894</v>
      </c>
      <c r="J45" s="204">
        <f ca="1">IFERROR(I45/$C$3,0)</f>
        <v>0</v>
      </c>
      <c r="K45" s="185">
        <f>D45*$L$41-E45</f>
        <v>204187536.54587555</v>
      </c>
      <c r="L45" s="185">
        <f ca="1">IFERROR(K45/$C$3,0)</f>
        <v>0</v>
      </c>
      <c r="S45" s="173">
        <v>0.9</v>
      </c>
    </row>
    <row r="46" spans="2:19" ht="20.100000000000001" customHeight="1" x14ac:dyDescent="0.25">
      <c r="B46" s="261" t="s">
        <v>145</v>
      </c>
      <c r="C46" s="262"/>
      <c r="D46" s="47">
        <f>D43+D44+D45</f>
        <v>9680534906.7669907</v>
      </c>
      <c r="E46" s="47">
        <f>E43+E44+E45</f>
        <v>8180695026.6831322</v>
      </c>
      <c r="F46" s="177">
        <f>IFERROR(E46/D46,0)</f>
        <v>0.84506642509646601</v>
      </c>
      <c r="G46" s="181">
        <f>G43+G44+G45</f>
        <v>531786389.40715861</v>
      </c>
      <c r="H46" s="181">
        <f ca="1">IFERROR(G46/$C$3,0)</f>
        <v>0</v>
      </c>
      <c r="I46" s="186">
        <f>I43+I44+I45</f>
        <v>1015813134.7455077</v>
      </c>
      <c r="J46" s="186">
        <f ca="1">IFERROR(I46/$C$3,0)</f>
        <v>0</v>
      </c>
      <c r="K46" s="186">
        <f>K43+K44+K45</f>
        <v>1499839880.0838575</v>
      </c>
      <c r="L46" s="186">
        <f ca="1">IFERROR(K46/$C$3,0)</f>
        <v>0</v>
      </c>
      <c r="S46" s="173">
        <v>0.95</v>
      </c>
    </row>
    <row r="47" spans="2:19" x14ac:dyDescent="0.25">
      <c r="S47" s="173">
        <v>1</v>
      </c>
    </row>
    <row r="48" spans="2:19" s="139" customFormat="1" ht="20.100000000000001" customHeight="1" x14ac:dyDescent="0.25">
      <c r="B48" s="267" t="s">
        <v>146</v>
      </c>
      <c r="C48" s="268"/>
      <c r="D48" s="268"/>
      <c r="E48" s="268"/>
      <c r="F48" s="268"/>
      <c r="G48" s="268"/>
      <c r="H48" s="268"/>
      <c r="I48" s="268"/>
      <c r="J48" s="268"/>
      <c r="K48" s="274" t="s">
        <v>185</v>
      </c>
      <c r="L48" s="275"/>
      <c r="M48" s="275"/>
      <c r="N48" s="275"/>
      <c r="O48" s="275"/>
      <c r="P48" s="276"/>
      <c r="Q48"/>
      <c r="R48"/>
    </row>
    <row r="49" spans="2:18" s="139" customFormat="1" ht="33.950000000000003" customHeight="1" x14ac:dyDescent="0.25">
      <c r="B49" s="272" t="s">
        <v>41</v>
      </c>
      <c r="C49" s="272" t="s">
        <v>42</v>
      </c>
      <c r="D49" s="269" t="s">
        <v>137</v>
      </c>
      <c r="E49" s="270"/>
      <c r="F49" s="271"/>
      <c r="G49" s="140" t="s">
        <v>138</v>
      </c>
      <c r="H49" s="140"/>
      <c r="I49" s="140"/>
      <c r="J49" s="269" t="s">
        <v>139</v>
      </c>
      <c r="K49" s="277" t="str">
        <f>"SELISIH"&amp;CHAR(10)&amp;TEXT($H$41,"0%")</f>
        <v>SELISIH
90%</v>
      </c>
      <c r="L49" s="277" t="str">
        <f>"PER HARI"&amp;CHAR(10)&amp;TEXT($H$41,"0%")</f>
        <v>PER HARI
90%</v>
      </c>
      <c r="M49" s="279" t="str">
        <f>"SELISIH"&amp;CHAR(10)&amp;TEXT($J$41,"0%")</f>
        <v>SELISIH
95%</v>
      </c>
      <c r="N49" s="188" t="str">
        <f>"PER HARI"&amp;CHAR(10)&amp;TEXT($J$41,"0%")</f>
        <v>PER HARI
95%</v>
      </c>
      <c r="O49" s="183" t="str">
        <f>"SELISIH"&amp;CHAR(10)&amp;TEXT($L$41,"0%")</f>
        <v>SELISIH
100%</v>
      </c>
      <c r="P49" s="281" t="str">
        <f>"PER HARI"&amp;CHAR(10)&amp;TEXT($L$41,"0%")</f>
        <v>PER HARI
100%</v>
      </c>
      <c r="Q49"/>
      <c r="R49"/>
    </row>
    <row r="50" spans="2:18" s="139" customFormat="1" ht="20.100000000000001" customHeight="1" x14ac:dyDescent="0.25">
      <c r="B50" s="272"/>
      <c r="C50" s="272"/>
      <c r="D50" s="141" t="s">
        <v>149</v>
      </c>
      <c r="E50" s="141" t="s">
        <v>150</v>
      </c>
      <c r="F50" s="141" t="s">
        <v>130</v>
      </c>
      <c r="G50" s="142" t="s">
        <v>149</v>
      </c>
      <c r="H50" s="142" t="s">
        <v>150</v>
      </c>
      <c r="I50" s="142" t="s">
        <v>130</v>
      </c>
      <c r="J50" s="269"/>
      <c r="K50" s="278"/>
      <c r="L50" s="278"/>
      <c r="M50" s="280"/>
      <c r="N50" s="188"/>
      <c r="O50" s="183"/>
      <c r="P50" s="282"/>
      <c r="Q50"/>
      <c r="R50"/>
    </row>
    <row r="51" spans="2:18" s="139" customFormat="1" ht="20.100000000000001" customHeight="1" x14ac:dyDescent="0.25">
      <c r="B51" s="149" t="s">
        <v>67</v>
      </c>
      <c r="C51" s="150" t="s">
        <v>68</v>
      </c>
      <c r="D51" s="143">
        <f>TARGETS!M5</f>
        <v>396683478.3262167</v>
      </c>
      <c r="E51" s="143">
        <f>TARGETS!N5</f>
        <v>49588709</v>
      </c>
      <c r="F51" s="143">
        <f t="shared" ref="F51:F64" si="0">D51+E51</f>
        <v>446272187.3262167</v>
      </c>
      <c r="G51" s="144">
        <f>M8</f>
        <v>299770568.60838997</v>
      </c>
      <c r="H51" s="144">
        <f>N8</f>
        <v>45375105.343964003</v>
      </c>
      <c r="I51" s="144">
        <f t="shared" ref="I51:I64" si="1">G51+H51</f>
        <v>345145673.95235395</v>
      </c>
      <c r="J51" s="205">
        <f t="shared" ref="J51:J64" si="2">IFERROR(I51/F51,0)</f>
        <v>0.77339723100435753</v>
      </c>
      <c r="K51" s="207">
        <f t="shared" ref="K51:K64" si="3">F51*$H$41-I51</f>
        <v>56499294.641241074</v>
      </c>
      <c r="L51" s="207">
        <f t="shared" ref="L51:L65" ca="1" si="4">IFERROR(K51/$C$3,0)</f>
        <v>0</v>
      </c>
      <c r="M51" s="213">
        <f t="shared" ref="M51:M64" si="5">F51*$J$41-I51</f>
        <v>78812904.007551908</v>
      </c>
      <c r="N51" s="213">
        <f t="shared" ref="N51:N65" ca="1" si="6">IFERROR(M51/$C$3,0)</f>
        <v>0</v>
      </c>
      <c r="O51" s="209">
        <f t="shared" ref="O51:O64" si="7">F51*$L$41-I51</f>
        <v>101126513.37386274</v>
      </c>
      <c r="P51" s="209">
        <f t="shared" ref="P51:P65" ca="1" si="8">IFERROR(O51/$C$3,0)</f>
        <v>0</v>
      </c>
      <c r="Q51"/>
      <c r="R51"/>
    </row>
    <row r="52" spans="2:18" s="139" customFormat="1" ht="20.100000000000001" customHeight="1" x14ac:dyDescent="0.25">
      <c r="B52" s="151" t="s">
        <v>69</v>
      </c>
      <c r="C52" s="152" t="s">
        <v>70</v>
      </c>
      <c r="D52" s="145">
        <f>TARGETS!M6</f>
        <v>535182371</v>
      </c>
      <c r="E52" s="145">
        <f>TARGETS!N6</f>
        <v>172865092</v>
      </c>
      <c r="F52" s="145">
        <f t="shared" si="0"/>
        <v>708047463</v>
      </c>
      <c r="G52" s="144">
        <f>M9</f>
        <v>491669786.60148901</v>
      </c>
      <c r="H52" s="144">
        <f>N9</f>
        <v>120248212.43861198</v>
      </c>
      <c r="I52" s="144">
        <f t="shared" si="1"/>
        <v>611917999.04010105</v>
      </c>
      <c r="J52" s="205">
        <f t="shared" si="2"/>
        <v>0.86423302252563972</v>
      </c>
      <c r="K52" s="207">
        <f t="shared" si="3"/>
        <v>25324717.659898996</v>
      </c>
      <c r="L52" s="207">
        <f t="shared" ca="1" si="4"/>
        <v>0</v>
      </c>
      <c r="M52" s="213">
        <f t="shared" si="5"/>
        <v>60727090.809898973</v>
      </c>
      <c r="N52" s="213">
        <f t="shared" ca="1" si="6"/>
        <v>0</v>
      </c>
      <c r="O52" s="209">
        <f t="shared" si="7"/>
        <v>96129463.959898949</v>
      </c>
      <c r="P52" s="209">
        <f t="shared" ca="1" si="8"/>
        <v>0</v>
      </c>
      <c r="Q52"/>
      <c r="R52"/>
    </row>
    <row r="53" spans="2:18" s="139" customFormat="1" ht="20.100000000000001" customHeight="1" x14ac:dyDescent="0.25">
      <c r="B53" s="153" t="s">
        <v>171</v>
      </c>
      <c r="C53" s="154" t="s">
        <v>172</v>
      </c>
      <c r="D53" s="146">
        <f>TARGETS!M7</f>
        <v>241473268</v>
      </c>
      <c r="E53" s="146">
        <f>TARGETS!N7</f>
        <v>0</v>
      </c>
      <c r="F53" s="146">
        <f>D53+E53</f>
        <v>241473268</v>
      </c>
      <c r="G53" s="144">
        <f>C22</f>
        <v>38884328.600000001</v>
      </c>
      <c r="H53" s="144">
        <f>IF(D22="",0,D22)</f>
        <v>0</v>
      </c>
      <c r="I53" s="144">
        <f>G53+H53</f>
        <v>38884328.600000001</v>
      </c>
      <c r="J53" s="205">
        <f>IFERROR(I53/F53,0)</f>
        <v>0.1610295372322538</v>
      </c>
      <c r="K53" s="207">
        <f t="shared" si="3"/>
        <v>178441612.60000002</v>
      </c>
      <c r="L53" s="207">
        <f t="shared" ca="1" si="4"/>
        <v>0</v>
      </c>
      <c r="M53" s="213">
        <f t="shared" si="5"/>
        <v>190515276</v>
      </c>
      <c r="N53" s="213">
        <f t="shared" ca="1" si="6"/>
        <v>0</v>
      </c>
      <c r="O53" s="209">
        <f t="shared" si="7"/>
        <v>202588939.40000001</v>
      </c>
      <c r="P53" s="209">
        <f t="shared" ca="1" si="8"/>
        <v>0</v>
      </c>
      <c r="Q53"/>
      <c r="R53"/>
    </row>
    <row r="54" spans="2:18" s="139" customFormat="1" ht="20.100000000000001" customHeight="1" x14ac:dyDescent="0.25">
      <c r="B54" s="151" t="s">
        <v>71</v>
      </c>
      <c r="C54" s="152" t="s">
        <v>72</v>
      </c>
      <c r="D54" s="145">
        <f>TARGETS!M8</f>
        <v>590712471.92289722</v>
      </c>
      <c r="E54" s="145">
        <f>TARGETS!N8</f>
        <v>28200135</v>
      </c>
      <c r="F54" s="145">
        <f t="shared" si="0"/>
        <v>618912606.92289722</v>
      </c>
      <c r="G54" s="144">
        <f t="shared" ref="G54:H58" si="9">M10</f>
        <v>537997275.46389103</v>
      </c>
      <c r="H54" s="144">
        <f t="shared" si="9"/>
        <v>21205741.099730998</v>
      </c>
      <c r="I54" s="144">
        <f t="shared" si="1"/>
        <v>559203016.563622</v>
      </c>
      <c r="J54" s="205">
        <f t="shared" si="2"/>
        <v>0.90352500548318337</v>
      </c>
      <c r="K54" s="207">
        <f t="shared" si="3"/>
        <v>-2181670.3330144882</v>
      </c>
      <c r="L54" s="207">
        <f t="shared" ca="1" si="4"/>
        <v>0</v>
      </c>
      <c r="M54" s="213">
        <f t="shared" si="5"/>
        <v>28763960.013130307</v>
      </c>
      <c r="N54" s="213">
        <f t="shared" ca="1" si="6"/>
        <v>0</v>
      </c>
      <c r="O54" s="209">
        <f t="shared" si="7"/>
        <v>59709590.359275222</v>
      </c>
      <c r="P54" s="209">
        <f t="shared" ca="1" si="8"/>
        <v>0</v>
      </c>
      <c r="Q54"/>
      <c r="R54"/>
    </row>
    <row r="55" spans="2:18" s="139" customFormat="1" ht="20.100000000000001" customHeight="1" x14ac:dyDescent="0.25">
      <c r="B55" s="149" t="s">
        <v>73</v>
      </c>
      <c r="C55" s="150" t="s">
        <v>74</v>
      </c>
      <c r="D55" s="143">
        <f>TARGETS!M9</f>
        <v>395063284.19152415</v>
      </c>
      <c r="E55" s="143">
        <f>TARGETS!N9</f>
        <v>73528469</v>
      </c>
      <c r="F55" s="143">
        <f t="shared" si="0"/>
        <v>468591753.19152415</v>
      </c>
      <c r="G55" s="144">
        <f t="shared" si="9"/>
        <v>355626119.92999297</v>
      </c>
      <c r="H55" s="144">
        <f t="shared" si="9"/>
        <v>44657675.509999998</v>
      </c>
      <c r="I55" s="144">
        <f t="shared" si="1"/>
        <v>400283795.43999296</v>
      </c>
      <c r="J55" s="205">
        <f t="shared" si="2"/>
        <v>0.85422714487334961</v>
      </c>
      <c r="K55" s="207">
        <f t="shared" si="3"/>
        <v>21448782.432378769</v>
      </c>
      <c r="L55" s="207">
        <f t="shared" ca="1" si="4"/>
        <v>0</v>
      </c>
      <c r="M55" s="213">
        <f t="shared" si="5"/>
        <v>44878370.091954947</v>
      </c>
      <c r="N55" s="213">
        <f t="shared" ca="1" si="6"/>
        <v>0</v>
      </c>
      <c r="O55" s="209">
        <f t="shared" si="7"/>
        <v>68307957.751531184</v>
      </c>
      <c r="P55" s="209">
        <f t="shared" ca="1" si="8"/>
        <v>0</v>
      </c>
      <c r="Q55"/>
      <c r="R55"/>
    </row>
    <row r="56" spans="2:18" s="139" customFormat="1" ht="20.100000000000001" customHeight="1" x14ac:dyDescent="0.25">
      <c r="B56" s="151" t="s">
        <v>75</v>
      </c>
      <c r="C56" s="152" t="s">
        <v>74</v>
      </c>
      <c r="D56" s="145">
        <f>TARGETS!M10</f>
        <v>463918832.1226536</v>
      </c>
      <c r="E56" s="145">
        <f>TARGETS!N10</f>
        <v>71898548</v>
      </c>
      <c r="F56" s="145">
        <f t="shared" si="0"/>
        <v>535817380.1226536</v>
      </c>
      <c r="G56" s="144">
        <f t="shared" si="9"/>
        <v>449682614.319305</v>
      </c>
      <c r="H56" s="144">
        <f t="shared" si="9"/>
        <v>60505589.095815003</v>
      </c>
      <c r="I56" s="144">
        <f t="shared" si="1"/>
        <v>510188203.41512001</v>
      </c>
      <c r="J56" s="205">
        <f t="shared" si="2"/>
        <v>0.95216807506007584</v>
      </c>
      <c r="K56" s="207">
        <f t="shared" si="3"/>
        <v>-27952561.304731727</v>
      </c>
      <c r="L56" s="207">
        <f t="shared" ca="1" si="4"/>
        <v>0</v>
      </c>
      <c r="M56" s="213">
        <f t="shared" si="5"/>
        <v>-1161692.298599124</v>
      </c>
      <c r="N56" s="213">
        <f t="shared" ca="1" si="6"/>
        <v>0</v>
      </c>
      <c r="O56" s="209">
        <f t="shared" si="7"/>
        <v>25629176.707533598</v>
      </c>
      <c r="P56" s="209">
        <f t="shared" ca="1" si="8"/>
        <v>0</v>
      </c>
      <c r="Q56"/>
      <c r="R56"/>
    </row>
    <row r="57" spans="2:18" s="139" customFormat="1" ht="20.100000000000001" customHeight="1" x14ac:dyDescent="0.25">
      <c r="B57" s="149" t="s">
        <v>76</v>
      </c>
      <c r="C57" s="150" t="s">
        <v>77</v>
      </c>
      <c r="D57" s="143">
        <f>TARGETS!M11</f>
        <v>941758345.44471872</v>
      </c>
      <c r="E57" s="143">
        <f>TARGETS!N11</f>
        <v>73246884</v>
      </c>
      <c r="F57" s="143">
        <f t="shared" si="0"/>
        <v>1015005229.4447187</v>
      </c>
      <c r="G57" s="144">
        <f t="shared" si="9"/>
        <v>1030915377.322188</v>
      </c>
      <c r="H57" s="144">
        <f t="shared" si="9"/>
        <v>59498535.799857996</v>
      </c>
      <c r="I57" s="144">
        <f t="shared" si="1"/>
        <v>1090413913.122046</v>
      </c>
      <c r="J57" s="205">
        <f t="shared" si="2"/>
        <v>1.0742938868586729</v>
      </c>
      <c r="K57" s="207">
        <f t="shared" si="3"/>
        <v>-176909206.62179911</v>
      </c>
      <c r="L57" s="207">
        <f t="shared" ca="1" si="4"/>
        <v>0</v>
      </c>
      <c r="M57" s="213">
        <f t="shared" si="5"/>
        <v>-126158945.14956331</v>
      </c>
      <c r="N57" s="213">
        <f t="shared" ca="1" si="6"/>
        <v>0</v>
      </c>
      <c r="O57" s="209">
        <f t="shared" si="7"/>
        <v>-75408683.677327275</v>
      </c>
      <c r="P57" s="209">
        <f t="shared" ca="1" si="8"/>
        <v>0</v>
      </c>
      <c r="Q57"/>
      <c r="R57"/>
    </row>
    <row r="58" spans="2:18" s="139" customFormat="1" ht="20.100000000000001" customHeight="1" x14ac:dyDescent="0.25">
      <c r="B58" s="151" t="s">
        <v>78</v>
      </c>
      <c r="C58" s="152" t="s">
        <v>79</v>
      </c>
      <c r="D58" s="145">
        <f>TARGETS!M12</f>
        <v>485287059</v>
      </c>
      <c r="E58" s="145">
        <f>TARGETS!N12</f>
        <v>45099712</v>
      </c>
      <c r="F58" s="145">
        <f t="shared" si="0"/>
        <v>530386771</v>
      </c>
      <c r="G58" s="144">
        <f t="shared" si="9"/>
        <v>378754537.60554802</v>
      </c>
      <c r="H58" s="144">
        <f t="shared" si="9"/>
        <v>62284984.519973002</v>
      </c>
      <c r="I58" s="144">
        <f>G58+H58</f>
        <v>441039522.125521</v>
      </c>
      <c r="J58" s="205">
        <f>IFERROR(I58/F58,0)</f>
        <v>0.83154321759190519</v>
      </c>
      <c r="K58" s="207">
        <f t="shared" si="3"/>
        <v>36308571.774479032</v>
      </c>
      <c r="L58" s="207">
        <f t="shared" ca="1" si="4"/>
        <v>0</v>
      </c>
      <c r="M58" s="213">
        <f t="shared" si="5"/>
        <v>62827910.324478984</v>
      </c>
      <c r="N58" s="213">
        <f t="shared" ca="1" si="6"/>
        <v>0</v>
      </c>
      <c r="O58" s="209">
        <f t="shared" si="7"/>
        <v>89347248.874478996</v>
      </c>
      <c r="P58" s="209">
        <f t="shared" ca="1" si="8"/>
        <v>0</v>
      </c>
      <c r="Q58"/>
      <c r="R58"/>
    </row>
    <row r="59" spans="2:18" s="139" customFormat="1" ht="20.100000000000001" customHeight="1" x14ac:dyDescent="0.25">
      <c r="B59" s="153" t="s">
        <v>171</v>
      </c>
      <c r="C59" s="154" t="s">
        <v>173</v>
      </c>
      <c r="D59" s="146">
        <f>TARGETS!M13</f>
        <v>404133664</v>
      </c>
      <c r="E59" s="146">
        <f>TARGETS!N13</f>
        <v>0</v>
      </c>
      <c r="F59" s="146">
        <f>D59+E59</f>
        <v>404133664</v>
      </c>
      <c r="G59" s="144">
        <f>C23</f>
        <v>120550492.72</v>
      </c>
      <c r="H59" s="144">
        <f>IF(D23="",0,D23)</f>
        <v>0</v>
      </c>
      <c r="I59" s="144">
        <f>G59+H59</f>
        <v>120550492.72</v>
      </c>
      <c r="J59" s="205">
        <f>IFERROR(I59/F59,0)</f>
        <v>0.29829361782640307</v>
      </c>
      <c r="K59" s="207">
        <f t="shared" si="3"/>
        <v>243169804.88000003</v>
      </c>
      <c r="L59" s="207">
        <f t="shared" ca="1" si="4"/>
        <v>0</v>
      </c>
      <c r="M59" s="213">
        <f t="shared" si="5"/>
        <v>263376488.07999995</v>
      </c>
      <c r="N59" s="213">
        <f t="shared" ca="1" si="6"/>
        <v>0</v>
      </c>
      <c r="O59" s="209">
        <f t="shared" si="7"/>
        <v>283583171.27999997</v>
      </c>
      <c r="P59" s="209">
        <f t="shared" ca="1" si="8"/>
        <v>0</v>
      </c>
      <c r="Q59"/>
      <c r="R59"/>
    </row>
    <row r="60" spans="2:18" s="139" customFormat="1" ht="20.100000000000001" customHeight="1" x14ac:dyDescent="0.25">
      <c r="B60" s="151" t="s">
        <v>80</v>
      </c>
      <c r="C60" s="152" t="s">
        <v>81</v>
      </c>
      <c r="D60" s="145">
        <f>TARGETS!M14</f>
        <v>384017309.32355773</v>
      </c>
      <c r="E60" s="145">
        <f>TARGETS!N14</f>
        <v>119782698</v>
      </c>
      <c r="F60" s="145">
        <f t="shared" si="0"/>
        <v>503800007.32355773</v>
      </c>
      <c r="G60" s="144">
        <f t="shared" ref="G60:H64" si="10">M15</f>
        <v>304137742.30899602</v>
      </c>
      <c r="H60" s="144">
        <f t="shared" si="10"/>
        <v>119707150.766315</v>
      </c>
      <c r="I60" s="144">
        <f t="shared" si="1"/>
        <v>423844893.07531101</v>
      </c>
      <c r="J60" s="205">
        <f t="shared" si="2"/>
        <v>0.84129592479958659</v>
      </c>
      <c r="K60" s="207">
        <f t="shared" si="3"/>
        <v>29575113.515890956</v>
      </c>
      <c r="L60" s="207">
        <f t="shared" ca="1" si="4"/>
        <v>0</v>
      </c>
      <c r="M60" s="213">
        <f t="shared" si="5"/>
        <v>54765113.882068813</v>
      </c>
      <c r="N60" s="213">
        <f t="shared" ca="1" si="6"/>
        <v>0</v>
      </c>
      <c r="O60" s="209">
        <f t="shared" si="7"/>
        <v>79955114.248246729</v>
      </c>
      <c r="P60" s="209">
        <f t="shared" ca="1" si="8"/>
        <v>0</v>
      </c>
      <c r="Q60"/>
      <c r="R60"/>
    </row>
    <row r="61" spans="2:18" s="139" customFormat="1" ht="20.100000000000001" customHeight="1" x14ac:dyDescent="0.25">
      <c r="B61" s="149" t="s">
        <v>82</v>
      </c>
      <c r="C61" s="150" t="s">
        <v>83</v>
      </c>
      <c r="D61" s="143">
        <f>TARGETS!M15</f>
        <v>611629595.7161876</v>
      </c>
      <c r="E61" s="143">
        <f>TARGETS!N15</f>
        <v>40059909</v>
      </c>
      <c r="F61" s="143">
        <f t="shared" si="0"/>
        <v>651689504.7161876</v>
      </c>
      <c r="G61" s="144">
        <f t="shared" si="10"/>
        <v>479291727.990435</v>
      </c>
      <c r="H61" s="144">
        <f t="shared" si="10"/>
        <v>61629599.543938003</v>
      </c>
      <c r="I61" s="144">
        <f t="shared" si="1"/>
        <v>540921327.53437304</v>
      </c>
      <c r="J61" s="205">
        <f t="shared" si="2"/>
        <v>0.8300292142497302</v>
      </c>
      <c r="K61" s="207">
        <f t="shared" si="3"/>
        <v>45599226.71019578</v>
      </c>
      <c r="L61" s="207">
        <f t="shared" ca="1" si="4"/>
        <v>0</v>
      </c>
      <c r="M61" s="213">
        <f t="shared" si="5"/>
        <v>78183701.946005106</v>
      </c>
      <c r="N61" s="213">
        <f t="shared" ca="1" si="6"/>
        <v>0</v>
      </c>
      <c r="O61" s="209">
        <f t="shared" si="7"/>
        <v>110768177.18181455</v>
      </c>
      <c r="P61" s="209">
        <f t="shared" ca="1" si="8"/>
        <v>0</v>
      </c>
      <c r="Q61"/>
      <c r="R61"/>
    </row>
    <row r="62" spans="2:18" s="139" customFormat="1" ht="20.100000000000001" customHeight="1" x14ac:dyDescent="0.25">
      <c r="B62" s="151" t="s">
        <v>84</v>
      </c>
      <c r="C62" s="152" t="s">
        <v>85</v>
      </c>
      <c r="D62" s="145">
        <f>TARGETS!M16</f>
        <v>366543022.9053762</v>
      </c>
      <c r="E62" s="145">
        <f>TARGETS!N16</f>
        <v>45082463</v>
      </c>
      <c r="F62" s="145">
        <f t="shared" si="0"/>
        <v>411625485.9053762</v>
      </c>
      <c r="G62" s="144">
        <f t="shared" si="10"/>
        <v>303439555.68576801</v>
      </c>
      <c r="H62" s="144">
        <f t="shared" si="10"/>
        <v>28364314.698472001</v>
      </c>
      <c r="I62" s="144">
        <f t="shared" si="1"/>
        <v>331803870.38424003</v>
      </c>
      <c r="J62" s="205">
        <f t="shared" si="2"/>
        <v>0.80608194036973346</v>
      </c>
      <c r="K62" s="207">
        <f t="shared" si="3"/>
        <v>38659066.930598557</v>
      </c>
      <c r="L62" s="207">
        <f t="shared" ca="1" si="4"/>
        <v>0</v>
      </c>
      <c r="M62" s="213">
        <f t="shared" si="5"/>
        <v>59240341.225867331</v>
      </c>
      <c r="N62" s="213">
        <f t="shared" ca="1" si="6"/>
        <v>0</v>
      </c>
      <c r="O62" s="209">
        <f t="shared" si="7"/>
        <v>79821615.521136165</v>
      </c>
      <c r="P62" s="209">
        <f t="shared" ca="1" si="8"/>
        <v>0</v>
      </c>
      <c r="Q62"/>
      <c r="R62"/>
    </row>
    <row r="63" spans="2:18" s="139" customFormat="1" ht="20.100000000000001" customHeight="1" x14ac:dyDescent="0.25">
      <c r="B63" s="149" t="s">
        <v>86</v>
      </c>
      <c r="C63" s="150" t="s">
        <v>87</v>
      </c>
      <c r="D63" s="143">
        <f>TARGETS!M17</f>
        <v>563350942.09827971</v>
      </c>
      <c r="E63" s="143">
        <f>TARGETS!N17</f>
        <v>311125253</v>
      </c>
      <c r="F63" s="143">
        <f t="shared" si="0"/>
        <v>874476195.09827971</v>
      </c>
      <c r="G63" s="144">
        <f t="shared" si="10"/>
        <v>663559823.79009497</v>
      </c>
      <c r="H63" s="144">
        <f t="shared" si="10"/>
        <v>200253231.98958299</v>
      </c>
      <c r="I63" s="144">
        <f t="shared" si="1"/>
        <v>863813055.77967799</v>
      </c>
      <c r="J63" s="205">
        <f t="shared" si="2"/>
        <v>0.98780625547227918</v>
      </c>
      <c r="K63" s="207">
        <f t="shared" si="3"/>
        <v>-76784480.191226244</v>
      </c>
      <c r="L63" s="207">
        <f t="shared" ca="1" si="4"/>
        <v>0</v>
      </c>
      <c r="M63" s="213">
        <f t="shared" si="5"/>
        <v>-33060670.436312318</v>
      </c>
      <c r="N63" s="213">
        <f t="shared" ca="1" si="6"/>
        <v>0</v>
      </c>
      <c r="O63" s="209">
        <f t="shared" si="7"/>
        <v>10663139.318601727</v>
      </c>
      <c r="P63" s="209">
        <f t="shared" ca="1" si="8"/>
        <v>0</v>
      </c>
      <c r="Q63"/>
      <c r="R63"/>
    </row>
    <row r="64" spans="2:18" s="139" customFormat="1" ht="20.100000000000001" customHeight="1" x14ac:dyDescent="0.25">
      <c r="B64" s="151" t="s">
        <v>88</v>
      </c>
      <c r="C64" s="152" t="s">
        <v>89</v>
      </c>
      <c r="D64" s="145">
        <f>TARGETS!M18</f>
        <v>239525689.01344877</v>
      </c>
      <c r="E64" s="145">
        <f>TARGETS!N18</f>
        <v>239288340</v>
      </c>
      <c r="F64" s="145">
        <f t="shared" si="0"/>
        <v>478814029.01344877</v>
      </c>
      <c r="G64" s="144">
        <f t="shared" si="10"/>
        <v>162674997.04759601</v>
      </c>
      <c r="H64" s="144">
        <f t="shared" si="10"/>
        <v>152708112.726924</v>
      </c>
      <c r="I64" s="144">
        <f t="shared" si="1"/>
        <v>315383109.77452004</v>
      </c>
      <c r="J64" s="205">
        <f t="shared" si="2"/>
        <v>0.65867558313681251</v>
      </c>
      <c r="K64" s="207">
        <f t="shared" si="3"/>
        <v>115549516.33758384</v>
      </c>
      <c r="L64" s="207">
        <f t="shared" ca="1" si="4"/>
        <v>0</v>
      </c>
      <c r="M64" s="213">
        <f t="shared" si="5"/>
        <v>139490217.78825629</v>
      </c>
      <c r="N64" s="213">
        <f t="shared" ca="1" si="6"/>
        <v>0</v>
      </c>
      <c r="O64" s="209">
        <f t="shared" si="7"/>
        <v>163430919.23892874</v>
      </c>
      <c r="P64" s="209">
        <f t="shared" ca="1" si="8"/>
        <v>0</v>
      </c>
      <c r="Q64"/>
      <c r="R64"/>
    </row>
    <row r="65" spans="1:19" s="139" customFormat="1" ht="20.100000000000001" customHeight="1" x14ac:dyDescent="0.25">
      <c r="B65" s="155" t="s">
        <v>151</v>
      </c>
      <c r="C65" s="156"/>
      <c r="D65" s="147">
        <f>SUM(D51:D64)</f>
        <v>6619279333.0648613</v>
      </c>
      <c r="E65" s="147">
        <f>SUM(E51:E52,E54:E58,E60:E64)</f>
        <v>1269766212</v>
      </c>
      <c r="F65" s="147">
        <f>SUM(F51:F64)</f>
        <v>7889045545.0648613</v>
      </c>
      <c r="G65" s="148">
        <f>SUM(G51:G64)</f>
        <v>5616954947.9936943</v>
      </c>
      <c r="H65" s="148">
        <f>SUM(H51:H64)</f>
        <v>976438253.53318501</v>
      </c>
      <c r="I65" s="148">
        <f>SUM(I51:I64)</f>
        <v>6593393201.5268793</v>
      </c>
      <c r="J65" s="212">
        <f>IFERROR(I65/F65,0)</f>
        <v>0.83576564032533673</v>
      </c>
      <c r="K65" s="210">
        <f>SUM(K51:K64)</f>
        <v>506747789.03149545</v>
      </c>
      <c r="L65" s="210">
        <f t="shared" ca="1" si="4"/>
        <v>0</v>
      </c>
      <c r="M65" s="210">
        <f>SUM(M51:M64)</f>
        <v>901200066.28473783</v>
      </c>
      <c r="N65" s="210">
        <f t="shared" ca="1" si="6"/>
        <v>0</v>
      </c>
      <c r="O65" s="211">
        <f>SUM(O51:O64)</f>
        <v>1295652343.537981</v>
      </c>
      <c r="P65" s="211">
        <f t="shared" ca="1" si="8"/>
        <v>0</v>
      </c>
      <c r="Q65"/>
      <c r="R65"/>
    </row>
    <row r="67" spans="1:19" ht="18.95" customHeight="1" x14ac:dyDescent="0.25">
      <c r="A67" s="139"/>
      <c r="B67" s="254" t="s">
        <v>144</v>
      </c>
      <c r="C67" s="255"/>
      <c r="D67" s="255"/>
      <c r="E67" s="255"/>
      <c r="F67" s="255"/>
      <c r="G67" s="255"/>
      <c r="H67" s="255"/>
      <c r="I67" s="255"/>
      <c r="J67" s="255"/>
      <c r="K67" s="255"/>
      <c r="L67" s="256"/>
      <c r="M67" s="139"/>
      <c r="N67" s="139"/>
      <c r="O67" s="139"/>
      <c r="P67" s="139"/>
      <c r="Q67" s="139"/>
      <c r="R67" s="139"/>
      <c r="S67" s="139"/>
    </row>
    <row r="68" spans="1:19" ht="33.950000000000003" customHeight="1" x14ac:dyDescent="0.25">
      <c r="A68" s="139"/>
      <c r="B68" s="226" t="s">
        <v>152</v>
      </c>
      <c r="C68" s="226" t="s">
        <v>42</v>
      </c>
      <c r="D68" s="226" t="s">
        <v>137</v>
      </c>
      <c r="E68" s="226" t="s">
        <v>138</v>
      </c>
      <c r="F68" s="227" t="s">
        <v>139</v>
      </c>
      <c r="G68" s="228" t="str">
        <f>"SELISIH"&amp;CHAR(10)&amp;TEXT($H$41,"0%")</f>
        <v>SELISIH
90%</v>
      </c>
      <c r="H68" s="228" t="str">
        <f>"PER HARI"&amp;CHAR(10)&amp;TEXT($H$41,"0%")</f>
        <v>PER HARI
90%</v>
      </c>
      <c r="I68" s="229" t="str">
        <f>"SELISIH"&amp;CHAR(10)&amp;TEXT($J$41,"0%")</f>
        <v>SELISIH
95%</v>
      </c>
      <c r="J68" s="230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  <c r="M68" s="139"/>
      <c r="N68" s="139"/>
      <c r="O68" s="139"/>
      <c r="P68" s="139"/>
      <c r="Q68" s="139"/>
      <c r="R68" s="139"/>
      <c r="S68" s="139"/>
    </row>
    <row r="69" spans="1:19" ht="15.75" x14ac:dyDescent="0.25">
      <c r="A69" s="139"/>
      <c r="B69" s="149" t="s">
        <v>92</v>
      </c>
      <c r="C69" s="150" t="s">
        <v>93</v>
      </c>
      <c r="D69" s="160">
        <f>TARGETS!G22</f>
        <v>279391895.3166402</v>
      </c>
      <c r="E69" s="144">
        <f>IFERROR(C32,0)</f>
        <v>240237597.65824801</v>
      </c>
      <c r="F69" s="205">
        <f t="shared" ref="F69:F74" si="11">IFERROR(E69/D69,0)</f>
        <v>0.85985886378694742</v>
      </c>
      <c r="G69" s="207">
        <f>D69*$H$41-E69</f>
        <v>11215108.126728177</v>
      </c>
      <c r="H69" s="207">
        <f t="shared" ref="H69:H74" ca="1" si="12">IFERROR(G69/$C$3,0)</f>
        <v>0</v>
      </c>
      <c r="I69" s="208">
        <f>D69*$J$41-E69</f>
        <v>25184702.892560154</v>
      </c>
      <c r="J69" s="208">
        <f t="shared" ref="J69:J74" ca="1" si="13">IFERROR(I69/$C$3,0)</f>
        <v>0</v>
      </c>
      <c r="K69" s="209">
        <f>D69*$L$41-E69</f>
        <v>39154297.658392191</v>
      </c>
      <c r="L69" s="209">
        <f t="shared" ref="L69:L74" ca="1" si="14">IFERROR(K69/$C$3,0)</f>
        <v>0</v>
      </c>
      <c r="M69" s="139"/>
      <c r="N69" s="139"/>
      <c r="O69" s="139"/>
      <c r="P69" s="139"/>
      <c r="Q69" s="139"/>
      <c r="R69" s="139"/>
      <c r="S69" s="139"/>
    </row>
    <row r="70" spans="1:19" ht="15.75" x14ac:dyDescent="0.25">
      <c r="A70" s="139"/>
      <c r="B70" s="164" t="s">
        <v>94</v>
      </c>
      <c r="C70" s="165" t="s">
        <v>95</v>
      </c>
      <c r="D70" s="166">
        <f>TARGETS!G23</f>
        <v>419611959.16831887</v>
      </c>
      <c r="E70" s="144">
        <f>IFERROR(C33,0)</f>
        <v>449933743.924721</v>
      </c>
      <c r="F70" s="205">
        <f t="shared" si="11"/>
        <v>1.0722614884868884</v>
      </c>
      <c r="G70" s="207">
        <f>D70*$H$41-E70</f>
        <v>-72282980.673233986</v>
      </c>
      <c r="H70" s="207">
        <f t="shared" ca="1" si="12"/>
        <v>0</v>
      </c>
      <c r="I70" s="208">
        <f>D70*$J$41-E70</f>
        <v>-51302382.71481812</v>
      </c>
      <c r="J70" s="208">
        <f t="shared" ca="1" si="13"/>
        <v>0</v>
      </c>
      <c r="K70" s="209">
        <f>D70*$L$41-E70</f>
        <v>-30321784.756402135</v>
      </c>
      <c r="L70" s="209">
        <f t="shared" ca="1" si="14"/>
        <v>0</v>
      </c>
      <c r="M70" s="139"/>
      <c r="N70" s="139"/>
      <c r="O70" s="139"/>
      <c r="P70" s="139"/>
      <c r="Q70" s="139"/>
      <c r="R70" s="139"/>
      <c r="S70" s="139"/>
    </row>
    <row r="71" spans="1:19" ht="15.75" x14ac:dyDescent="0.25">
      <c r="A71" s="139"/>
      <c r="B71" s="149" t="s">
        <v>96</v>
      </c>
      <c r="C71" s="150" t="s">
        <v>97</v>
      </c>
      <c r="D71" s="160">
        <f>TARGETS!G24</f>
        <v>1092485507.2171693</v>
      </c>
      <c r="E71" s="144">
        <f>M21+M7</f>
        <v>897130483.57328391</v>
      </c>
      <c r="F71" s="205">
        <f t="shared" si="11"/>
        <v>0.82118296091496634</v>
      </c>
      <c r="G71" s="207">
        <f>D71*$H$41-E71</f>
        <v>86106472.922168493</v>
      </c>
      <c r="H71" s="207">
        <f t="shared" ca="1" si="12"/>
        <v>0</v>
      </c>
      <c r="I71" s="208">
        <f>D71*$J$41-E71</f>
        <v>140730748.28302681</v>
      </c>
      <c r="J71" s="208">
        <f t="shared" ca="1" si="13"/>
        <v>0</v>
      </c>
      <c r="K71" s="209">
        <f>D71*$L$41-E71</f>
        <v>195355023.64388537</v>
      </c>
      <c r="L71" s="209">
        <f t="shared" ca="1" si="14"/>
        <v>0</v>
      </c>
      <c r="M71" s="139"/>
      <c r="N71" s="139"/>
      <c r="O71" s="139"/>
      <c r="P71" s="139"/>
      <c r="Q71" s="139"/>
      <c r="R71" s="139"/>
      <c r="S71" s="139"/>
    </row>
    <row r="72" spans="1:19" ht="15.75" x14ac:dyDescent="0.25">
      <c r="A72" s="139"/>
      <c r="B72" s="151" t="s">
        <v>98</v>
      </c>
      <c r="C72" s="152" t="s">
        <v>99</v>
      </c>
      <c r="D72" s="161">
        <f>TARGETS!G25</f>
        <v>0</v>
      </c>
      <c r="E72" s="144">
        <f>0</f>
        <v>0</v>
      </c>
      <c r="F72" s="205">
        <f t="shared" si="11"/>
        <v>0</v>
      </c>
      <c r="G72" s="207">
        <f>D72*$H$41-E72</f>
        <v>0</v>
      </c>
      <c r="H72" s="207">
        <f t="shared" ca="1" si="12"/>
        <v>0</v>
      </c>
      <c r="I72" s="208">
        <f>D72*$J$41-E72</f>
        <v>0</v>
      </c>
      <c r="J72" s="208">
        <f t="shared" ca="1" si="13"/>
        <v>0</v>
      </c>
      <c r="K72" s="209">
        <f>D72*$L$41-E72</f>
        <v>0</v>
      </c>
      <c r="L72" s="209">
        <f t="shared" ca="1" si="14"/>
        <v>0</v>
      </c>
      <c r="M72" s="139"/>
      <c r="N72" s="139"/>
      <c r="O72" s="139"/>
      <c r="P72" s="139"/>
      <c r="Q72" s="139"/>
      <c r="R72" s="139"/>
      <c r="S72" s="139"/>
    </row>
    <row r="73" spans="1:19" ht="15.75" x14ac:dyDescent="0.25">
      <c r="A73" s="139"/>
      <c r="B73" s="149" t="s">
        <v>100</v>
      </c>
      <c r="C73" s="162" t="s">
        <v>101</v>
      </c>
      <c r="D73" s="160">
        <f>TARGETS!G26</f>
        <v>0</v>
      </c>
      <c r="E73" s="144">
        <f>0</f>
        <v>0</v>
      </c>
      <c r="F73" s="205">
        <f t="shared" si="11"/>
        <v>0</v>
      </c>
      <c r="G73" s="207">
        <f>D73*$H$41-E73</f>
        <v>0</v>
      </c>
      <c r="H73" s="207">
        <f t="shared" ca="1" si="12"/>
        <v>0</v>
      </c>
      <c r="I73" s="208">
        <f>D73*$J$41-E73</f>
        <v>0</v>
      </c>
      <c r="J73" s="208">
        <f t="shared" ca="1" si="13"/>
        <v>0</v>
      </c>
      <c r="K73" s="209">
        <f>D73*$L$41-E73</f>
        <v>0</v>
      </c>
      <c r="L73" s="209">
        <f t="shared" ca="1" si="14"/>
        <v>0</v>
      </c>
      <c r="M73" s="139"/>
      <c r="N73" s="139"/>
      <c r="O73" s="139"/>
      <c r="P73" s="139"/>
      <c r="Q73" s="139"/>
      <c r="R73" s="139"/>
      <c r="S73" s="139"/>
    </row>
    <row r="74" spans="1:19" ht="15.75" x14ac:dyDescent="0.25">
      <c r="A74" s="139"/>
      <c r="B74" s="155" t="s">
        <v>151</v>
      </c>
      <c r="C74" s="156"/>
      <c r="D74" s="163">
        <f>SUM(D69:D73)</f>
        <v>1791489361.7021284</v>
      </c>
      <c r="E74" s="163">
        <f>SUM(E69:E73)</f>
        <v>1587301825.1562529</v>
      </c>
      <c r="F74" s="206">
        <f t="shared" si="11"/>
        <v>0.88602358411334747</v>
      </c>
      <c r="G74" s="210">
        <f>SUM(G69:G73)</f>
        <v>25038600.375662684</v>
      </c>
      <c r="H74" s="210">
        <f t="shared" ca="1" si="12"/>
        <v>0</v>
      </c>
      <c r="I74" s="211">
        <f>SUM(I69:I73)</f>
        <v>114613068.46076885</v>
      </c>
      <c r="J74" s="211">
        <f t="shared" ca="1" si="13"/>
        <v>0</v>
      </c>
      <c r="K74" s="211">
        <f>SUM(K69:K73)</f>
        <v>204187536.54587543</v>
      </c>
      <c r="L74" s="211">
        <f t="shared" ca="1" si="14"/>
        <v>0</v>
      </c>
      <c r="M74" s="139"/>
      <c r="N74" s="139"/>
      <c r="O74" s="139"/>
      <c r="P74" s="139"/>
      <c r="Q74" s="139"/>
      <c r="R74" s="139"/>
      <c r="S74" s="139"/>
    </row>
    <row r="75" spans="1:19" x14ac:dyDescent="0.25">
      <c r="G75"/>
      <c r="H75"/>
      <c r="I75"/>
    </row>
    <row r="76" spans="1:19" x14ac:dyDescent="0.25">
      <c r="G76"/>
      <c r="H76"/>
      <c r="I76"/>
    </row>
    <row r="77" spans="1:19" ht="20.100000000000001" customHeight="1" x14ac:dyDescent="0.25">
      <c r="B77" s="254" t="s">
        <v>170</v>
      </c>
      <c r="C77" s="255"/>
      <c r="D77" s="256"/>
      <c r="G77"/>
      <c r="H77"/>
      <c r="I77"/>
    </row>
    <row r="78" spans="1:19" ht="20.100000000000001" customHeight="1" x14ac:dyDescent="0.25">
      <c r="B78" s="273" t="s">
        <v>41</v>
      </c>
      <c r="C78" s="273" t="s">
        <v>42</v>
      </c>
      <c r="D78" s="231" t="s">
        <v>138</v>
      </c>
      <c r="G78"/>
      <c r="H78"/>
      <c r="I78"/>
    </row>
    <row r="79" spans="1:19" ht="20.100000000000001" customHeight="1" x14ac:dyDescent="0.25">
      <c r="B79" s="263"/>
      <c r="C79" s="263"/>
      <c r="D79" s="70" t="s">
        <v>167</v>
      </c>
      <c r="G79"/>
      <c r="H79"/>
      <c r="I79"/>
    </row>
    <row r="80" spans="1:19" s="139" customFormat="1" ht="20.100000000000001" customHeight="1" x14ac:dyDescent="0.25">
      <c r="B80" s="149" t="s">
        <v>67</v>
      </c>
      <c r="C80" s="150" t="s">
        <v>68</v>
      </c>
      <c r="D80" s="157">
        <f>IF(E24="",0,E24)</f>
        <v>24325368.979991999</v>
      </c>
    </row>
    <row r="81" spans="2:4" s="139" customFormat="1" ht="20.100000000000001" customHeight="1" x14ac:dyDescent="0.25">
      <c r="B81" s="151" t="s">
        <v>69</v>
      </c>
      <c r="C81" s="152" t="s">
        <v>70</v>
      </c>
      <c r="D81" s="158">
        <f>IF(E12="",0,E12)+IF(E13="",0,E13)</f>
        <v>81902340.960000008</v>
      </c>
    </row>
    <row r="82" spans="2:4" s="139" customFormat="1" ht="20.100000000000001" customHeight="1" x14ac:dyDescent="0.25">
      <c r="B82" s="151" t="s">
        <v>171</v>
      </c>
      <c r="C82" s="152" t="s">
        <v>172</v>
      </c>
      <c r="D82" s="158">
        <f>IF(E22="",0,E22)</f>
        <v>12315315.119999999</v>
      </c>
    </row>
    <row r="83" spans="2:4" s="139" customFormat="1" ht="20.100000000000001" customHeight="1" x14ac:dyDescent="0.25">
      <c r="B83" s="149" t="s">
        <v>71</v>
      </c>
      <c r="C83" s="150" t="s">
        <v>72</v>
      </c>
      <c r="D83" s="157">
        <f>IF(E14="",0,E14)</f>
        <v>66130323.599985003</v>
      </c>
    </row>
    <row r="84" spans="2:4" s="139" customFormat="1" ht="20.100000000000001" customHeight="1" x14ac:dyDescent="0.25">
      <c r="B84" s="151" t="s">
        <v>73</v>
      </c>
      <c r="C84" s="152" t="s">
        <v>74</v>
      </c>
      <c r="D84" s="158">
        <f>0</f>
        <v>0</v>
      </c>
    </row>
    <row r="85" spans="2:4" s="139" customFormat="1" ht="20.100000000000001" customHeight="1" x14ac:dyDescent="0.25">
      <c r="B85" s="149" t="s">
        <v>75</v>
      </c>
      <c r="C85" s="150" t="s">
        <v>74</v>
      </c>
      <c r="D85" s="157">
        <v>2883783.76</v>
      </c>
    </row>
    <row r="86" spans="2:4" s="139" customFormat="1" ht="20.100000000000001" customHeight="1" x14ac:dyDescent="0.25">
      <c r="B86" s="151" t="s">
        <v>76</v>
      </c>
      <c r="C86" s="152" t="s">
        <v>77</v>
      </c>
      <c r="D86" s="158">
        <f>IF(E19="",0,E19)</f>
        <v>287203621.35000002</v>
      </c>
    </row>
    <row r="87" spans="2:4" s="139" customFormat="1" ht="20.100000000000001" customHeight="1" x14ac:dyDescent="0.25">
      <c r="B87" s="149" t="s">
        <v>78</v>
      </c>
      <c r="C87" s="150" t="s">
        <v>79</v>
      </c>
      <c r="D87" s="157">
        <f>IF(E25="",0,E25)</f>
        <v>26407801.439994998</v>
      </c>
    </row>
    <row r="88" spans="2:4" s="139" customFormat="1" ht="20.100000000000001" customHeight="1" x14ac:dyDescent="0.25">
      <c r="B88" s="151" t="s">
        <v>171</v>
      </c>
      <c r="C88" s="152" t="s">
        <v>173</v>
      </c>
      <c r="D88" s="158">
        <f>IF(E23="",0,E23)</f>
        <v>17151621.32</v>
      </c>
    </row>
    <row r="89" spans="2:4" s="139" customFormat="1" ht="20.100000000000001" customHeight="1" x14ac:dyDescent="0.25">
      <c r="B89" s="151" t="s">
        <v>80</v>
      </c>
      <c r="C89" s="152" t="s">
        <v>81</v>
      </c>
      <c r="D89" s="158">
        <f>IF(E11="",0,E11)</f>
        <v>34053355</v>
      </c>
    </row>
    <row r="90" spans="2:4" s="139" customFormat="1" ht="20.100000000000001" customHeight="1" x14ac:dyDescent="0.25">
      <c r="B90" s="149" t="s">
        <v>82</v>
      </c>
      <c r="C90" s="150" t="s">
        <v>83</v>
      </c>
      <c r="D90" s="157">
        <f>IF(E26="",0,E26)</f>
        <v>112736039.39988001</v>
      </c>
    </row>
    <row r="91" spans="2:4" s="139" customFormat="1" ht="20.100000000000001" customHeight="1" x14ac:dyDescent="0.25">
      <c r="B91" s="151" t="s">
        <v>84</v>
      </c>
      <c r="C91" s="152" t="s">
        <v>85</v>
      </c>
      <c r="D91" s="158">
        <f>IF(E10="",0,E10)</f>
        <v>61031205.54998</v>
      </c>
    </row>
    <row r="92" spans="2:4" s="139" customFormat="1" ht="20.100000000000001" customHeight="1" x14ac:dyDescent="0.25">
      <c r="B92" s="149" t="s">
        <v>86</v>
      </c>
      <c r="C92" s="150" t="s">
        <v>87</v>
      </c>
      <c r="D92" s="157">
        <f>0</f>
        <v>0</v>
      </c>
    </row>
    <row r="93" spans="2:4" s="139" customFormat="1" ht="20.100000000000001" customHeight="1" x14ac:dyDescent="0.25">
      <c r="B93" s="151" t="s">
        <v>88</v>
      </c>
      <c r="C93" s="152" t="s">
        <v>89</v>
      </c>
      <c r="D93" s="158">
        <f>0</f>
        <v>0</v>
      </c>
    </row>
    <row r="94" spans="2:4" s="139" customFormat="1" ht="20.100000000000001" customHeight="1" x14ac:dyDescent="0.25">
      <c r="B94" s="155" t="s">
        <v>151</v>
      </c>
      <c r="C94" s="156"/>
      <c r="D94" s="159">
        <f>SUM(D80:D93)</f>
        <v>726140776.47983217</v>
      </c>
    </row>
  </sheetData>
  <mergeCells count="16">
    <mergeCell ref="B78:B79"/>
    <mergeCell ref="C78:C79"/>
    <mergeCell ref="K48:P48"/>
    <mergeCell ref="K49:K50"/>
    <mergeCell ref="L49:L50"/>
    <mergeCell ref="M49:M50"/>
    <mergeCell ref="P49:P50"/>
    <mergeCell ref="B67:L67"/>
    <mergeCell ref="B77:D77"/>
    <mergeCell ref="B41:D41"/>
    <mergeCell ref="B48:J48"/>
    <mergeCell ref="D49:F49"/>
    <mergeCell ref="B46:C46"/>
    <mergeCell ref="B49:B50"/>
    <mergeCell ref="C49:C50"/>
    <mergeCell ref="J49:J50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dataValidations count="1">
    <dataValidation type="list" allowBlank="1" showInputMessage="1" showErrorMessage="1" promptTitle="Target %" prompt="Pilih % target: 70% - 100%" sqref="H41 J41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4"/>
  <sheetViews>
    <sheetView showGridLines="0" topLeftCell="A51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18" width="15.28515625" customWidth="1"/>
  </cols>
  <sheetData>
    <row r="1" spans="2:14" ht="19.5" x14ac:dyDescent="0.25">
      <c r="B1" s="83" t="s">
        <v>157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191</v>
      </c>
      <c r="H2" s="111"/>
      <c r="I2" s="111"/>
      <c r="J2" s="217">
        <f ca="1">E3</f>
        <v>31</v>
      </c>
    </row>
    <row r="3" spans="2:14" ht="15.75" x14ac:dyDescent="0.25">
      <c r="B3" s="74" t="s">
        <v>103</v>
      </c>
      <c r="C3" s="75">
        <f ca="1">IF($J$5&lt;&gt;"",$J$5,MAX(0,NETWORKDAYS.INTL(MAX(TODAY(),DATE(YEAR(TODAY()),5,1)),EOMONTH(DATE(YEAR(TODAY()),5,1),0),11)-MAX(0,$J$3-$J$4)))</f>
        <v>0</v>
      </c>
      <c r="D3" s="76" t="s">
        <v>104</v>
      </c>
      <c r="E3" s="77">
        <f ca="1">DAY(EOMONTH(DATE(YEAR(TODAY()),5,1),0))</f>
        <v>31</v>
      </c>
      <c r="G3" s="221" t="s">
        <v>192</v>
      </c>
      <c r="H3" s="111"/>
      <c r="I3" s="111"/>
      <c r="J3" s="218">
        <v>0</v>
      </c>
    </row>
    <row r="4" spans="2:14" x14ac:dyDescent="0.25">
      <c r="G4" s="221" t="s">
        <v>193</v>
      </c>
      <c r="H4" s="111"/>
      <c r="I4" s="111"/>
      <c r="J4" s="218">
        <v>0</v>
      </c>
    </row>
    <row r="5" spans="2:14" x14ac:dyDescent="0.25">
      <c r="G5" s="221" t="s">
        <v>194</v>
      </c>
      <c r="H5" s="111"/>
      <c r="I5" s="111"/>
      <c r="J5" s="218"/>
    </row>
    <row r="6" spans="2:14" x14ac:dyDescent="0.25">
      <c r="B6" s="78" t="s">
        <v>105</v>
      </c>
      <c r="C6" s="78"/>
      <c r="D6" s="78"/>
      <c r="E6" s="78"/>
      <c r="F6" s="78"/>
      <c r="H6" s="111"/>
      <c r="I6" s="111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H7" s="111"/>
      <c r="I7" s="111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167</v>
      </c>
      <c r="F8" s="80" t="s">
        <v>111</v>
      </c>
      <c r="H8" s="111"/>
      <c r="I8" s="111"/>
      <c r="J8" s="111"/>
      <c r="M8" s="11">
        <f>C24</f>
        <v>288424016.78064901</v>
      </c>
      <c r="N8" s="11">
        <f>D24</f>
        <v>44585739.113441996</v>
      </c>
    </row>
    <row r="9" spans="2:14" x14ac:dyDescent="0.25">
      <c r="B9" s="81"/>
      <c r="C9" s="82">
        <v>0</v>
      </c>
      <c r="D9" s="82">
        <v>0</v>
      </c>
      <c r="E9" s="82"/>
      <c r="F9" s="82"/>
      <c r="H9" s="111"/>
      <c r="I9" s="111"/>
      <c r="J9" s="111"/>
      <c r="M9" s="11">
        <f>C12+C13</f>
        <v>514873412.84566295</v>
      </c>
      <c r="N9" s="11">
        <f>D12+D13</f>
        <v>95906107.167067006</v>
      </c>
    </row>
    <row r="10" spans="2:14" x14ac:dyDescent="0.25">
      <c r="B10" s="72" t="s">
        <v>112</v>
      </c>
      <c r="C10" s="15">
        <v>297882183.23181498</v>
      </c>
      <c r="D10" s="15">
        <v>34050666.405826002</v>
      </c>
      <c r="E10" s="15">
        <v>162788612.639999</v>
      </c>
      <c r="F10" s="15">
        <v>494721462.27763999</v>
      </c>
      <c r="H10" s="111"/>
      <c r="I10" s="111"/>
      <c r="J10" s="111"/>
      <c r="M10" s="11">
        <f>C14</f>
        <v>670664362.43227303</v>
      </c>
      <c r="N10" s="11">
        <f>D14</f>
        <v>27278643.871089</v>
      </c>
    </row>
    <row r="11" spans="2:14" x14ac:dyDescent="0.25">
      <c r="B11" s="72" t="s">
        <v>113</v>
      </c>
      <c r="C11" s="15">
        <v>374466810.62618703</v>
      </c>
      <c r="D11" s="15">
        <v>92402940.934527993</v>
      </c>
      <c r="E11" s="15">
        <v>40868468.799999997</v>
      </c>
      <c r="F11" s="15">
        <v>507738220.36071497</v>
      </c>
      <c r="H11" s="111"/>
      <c r="I11" s="111"/>
      <c r="J11" s="111"/>
      <c r="M11" s="11">
        <f>C17</f>
        <v>314350697.279998</v>
      </c>
      <c r="N11" s="11">
        <f>D17</f>
        <v>42787524.299999997</v>
      </c>
    </row>
    <row r="12" spans="2:14" x14ac:dyDescent="0.25">
      <c r="B12" s="72" t="s">
        <v>70</v>
      </c>
      <c r="C12" s="15">
        <v>278227678.91783297</v>
      </c>
      <c r="D12" s="15">
        <v>62708999.627249002</v>
      </c>
      <c r="E12" s="15">
        <v>52162025.759999998</v>
      </c>
      <c r="F12" s="15">
        <v>393098704.30508202</v>
      </c>
      <c r="H12" s="111"/>
      <c r="I12" s="111"/>
      <c r="J12" s="111"/>
      <c r="M12" s="11">
        <f>C16</f>
        <v>413013469.09840298</v>
      </c>
      <c r="N12" s="11">
        <f>D16</f>
        <v>61457252.569306999</v>
      </c>
    </row>
    <row r="13" spans="2:14" x14ac:dyDescent="0.25">
      <c r="B13" s="72" t="s">
        <v>114</v>
      </c>
      <c r="C13" s="15">
        <v>236645733.92783001</v>
      </c>
      <c r="D13" s="15">
        <v>33197107.539818</v>
      </c>
      <c r="E13" s="15">
        <v>41510945.439999998</v>
      </c>
      <c r="F13" s="15">
        <v>311353786.90764803</v>
      </c>
      <c r="H13" s="111"/>
      <c r="I13" s="111"/>
      <c r="J13" s="111"/>
      <c r="M13" s="11">
        <f>C19</f>
        <v>1005613301.6380841</v>
      </c>
      <c r="N13" s="11">
        <f>D19</f>
        <v>73190755.369811997</v>
      </c>
    </row>
    <row r="14" spans="2:14" x14ac:dyDescent="0.25">
      <c r="B14" s="72" t="s">
        <v>115</v>
      </c>
      <c r="C14" s="15">
        <v>670664362.43227303</v>
      </c>
      <c r="D14" s="15">
        <v>27278643.871089</v>
      </c>
      <c r="E14" s="15">
        <v>260324322.93000001</v>
      </c>
      <c r="F14" s="15">
        <v>958267329.23336196</v>
      </c>
      <c r="H14" s="111"/>
      <c r="I14" s="111"/>
      <c r="J14" s="111"/>
      <c r="M14" s="11">
        <f>C25</f>
        <v>389875776.90495598</v>
      </c>
      <c r="N14" s="11">
        <f>D25</f>
        <v>68378257.859753996</v>
      </c>
    </row>
    <row r="15" spans="2:14" x14ac:dyDescent="0.25">
      <c r="B15" s="81" t="s">
        <v>116</v>
      </c>
      <c r="C15" s="133"/>
      <c r="D15" s="133"/>
      <c r="E15" s="133"/>
      <c r="F15" s="133"/>
      <c r="H15" s="111"/>
      <c r="I15" s="111"/>
      <c r="J15" s="111"/>
      <c r="M15" s="11">
        <f>C11</f>
        <v>374466810.62618703</v>
      </c>
      <c r="N15" s="11">
        <f>D11</f>
        <v>92402940.934527993</v>
      </c>
    </row>
    <row r="16" spans="2:14" x14ac:dyDescent="0.25">
      <c r="B16" s="72" t="s">
        <v>74</v>
      </c>
      <c r="C16" s="15">
        <v>413013469.09840298</v>
      </c>
      <c r="D16" s="15">
        <v>61457252.569306999</v>
      </c>
      <c r="E16" s="15">
        <v>14439639.5</v>
      </c>
      <c r="F16" s="15">
        <v>488910361.16771001</v>
      </c>
      <c r="H16" s="111"/>
      <c r="I16" s="111"/>
      <c r="J16" s="111"/>
      <c r="M16" s="11">
        <f>C26</f>
        <v>454249976.114806</v>
      </c>
      <c r="N16" s="11">
        <f>D26</f>
        <v>58885063.089941002</v>
      </c>
    </row>
    <row r="17" spans="2:14" x14ac:dyDescent="0.25">
      <c r="B17" s="72" t="s">
        <v>117</v>
      </c>
      <c r="C17" s="15">
        <v>314350697.279998</v>
      </c>
      <c r="D17" s="15">
        <v>42787524.299999997</v>
      </c>
      <c r="E17" s="15" t="s">
        <v>164</v>
      </c>
      <c r="F17" s="15">
        <v>357138221.57999802</v>
      </c>
      <c r="H17" s="111"/>
      <c r="I17" s="111"/>
      <c r="J17" s="111"/>
      <c r="M17" s="11">
        <f>C10</f>
        <v>297882183.23181498</v>
      </c>
      <c r="N17" s="11">
        <f>D10</f>
        <v>34050666.405826002</v>
      </c>
    </row>
    <row r="18" spans="2:14" x14ac:dyDescent="0.25">
      <c r="B18" s="72" t="s">
        <v>118</v>
      </c>
      <c r="C18" s="15">
        <v>976940398.98976696</v>
      </c>
      <c r="D18" s="15">
        <v>11562280.951971</v>
      </c>
      <c r="E18" s="15">
        <v>11405405.380000001</v>
      </c>
      <c r="F18" s="15">
        <v>999908085.321738</v>
      </c>
      <c r="H18" s="111"/>
      <c r="I18" s="111"/>
      <c r="J18" s="111"/>
      <c r="M18" s="11">
        <f>C27</f>
        <v>686645252.87729704</v>
      </c>
      <c r="N18" s="11">
        <f>D27</f>
        <v>191906951.15242499</v>
      </c>
    </row>
    <row r="19" spans="2:14" x14ac:dyDescent="0.25">
      <c r="B19" s="72" t="s">
        <v>120</v>
      </c>
      <c r="C19" s="15">
        <v>1005613301.6380841</v>
      </c>
      <c r="D19" s="15">
        <v>73190755.369811997</v>
      </c>
      <c r="E19" s="15">
        <v>709237967.049927</v>
      </c>
      <c r="F19" s="15">
        <v>1788042024.0578229</v>
      </c>
      <c r="H19" s="111"/>
      <c r="I19" s="111"/>
      <c r="J19" s="111"/>
      <c r="M19" s="11">
        <f>C20+C21</f>
        <v>298336622.32828599</v>
      </c>
      <c r="N19" s="11">
        <f>D20+D21</f>
        <v>128847592.67048</v>
      </c>
    </row>
    <row r="20" spans="2:14" x14ac:dyDescent="0.25">
      <c r="B20" s="72" t="s">
        <v>122</v>
      </c>
      <c r="C20" s="15">
        <v>234281528.32828599</v>
      </c>
      <c r="D20" s="15">
        <v>28741885.549775999</v>
      </c>
      <c r="E20" s="15">
        <v>3816216.3</v>
      </c>
      <c r="F20" s="15">
        <v>266839630.17806199</v>
      </c>
      <c r="H20" s="111"/>
      <c r="I20" s="111"/>
      <c r="J20" s="111"/>
      <c r="M20" s="14">
        <f>IFERROR(C31,0)+IFERROR(C15,0)+IFERROR(C36,0)</f>
        <v>296173392</v>
      </c>
      <c r="N20" s="10" t="s">
        <v>119</v>
      </c>
    </row>
    <row r="21" spans="2:14" x14ac:dyDescent="0.25">
      <c r="B21" s="72" t="s">
        <v>123</v>
      </c>
      <c r="C21" s="15">
        <v>64055094</v>
      </c>
      <c r="D21" s="15">
        <v>100105707.120704</v>
      </c>
      <c r="E21" s="15">
        <v>79070271.780000001</v>
      </c>
      <c r="F21" s="15">
        <v>243231072.900704</v>
      </c>
      <c r="H21" s="111"/>
      <c r="I21" s="111"/>
      <c r="J21" s="111"/>
      <c r="M21" s="14">
        <f>IFERROR(C34,0)+IFERROR(C35,0)+M20</f>
        <v>945630576.91965699</v>
      </c>
      <c r="N21" s="10" t="s">
        <v>121</v>
      </c>
    </row>
    <row r="22" spans="2:14" x14ac:dyDescent="0.25">
      <c r="B22" s="72" t="s">
        <v>168</v>
      </c>
      <c r="C22" s="15">
        <v>197567845.80000001</v>
      </c>
      <c r="D22" s="15" t="s">
        <v>164</v>
      </c>
      <c r="E22" s="15">
        <v>12832432.08</v>
      </c>
      <c r="F22" s="15">
        <v>210400277.88</v>
      </c>
      <c r="H22" s="111"/>
      <c r="I22" s="111"/>
      <c r="J22" s="111"/>
    </row>
    <row r="23" spans="2:14" x14ac:dyDescent="0.25">
      <c r="B23" s="72" t="s">
        <v>169</v>
      </c>
      <c r="C23" s="15">
        <v>300521523.82997501</v>
      </c>
      <c r="D23" s="15" t="s">
        <v>164</v>
      </c>
      <c r="E23" s="15">
        <v>13813693.32</v>
      </c>
      <c r="F23" s="15">
        <v>314335217.149975</v>
      </c>
      <c r="H23" s="111"/>
      <c r="I23" s="111"/>
      <c r="J23" s="111"/>
    </row>
    <row r="24" spans="2:14" x14ac:dyDescent="0.25">
      <c r="B24" s="72" t="s">
        <v>124</v>
      </c>
      <c r="C24" s="15">
        <v>288424016.78064901</v>
      </c>
      <c r="D24" s="15">
        <v>44585739.113441996</v>
      </c>
      <c r="E24" s="15">
        <v>126214286.45999999</v>
      </c>
      <c r="F24" s="15">
        <v>459224042.35409099</v>
      </c>
      <c r="H24" s="111"/>
      <c r="I24" s="111"/>
      <c r="J24" s="111"/>
    </row>
    <row r="25" spans="2:14" x14ac:dyDescent="0.25">
      <c r="B25" s="72" t="s">
        <v>125</v>
      </c>
      <c r="C25" s="15">
        <v>389875776.90495598</v>
      </c>
      <c r="D25" s="15">
        <v>68378257.859753996</v>
      </c>
      <c r="E25" s="15">
        <v>247976756.949745</v>
      </c>
      <c r="F25" s="15">
        <v>706230791.71445501</v>
      </c>
      <c r="H25" s="111"/>
      <c r="I25" s="111"/>
      <c r="J25" s="111"/>
    </row>
    <row r="26" spans="2:14" x14ac:dyDescent="0.25">
      <c r="B26" s="72" t="s">
        <v>126</v>
      </c>
      <c r="C26" s="15">
        <v>454249976.114806</v>
      </c>
      <c r="D26" s="15">
        <v>58885063.089941002</v>
      </c>
      <c r="E26" s="15">
        <v>469103962.04973102</v>
      </c>
      <c r="F26" s="15">
        <v>982239001.25447798</v>
      </c>
      <c r="H26" s="111"/>
      <c r="I26" s="111"/>
      <c r="J26" s="111"/>
    </row>
    <row r="27" spans="2:14" x14ac:dyDescent="0.25">
      <c r="B27" s="72" t="s">
        <v>127</v>
      </c>
      <c r="C27" s="15">
        <v>686645252.87729704</v>
      </c>
      <c r="D27" s="15">
        <v>191906951.15242499</v>
      </c>
      <c r="E27" s="15">
        <v>19182702.936000001</v>
      </c>
      <c r="F27" s="15">
        <v>897734906.96572196</v>
      </c>
      <c r="H27" s="111"/>
      <c r="I27" s="111"/>
      <c r="J27" s="111"/>
    </row>
    <row r="28" spans="2:14" x14ac:dyDescent="0.25">
      <c r="C28" s="15"/>
      <c r="D28" s="15"/>
      <c r="E28" s="15"/>
      <c r="F28" s="15"/>
      <c r="G28" s="111"/>
      <c r="H28" s="111"/>
      <c r="I28" s="111"/>
    </row>
    <row r="29" spans="2:14" x14ac:dyDescent="0.25">
      <c r="B29" s="79" t="s">
        <v>128</v>
      </c>
      <c r="C29" s="79"/>
      <c r="G29" s="111"/>
      <c r="H29" s="111"/>
      <c r="I29" s="111"/>
    </row>
    <row r="30" spans="2:14" x14ac:dyDescent="0.25">
      <c r="B30" s="80" t="s">
        <v>129</v>
      </c>
      <c r="C30" s="80" t="s">
        <v>130</v>
      </c>
      <c r="G30" s="111"/>
      <c r="H30" s="111"/>
      <c r="I30" s="111"/>
    </row>
    <row r="31" spans="2:14" x14ac:dyDescent="0.25">
      <c r="B31" s="73"/>
      <c r="C31" s="107"/>
      <c r="G31" s="111"/>
      <c r="H31" s="111"/>
      <c r="I31" s="111"/>
    </row>
    <row r="32" spans="2:14" x14ac:dyDescent="0.25">
      <c r="B32" s="81" t="s">
        <v>131</v>
      </c>
      <c r="C32" s="15">
        <v>291427595.82048202</v>
      </c>
      <c r="G32" s="111"/>
      <c r="H32" s="111"/>
      <c r="I32" s="111"/>
    </row>
    <row r="33" spans="2:19" x14ac:dyDescent="0.25">
      <c r="B33" s="81" t="s">
        <v>132</v>
      </c>
      <c r="C33" s="15">
        <v>436148035.92440403</v>
      </c>
      <c r="G33" s="111"/>
      <c r="H33" s="111"/>
      <c r="I33" s="111"/>
    </row>
    <row r="34" spans="2:19" x14ac:dyDescent="0.25">
      <c r="B34" s="81" t="s">
        <v>133</v>
      </c>
      <c r="C34" s="15">
        <v>135628039.89320499</v>
      </c>
      <c r="G34" s="111"/>
      <c r="H34" s="111"/>
      <c r="I34" s="111"/>
    </row>
    <row r="35" spans="2:19" x14ac:dyDescent="0.25">
      <c r="B35" s="81" t="s">
        <v>134</v>
      </c>
      <c r="C35" s="15">
        <v>513829145.026452</v>
      </c>
      <c r="G35" s="111"/>
      <c r="H35" s="111"/>
      <c r="I35" s="111"/>
    </row>
    <row r="36" spans="2:19" x14ac:dyDescent="0.25">
      <c r="B36" s="81" t="s">
        <v>135</v>
      </c>
      <c r="C36" s="15">
        <v>296173392</v>
      </c>
      <c r="G36" s="111"/>
      <c r="H36" s="111"/>
      <c r="I36" s="111"/>
    </row>
    <row r="37" spans="2:19" x14ac:dyDescent="0.25">
      <c r="B37" s="81"/>
      <c r="C37" s="82"/>
      <c r="G37" s="111"/>
      <c r="H37" s="111"/>
      <c r="I37" s="111"/>
    </row>
    <row r="38" spans="2:19" x14ac:dyDescent="0.25">
      <c r="B38" s="73"/>
      <c r="C38" s="82"/>
      <c r="G38" s="111"/>
      <c r="H38" s="111"/>
      <c r="I38" s="111"/>
    </row>
    <row r="39" spans="2:19" x14ac:dyDescent="0.25">
      <c r="G39" s="111"/>
      <c r="H39" s="111"/>
      <c r="I39" s="111"/>
    </row>
    <row r="40" spans="2:19" x14ac:dyDescent="0.25">
      <c r="G40" s="111"/>
      <c r="H40" s="111"/>
      <c r="I40" s="111"/>
      <c r="S40" s="178" t="s">
        <v>184</v>
      </c>
    </row>
    <row r="41" spans="2:19" ht="27.95" customHeight="1" x14ac:dyDescent="0.25">
      <c r="B41" s="283" t="s">
        <v>178</v>
      </c>
      <c r="C41" s="284"/>
      <c r="D41" s="285"/>
      <c r="E41" s="66" t="s">
        <v>137</v>
      </c>
      <c r="F41" s="174">
        <v>0.97</v>
      </c>
      <c r="G41" s="192" t="s">
        <v>186</v>
      </c>
      <c r="H41" s="198">
        <v>0.9</v>
      </c>
      <c r="I41" s="201" t="s">
        <v>186</v>
      </c>
      <c r="J41" s="199">
        <v>0.95</v>
      </c>
      <c r="K41" s="194" t="s">
        <v>187</v>
      </c>
      <c r="L41" s="200">
        <v>1</v>
      </c>
      <c r="S41" s="173">
        <v>0.7</v>
      </c>
    </row>
    <row r="42" spans="2:19" ht="33.950000000000003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ht="20.100000000000001" customHeight="1" x14ac:dyDescent="0.25">
      <c r="B43" s="109" t="s">
        <v>142</v>
      </c>
      <c r="C43" s="41" t="s">
        <v>143</v>
      </c>
      <c r="D43" s="45">
        <f>SUM(TARGETS!P5:P7,TARGETS!P8:P13,TARGETS!P14:P18)</f>
        <v>6839279332</v>
      </c>
      <c r="E43" s="46">
        <f>G65</f>
        <v>6206485251.788393</v>
      </c>
      <c r="F43" s="176">
        <f>IFERROR(E43/D43,0)</f>
        <v>0.90747649723109647</v>
      </c>
      <c r="G43" s="184">
        <f>D43*$H$41-E43</f>
        <v>-51133852.98839283</v>
      </c>
      <c r="H43" s="184">
        <f ca="1">IFERROR(G43/$C$3,0)</f>
        <v>0</v>
      </c>
      <c r="I43" s="204">
        <f>D43*$J$41-E43</f>
        <v>290830113.6116066</v>
      </c>
      <c r="J43" s="204">
        <f ca="1">IFERROR(I43/$C$3,0)</f>
        <v>0</v>
      </c>
      <c r="K43" s="185">
        <f>D43*$L$41-E43</f>
        <v>632794080.21160698</v>
      </c>
      <c r="L43" s="185">
        <f ca="1">IFERROR(K43/$C$3,0)</f>
        <v>0</v>
      </c>
      <c r="S43" s="173">
        <v>0.8</v>
      </c>
    </row>
    <row r="44" spans="2:19" ht="20.100000000000001" customHeight="1" x14ac:dyDescent="0.25">
      <c r="B44" s="109" t="s">
        <v>110</v>
      </c>
      <c r="C44" s="41" t="s">
        <v>143</v>
      </c>
      <c r="D44" s="45">
        <f>SUM(TARGETS!Q5:Q6,TARGETS!Q8:Q12,TARGETS!Q14:Q18)</f>
        <v>1475264824.2203617</v>
      </c>
      <c r="E44" s="46">
        <f>N8+N9+N10+N11+N12+N13+N14+N15+N16+N17+N18+N19</f>
        <v>919677494.50367093</v>
      </c>
      <c r="F44" s="176">
        <f>IFERROR(E44/D44,0)</f>
        <v>0.62339823969550423</v>
      </c>
      <c r="G44" s="184">
        <f>D44*$H$41-E44</f>
        <v>408060847.29465461</v>
      </c>
      <c r="H44" s="184">
        <f ca="1">IFERROR(G44/$C$3,0)</f>
        <v>0</v>
      </c>
      <c r="I44" s="204">
        <f>D44*$J$41-E44</f>
        <v>481824088.50567269</v>
      </c>
      <c r="J44" s="204">
        <f ca="1">IFERROR(I44/$C$3,0)</f>
        <v>0</v>
      </c>
      <c r="K44" s="185">
        <f>D44*$L$41-E44</f>
        <v>555587329.71669078</v>
      </c>
      <c r="L44" s="185">
        <f ca="1">IFERROR(K44/$C$3,0)</f>
        <v>0</v>
      </c>
      <c r="S44" s="173">
        <v>0.85</v>
      </c>
    </row>
    <row r="45" spans="2:19" ht="20.100000000000001" customHeight="1" x14ac:dyDescent="0.25">
      <c r="B45" s="109" t="s">
        <v>144</v>
      </c>
      <c r="C45" s="41" t="s">
        <v>143</v>
      </c>
      <c r="D45" s="45">
        <f>SUM(TARGETS!H22:H26)</f>
        <v>1782978723.4042559</v>
      </c>
      <c r="E45" s="46">
        <f>IFERROR(C32,0)+IFERROR(C33,0)+M21+F9</f>
        <v>1673206208.6645432</v>
      </c>
      <c r="F45" s="176">
        <f>IFERROR(E45/D45,0)</f>
        <v>0.93843307645863372</v>
      </c>
      <c r="G45" s="184">
        <f>D45*$H$41-E45</f>
        <v>-68525357.600712776</v>
      </c>
      <c r="H45" s="184">
        <f ca="1">IFERROR(G45/$C$3,0)</f>
        <v>0</v>
      </c>
      <c r="I45" s="204">
        <f>D45*$J$41-E45</f>
        <v>20623578.569499731</v>
      </c>
      <c r="J45" s="204">
        <f ca="1">IFERROR(I45/$C$3,0)</f>
        <v>0</v>
      </c>
      <c r="K45" s="185">
        <f>D45*$L$41-E45</f>
        <v>109772514.73971272</v>
      </c>
      <c r="L45" s="185">
        <f ca="1">IFERROR(K45/$C$3,0)</f>
        <v>0</v>
      </c>
      <c r="S45" s="173">
        <v>0.9</v>
      </c>
    </row>
    <row r="46" spans="2:19" ht="18.75" customHeight="1" x14ac:dyDescent="0.25">
      <c r="B46" s="261" t="s">
        <v>145</v>
      </c>
      <c r="C46" s="262"/>
      <c r="D46" s="47">
        <f>D43+D44+D45</f>
        <v>10097522879.624619</v>
      </c>
      <c r="E46" s="47">
        <f>E43+E44+E45</f>
        <v>8799368954.9566078</v>
      </c>
      <c r="F46" s="177">
        <f>IFERROR(E46/D46,0)</f>
        <v>0.87143837749677178</v>
      </c>
      <c r="G46" s="181">
        <f>G43+G44+G45</f>
        <v>288401636.705549</v>
      </c>
      <c r="H46" s="181">
        <f ca="1">IFERROR(G46/$C$3,0)</f>
        <v>0</v>
      </c>
      <c r="I46" s="186">
        <f>I43+I44+I45</f>
        <v>793277780.68677902</v>
      </c>
      <c r="J46" s="186">
        <f ca="1">IFERROR(I46/$C$3,0)</f>
        <v>0</v>
      </c>
      <c r="K46" s="186">
        <f>K43+K44+K45</f>
        <v>1298153924.6680105</v>
      </c>
      <c r="L46" s="186">
        <f ca="1">IFERROR(K46/$C$3,0)</f>
        <v>0</v>
      </c>
      <c r="S46" s="173">
        <v>0.95</v>
      </c>
    </row>
    <row r="47" spans="2:19" x14ac:dyDescent="0.25">
      <c r="G47" s="111"/>
      <c r="H47" s="111"/>
      <c r="I47" s="111"/>
      <c r="S47" s="173">
        <v>1</v>
      </c>
    </row>
    <row r="48" spans="2:19" ht="25.5" customHeight="1" x14ac:dyDescent="0.25">
      <c r="B48" s="267" t="s">
        <v>146</v>
      </c>
      <c r="C48" s="268"/>
      <c r="D48" s="268"/>
      <c r="E48" s="268"/>
      <c r="F48" s="268"/>
      <c r="G48" s="268"/>
      <c r="H48" s="268"/>
      <c r="I48" s="268"/>
      <c r="J48" s="268"/>
      <c r="K48" s="274" t="s">
        <v>185</v>
      </c>
      <c r="L48" s="275"/>
      <c r="M48" s="275"/>
      <c r="N48" s="275"/>
      <c r="O48" s="275"/>
      <c r="P48" s="276"/>
    </row>
    <row r="49" spans="2:16" ht="33.950000000000003" customHeight="1" x14ac:dyDescent="0.25">
      <c r="B49" s="263" t="s">
        <v>41</v>
      </c>
      <c r="C49" s="263" t="s">
        <v>42</v>
      </c>
      <c r="D49" s="258" t="s">
        <v>137</v>
      </c>
      <c r="E49" s="259"/>
      <c r="F49" s="260"/>
      <c r="G49" s="112" t="s">
        <v>138</v>
      </c>
      <c r="H49" s="112"/>
      <c r="I49" s="112"/>
      <c r="J49" s="258" t="s">
        <v>139</v>
      </c>
      <c r="K49" s="277" t="str">
        <f>"SELISIH"&amp;CHAR(10)&amp;TEXT($H$41,"0%")</f>
        <v>SELISIH
90%</v>
      </c>
      <c r="L49" s="277" t="str">
        <f>"PER HARI"&amp;CHAR(10)&amp;TEXT($H$41,"0%")</f>
        <v>PER HARI
90%</v>
      </c>
      <c r="M49" s="279" t="str">
        <f>"SELISIH"&amp;CHAR(10)&amp;TEXT($J$41,"0%")</f>
        <v>SELISIH
95%</v>
      </c>
      <c r="N49" s="279" t="str">
        <f>"PER HARI"&amp;CHAR(10)&amp;TEXT($J$41,"0%")</f>
        <v>PER HARI
95%</v>
      </c>
      <c r="O49" s="281" t="str">
        <f>"SELISIH"&amp;CHAR(10)&amp;TEXT($L$41,"0%")</f>
        <v>SELISIH
100%</v>
      </c>
      <c r="P49" s="281" t="str">
        <f>"PER HARI"&amp;CHAR(10)&amp;TEXT($L$41,"0%")</f>
        <v>PER HARI
100%</v>
      </c>
    </row>
    <row r="50" spans="2:16" ht="22.5" customHeight="1" x14ac:dyDescent="0.25">
      <c r="B50" s="263"/>
      <c r="C50" s="263"/>
      <c r="D50" s="70" t="s">
        <v>149</v>
      </c>
      <c r="E50" s="70" t="s">
        <v>150</v>
      </c>
      <c r="F50" s="70" t="s">
        <v>130</v>
      </c>
      <c r="G50" s="113" t="s">
        <v>149</v>
      </c>
      <c r="H50" s="113" t="s">
        <v>150</v>
      </c>
      <c r="I50" s="113" t="s">
        <v>130</v>
      </c>
      <c r="J50" s="258"/>
      <c r="K50" s="278"/>
      <c r="L50" s="278"/>
      <c r="M50" s="280"/>
      <c r="N50" s="280"/>
      <c r="O50" s="282"/>
      <c r="P50" s="282"/>
    </row>
    <row r="51" spans="2:16" ht="20.100000000000001" customHeight="1" x14ac:dyDescent="0.25">
      <c r="B51" s="167" t="s">
        <v>67</v>
      </c>
      <c r="C51" s="168" t="s">
        <v>68</v>
      </c>
      <c r="D51" s="170">
        <f>TARGETS!P5</f>
        <v>416683478</v>
      </c>
      <c r="E51" s="170">
        <f>TARGETS!Q5</f>
        <v>68270401.220654309</v>
      </c>
      <c r="F51" s="170">
        <f t="shared" ref="F51:F64" si="0">D51+E51</f>
        <v>484953879.22065431</v>
      </c>
      <c r="G51" s="114">
        <f>M8</f>
        <v>288424016.78064901</v>
      </c>
      <c r="H51" s="114">
        <f>N8</f>
        <v>44585739.113441996</v>
      </c>
      <c r="I51" s="114">
        <f t="shared" ref="I51:I64" si="1">G51+H51</f>
        <v>333009755.89409101</v>
      </c>
      <c r="J51" s="187">
        <f t="shared" ref="J51:J64" si="2">IFERROR(I51/F51,0)</f>
        <v>0.68668335312474404</v>
      </c>
      <c r="K51" s="184">
        <f t="shared" ref="K51:K64" si="3">F51*$H$41-I51</f>
        <v>103448735.40449786</v>
      </c>
      <c r="L51" s="184">
        <f t="shared" ref="L51:L65" ca="1" si="4">IFERROR(K51/$C$3,0)</f>
        <v>0</v>
      </c>
      <c r="M51" s="180">
        <f t="shared" ref="M51:M64" si="5">F51*$J$41-I51</f>
        <v>127696429.36553055</v>
      </c>
      <c r="N51" s="180">
        <f t="shared" ref="N51:N65" ca="1" si="6">IFERROR(M51/$C$3,0)</f>
        <v>0</v>
      </c>
      <c r="O51" s="185">
        <f t="shared" ref="O51:O64" si="7">F51*$L$41-I51</f>
        <v>151944123.3265633</v>
      </c>
      <c r="P51" s="185">
        <f t="shared" ref="P51:P65" ca="1" si="8">IFERROR(O51/$C$3,0)</f>
        <v>0</v>
      </c>
    </row>
    <row r="52" spans="2:16" ht="20.100000000000001" customHeight="1" x14ac:dyDescent="0.25">
      <c r="B52" s="167" t="s">
        <v>69</v>
      </c>
      <c r="C52" s="168" t="s">
        <v>70</v>
      </c>
      <c r="D52" s="170">
        <f>TARGETS!P6</f>
        <v>555182371</v>
      </c>
      <c r="E52" s="170">
        <f>TARGETS!Q6</f>
        <v>191546784</v>
      </c>
      <c r="F52" s="170">
        <f t="shared" si="0"/>
        <v>746729155</v>
      </c>
      <c r="G52" s="114">
        <f>M9</f>
        <v>514873412.84566295</v>
      </c>
      <c r="H52" s="114">
        <f>N9</f>
        <v>95906107.167067006</v>
      </c>
      <c r="I52" s="114">
        <f t="shared" si="1"/>
        <v>610779520.01273</v>
      </c>
      <c r="J52" s="187">
        <f t="shared" si="2"/>
        <v>0.81793983256583846</v>
      </c>
      <c r="K52" s="184">
        <f t="shared" si="3"/>
        <v>61276719.487269998</v>
      </c>
      <c r="L52" s="184">
        <f t="shared" ca="1" si="4"/>
        <v>0</v>
      </c>
      <c r="M52" s="180">
        <f t="shared" si="5"/>
        <v>98613177.237269998</v>
      </c>
      <c r="N52" s="180">
        <f t="shared" ca="1" si="6"/>
        <v>0</v>
      </c>
      <c r="O52" s="185">
        <f t="shared" si="7"/>
        <v>135949634.98727</v>
      </c>
      <c r="P52" s="185">
        <f t="shared" ca="1" si="8"/>
        <v>0</v>
      </c>
    </row>
    <row r="53" spans="2:16" ht="20.100000000000001" customHeight="1" x14ac:dyDescent="0.25">
      <c r="B53" s="136" t="s">
        <v>171</v>
      </c>
      <c r="C53" s="137" t="s">
        <v>172</v>
      </c>
      <c r="D53" s="138">
        <f>TARGETS!P7</f>
        <v>241473268</v>
      </c>
      <c r="E53" s="138">
        <f>TARGETS!Q7</f>
        <v>0</v>
      </c>
      <c r="F53" s="138">
        <f>D53+E53</f>
        <v>241473268</v>
      </c>
      <c r="G53" s="114">
        <f>C22</f>
        <v>197567845.80000001</v>
      </c>
      <c r="H53" s="114">
        <f>IF(D22="",0,D22)</f>
        <v>0</v>
      </c>
      <c r="I53" s="114">
        <f>G53+H53</f>
        <v>197567845.80000001</v>
      </c>
      <c r="J53" s="187">
        <f>IFERROR(I53/F53,0)</f>
        <v>0.81817688324821114</v>
      </c>
      <c r="K53" s="184">
        <f t="shared" si="3"/>
        <v>19758095.400000006</v>
      </c>
      <c r="L53" s="184">
        <f t="shared" ca="1" si="4"/>
        <v>0</v>
      </c>
      <c r="M53" s="180">
        <f t="shared" si="5"/>
        <v>31831758.799999982</v>
      </c>
      <c r="N53" s="180">
        <f t="shared" ca="1" si="6"/>
        <v>0</v>
      </c>
      <c r="O53" s="185">
        <f t="shared" si="7"/>
        <v>43905422.199999988</v>
      </c>
      <c r="P53" s="185">
        <f t="shared" ca="1" si="8"/>
        <v>0</v>
      </c>
    </row>
    <row r="54" spans="2:16" ht="20.100000000000001" customHeight="1" x14ac:dyDescent="0.25">
      <c r="B54" s="167" t="s">
        <v>71</v>
      </c>
      <c r="C54" s="168" t="s">
        <v>72</v>
      </c>
      <c r="D54" s="170">
        <f>TARGETS!P8</f>
        <v>610712472</v>
      </c>
      <c r="E54" s="170">
        <f>TARGETS!Q8</f>
        <v>46881826.81733489</v>
      </c>
      <c r="F54" s="170">
        <f t="shared" si="0"/>
        <v>657594298.81733489</v>
      </c>
      <c r="G54" s="114">
        <f t="shared" ref="G54:H58" si="9">M10</f>
        <v>670664362.43227303</v>
      </c>
      <c r="H54" s="114">
        <f t="shared" si="9"/>
        <v>27278643.871089</v>
      </c>
      <c r="I54" s="114">
        <f t="shared" si="1"/>
        <v>697943006.30336201</v>
      </c>
      <c r="J54" s="187">
        <f t="shared" si="2"/>
        <v>1.0613580555041204</v>
      </c>
      <c r="K54" s="184">
        <f t="shared" si="3"/>
        <v>-106108137.36776054</v>
      </c>
      <c r="L54" s="184">
        <f t="shared" ca="1" si="4"/>
        <v>0</v>
      </c>
      <c r="M54" s="180">
        <f t="shared" si="5"/>
        <v>-73228422.42689395</v>
      </c>
      <c r="N54" s="180">
        <f t="shared" ca="1" si="6"/>
        <v>0</v>
      </c>
      <c r="O54" s="185">
        <f t="shared" si="7"/>
        <v>-40348707.486027122</v>
      </c>
      <c r="P54" s="185">
        <f t="shared" ca="1" si="8"/>
        <v>0</v>
      </c>
    </row>
    <row r="55" spans="2:16" ht="20.100000000000001" customHeight="1" x14ac:dyDescent="0.25">
      <c r="B55" s="167" t="s">
        <v>73</v>
      </c>
      <c r="C55" s="168" t="s">
        <v>74</v>
      </c>
      <c r="D55" s="170">
        <f>TARGETS!P9</f>
        <v>405063284</v>
      </c>
      <c r="E55" s="170">
        <f>TARGETS!Q9</f>
        <v>82869315.191524148</v>
      </c>
      <c r="F55" s="170">
        <f t="shared" si="0"/>
        <v>487932599.19152415</v>
      </c>
      <c r="G55" s="114">
        <f t="shared" si="9"/>
        <v>314350697.279998</v>
      </c>
      <c r="H55" s="114">
        <f t="shared" si="9"/>
        <v>42787524.299999997</v>
      </c>
      <c r="I55" s="114">
        <f t="shared" si="1"/>
        <v>357138221.57999802</v>
      </c>
      <c r="J55" s="187">
        <f t="shared" si="2"/>
        <v>0.73194171115386675</v>
      </c>
      <c r="K55" s="184">
        <f t="shared" si="3"/>
        <v>82001117.692373753</v>
      </c>
      <c r="L55" s="184">
        <f t="shared" ca="1" si="4"/>
        <v>0</v>
      </c>
      <c r="M55" s="180">
        <f t="shared" si="5"/>
        <v>106397747.65194988</v>
      </c>
      <c r="N55" s="180">
        <f t="shared" ca="1" si="6"/>
        <v>0</v>
      </c>
      <c r="O55" s="185">
        <f t="shared" si="7"/>
        <v>130794377.61152613</v>
      </c>
      <c r="P55" s="185">
        <f t="shared" ca="1" si="8"/>
        <v>0</v>
      </c>
    </row>
    <row r="56" spans="2:16" ht="20.100000000000001" customHeight="1" x14ac:dyDescent="0.25">
      <c r="B56" s="167" t="s">
        <v>75</v>
      </c>
      <c r="C56" s="168" t="s">
        <v>74</v>
      </c>
      <c r="D56" s="170">
        <f>TARGETS!P10</f>
        <v>473918832</v>
      </c>
      <c r="E56" s="170">
        <f>TARGETS!Q10</f>
        <v>81239394.122653604</v>
      </c>
      <c r="F56" s="170">
        <f t="shared" si="0"/>
        <v>555158226.1226536</v>
      </c>
      <c r="G56" s="114">
        <f t="shared" si="9"/>
        <v>413013469.09840298</v>
      </c>
      <c r="H56" s="114">
        <f t="shared" si="9"/>
        <v>61457252.569306999</v>
      </c>
      <c r="I56" s="114">
        <f t="shared" si="1"/>
        <v>474470721.66770995</v>
      </c>
      <c r="J56" s="187">
        <f t="shared" si="2"/>
        <v>0.85465854479274705</v>
      </c>
      <c r="K56" s="184">
        <f t="shared" si="3"/>
        <v>25171681.842678308</v>
      </c>
      <c r="L56" s="184">
        <f t="shared" ca="1" si="4"/>
        <v>0</v>
      </c>
      <c r="M56" s="180">
        <f t="shared" si="5"/>
        <v>52929593.148810923</v>
      </c>
      <c r="N56" s="180">
        <f t="shared" ca="1" si="6"/>
        <v>0</v>
      </c>
      <c r="O56" s="185">
        <f t="shared" si="7"/>
        <v>80687504.454943657</v>
      </c>
      <c r="P56" s="185">
        <f t="shared" ca="1" si="8"/>
        <v>0</v>
      </c>
    </row>
    <row r="57" spans="2:16" ht="20.100000000000001" customHeight="1" x14ac:dyDescent="0.25">
      <c r="B57" s="167" t="s">
        <v>76</v>
      </c>
      <c r="C57" s="168" t="s">
        <v>77</v>
      </c>
      <c r="D57" s="170">
        <f>TARGETS!P11</f>
        <v>961758345</v>
      </c>
      <c r="E57" s="170">
        <f>TARGETS!Q11</f>
        <v>91928576.339156389</v>
      </c>
      <c r="F57" s="170">
        <f t="shared" si="0"/>
        <v>1053686921.3391564</v>
      </c>
      <c r="G57" s="114">
        <f t="shared" si="9"/>
        <v>1005613301.6380841</v>
      </c>
      <c r="H57" s="114">
        <f t="shared" si="9"/>
        <v>73190755.369811997</v>
      </c>
      <c r="I57" s="114">
        <f t="shared" si="1"/>
        <v>1078804057.0078959</v>
      </c>
      <c r="J57" s="187">
        <f t="shared" si="2"/>
        <v>1.0238373801174427</v>
      </c>
      <c r="K57" s="184">
        <f t="shared" si="3"/>
        <v>-130485827.80265522</v>
      </c>
      <c r="L57" s="184">
        <f t="shared" ca="1" si="4"/>
        <v>0</v>
      </c>
      <c r="M57" s="180">
        <f t="shared" si="5"/>
        <v>-77801481.735697389</v>
      </c>
      <c r="N57" s="180">
        <f t="shared" ca="1" si="6"/>
        <v>0</v>
      </c>
      <c r="O57" s="185">
        <f t="shared" si="7"/>
        <v>-25117135.668739557</v>
      </c>
      <c r="P57" s="185">
        <f t="shared" ca="1" si="8"/>
        <v>0</v>
      </c>
    </row>
    <row r="58" spans="2:16" ht="20.100000000000001" customHeight="1" x14ac:dyDescent="0.25">
      <c r="B58" s="167" t="s">
        <v>78</v>
      </c>
      <c r="C58" s="168" t="s">
        <v>79</v>
      </c>
      <c r="D58" s="170">
        <f>TARGETS!P12</f>
        <v>505287059</v>
      </c>
      <c r="E58" s="170">
        <f>TARGETS!Q12</f>
        <v>63781404</v>
      </c>
      <c r="F58" s="170">
        <f t="shared" si="0"/>
        <v>569068463</v>
      </c>
      <c r="G58" s="114">
        <f t="shared" si="9"/>
        <v>389875776.90495598</v>
      </c>
      <c r="H58" s="114">
        <f t="shared" si="9"/>
        <v>68378257.859753996</v>
      </c>
      <c r="I58" s="114">
        <f>G58+H58</f>
        <v>458254034.76470995</v>
      </c>
      <c r="J58" s="187">
        <f>IFERROR(I58/F58,0)</f>
        <v>0.805270480723705</v>
      </c>
      <c r="K58" s="184">
        <f t="shared" si="3"/>
        <v>53907581.935290039</v>
      </c>
      <c r="L58" s="184">
        <f t="shared" ca="1" si="4"/>
        <v>0</v>
      </c>
      <c r="M58" s="180">
        <f t="shared" si="5"/>
        <v>82361005.085290074</v>
      </c>
      <c r="N58" s="180">
        <f t="shared" ca="1" si="6"/>
        <v>0</v>
      </c>
      <c r="O58" s="185">
        <f t="shared" si="7"/>
        <v>110814428.23529005</v>
      </c>
      <c r="P58" s="185">
        <f t="shared" ca="1" si="8"/>
        <v>0</v>
      </c>
    </row>
    <row r="59" spans="2:16" ht="20.100000000000001" customHeight="1" x14ac:dyDescent="0.25">
      <c r="B59" s="136" t="s">
        <v>171</v>
      </c>
      <c r="C59" s="137" t="s">
        <v>173</v>
      </c>
      <c r="D59" s="138">
        <f>TARGETS!P13</f>
        <v>404133664</v>
      </c>
      <c r="E59" s="138">
        <f>TARGETS!Q13</f>
        <v>0</v>
      </c>
      <c r="F59" s="138">
        <f>D59+E59</f>
        <v>404133664</v>
      </c>
      <c r="G59" s="114">
        <f>C23</f>
        <v>300521523.82997501</v>
      </c>
      <c r="H59" s="114">
        <f>IF(D23="",0,D23)</f>
        <v>0</v>
      </c>
      <c r="I59" s="114">
        <f>G59+H59</f>
        <v>300521523.82997501</v>
      </c>
      <c r="J59" s="187">
        <f>IFERROR(I59/F59,0)</f>
        <v>0.74361913050127648</v>
      </c>
      <c r="K59" s="184">
        <f t="shared" si="3"/>
        <v>63198773.770025015</v>
      </c>
      <c r="L59" s="184">
        <f t="shared" ca="1" si="4"/>
        <v>0</v>
      </c>
      <c r="M59" s="180">
        <f t="shared" si="5"/>
        <v>83405456.970024943</v>
      </c>
      <c r="N59" s="180">
        <f t="shared" ca="1" si="6"/>
        <v>0</v>
      </c>
      <c r="O59" s="185">
        <f t="shared" si="7"/>
        <v>103612140.17002499</v>
      </c>
      <c r="P59" s="185">
        <f t="shared" ca="1" si="8"/>
        <v>0</v>
      </c>
    </row>
    <row r="60" spans="2:16" ht="20.100000000000001" customHeight="1" x14ac:dyDescent="0.25">
      <c r="B60" s="167" t="s">
        <v>80</v>
      </c>
      <c r="C60" s="168" t="s">
        <v>81</v>
      </c>
      <c r="D60" s="170">
        <f>TARGETS!P14</f>
        <v>404017309</v>
      </c>
      <c r="E60" s="170">
        <f>TARGETS!Q14</f>
        <v>138464390.21799541</v>
      </c>
      <c r="F60" s="170">
        <f t="shared" si="0"/>
        <v>542481699.21799541</v>
      </c>
      <c r="G60" s="114">
        <f t="shared" ref="G60:H64" si="10">M15</f>
        <v>374466810.62618703</v>
      </c>
      <c r="H60" s="114">
        <f t="shared" si="10"/>
        <v>92402940.934527993</v>
      </c>
      <c r="I60" s="114">
        <f t="shared" si="1"/>
        <v>466869751.56071502</v>
      </c>
      <c r="J60" s="187">
        <f t="shared" si="2"/>
        <v>0.86061843603889787</v>
      </c>
      <c r="K60" s="184">
        <f t="shared" si="3"/>
        <v>21363777.735480845</v>
      </c>
      <c r="L60" s="184">
        <f t="shared" ca="1" si="4"/>
        <v>0</v>
      </c>
      <c r="M60" s="180">
        <f t="shared" si="5"/>
        <v>48487862.696380615</v>
      </c>
      <c r="N60" s="180">
        <f t="shared" ca="1" si="6"/>
        <v>0</v>
      </c>
      <c r="O60" s="185">
        <f t="shared" si="7"/>
        <v>75611947.657280385</v>
      </c>
      <c r="P60" s="185">
        <f t="shared" ca="1" si="8"/>
        <v>0</v>
      </c>
    </row>
    <row r="61" spans="2:16" ht="20.100000000000001" customHeight="1" x14ac:dyDescent="0.25">
      <c r="B61" s="167" t="s">
        <v>82</v>
      </c>
      <c r="C61" s="168" t="s">
        <v>83</v>
      </c>
      <c r="D61" s="170">
        <f>TARGETS!P15</f>
        <v>631629596</v>
      </c>
      <c r="E61" s="170">
        <f>TARGETS!Q15</f>
        <v>58741600.610625267</v>
      </c>
      <c r="F61" s="170">
        <f t="shared" si="0"/>
        <v>690371196.61062527</v>
      </c>
      <c r="G61" s="114">
        <f t="shared" si="10"/>
        <v>454249976.114806</v>
      </c>
      <c r="H61" s="114">
        <f t="shared" si="10"/>
        <v>58885063.089941002</v>
      </c>
      <c r="I61" s="114">
        <f t="shared" si="1"/>
        <v>513135039.20474702</v>
      </c>
      <c r="J61" s="187">
        <f t="shared" si="2"/>
        <v>0.74327411358408568</v>
      </c>
      <c r="K61" s="184">
        <f t="shared" si="3"/>
        <v>108199037.74481577</v>
      </c>
      <c r="L61" s="184">
        <f t="shared" ca="1" si="4"/>
        <v>0</v>
      </c>
      <c r="M61" s="180">
        <f t="shared" si="5"/>
        <v>142717597.57534701</v>
      </c>
      <c r="N61" s="180">
        <f t="shared" ca="1" si="6"/>
        <v>0</v>
      </c>
      <c r="O61" s="185">
        <f t="shared" si="7"/>
        <v>177236157.40587825</v>
      </c>
      <c r="P61" s="185">
        <f t="shared" ca="1" si="8"/>
        <v>0</v>
      </c>
    </row>
    <row r="62" spans="2:16" ht="20.100000000000001" customHeight="1" x14ac:dyDescent="0.25">
      <c r="B62" s="167" t="s">
        <v>84</v>
      </c>
      <c r="C62" s="168" t="s">
        <v>85</v>
      </c>
      <c r="D62" s="170">
        <f>TARGETS!P16</f>
        <v>386543023</v>
      </c>
      <c r="E62" s="170">
        <f>TARGETS!Q16</f>
        <v>63764154.799813807</v>
      </c>
      <c r="F62" s="170">
        <f t="shared" si="0"/>
        <v>450307177.79981381</v>
      </c>
      <c r="G62" s="114">
        <f t="shared" si="10"/>
        <v>297882183.23181498</v>
      </c>
      <c r="H62" s="114">
        <f t="shared" si="10"/>
        <v>34050666.405826002</v>
      </c>
      <c r="I62" s="114">
        <f t="shared" si="1"/>
        <v>331932849.63764095</v>
      </c>
      <c r="J62" s="187">
        <f t="shared" si="2"/>
        <v>0.7371253801892611</v>
      </c>
      <c r="K62" s="184">
        <f t="shared" si="3"/>
        <v>73343610.382191479</v>
      </c>
      <c r="L62" s="184">
        <f t="shared" ca="1" si="4"/>
        <v>0</v>
      </c>
      <c r="M62" s="180">
        <f t="shared" si="5"/>
        <v>95858969.272182167</v>
      </c>
      <c r="N62" s="180">
        <f t="shared" ca="1" si="6"/>
        <v>0</v>
      </c>
      <c r="O62" s="185">
        <f t="shared" si="7"/>
        <v>118374328.16217285</v>
      </c>
      <c r="P62" s="185">
        <f t="shared" ca="1" si="8"/>
        <v>0</v>
      </c>
    </row>
    <row r="63" spans="2:16" ht="20.100000000000001" customHeight="1" x14ac:dyDescent="0.25">
      <c r="B63" s="167" t="s">
        <v>86</v>
      </c>
      <c r="C63" s="168" t="s">
        <v>87</v>
      </c>
      <c r="D63" s="170">
        <f>TARGETS!P17</f>
        <v>583350942</v>
      </c>
      <c r="E63" s="170">
        <f>TARGETS!Q17</f>
        <v>329806944.99271739</v>
      </c>
      <c r="F63" s="170">
        <f t="shared" si="0"/>
        <v>913157886.99271739</v>
      </c>
      <c r="G63" s="114">
        <f t="shared" si="10"/>
        <v>686645252.87729704</v>
      </c>
      <c r="H63" s="114">
        <f t="shared" si="10"/>
        <v>191906951.15242499</v>
      </c>
      <c r="I63" s="114">
        <f t="shared" si="1"/>
        <v>878552204.02972198</v>
      </c>
      <c r="J63" s="187">
        <f t="shared" si="2"/>
        <v>0.96210328634737907</v>
      </c>
      <c r="K63" s="184">
        <f t="shared" si="3"/>
        <v>-56710105.736276269</v>
      </c>
      <c r="L63" s="184">
        <f t="shared" ca="1" si="4"/>
        <v>0</v>
      </c>
      <c r="M63" s="180">
        <f t="shared" si="5"/>
        <v>-11052211.386640549</v>
      </c>
      <c r="N63" s="180">
        <f t="shared" ca="1" si="6"/>
        <v>0</v>
      </c>
      <c r="O63" s="185">
        <f t="shared" si="7"/>
        <v>34605682.96299541</v>
      </c>
      <c r="P63" s="185">
        <f t="shared" ca="1" si="8"/>
        <v>0</v>
      </c>
    </row>
    <row r="64" spans="2:16" ht="20.100000000000001" customHeight="1" x14ac:dyDescent="0.25">
      <c r="B64" s="167" t="s">
        <v>88</v>
      </c>
      <c r="C64" s="168" t="s">
        <v>89</v>
      </c>
      <c r="D64" s="170">
        <f>TARGETS!P18</f>
        <v>259525689</v>
      </c>
      <c r="E64" s="170">
        <f>TARGETS!Q18</f>
        <v>257970031.90788639</v>
      </c>
      <c r="F64" s="170">
        <f t="shared" si="0"/>
        <v>517495720.90788639</v>
      </c>
      <c r="G64" s="114">
        <f t="shared" si="10"/>
        <v>298336622.32828599</v>
      </c>
      <c r="H64" s="114">
        <f t="shared" si="10"/>
        <v>128847592.67048</v>
      </c>
      <c r="I64" s="114">
        <f t="shared" si="1"/>
        <v>427184214.99876601</v>
      </c>
      <c r="J64" s="187">
        <f t="shared" si="2"/>
        <v>0.82548356969854886</v>
      </c>
      <c r="K64" s="184">
        <f t="shared" si="3"/>
        <v>38561933.818331778</v>
      </c>
      <c r="L64" s="184">
        <f t="shared" ca="1" si="4"/>
        <v>0</v>
      </c>
      <c r="M64" s="180">
        <f t="shared" si="5"/>
        <v>64436719.86372602</v>
      </c>
      <c r="N64" s="180">
        <f t="shared" ca="1" si="6"/>
        <v>0</v>
      </c>
      <c r="O64" s="185">
        <f t="shared" si="7"/>
        <v>90311505.909120381</v>
      </c>
      <c r="P64" s="185">
        <f t="shared" ca="1" si="8"/>
        <v>0</v>
      </c>
    </row>
    <row r="65" spans="2:16" ht="20.100000000000001" customHeight="1" x14ac:dyDescent="0.25">
      <c r="B65" s="57" t="s">
        <v>151</v>
      </c>
      <c r="C65" s="58"/>
      <c r="D65" s="134">
        <f>SUM(D51:D64)</f>
        <v>6839279332</v>
      </c>
      <c r="E65" s="134">
        <f>SUM(E51:E52,E54:E58,E60:E64)</f>
        <v>1475264824.2203617</v>
      </c>
      <c r="F65" s="134">
        <f>SUM(F51:F64)</f>
        <v>8314544156.2203627</v>
      </c>
      <c r="G65" s="135">
        <f>SUM(G51:G64)</f>
        <v>6206485251.788393</v>
      </c>
      <c r="H65" s="135">
        <f>SUM(H51:H64)</f>
        <v>919677494.50367093</v>
      </c>
      <c r="I65" s="135">
        <f>SUM(I51:I64)</f>
        <v>7126162746.2920628</v>
      </c>
      <c r="J65" s="189">
        <f>IFERROR(I65/F65,0)</f>
        <v>0.85707197080200292</v>
      </c>
      <c r="K65" s="181">
        <f>SUM(K51:K64)</f>
        <v>356926994.30626285</v>
      </c>
      <c r="L65" s="181">
        <f t="shared" ca="1" si="4"/>
        <v>0</v>
      </c>
      <c r="M65" s="181">
        <f>SUM(M51:M64)</f>
        <v>772654202.11728036</v>
      </c>
      <c r="N65" s="181">
        <f t="shared" ca="1" si="6"/>
        <v>0</v>
      </c>
      <c r="O65" s="186">
        <f>SUM(O51:O64)</f>
        <v>1188381409.9282987</v>
      </c>
      <c r="P65" s="186">
        <f t="shared" ca="1" si="8"/>
        <v>0</v>
      </c>
    </row>
    <row r="66" spans="2:16" x14ac:dyDescent="0.25">
      <c r="G66" s="111"/>
      <c r="H66" s="111"/>
      <c r="I66" s="111"/>
    </row>
    <row r="67" spans="2:16" ht="18.95" customHeight="1" x14ac:dyDescent="0.25">
      <c r="B67" s="254" t="s">
        <v>144</v>
      </c>
      <c r="C67" s="255"/>
      <c r="D67" s="255"/>
      <c r="E67" s="255"/>
      <c r="F67" s="255"/>
      <c r="G67" s="255"/>
      <c r="H67" s="255"/>
      <c r="I67" s="255"/>
      <c r="J67" s="255"/>
      <c r="K67" s="255"/>
      <c r="L67" s="256"/>
    </row>
    <row r="68" spans="2:16" ht="33.950000000000003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"SELISIH"&amp;CHAR(10)&amp;TEXT($H$41,"0%")</f>
        <v>SELISIH
90%</v>
      </c>
      <c r="H68" s="232" t="str">
        <f>"PER HARI"&amp;CHAR(10)&amp;TEXT($H$41,"0%")</f>
        <v>PER HARI
90%</v>
      </c>
      <c r="I68" s="229" t="str">
        <f>"SELISIH"&amp;CHAR(10)&amp;TEXT($J$41,"0%")</f>
        <v>SELISIH
95%</v>
      </c>
      <c r="J68" s="230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</row>
    <row r="69" spans="2:16" x14ac:dyDescent="0.25">
      <c r="B69" s="167" t="s">
        <v>92</v>
      </c>
      <c r="C69" s="168" t="s">
        <v>93</v>
      </c>
      <c r="D69" s="169">
        <f>TARGETS!H22</f>
        <v>278064617.90420955</v>
      </c>
      <c r="E69" s="114">
        <f>IFERROR(C32,0)</f>
        <v>291427595.82048202</v>
      </c>
      <c r="F69" s="187">
        <f t="shared" ref="F69:F74" si="11">IFERROR(E69/D69,0)</f>
        <v>1.0480570955664552</v>
      </c>
      <c r="G69" s="184">
        <f>D69*$H$41-E69</f>
        <v>-41169439.706693411</v>
      </c>
      <c r="H69" s="184">
        <f t="shared" ref="H69:H74" ca="1" si="12">IFERROR(G69/$C$3,0)</f>
        <v>0</v>
      </c>
      <c r="I69" s="204">
        <f>D69*$J$41-E69</f>
        <v>-27266208.811482966</v>
      </c>
      <c r="J69" s="204">
        <f t="shared" ref="J69:J74" ca="1" si="13">IFERROR(I69/$C$3,0)</f>
        <v>0</v>
      </c>
      <c r="K69" s="185">
        <f>D69*$L$41-E69</f>
        <v>-13362977.916272461</v>
      </c>
      <c r="L69" s="185">
        <f t="shared" ref="L69:L74" ca="1" si="14">IFERROR(K69/$C$3,0)</f>
        <v>0</v>
      </c>
    </row>
    <row r="70" spans="2:16" x14ac:dyDescent="0.25">
      <c r="B70" s="167" t="s">
        <v>94</v>
      </c>
      <c r="C70" s="168" t="s">
        <v>95</v>
      </c>
      <c r="D70" s="169">
        <f>TARGETS!H23</f>
        <v>417618553.18652159</v>
      </c>
      <c r="E70" s="114">
        <f>IFERROR(C33,0)</f>
        <v>436148035.92440403</v>
      </c>
      <c r="F70" s="187">
        <f t="shared" si="11"/>
        <v>1.0443693954602793</v>
      </c>
      <c r="G70" s="184">
        <f>D70*$H$41-E70</f>
        <v>-60291338.056534588</v>
      </c>
      <c r="H70" s="184">
        <f t="shared" ca="1" si="12"/>
        <v>0</v>
      </c>
      <c r="I70" s="204">
        <f>D70*$J$41-E70</f>
        <v>-39410410.397208512</v>
      </c>
      <c r="J70" s="204">
        <f t="shared" ca="1" si="13"/>
        <v>0</v>
      </c>
      <c r="K70" s="185">
        <f>D70*$L$41-E70</f>
        <v>-18529482.737882435</v>
      </c>
      <c r="L70" s="185">
        <f t="shared" ca="1" si="14"/>
        <v>0</v>
      </c>
    </row>
    <row r="71" spans="2:16" x14ac:dyDescent="0.25">
      <c r="B71" s="167" t="s">
        <v>96</v>
      </c>
      <c r="C71" s="168" t="s">
        <v>97</v>
      </c>
      <c r="D71" s="169">
        <f>TARGETS!H24</f>
        <v>1087295552.3135247</v>
      </c>
      <c r="E71" s="114">
        <f>M21+M7</f>
        <v>945630576.91965699</v>
      </c>
      <c r="F71" s="187">
        <f t="shared" si="11"/>
        <v>0.86970886150280302</v>
      </c>
      <c r="G71" s="184">
        <f>D71*$H$41-E71</f>
        <v>32935420.162515283</v>
      </c>
      <c r="H71" s="184">
        <f t="shared" ca="1" si="12"/>
        <v>0</v>
      </c>
      <c r="I71" s="204">
        <f>D71*$J$41-E71</f>
        <v>87300197.778191447</v>
      </c>
      <c r="J71" s="204">
        <f t="shared" ca="1" si="13"/>
        <v>0</v>
      </c>
      <c r="K71" s="185">
        <f>D71*$L$41-E71</f>
        <v>141664975.39386773</v>
      </c>
      <c r="L71" s="185">
        <f t="shared" ca="1" si="14"/>
        <v>0</v>
      </c>
    </row>
    <row r="72" spans="2:16" x14ac:dyDescent="0.25">
      <c r="B72" s="53" t="s">
        <v>98</v>
      </c>
      <c r="C72" s="56" t="s">
        <v>99</v>
      </c>
      <c r="D72" s="117">
        <f>TARGETS!H25</f>
        <v>0</v>
      </c>
      <c r="E72" s="114">
        <f>0</f>
        <v>0</v>
      </c>
      <c r="F72" s="187">
        <f t="shared" si="11"/>
        <v>0</v>
      </c>
      <c r="G72" s="184">
        <f>D72*$H$41-E72</f>
        <v>0</v>
      </c>
      <c r="H72" s="184">
        <f t="shared" ca="1" si="12"/>
        <v>0</v>
      </c>
      <c r="I72" s="204">
        <f>D72*$J$41-E72</f>
        <v>0</v>
      </c>
      <c r="J72" s="204">
        <f t="shared" ca="1" si="13"/>
        <v>0</v>
      </c>
      <c r="K72" s="185">
        <f>D72*$L$41-E72</f>
        <v>0</v>
      </c>
      <c r="L72" s="185">
        <f t="shared" ca="1" si="14"/>
        <v>0</v>
      </c>
    </row>
    <row r="73" spans="2:16" x14ac:dyDescent="0.25">
      <c r="B73" s="50" t="s">
        <v>100</v>
      </c>
      <c r="C73" s="108" t="s">
        <v>101</v>
      </c>
      <c r="D73" s="116">
        <f>TARGETS!H26</f>
        <v>0</v>
      </c>
      <c r="E73" s="114">
        <f>0</f>
        <v>0</v>
      </c>
      <c r="F73" s="187">
        <f t="shared" si="11"/>
        <v>0</v>
      </c>
      <c r="G73" s="184">
        <f>D73*$H$41-E73</f>
        <v>0</v>
      </c>
      <c r="H73" s="184">
        <f t="shared" ca="1" si="12"/>
        <v>0</v>
      </c>
      <c r="I73" s="204">
        <f>D73*$J$41-E73</f>
        <v>0</v>
      </c>
      <c r="J73" s="204">
        <f t="shared" ca="1" si="13"/>
        <v>0</v>
      </c>
      <c r="K73" s="185">
        <f>D73*$L$41-E73</f>
        <v>0</v>
      </c>
      <c r="L73" s="185">
        <f t="shared" ca="1" si="14"/>
        <v>0</v>
      </c>
    </row>
    <row r="74" spans="2:16" x14ac:dyDescent="0.25">
      <c r="B74" s="57" t="s">
        <v>151</v>
      </c>
      <c r="C74" s="58"/>
      <c r="D74" s="115">
        <f>SUM(D69:D73)</f>
        <v>1782978723.4042559</v>
      </c>
      <c r="E74" s="115">
        <f>SUM(E69:E73)</f>
        <v>1673206208.6645432</v>
      </c>
      <c r="F74" s="177">
        <f t="shared" si="11"/>
        <v>0.93843307645863372</v>
      </c>
      <c r="G74" s="181">
        <f>SUM(G69:G73)</f>
        <v>-68525357.600712717</v>
      </c>
      <c r="H74" s="181">
        <f t="shared" ca="1" si="12"/>
        <v>0</v>
      </c>
      <c r="I74" s="186">
        <f>SUM(I69:I73)</f>
        <v>20623578.569499969</v>
      </c>
      <c r="J74" s="186">
        <f t="shared" ca="1" si="13"/>
        <v>0</v>
      </c>
      <c r="K74" s="186">
        <f>SUM(K69:K73)</f>
        <v>109772514.73971283</v>
      </c>
      <c r="L74" s="186">
        <f t="shared" ca="1" si="14"/>
        <v>0</v>
      </c>
    </row>
    <row r="77" spans="2:16" ht="20.100000000000001" customHeight="1" x14ac:dyDescent="0.25">
      <c r="B77" s="254" t="s">
        <v>170</v>
      </c>
      <c r="C77" s="255"/>
      <c r="D77" s="256"/>
    </row>
    <row r="78" spans="2:16" ht="18.75" customHeight="1" x14ac:dyDescent="0.25">
      <c r="B78" s="273" t="s">
        <v>41</v>
      </c>
      <c r="C78" s="273" t="s">
        <v>42</v>
      </c>
      <c r="D78" s="231" t="s">
        <v>138</v>
      </c>
    </row>
    <row r="79" spans="2:16" ht="18" customHeight="1" x14ac:dyDescent="0.25">
      <c r="B79" s="263"/>
      <c r="C79" s="263"/>
      <c r="D79" s="70" t="s">
        <v>167</v>
      </c>
    </row>
    <row r="80" spans="2:16" ht="20.100000000000001" customHeight="1" x14ac:dyDescent="0.25">
      <c r="B80" s="167" t="s">
        <v>67</v>
      </c>
      <c r="C80" s="168" t="s">
        <v>68</v>
      </c>
      <c r="D80" s="157">
        <f>IF(E24="",0,E24)</f>
        <v>126214286.45999999</v>
      </c>
    </row>
    <row r="81" spans="2:4" ht="20.100000000000001" customHeight="1" x14ac:dyDescent="0.25">
      <c r="B81" s="167" t="s">
        <v>69</v>
      </c>
      <c r="C81" s="168" t="s">
        <v>70</v>
      </c>
      <c r="D81" s="158">
        <f>IF(E12="",0,E12)+IF(E13="",0,E13)</f>
        <v>93672971.199999988</v>
      </c>
    </row>
    <row r="82" spans="2:4" ht="20.100000000000001" customHeight="1" x14ac:dyDescent="0.25">
      <c r="B82" s="167" t="s">
        <v>171</v>
      </c>
      <c r="C82" s="168" t="s">
        <v>172</v>
      </c>
      <c r="D82" s="158">
        <f>IF(E22="",0,E22)</f>
        <v>12832432.08</v>
      </c>
    </row>
    <row r="83" spans="2:4" ht="20.100000000000001" customHeight="1" x14ac:dyDescent="0.25">
      <c r="B83" s="167" t="s">
        <v>71</v>
      </c>
      <c r="C83" s="168" t="s">
        <v>72</v>
      </c>
      <c r="D83" s="157">
        <f>IF(E14="",0,E14)</f>
        <v>260324322.93000001</v>
      </c>
    </row>
    <row r="84" spans="2:4" ht="20.100000000000001" customHeight="1" x14ac:dyDescent="0.25">
      <c r="B84" s="167" t="s">
        <v>73</v>
      </c>
      <c r="C84" s="168" t="s">
        <v>74</v>
      </c>
      <c r="D84" s="158">
        <f>0</f>
        <v>0</v>
      </c>
    </row>
    <row r="85" spans="2:4" ht="20.100000000000001" customHeight="1" x14ac:dyDescent="0.25">
      <c r="B85" s="167" t="s">
        <v>75</v>
      </c>
      <c r="C85" s="168" t="s">
        <v>74</v>
      </c>
      <c r="D85" s="158">
        <f>IF(E16="",0,E16)</f>
        <v>14439639.5</v>
      </c>
    </row>
    <row r="86" spans="2:4" ht="20.100000000000001" customHeight="1" x14ac:dyDescent="0.25">
      <c r="B86" s="167" t="s">
        <v>76</v>
      </c>
      <c r="C86" s="168" t="s">
        <v>77</v>
      </c>
      <c r="D86" s="158">
        <f>IF(E19="",0,E19)</f>
        <v>709237967.049927</v>
      </c>
    </row>
    <row r="87" spans="2:4" ht="20.100000000000001" customHeight="1" x14ac:dyDescent="0.25">
      <c r="B87" s="167" t="s">
        <v>78</v>
      </c>
      <c r="C87" s="168" t="s">
        <v>79</v>
      </c>
      <c r="D87" s="157">
        <f>IF(E25="",0,E25)</f>
        <v>247976756.949745</v>
      </c>
    </row>
    <row r="88" spans="2:4" ht="20.100000000000001" customHeight="1" x14ac:dyDescent="0.25">
      <c r="B88" s="167" t="s">
        <v>171</v>
      </c>
      <c r="C88" s="168" t="s">
        <v>173</v>
      </c>
      <c r="D88" s="158">
        <f>IF(E23="",0,E23)</f>
        <v>13813693.32</v>
      </c>
    </row>
    <row r="89" spans="2:4" ht="20.100000000000001" customHeight="1" x14ac:dyDescent="0.25">
      <c r="B89" s="167" t="s">
        <v>80</v>
      </c>
      <c r="C89" s="168" t="s">
        <v>81</v>
      </c>
      <c r="D89" s="158">
        <f>IF(E11="",0,E11)</f>
        <v>40868468.799999997</v>
      </c>
    </row>
    <row r="90" spans="2:4" ht="20.100000000000001" customHeight="1" x14ac:dyDescent="0.25">
      <c r="B90" s="167" t="s">
        <v>82</v>
      </c>
      <c r="C90" s="168" t="s">
        <v>83</v>
      </c>
      <c r="D90" s="157">
        <f>IF(E26="",0,E26)</f>
        <v>469103962.04973102</v>
      </c>
    </row>
    <row r="91" spans="2:4" ht="20.100000000000001" customHeight="1" x14ac:dyDescent="0.25">
      <c r="B91" s="167" t="s">
        <v>84</v>
      </c>
      <c r="C91" s="168" t="s">
        <v>85</v>
      </c>
      <c r="D91" s="158">
        <f>IF(E10="",0,E10)</f>
        <v>162788612.639999</v>
      </c>
    </row>
    <row r="92" spans="2:4" ht="20.100000000000001" customHeight="1" x14ac:dyDescent="0.25">
      <c r="B92" s="167" t="s">
        <v>86</v>
      </c>
      <c r="C92" s="168" t="s">
        <v>87</v>
      </c>
      <c r="D92" s="158">
        <f>IF(E27="",0,E27)</f>
        <v>19182702.936000001</v>
      </c>
    </row>
    <row r="93" spans="2:4" ht="20.100000000000001" customHeight="1" x14ac:dyDescent="0.25">
      <c r="B93" s="167" t="s">
        <v>88</v>
      </c>
      <c r="C93" s="168" t="s">
        <v>89</v>
      </c>
      <c r="D93" s="158">
        <f>IF(E20="",0,E20)+IF(E21="",0,E21)</f>
        <v>82886488.079999998</v>
      </c>
    </row>
    <row r="94" spans="2:4" ht="20.100000000000001" customHeight="1" x14ac:dyDescent="0.25">
      <c r="B94" s="57" t="s">
        <v>151</v>
      </c>
      <c r="C94" s="58"/>
      <c r="D94" s="120">
        <f>SUM(D80:D93)</f>
        <v>2253342303.9954014</v>
      </c>
    </row>
  </sheetData>
  <mergeCells count="18">
    <mergeCell ref="N49:N50"/>
    <mergeCell ref="K48:P48"/>
    <mergeCell ref="K49:K50"/>
    <mergeCell ref="L49:L50"/>
    <mergeCell ref="M49:M50"/>
    <mergeCell ref="O49:O50"/>
    <mergeCell ref="P49:P50"/>
    <mergeCell ref="B78:B79"/>
    <mergeCell ref="C78:C79"/>
    <mergeCell ref="D49:F49"/>
    <mergeCell ref="J49:J50"/>
    <mergeCell ref="B67:L67"/>
    <mergeCell ref="B77:D77"/>
    <mergeCell ref="B41:D41"/>
    <mergeCell ref="B48:J48"/>
    <mergeCell ref="B46:C46"/>
    <mergeCell ref="B49:B50"/>
    <mergeCell ref="C49:C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dataValidations count="1">
    <dataValidation type="list" allowBlank="1" showInputMessage="1" showErrorMessage="1" promptTitle="Target %" prompt="Pilih % target: 70% - 100%" sqref="H41 J41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4"/>
  <sheetViews>
    <sheetView showGridLines="0" topLeftCell="A52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45.28515625" customWidth="1"/>
    <col min="3" max="3" width="16.7109375" customWidth="1"/>
    <col min="4" max="4" width="18.28515625" customWidth="1"/>
    <col min="5" max="5" width="15.28515625" customWidth="1"/>
    <col min="6" max="6" width="14.28515625" bestFit="1" customWidth="1"/>
    <col min="7" max="18" width="15.28515625" customWidth="1"/>
  </cols>
  <sheetData>
    <row r="1" spans="2:14" ht="19.5" x14ac:dyDescent="0.25">
      <c r="B1" s="83" t="s">
        <v>158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191</v>
      </c>
      <c r="H2" s="111"/>
      <c r="I2" s="111"/>
      <c r="J2" s="217">
        <f ca="1">E3</f>
        <v>30</v>
      </c>
    </row>
    <row r="3" spans="2:14" ht="15.75" x14ac:dyDescent="0.25">
      <c r="B3" s="74" t="s">
        <v>103</v>
      </c>
      <c r="C3" s="75">
        <f ca="1">IF($J$5&lt;&gt;"",$J$5,MAX(0,NETWORKDAYS.INTL(MAX(TODAY(),DATE(YEAR(TODAY()),6,1)),EOMONTH(DATE(YEAR(TODAY()),6,1),0),11)-MAX(0,$J$3-$J$4)))</f>
        <v>0</v>
      </c>
      <c r="D3" s="76" t="s">
        <v>104</v>
      </c>
      <c r="E3" s="77">
        <f ca="1">DAY(EOMONTH(DATE(YEAR(TODAY()),6,1),0))</f>
        <v>30</v>
      </c>
      <c r="G3" s="221" t="s">
        <v>192</v>
      </c>
      <c r="H3" s="111"/>
      <c r="I3" s="111"/>
      <c r="J3" s="218">
        <v>0</v>
      </c>
    </row>
    <row r="4" spans="2:14" x14ac:dyDescent="0.25">
      <c r="G4" s="221" t="s">
        <v>193</v>
      </c>
      <c r="H4" s="111"/>
      <c r="I4" s="111"/>
      <c r="J4" s="218">
        <v>0</v>
      </c>
    </row>
    <row r="5" spans="2:14" x14ac:dyDescent="0.25">
      <c r="G5" s="221" t="s">
        <v>194</v>
      </c>
      <c r="H5" s="111"/>
      <c r="I5" s="111"/>
      <c r="J5" s="218"/>
    </row>
    <row r="6" spans="2:14" x14ac:dyDescent="0.25">
      <c r="B6" s="78" t="s">
        <v>105</v>
      </c>
      <c r="C6" s="78"/>
      <c r="D6" s="78"/>
      <c r="E6" s="78"/>
      <c r="F6" s="78"/>
      <c r="H6" s="111"/>
      <c r="I6" s="111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H7" s="111"/>
      <c r="I7" s="111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167</v>
      </c>
      <c r="F8" s="80" t="s">
        <v>111</v>
      </c>
      <c r="H8" s="111"/>
      <c r="I8" s="111"/>
      <c r="J8" s="111"/>
      <c r="M8" s="11">
        <f>C24</f>
        <v>320575286.94788897</v>
      </c>
      <c r="N8" s="11">
        <f>D24</f>
        <v>55052087.763467997</v>
      </c>
    </row>
    <row r="9" spans="2:14" x14ac:dyDescent="0.25">
      <c r="B9" s="81"/>
      <c r="C9" s="82">
        <v>0</v>
      </c>
      <c r="D9" s="82">
        <v>0</v>
      </c>
      <c r="E9" s="82"/>
      <c r="F9" s="82"/>
      <c r="H9" s="111"/>
      <c r="I9" s="111"/>
      <c r="J9" s="111"/>
      <c r="M9" s="11">
        <f>C12+C13</f>
        <v>548772948.85095096</v>
      </c>
      <c r="N9" s="11">
        <f>D12+D13</f>
        <v>130737490.55623899</v>
      </c>
    </row>
    <row r="10" spans="2:14" x14ac:dyDescent="0.25">
      <c r="B10" s="72" t="s">
        <v>112</v>
      </c>
      <c r="C10" s="15">
        <v>322280851.83509499</v>
      </c>
      <c r="D10" s="15">
        <v>34873341.943994999</v>
      </c>
      <c r="E10" s="15">
        <v>158162238.56999999</v>
      </c>
      <c r="F10" s="15">
        <v>515316432.34908998</v>
      </c>
      <c r="H10" s="111"/>
      <c r="I10" s="111"/>
      <c r="J10" s="111"/>
      <c r="M10" s="11">
        <f>C14</f>
        <v>989456477.77127802</v>
      </c>
      <c r="N10" s="11">
        <f>D14</f>
        <v>37132037.007500999</v>
      </c>
    </row>
    <row r="11" spans="2:14" x14ac:dyDescent="0.25">
      <c r="B11" s="72" t="s">
        <v>113</v>
      </c>
      <c r="C11" s="15">
        <v>350800236.759597</v>
      </c>
      <c r="D11" s="15">
        <v>84864795.200103998</v>
      </c>
      <c r="E11" s="15">
        <v>22719654.219999999</v>
      </c>
      <c r="F11" s="15">
        <v>458384686.17970097</v>
      </c>
      <c r="H11" s="111"/>
      <c r="I11" s="111"/>
      <c r="J11" s="111"/>
      <c r="M11" s="11">
        <f>C17</f>
        <v>368163765.47890598</v>
      </c>
      <c r="N11" s="11">
        <f>D17</f>
        <v>50693884.710000001</v>
      </c>
    </row>
    <row r="12" spans="2:14" x14ac:dyDescent="0.25">
      <c r="B12" s="72" t="s">
        <v>70</v>
      </c>
      <c r="C12" s="15">
        <v>307172074.63220602</v>
      </c>
      <c r="D12" s="15">
        <v>78765432.566425994</v>
      </c>
      <c r="E12" s="15">
        <v>52572805.159999996</v>
      </c>
      <c r="F12" s="15">
        <v>438510312.35863203</v>
      </c>
      <c r="H12" s="111"/>
      <c r="I12" s="111"/>
      <c r="J12" s="111"/>
      <c r="M12" s="11">
        <f>C16</f>
        <v>517028510.48846501</v>
      </c>
      <c r="N12" s="11">
        <f>D16</f>
        <v>88679408.048779994</v>
      </c>
    </row>
    <row r="13" spans="2:14" x14ac:dyDescent="0.25">
      <c r="B13" s="72" t="s">
        <v>114</v>
      </c>
      <c r="C13" s="15">
        <v>241600874.21874499</v>
      </c>
      <c r="D13" s="15">
        <v>51972057.989813</v>
      </c>
      <c r="E13" s="15">
        <v>36793625.659999996</v>
      </c>
      <c r="F13" s="15">
        <v>330366557.86855799</v>
      </c>
      <c r="H13" s="111"/>
      <c r="I13" s="111"/>
      <c r="J13" s="111"/>
      <c r="M13" s="11">
        <f>C19</f>
        <v>1002756079.983186</v>
      </c>
      <c r="N13" s="11">
        <f>D19</f>
        <v>72945098.289833993</v>
      </c>
    </row>
    <row r="14" spans="2:14" x14ac:dyDescent="0.25">
      <c r="B14" s="72" t="s">
        <v>115</v>
      </c>
      <c r="C14" s="15">
        <v>989456477.77127802</v>
      </c>
      <c r="D14" s="15">
        <v>37132037.007500999</v>
      </c>
      <c r="E14" s="15">
        <v>266587982.37</v>
      </c>
      <c r="F14" s="15">
        <v>1293176497.1487789</v>
      </c>
      <c r="H14" s="111"/>
      <c r="I14" s="111"/>
      <c r="J14" s="111"/>
      <c r="M14" s="11">
        <f>C25</f>
        <v>461849289.23312598</v>
      </c>
      <c r="N14" s="11">
        <f>D25</f>
        <v>75489696.329871997</v>
      </c>
    </row>
    <row r="15" spans="2:14" x14ac:dyDescent="0.25">
      <c r="B15" s="81" t="s">
        <v>116</v>
      </c>
      <c r="C15" s="133"/>
      <c r="D15" s="133"/>
      <c r="E15" s="133"/>
      <c r="F15" s="133"/>
      <c r="H15" s="111"/>
      <c r="I15" s="111"/>
      <c r="J15" s="111"/>
      <c r="M15" s="11">
        <f>C11</f>
        <v>350800236.759597</v>
      </c>
      <c r="N15" s="11">
        <f>D11</f>
        <v>84864795.200103998</v>
      </c>
    </row>
    <row r="16" spans="2:14" x14ac:dyDescent="0.25">
      <c r="B16" s="72" t="s">
        <v>74</v>
      </c>
      <c r="C16" s="15">
        <v>517028510.48846501</v>
      </c>
      <c r="D16" s="15">
        <v>88679408.048779994</v>
      </c>
      <c r="E16" s="15">
        <v>34044891.530000001</v>
      </c>
      <c r="F16" s="15">
        <v>639752810.06724501</v>
      </c>
      <c r="H16" s="111"/>
      <c r="I16" s="111"/>
      <c r="J16" s="111"/>
      <c r="M16" s="11">
        <f>C26</f>
        <v>508735877.73760903</v>
      </c>
      <c r="N16" s="11">
        <f>D26</f>
        <v>51169801.005402997</v>
      </c>
    </row>
    <row r="17" spans="2:14" x14ac:dyDescent="0.25">
      <c r="B17" s="72" t="s">
        <v>117</v>
      </c>
      <c r="C17" s="15">
        <v>368163765.47890598</v>
      </c>
      <c r="D17" s="15">
        <v>50693884.710000001</v>
      </c>
      <c r="E17" s="15" t="s">
        <v>164</v>
      </c>
      <c r="F17" s="15">
        <v>418857650.18890601</v>
      </c>
      <c r="H17" s="111"/>
      <c r="I17" s="111"/>
      <c r="J17" s="111"/>
      <c r="M17" s="11">
        <f>C10</f>
        <v>322280851.83509499</v>
      </c>
      <c r="N17" s="11">
        <f>D10</f>
        <v>34873341.943994999</v>
      </c>
    </row>
    <row r="18" spans="2:14" x14ac:dyDescent="0.25">
      <c r="B18" s="72" t="s">
        <v>118</v>
      </c>
      <c r="C18" s="15">
        <v>511987771.98278302</v>
      </c>
      <c r="D18" s="15">
        <v>7135511.989968</v>
      </c>
      <c r="E18" s="15">
        <v>11708702.58</v>
      </c>
      <c r="F18" s="15">
        <v>530831986.552751</v>
      </c>
      <c r="H18" s="111"/>
      <c r="I18" s="111"/>
      <c r="J18" s="111"/>
      <c r="M18" s="11">
        <f>C27</f>
        <v>789357999.90691698</v>
      </c>
      <c r="N18" s="11">
        <f>D27</f>
        <v>235212300.73199099</v>
      </c>
    </row>
    <row r="19" spans="2:14" x14ac:dyDescent="0.25">
      <c r="B19" s="72" t="s">
        <v>120</v>
      </c>
      <c r="C19" s="15">
        <v>1002756079.983186</v>
      </c>
      <c r="D19" s="15">
        <v>72945098.289833993</v>
      </c>
      <c r="E19" s="15">
        <v>1329858796.62995</v>
      </c>
      <c r="F19" s="15">
        <v>2405559974.9029698</v>
      </c>
      <c r="H19" s="111"/>
      <c r="I19" s="111"/>
      <c r="J19" s="111"/>
      <c r="M19" s="11">
        <f>C20+C21</f>
        <v>186367654.50230998</v>
      </c>
      <c r="N19" s="11">
        <f>D20+D21</f>
        <v>152552071.034646</v>
      </c>
    </row>
    <row r="20" spans="2:14" x14ac:dyDescent="0.25">
      <c r="B20" s="72" t="s">
        <v>122</v>
      </c>
      <c r="C20" s="15">
        <v>127200704.00230999</v>
      </c>
      <c r="D20" s="15">
        <v>22547772.839754</v>
      </c>
      <c r="E20" s="15">
        <v>10497297.48</v>
      </c>
      <c r="F20" s="15">
        <v>160245774.32206401</v>
      </c>
      <c r="H20" s="111"/>
      <c r="I20" s="111"/>
      <c r="J20" s="111"/>
      <c r="M20" s="14">
        <f>IFERROR(C31,0)+IFERROR(C15,0)+IFERROR(C36,0)</f>
        <v>309645249.995</v>
      </c>
      <c r="N20" s="10" t="s">
        <v>119</v>
      </c>
    </row>
    <row r="21" spans="2:14" x14ac:dyDescent="0.25">
      <c r="B21" s="72" t="s">
        <v>123</v>
      </c>
      <c r="C21" s="15">
        <v>59166950.5</v>
      </c>
      <c r="D21" s="15">
        <v>130004298.194892</v>
      </c>
      <c r="E21" s="15">
        <v>89578380.079999998</v>
      </c>
      <c r="F21" s="15">
        <v>278749628.77489197</v>
      </c>
      <c r="H21" s="111"/>
      <c r="I21" s="111"/>
      <c r="J21" s="111"/>
      <c r="M21" s="14">
        <f>IFERROR(C34,0)+IFERROR(C35,0)+M20</f>
        <v>1208589913.9548378</v>
      </c>
      <c r="N21" s="10" t="s">
        <v>121</v>
      </c>
    </row>
    <row r="22" spans="2:14" x14ac:dyDescent="0.25">
      <c r="B22" s="72" t="s">
        <v>168</v>
      </c>
      <c r="C22" s="15">
        <v>167671841.09999999</v>
      </c>
      <c r="D22" s="15" t="s">
        <v>164</v>
      </c>
      <c r="E22" s="15">
        <v>12540540.199999999</v>
      </c>
      <c r="F22" s="15">
        <v>180212381.30000001</v>
      </c>
      <c r="H22" s="111"/>
      <c r="I22" s="111"/>
      <c r="J22" s="111"/>
    </row>
    <row r="23" spans="2:14" x14ac:dyDescent="0.25">
      <c r="B23" s="72" t="s">
        <v>169</v>
      </c>
      <c r="C23" s="15">
        <v>388937679.18000001</v>
      </c>
      <c r="D23" s="15" t="s">
        <v>164</v>
      </c>
      <c r="E23" s="15">
        <v>17519368.899999999</v>
      </c>
      <c r="F23" s="15">
        <v>406457048.07999998</v>
      </c>
      <c r="H23" s="111"/>
      <c r="I23" s="111"/>
      <c r="J23" s="111"/>
    </row>
    <row r="24" spans="2:14" x14ac:dyDescent="0.25">
      <c r="B24" s="72" t="s">
        <v>124</v>
      </c>
      <c r="C24" s="15">
        <v>320575286.94788897</v>
      </c>
      <c r="D24" s="15">
        <v>55052087.763467997</v>
      </c>
      <c r="E24" s="15">
        <v>379329022.35987002</v>
      </c>
      <c r="F24" s="15">
        <v>754956397.07122695</v>
      </c>
      <c r="H24" s="111"/>
      <c r="I24" s="111"/>
      <c r="J24" s="111"/>
    </row>
    <row r="25" spans="2:14" x14ac:dyDescent="0.25">
      <c r="B25" s="72" t="s">
        <v>125</v>
      </c>
      <c r="C25" s="15">
        <v>461849289.23312598</v>
      </c>
      <c r="D25" s="15">
        <v>75489696.329871997</v>
      </c>
      <c r="E25" s="15">
        <v>314812287.69929397</v>
      </c>
      <c r="F25" s="15">
        <v>852151273.26229203</v>
      </c>
      <c r="H25" s="111"/>
      <c r="I25" s="111"/>
      <c r="J25" s="111"/>
    </row>
    <row r="26" spans="2:14" x14ac:dyDescent="0.25">
      <c r="B26" s="72" t="s">
        <v>126</v>
      </c>
      <c r="C26" s="15">
        <v>508735877.73760903</v>
      </c>
      <c r="D26" s="15">
        <v>51169801.005402997</v>
      </c>
      <c r="E26" s="15">
        <v>581028250.50941503</v>
      </c>
      <c r="F26" s="15">
        <v>1140933929.2524271</v>
      </c>
      <c r="H26" s="111"/>
      <c r="I26" s="111"/>
      <c r="J26" s="111"/>
    </row>
    <row r="27" spans="2:14" x14ac:dyDescent="0.25">
      <c r="B27" s="72" t="s">
        <v>127</v>
      </c>
      <c r="C27" s="15">
        <v>789357999.90691698</v>
      </c>
      <c r="D27" s="15">
        <v>235212300.73199099</v>
      </c>
      <c r="E27" s="15">
        <v>17184216.607000001</v>
      </c>
      <c r="F27" s="15">
        <v>1041754517.245908</v>
      </c>
      <c r="H27" s="111"/>
      <c r="I27" s="111"/>
      <c r="J27" s="111"/>
    </row>
    <row r="28" spans="2:14" x14ac:dyDescent="0.25">
      <c r="G28" s="111"/>
      <c r="H28" s="111"/>
      <c r="I28" s="111"/>
    </row>
    <row r="29" spans="2:14" x14ac:dyDescent="0.25">
      <c r="B29" s="79" t="s">
        <v>128</v>
      </c>
      <c r="C29" s="79"/>
      <c r="G29" s="111"/>
      <c r="H29" s="111"/>
      <c r="I29" s="111"/>
    </row>
    <row r="30" spans="2:14" x14ac:dyDescent="0.25">
      <c r="B30" s="80" t="s">
        <v>129</v>
      </c>
      <c r="C30" s="80" t="s">
        <v>130</v>
      </c>
      <c r="G30" s="111"/>
      <c r="H30" s="111"/>
      <c r="I30" s="111"/>
    </row>
    <row r="31" spans="2:14" x14ac:dyDescent="0.25">
      <c r="B31" s="73"/>
      <c r="C31" s="107"/>
      <c r="G31" s="111"/>
      <c r="H31" s="111"/>
      <c r="I31" s="111"/>
    </row>
    <row r="32" spans="2:14" x14ac:dyDescent="0.25">
      <c r="B32" s="81" t="s">
        <v>131</v>
      </c>
      <c r="C32" s="15">
        <v>185272533.73476499</v>
      </c>
      <c r="G32" s="111"/>
      <c r="H32" s="111"/>
      <c r="I32" s="111"/>
    </row>
    <row r="33" spans="2:19" x14ac:dyDescent="0.25">
      <c r="B33" s="81" t="s">
        <v>132</v>
      </c>
      <c r="C33" s="171">
        <v>334871676.45744997</v>
      </c>
      <c r="G33" s="111"/>
      <c r="H33" s="111"/>
      <c r="I33" s="111"/>
    </row>
    <row r="34" spans="2:19" x14ac:dyDescent="0.25">
      <c r="B34" s="81" t="s">
        <v>133</v>
      </c>
      <c r="C34" s="15">
        <v>164253111.869317</v>
      </c>
      <c r="G34" s="111"/>
      <c r="H34" s="111"/>
      <c r="I34" s="111"/>
    </row>
    <row r="35" spans="2:19" x14ac:dyDescent="0.25">
      <c r="B35" s="81" t="s">
        <v>134</v>
      </c>
      <c r="C35" s="15">
        <v>734691552.09052098</v>
      </c>
      <c r="G35" s="111"/>
      <c r="H35" s="111"/>
      <c r="I35" s="111"/>
    </row>
    <row r="36" spans="2:19" x14ac:dyDescent="0.25">
      <c r="B36" s="81" t="s">
        <v>135</v>
      </c>
      <c r="C36" s="15">
        <v>309645249.995</v>
      </c>
      <c r="G36" s="111"/>
      <c r="H36" s="111"/>
      <c r="I36" s="111"/>
    </row>
    <row r="37" spans="2:19" x14ac:dyDescent="0.25">
      <c r="B37" s="81"/>
      <c r="C37" s="82"/>
      <c r="G37" s="111"/>
      <c r="H37" s="111"/>
      <c r="I37" s="111"/>
    </row>
    <row r="38" spans="2:19" x14ac:dyDescent="0.25">
      <c r="B38" s="73"/>
      <c r="C38" s="82"/>
      <c r="G38" s="111"/>
      <c r="H38" s="111"/>
      <c r="I38" s="111"/>
    </row>
    <row r="39" spans="2:19" ht="20.100000000000001" customHeight="1" x14ac:dyDescent="0.25">
      <c r="G39" s="111"/>
      <c r="H39" s="111"/>
      <c r="I39" s="111"/>
    </row>
    <row r="40" spans="2:19" x14ac:dyDescent="0.25">
      <c r="G40" s="111"/>
      <c r="H40" s="111"/>
      <c r="I40" s="111"/>
      <c r="S40" s="178" t="s">
        <v>184</v>
      </c>
    </row>
    <row r="41" spans="2:19" ht="27.95" customHeight="1" x14ac:dyDescent="0.25">
      <c r="B41" s="264" t="s">
        <v>179</v>
      </c>
      <c r="C41" s="265"/>
      <c r="D41" s="266"/>
      <c r="E41" s="66" t="s">
        <v>137</v>
      </c>
      <c r="F41" s="174">
        <f ca="1">IF(MONTH(TODAY())=6,DAY(TODAY())/DAY(EOMONTH(TODAY(),0)),IF(MONTH(TODAY())&gt;6,1,0))</f>
        <v>1</v>
      </c>
      <c r="G41" s="192" t="s">
        <v>186</v>
      </c>
      <c r="H41" s="198">
        <v>0.9</v>
      </c>
      <c r="I41" s="201" t="s">
        <v>186</v>
      </c>
      <c r="J41" s="199">
        <v>0.95</v>
      </c>
      <c r="K41" s="194" t="s">
        <v>187</v>
      </c>
      <c r="L41" s="200">
        <v>1</v>
      </c>
      <c r="S41" s="173">
        <v>0.7</v>
      </c>
    </row>
    <row r="42" spans="2:19" ht="33.950000000000003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ht="20.100000000000001" customHeight="1" x14ac:dyDescent="0.25">
      <c r="B43" s="109" t="s">
        <v>142</v>
      </c>
      <c r="C43" s="41" t="s">
        <v>143</v>
      </c>
      <c r="D43" s="45">
        <f>SUM(TARGETS!S5:S7,TARGETS!S8:S13,TARGETS!S14:S18)</f>
        <v>7259279332</v>
      </c>
      <c r="E43" s="46">
        <f>G65</f>
        <v>6922754499.7753286</v>
      </c>
      <c r="F43" s="176">
        <f>IFERROR(E43/D43,0)</f>
        <v>0.95364211558284873</v>
      </c>
      <c r="G43" s="184">
        <f>D43*$H$41-E43</f>
        <v>-389403100.97532845</v>
      </c>
      <c r="H43" s="184">
        <f ca="1">IFERROR(G43/$C$3,0)</f>
        <v>0</v>
      </c>
      <c r="I43" s="204">
        <f>D43*$J$41-E43</f>
        <v>-26439134.375329018</v>
      </c>
      <c r="J43" s="204">
        <f ca="1">IFERROR(I43/$C$3,0)</f>
        <v>0</v>
      </c>
      <c r="K43" s="185">
        <f>D43*$L$41-E43</f>
        <v>336524832.22467136</v>
      </c>
      <c r="L43" s="185">
        <f ca="1">IFERROR(K43/$C$3,0)</f>
        <v>0</v>
      </c>
      <c r="S43" s="173">
        <v>0.8</v>
      </c>
    </row>
    <row r="44" spans="2:19" ht="20.100000000000001" customHeight="1" x14ac:dyDescent="0.25">
      <c r="B44" s="109" t="s">
        <v>110</v>
      </c>
      <c r="C44" s="41" t="s">
        <v>143</v>
      </c>
      <c r="D44" s="45">
        <f>SUM(TARGETS!T5:T6,TARGETS!T8:T12,TARGETS!T14:T18)</f>
        <v>1809425059</v>
      </c>
      <c r="E44" s="46">
        <f>N8+N9+N10+N11+N12+N13+N14+N15+N16+N17+N18+N19</f>
        <v>1069402012.6218331</v>
      </c>
      <c r="F44" s="176">
        <f>IFERROR(E44/D44,0)</f>
        <v>0.59101757616469108</v>
      </c>
      <c r="G44" s="184">
        <f>D44*$H$41-E44</f>
        <v>559080540.47816706</v>
      </c>
      <c r="H44" s="184">
        <f ca="1">IFERROR(G44/$C$3,0)</f>
        <v>0</v>
      </c>
      <c r="I44" s="204">
        <f>D44*$J$41-E44</f>
        <v>649551793.42816687</v>
      </c>
      <c r="J44" s="204">
        <f ca="1">IFERROR(I44/$C$3,0)</f>
        <v>0</v>
      </c>
      <c r="K44" s="185">
        <f>D44*$L$41-E44</f>
        <v>740023046.37816691</v>
      </c>
      <c r="L44" s="185">
        <f ca="1">IFERROR(K44/$C$3,0)</f>
        <v>0</v>
      </c>
      <c r="S44" s="173">
        <v>0.85</v>
      </c>
    </row>
    <row r="45" spans="2:19" ht="20.100000000000001" customHeight="1" x14ac:dyDescent="0.25">
      <c r="B45" s="109" t="s">
        <v>144</v>
      </c>
      <c r="C45" s="41" t="s">
        <v>143</v>
      </c>
      <c r="D45" s="45">
        <f>SUM(TARGETS!I22:I26)</f>
        <v>1830851064</v>
      </c>
      <c r="E45" s="46">
        <f>IFERROR(C32,0)+IFERROR(C33,0)+M21+F9</f>
        <v>1728734124.1470528</v>
      </c>
      <c r="F45" s="176">
        <f>IFERROR(E45/D45,0)</f>
        <v>0.9442243326828319</v>
      </c>
      <c r="G45" s="184">
        <f>D45*$H$41-E45</f>
        <v>-80968166.547052622</v>
      </c>
      <c r="H45" s="184">
        <f ca="1">IFERROR(G45/$C$3,0)</f>
        <v>0</v>
      </c>
      <c r="I45" s="204">
        <f>D45*$J$41-E45</f>
        <v>10574386.652947187</v>
      </c>
      <c r="J45" s="204">
        <f ca="1">IFERROR(I45/$C$3,0)</f>
        <v>0</v>
      </c>
      <c r="K45" s="185">
        <f>D45*$L$41-E45</f>
        <v>102116939.85294724</v>
      </c>
      <c r="L45" s="185">
        <f ca="1">IFERROR(K45/$C$3,0)</f>
        <v>0</v>
      </c>
      <c r="S45" s="173">
        <v>0.9</v>
      </c>
    </row>
    <row r="46" spans="2:19" ht="18.75" customHeight="1" x14ac:dyDescent="0.25">
      <c r="B46" s="261" t="s">
        <v>145</v>
      </c>
      <c r="C46" s="262"/>
      <c r="D46" s="47">
        <f>D43+D44+D45</f>
        <v>10899555455</v>
      </c>
      <c r="E46" s="47">
        <f>E43+E44+E45</f>
        <v>9720890636.5442142</v>
      </c>
      <c r="F46" s="177">
        <f>IFERROR(E46/D46,0)</f>
        <v>0.89186120265894953</v>
      </c>
      <c r="G46" s="181">
        <f>G43+G44+G45</f>
        <v>88709272.95578599</v>
      </c>
      <c r="H46" s="181">
        <f ca="1">IFERROR(G46/$C$3,0)</f>
        <v>0</v>
      </c>
      <c r="I46" s="186">
        <f>I43+I44+I45</f>
        <v>633687045.70578504</v>
      </c>
      <c r="J46" s="186">
        <f ca="1">IFERROR(I46/$C$3,0)</f>
        <v>0</v>
      </c>
      <c r="K46" s="186">
        <f>K43+K44+K45</f>
        <v>1178664818.4557855</v>
      </c>
      <c r="L46" s="186">
        <f ca="1">IFERROR(K46/$C$3,0)</f>
        <v>0</v>
      </c>
      <c r="S46" s="173">
        <v>0.95</v>
      </c>
    </row>
    <row r="47" spans="2:19" ht="17.100000000000001" customHeight="1" x14ac:dyDescent="0.25">
      <c r="G47" s="111"/>
      <c r="H47" s="111"/>
      <c r="I47" s="111"/>
      <c r="S47" s="173">
        <v>1</v>
      </c>
    </row>
    <row r="48" spans="2:19" ht="80.099999999999994" customHeight="1" x14ac:dyDescent="0.25">
      <c r="B48" s="267" t="s">
        <v>146</v>
      </c>
      <c r="C48" s="268"/>
      <c r="D48" s="268"/>
      <c r="E48" s="268"/>
      <c r="F48" s="268"/>
      <c r="G48" s="268"/>
      <c r="H48" s="268"/>
      <c r="I48" s="268"/>
      <c r="J48" s="268"/>
      <c r="K48" s="274" t="s">
        <v>185</v>
      </c>
      <c r="L48" s="275"/>
      <c r="M48" s="275"/>
      <c r="N48" s="275"/>
      <c r="O48" s="275"/>
      <c r="P48" s="276"/>
    </row>
    <row r="49" spans="2:16" ht="33.950000000000003" customHeight="1" x14ac:dyDescent="0.25">
      <c r="B49" s="263" t="s">
        <v>41</v>
      </c>
      <c r="C49" s="263" t="s">
        <v>42</v>
      </c>
      <c r="D49" s="258" t="s">
        <v>137</v>
      </c>
      <c r="E49" s="259"/>
      <c r="F49" s="260"/>
      <c r="G49" s="112" t="s">
        <v>138</v>
      </c>
      <c r="H49" s="112"/>
      <c r="I49" s="112"/>
      <c r="J49" s="258" t="s">
        <v>139</v>
      </c>
      <c r="K49" s="277" t="str">
        <f>"SELISIH"&amp;CHAR(10)&amp;TEXT($H$41,"0%")</f>
        <v>SELISIH
90%</v>
      </c>
      <c r="L49" s="277" t="str">
        <f>"PER HARI"&amp;CHAR(10)&amp;TEXT($H$41,"0%")</f>
        <v>PER HARI
90%</v>
      </c>
      <c r="M49" s="279" t="str">
        <f>"SELISIH"&amp;CHAR(10)&amp;TEXT($J$41,"0%")</f>
        <v>SELISIH
95%</v>
      </c>
      <c r="N49" s="279" t="str">
        <f>"PER HARI"&amp;CHAR(10)&amp;TEXT($J$41,"0%")</f>
        <v>PER HARI
95%</v>
      </c>
      <c r="O49" s="281" t="str">
        <f>"SELISIH"&amp;CHAR(10)&amp;TEXT($L$41,"0%")</f>
        <v>SELISIH
100%</v>
      </c>
      <c r="P49" s="281" t="str">
        <f>"PER HARI"&amp;CHAR(10)&amp;TEXT($L$41,"0%")</f>
        <v>PER HARI
100%</v>
      </c>
    </row>
    <row r="50" spans="2:16" ht="19.5" customHeight="1" x14ac:dyDescent="0.25">
      <c r="B50" s="263"/>
      <c r="C50" s="263"/>
      <c r="D50" s="70" t="s">
        <v>149</v>
      </c>
      <c r="E50" s="70" t="s">
        <v>150</v>
      </c>
      <c r="F50" s="70" t="s">
        <v>130</v>
      </c>
      <c r="G50" s="113" t="s">
        <v>149</v>
      </c>
      <c r="H50" s="113" t="s">
        <v>150</v>
      </c>
      <c r="I50" s="113" t="s">
        <v>130</v>
      </c>
      <c r="J50" s="258"/>
      <c r="K50" s="278"/>
      <c r="L50" s="278"/>
      <c r="M50" s="280"/>
      <c r="N50" s="280"/>
      <c r="O50" s="282"/>
      <c r="P50" s="282"/>
    </row>
    <row r="51" spans="2:16" ht="20.100000000000001" customHeight="1" x14ac:dyDescent="0.25">
      <c r="B51" s="50" t="s">
        <v>67</v>
      </c>
      <c r="C51" s="55" t="s">
        <v>68</v>
      </c>
      <c r="D51" s="118">
        <f>TARGETS!S5</f>
        <v>451683478</v>
      </c>
      <c r="E51" s="118">
        <f>TARGETS!T5</f>
        <v>101830423</v>
      </c>
      <c r="F51" s="118">
        <f t="shared" ref="F51:F64" si="0">D51+E51</f>
        <v>553513901</v>
      </c>
      <c r="G51" s="114">
        <f>M8</f>
        <v>320575286.94788897</v>
      </c>
      <c r="H51" s="114">
        <f>N8</f>
        <v>55052087.763467997</v>
      </c>
      <c r="I51" s="114">
        <f t="shared" ref="I51:I64" si="1">G51+H51</f>
        <v>375627374.711357</v>
      </c>
      <c r="J51" s="187">
        <f t="shared" ref="J51:J64" si="2">IFERROR(I51/F51,0)</f>
        <v>0.6786231999462593</v>
      </c>
      <c r="K51" s="184">
        <f t="shared" ref="K51:K64" si="3">F51*$H$41-I51</f>
        <v>122535136.18864304</v>
      </c>
      <c r="L51" s="184">
        <f t="shared" ref="L51:L65" ca="1" si="4">IFERROR(K51/$C$3,0)</f>
        <v>0</v>
      </c>
      <c r="M51" s="180">
        <f t="shared" ref="M51:M64" si="5">F51*$J$41-I51</f>
        <v>150210831.23864299</v>
      </c>
      <c r="N51" s="180">
        <f t="shared" ref="N51:N65" ca="1" si="6">IFERROR(M51/$C$3,0)</f>
        <v>0</v>
      </c>
      <c r="O51" s="185">
        <f t="shared" ref="O51:O64" si="7">F51*$L$41-I51</f>
        <v>177886526.288643</v>
      </c>
      <c r="P51" s="185">
        <f t="shared" ref="P51:P65" ca="1" si="8">IFERROR(O51/$C$3,0)</f>
        <v>0</v>
      </c>
    </row>
    <row r="52" spans="2:16" ht="20.100000000000001" customHeight="1" x14ac:dyDescent="0.25">
      <c r="B52" s="53" t="s">
        <v>69</v>
      </c>
      <c r="C52" s="56" t="s">
        <v>70</v>
      </c>
      <c r="D52" s="119">
        <f>TARGETS!S6</f>
        <v>590182371</v>
      </c>
      <c r="E52" s="119">
        <f>TARGETS!T6</f>
        <v>225106806</v>
      </c>
      <c r="F52" s="119">
        <f t="shared" si="0"/>
        <v>815289177</v>
      </c>
      <c r="G52" s="114">
        <f>M9</f>
        <v>548772948.85095096</v>
      </c>
      <c r="H52" s="114">
        <f>N9</f>
        <v>130737490.55623899</v>
      </c>
      <c r="I52" s="114">
        <f t="shared" si="1"/>
        <v>679510439.40718997</v>
      </c>
      <c r="J52" s="187">
        <f t="shared" si="2"/>
        <v>0.83345941363721787</v>
      </c>
      <c r="K52" s="184">
        <f t="shared" si="3"/>
        <v>54249819.892810106</v>
      </c>
      <c r="L52" s="184">
        <f t="shared" ca="1" si="4"/>
        <v>0</v>
      </c>
      <c r="M52" s="180">
        <f t="shared" si="5"/>
        <v>95014278.742810011</v>
      </c>
      <c r="N52" s="180">
        <f t="shared" ca="1" si="6"/>
        <v>0</v>
      </c>
      <c r="O52" s="185">
        <f t="shared" si="7"/>
        <v>135778737.59281003</v>
      </c>
      <c r="P52" s="185">
        <f t="shared" ca="1" si="8"/>
        <v>0</v>
      </c>
    </row>
    <row r="53" spans="2:16" ht="20.100000000000001" customHeight="1" x14ac:dyDescent="0.25">
      <c r="B53" s="136" t="s">
        <v>171</v>
      </c>
      <c r="C53" s="137" t="s">
        <v>172</v>
      </c>
      <c r="D53" s="138">
        <f>TARGETS!S7</f>
        <v>241473268</v>
      </c>
      <c r="E53" s="138">
        <f>TARGETS!T7</f>
        <v>0</v>
      </c>
      <c r="F53" s="138">
        <f>D53+E53</f>
        <v>241473268</v>
      </c>
      <c r="G53" s="114">
        <f>C22</f>
        <v>167671841.09999999</v>
      </c>
      <c r="H53" s="114">
        <f>IF(D22="",0,D22)</f>
        <v>0</v>
      </c>
      <c r="I53" s="114">
        <f>G53+H53</f>
        <v>167671841.09999999</v>
      </c>
      <c r="J53" s="187">
        <f>IFERROR(I53/F53,0)</f>
        <v>0.69437019877496331</v>
      </c>
      <c r="K53" s="184">
        <f t="shared" si="3"/>
        <v>49654100.100000024</v>
      </c>
      <c r="L53" s="184">
        <f t="shared" ca="1" si="4"/>
        <v>0</v>
      </c>
      <c r="M53" s="180">
        <f t="shared" si="5"/>
        <v>61727763.5</v>
      </c>
      <c r="N53" s="180">
        <f t="shared" ca="1" si="6"/>
        <v>0</v>
      </c>
      <c r="O53" s="185">
        <f t="shared" si="7"/>
        <v>73801426.900000006</v>
      </c>
      <c r="P53" s="185">
        <f t="shared" ca="1" si="8"/>
        <v>0</v>
      </c>
    </row>
    <row r="54" spans="2:16" ht="20.100000000000001" customHeight="1" x14ac:dyDescent="0.25">
      <c r="B54" s="53" t="s">
        <v>71</v>
      </c>
      <c r="C54" s="56" t="s">
        <v>72</v>
      </c>
      <c r="D54" s="119">
        <f>TARGETS!S8</f>
        <v>645712472</v>
      </c>
      <c r="E54" s="119">
        <f>TARGETS!T8</f>
        <v>80441848</v>
      </c>
      <c r="F54" s="119">
        <f t="shared" si="0"/>
        <v>726154320</v>
      </c>
      <c r="G54" s="114">
        <f t="shared" ref="G54:H58" si="9">M10</f>
        <v>989456477.77127802</v>
      </c>
      <c r="H54" s="114">
        <f t="shared" si="9"/>
        <v>37132037.007500999</v>
      </c>
      <c r="I54" s="114">
        <f t="shared" si="1"/>
        <v>1026588514.778779</v>
      </c>
      <c r="J54" s="187">
        <f t="shared" si="2"/>
        <v>1.4137332609668687</v>
      </c>
      <c r="K54" s="184">
        <f t="shared" si="3"/>
        <v>-373049626.77877903</v>
      </c>
      <c r="L54" s="184">
        <f t="shared" ca="1" si="4"/>
        <v>0</v>
      </c>
      <c r="M54" s="180">
        <f t="shared" si="5"/>
        <v>-336741910.77877903</v>
      </c>
      <c r="N54" s="180">
        <f t="shared" ca="1" si="6"/>
        <v>0</v>
      </c>
      <c r="O54" s="185">
        <f t="shared" si="7"/>
        <v>-300434194.77877903</v>
      </c>
      <c r="P54" s="185">
        <f t="shared" ca="1" si="8"/>
        <v>0</v>
      </c>
    </row>
    <row r="55" spans="2:16" ht="20.100000000000001" customHeight="1" x14ac:dyDescent="0.25">
      <c r="B55" s="50" t="s">
        <v>73</v>
      </c>
      <c r="C55" s="55" t="s">
        <v>74</v>
      </c>
      <c r="D55" s="118">
        <f>TARGETS!S9</f>
        <v>508918832</v>
      </c>
      <c r="E55" s="118">
        <f>TARGETS!T9</f>
        <v>80519404</v>
      </c>
      <c r="F55" s="118">
        <f t="shared" si="0"/>
        <v>589438236</v>
      </c>
      <c r="G55" s="114">
        <f t="shared" si="9"/>
        <v>368163765.47890598</v>
      </c>
      <c r="H55" s="114">
        <f t="shared" si="9"/>
        <v>50693884.710000001</v>
      </c>
      <c r="I55" s="114">
        <f t="shared" si="1"/>
        <v>418857650.18890595</v>
      </c>
      <c r="J55" s="187">
        <f t="shared" si="2"/>
        <v>0.71060481761638883</v>
      </c>
      <c r="K55" s="184">
        <f t="shared" si="3"/>
        <v>111636762.21109408</v>
      </c>
      <c r="L55" s="184">
        <f t="shared" ca="1" si="4"/>
        <v>0</v>
      </c>
      <c r="M55" s="180">
        <f t="shared" si="5"/>
        <v>141108674.01109397</v>
      </c>
      <c r="N55" s="180">
        <f t="shared" ca="1" si="6"/>
        <v>0</v>
      </c>
      <c r="O55" s="185">
        <f t="shared" si="7"/>
        <v>170580585.81109405</v>
      </c>
      <c r="P55" s="185">
        <f t="shared" ca="1" si="8"/>
        <v>0</v>
      </c>
    </row>
    <row r="56" spans="2:16" ht="20.100000000000001" customHeight="1" x14ac:dyDescent="0.25">
      <c r="B56" s="53" t="s">
        <v>75</v>
      </c>
      <c r="C56" s="56" t="s">
        <v>74</v>
      </c>
      <c r="D56" s="119">
        <f>TARGETS!S10</f>
        <v>440063284</v>
      </c>
      <c r="E56" s="119">
        <f>TARGETS!T10</f>
        <v>82149325</v>
      </c>
      <c r="F56" s="119">
        <f t="shared" si="0"/>
        <v>522212609</v>
      </c>
      <c r="G56" s="114">
        <f t="shared" si="9"/>
        <v>517028510.48846501</v>
      </c>
      <c r="H56" s="114">
        <f t="shared" si="9"/>
        <v>88679408.048779994</v>
      </c>
      <c r="I56" s="114">
        <f t="shared" si="1"/>
        <v>605707918.53724504</v>
      </c>
      <c r="J56" s="187">
        <f t="shared" si="2"/>
        <v>1.1598875785422582</v>
      </c>
      <c r="K56" s="184">
        <f t="shared" si="3"/>
        <v>-135716570.43724501</v>
      </c>
      <c r="L56" s="184">
        <f t="shared" ca="1" si="4"/>
        <v>0</v>
      </c>
      <c r="M56" s="180">
        <f t="shared" si="5"/>
        <v>-109605939.98724508</v>
      </c>
      <c r="N56" s="180">
        <f t="shared" ca="1" si="6"/>
        <v>0</v>
      </c>
      <c r="O56" s="185">
        <f t="shared" si="7"/>
        <v>-83495309.537245035</v>
      </c>
      <c r="P56" s="185">
        <f t="shared" ca="1" si="8"/>
        <v>0</v>
      </c>
    </row>
    <row r="57" spans="2:16" ht="20.100000000000001" customHeight="1" x14ac:dyDescent="0.25">
      <c r="B57" s="50" t="s">
        <v>76</v>
      </c>
      <c r="C57" s="55" t="s">
        <v>77</v>
      </c>
      <c r="D57" s="118">
        <f>TARGETS!S11</f>
        <v>996758345</v>
      </c>
      <c r="E57" s="118">
        <f>TARGETS!T11</f>
        <v>125488598</v>
      </c>
      <c r="F57" s="118">
        <f t="shared" si="0"/>
        <v>1122246943</v>
      </c>
      <c r="G57" s="114">
        <f t="shared" si="9"/>
        <v>1002756079.983186</v>
      </c>
      <c r="H57" s="114">
        <f t="shared" si="9"/>
        <v>72945098.289833993</v>
      </c>
      <c r="I57" s="114">
        <f t="shared" si="1"/>
        <v>1075701178.27302</v>
      </c>
      <c r="J57" s="187">
        <f t="shared" si="2"/>
        <v>0.95852448962564918</v>
      </c>
      <c r="K57" s="184">
        <f t="shared" si="3"/>
        <v>-65678929.573019981</v>
      </c>
      <c r="L57" s="184">
        <f t="shared" ca="1" si="4"/>
        <v>0</v>
      </c>
      <c r="M57" s="180">
        <f t="shared" si="5"/>
        <v>-9566582.4230201244</v>
      </c>
      <c r="N57" s="180">
        <f t="shared" ca="1" si="6"/>
        <v>0</v>
      </c>
      <c r="O57" s="185">
        <f t="shared" si="7"/>
        <v>46545764.726979971</v>
      </c>
      <c r="P57" s="185">
        <f t="shared" ca="1" si="8"/>
        <v>0</v>
      </c>
    </row>
    <row r="58" spans="2:16" ht="20.100000000000001" customHeight="1" x14ac:dyDescent="0.25">
      <c r="B58" s="53" t="s">
        <v>78</v>
      </c>
      <c r="C58" s="56" t="s">
        <v>79</v>
      </c>
      <c r="D58" s="119">
        <f>TARGETS!S12</f>
        <v>540287059</v>
      </c>
      <c r="E58" s="119">
        <f>TARGETS!T12</f>
        <v>97341426</v>
      </c>
      <c r="F58" s="119">
        <f t="shared" si="0"/>
        <v>637628485</v>
      </c>
      <c r="G58" s="114">
        <f t="shared" si="9"/>
        <v>461849289.23312598</v>
      </c>
      <c r="H58" s="114">
        <f t="shared" si="9"/>
        <v>75489696.329871997</v>
      </c>
      <c r="I58" s="114">
        <f>G58+H58</f>
        <v>537338985.56299794</v>
      </c>
      <c r="J58" s="187">
        <f>IFERROR(I58/F58,0)</f>
        <v>0.84271483819139281</v>
      </c>
      <c r="K58" s="184">
        <f t="shared" si="3"/>
        <v>36526650.937002063</v>
      </c>
      <c r="L58" s="184">
        <f t="shared" ca="1" si="4"/>
        <v>0</v>
      </c>
      <c r="M58" s="180">
        <f t="shared" si="5"/>
        <v>68408075.187002063</v>
      </c>
      <c r="N58" s="180">
        <f t="shared" ca="1" si="6"/>
        <v>0</v>
      </c>
      <c r="O58" s="185">
        <f t="shared" si="7"/>
        <v>100289499.43700206</v>
      </c>
      <c r="P58" s="185">
        <f t="shared" ca="1" si="8"/>
        <v>0</v>
      </c>
    </row>
    <row r="59" spans="2:16" ht="20.100000000000001" customHeight="1" x14ac:dyDescent="0.25">
      <c r="B59" s="136" t="s">
        <v>171</v>
      </c>
      <c r="C59" s="137" t="s">
        <v>173</v>
      </c>
      <c r="D59" s="138">
        <f>TARGETS!S13</f>
        <v>404133664</v>
      </c>
      <c r="E59" s="138">
        <f>TARGETS!T13</f>
        <v>0</v>
      </c>
      <c r="F59" s="138">
        <f>D59+E59</f>
        <v>404133664</v>
      </c>
      <c r="G59" s="114">
        <f>C23</f>
        <v>388937679.18000001</v>
      </c>
      <c r="H59" s="114">
        <f>IF(D23="",0,D23)</f>
        <v>0</v>
      </c>
      <c r="I59" s="114">
        <f>G59+H59</f>
        <v>388937679.18000001</v>
      </c>
      <c r="J59" s="187">
        <f>IFERROR(I59/F59,0)</f>
        <v>0.96239861666163995</v>
      </c>
      <c r="K59" s="184">
        <f t="shared" si="3"/>
        <v>-25217381.579999983</v>
      </c>
      <c r="L59" s="184">
        <f t="shared" ca="1" si="4"/>
        <v>0</v>
      </c>
      <c r="M59" s="180">
        <f t="shared" si="5"/>
        <v>-5010698.3800000548</v>
      </c>
      <c r="N59" s="180">
        <f t="shared" ca="1" si="6"/>
        <v>0</v>
      </c>
      <c r="O59" s="185">
        <f t="shared" si="7"/>
        <v>15195984.819999993</v>
      </c>
      <c r="P59" s="185">
        <f t="shared" ca="1" si="8"/>
        <v>0</v>
      </c>
    </row>
    <row r="60" spans="2:16" ht="20.100000000000001" customHeight="1" x14ac:dyDescent="0.25">
      <c r="B60" s="53" t="s">
        <v>80</v>
      </c>
      <c r="C60" s="56" t="s">
        <v>81</v>
      </c>
      <c r="D60" s="119">
        <f>TARGETS!S14</f>
        <v>439017309</v>
      </c>
      <c r="E60" s="119">
        <f>TARGETS!T14</f>
        <v>172024412</v>
      </c>
      <c r="F60" s="119">
        <f t="shared" si="0"/>
        <v>611041721</v>
      </c>
      <c r="G60" s="114">
        <f t="shared" ref="G60:H64" si="10">M15</f>
        <v>350800236.759597</v>
      </c>
      <c r="H60" s="114">
        <f t="shared" si="10"/>
        <v>84864795.200103998</v>
      </c>
      <c r="I60" s="114">
        <f t="shared" si="1"/>
        <v>435665031.959701</v>
      </c>
      <c r="J60" s="187">
        <f t="shared" si="2"/>
        <v>0.71298737383547828</v>
      </c>
      <c r="K60" s="184">
        <f t="shared" si="3"/>
        <v>114272516.94029897</v>
      </c>
      <c r="L60" s="184">
        <f t="shared" ca="1" si="4"/>
        <v>0</v>
      </c>
      <c r="M60" s="180">
        <f t="shared" si="5"/>
        <v>144824602.99029893</v>
      </c>
      <c r="N60" s="180">
        <f t="shared" ca="1" si="6"/>
        <v>0</v>
      </c>
      <c r="O60" s="185">
        <f t="shared" si="7"/>
        <v>175376689.040299</v>
      </c>
      <c r="P60" s="185">
        <f t="shared" ca="1" si="8"/>
        <v>0</v>
      </c>
    </row>
    <row r="61" spans="2:16" ht="20.100000000000001" customHeight="1" x14ac:dyDescent="0.25">
      <c r="B61" s="50" t="s">
        <v>82</v>
      </c>
      <c r="C61" s="55" t="s">
        <v>83</v>
      </c>
      <c r="D61" s="118">
        <f>TARGETS!S15</f>
        <v>666629596</v>
      </c>
      <c r="E61" s="118">
        <f>TARGETS!T15</f>
        <v>92301622</v>
      </c>
      <c r="F61" s="118">
        <f t="shared" si="0"/>
        <v>758931218</v>
      </c>
      <c r="G61" s="114">
        <f t="shared" si="10"/>
        <v>508735877.73760903</v>
      </c>
      <c r="H61" s="114">
        <f t="shared" si="10"/>
        <v>51169801.005402997</v>
      </c>
      <c r="I61" s="114">
        <f t="shared" si="1"/>
        <v>559905678.74301207</v>
      </c>
      <c r="J61" s="187">
        <f t="shared" si="2"/>
        <v>0.73775549807863094</v>
      </c>
      <c r="K61" s="184">
        <f t="shared" si="3"/>
        <v>123132417.45698798</v>
      </c>
      <c r="L61" s="184">
        <f t="shared" ca="1" si="4"/>
        <v>0</v>
      </c>
      <c r="M61" s="180">
        <f t="shared" si="5"/>
        <v>161078978.35698795</v>
      </c>
      <c r="N61" s="180">
        <f t="shared" ca="1" si="6"/>
        <v>0</v>
      </c>
      <c r="O61" s="185">
        <f t="shared" si="7"/>
        <v>199025539.25698793</v>
      </c>
      <c r="P61" s="185">
        <f t="shared" ca="1" si="8"/>
        <v>0</v>
      </c>
    </row>
    <row r="62" spans="2:16" ht="20.100000000000001" customHeight="1" x14ac:dyDescent="0.25">
      <c r="B62" s="53" t="s">
        <v>84</v>
      </c>
      <c r="C62" s="56" t="s">
        <v>85</v>
      </c>
      <c r="D62" s="119">
        <f>TARGETS!S16</f>
        <v>421543023</v>
      </c>
      <c r="E62" s="119">
        <f>TARGETS!T16</f>
        <v>97324176</v>
      </c>
      <c r="F62" s="119">
        <f t="shared" si="0"/>
        <v>518867199</v>
      </c>
      <c r="G62" s="114">
        <f t="shared" si="10"/>
        <v>322280851.83509499</v>
      </c>
      <c r="H62" s="114">
        <f t="shared" si="10"/>
        <v>34873341.943994999</v>
      </c>
      <c r="I62" s="114">
        <f t="shared" si="1"/>
        <v>357154193.77908999</v>
      </c>
      <c r="J62" s="187">
        <f t="shared" si="2"/>
        <v>0.6883344995933921</v>
      </c>
      <c r="K62" s="184">
        <f t="shared" si="3"/>
        <v>109826285.32091004</v>
      </c>
      <c r="L62" s="184">
        <f t="shared" ca="1" si="4"/>
        <v>0</v>
      </c>
      <c r="M62" s="180">
        <f t="shared" si="5"/>
        <v>135769645.27090997</v>
      </c>
      <c r="N62" s="180">
        <f t="shared" ca="1" si="6"/>
        <v>0</v>
      </c>
      <c r="O62" s="185">
        <f t="shared" si="7"/>
        <v>161713005.22091001</v>
      </c>
      <c r="P62" s="185">
        <f t="shared" ca="1" si="8"/>
        <v>0</v>
      </c>
    </row>
    <row r="63" spans="2:16" ht="20.100000000000001" customHeight="1" x14ac:dyDescent="0.25">
      <c r="B63" s="50" t="s">
        <v>86</v>
      </c>
      <c r="C63" s="55" t="s">
        <v>87</v>
      </c>
      <c r="D63" s="118">
        <f>TARGETS!S17</f>
        <v>618350942</v>
      </c>
      <c r="E63" s="118">
        <f>TARGETS!T17</f>
        <v>363366966</v>
      </c>
      <c r="F63" s="118">
        <f t="shared" si="0"/>
        <v>981717908</v>
      </c>
      <c r="G63" s="114">
        <f t="shared" si="10"/>
        <v>789357999.90691698</v>
      </c>
      <c r="H63" s="114">
        <f t="shared" si="10"/>
        <v>235212300.73199099</v>
      </c>
      <c r="I63" s="114">
        <f t="shared" si="1"/>
        <v>1024570300.6389079</v>
      </c>
      <c r="J63" s="187">
        <f t="shared" si="2"/>
        <v>1.0436504135146203</v>
      </c>
      <c r="K63" s="184">
        <f t="shared" si="3"/>
        <v>-141024183.43890786</v>
      </c>
      <c r="L63" s="184">
        <f t="shared" ca="1" si="4"/>
        <v>0</v>
      </c>
      <c r="M63" s="180">
        <f t="shared" si="5"/>
        <v>-91938288.038908005</v>
      </c>
      <c r="N63" s="180">
        <f t="shared" ca="1" si="6"/>
        <v>0</v>
      </c>
      <c r="O63" s="185">
        <f t="shared" si="7"/>
        <v>-42852392.638907909</v>
      </c>
      <c r="P63" s="185">
        <f t="shared" ca="1" si="8"/>
        <v>0</v>
      </c>
    </row>
    <row r="64" spans="2:16" ht="20.100000000000001" customHeight="1" x14ac:dyDescent="0.25">
      <c r="B64" s="53" t="s">
        <v>88</v>
      </c>
      <c r="C64" s="56" t="s">
        <v>89</v>
      </c>
      <c r="D64" s="119">
        <f>TARGETS!S18</f>
        <v>294525689</v>
      </c>
      <c r="E64" s="119">
        <f>TARGETS!T18</f>
        <v>291530053</v>
      </c>
      <c r="F64" s="119">
        <f t="shared" si="0"/>
        <v>586055742</v>
      </c>
      <c r="G64" s="114">
        <f t="shared" si="10"/>
        <v>186367654.50230998</v>
      </c>
      <c r="H64" s="114">
        <f t="shared" si="10"/>
        <v>152552071.034646</v>
      </c>
      <c r="I64" s="114">
        <f t="shared" si="1"/>
        <v>338919725.53695595</v>
      </c>
      <c r="J64" s="187">
        <f t="shared" si="2"/>
        <v>0.57830629622421814</v>
      </c>
      <c r="K64" s="184">
        <f t="shared" si="3"/>
        <v>188530442.26304406</v>
      </c>
      <c r="L64" s="184">
        <f t="shared" ca="1" si="4"/>
        <v>0</v>
      </c>
      <c r="M64" s="180">
        <f t="shared" si="5"/>
        <v>217833229.36304402</v>
      </c>
      <c r="N64" s="180">
        <f t="shared" ca="1" si="6"/>
        <v>0</v>
      </c>
      <c r="O64" s="185">
        <f t="shared" si="7"/>
        <v>247136016.46304405</v>
      </c>
      <c r="P64" s="185">
        <f t="shared" ca="1" si="8"/>
        <v>0</v>
      </c>
    </row>
    <row r="65" spans="2:16" ht="20.100000000000001" customHeight="1" x14ac:dyDescent="0.25">
      <c r="B65" s="57" t="s">
        <v>151</v>
      </c>
      <c r="C65" s="58"/>
      <c r="D65" s="134">
        <f>SUM(D51:D64)</f>
        <v>7259279332</v>
      </c>
      <c r="E65" s="134">
        <f>SUM(E51:E52,E54:E58,E60:E64)</f>
        <v>1809425059</v>
      </c>
      <c r="F65" s="134">
        <f>SUM(F51:F64)</f>
        <v>9068704391</v>
      </c>
      <c r="G65" s="135">
        <f>SUM(G51:G64)</f>
        <v>6922754499.7753286</v>
      </c>
      <c r="H65" s="135">
        <f>SUM(H51:H64)</f>
        <v>1069402012.6218331</v>
      </c>
      <c r="I65" s="135">
        <f>SUM(I51:I64)</f>
        <v>7992156512.3971605</v>
      </c>
      <c r="J65" s="189">
        <f>IFERROR(I65/F65,0)</f>
        <v>0.88128978162842853</v>
      </c>
      <c r="K65" s="181">
        <f>SUM(K51:K64)</f>
        <v>169677439.50283849</v>
      </c>
      <c r="L65" s="181">
        <f t="shared" ca="1" si="4"/>
        <v>0</v>
      </c>
      <c r="M65" s="181">
        <f>SUM(M51:M64)</f>
        <v>623112659.05283761</v>
      </c>
      <c r="N65" s="181">
        <f t="shared" ca="1" si="6"/>
        <v>0</v>
      </c>
      <c r="O65" s="186">
        <f>SUM(O51:O64)</f>
        <v>1076547878.602838</v>
      </c>
      <c r="P65" s="186">
        <f t="shared" ca="1" si="8"/>
        <v>0</v>
      </c>
    </row>
    <row r="66" spans="2:16" x14ac:dyDescent="0.25">
      <c r="G66" s="111"/>
      <c r="H66" s="111"/>
      <c r="I66" s="111"/>
    </row>
    <row r="67" spans="2:16" ht="18.95" customHeight="1" x14ac:dyDescent="0.25">
      <c r="B67" s="254" t="s">
        <v>144</v>
      </c>
      <c r="C67" s="255"/>
      <c r="D67" s="255"/>
      <c r="E67" s="255"/>
      <c r="F67" s="255"/>
      <c r="G67" s="255"/>
      <c r="H67" s="255"/>
      <c r="I67" s="255"/>
      <c r="J67" s="255"/>
      <c r="K67" s="255"/>
      <c r="L67" s="256"/>
    </row>
    <row r="68" spans="2:16" ht="33.950000000000003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"SELISIH"&amp;CHAR(10)&amp;TEXT($H$41,"0%")</f>
        <v>SELISIH
90%</v>
      </c>
      <c r="H68" s="232" t="str">
        <f>"PER HARI"&amp;CHAR(10)&amp;TEXT($H$41,"0%")</f>
        <v>PER HARI
90%</v>
      </c>
      <c r="I68" s="229" t="str">
        <f>"SELISIH"&amp;CHAR(10)&amp;TEXT($J$41,"0%")</f>
        <v>SELISIH
95%</v>
      </c>
      <c r="J68" s="230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</row>
    <row r="69" spans="2:16" x14ac:dyDescent="0.25">
      <c r="B69" s="50" t="s">
        <v>92</v>
      </c>
      <c r="C69" s="55" t="s">
        <v>93</v>
      </c>
      <c r="D69" s="116">
        <f>TARGETS!I22</f>
        <v>285530553</v>
      </c>
      <c r="E69" s="114">
        <f>IFERROR(C32,0)</f>
        <v>185272533.73476499</v>
      </c>
      <c r="F69" s="187">
        <f t="shared" ref="F69:F74" si="11">IFERROR(E69/D69,0)</f>
        <v>0.64887113406306818</v>
      </c>
      <c r="G69" s="184">
        <f>D69*$H$41-E69</f>
        <v>71704963.965235025</v>
      </c>
      <c r="H69" s="184">
        <f t="shared" ref="H69:H74" ca="1" si="12">IFERROR(G69/$C$3,0)</f>
        <v>0</v>
      </c>
      <c r="I69" s="204">
        <f>D69*$J$41-E69</f>
        <v>85981491.615234971</v>
      </c>
      <c r="J69" s="204">
        <f t="shared" ref="J69:J74" ca="1" si="13">IFERROR(I69/$C$3,0)</f>
        <v>0</v>
      </c>
      <c r="K69" s="185">
        <f>D69*$L$41-E69</f>
        <v>100258019.26523501</v>
      </c>
      <c r="L69" s="185">
        <f t="shared" ref="L69:L74" ca="1" si="14">IFERROR(K69/$C$3,0)</f>
        <v>0</v>
      </c>
    </row>
    <row r="70" spans="2:16" x14ac:dyDescent="0.25">
      <c r="B70" s="53" t="s">
        <v>94</v>
      </c>
      <c r="C70" s="56" t="s">
        <v>95</v>
      </c>
      <c r="D70" s="117">
        <f>TARGETS!I23</f>
        <v>428831462</v>
      </c>
      <c r="E70" s="114">
        <f>IFERROR(C33,0)</f>
        <v>334871676.45744997</v>
      </c>
      <c r="F70" s="187">
        <f t="shared" si="11"/>
        <v>0.78089344213613221</v>
      </c>
      <c r="G70" s="184">
        <f>D70*$H$41-E70</f>
        <v>51076639.342550039</v>
      </c>
      <c r="H70" s="184">
        <f t="shared" ca="1" si="12"/>
        <v>0</v>
      </c>
      <c r="I70" s="204">
        <f>D70*$J$41-E70</f>
        <v>72518212.442550004</v>
      </c>
      <c r="J70" s="204">
        <f t="shared" ca="1" si="13"/>
        <v>0</v>
      </c>
      <c r="K70" s="185">
        <f>D70*$L$41-E70</f>
        <v>93959785.542550027</v>
      </c>
      <c r="L70" s="185">
        <f t="shared" ca="1" si="14"/>
        <v>0</v>
      </c>
    </row>
    <row r="71" spans="2:16" x14ac:dyDescent="0.25">
      <c r="B71" s="50" t="s">
        <v>96</v>
      </c>
      <c r="C71" s="55" t="s">
        <v>97</v>
      </c>
      <c r="D71" s="116">
        <f>TARGETS!I24</f>
        <v>1116489049</v>
      </c>
      <c r="E71" s="114">
        <f>M21+M7</f>
        <v>1208589913.9548378</v>
      </c>
      <c r="F71" s="187">
        <f t="shared" si="11"/>
        <v>1.08249150767518</v>
      </c>
      <c r="G71" s="184">
        <f>D71*$H$41-E71</f>
        <v>-203749769.85483778</v>
      </c>
      <c r="H71" s="184">
        <f t="shared" ca="1" si="12"/>
        <v>0</v>
      </c>
      <c r="I71" s="204">
        <f>D71*$J$41-E71</f>
        <v>-147925317.40483785</v>
      </c>
      <c r="J71" s="204">
        <f t="shared" ca="1" si="13"/>
        <v>0</v>
      </c>
      <c r="K71" s="185">
        <f>D71*$L$41-E71</f>
        <v>-92100864.954837799</v>
      </c>
      <c r="L71" s="185">
        <f t="shared" ca="1" si="14"/>
        <v>0</v>
      </c>
    </row>
    <row r="72" spans="2:16" x14ac:dyDescent="0.25">
      <c r="B72" s="53" t="s">
        <v>98</v>
      </c>
      <c r="C72" s="56" t="s">
        <v>99</v>
      </c>
      <c r="D72" s="117">
        <f>TARGETS!I25</f>
        <v>0</v>
      </c>
      <c r="E72" s="114">
        <f>0</f>
        <v>0</v>
      </c>
      <c r="F72" s="187">
        <f t="shared" si="11"/>
        <v>0</v>
      </c>
      <c r="G72" s="184">
        <f>D72*$H$41-E72</f>
        <v>0</v>
      </c>
      <c r="H72" s="184">
        <f t="shared" ca="1" si="12"/>
        <v>0</v>
      </c>
      <c r="I72" s="204">
        <f>D72*$J$41-E72</f>
        <v>0</v>
      </c>
      <c r="J72" s="204">
        <f t="shared" ca="1" si="13"/>
        <v>0</v>
      </c>
      <c r="K72" s="185">
        <f>D72*$L$41-E72</f>
        <v>0</v>
      </c>
      <c r="L72" s="185">
        <f t="shared" ca="1" si="14"/>
        <v>0</v>
      </c>
    </row>
    <row r="73" spans="2:16" x14ac:dyDescent="0.25">
      <c r="B73" s="50" t="s">
        <v>100</v>
      </c>
      <c r="C73" s="108" t="s">
        <v>101</v>
      </c>
      <c r="D73" s="116">
        <f>TARGETS!I26</f>
        <v>0</v>
      </c>
      <c r="E73" s="114">
        <f>0</f>
        <v>0</v>
      </c>
      <c r="F73" s="187">
        <f t="shared" si="11"/>
        <v>0</v>
      </c>
      <c r="G73" s="184">
        <f>D73*$H$41-E73</f>
        <v>0</v>
      </c>
      <c r="H73" s="184">
        <f t="shared" ca="1" si="12"/>
        <v>0</v>
      </c>
      <c r="I73" s="204">
        <f>D73*$J$41-E73</f>
        <v>0</v>
      </c>
      <c r="J73" s="204">
        <f t="shared" ca="1" si="13"/>
        <v>0</v>
      </c>
      <c r="K73" s="185">
        <f>D73*$L$41-E73</f>
        <v>0</v>
      </c>
      <c r="L73" s="185">
        <f t="shared" ca="1" si="14"/>
        <v>0</v>
      </c>
    </row>
    <row r="74" spans="2:16" x14ac:dyDescent="0.25">
      <c r="B74" s="57" t="s">
        <v>151</v>
      </c>
      <c r="C74" s="58"/>
      <c r="D74" s="115">
        <f>SUM(D69:D73)</f>
        <v>1830851064</v>
      </c>
      <c r="E74" s="115">
        <f>SUM(E69:E73)</f>
        <v>1728734124.1470528</v>
      </c>
      <c r="F74" s="177">
        <f t="shared" si="11"/>
        <v>0.9442243326828319</v>
      </c>
      <c r="G74" s="181">
        <f>SUM(G69:G73)</f>
        <v>-80968166.547052711</v>
      </c>
      <c r="H74" s="181">
        <f t="shared" ca="1" si="12"/>
        <v>0</v>
      </c>
      <c r="I74" s="186">
        <f>SUM(I69:I73)</f>
        <v>10574386.652947128</v>
      </c>
      <c r="J74" s="186">
        <f t="shared" ca="1" si="13"/>
        <v>0</v>
      </c>
      <c r="K74" s="186">
        <f>SUM(K69:K73)</f>
        <v>102116939.85294724</v>
      </c>
      <c r="L74" s="186">
        <f t="shared" ca="1" si="14"/>
        <v>0</v>
      </c>
    </row>
    <row r="77" spans="2:16" ht="20.100000000000001" customHeight="1" x14ac:dyDescent="0.25">
      <c r="B77" s="254" t="s">
        <v>170</v>
      </c>
      <c r="C77" s="255"/>
      <c r="D77" s="256"/>
    </row>
    <row r="78" spans="2:16" ht="15.75" x14ac:dyDescent="0.25">
      <c r="B78" s="273" t="s">
        <v>41</v>
      </c>
      <c r="C78" s="273" t="s">
        <v>42</v>
      </c>
      <c r="D78" s="231" t="s">
        <v>138</v>
      </c>
    </row>
    <row r="79" spans="2:16" ht="15.75" x14ac:dyDescent="0.25">
      <c r="B79" s="263"/>
      <c r="C79" s="263"/>
      <c r="D79" s="70" t="s">
        <v>167</v>
      </c>
    </row>
    <row r="80" spans="2:16" ht="20.100000000000001" customHeight="1" x14ac:dyDescent="0.25">
      <c r="B80" s="50" t="s">
        <v>67</v>
      </c>
      <c r="C80" s="55" t="s">
        <v>68</v>
      </c>
      <c r="D80" s="107">
        <v>379329022.35987002</v>
      </c>
    </row>
    <row r="81" spans="2:4" ht="20.100000000000001" customHeight="1" x14ac:dyDescent="0.25">
      <c r="B81" s="53" t="s">
        <v>69</v>
      </c>
      <c r="C81" s="56" t="s">
        <v>70</v>
      </c>
      <c r="D81" s="158">
        <v>89366430.819999993</v>
      </c>
    </row>
    <row r="82" spans="2:4" ht="20.100000000000001" customHeight="1" x14ac:dyDescent="0.25">
      <c r="B82" s="53" t="s">
        <v>171</v>
      </c>
      <c r="C82" s="56" t="s">
        <v>172</v>
      </c>
      <c r="D82" s="107">
        <v>12540540.199999999</v>
      </c>
    </row>
    <row r="83" spans="2:4" ht="20.100000000000001" customHeight="1" x14ac:dyDescent="0.25">
      <c r="B83" s="50" t="s">
        <v>71</v>
      </c>
      <c r="C83" s="55" t="s">
        <v>72</v>
      </c>
      <c r="D83" s="107">
        <v>266587982.37</v>
      </c>
    </row>
    <row r="84" spans="2:4" ht="20.100000000000001" customHeight="1" x14ac:dyDescent="0.25">
      <c r="B84" s="53" t="s">
        <v>73</v>
      </c>
      <c r="C84" s="56" t="s">
        <v>74</v>
      </c>
      <c r="D84" s="158">
        <f>0</f>
        <v>0</v>
      </c>
    </row>
    <row r="85" spans="2:4" ht="20.100000000000001" customHeight="1" x14ac:dyDescent="0.25">
      <c r="B85" s="50" t="s">
        <v>75</v>
      </c>
      <c r="C85" s="55" t="s">
        <v>74</v>
      </c>
      <c r="D85" s="107">
        <v>34044891.530000001</v>
      </c>
    </row>
    <row r="86" spans="2:4" ht="20.100000000000001" customHeight="1" x14ac:dyDescent="0.25">
      <c r="B86" s="53" t="s">
        <v>76</v>
      </c>
      <c r="C86" s="56" t="s">
        <v>77</v>
      </c>
      <c r="D86" s="107">
        <v>1329858796.62995</v>
      </c>
    </row>
    <row r="87" spans="2:4" ht="20.100000000000001" customHeight="1" x14ac:dyDescent="0.25">
      <c r="B87" s="50" t="s">
        <v>78</v>
      </c>
      <c r="C87" s="55" t="s">
        <v>79</v>
      </c>
      <c r="D87" s="107">
        <v>314812287.69929397</v>
      </c>
    </row>
    <row r="88" spans="2:4" ht="20.100000000000001" customHeight="1" x14ac:dyDescent="0.25">
      <c r="B88" s="53" t="s">
        <v>171</v>
      </c>
      <c r="C88" s="56" t="s">
        <v>173</v>
      </c>
      <c r="D88" s="107">
        <v>17519368.899999999</v>
      </c>
    </row>
    <row r="89" spans="2:4" ht="20.100000000000001" customHeight="1" x14ac:dyDescent="0.25">
      <c r="B89" s="53" t="s">
        <v>80</v>
      </c>
      <c r="C89" s="56" t="s">
        <v>81</v>
      </c>
      <c r="D89" s="107">
        <v>22719654.219999999</v>
      </c>
    </row>
    <row r="90" spans="2:4" ht="20.100000000000001" customHeight="1" x14ac:dyDescent="0.25">
      <c r="B90" s="50" t="s">
        <v>82</v>
      </c>
      <c r="C90" s="55" t="s">
        <v>83</v>
      </c>
      <c r="D90" s="107">
        <v>581028250.50941503</v>
      </c>
    </row>
    <row r="91" spans="2:4" ht="20.100000000000001" customHeight="1" x14ac:dyDescent="0.25">
      <c r="B91" s="53" t="s">
        <v>84</v>
      </c>
      <c r="C91" s="56" t="s">
        <v>85</v>
      </c>
      <c r="D91" s="107">
        <v>158162238.56999999</v>
      </c>
    </row>
    <row r="92" spans="2:4" ht="20.100000000000001" customHeight="1" x14ac:dyDescent="0.25">
      <c r="B92" s="50" t="s">
        <v>86</v>
      </c>
      <c r="C92" s="55" t="s">
        <v>87</v>
      </c>
      <c r="D92" s="107">
        <v>17184216.607000001</v>
      </c>
    </row>
    <row r="93" spans="2:4" ht="20.100000000000001" customHeight="1" x14ac:dyDescent="0.25">
      <c r="B93" s="53" t="s">
        <v>88</v>
      </c>
      <c r="C93" s="56" t="s">
        <v>89</v>
      </c>
      <c r="D93" s="158">
        <v>100075677.56</v>
      </c>
    </row>
    <row r="94" spans="2:4" ht="20.100000000000001" customHeight="1" x14ac:dyDescent="0.25">
      <c r="B94" s="57" t="s">
        <v>151</v>
      </c>
      <c r="C94" s="58"/>
      <c r="D94" s="120">
        <f>SUM(D80:D93)</f>
        <v>3323229357.9755292</v>
      </c>
    </row>
  </sheetData>
  <mergeCells count="18">
    <mergeCell ref="N49:N50"/>
    <mergeCell ref="K48:P48"/>
    <mergeCell ref="K49:K50"/>
    <mergeCell ref="L49:L50"/>
    <mergeCell ref="M49:M50"/>
    <mergeCell ref="O49:O50"/>
    <mergeCell ref="P49:P50"/>
    <mergeCell ref="B78:B79"/>
    <mergeCell ref="C78:C79"/>
    <mergeCell ref="D49:F49"/>
    <mergeCell ref="J49:J50"/>
    <mergeCell ref="B67:L67"/>
    <mergeCell ref="B77:D77"/>
    <mergeCell ref="B41:D41"/>
    <mergeCell ref="B48:J48"/>
    <mergeCell ref="B46:C46"/>
    <mergeCell ref="B49:B50"/>
    <mergeCell ref="C49:C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dataValidations count="1">
    <dataValidation type="list" allowBlank="1" showInputMessage="1" showErrorMessage="1" promptTitle="Target %" prompt="Pilih % target: 70% - 100%" sqref="H41 J41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S94"/>
  <sheetViews>
    <sheetView showGridLines="0" topLeftCell="A46" zoomScale="91" zoomScaleNormal="91" workbookViewId="0">
      <selection activeCell="M6" sqref="M6:N21"/>
    </sheetView>
  </sheetViews>
  <sheetFormatPr defaultColWidth="8.7109375" defaultRowHeight="15" x14ac:dyDescent="0.25"/>
  <cols>
    <col min="1" max="1" width="2" customWidth="1"/>
    <col min="2" max="2" width="32.42578125" customWidth="1"/>
    <col min="3" max="3" width="16.42578125" customWidth="1"/>
    <col min="4" max="4" width="22.140625" customWidth="1"/>
    <col min="5" max="5" width="20.42578125" bestFit="1" customWidth="1"/>
    <col min="6" max="6" width="15.7109375" customWidth="1"/>
    <col min="7" max="7" width="20.85546875" bestFit="1" customWidth="1"/>
    <col min="8" max="8" width="20" bestFit="1" customWidth="1"/>
    <col min="9" max="9" width="20.42578125" bestFit="1" customWidth="1"/>
    <col min="10" max="10" width="18" bestFit="1" customWidth="1"/>
    <col min="11" max="11" width="19.42578125" bestFit="1" customWidth="1"/>
    <col min="12" max="12" width="18.42578125" bestFit="1" customWidth="1"/>
    <col min="13" max="13" width="20.42578125" bestFit="1" customWidth="1"/>
    <col min="14" max="14" width="18" bestFit="1" customWidth="1"/>
    <col min="15" max="15" width="20.85546875" bestFit="1" customWidth="1"/>
    <col min="16" max="16" width="17.42578125" bestFit="1" customWidth="1"/>
    <col min="17" max="18" width="15.28515625" customWidth="1"/>
  </cols>
  <sheetData>
    <row r="1" spans="2:14" ht="19.5" x14ac:dyDescent="0.25">
      <c r="B1" s="83" t="s">
        <v>159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191</v>
      </c>
      <c r="H2" s="111"/>
      <c r="I2" s="111"/>
      <c r="J2" s="217">
        <f ca="1">E3</f>
        <v>31</v>
      </c>
    </row>
    <row r="3" spans="2:14" ht="15.75" x14ac:dyDescent="0.25">
      <c r="B3" s="74" t="s">
        <v>103</v>
      </c>
      <c r="C3" s="75">
        <f ca="1">IF($J$5&lt;&gt;"",$J$5,MAX(0,NETWORKDAYS.INTL(MAX(TODAY(),DATE(YEAR(TODAY()),7,1)),EOMONTH(DATE(YEAR(TODAY()),7,1),0),11)-MAX(0,$J$3-$J$4)))</f>
        <v>0</v>
      </c>
      <c r="D3" s="76" t="s">
        <v>104</v>
      </c>
      <c r="E3" s="77">
        <f ca="1">DAY(EOMONTH(DATE(YEAR(TODAY()),7,1),0))</f>
        <v>31</v>
      </c>
      <c r="G3" s="221" t="s">
        <v>192</v>
      </c>
      <c r="H3" s="111"/>
      <c r="I3" s="111"/>
      <c r="J3" s="218">
        <v>0</v>
      </c>
    </row>
    <row r="4" spans="2:14" x14ac:dyDescent="0.25">
      <c r="G4" s="221" t="s">
        <v>193</v>
      </c>
      <c r="H4" s="111"/>
      <c r="I4" s="111"/>
      <c r="J4" s="218">
        <v>0</v>
      </c>
    </row>
    <row r="5" spans="2:14" x14ac:dyDescent="0.25">
      <c r="G5" s="221" t="s">
        <v>194</v>
      </c>
      <c r="H5" s="111"/>
      <c r="I5" s="111"/>
      <c r="J5" s="218"/>
    </row>
    <row r="6" spans="2:14" x14ac:dyDescent="0.25">
      <c r="B6" s="78" t="s">
        <v>105</v>
      </c>
      <c r="C6" s="78"/>
      <c r="D6" s="78"/>
      <c r="E6" s="78"/>
      <c r="F6" s="78"/>
      <c r="H6" s="111"/>
      <c r="I6" s="111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H7" s="111"/>
      <c r="I7" s="111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167</v>
      </c>
      <c r="F8" s="80" t="s">
        <v>111</v>
      </c>
      <c r="H8" s="111"/>
      <c r="I8" s="111"/>
      <c r="J8" s="111"/>
      <c r="M8" s="11">
        <f>C22</f>
        <v>448510399.46910501</v>
      </c>
      <c r="N8" s="11">
        <f>D22</f>
        <v>63011769.152930997</v>
      </c>
    </row>
    <row r="9" spans="2:14" x14ac:dyDescent="0.25">
      <c r="B9" s="81"/>
      <c r="C9" s="82">
        <v>0</v>
      </c>
      <c r="D9" s="82">
        <v>0</v>
      </c>
      <c r="E9" s="82"/>
      <c r="F9" s="82"/>
      <c r="H9" s="111"/>
      <c r="I9" s="111"/>
      <c r="J9" s="111"/>
      <c r="M9" s="11">
        <f>C13+C14</f>
        <v>645758035.66179395</v>
      </c>
      <c r="N9" s="11">
        <f>D13+D14</f>
        <v>155113955.522313</v>
      </c>
    </row>
    <row r="10" spans="2:14" x14ac:dyDescent="0.25">
      <c r="B10" s="72" t="s">
        <v>112</v>
      </c>
      <c r="C10" s="15">
        <v>393617269.45962203</v>
      </c>
      <c r="D10" s="15">
        <v>52106885.865496002</v>
      </c>
      <c r="E10" s="15">
        <v>178626089.13999999</v>
      </c>
      <c r="F10" s="15">
        <v>624350244.46511805</v>
      </c>
      <c r="H10" s="111"/>
      <c r="I10" s="111"/>
      <c r="J10" s="111"/>
      <c r="M10" s="11">
        <f>C15</f>
        <v>1054671906.6945471</v>
      </c>
      <c r="N10" s="11">
        <f>D15</f>
        <v>29495978.518279999</v>
      </c>
    </row>
    <row r="11" spans="2:14" x14ac:dyDescent="0.25">
      <c r="B11" s="72" t="s">
        <v>113</v>
      </c>
      <c r="C11" s="15">
        <v>324688224.63140702</v>
      </c>
      <c r="D11" s="15">
        <v>130969678.577117</v>
      </c>
      <c r="E11" s="15">
        <v>123485070.23999999</v>
      </c>
      <c r="F11" s="15">
        <v>579142973.448524</v>
      </c>
      <c r="H11" s="111"/>
      <c r="I11" s="111"/>
      <c r="J11" s="111"/>
      <c r="M11" s="11">
        <f>C12</f>
        <v>341819821.47863901</v>
      </c>
      <c r="N11" s="11">
        <f>D12</f>
        <v>43800016.100000001</v>
      </c>
    </row>
    <row r="12" spans="2:14" x14ac:dyDescent="0.25">
      <c r="B12" s="72" t="s">
        <v>181</v>
      </c>
      <c r="C12" s="15">
        <v>341819821.47863901</v>
      </c>
      <c r="D12" s="15">
        <v>43800016.100000001</v>
      </c>
      <c r="E12" s="15" t="s">
        <v>164</v>
      </c>
      <c r="F12" s="15">
        <v>385619837.57863897</v>
      </c>
      <c r="H12" s="111"/>
      <c r="I12" s="111"/>
      <c r="J12" s="111"/>
      <c r="M12" s="11">
        <f>C25+C26</f>
        <v>405401083.69156003</v>
      </c>
      <c r="N12" s="11">
        <f>D25+D26</f>
        <v>110789069.34336799</v>
      </c>
    </row>
    <row r="13" spans="2:14" x14ac:dyDescent="0.25">
      <c r="B13" s="72" t="s">
        <v>70</v>
      </c>
      <c r="C13" s="15">
        <v>335783257.01891601</v>
      </c>
      <c r="D13" s="15">
        <v>116240171.81246901</v>
      </c>
      <c r="E13" s="15">
        <v>62660260.079999998</v>
      </c>
      <c r="F13" s="15">
        <v>514683688.911385</v>
      </c>
      <c r="H13" s="111"/>
      <c r="I13" s="111"/>
      <c r="J13" s="111"/>
      <c r="M13" s="11">
        <f>C17</f>
        <v>1425026257.5066569</v>
      </c>
      <c r="N13" s="11">
        <f>D17</f>
        <v>87442239.299614996</v>
      </c>
    </row>
    <row r="14" spans="2:14" x14ac:dyDescent="0.25">
      <c r="B14" s="72" t="s">
        <v>114</v>
      </c>
      <c r="C14" s="15">
        <v>309974778.642878</v>
      </c>
      <c r="D14" s="15">
        <v>38873783.709844001</v>
      </c>
      <c r="E14" s="15">
        <v>61782485.780000001</v>
      </c>
      <c r="F14" s="15">
        <v>410631048.13272202</v>
      </c>
      <c r="H14" s="111"/>
      <c r="I14" s="111"/>
      <c r="J14" s="111"/>
      <c r="M14" s="11">
        <f>C23</f>
        <v>537624961.29726696</v>
      </c>
      <c r="N14" s="11">
        <f>D23</f>
        <v>72473352.539875999</v>
      </c>
    </row>
    <row r="15" spans="2:14" x14ac:dyDescent="0.25">
      <c r="B15" s="81" t="s">
        <v>115</v>
      </c>
      <c r="C15" s="15">
        <v>1054671906.6945471</v>
      </c>
      <c r="D15" s="15">
        <v>29495978.518279999</v>
      </c>
      <c r="E15" s="15">
        <v>410218259.94994998</v>
      </c>
      <c r="F15" s="15">
        <v>1494386145.1627769</v>
      </c>
      <c r="H15" s="111"/>
      <c r="I15" s="111"/>
      <c r="J15" s="111"/>
      <c r="M15" s="11">
        <f>C11</f>
        <v>324688224.63140702</v>
      </c>
      <c r="N15" s="11">
        <f>D11</f>
        <v>130969678.577117</v>
      </c>
    </row>
    <row r="16" spans="2:14" x14ac:dyDescent="0.25">
      <c r="B16" s="72" t="s">
        <v>118</v>
      </c>
      <c r="C16" s="15">
        <v>1554416407.7220271</v>
      </c>
      <c r="D16" s="15">
        <v>10384914.213416999</v>
      </c>
      <c r="E16" s="15">
        <v>8032432.3600000003</v>
      </c>
      <c r="F16" s="15">
        <v>1572833754.295444</v>
      </c>
      <c r="H16" s="111"/>
      <c r="I16" s="111"/>
      <c r="J16" s="111"/>
      <c r="M16" s="11">
        <f>C24</f>
        <v>687182241.108935</v>
      </c>
      <c r="N16" s="11">
        <f>D24</f>
        <v>61286832.419910997</v>
      </c>
    </row>
    <row r="17" spans="2:14" x14ac:dyDescent="0.25">
      <c r="B17" s="72" t="s">
        <v>120</v>
      </c>
      <c r="C17" s="15">
        <v>1425026257.5066569</v>
      </c>
      <c r="D17" s="15">
        <v>87442239.299614996</v>
      </c>
      <c r="E17" s="15">
        <v>1305012954.6799581</v>
      </c>
      <c r="F17" s="15">
        <v>2817481451.4862299</v>
      </c>
      <c r="H17" s="111"/>
      <c r="I17" s="111"/>
      <c r="J17" s="111"/>
      <c r="M17" s="11">
        <f>C10</f>
        <v>393617269.45962203</v>
      </c>
      <c r="N17" s="11">
        <f>D10</f>
        <v>52106885.865496002</v>
      </c>
    </row>
    <row r="18" spans="2:14" x14ac:dyDescent="0.25">
      <c r="B18" s="72" t="s">
        <v>122</v>
      </c>
      <c r="C18" s="15">
        <v>269119168.26818502</v>
      </c>
      <c r="D18" s="15">
        <v>21889933.159789</v>
      </c>
      <c r="E18" s="15">
        <v>7372973.1399999997</v>
      </c>
      <c r="F18" s="15">
        <v>298382074.56797397</v>
      </c>
      <c r="H18" s="111"/>
      <c r="I18" s="111"/>
      <c r="J18" s="111"/>
      <c r="M18" s="11">
        <f>C27</f>
        <v>887123024.85446894</v>
      </c>
      <c r="N18" s="11">
        <f>D27</f>
        <v>267781372.49532399</v>
      </c>
    </row>
    <row r="19" spans="2:14" x14ac:dyDescent="0.25">
      <c r="B19" s="72" t="s">
        <v>123</v>
      </c>
      <c r="C19" s="15">
        <v>72833049.799989</v>
      </c>
      <c r="D19" s="15">
        <v>128966591.851889</v>
      </c>
      <c r="E19" s="15">
        <v>85016217.859999999</v>
      </c>
      <c r="F19" s="15">
        <v>286815859.51187801</v>
      </c>
      <c r="H19" s="111"/>
      <c r="I19" s="111"/>
      <c r="J19" s="111"/>
      <c r="M19" s="11">
        <f>C18+C19</f>
        <v>341952218.068174</v>
      </c>
      <c r="N19" s="11">
        <f>D18+D19</f>
        <v>150856525.01167801</v>
      </c>
    </row>
    <row r="20" spans="2:14" x14ac:dyDescent="0.25">
      <c r="B20" s="72" t="s">
        <v>168</v>
      </c>
      <c r="C20" s="15">
        <v>195476199.69999999</v>
      </c>
      <c r="D20" s="15" t="s">
        <v>164</v>
      </c>
      <c r="E20" s="15">
        <v>11387387.08</v>
      </c>
      <c r="F20" s="15">
        <v>206863586.78</v>
      </c>
      <c r="H20" s="111"/>
      <c r="I20" s="111"/>
      <c r="J20" s="111"/>
      <c r="M20" s="14">
        <f>IFERROR(C31,0)+IFERROR(C36,0)</f>
        <v>31764000</v>
      </c>
      <c r="N20" s="10" t="s">
        <v>119</v>
      </c>
    </row>
    <row r="21" spans="2:14" x14ac:dyDescent="0.25">
      <c r="B21" s="72" t="s">
        <v>169</v>
      </c>
      <c r="C21" s="15">
        <v>288524887.39999998</v>
      </c>
      <c r="D21" s="15" t="s">
        <v>164</v>
      </c>
      <c r="E21" s="15">
        <v>15855585.16</v>
      </c>
      <c r="F21" s="15">
        <v>304380472.56</v>
      </c>
      <c r="H21" s="111"/>
      <c r="I21" s="111"/>
      <c r="J21" s="111"/>
      <c r="M21" s="14">
        <f>IFERROR(C34,0)+IFERROR(C35,0)+M20</f>
        <v>670362645.51182103</v>
      </c>
      <c r="N21" s="10" t="s">
        <v>121</v>
      </c>
    </row>
    <row r="22" spans="2:14" x14ac:dyDescent="0.25">
      <c r="B22" s="72" t="s">
        <v>124</v>
      </c>
      <c r="C22" s="15">
        <v>448510399.46910501</v>
      </c>
      <c r="D22" s="15">
        <v>63011769.152930997</v>
      </c>
      <c r="E22" s="15">
        <v>503698656.98984998</v>
      </c>
      <c r="F22" s="15">
        <v>1015220825.611886</v>
      </c>
      <c r="H22" s="111"/>
      <c r="I22" s="111"/>
      <c r="J22" s="111"/>
    </row>
    <row r="23" spans="2:14" x14ac:dyDescent="0.25">
      <c r="B23" s="72" t="s">
        <v>125</v>
      </c>
      <c r="C23" s="15">
        <v>537624961.29726696</v>
      </c>
      <c r="D23" s="15">
        <v>72473352.539875999</v>
      </c>
      <c r="E23" s="15">
        <v>310958467.80928099</v>
      </c>
      <c r="F23" s="15">
        <v>921056781.64642406</v>
      </c>
      <c r="H23" s="111"/>
      <c r="I23" s="111"/>
      <c r="J23" s="111"/>
    </row>
    <row r="24" spans="2:14" x14ac:dyDescent="0.25">
      <c r="B24" s="72" t="s">
        <v>126</v>
      </c>
      <c r="C24" s="15">
        <v>687182241.108935</v>
      </c>
      <c r="D24" s="15">
        <v>61286832.419910997</v>
      </c>
      <c r="E24" s="15">
        <v>792137124.23901403</v>
      </c>
      <c r="F24" s="15">
        <v>1540606197.7678599</v>
      </c>
      <c r="H24" s="111"/>
      <c r="I24" s="111"/>
      <c r="J24" s="111"/>
    </row>
    <row r="25" spans="2:14" x14ac:dyDescent="0.25">
      <c r="B25" s="72" t="s">
        <v>182</v>
      </c>
      <c r="C25" s="15">
        <v>267316450.13510299</v>
      </c>
      <c r="D25" s="15">
        <v>6945068.9099909998</v>
      </c>
      <c r="E25" s="15">
        <v>65202431.659999996</v>
      </c>
      <c r="F25" s="15">
        <v>339463950.70509398</v>
      </c>
      <c r="H25" s="111"/>
      <c r="I25" s="111"/>
      <c r="J25" s="111"/>
    </row>
    <row r="26" spans="2:14" x14ac:dyDescent="0.25">
      <c r="B26" s="72" t="s">
        <v>183</v>
      </c>
      <c r="C26" s="15">
        <v>138084633.55645701</v>
      </c>
      <c r="D26" s="15">
        <v>103844000.433377</v>
      </c>
      <c r="E26" s="15" t="s">
        <v>164</v>
      </c>
      <c r="F26" s="15">
        <v>241928633.98983401</v>
      </c>
      <c r="H26" s="111"/>
      <c r="I26" s="111"/>
      <c r="J26" s="111"/>
    </row>
    <row r="27" spans="2:14" x14ac:dyDescent="0.25">
      <c r="B27" s="72" t="s">
        <v>127</v>
      </c>
      <c r="C27" s="15">
        <v>887123024.85446894</v>
      </c>
      <c r="D27" s="15">
        <v>267781372.49532399</v>
      </c>
      <c r="E27" s="15">
        <v>17830594.9778</v>
      </c>
      <c r="F27" s="15">
        <v>1172734992.3275931</v>
      </c>
      <c r="H27" s="111"/>
      <c r="I27" s="111"/>
      <c r="J27" s="111"/>
    </row>
    <row r="28" spans="2:14" x14ac:dyDescent="0.25">
      <c r="G28" s="111"/>
      <c r="H28" s="111"/>
      <c r="I28" s="111"/>
    </row>
    <row r="29" spans="2:14" x14ac:dyDescent="0.25">
      <c r="B29" s="79" t="s">
        <v>128</v>
      </c>
      <c r="C29" s="79"/>
      <c r="G29" s="111"/>
      <c r="H29" s="111"/>
      <c r="I29" s="111"/>
    </row>
    <row r="30" spans="2:14" x14ac:dyDescent="0.25">
      <c r="B30" s="80" t="s">
        <v>129</v>
      </c>
      <c r="C30" s="80" t="s">
        <v>130</v>
      </c>
      <c r="G30" s="111"/>
      <c r="H30" s="111"/>
      <c r="I30" s="111"/>
    </row>
    <row r="31" spans="2:14" x14ac:dyDescent="0.25">
      <c r="B31" s="73"/>
      <c r="C31" s="107"/>
      <c r="G31" s="111"/>
      <c r="H31" s="111"/>
      <c r="I31" s="111"/>
    </row>
    <row r="32" spans="2:14" x14ac:dyDescent="0.25">
      <c r="B32" s="81" t="s">
        <v>131</v>
      </c>
      <c r="C32" s="171">
        <v>247017208.86305001</v>
      </c>
      <c r="G32" s="111"/>
      <c r="H32" s="111"/>
      <c r="I32" s="111"/>
    </row>
    <row r="33" spans="2:19" x14ac:dyDescent="0.25">
      <c r="B33" s="81" t="s">
        <v>132</v>
      </c>
      <c r="C33" s="15">
        <v>603527981.52019799</v>
      </c>
      <c r="G33" s="111"/>
      <c r="H33" s="111"/>
      <c r="I33" s="111"/>
    </row>
    <row r="34" spans="2:19" x14ac:dyDescent="0.25">
      <c r="B34" s="81" t="s">
        <v>133</v>
      </c>
      <c r="C34" s="15">
        <v>132378030.09105299</v>
      </c>
      <c r="G34" s="111"/>
      <c r="H34" s="111"/>
      <c r="I34" s="111"/>
    </row>
    <row r="35" spans="2:19" x14ac:dyDescent="0.25">
      <c r="B35" s="81" t="s">
        <v>134</v>
      </c>
      <c r="C35" s="15">
        <v>506220615.42076802</v>
      </c>
      <c r="G35" s="111"/>
      <c r="H35" s="111"/>
      <c r="I35" s="111"/>
    </row>
    <row r="36" spans="2:19" x14ac:dyDescent="0.25">
      <c r="B36" s="81" t="s">
        <v>135</v>
      </c>
      <c r="C36" s="15">
        <v>31764000</v>
      </c>
      <c r="G36" s="111"/>
      <c r="H36" s="111"/>
      <c r="I36" s="111"/>
    </row>
    <row r="37" spans="2:19" x14ac:dyDescent="0.25">
      <c r="B37" s="81"/>
      <c r="C37" s="82"/>
      <c r="G37" s="111"/>
      <c r="H37" s="111"/>
      <c r="I37" s="111"/>
    </row>
    <row r="38" spans="2:19" x14ac:dyDescent="0.25">
      <c r="B38" s="73"/>
      <c r="C38" s="82"/>
      <c r="G38" s="111"/>
      <c r="H38" s="111"/>
      <c r="I38" s="111"/>
    </row>
    <row r="39" spans="2:19" x14ac:dyDescent="0.25">
      <c r="G39" s="111"/>
      <c r="H39" s="111"/>
      <c r="I39" s="111"/>
    </row>
    <row r="40" spans="2:19" x14ac:dyDescent="0.25">
      <c r="G40" s="111"/>
      <c r="H40" s="111"/>
      <c r="I40" s="111"/>
      <c r="S40" s="172" t="s">
        <v>184</v>
      </c>
    </row>
    <row r="41" spans="2:19" s="191" customFormat="1" ht="27.95" customHeight="1" x14ac:dyDescent="0.25">
      <c r="B41" s="264" t="s">
        <v>188</v>
      </c>
      <c r="C41" s="265"/>
      <c r="D41" s="266"/>
      <c r="E41" s="66" t="s">
        <v>137</v>
      </c>
      <c r="F41" s="174">
        <f ca="1">IF(MONTH(TODAY())=7,DAY(TODAY())/DAY(EOMONTH(TODAY(),0)),IF(MONTH(TODAY())&gt;7,1,0))</f>
        <v>1</v>
      </c>
      <c r="G41" s="192" t="s">
        <v>186</v>
      </c>
      <c r="H41" s="198">
        <v>0.9</v>
      </c>
      <c r="I41" s="193" t="s">
        <v>186</v>
      </c>
      <c r="J41" s="199">
        <v>0.95</v>
      </c>
      <c r="K41" s="194" t="s">
        <v>187</v>
      </c>
      <c r="L41" s="200">
        <v>1</v>
      </c>
      <c r="S41" s="190">
        <v>0.7</v>
      </c>
    </row>
    <row r="42" spans="2:19" ht="25.5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179" t="str">
        <f>"SELISIH"&amp;CHAR(10)&amp;TEXT($J$41,"0%")</f>
        <v>SELISIH
95%</v>
      </c>
      <c r="J42" s="179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x14ac:dyDescent="0.25">
      <c r="B43" s="109" t="s">
        <v>142</v>
      </c>
      <c r="C43" s="41" t="s">
        <v>143</v>
      </c>
      <c r="D43" s="45">
        <f>SUM(TARGETS!V5:V7,TARGETS!V8:V13,TARGETS!V14:V18)</f>
        <v>7947843806.3476896</v>
      </c>
      <c r="E43" s="46">
        <f>G65</f>
        <v>7977376531.0221767</v>
      </c>
      <c r="F43" s="176">
        <f>IFERROR(E43/D43,0)</f>
        <v>1.0037158159362543</v>
      </c>
      <c r="G43" s="195">
        <f>D43*$H$41-E43</f>
        <v>-824317105.3092556</v>
      </c>
      <c r="H43" s="195">
        <f ca="1">IFERROR(G43/C3,0)</f>
        <v>0</v>
      </c>
      <c r="I43" s="196">
        <f>D43*$J$41-E43</f>
        <v>-426924914.99187183</v>
      </c>
      <c r="J43" s="196">
        <f ca="1">IFERROR(I43/$C$3,0)</f>
        <v>0</v>
      </c>
      <c r="K43" s="197">
        <f>D43*$L$41-E43</f>
        <v>-29532724.674487114</v>
      </c>
      <c r="L43" s="197">
        <f ca="1">IFERROR(K43/$C$3,0)</f>
        <v>0</v>
      </c>
      <c r="S43" s="173">
        <v>0.8</v>
      </c>
    </row>
    <row r="44" spans="2:19" x14ac:dyDescent="0.25">
      <c r="B44" s="109" t="s">
        <v>110</v>
      </c>
      <c r="C44" s="41" t="s">
        <v>143</v>
      </c>
      <c r="D44" s="45">
        <f>SUM(TARGETS!W5:W6,TARGETS!W8:W12,TARGETS!W14:W18)</f>
        <v>1482705651.09074</v>
      </c>
      <c r="E44" s="46">
        <f>N8+N9+N10+N11+N12+N13+N14+N15+N16+N17+N18+N19</f>
        <v>1225127674.8459089</v>
      </c>
      <c r="F44" s="176">
        <f>IFERROR(E44/D44,0)</f>
        <v>0.82627841469724894</v>
      </c>
      <c r="G44" s="184">
        <f>D44*$H$41-E44</f>
        <v>109307411.13575721</v>
      </c>
      <c r="H44" s="184">
        <f ca="1">IFERROR(G44/C3,0)</f>
        <v>0</v>
      </c>
      <c r="I44" s="180">
        <f>D44*$J$41-E44</f>
        <v>183442693.69029403</v>
      </c>
      <c r="J44" s="180">
        <f ca="1">IFERROR(I44/$C$3,0)</f>
        <v>0</v>
      </c>
      <c r="K44" s="185">
        <f>D44*$L$41-E44</f>
        <v>257577976.24483109</v>
      </c>
      <c r="L44" s="185">
        <f ca="1">IFERROR(K44/$C$3,0)</f>
        <v>0</v>
      </c>
      <c r="S44" s="173">
        <v>0.85</v>
      </c>
    </row>
    <row r="45" spans="2:19" x14ac:dyDescent="0.25">
      <c r="B45" s="109" t="s">
        <v>144</v>
      </c>
      <c r="C45" s="41" t="s">
        <v>143</v>
      </c>
      <c r="D45" s="45">
        <f>SUM(TARGETS!J22:J26)</f>
        <v>1851063829.7872343</v>
      </c>
      <c r="E45" s="46">
        <f>IFERROR(C32,0)+IFERROR(C33,0)+M21+F9</f>
        <v>1520907835.8950691</v>
      </c>
      <c r="F45" s="176">
        <f>IFERROR(E45/D45,0)</f>
        <v>0.82163986536860045</v>
      </c>
      <c r="G45" s="184">
        <f>D45*$H$41-E45</f>
        <v>145049610.9134419</v>
      </c>
      <c r="H45" s="184">
        <f ca="1">IFERROR(G45/C3,0)</f>
        <v>0</v>
      </c>
      <c r="I45" s="180">
        <f>D45*$J$41-E45</f>
        <v>237602802.40280342</v>
      </c>
      <c r="J45" s="180">
        <f ca="1">IFERROR(I45/$C$3,0)</f>
        <v>0</v>
      </c>
      <c r="K45" s="185">
        <f>D45*$L$41-E45</f>
        <v>330155993.89216518</v>
      </c>
      <c r="L45" s="185">
        <f ca="1">IFERROR(K45/$C$3,0)</f>
        <v>0</v>
      </c>
      <c r="S45" s="173">
        <v>0.9</v>
      </c>
    </row>
    <row r="46" spans="2:19" x14ac:dyDescent="0.25">
      <c r="B46" s="261" t="s">
        <v>145</v>
      </c>
      <c r="C46" s="262"/>
      <c r="D46" s="47">
        <f>D43+D44+D45</f>
        <v>11281613287.225662</v>
      </c>
      <c r="E46" s="47">
        <f>E43+E44+E45</f>
        <v>10723412041.763155</v>
      </c>
      <c r="F46" s="177">
        <f>IFERROR(E46/D46,0)</f>
        <v>0.95052115054372877</v>
      </c>
      <c r="G46" s="181">
        <f>G43+G44+G45</f>
        <v>-569960083.2600565</v>
      </c>
      <c r="H46" s="181">
        <f ca="1">IFERROR(G46/C3,0)</f>
        <v>0</v>
      </c>
      <c r="I46" s="181">
        <f>I43+I44+I45</f>
        <v>-5879418.8987743855</v>
      </c>
      <c r="J46" s="181">
        <f ca="1">IFERROR(I46/$C$3,0)</f>
        <v>0</v>
      </c>
      <c r="K46" s="186">
        <f>K43+K44+K45</f>
        <v>558201245.46250916</v>
      </c>
      <c r="L46" s="186">
        <f ca="1">IFERROR(K46/$C$3,0)</f>
        <v>0</v>
      </c>
      <c r="S46" s="173">
        <v>0.95</v>
      </c>
    </row>
    <row r="47" spans="2:19" x14ac:dyDescent="0.25">
      <c r="G47" s="111"/>
      <c r="H47" s="111"/>
      <c r="I47" s="111"/>
      <c r="S47" s="173">
        <v>1</v>
      </c>
    </row>
    <row r="48" spans="2:19" ht="18.75" x14ac:dyDescent="0.25">
      <c r="B48" s="267" t="s">
        <v>146</v>
      </c>
      <c r="C48" s="268"/>
      <c r="D48" s="268"/>
      <c r="E48" s="268"/>
      <c r="F48" s="268"/>
      <c r="G48" s="268"/>
      <c r="H48" s="268"/>
      <c r="I48" s="268"/>
      <c r="J48" s="268"/>
      <c r="K48" s="274" t="s">
        <v>185</v>
      </c>
      <c r="L48" s="275"/>
      <c r="M48" s="275"/>
      <c r="N48" s="275"/>
      <c r="O48" s="275"/>
      <c r="P48" s="276"/>
    </row>
    <row r="49" spans="2:16" ht="15.75" x14ac:dyDescent="0.25">
      <c r="B49" s="263" t="s">
        <v>41</v>
      </c>
      <c r="C49" s="263" t="s">
        <v>42</v>
      </c>
      <c r="D49" s="258" t="s">
        <v>137</v>
      </c>
      <c r="E49" s="259"/>
      <c r="F49" s="260"/>
      <c r="G49" s="112" t="s">
        <v>138</v>
      </c>
      <c r="H49" s="112"/>
      <c r="I49" s="112"/>
      <c r="J49" s="258" t="s">
        <v>139</v>
      </c>
      <c r="K49" s="277" t="str">
        <f>"SELISIH"&amp;CHAR(10)&amp;TEXT($H$41,"0%")</f>
        <v>SELISIH
90%</v>
      </c>
      <c r="L49" s="277" t="str">
        <f>"PER HARI"&amp;CHAR(10)&amp;TEXT($H$41,"0%")</f>
        <v>PER HARI
90%</v>
      </c>
      <c r="M49" s="279" t="str">
        <f>"SELISIH"&amp;CHAR(10)&amp;TEXT($J$41,"0%")</f>
        <v>SELISIH
95%</v>
      </c>
      <c r="N49" s="279" t="str">
        <f>"PER HARI"&amp;CHAR(10)&amp;TEXT($J$41,"0%")</f>
        <v>PER HARI
95%</v>
      </c>
      <c r="O49" s="286" t="str">
        <f>"SELISIH"&amp;CHAR(10)&amp;TEXT($L$41,"0%")</f>
        <v>SELISIH
100%</v>
      </c>
      <c r="P49" s="286" t="str">
        <f>"PER HARI"&amp;CHAR(10)&amp;TEXT($L$41,"0%")</f>
        <v>PER HARI
100%</v>
      </c>
    </row>
    <row r="50" spans="2:16" ht="15.75" x14ac:dyDescent="0.25">
      <c r="B50" s="263"/>
      <c r="C50" s="263"/>
      <c r="D50" s="70" t="s">
        <v>149</v>
      </c>
      <c r="E50" s="70" t="s">
        <v>150</v>
      </c>
      <c r="F50" s="70" t="s">
        <v>130</v>
      </c>
      <c r="G50" s="113" t="s">
        <v>149</v>
      </c>
      <c r="H50" s="113" t="s">
        <v>150</v>
      </c>
      <c r="I50" s="113" t="s">
        <v>130</v>
      </c>
      <c r="J50" s="258"/>
      <c r="K50" s="278"/>
      <c r="L50" s="278"/>
      <c r="M50" s="280"/>
      <c r="N50" s="280"/>
      <c r="O50" s="287"/>
      <c r="P50" s="287"/>
    </row>
    <row r="51" spans="2:16" x14ac:dyDescent="0.25">
      <c r="B51" s="50" t="s">
        <v>67</v>
      </c>
      <c r="C51" s="55" t="s">
        <v>68</v>
      </c>
      <c r="D51" s="118">
        <f>TARGETS!V5</f>
        <v>491237177.12546343</v>
      </c>
      <c r="E51" s="118">
        <f>TARGETS!W5</f>
        <v>76328678.073981449</v>
      </c>
      <c r="F51" s="118">
        <f t="shared" ref="F51:F64" si="0">D51+E51</f>
        <v>567565855.19944489</v>
      </c>
      <c r="G51" s="114">
        <f>M8</f>
        <v>448510399.46910501</v>
      </c>
      <c r="H51" s="114">
        <f>N8</f>
        <v>63011769.152930997</v>
      </c>
      <c r="I51" s="114">
        <f t="shared" ref="I51:I64" si="1">G51+H51</f>
        <v>511522168.62203598</v>
      </c>
      <c r="J51" s="187">
        <f t="shared" ref="J51:J64" si="2">IFERROR(I51/F51,0)</f>
        <v>0.90125606383119206</v>
      </c>
      <c r="K51" s="184">
        <f>F51*$H$41-I51</f>
        <v>-712898.9425355792</v>
      </c>
      <c r="L51" s="184">
        <f ca="1">IFERROR(K51/$C$3,0)</f>
        <v>0</v>
      </c>
      <c r="M51" s="180">
        <f>F51*$J$41-I51</f>
        <v>27665393.817436695</v>
      </c>
      <c r="N51" s="180">
        <f ca="1">IFERROR(M51/$C$3,0)</f>
        <v>0</v>
      </c>
      <c r="O51" s="214">
        <f>F51*$L$41-I51</f>
        <v>56043686.57740891</v>
      </c>
      <c r="P51" s="214">
        <f ca="1">IFERROR(O51/$C$3,0)</f>
        <v>0</v>
      </c>
    </row>
    <row r="52" spans="2:16" x14ac:dyDescent="0.25">
      <c r="B52" s="53" t="s">
        <v>69</v>
      </c>
      <c r="C52" s="56" t="s">
        <v>70</v>
      </c>
      <c r="D52" s="119">
        <f>TARGETS!V6</f>
        <v>657457159.85174966</v>
      </c>
      <c r="E52" s="119">
        <f>TARGETS!W6</f>
        <v>181265056.8810223</v>
      </c>
      <c r="F52" s="119">
        <f t="shared" si="0"/>
        <v>838722216.73277199</v>
      </c>
      <c r="G52" s="114">
        <f>M9</f>
        <v>645758035.66179395</v>
      </c>
      <c r="H52" s="114">
        <f>N9</f>
        <v>155113955.522313</v>
      </c>
      <c r="I52" s="114">
        <f t="shared" si="1"/>
        <v>800871991.18410695</v>
      </c>
      <c r="J52" s="187">
        <f t="shared" si="2"/>
        <v>0.95487155962541459</v>
      </c>
      <c r="K52" s="184">
        <f t="shared" ref="K52:K64" si="3">F52*$H$41-I52</f>
        <v>-46021996.124612093</v>
      </c>
      <c r="L52" s="184">
        <f t="shared" ref="L52:L64" ca="1" si="4">IFERROR(K52/$C$3,0)</f>
        <v>0</v>
      </c>
      <c r="M52" s="180">
        <f t="shared" ref="M52:M64" si="5">F52*$J$41-I52</f>
        <v>-4085885.2879736423</v>
      </c>
      <c r="N52" s="180">
        <f t="shared" ref="N52:N64" ca="1" si="6">IFERROR(M52/$C$3,0)</f>
        <v>0</v>
      </c>
      <c r="O52" s="214">
        <f t="shared" ref="O52:O64" si="7">F52*$L$41-I52</f>
        <v>37850225.548665047</v>
      </c>
      <c r="P52" s="214">
        <f t="shared" ref="P52:P64" ca="1" si="8">IFERROR(O52/$C$3,0)</f>
        <v>0</v>
      </c>
    </row>
    <row r="53" spans="2:16" x14ac:dyDescent="0.25">
      <c r="B53" s="136" t="s">
        <v>171</v>
      </c>
      <c r="C53" s="137" t="s">
        <v>172</v>
      </c>
      <c r="D53" s="138">
        <f>TARGETS!V7</f>
        <v>248955573.78787571</v>
      </c>
      <c r="E53" s="138">
        <f>TARGETS!W7</f>
        <v>0</v>
      </c>
      <c r="F53" s="138">
        <f>D53+E53</f>
        <v>248955573.78787571</v>
      </c>
      <c r="G53" s="114">
        <f>C20</f>
        <v>195476199.69999999</v>
      </c>
      <c r="H53" s="114">
        <f>IF(D20="",0,D20)</f>
        <v>0</v>
      </c>
      <c r="I53" s="114">
        <f>G53+H53</f>
        <v>195476199.69999999</v>
      </c>
      <c r="J53" s="187">
        <f>IFERROR(I53/F53,0)</f>
        <v>0.78518507027505557</v>
      </c>
      <c r="K53" s="184">
        <f t="shared" si="3"/>
        <v>28583816.709088147</v>
      </c>
      <c r="L53" s="184">
        <f t="shared" ca="1" si="4"/>
        <v>0</v>
      </c>
      <c r="M53" s="180">
        <f t="shared" si="5"/>
        <v>41031595.398481935</v>
      </c>
      <c r="N53" s="180">
        <f t="shared" ca="1" si="6"/>
        <v>0</v>
      </c>
      <c r="O53" s="214">
        <f t="shared" si="7"/>
        <v>53479374.087875724</v>
      </c>
      <c r="P53" s="214">
        <f t="shared" ca="1" si="8"/>
        <v>0</v>
      </c>
    </row>
    <row r="54" spans="2:16" x14ac:dyDescent="0.25">
      <c r="B54" s="53" t="s">
        <v>71</v>
      </c>
      <c r="C54" s="56" t="s">
        <v>72</v>
      </c>
      <c r="D54" s="119">
        <f>TARGETS!V8</f>
        <v>728387277.57390273</v>
      </c>
      <c r="E54" s="119">
        <f>TARGETS!W8</f>
        <v>51482866.524593353</v>
      </c>
      <c r="F54" s="119">
        <f t="shared" si="0"/>
        <v>779870144.09849608</v>
      </c>
      <c r="G54" s="114">
        <f t="shared" ref="G54:H58" si="9">M10</f>
        <v>1054671906.6945471</v>
      </c>
      <c r="H54" s="114">
        <f t="shared" si="9"/>
        <v>29495978.518279999</v>
      </c>
      <c r="I54" s="114">
        <f t="shared" si="1"/>
        <v>1084167885.212827</v>
      </c>
      <c r="J54" s="187">
        <f t="shared" si="2"/>
        <v>1.3901902687479963</v>
      </c>
      <c r="K54" s="184">
        <f t="shared" si="3"/>
        <v>-382284755.52418053</v>
      </c>
      <c r="L54" s="184">
        <f t="shared" ca="1" si="4"/>
        <v>0</v>
      </c>
      <c r="M54" s="180">
        <f t="shared" si="5"/>
        <v>-343291248.31925571</v>
      </c>
      <c r="N54" s="180">
        <f t="shared" ca="1" si="6"/>
        <v>0</v>
      </c>
      <c r="O54" s="214">
        <f t="shared" si="7"/>
        <v>-304297741.11433089</v>
      </c>
      <c r="P54" s="214">
        <f t="shared" ca="1" si="8"/>
        <v>0</v>
      </c>
    </row>
    <row r="55" spans="2:16" x14ac:dyDescent="0.25">
      <c r="B55" s="50" t="s">
        <v>73</v>
      </c>
      <c r="C55" s="55" t="s">
        <v>180</v>
      </c>
      <c r="D55" s="118">
        <f>TARGETS!V9</f>
        <v>482312178.47736537</v>
      </c>
      <c r="E55" s="118">
        <f>TARGETS!W9</f>
        <v>70286112.09958896</v>
      </c>
      <c r="F55" s="118">
        <f t="shared" si="0"/>
        <v>552598290.57695436</v>
      </c>
      <c r="G55" s="114">
        <f t="shared" si="9"/>
        <v>341819821.47863901</v>
      </c>
      <c r="H55" s="114">
        <f t="shared" si="9"/>
        <v>43800016.100000001</v>
      </c>
      <c r="I55" s="114">
        <f t="shared" si="1"/>
        <v>385619837.57863903</v>
      </c>
      <c r="J55" s="187">
        <f t="shared" si="2"/>
        <v>0.69783031209890789</v>
      </c>
      <c r="K55" s="184">
        <f t="shared" si="3"/>
        <v>111718623.94061989</v>
      </c>
      <c r="L55" s="184">
        <f t="shared" ca="1" si="4"/>
        <v>0</v>
      </c>
      <c r="M55" s="180">
        <f t="shared" si="5"/>
        <v>139348538.46946758</v>
      </c>
      <c r="N55" s="180">
        <f t="shared" ca="1" si="6"/>
        <v>0</v>
      </c>
      <c r="O55" s="214">
        <f t="shared" si="7"/>
        <v>166978452.99831533</v>
      </c>
      <c r="P55" s="214">
        <f t="shared" ca="1" si="8"/>
        <v>0</v>
      </c>
    </row>
    <row r="56" spans="2:16" x14ac:dyDescent="0.25">
      <c r="B56" s="53" t="s">
        <v>75</v>
      </c>
      <c r="C56" s="56" t="s">
        <v>99</v>
      </c>
      <c r="D56" s="119">
        <f>TARGETS!V10</f>
        <v>505192003.00308657</v>
      </c>
      <c r="E56" s="119">
        <f>TARGETS!W10</f>
        <v>122952320.80976211</v>
      </c>
      <c r="F56" s="119">
        <f t="shared" si="0"/>
        <v>628144323.81284869</v>
      </c>
      <c r="G56" s="114">
        <f t="shared" si="9"/>
        <v>405401083.69156003</v>
      </c>
      <c r="H56" s="114">
        <f t="shared" si="9"/>
        <v>110789069.34336799</v>
      </c>
      <c r="I56" s="114">
        <f t="shared" si="1"/>
        <v>516190153.03492802</v>
      </c>
      <c r="J56" s="187">
        <f t="shared" si="2"/>
        <v>0.82176998735202034</v>
      </c>
      <c r="K56" s="184">
        <f t="shared" si="3"/>
        <v>49139738.39663583</v>
      </c>
      <c r="L56" s="184">
        <f t="shared" ca="1" si="4"/>
        <v>0</v>
      </c>
      <c r="M56" s="180">
        <f t="shared" si="5"/>
        <v>80546954.587278187</v>
      </c>
      <c r="N56" s="180">
        <f t="shared" ca="1" si="6"/>
        <v>0</v>
      </c>
      <c r="O56" s="214">
        <f t="shared" si="7"/>
        <v>111954170.77792066</v>
      </c>
      <c r="P56" s="214">
        <f t="shared" ca="1" si="8"/>
        <v>0</v>
      </c>
    </row>
    <row r="57" spans="2:16" x14ac:dyDescent="0.25">
      <c r="B57" s="50" t="s">
        <v>76</v>
      </c>
      <c r="C57" s="55" t="s">
        <v>77</v>
      </c>
      <c r="D57" s="118">
        <f>TARGETS!V11</f>
        <v>1061245403.0487187</v>
      </c>
      <c r="E57" s="118">
        <f>TARGETS!W11</f>
        <v>101136997.7886584</v>
      </c>
      <c r="F57" s="118">
        <f t="shared" si="0"/>
        <v>1162382400.8373771</v>
      </c>
      <c r="G57" s="114">
        <f t="shared" si="9"/>
        <v>1425026257.5066569</v>
      </c>
      <c r="H57" s="114">
        <f t="shared" si="9"/>
        <v>87442239.299614996</v>
      </c>
      <c r="I57" s="114">
        <f t="shared" si="1"/>
        <v>1512468496.8062718</v>
      </c>
      <c r="J57" s="187">
        <f t="shared" si="2"/>
        <v>1.3011797973856913</v>
      </c>
      <c r="K57" s="184">
        <f t="shared" si="3"/>
        <v>-466324336.05263245</v>
      </c>
      <c r="L57" s="184">
        <f t="shared" ca="1" si="4"/>
        <v>0</v>
      </c>
      <c r="M57" s="180">
        <f t="shared" si="5"/>
        <v>-408205216.01076365</v>
      </c>
      <c r="N57" s="180">
        <f t="shared" ca="1" si="6"/>
        <v>0</v>
      </c>
      <c r="O57" s="214">
        <f t="shared" si="7"/>
        <v>-350086095.96889472</v>
      </c>
      <c r="P57" s="214">
        <f t="shared" ca="1" si="8"/>
        <v>0</v>
      </c>
    </row>
    <row r="58" spans="2:16" x14ac:dyDescent="0.25">
      <c r="B58" s="53" t="s">
        <v>78</v>
      </c>
      <c r="C58" s="56" t="s">
        <v>79</v>
      </c>
      <c r="D58" s="119">
        <f>TARGETS!V12</f>
        <v>563114170.73408878</v>
      </c>
      <c r="E58" s="119">
        <f>TARGETS!W12</f>
        <v>104665034.75557049</v>
      </c>
      <c r="F58" s="119">
        <f t="shared" si="0"/>
        <v>667779205.48965931</v>
      </c>
      <c r="G58" s="114">
        <f t="shared" si="9"/>
        <v>537624961.29726696</v>
      </c>
      <c r="H58" s="114">
        <f t="shared" si="9"/>
        <v>72473352.539875999</v>
      </c>
      <c r="I58" s="114">
        <f>G58+H58</f>
        <v>610098313.83714294</v>
      </c>
      <c r="J58" s="187">
        <f>IFERROR(I58/F58,0)</f>
        <v>0.91362280948802388</v>
      </c>
      <c r="K58" s="184">
        <f t="shared" si="3"/>
        <v>-9097028.8964495659</v>
      </c>
      <c r="L58" s="184">
        <f t="shared" ca="1" si="4"/>
        <v>0</v>
      </c>
      <c r="M58" s="180">
        <f t="shared" si="5"/>
        <v>24291931.3780334</v>
      </c>
      <c r="N58" s="180">
        <f t="shared" ca="1" si="6"/>
        <v>0</v>
      </c>
      <c r="O58" s="214">
        <f t="shared" si="7"/>
        <v>57680891.652516365</v>
      </c>
      <c r="P58" s="214">
        <f t="shared" ca="1" si="8"/>
        <v>0</v>
      </c>
    </row>
    <row r="59" spans="2:16" x14ac:dyDescent="0.25">
      <c r="B59" s="136" t="s">
        <v>171</v>
      </c>
      <c r="C59" s="137" t="s">
        <v>173</v>
      </c>
      <c r="D59" s="138">
        <f>TARGETS!V13</f>
        <v>429849184.30128497</v>
      </c>
      <c r="E59" s="138">
        <f>TARGETS!W13</f>
        <v>0</v>
      </c>
      <c r="F59" s="138">
        <f>D59+E59</f>
        <v>429849184.30128497</v>
      </c>
      <c r="G59" s="114">
        <f>C21</f>
        <v>288524887.39999998</v>
      </c>
      <c r="H59" s="114">
        <f>IF(D21="",0,D21)</f>
        <v>0</v>
      </c>
      <c r="I59" s="114">
        <f>G59+H59</f>
        <v>288524887.39999998</v>
      </c>
      <c r="J59" s="187">
        <f>IFERROR(I59/F59,0)</f>
        <v>0.67122353126944734</v>
      </c>
      <c r="K59" s="184">
        <f t="shared" si="3"/>
        <v>98339378.471156478</v>
      </c>
      <c r="L59" s="184">
        <f t="shared" ca="1" si="4"/>
        <v>0</v>
      </c>
      <c r="M59" s="180">
        <f t="shared" si="5"/>
        <v>119831837.68622071</v>
      </c>
      <c r="N59" s="180">
        <f t="shared" ca="1" si="6"/>
        <v>0</v>
      </c>
      <c r="O59" s="214">
        <f t="shared" si="7"/>
        <v>141324296.90128499</v>
      </c>
      <c r="P59" s="214">
        <f t="shared" ca="1" si="8"/>
        <v>0</v>
      </c>
    </row>
    <row r="60" spans="2:16" x14ac:dyDescent="0.25">
      <c r="B60" s="53" t="s">
        <v>80</v>
      </c>
      <c r="C60" s="56" t="s">
        <v>81</v>
      </c>
      <c r="D60" s="119">
        <f>TARGETS!V14</f>
        <v>514721111.42684805</v>
      </c>
      <c r="E60" s="119">
        <f>TARGETS!W14</f>
        <v>117663432.08216608</v>
      </c>
      <c r="F60" s="119">
        <f t="shared" si="0"/>
        <v>632384543.50901413</v>
      </c>
      <c r="G60" s="114">
        <f t="shared" ref="G60:H64" si="10">M15</f>
        <v>324688224.63140702</v>
      </c>
      <c r="H60" s="114">
        <f t="shared" si="10"/>
        <v>130969678.577117</v>
      </c>
      <c r="I60" s="114">
        <f t="shared" si="1"/>
        <v>455657903.20852399</v>
      </c>
      <c r="J60" s="187">
        <f t="shared" si="2"/>
        <v>0.7205392792811498</v>
      </c>
      <c r="K60" s="184">
        <f t="shared" si="3"/>
        <v>113488185.94958878</v>
      </c>
      <c r="L60" s="184">
        <f t="shared" ca="1" si="4"/>
        <v>0</v>
      </c>
      <c r="M60" s="180">
        <f t="shared" si="5"/>
        <v>145107413.12503946</v>
      </c>
      <c r="N60" s="180">
        <f t="shared" ca="1" si="6"/>
        <v>0</v>
      </c>
      <c r="O60" s="214">
        <f t="shared" si="7"/>
        <v>176726640.30049014</v>
      </c>
      <c r="P60" s="214">
        <f t="shared" ca="1" si="8"/>
        <v>0</v>
      </c>
    </row>
    <row r="61" spans="2:16" x14ac:dyDescent="0.25">
      <c r="B61" s="50" t="s">
        <v>82</v>
      </c>
      <c r="C61" s="55" t="s">
        <v>83</v>
      </c>
      <c r="D61" s="118">
        <f>TARGETS!V15</f>
        <v>698845176.23960102</v>
      </c>
      <c r="E61" s="118">
        <f>TARGETS!W15</f>
        <v>70945960.626210824</v>
      </c>
      <c r="F61" s="118">
        <f t="shared" si="0"/>
        <v>769791136.86581182</v>
      </c>
      <c r="G61" s="114">
        <f t="shared" si="10"/>
        <v>687182241.108935</v>
      </c>
      <c r="H61" s="114">
        <f t="shared" si="10"/>
        <v>61286832.419910997</v>
      </c>
      <c r="I61" s="114">
        <f t="shared" si="1"/>
        <v>748469073.52884603</v>
      </c>
      <c r="J61" s="187">
        <f t="shared" si="2"/>
        <v>0.97230149541110833</v>
      </c>
      <c r="K61" s="184">
        <f t="shared" si="3"/>
        <v>-55657050.349615335</v>
      </c>
      <c r="L61" s="184">
        <f t="shared" ca="1" si="4"/>
        <v>0</v>
      </c>
      <c r="M61" s="180">
        <f t="shared" si="5"/>
        <v>-17167493.506324768</v>
      </c>
      <c r="N61" s="180">
        <f t="shared" ca="1" si="6"/>
        <v>0</v>
      </c>
      <c r="O61" s="214">
        <f t="shared" si="7"/>
        <v>21322063.336965799</v>
      </c>
      <c r="P61" s="214">
        <f t="shared" ca="1" si="8"/>
        <v>0</v>
      </c>
    </row>
    <row r="62" spans="2:16" x14ac:dyDescent="0.25">
      <c r="B62" s="53" t="s">
        <v>84</v>
      </c>
      <c r="C62" s="56" t="s">
        <v>85</v>
      </c>
      <c r="D62" s="119">
        <f>TARGETS!V16</f>
        <v>481870364.2173661</v>
      </c>
      <c r="E62" s="119">
        <f>TARGETS!W16</f>
        <v>48351228.656065792</v>
      </c>
      <c r="F62" s="119">
        <f t="shared" si="0"/>
        <v>530221592.87343192</v>
      </c>
      <c r="G62" s="114">
        <f t="shared" si="10"/>
        <v>393617269.45962203</v>
      </c>
      <c r="H62" s="114">
        <f t="shared" si="10"/>
        <v>52106885.865496002</v>
      </c>
      <c r="I62" s="114">
        <f t="shared" si="1"/>
        <v>445724155.32511801</v>
      </c>
      <c r="J62" s="187">
        <f t="shared" si="2"/>
        <v>0.84063750197271936</v>
      </c>
      <c r="K62" s="184">
        <f t="shared" si="3"/>
        <v>31475278.260970712</v>
      </c>
      <c r="L62" s="184">
        <f t="shared" ca="1" si="4"/>
        <v>0</v>
      </c>
      <c r="M62" s="180">
        <f t="shared" si="5"/>
        <v>57986357.904642284</v>
      </c>
      <c r="N62" s="180">
        <f t="shared" ca="1" si="6"/>
        <v>0</v>
      </c>
      <c r="O62" s="214">
        <f t="shared" si="7"/>
        <v>84497437.548313916</v>
      </c>
      <c r="P62" s="214">
        <f t="shared" ca="1" si="8"/>
        <v>0</v>
      </c>
    </row>
    <row r="63" spans="2:16" x14ac:dyDescent="0.25">
      <c r="B63" s="50" t="s">
        <v>86</v>
      </c>
      <c r="C63" s="55" t="s">
        <v>87</v>
      </c>
      <c r="D63" s="118">
        <f>TARGETS!V17</f>
        <v>706054928.99280047</v>
      </c>
      <c r="E63" s="118">
        <f>TARGETS!W17</f>
        <v>326117403.61363631</v>
      </c>
      <c r="F63" s="118">
        <f t="shared" si="0"/>
        <v>1032172332.6064367</v>
      </c>
      <c r="G63" s="114">
        <f t="shared" si="10"/>
        <v>887123024.85446894</v>
      </c>
      <c r="H63" s="114">
        <f t="shared" si="10"/>
        <v>267781372.49532399</v>
      </c>
      <c r="I63" s="114">
        <f t="shared" si="1"/>
        <v>1154904397.349793</v>
      </c>
      <c r="J63" s="187">
        <f t="shared" si="2"/>
        <v>1.1189065632416573</v>
      </c>
      <c r="K63" s="184">
        <f t="shared" si="3"/>
        <v>-225949298.00399983</v>
      </c>
      <c r="L63" s="184">
        <f t="shared" ca="1" si="4"/>
        <v>0</v>
      </c>
      <c r="M63" s="180">
        <f t="shared" si="5"/>
        <v>-174340681.37367809</v>
      </c>
      <c r="N63" s="180">
        <f t="shared" ca="1" si="6"/>
        <v>0</v>
      </c>
      <c r="O63" s="214">
        <f t="shared" si="7"/>
        <v>-122732064.74335623</v>
      </c>
      <c r="P63" s="214">
        <f t="shared" ca="1" si="8"/>
        <v>0</v>
      </c>
    </row>
    <row r="64" spans="2:16" x14ac:dyDescent="0.25">
      <c r="B64" s="53" t="s">
        <v>88</v>
      </c>
      <c r="C64" s="56" t="s">
        <v>89</v>
      </c>
      <c r="D64" s="119">
        <f>TARGETS!V18</f>
        <v>378602097.56753719</v>
      </c>
      <c r="E64" s="119">
        <f>TARGETS!W18</f>
        <v>211510559.17948398</v>
      </c>
      <c r="F64" s="119">
        <f t="shared" si="0"/>
        <v>590112656.7470212</v>
      </c>
      <c r="G64" s="114">
        <f t="shared" si="10"/>
        <v>341952218.068174</v>
      </c>
      <c r="H64" s="114">
        <f t="shared" si="10"/>
        <v>150856525.01167801</v>
      </c>
      <c r="I64" s="114">
        <f t="shared" si="1"/>
        <v>492808743.07985198</v>
      </c>
      <c r="J64" s="187">
        <f t="shared" si="2"/>
        <v>0.83510959720207634</v>
      </c>
      <c r="K64" s="184">
        <f t="shared" si="3"/>
        <v>38292647.992467105</v>
      </c>
      <c r="L64" s="184">
        <f t="shared" ca="1" si="4"/>
        <v>0</v>
      </c>
      <c r="M64" s="180">
        <f t="shared" si="5"/>
        <v>67798280.82981813</v>
      </c>
      <c r="N64" s="180">
        <f t="shared" ca="1" si="6"/>
        <v>0</v>
      </c>
      <c r="O64" s="214">
        <f t="shared" si="7"/>
        <v>97303913.667169213</v>
      </c>
      <c r="P64" s="214">
        <f t="shared" ca="1" si="8"/>
        <v>0</v>
      </c>
    </row>
    <row r="65" spans="2:16" x14ac:dyDescent="0.25">
      <c r="B65" s="57" t="s">
        <v>151</v>
      </c>
      <c r="C65" s="58"/>
      <c r="D65" s="134">
        <f>SUM(D51:D64)</f>
        <v>7947843806.3476896</v>
      </c>
      <c r="E65" s="134">
        <f>SUM(E51:E52,E54:E58,E60:E64)</f>
        <v>1482705651.09074</v>
      </c>
      <c r="F65" s="134">
        <f>SUM(F51:F64)</f>
        <v>9430549457.438427</v>
      </c>
      <c r="G65" s="135">
        <f>SUM(G51:G64)</f>
        <v>7977376531.0221767</v>
      </c>
      <c r="H65" s="135">
        <f>SUM(H51:H64)</f>
        <v>1225127674.8459089</v>
      </c>
      <c r="I65" s="135">
        <f>SUM(I51:I64)</f>
        <v>9202504205.868082</v>
      </c>
      <c r="J65" s="189">
        <f>IFERROR(I65/F65,0)</f>
        <v>0.97581845547817236</v>
      </c>
      <c r="K65" s="181">
        <f>SUM(K51:K64)</f>
        <v>-715009694.17349839</v>
      </c>
      <c r="L65" s="181">
        <f ca="1">IFERROR(K65/$C$3,0)</f>
        <v>0</v>
      </c>
      <c r="M65" s="181">
        <f>SUM(M51:M64)</f>
        <v>-243482221.30157745</v>
      </c>
      <c r="N65" s="181">
        <f ca="1">IFERROR(M65/$C$3,0)</f>
        <v>0</v>
      </c>
      <c r="O65" s="181">
        <f>SUM(O51:O64)</f>
        <v>228045251.57034427</v>
      </c>
      <c r="P65" s="181">
        <f ca="1">IFERROR(O65/$C$3,0)</f>
        <v>0</v>
      </c>
    </row>
    <row r="66" spans="2:16" x14ac:dyDescent="0.25">
      <c r="G66" s="111"/>
      <c r="H66" s="111"/>
      <c r="I66" s="111"/>
    </row>
    <row r="67" spans="2:16" ht="18.95" customHeight="1" x14ac:dyDescent="0.25">
      <c r="B67" s="254" t="s">
        <v>144</v>
      </c>
      <c r="C67" s="255"/>
      <c r="D67" s="255"/>
      <c r="E67" s="255"/>
      <c r="F67" s="255"/>
      <c r="G67" s="255"/>
      <c r="H67" s="255"/>
      <c r="I67" s="255"/>
      <c r="J67" s="255"/>
      <c r="K67" s="255"/>
      <c r="L67" s="256"/>
    </row>
    <row r="68" spans="2:16" ht="25.5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"SELISIH"&amp;CHAR(10)&amp;TEXT($H$41,"0%")</f>
        <v>SELISIH
90%</v>
      </c>
      <c r="H68" s="232" t="str">
        <f>"PER HARI"&amp;CHAR(10)&amp;TEXT($H$41,"0%")</f>
        <v>PER HARI
90%</v>
      </c>
      <c r="I68" s="233" t="str">
        <f>"SELISIH"&amp;CHAR(10)&amp;TEXT($J$41,"0%")</f>
        <v>SELISIH
95%</v>
      </c>
      <c r="J68" s="233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</row>
    <row r="69" spans="2:16" x14ac:dyDescent="0.25">
      <c r="B69" s="50" t="s">
        <v>92</v>
      </c>
      <c r="C69" s="55" t="s">
        <v>93</v>
      </c>
      <c r="D69" s="116">
        <f>TARGETS!J22</f>
        <v>293136935.89361715</v>
      </c>
      <c r="E69" s="114">
        <f>IFERROR(C32,0)</f>
        <v>247017208.86305001</v>
      </c>
      <c r="F69" s="187">
        <f t="shared" ref="F69:F74" si="11">IFERROR(E69/D69,0)</f>
        <v>0.84266831851137136</v>
      </c>
      <c r="G69" s="184">
        <f>D69*$H$41-E69</f>
        <v>16806033.441205442</v>
      </c>
      <c r="H69" s="184">
        <f ca="1">IFERROR(G69/C3,0)</f>
        <v>0</v>
      </c>
      <c r="I69" s="180">
        <f>D69*$J$41-E69</f>
        <v>31462880.235886246</v>
      </c>
      <c r="J69" s="180">
        <f t="shared" ref="J69:J74" ca="1" si="12">IFERROR(I69/$C$3,0)</f>
        <v>0</v>
      </c>
      <c r="K69" s="185">
        <f>D69*$L$41-E69</f>
        <v>46119727.030567139</v>
      </c>
      <c r="L69" s="185">
        <f t="shared" ref="L69:L74" ca="1" si="13">IFERROR(K69/$C$3,0)</f>
        <v>0</v>
      </c>
    </row>
    <row r="70" spans="2:16" x14ac:dyDescent="0.25">
      <c r="B70" s="53" t="s">
        <v>94</v>
      </c>
      <c r="C70" s="56" t="s">
        <v>101</v>
      </c>
      <c r="D70" s="117">
        <f>TARGETS!J23</f>
        <v>436437844.89361715</v>
      </c>
      <c r="E70" s="114">
        <f>IFERROR(C33,0)</f>
        <v>603527981.52019799</v>
      </c>
      <c r="F70" s="187">
        <f t="shared" si="11"/>
        <v>1.3828497885358899</v>
      </c>
      <c r="G70" s="184">
        <f>D70*$H$41-E70</f>
        <v>-210733921.11594254</v>
      </c>
      <c r="H70" s="184">
        <f ca="1">IFERROR(G70/C3,0)</f>
        <v>0</v>
      </c>
      <c r="I70" s="180">
        <f>D70*$J$41-E70</f>
        <v>-188912028.87126172</v>
      </c>
      <c r="J70" s="180">
        <f t="shared" ca="1" si="12"/>
        <v>0</v>
      </c>
      <c r="K70" s="185">
        <f>D70*$L$41-E70</f>
        <v>-167090136.62658083</v>
      </c>
      <c r="L70" s="185">
        <f t="shared" ca="1" si="13"/>
        <v>0</v>
      </c>
    </row>
    <row r="71" spans="2:16" x14ac:dyDescent="0.25">
      <c r="B71" s="50" t="s">
        <v>96</v>
      </c>
      <c r="C71" s="55" t="s">
        <v>97</v>
      </c>
      <c r="D71" s="116">
        <f>TARGETS!J24</f>
        <v>1121489049</v>
      </c>
      <c r="E71" s="114">
        <f>M21+M7</f>
        <v>670362645.51182103</v>
      </c>
      <c r="F71" s="187">
        <f t="shared" si="11"/>
        <v>0.59774337173382508</v>
      </c>
      <c r="G71" s="184">
        <f>D71*$H$41-E71</f>
        <v>338977498.58817899</v>
      </c>
      <c r="H71" s="184">
        <f ca="1">IFERROR(G71/C3,0)</f>
        <v>0</v>
      </c>
      <c r="I71" s="180">
        <f>D71*$J$41-E71</f>
        <v>395051951.03817892</v>
      </c>
      <c r="J71" s="180">
        <f t="shared" ca="1" si="12"/>
        <v>0</v>
      </c>
      <c r="K71" s="185">
        <f>D71*$L$41-E71</f>
        <v>451126403.48817897</v>
      </c>
      <c r="L71" s="185">
        <f t="shared" ca="1" si="13"/>
        <v>0</v>
      </c>
    </row>
    <row r="72" spans="2:16" hidden="1" x14ac:dyDescent="0.25">
      <c r="B72" s="53" t="s">
        <v>98</v>
      </c>
      <c r="C72" s="56" t="s">
        <v>99</v>
      </c>
      <c r="D72" s="117">
        <f>TARGETS!J25</f>
        <v>0</v>
      </c>
      <c r="E72" s="114">
        <f>0</f>
        <v>0</v>
      </c>
      <c r="F72" s="187">
        <f t="shared" si="11"/>
        <v>0</v>
      </c>
      <c r="G72" s="184">
        <f>D72*$H$41-E72</f>
        <v>0</v>
      </c>
      <c r="H72" s="184">
        <f ca="1">IFERROR(G72/C3,0)</f>
        <v>0</v>
      </c>
      <c r="I72" s="180">
        <f>D72*$J$41-E72</f>
        <v>0</v>
      </c>
      <c r="J72" s="180">
        <f t="shared" ca="1" si="12"/>
        <v>0</v>
      </c>
      <c r="K72" s="185">
        <f>D72*$L$41-E72</f>
        <v>0</v>
      </c>
      <c r="L72" s="185">
        <f t="shared" ca="1" si="13"/>
        <v>0</v>
      </c>
    </row>
    <row r="73" spans="2:16" hidden="1" x14ac:dyDescent="0.25">
      <c r="B73" s="50" t="s">
        <v>100</v>
      </c>
      <c r="C73" s="108" t="s">
        <v>101</v>
      </c>
      <c r="D73" s="116">
        <f>TARGETS!J26</f>
        <v>0</v>
      </c>
      <c r="E73" s="114">
        <f>0</f>
        <v>0</v>
      </c>
      <c r="F73" s="187">
        <f t="shared" si="11"/>
        <v>0</v>
      </c>
      <c r="G73" s="184">
        <f>D73*$H$41-E73</f>
        <v>0</v>
      </c>
      <c r="H73" s="184">
        <f ca="1">IFERROR(G73/C3,0)</f>
        <v>0</v>
      </c>
      <c r="I73" s="180">
        <f>D73*$J$41-E73</f>
        <v>0</v>
      </c>
      <c r="J73" s="180">
        <f t="shared" ca="1" si="12"/>
        <v>0</v>
      </c>
      <c r="K73" s="185">
        <f>D73*$L$41-E73</f>
        <v>0</v>
      </c>
      <c r="L73" s="185">
        <f t="shared" ca="1" si="13"/>
        <v>0</v>
      </c>
    </row>
    <row r="74" spans="2:16" x14ac:dyDescent="0.25">
      <c r="B74" s="57" t="s">
        <v>151</v>
      </c>
      <c r="C74" s="58"/>
      <c r="D74" s="115">
        <f>SUM(D69:D73)</f>
        <v>1851063829.7872343</v>
      </c>
      <c r="E74" s="115">
        <f>SUM(E69:E73)</f>
        <v>1520907835.8950691</v>
      </c>
      <c r="F74" s="177">
        <f t="shared" si="11"/>
        <v>0.82163986536860045</v>
      </c>
      <c r="G74" s="181">
        <f>SUM(G69:G73)</f>
        <v>145049610.9134419</v>
      </c>
      <c r="H74" s="181">
        <f ca="1">IFERROR(G74/C3,0)</f>
        <v>0</v>
      </c>
      <c r="I74" s="181">
        <f>SUM(I69:I73)</f>
        <v>237602802.40280345</v>
      </c>
      <c r="J74" s="181">
        <f t="shared" ca="1" si="12"/>
        <v>0</v>
      </c>
      <c r="K74" s="186">
        <f>SUM(K69:K73)</f>
        <v>330155993.8921653</v>
      </c>
      <c r="L74" s="186">
        <f t="shared" ca="1" si="13"/>
        <v>0</v>
      </c>
    </row>
    <row r="77" spans="2:16" ht="20.100000000000001" customHeight="1" x14ac:dyDescent="0.25">
      <c r="B77" s="254" t="s">
        <v>170</v>
      </c>
      <c r="C77" s="255"/>
      <c r="D77" s="256"/>
    </row>
    <row r="78" spans="2:16" ht="15.75" x14ac:dyDescent="0.25">
      <c r="B78" s="273" t="s">
        <v>41</v>
      </c>
      <c r="C78" s="273" t="s">
        <v>42</v>
      </c>
      <c r="D78" s="231" t="s">
        <v>138</v>
      </c>
    </row>
    <row r="79" spans="2:16" ht="15.75" x14ac:dyDescent="0.25">
      <c r="B79" s="263"/>
      <c r="C79" s="263"/>
      <c r="D79" s="70" t="s">
        <v>167</v>
      </c>
    </row>
    <row r="80" spans="2:16" x14ac:dyDescent="0.25">
      <c r="B80" s="50" t="s">
        <v>67</v>
      </c>
      <c r="C80" s="55" t="s">
        <v>68</v>
      </c>
      <c r="D80" s="131">
        <f>IF(E22="",0,E22)</f>
        <v>503698656.98984998</v>
      </c>
    </row>
    <row r="81" spans="2:4" x14ac:dyDescent="0.25">
      <c r="B81" s="53" t="s">
        <v>69</v>
      </c>
      <c r="C81" s="56" t="s">
        <v>70</v>
      </c>
      <c r="D81" s="131">
        <f>IF(E13="",0,E13)+IF(E14="",0,E14)</f>
        <v>124442745.86</v>
      </c>
    </row>
    <row r="82" spans="2:4" x14ac:dyDescent="0.25">
      <c r="B82" s="53" t="s">
        <v>171</v>
      </c>
      <c r="C82" s="56" t="s">
        <v>172</v>
      </c>
      <c r="D82" s="131">
        <f>IF(E20="",0,E20)</f>
        <v>11387387.08</v>
      </c>
    </row>
    <row r="83" spans="2:4" x14ac:dyDescent="0.25">
      <c r="B83" s="50" t="s">
        <v>71</v>
      </c>
      <c r="C83" s="55" t="s">
        <v>72</v>
      </c>
      <c r="D83" s="131">
        <f>IF(E15="",0,E15)</f>
        <v>410218259.94994998</v>
      </c>
    </row>
    <row r="84" spans="2:4" x14ac:dyDescent="0.25">
      <c r="B84" s="53" t="s">
        <v>73</v>
      </c>
      <c r="C84" s="56" t="s">
        <v>180</v>
      </c>
      <c r="D84" s="131">
        <f>0</f>
        <v>0</v>
      </c>
    </row>
    <row r="85" spans="2:4" x14ac:dyDescent="0.25">
      <c r="B85" s="50" t="s">
        <v>75</v>
      </c>
      <c r="C85" s="55" t="s">
        <v>99</v>
      </c>
      <c r="D85" s="131">
        <f>IF(E25="",0,E25)+IF(E26="",0,E26)</f>
        <v>65202431.659999996</v>
      </c>
    </row>
    <row r="86" spans="2:4" x14ac:dyDescent="0.25">
      <c r="B86" s="53" t="s">
        <v>76</v>
      </c>
      <c r="C86" s="56" t="s">
        <v>77</v>
      </c>
      <c r="D86" s="131">
        <f>IF(E17="",0,E17)</f>
        <v>1305012954.6799581</v>
      </c>
    </row>
    <row r="87" spans="2:4" x14ac:dyDescent="0.25">
      <c r="B87" s="50" t="s">
        <v>78</v>
      </c>
      <c r="C87" s="55" t="s">
        <v>79</v>
      </c>
      <c r="D87" s="131">
        <f>IF(E23="",0,E23)</f>
        <v>310958467.80928099</v>
      </c>
    </row>
    <row r="88" spans="2:4" x14ac:dyDescent="0.25">
      <c r="B88" s="53" t="s">
        <v>171</v>
      </c>
      <c r="C88" s="56" t="s">
        <v>173</v>
      </c>
      <c r="D88" s="131">
        <f>IF(E21="",0,E21)</f>
        <v>15855585.16</v>
      </c>
    </row>
    <row r="89" spans="2:4" x14ac:dyDescent="0.25">
      <c r="B89" s="53" t="s">
        <v>80</v>
      </c>
      <c r="C89" s="56" t="s">
        <v>81</v>
      </c>
      <c r="D89" s="131">
        <f>IF(E11="",0,E11)</f>
        <v>123485070.23999999</v>
      </c>
    </row>
    <row r="90" spans="2:4" x14ac:dyDescent="0.25">
      <c r="B90" s="50" t="s">
        <v>82</v>
      </c>
      <c r="C90" s="55" t="s">
        <v>83</v>
      </c>
      <c r="D90" s="131">
        <f>IF(E24="",0,E24)</f>
        <v>792137124.23901403</v>
      </c>
    </row>
    <row r="91" spans="2:4" x14ac:dyDescent="0.25">
      <c r="B91" s="53" t="s">
        <v>84</v>
      </c>
      <c r="C91" s="56" t="s">
        <v>85</v>
      </c>
      <c r="D91" s="131">
        <f>IF(E10="",0,E10)</f>
        <v>178626089.13999999</v>
      </c>
    </row>
    <row r="92" spans="2:4" x14ac:dyDescent="0.25">
      <c r="B92" s="50" t="s">
        <v>86</v>
      </c>
      <c r="C92" s="55" t="s">
        <v>87</v>
      </c>
      <c r="D92" s="131">
        <f>IF(E27="",0,E27)</f>
        <v>17830594.9778</v>
      </c>
    </row>
    <row r="93" spans="2:4" x14ac:dyDescent="0.25">
      <c r="B93" s="53" t="s">
        <v>88</v>
      </c>
      <c r="C93" s="56" t="s">
        <v>89</v>
      </c>
      <c r="D93" s="131">
        <f>IF(E18="",0,E18)+IF(E19="",0,E19)</f>
        <v>92389191</v>
      </c>
    </row>
    <row r="94" spans="2:4" x14ac:dyDescent="0.25">
      <c r="B94" s="57" t="s">
        <v>151</v>
      </c>
      <c r="C94" s="58"/>
      <c r="D94" s="120">
        <f>SUM(D80:D93)</f>
        <v>3951244558.7858524</v>
      </c>
    </row>
  </sheetData>
  <mergeCells count="18">
    <mergeCell ref="K48:P48"/>
    <mergeCell ref="B78:B79"/>
    <mergeCell ref="C78:C79"/>
    <mergeCell ref="D49:F49"/>
    <mergeCell ref="J49:J50"/>
    <mergeCell ref="P49:P50"/>
    <mergeCell ref="O49:O50"/>
    <mergeCell ref="K49:K50"/>
    <mergeCell ref="L49:L50"/>
    <mergeCell ref="M49:M50"/>
    <mergeCell ref="N49:N50"/>
    <mergeCell ref="B67:L67"/>
    <mergeCell ref="B77:D77"/>
    <mergeCell ref="B41:D41"/>
    <mergeCell ref="B48:J48"/>
    <mergeCell ref="B46:C46"/>
    <mergeCell ref="B49:B50"/>
    <mergeCell ref="C49:C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dataValidations count="1">
    <dataValidation type="list" allowBlank="1" showInputMessage="1" showErrorMessage="1" promptTitle="Target %" prompt="Pilih % target: 70% - 100%" sqref="H41 J41">
      <formula1>$S$41:$S$47</formula1>
    </dataValidation>
  </dataValidations>
  <pageMargins left="0.45" right="0.45" top="0.25" bottom="0.45" header="0.511811023622047" footer="0.511811023622047"/>
  <pageSetup paperSize="9" scale="39" fitToHeight="10" orientation="landscape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U94"/>
  <sheetViews>
    <sheetView showGridLines="0" topLeftCell="A46" zoomScale="87" zoomScaleNormal="91" workbookViewId="0">
      <selection activeCell="F69" sqref="F69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6.28515625" customWidth="1"/>
    <col min="4" max="4" width="16.42578125" customWidth="1"/>
    <col min="5" max="7" width="18.42578125" customWidth="1"/>
    <col min="8" max="18" width="16.42578125" customWidth="1"/>
  </cols>
  <sheetData>
    <row r="1" spans="2:15" ht="19.5" x14ac:dyDescent="0.25">
      <c r="B1" s="83" t="s">
        <v>160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5" x14ac:dyDescent="0.25">
      <c r="G2" s="221" t="s">
        <v>191</v>
      </c>
      <c r="H2" s="111"/>
      <c r="I2" s="111"/>
      <c r="J2" s="217">
        <f ca="1">E3</f>
        <v>31</v>
      </c>
    </row>
    <row r="3" spans="2:15" ht="15.75" x14ac:dyDescent="0.25">
      <c r="B3" s="74" t="s">
        <v>103</v>
      </c>
      <c r="C3" s="75">
        <f ca="1">IF($J$5&lt;&gt;"",$J$5,MAX(0,NETWORKDAYS.INTL(MAX(TODAY(),DATE(YEAR(TODAY()),8,1)),EOMONTH(DATE(YEAR(TODAY()),8,1),0),11)-MAX(0,$J$3-$J$4)))</f>
        <v>0</v>
      </c>
      <c r="D3" s="76" t="s">
        <v>104</v>
      </c>
      <c r="E3" s="77">
        <f ca="1">DAY(EOMONTH(DATE(YEAR(TODAY()),8,1),0))</f>
        <v>31</v>
      </c>
      <c r="G3" s="221" t="s">
        <v>192</v>
      </c>
      <c r="H3" s="111"/>
      <c r="I3" s="111"/>
      <c r="J3" s="218">
        <v>2</v>
      </c>
    </row>
    <row r="4" spans="2:15" x14ac:dyDescent="0.25">
      <c r="G4" s="221" t="s">
        <v>193</v>
      </c>
      <c r="H4" s="111"/>
      <c r="I4" s="111"/>
      <c r="J4" s="218">
        <v>0</v>
      </c>
    </row>
    <row r="5" spans="2:15" x14ac:dyDescent="0.25">
      <c r="G5" s="221" t="s">
        <v>194</v>
      </c>
      <c r="H5" s="111"/>
      <c r="I5" s="111"/>
      <c r="J5" s="218">
        <v>0</v>
      </c>
    </row>
    <row r="6" spans="2:15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208</v>
      </c>
    </row>
    <row r="7" spans="2:15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x14ac:dyDescent="0.25">
      <c r="B8" s="80" t="s">
        <v>109</v>
      </c>
      <c r="C8" s="80" t="s">
        <v>142</v>
      </c>
      <c r="D8" s="80" t="s">
        <v>110</v>
      </c>
      <c r="E8" s="80" t="s">
        <v>207</v>
      </c>
      <c r="F8" s="80" t="s">
        <v>167</v>
      </c>
      <c r="G8" s="80" t="s">
        <v>111</v>
      </c>
      <c r="H8" s="111"/>
      <c r="I8" s="111"/>
      <c r="J8" s="111"/>
      <c r="M8" s="11"/>
      <c r="N8" s="11"/>
      <c r="O8" s="171"/>
    </row>
    <row r="9" spans="2:15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/>
      <c r="N9" s="11"/>
      <c r="O9" s="171"/>
    </row>
    <row r="10" spans="2:15" x14ac:dyDescent="0.25">
      <c r="B10" s="72" t="s">
        <v>112</v>
      </c>
      <c r="C10" s="15">
        <v>168537898.23074001</v>
      </c>
      <c r="D10" s="15">
        <v>36713911.444587</v>
      </c>
      <c r="E10" s="15">
        <v>237910140.663104</v>
      </c>
      <c r="F10" s="15">
        <v>184105876.08000001</v>
      </c>
      <c r="G10" s="15">
        <v>627267826.41843104</v>
      </c>
      <c r="H10" s="111"/>
      <c r="I10" s="111"/>
      <c r="J10" s="111"/>
      <c r="M10" s="11"/>
      <c r="N10" s="11"/>
      <c r="O10" s="171"/>
    </row>
    <row r="11" spans="2:15" x14ac:dyDescent="0.25">
      <c r="B11" s="72" t="s">
        <v>214</v>
      </c>
      <c r="C11" s="15">
        <v>391754161.13883197</v>
      </c>
      <c r="D11" s="15">
        <v>83228394.506621003</v>
      </c>
      <c r="E11" s="15">
        <v>131095974.767517</v>
      </c>
      <c r="F11" s="15">
        <v>303884492.08999997</v>
      </c>
      <c r="G11" s="15">
        <v>909963022.50296998</v>
      </c>
      <c r="H11" s="111"/>
      <c r="I11" s="111"/>
      <c r="J11" s="111"/>
      <c r="M11" s="11"/>
      <c r="N11" s="11"/>
      <c r="O11" s="171"/>
    </row>
    <row r="12" spans="2:15" x14ac:dyDescent="0.25">
      <c r="B12" s="72" t="s">
        <v>213</v>
      </c>
      <c r="C12" s="15">
        <v>3123423.4199979999</v>
      </c>
      <c r="D12" s="15">
        <v>30403216.600000001</v>
      </c>
      <c r="E12" s="15">
        <v>352954956.67859</v>
      </c>
      <c r="F12" s="15" t="s">
        <v>164</v>
      </c>
      <c r="G12" s="15">
        <v>386481596.69858801</v>
      </c>
      <c r="H12" s="111"/>
      <c r="I12" s="111"/>
      <c r="J12" s="111"/>
      <c r="M12" s="11"/>
      <c r="N12" s="11"/>
      <c r="O12" s="171"/>
    </row>
    <row r="13" spans="2:15" x14ac:dyDescent="0.25">
      <c r="B13" s="72" t="s">
        <v>70</v>
      </c>
      <c r="C13" s="15">
        <v>182059272.42829499</v>
      </c>
      <c r="D13" s="15">
        <v>62051192.866664</v>
      </c>
      <c r="E13" s="15">
        <v>176084363.819534</v>
      </c>
      <c r="F13" s="15">
        <v>118555854.65000001</v>
      </c>
      <c r="G13" s="15">
        <v>538750683.76449299</v>
      </c>
      <c r="H13" s="111"/>
      <c r="I13" s="111"/>
      <c r="J13" s="111"/>
      <c r="M13" s="11"/>
      <c r="N13" s="11"/>
      <c r="O13" s="171"/>
    </row>
    <row r="14" spans="2:15" x14ac:dyDescent="0.25">
      <c r="B14" s="72" t="s">
        <v>114</v>
      </c>
      <c r="C14" s="15">
        <v>42773807.140831001</v>
      </c>
      <c r="D14" s="15">
        <v>38226126.239827</v>
      </c>
      <c r="E14" s="15">
        <v>246989162.909273</v>
      </c>
      <c r="F14" s="15">
        <v>60587162.560000002</v>
      </c>
      <c r="G14" s="15">
        <v>388576258.849931</v>
      </c>
      <c r="H14" s="111"/>
      <c r="I14" s="111"/>
      <c r="J14" s="111"/>
      <c r="M14" s="11"/>
      <c r="N14" s="11"/>
      <c r="O14" s="171"/>
    </row>
    <row r="15" spans="2:15" x14ac:dyDescent="0.25">
      <c r="B15" s="81" t="s">
        <v>115</v>
      </c>
      <c r="C15" s="15">
        <v>806935617.24687099</v>
      </c>
      <c r="D15" s="15">
        <v>28388679.159852002</v>
      </c>
      <c r="E15" s="15">
        <v>176552657.81004</v>
      </c>
      <c r="F15" s="15">
        <v>440469451.51974601</v>
      </c>
      <c r="G15" s="15">
        <v>1452346405.7365091</v>
      </c>
      <c r="H15" s="111"/>
      <c r="I15" s="111"/>
      <c r="J15" s="111"/>
      <c r="M15" s="11"/>
      <c r="N15" s="11"/>
      <c r="O15" s="171"/>
    </row>
    <row r="16" spans="2:15" x14ac:dyDescent="0.25">
      <c r="B16" s="72" t="s">
        <v>118</v>
      </c>
      <c r="C16" s="15">
        <v>898604000.859828</v>
      </c>
      <c r="D16" s="15">
        <v>1359864.864998</v>
      </c>
      <c r="E16" s="15">
        <v>102675476.399931</v>
      </c>
      <c r="F16" s="15">
        <v>18108378.600000001</v>
      </c>
      <c r="G16" s="15">
        <v>1020747720.724757</v>
      </c>
      <c r="H16" s="111"/>
      <c r="I16" s="111"/>
      <c r="J16" s="111"/>
      <c r="M16" s="11"/>
      <c r="N16" s="11"/>
      <c r="O16" s="171"/>
    </row>
    <row r="17" spans="2:15" x14ac:dyDescent="0.25">
      <c r="B17" s="72" t="s">
        <v>120</v>
      </c>
      <c r="C17" s="15">
        <v>694746397.13682199</v>
      </c>
      <c r="D17" s="15">
        <v>83310744.179726005</v>
      </c>
      <c r="E17" s="15">
        <v>361895856.40941203</v>
      </c>
      <c r="F17" s="15">
        <v>1726626492.0199161</v>
      </c>
      <c r="G17" s="15">
        <v>2866579489.7458758</v>
      </c>
      <c r="H17" s="111"/>
      <c r="I17" s="111"/>
      <c r="J17" s="111"/>
      <c r="M17" s="11"/>
      <c r="N17" s="11"/>
      <c r="O17" s="171"/>
    </row>
    <row r="18" spans="2:15" x14ac:dyDescent="0.25">
      <c r="B18" s="72" t="s">
        <v>122</v>
      </c>
      <c r="C18" s="15">
        <v>121267711.473663</v>
      </c>
      <c r="D18" s="15">
        <v>15763472.888874</v>
      </c>
      <c r="E18" s="15">
        <v>118453741.00843</v>
      </c>
      <c r="F18" s="15">
        <v>44710811.710000001</v>
      </c>
      <c r="G18" s="15">
        <v>300195737.08096701</v>
      </c>
      <c r="H18" s="111"/>
      <c r="I18" s="111"/>
      <c r="J18" s="111"/>
      <c r="M18" s="11"/>
      <c r="N18" s="11"/>
      <c r="O18" s="171"/>
    </row>
    <row r="19" spans="2:15" x14ac:dyDescent="0.25">
      <c r="B19" s="72" t="s">
        <v>123</v>
      </c>
      <c r="C19" s="15">
        <v>18170680.559997998</v>
      </c>
      <c r="D19" s="15">
        <v>119479519.93068799</v>
      </c>
      <c r="E19" s="15">
        <v>53705085.5</v>
      </c>
      <c r="F19" s="15">
        <v>121772975.45999999</v>
      </c>
      <c r="G19" s="15">
        <v>313128261.45068598</v>
      </c>
      <c r="H19" s="111"/>
      <c r="I19" s="111"/>
      <c r="J19" s="111"/>
      <c r="M19" s="11"/>
      <c r="N19" s="11"/>
      <c r="O19" s="171"/>
    </row>
    <row r="20" spans="2:15" x14ac:dyDescent="0.25">
      <c r="B20" s="72" t="s">
        <v>168</v>
      </c>
      <c r="C20" s="15">
        <v>186237371.06</v>
      </c>
      <c r="D20" s="15" t="s">
        <v>164</v>
      </c>
      <c r="E20" s="15" t="s">
        <v>164</v>
      </c>
      <c r="F20" s="15">
        <v>13081080.720000001</v>
      </c>
      <c r="G20" s="15">
        <v>199318451.78</v>
      </c>
      <c r="H20" s="111"/>
      <c r="I20" s="111"/>
      <c r="J20" s="111"/>
      <c r="M20" s="14">
        <f>SUM(C30,C35)+M7</f>
        <v>155439124.9975</v>
      </c>
      <c r="N20" s="10" t="s">
        <v>222</v>
      </c>
    </row>
    <row r="21" spans="2:15" x14ac:dyDescent="0.25">
      <c r="B21" s="72" t="s">
        <v>169</v>
      </c>
      <c r="C21" s="15">
        <v>427491232.60000002</v>
      </c>
      <c r="D21" s="15" t="s">
        <v>164</v>
      </c>
      <c r="E21" s="15" t="s">
        <v>164</v>
      </c>
      <c r="F21" s="15">
        <v>16534323.880000001</v>
      </c>
      <c r="G21" s="15">
        <v>444025556.48000002</v>
      </c>
      <c r="H21" s="111"/>
      <c r="I21" s="111"/>
      <c r="J21" s="111"/>
      <c r="M21" s="14">
        <f>SUM(C33,C34)+M20</f>
        <v>957241971.304317</v>
      </c>
      <c r="N21" s="10" t="s">
        <v>223</v>
      </c>
    </row>
    <row r="22" spans="2:15" x14ac:dyDescent="0.25">
      <c r="B22" s="72" t="s">
        <v>124</v>
      </c>
      <c r="C22" s="15">
        <v>290128013.316342</v>
      </c>
      <c r="D22" s="15">
        <v>54566849.259464003</v>
      </c>
      <c r="E22" s="15">
        <v>153361081.649728</v>
      </c>
      <c r="F22" s="15">
        <v>551744030.62983501</v>
      </c>
      <c r="G22" s="15">
        <v>1049799974.855369</v>
      </c>
      <c r="H22" s="111"/>
      <c r="I22" s="111"/>
      <c r="J22" s="111"/>
    </row>
    <row r="23" spans="2:15" x14ac:dyDescent="0.25">
      <c r="B23" s="72" t="s">
        <v>125</v>
      </c>
      <c r="C23" s="15">
        <v>336624600.15198898</v>
      </c>
      <c r="D23" s="15">
        <v>91520734.704789996</v>
      </c>
      <c r="E23" s="15">
        <v>231931490.0036</v>
      </c>
      <c r="F23" s="15">
        <v>403022156.07930398</v>
      </c>
      <c r="G23" s="15">
        <v>1063098980.939683</v>
      </c>
      <c r="H23" s="111"/>
      <c r="I23" s="111"/>
      <c r="J23" s="111"/>
    </row>
    <row r="24" spans="2:15" x14ac:dyDescent="0.25">
      <c r="B24" s="72" t="s">
        <v>126</v>
      </c>
      <c r="C24" s="15">
        <v>444619443.18372798</v>
      </c>
      <c r="D24" s="15">
        <v>61211234.240413003</v>
      </c>
      <c r="E24" s="15">
        <v>226294669.539931</v>
      </c>
      <c r="F24" s="15">
        <v>726681246.82912803</v>
      </c>
      <c r="G24" s="15">
        <v>1458806593.7932</v>
      </c>
      <c r="H24" s="111"/>
      <c r="I24" s="111"/>
      <c r="J24" s="111"/>
    </row>
    <row r="25" spans="2:15" x14ac:dyDescent="0.25">
      <c r="B25" s="72" t="s">
        <v>182</v>
      </c>
      <c r="C25" s="15">
        <v>160197012.810229</v>
      </c>
      <c r="D25" s="15">
        <v>107670163.37918</v>
      </c>
      <c r="E25" s="15">
        <v>177455267.749598</v>
      </c>
      <c r="F25" s="15">
        <v>57669377.93</v>
      </c>
      <c r="G25" s="15">
        <v>502991821.86900699</v>
      </c>
      <c r="H25" s="111"/>
      <c r="I25" s="111"/>
      <c r="J25" s="111"/>
    </row>
    <row r="26" spans="2:15" x14ac:dyDescent="0.25">
      <c r="B26" s="72" t="s">
        <v>127</v>
      </c>
      <c r="C26" s="15">
        <v>352299598.35567099</v>
      </c>
      <c r="D26" s="15">
        <v>306965581.86604702</v>
      </c>
      <c r="E26" s="15">
        <v>346692952.41662002</v>
      </c>
      <c r="F26" s="15">
        <v>20800432.859000001</v>
      </c>
      <c r="G26" s="15">
        <v>1026758565.4973381</v>
      </c>
      <c r="H26" s="111"/>
      <c r="I26" s="111"/>
      <c r="J26" s="111"/>
    </row>
    <row r="27" spans="2:15" x14ac:dyDescent="0.25">
      <c r="G27" s="111"/>
      <c r="H27" s="111"/>
      <c r="I27" s="111"/>
    </row>
    <row r="28" spans="2:15" x14ac:dyDescent="0.25">
      <c r="B28" s="79" t="s">
        <v>128</v>
      </c>
      <c r="C28" s="79"/>
      <c r="G28" s="111"/>
      <c r="H28" s="111"/>
      <c r="I28" s="111"/>
    </row>
    <row r="29" spans="2:15" x14ac:dyDescent="0.25">
      <c r="B29" s="80" t="s">
        <v>129</v>
      </c>
      <c r="C29" s="80" t="s">
        <v>130</v>
      </c>
      <c r="G29" s="111"/>
      <c r="H29" s="111"/>
      <c r="I29" s="111"/>
    </row>
    <row r="30" spans="2:15" x14ac:dyDescent="0.25">
      <c r="B30" s="73"/>
      <c r="C30" s="107"/>
      <c r="G30" s="111"/>
      <c r="H30" s="111"/>
      <c r="I30" s="111"/>
    </row>
    <row r="31" spans="2:15" x14ac:dyDescent="0.25">
      <c r="B31" s="81" t="s">
        <v>131</v>
      </c>
      <c r="C31" s="15">
        <v>270468251.94897401</v>
      </c>
      <c r="G31" s="111"/>
      <c r="H31" s="111"/>
      <c r="I31" s="111"/>
    </row>
    <row r="32" spans="2:15" x14ac:dyDescent="0.25">
      <c r="B32" s="81" t="s">
        <v>132</v>
      </c>
      <c r="C32" s="15">
        <v>459125956.89144701</v>
      </c>
      <c r="G32" s="111"/>
      <c r="H32" s="111"/>
      <c r="I32" s="111"/>
    </row>
    <row r="33" spans="2:19" x14ac:dyDescent="0.25">
      <c r="B33" s="81" t="s">
        <v>133</v>
      </c>
      <c r="C33" s="15">
        <v>154558519.26416701</v>
      </c>
      <c r="G33" s="111"/>
      <c r="H33" s="111"/>
      <c r="I33" s="111"/>
    </row>
    <row r="34" spans="2:19" x14ac:dyDescent="0.25">
      <c r="B34" s="81" t="s">
        <v>134</v>
      </c>
      <c r="C34" s="15">
        <v>647244327.04264998</v>
      </c>
      <c r="G34" s="111"/>
      <c r="H34" s="111"/>
      <c r="I34" s="111"/>
    </row>
    <row r="35" spans="2:19" x14ac:dyDescent="0.25">
      <c r="B35" s="81" t="s">
        <v>135</v>
      </c>
      <c r="C35" s="15">
        <v>155439124.9975</v>
      </c>
      <c r="G35" s="111"/>
      <c r="H35" s="111"/>
      <c r="I35" s="111"/>
    </row>
    <row r="36" spans="2:19" x14ac:dyDescent="0.25">
      <c r="B36" s="81"/>
      <c r="C36" s="82"/>
      <c r="G36" s="111"/>
      <c r="H36" s="111"/>
      <c r="I36" s="111"/>
    </row>
    <row r="37" spans="2:19" x14ac:dyDescent="0.25">
      <c r="B37" s="73"/>
      <c r="C37" s="82"/>
      <c r="G37" s="111"/>
      <c r="H37" s="111"/>
      <c r="I37" s="111"/>
    </row>
    <row r="38" spans="2:19" x14ac:dyDescent="0.25">
      <c r="G38" s="111"/>
      <c r="H38" s="111"/>
      <c r="I38" s="111"/>
    </row>
    <row r="39" spans="2:19" x14ac:dyDescent="0.25">
      <c r="G39" s="111"/>
      <c r="H39" s="111"/>
      <c r="I39" s="111"/>
      <c r="S39" s="172" t="s">
        <v>184</v>
      </c>
    </row>
    <row r="40" spans="2:19" ht="18.75" x14ac:dyDescent="0.25">
      <c r="B40" s="264" t="s">
        <v>218</v>
      </c>
      <c r="C40" s="265"/>
      <c r="D40" s="266"/>
      <c r="E40" s="66" t="s">
        <v>137</v>
      </c>
      <c r="F40" s="174">
        <f ca="1">IF(MONTH(TODAY())=8,DAY(TODAY())/DAY(EOMONTH(TODAY(),0)),IF(MONTH(TODAY())&gt;8,1,0))</f>
        <v>1</v>
      </c>
      <c r="G40" s="192" t="s">
        <v>186</v>
      </c>
      <c r="H40" s="198">
        <v>0.9</v>
      </c>
      <c r="I40" s="201" t="s">
        <v>186</v>
      </c>
      <c r="J40" s="199">
        <v>0.95</v>
      </c>
      <c r="K40" s="194" t="s">
        <v>187</v>
      </c>
      <c r="L40" s="200">
        <v>1</v>
      </c>
      <c r="S40" s="173">
        <v>0.7</v>
      </c>
    </row>
    <row r="41" spans="2:19" ht="25.5" x14ac:dyDescent="0.25">
      <c r="B41" s="68" t="s">
        <v>136</v>
      </c>
      <c r="C41" s="68" t="s">
        <v>41</v>
      </c>
      <c r="D41" s="68" t="s">
        <v>137</v>
      </c>
      <c r="E41" s="68" t="s">
        <v>138</v>
      </c>
      <c r="F41" s="175" t="s">
        <v>139</v>
      </c>
      <c r="G41" s="182" t="str">
        <f>"SELISIH"&amp;CHAR(10)&amp;TEXT($H$40,"0%")</f>
        <v>SELISIH
90%</v>
      </c>
      <c r="H41" s="182" t="str">
        <f>"PER HARI"&amp;CHAR(10)&amp;TEXT($H$40,"0%")</f>
        <v>PER HARI
90%</v>
      </c>
      <c r="I41" s="202" t="str">
        <f>"SELISIH"&amp;CHAR(10)&amp;TEXT($J$40,"0%")</f>
        <v>SELISIH
95%</v>
      </c>
      <c r="J41" s="203" t="str">
        <f>"PER HARI"&amp;CHAR(10)&amp;TEXT($J$40,"0%")</f>
        <v>PER HARI
95%</v>
      </c>
      <c r="K41" s="183" t="str">
        <f>"SELISIH"&amp;CHAR(10)&amp;TEXT($L$40,"0%")</f>
        <v>SELISIH
100%</v>
      </c>
      <c r="L41" s="183" t="str">
        <f>"PER HARI"&amp;CHAR(10)&amp;TEXT($L$40,"0%")</f>
        <v>PER HARI
100%</v>
      </c>
      <c r="S41" s="190">
        <v>0.75</v>
      </c>
    </row>
    <row r="42" spans="2:19" x14ac:dyDescent="0.25">
      <c r="B42" s="109" t="s">
        <v>142</v>
      </c>
      <c r="C42" s="41" t="s">
        <v>143</v>
      </c>
      <c r="D42" s="45">
        <f>SUM(TARGETS!Y5:Y7,TARGETS!Y8:Y13,TARGETS!Y14:Y18)</f>
        <v>4927597521</v>
      </c>
      <c r="E42" s="46">
        <f>H65</f>
        <v>4626966240.2540092</v>
      </c>
      <c r="F42" s="176">
        <f>IFERROR(E42/D42,0)</f>
        <v>0.93899029304548776</v>
      </c>
      <c r="G42" s="184">
        <f>D42*$H$40-E42</f>
        <v>-192128471.35400867</v>
      </c>
      <c r="H42" s="184">
        <f ca="1">IFERROR(G42/$C$3,0)</f>
        <v>0</v>
      </c>
      <c r="I42" s="204">
        <f>D42*$J$40-E42</f>
        <v>54251404.695990562</v>
      </c>
      <c r="J42" s="204">
        <f ca="1">IFERROR(I42/$C$3,0)</f>
        <v>0</v>
      </c>
      <c r="K42" s="185">
        <f>D42*$L$40-E42</f>
        <v>300631280.74599075</v>
      </c>
      <c r="L42" s="185">
        <f ca="1">IFERROR(K42/$C$3,0)</f>
        <v>0</v>
      </c>
      <c r="S42" s="173">
        <v>0.8</v>
      </c>
    </row>
    <row r="43" spans="2:19" x14ac:dyDescent="0.25">
      <c r="B43" s="109" t="s">
        <v>110</v>
      </c>
      <c r="C43" s="41" t="s">
        <v>143</v>
      </c>
      <c r="D43" s="45">
        <f>SUM(TARGETS!Z5:Z6,TARGETS!Z8:Z12,TARGETS!Z14:Z18)</f>
        <v>1294442997.4659395</v>
      </c>
      <c r="E43" s="46">
        <f>I65</f>
        <v>1119499821.2667329</v>
      </c>
      <c r="F43" s="176">
        <f>IFERROR(E43/D43,0)</f>
        <v>0.86485061409294706</v>
      </c>
      <c r="G43" s="184">
        <f>D43*$H$40-E43</f>
        <v>45498876.452612638</v>
      </c>
      <c r="H43" s="184">
        <f ca="1">IFERROR(G43/$C$3,0)</f>
        <v>0</v>
      </c>
      <c r="I43" s="204">
        <f>D43*$J$40-E43</f>
        <v>110221026.32590961</v>
      </c>
      <c r="J43" s="204">
        <f ca="1">IFERROR(I43/$C$3,0)</f>
        <v>0</v>
      </c>
      <c r="K43" s="185">
        <f>D43*$L$40-E43</f>
        <v>174943176.19920659</v>
      </c>
      <c r="L43" s="185">
        <f ca="1">IFERROR(K43/$C$3,0)</f>
        <v>0</v>
      </c>
      <c r="S43" s="173">
        <v>0.85</v>
      </c>
    </row>
    <row r="44" spans="2:19" x14ac:dyDescent="0.25">
      <c r="B44" s="109" t="s">
        <v>207</v>
      </c>
      <c r="C44" s="41" t="s">
        <v>143</v>
      </c>
      <c r="D44" s="45">
        <f>SUM(TARGETS!AA5:AA18)</f>
        <v>3216211725</v>
      </c>
      <c r="E44" s="46">
        <f>J65</f>
        <v>2991377400.9253774</v>
      </c>
      <c r="F44" s="176">
        <f>IFERROR(E44/D44,0)</f>
        <v>0.93009343186987403</v>
      </c>
      <c r="G44" s="184">
        <f>IF(D44=0,0,D44*$H$40-E44)</f>
        <v>-96786848.425377369</v>
      </c>
      <c r="H44" s="184">
        <f ca="1">IFERROR(G44/$C$3,0)</f>
        <v>0</v>
      </c>
      <c r="I44" s="204">
        <f>IF(D44=0,0,D44*$J$40-E44)</f>
        <v>64023737.824622631</v>
      </c>
      <c r="J44" s="204">
        <f ca="1">IFERROR(I44/$C$3,0)</f>
        <v>0</v>
      </c>
      <c r="K44" s="185">
        <f>IF(D44=0,0,D44*$L$40-E44)</f>
        <v>224834324.07462263</v>
      </c>
      <c r="L44" s="185">
        <f ca="1">IFERROR(K44/$C$3,0)</f>
        <v>0</v>
      </c>
      <c r="S44" s="173">
        <v>0.9</v>
      </c>
    </row>
    <row r="45" spans="2:19" x14ac:dyDescent="0.25">
      <c r="B45" s="109" t="s">
        <v>144</v>
      </c>
      <c r="C45" s="41" t="s">
        <v>143</v>
      </c>
      <c r="D45" s="45">
        <f>SUM(TARGETS!K22:K26)</f>
        <v>1865957446.8085108</v>
      </c>
      <c r="E45" s="46">
        <f>E74</f>
        <v>1686836180.144738</v>
      </c>
      <c r="F45" s="176">
        <f>IFERROR(E45/D45,0)</f>
        <v>0.90400570657699741</v>
      </c>
      <c r="G45" s="184">
        <f>D45*$H$40-E45</f>
        <v>-7474478.0170781612</v>
      </c>
      <c r="H45" s="184">
        <f ca="1">IFERROR(G45/$C$3,0)</f>
        <v>0</v>
      </c>
      <c r="I45" s="204">
        <f>D45*$J$40-E45</f>
        <v>85823394.323347092</v>
      </c>
      <c r="J45" s="204">
        <f ca="1">IFERROR(I45/$C$3,0)</f>
        <v>0</v>
      </c>
      <c r="K45" s="185">
        <f>D45*$L$40-E45</f>
        <v>179121266.66377282</v>
      </c>
      <c r="L45" s="185">
        <f ca="1">IFERROR(K45/$C$3,0)</f>
        <v>0</v>
      </c>
      <c r="S45" s="173">
        <v>0.95</v>
      </c>
    </row>
    <row r="46" spans="2:19" x14ac:dyDescent="0.25">
      <c r="B46" s="261" t="s">
        <v>145</v>
      </c>
      <c r="C46" s="262"/>
      <c r="D46" s="47">
        <f>SUM(D42:D45)</f>
        <v>11304209690.274448</v>
      </c>
      <c r="E46" s="47">
        <f>SUM(E42:E45)</f>
        <v>10424679642.590857</v>
      </c>
      <c r="F46" s="177">
        <f>IFERROR(E46/D46,0)</f>
        <v>0.92219446809799599</v>
      </c>
      <c r="G46" s="181">
        <f>SUM(G42:G45)</f>
        <v>-250890921.34385157</v>
      </c>
      <c r="H46" s="181">
        <f ca="1">IFERROR(G46/$C$3,0)</f>
        <v>0</v>
      </c>
      <c r="I46" s="186">
        <f>SUM(I42:I45)</f>
        <v>314319563.1698699</v>
      </c>
      <c r="J46" s="186">
        <f ca="1">IFERROR(I46/$C$3,0)</f>
        <v>0</v>
      </c>
      <c r="K46" s="186">
        <f>SUM(K42:K45)</f>
        <v>879530047.6835928</v>
      </c>
      <c r="L46" s="186">
        <f ca="1">IFERROR(K46/$C$3,0)</f>
        <v>0</v>
      </c>
      <c r="S46" s="173">
        <v>1</v>
      </c>
    </row>
    <row r="47" spans="2:19" x14ac:dyDescent="0.25">
      <c r="G47" s="111"/>
      <c r="H47" s="111"/>
      <c r="I47" s="111"/>
      <c r="S47" s="173"/>
    </row>
    <row r="48" spans="2:19" ht="18.95" customHeight="1" x14ac:dyDescent="0.25">
      <c r="B48" s="267" t="s">
        <v>212</v>
      </c>
      <c r="C48" s="268"/>
      <c r="D48" s="268"/>
      <c r="E48" s="268"/>
      <c r="F48" s="268"/>
      <c r="G48" s="268"/>
      <c r="H48" s="268"/>
      <c r="I48" s="268"/>
      <c r="J48" s="268"/>
      <c r="K48" s="268"/>
      <c r="L48" s="291"/>
      <c r="M48" s="274" t="s">
        <v>185</v>
      </c>
      <c r="N48" s="275"/>
      <c r="O48" s="275"/>
      <c r="P48" s="275"/>
      <c r="Q48" s="275"/>
      <c r="R48" s="276"/>
    </row>
    <row r="49" spans="2:21" ht="17.100000000000001" customHeight="1" x14ac:dyDescent="0.25">
      <c r="B49" s="292" t="s">
        <v>41</v>
      </c>
      <c r="C49" s="292" t="s">
        <v>42</v>
      </c>
      <c r="D49" s="258" t="s">
        <v>137</v>
      </c>
      <c r="E49" s="259"/>
      <c r="F49" s="259"/>
      <c r="G49" s="260"/>
      <c r="H49" s="293" t="s">
        <v>138</v>
      </c>
      <c r="I49" s="294"/>
      <c r="J49" s="294"/>
      <c r="K49" s="295"/>
      <c r="L49" s="296" t="s">
        <v>139</v>
      </c>
      <c r="M49" s="277" t="str">
        <f>"SELISIH"&amp;CHAR(10)&amp;TEXT($H$40,"0%")</f>
        <v>SELISIH
90%</v>
      </c>
      <c r="N49" s="277" t="str">
        <f>"PER HARI"&amp;CHAR(10)&amp;TEXT($H$40,"0%")</f>
        <v>PER HARI
90%</v>
      </c>
      <c r="O49" s="279" t="str">
        <f>"SELISIH"&amp;CHAR(10)&amp;TEXT($J$40,"0%")</f>
        <v>SELISIH
95%</v>
      </c>
      <c r="P49" s="279" t="str">
        <f>"PER HARI"&amp;CHAR(10)&amp;TEXT($J$40,"0%")</f>
        <v>PER HARI
95%</v>
      </c>
      <c r="Q49" s="281" t="str">
        <f>"SELISIH"&amp;CHAR(10)&amp;TEXT($L$40,"0%")</f>
        <v>SELISIH
100%</v>
      </c>
      <c r="R49" s="281" t="str">
        <f>"PER HARI"&amp;CHAR(10)&amp;TEXT($L$40,"0%")</f>
        <v>PER HARI
100%</v>
      </c>
    </row>
    <row r="50" spans="2:21" ht="15.75" x14ac:dyDescent="0.25">
      <c r="B50" s="273"/>
      <c r="C50" s="273"/>
      <c r="D50" s="70" t="s">
        <v>149</v>
      </c>
      <c r="E50" s="70" t="s">
        <v>150</v>
      </c>
      <c r="F50" s="70" t="s">
        <v>209</v>
      </c>
      <c r="G50" s="70" t="s">
        <v>130</v>
      </c>
      <c r="H50" s="113" t="s">
        <v>149</v>
      </c>
      <c r="I50" s="113" t="s">
        <v>150</v>
      </c>
      <c r="J50" s="113" t="s">
        <v>209</v>
      </c>
      <c r="K50" s="113" t="s">
        <v>130</v>
      </c>
      <c r="L50" s="297"/>
      <c r="M50" s="278"/>
      <c r="N50" s="278"/>
      <c r="O50" s="280"/>
      <c r="P50" s="280"/>
      <c r="Q50" s="282"/>
      <c r="R50" s="282"/>
      <c r="T50" s="172" t="s">
        <v>215</v>
      </c>
      <c r="U50" s="172" t="s">
        <v>216</v>
      </c>
    </row>
    <row r="51" spans="2:21" x14ac:dyDescent="0.25">
      <c r="B51" s="50" t="s">
        <v>67</v>
      </c>
      <c r="C51" s="55" t="s">
        <v>68</v>
      </c>
      <c r="D51" s="118">
        <f>TARGETS!Y5</f>
        <v>306848843</v>
      </c>
      <c r="E51" s="118">
        <f>TARGETS!Z5</f>
        <v>60640123.605248079</v>
      </c>
      <c r="F51" s="118">
        <f>TARGETS!AA5</f>
        <v>198385865</v>
      </c>
      <c r="G51" s="118">
        <f t="shared" ref="G51:G64" si="0">SUM(D51:F51)</f>
        <v>565874831.60524809</v>
      </c>
      <c r="H51" s="114">
        <f>SUMIF($B$10:$B$26,$T51,C$10:C$26)+SUMIF($B$10:$B$26,$U51,C$10:C$26)</f>
        <v>290128013.316342</v>
      </c>
      <c r="I51" s="114">
        <f t="shared" ref="I51:I64" si="1">SUMIF($B$10:$B$26,$T51,D$10:D$26)+SUMIF($B$10:$B$26,$U51,D$10:D$26)</f>
        <v>54566849.259464003</v>
      </c>
      <c r="J51" s="114">
        <f t="shared" ref="J51:J64" si="2">SUMIF($B$10:$B$26,$T51,E$10:E$26)+SUMIF($B$10:$B$26,$U51,E$10:E$26)</f>
        <v>153361081.649728</v>
      </c>
      <c r="K51" s="114">
        <f t="shared" ref="K51:K64" si="3">SUM(H51:J51)</f>
        <v>498055944.22553402</v>
      </c>
      <c r="L51" s="187">
        <f t="shared" ref="L51:L65" si="4">IFERROR(K51/G51,0)</f>
        <v>0.88015214038177214</v>
      </c>
      <c r="M51" s="184">
        <f t="shared" ref="M51:M64" si="5">G51*$H$40-K51</f>
        <v>11231404.219189286</v>
      </c>
      <c r="N51" s="184">
        <f t="shared" ref="N51:N65" ca="1" si="6">IFERROR(M51/$C$3,0)</f>
        <v>0</v>
      </c>
      <c r="O51" s="180">
        <f t="shared" ref="O51:O64" si="7">G51*$J$40-K51</f>
        <v>39525145.799451649</v>
      </c>
      <c r="P51" s="180">
        <f t="shared" ref="P51:P65" ca="1" si="8">IFERROR(O51/$C$3,0)</f>
        <v>0</v>
      </c>
      <c r="Q51" s="185">
        <f t="shared" ref="Q51:Q64" si="9">G51*$L$40-K51</f>
        <v>67818887.379714072</v>
      </c>
      <c r="R51" s="185">
        <f t="shared" ref="R51:R65" ca="1" si="10">IFERROR(Q51/$C$3,0)</f>
        <v>0</v>
      </c>
      <c r="T51" t="s">
        <v>124</v>
      </c>
      <c r="U51" t="s">
        <v>217</v>
      </c>
    </row>
    <row r="52" spans="2:21" x14ac:dyDescent="0.25">
      <c r="B52" s="53" t="s">
        <v>69</v>
      </c>
      <c r="C52" s="56" t="s">
        <v>70</v>
      </c>
      <c r="D52" s="119">
        <f>TARGETS!Y6</f>
        <v>222144871</v>
      </c>
      <c r="E52" s="119">
        <f>TARGETS!Z6</f>
        <v>165576502.41228893</v>
      </c>
      <c r="F52" s="119">
        <f>TARGETS!AA6</f>
        <v>449309820</v>
      </c>
      <c r="G52" s="119">
        <f t="shared" si="0"/>
        <v>837031193.4122889</v>
      </c>
      <c r="H52" s="114">
        <f t="shared" ref="H52:H64" si="11">SUMIF($B$10:$B$26,$T52,C$10:C$26)+SUMIF($B$10:$B$26,$U52,C$10:C$26)</f>
        <v>224833079.56912598</v>
      </c>
      <c r="I52" s="114">
        <f t="shared" si="1"/>
        <v>100277319.106491</v>
      </c>
      <c r="J52" s="114">
        <f t="shared" si="2"/>
        <v>423073526.72880697</v>
      </c>
      <c r="K52" s="114">
        <f t="shared" si="3"/>
        <v>748183925.40442395</v>
      </c>
      <c r="L52" s="187">
        <f t="shared" si="4"/>
        <v>0.89385429275859463</v>
      </c>
      <c r="M52" s="184">
        <f t="shared" si="5"/>
        <v>5144148.6666361094</v>
      </c>
      <c r="N52" s="184">
        <f t="shared" ca="1" si="6"/>
        <v>0</v>
      </c>
      <c r="O52" s="180">
        <f t="shared" si="7"/>
        <v>46995708.337250471</v>
      </c>
      <c r="P52" s="180">
        <f t="shared" ca="1" si="8"/>
        <v>0</v>
      </c>
      <c r="Q52" s="185">
        <f t="shared" si="9"/>
        <v>88847268.007864952</v>
      </c>
      <c r="R52" s="185">
        <f t="shared" ca="1" si="10"/>
        <v>0</v>
      </c>
      <c r="T52" t="s">
        <v>70</v>
      </c>
      <c r="U52" t="s">
        <v>114</v>
      </c>
    </row>
    <row r="53" spans="2:21" x14ac:dyDescent="0.25">
      <c r="B53" s="136" t="s">
        <v>171</v>
      </c>
      <c r="C53" s="137" t="s">
        <v>172</v>
      </c>
      <c r="D53" s="138">
        <f>TARGETS!Y7</f>
        <v>262953105</v>
      </c>
      <c r="E53" s="138">
        <f>TARGETS!Z7</f>
        <v>0</v>
      </c>
      <c r="F53" s="138">
        <f>TARGETS!AA7</f>
        <v>0</v>
      </c>
      <c r="G53" s="138">
        <f t="shared" si="0"/>
        <v>262953105</v>
      </c>
      <c r="H53" s="114">
        <f t="shared" si="11"/>
        <v>186237371.06</v>
      </c>
      <c r="I53" s="114">
        <f t="shared" si="1"/>
        <v>0</v>
      </c>
      <c r="J53" s="114">
        <f t="shared" si="2"/>
        <v>0</v>
      </c>
      <c r="K53" s="114">
        <f t="shared" si="3"/>
        <v>186237371.06</v>
      </c>
      <c r="L53" s="187">
        <f t="shared" si="4"/>
        <v>0.70825317335575866</v>
      </c>
      <c r="M53" s="184">
        <f t="shared" si="5"/>
        <v>50420423.439999998</v>
      </c>
      <c r="N53" s="184">
        <f t="shared" ca="1" si="6"/>
        <v>0</v>
      </c>
      <c r="O53" s="180">
        <f t="shared" si="7"/>
        <v>63568078.689999998</v>
      </c>
      <c r="P53" s="180">
        <f t="shared" ca="1" si="8"/>
        <v>0</v>
      </c>
      <c r="Q53" s="185">
        <f t="shared" si="9"/>
        <v>76715733.939999998</v>
      </c>
      <c r="R53" s="185">
        <f t="shared" ca="1" si="10"/>
        <v>0</v>
      </c>
      <c r="T53" t="s">
        <v>168</v>
      </c>
      <c r="U53" t="s">
        <v>217</v>
      </c>
    </row>
    <row r="54" spans="2:21" x14ac:dyDescent="0.25">
      <c r="B54" s="53" t="s">
        <v>71</v>
      </c>
      <c r="C54" s="56" t="s">
        <v>72</v>
      </c>
      <c r="D54" s="119">
        <f>TARGETS!Y8</f>
        <v>633046146</v>
      </c>
      <c r="E54" s="119">
        <f>TARGETS!Z8</f>
        <v>35794312.055859983</v>
      </c>
      <c r="F54" s="119">
        <f>TARGETS!AA8</f>
        <v>109338663</v>
      </c>
      <c r="G54" s="119">
        <f t="shared" si="0"/>
        <v>778179121.05586004</v>
      </c>
      <c r="H54" s="114">
        <f t="shared" si="11"/>
        <v>806935617.24687099</v>
      </c>
      <c r="I54" s="114">
        <f t="shared" si="1"/>
        <v>28388679.159852002</v>
      </c>
      <c r="J54" s="114">
        <f t="shared" si="2"/>
        <v>176552657.81004</v>
      </c>
      <c r="K54" s="114">
        <f t="shared" si="3"/>
        <v>1011876954.216763</v>
      </c>
      <c r="L54" s="187">
        <f t="shared" si="4"/>
        <v>1.3003136769383041</v>
      </c>
      <c r="M54" s="184">
        <f t="shared" si="5"/>
        <v>-311515745.26648891</v>
      </c>
      <c r="N54" s="184">
        <f t="shared" ca="1" si="6"/>
        <v>0</v>
      </c>
      <c r="O54" s="180">
        <f t="shared" si="7"/>
        <v>-272606789.213696</v>
      </c>
      <c r="P54" s="180">
        <f t="shared" ca="1" si="8"/>
        <v>0</v>
      </c>
      <c r="Q54" s="185">
        <f t="shared" si="9"/>
        <v>-233697833.16090298</v>
      </c>
      <c r="R54" s="185">
        <f t="shared" ca="1" si="10"/>
        <v>0</v>
      </c>
      <c r="T54" t="s">
        <v>115</v>
      </c>
      <c r="U54" t="s">
        <v>217</v>
      </c>
    </row>
    <row r="55" spans="2:21" x14ac:dyDescent="0.25">
      <c r="B55" s="50" t="s">
        <v>73</v>
      </c>
      <c r="C55" s="55" t="s">
        <v>189</v>
      </c>
      <c r="D55" s="118">
        <f>TARGETS!Y9</f>
        <v>5575802</v>
      </c>
      <c r="E55" s="118">
        <f>TARGETS!Z9</f>
        <v>54597557.63085559</v>
      </c>
      <c r="F55" s="118">
        <f>TARGETS!AA9</f>
        <v>490733908</v>
      </c>
      <c r="G55" s="118">
        <f t="shared" si="0"/>
        <v>550907267.63085556</v>
      </c>
      <c r="H55" s="114">
        <f t="shared" si="11"/>
        <v>3123423.4199979999</v>
      </c>
      <c r="I55" s="114">
        <f t="shared" si="1"/>
        <v>30403216.600000001</v>
      </c>
      <c r="J55" s="114">
        <f t="shared" si="2"/>
        <v>352954956.67859</v>
      </c>
      <c r="K55" s="114">
        <f t="shared" si="3"/>
        <v>386481596.69858801</v>
      </c>
      <c r="L55" s="187">
        <f t="shared" si="4"/>
        <v>0.70153657322516272</v>
      </c>
      <c r="M55" s="184">
        <f t="shared" si="5"/>
        <v>109334944.169182</v>
      </c>
      <c r="N55" s="184">
        <f t="shared" ca="1" si="6"/>
        <v>0</v>
      </c>
      <c r="O55" s="180">
        <f t="shared" si="7"/>
        <v>136880307.55072474</v>
      </c>
      <c r="P55" s="180">
        <f t="shared" ca="1" si="8"/>
        <v>0</v>
      </c>
      <c r="Q55" s="185">
        <f t="shared" si="9"/>
        <v>164425670.93226755</v>
      </c>
      <c r="R55" s="185">
        <f t="shared" ca="1" si="10"/>
        <v>0</v>
      </c>
      <c r="T55" t="s">
        <v>213</v>
      </c>
      <c r="U55" t="s">
        <v>217</v>
      </c>
    </row>
    <row r="56" spans="2:21" x14ac:dyDescent="0.25">
      <c r="B56" s="53" t="s">
        <v>75</v>
      </c>
      <c r="C56" s="56" t="s">
        <v>99</v>
      </c>
      <c r="D56" s="119">
        <f>TARGETS!Y10</f>
        <v>309612765</v>
      </c>
      <c r="E56" s="119">
        <f>TARGETS!Z10</f>
        <v>107263766.34102874</v>
      </c>
      <c r="F56" s="119">
        <f>TARGETS!AA10</f>
        <v>209576770</v>
      </c>
      <c r="G56" s="119">
        <f t="shared" si="0"/>
        <v>626453301.34102869</v>
      </c>
      <c r="H56" s="114">
        <f t="shared" si="11"/>
        <v>160197012.810229</v>
      </c>
      <c r="I56" s="114">
        <f t="shared" si="1"/>
        <v>107670163.37918</v>
      </c>
      <c r="J56" s="114">
        <f t="shared" si="2"/>
        <v>177455267.749598</v>
      </c>
      <c r="K56" s="114">
        <f t="shared" si="3"/>
        <v>445322443.93900704</v>
      </c>
      <c r="L56" s="187">
        <f t="shared" si="4"/>
        <v>0.71086295336894134</v>
      </c>
      <c r="M56" s="184">
        <f t="shared" si="5"/>
        <v>118485527.26791883</v>
      </c>
      <c r="N56" s="184">
        <f t="shared" ca="1" si="6"/>
        <v>0</v>
      </c>
      <c r="O56" s="180">
        <f t="shared" si="7"/>
        <v>149808192.33497024</v>
      </c>
      <c r="P56" s="180">
        <f t="shared" ca="1" si="8"/>
        <v>0</v>
      </c>
      <c r="Q56" s="185">
        <f t="shared" si="9"/>
        <v>181130857.40202165</v>
      </c>
      <c r="R56" s="185">
        <f t="shared" ca="1" si="10"/>
        <v>0</v>
      </c>
      <c r="T56" t="s">
        <v>182</v>
      </c>
      <c r="U56" t="s">
        <v>217</v>
      </c>
    </row>
    <row r="57" spans="2:21" x14ac:dyDescent="0.25">
      <c r="B57" s="50" t="s">
        <v>76</v>
      </c>
      <c r="C57" s="55" t="s">
        <v>77</v>
      </c>
      <c r="D57" s="118">
        <f>TARGETS!Y11</f>
        <v>706692044</v>
      </c>
      <c r="E57" s="118">
        <f>TARGETS!Z11</f>
        <v>85448443.319925025</v>
      </c>
      <c r="F57" s="118">
        <f>TARGETS!AA11</f>
        <v>368550890</v>
      </c>
      <c r="G57" s="118">
        <f t="shared" si="0"/>
        <v>1160691377.3199251</v>
      </c>
      <c r="H57" s="114">
        <f t="shared" si="11"/>
        <v>694746397.13682199</v>
      </c>
      <c r="I57" s="114">
        <f t="shared" si="1"/>
        <v>83310744.179726005</v>
      </c>
      <c r="J57" s="114">
        <f t="shared" si="2"/>
        <v>361895856.40941203</v>
      </c>
      <c r="K57" s="114">
        <f t="shared" si="3"/>
        <v>1139952997.72596</v>
      </c>
      <c r="L57" s="187">
        <f t="shared" si="4"/>
        <v>0.98213273571321713</v>
      </c>
      <c r="M57" s="184">
        <f t="shared" si="5"/>
        <v>-95330758.13802743</v>
      </c>
      <c r="N57" s="184">
        <f t="shared" ca="1" si="6"/>
        <v>0</v>
      </c>
      <c r="O57" s="180">
        <f t="shared" si="7"/>
        <v>-37296189.272031307</v>
      </c>
      <c r="P57" s="180">
        <f t="shared" ca="1" si="8"/>
        <v>0</v>
      </c>
      <c r="Q57" s="185">
        <f t="shared" si="9"/>
        <v>20738379.593965054</v>
      </c>
      <c r="R57" s="185">
        <f t="shared" ca="1" si="10"/>
        <v>0</v>
      </c>
      <c r="T57" t="s">
        <v>120</v>
      </c>
      <c r="U57" t="s">
        <v>217</v>
      </c>
    </row>
    <row r="58" spans="2:21" x14ac:dyDescent="0.25">
      <c r="B58" s="53" t="s">
        <v>78</v>
      </c>
      <c r="C58" s="56" t="s">
        <v>79</v>
      </c>
      <c r="D58" s="119">
        <f>TARGETS!Y12</f>
        <v>302084971</v>
      </c>
      <c r="E58" s="119">
        <f>TARGETS!Z12</f>
        <v>88976480.286837116</v>
      </c>
      <c r="F58" s="119">
        <f>TARGETS!AA12</f>
        <v>275026731</v>
      </c>
      <c r="G58" s="119">
        <f t="shared" si="0"/>
        <v>666088182.2868371</v>
      </c>
      <c r="H58" s="114">
        <f t="shared" si="11"/>
        <v>336624600.15198898</v>
      </c>
      <c r="I58" s="114">
        <f t="shared" si="1"/>
        <v>91520734.704789996</v>
      </c>
      <c r="J58" s="114">
        <f t="shared" si="2"/>
        <v>231931490.0036</v>
      </c>
      <c r="K58" s="114">
        <f t="shared" si="3"/>
        <v>660076824.86037898</v>
      </c>
      <c r="L58" s="187">
        <f t="shared" si="4"/>
        <v>0.9909751327432057</v>
      </c>
      <c r="M58" s="184">
        <f t="shared" si="5"/>
        <v>-60597460.80222559</v>
      </c>
      <c r="N58" s="184">
        <f t="shared" ca="1" si="6"/>
        <v>0</v>
      </c>
      <c r="O58" s="180">
        <f t="shared" si="7"/>
        <v>-27293051.687883735</v>
      </c>
      <c r="P58" s="180">
        <f t="shared" ca="1" si="8"/>
        <v>0</v>
      </c>
      <c r="Q58" s="185">
        <f t="shared" si="9"/>
        <v>6011357.4264581203</v>
      </c>
      <c r="R58" s="185">
        <f t="shared" ca="1" si="10"/>
        <v>0</v>
      </c>
      <c r="T58" t="s">
        <v>125</v>
      </c>
      <c r="U58" t="s">
        <v>217</v>
      </c>
    </row>
    <row r="59" spans="2:21" x14ac:dyDescent="0.25">
      <c r="B59" s="136" t="s">
        <v>171</v>
      </c>
      <c r="C59" s="137" t="s">
        <v>173</v>
      </c>
      <c r="D59" s="138">
        <f>TARGETS!Y13</f>
        <v>443846716</v>
      </c>
      <c r="E59" s="138">
        <f>TARGETS!Z13</f>
        <v>0</v>
      </c>
      <c r="F59" s="138">
        <f>TARGETS!AA13</f>
        <v>0</v>
      </c>
      <c r="G59" s="138">
        <f t="shared" si="0"/>
        <v>443846716</v>
      </c>
      <c r="H59" s="114">
        <f t="shared" si="11"/>
        <v>427491232.60000002</v>
      </c>
      <c r="I59" s="114">
        <f t="shared" si="1"/>
        <v>0</v>
      </c>
      <c r="J59" s="114">
        <f t="shared" si="2"/>
        <v>0</v>
      </c>
      <c r="K59" s="114">
        <f t="shared" si="3"/>
        <v>427491232.60000002</v>
      </c>
      <c r="L59" s="187">
        <f t="shared" si="4"/>
        <v>0.96315060400266661</v>
      </c>
      <c r="M59" s="184">
        <f t="shared" si="5"/>
        <v>-28029188.199999988</v>
      </c>
      <c r="N59" s="184">
        <f t="shared" ca="1" si="6"/>
        <v>0</v>
      </c>
      <c r="O59" s="180">
        <f t="shared" si="7"/>
        <v>-5836852.4000000358</v>
      </c>
      <c r="P59" s="180">
        <f t="shared" ca="1" si="8"/>
        <v>0</v>
      </c>
      <c r="Q59" s="185">
        <f t="shared" si="9"/>
        <v>16355483.399999976</v>
      </c>
      <c r="R59" s="185">
        <f t="shared" ca="1" si="10"/>
        <v>0</v>
      </c>
      <c r="T59" t="s">
        <v>169</v>
      </c>
      <c r="U59" t="s">
        <v>217</v>
      </c>
    </row>
    <row r="60" spans="2:21" x14ac:dyDescent="0.25">
      <c r="B60" s="53" t="s">
        <v>80</v>
      </c>
      <c r="C60" s="56" t="s">
        <v>189</v>
      </c>
      <c r="D60" s="119">
        <f>TARGETS!Y14</f>
        <v>387829132</v>
      </c>
      <c r="E60" s="119">
        <f>TARGETS!Z14</f>
        <v>101974877.61343271</v>
      </c>
      <c r="F60" s="119">
        <f>TARGETS!AA14</f>
        <v>140889511</v>
      </c>
      <c r="G60" s="119">
        <f t="shared" si="0"/>
        <v>630693520.61343265</v>
      </c>
      <c r="H60" s="114">
        <f t="shared" si="11"/>
        <v>391754161.13883197</v>
      </c>
      <c r="I60" s="114">
        <f t="shared" si="1"/>
        <v>83228394.506621003</v>
      </c>
      <c r="J60" s="114">
        <f t="shared" si="2"/>
        <v>131095974.767517</v>
      </c>
      <c r="K60" s="114">
        <f t="shared" si="3"/>
        <v>606078530.41296995</v>
      </c>
      <c r="L60" s="187">
        <f t="shared" si="4"/>
        <v>0.96097155052977024</v>
      </c>
      <c r="M60" s="184">
        <f t="shared" si="5"/>
        <v>-38454361.860880494</v>
      </c>
      <c r="N60" s="184">
        <f t="shared" ca="1" si="6"/>
        <v>0</v>
      </c>
      <c r="O60" s="180">
        <f t="shared" si="7"/>
        <v>-6919685.8302090168</v>
      </c>
      <c r="P60" s="180">
        <f t="shared" ca="1" si="8"/>
        <v>0</v>
      </c>
      <c r="Q60" s="185">
        <f t="shared" si="9"/>
        <v>24614990.200462699</v>
      </c>
      <c r="R60" s="185">
        <f t="shared" ca="1" si="10"/>
        <v>0</v>
      </c>
      <c r="T60" t="s">
        <v>214</v>
      </c>
      <c r="U60" t="s">
        <v>217</v>
      </c>
    </row>
    <row r="61" spans="2:21" x14ac:dyDescent="0.25">
      <c r="B61" s="50" t="s">
        <v>82</v>
      </c>
      <c r="C61" s="55" t="s">
        <v>83</v>
      </c>
      <c r="D61" s="118">
        <f>TARGETS!Y15</f>
        <v>518888039</v>
      </c>
      <c r="E61" s="118">
        <f>TARGETS!Z15</f>
        <v>55257406.157477453</v>
      </c>
      <c r="F61" s="118">
        <f>TARGETS!AA15</f>
        <v>193954669</v>
      </c>
      <c r="G61" s="118">
        <f t="shared" si="0"/>
        <v>768100114.1574775</v>
      </c>
      <c r="H61" s="114">
        <f t="shared" si="11"/>
        <v>444619443.18372798</v>
      </c>
      <c r="I61" s="114">
        <f t="shared" si="1"/>
        <v>61211234.240413003</v>
      </c>
      <c r="J61" s="114">
        <f t="shared" si="2"/>
        <v>226294669.539931</v>
      </c>
      <c r="K61" s="114">
        <f t="shared" si="3"/>
        <v>732125346.96407199</v>
      </c>
      <c r="L61" s="187">
        <f t="shared" si="4"/>
        <v>0.95316396062137565</v>
      </c>
      <c r="M61" s="184">
        <f t="shared" si="5"/>
        <v>-40835244.222342253</v>
      </c>
      <c r="N61" s="184">
        <f t="shared" ca="1" si="6"/>
        <v>0</v>
      </c>
      <c r="O61" s="180">
        <f t="shared" si="7"/>
        <v>-2430238.5144684315</v>
      </c>
      <c r="P61" s="180">
        <f t="shared" ca="1" si="8"/>
        <v>0</v>
      </c>
      <c r="Q61" s="185">
        <f t="shared" si="9"/>
        <v>35974767.193405509</v>
      </c>
      <c r="R61" s="185">
        <f t="shared" ca="1" si="10"/>
        <v>0</v>
      </c>
      <c r="T61" t="s">
        <v>126</v>
      </c>
      <c r="U61" t="s">
        <v>217</v>
      </c>
    </row>
    <row r="62" spans="2:21" x14ac:dyDescent="0.25">
      <c r="B62" s="53" t="s">
        <v>84</v>
      </c>
      <c r="C62" s="56" t="s">
        <v>85</v>
      </c>
      <c r="D62" s="119">
        <f>TARGETS!Y16</f>
        <v>210599044</v>
      </c>
      <c r="E62" s="119">
        <f>TARGETS!Z16</f>
        <v>32662674.187332422</v>
      </c>
      <c r="F62" s="119">
        <f>TARGETS!AA16</f>
        <v>285268852</v>
      </c>
      <c r="G62" s="119">
        <f t="shared" si="0"/>
        <v>528530570.18733239</v>
      </c>
      <c r="H62" s="114">
        <f t="shared" si="11"/>
        <v>168537898.23074001</v>
      </c>
      <c r="I62" s="114">
        <f t="shared" si="1"/>
        <v>36713911.444587</v>
      </c>
      <c r="J62" s="114">
        <f t="shared" si="2"/>
        <v>237910140.663104</v>
      </c>
      <c r="K62" s="114">
        <f t="shared" si="3"/>
        <v>443161950.338431</v>
      </c>
      <c r="L62" s="187">
        <f t="shared" si="4"/>
        <v>0.83847931479414084</v>
      </c>
      <c r="M62" s="184">
        <f t="shared" si="5"/>
        <v>32515562.830168188</v>
      </c>
      <c r="N62" s="184">
        <f t="shared" ca="1" si="6"/>
        <v>0</v>
      </c>
      <c r="O62" s="180">
        <f t="shared" si="7"/>
        <v>58942091.33953476</v>
      </c>
      <c r="P62" s="180">
        <f t="shared" ca="1" si="8"/>
        <v>0</v>
      </c>
      <c r="Q62" s="185">
        <f t="shared" si="9"/>
        <v>85368619.848901391</v>
      </c>
      <c r="R62" s="185">
        <f t="shared" ca="1" si="10"/>
        <v>0</v>
      </c>
      <c r="T62" t="s">
        <v>112</v>
      </c>
      <c r="U62" t="s">
        <v>217</v>
      </c>
    </row>
    <row r="63" spans="2:21" x14ac:dyDescent="0.25">
      <c r="B63" s="50" t="s">
        <v>86</v>
      </c>
      <c r="C63" s="55" t="s">
        <v>87</v>
      </c>
      <c r="D63" s="118">
        <f>TARGETS!Y17</f>
        <v>452060736</v>
      </c>
      <c r="E63" s="118">
        <f>TARGETS!Z17</f>
        <v>310428849.14490294</v>
      </c>
      <c r="F63" s="118">
        <f>TARGETS!AA17</f>
        <v>267991724</v>
      </c>
      <c r="G63" s="118">
        <f t="shared" si="0"/>
        <v>1030481309.1449029</v>
      </c>
      <c r="H63" s="114">
        <f t="shared" si="11"/>
        <v>352299598.35567099</v>
      </c>
      <c r="I63" s="114">
        <f t="shared" si="1"/>
        <v>306965581.86604702</v>
      </c>
      <c r="J63" s="114">
        <f t="shared" si="2"/>
        <v>346692952.41662002</v>
      </c>
      <c r="K63" s="114">
        <f t="shared" si="3"/>
        <v>1005958132.6383381</v>
      </c>
      <c r="L63" s="187">
        <f t="shared" si="4"/>
        <v>0.97620221124931006</v>
      </c>
      <c r="M63" s="184">
        <f t="shared" si="5"/>
        <v>-78524954.407925367</v>
      </c>
      <c r="N63" s="184">
        <f t="shared" ca="1" si="6"/>
        <v>0</v>
      </c>
      <c r="O63" s="180">
        <f t="shared" si="7"/>
        <v>-27000888.950680375</v>
      </c>
      <c r="P63" s="180">
        <f t="shared" ca="1" si="8"/>
        <v>0</v>
      </c>
      <c r="Q63" s="185">
        <f t="shared" si="9"/>
        <v>24523176.506564856</v>
      </c>
      <c r="R63" s="185">
        <f t="shared" ca="1" si="10"/>
        <v>0</v>
      </c>
      <c r="T63" t="s">
        <v>127</v>
      </c>
      <c r="U63" t="s">
        <v>217</v>
      </c>
    </row>
    <row r="64" spans="2:21" x14ac:dyDescent="0.25">
      <c r="B64" s="53" t="s">
        <v>88</v>
      </c>
      <c r="C64" s="56" t="s">
        <v>89</v>
      </c>
      <c r="D64" s="119">
        <f>TARGETS!Y18</f>
        <v>165415307</v>
      </c>
      <c r="E64" s="119">
        <f>TARGETS!Z18</f>
        <v>195822004.71075061</v>
      </c>
      <c r="F64" s="119">
        <f>TARGETS!AA18</f>
        <v>227184322</v>
      </c>
      <c r="G64" s="119">
        <f t="shared" si="0"/>
        <v>588421633.71075058</v>
      </c>
      <c r="H64" s="114">
        <f t="shared" si="11"/>
        <v>139438392.03366101</v>
      </c>
      <c r="I64" s="114">
        <f t="shared" si="1"/>
        <v>135242992.81956199</v>
      </c>
      <c r="J64" s="114">
        <f t="shared" si="2"/>
        <v>172158826.50843</v>
      </c>
      <c r="K64" s="114">
        <f t="shared" si="3"/>
        <v>446840211.36165297</v>
      </c>
      <c r="L64" s="187">
        <f t="shared" si="4"/>
        <v>0.7593878024907994</v>
      </c>
      <c r="M64" s="184">
        <f t="shared" si="5"/>
        <v>82739258.978022575</v>
      </c>
      <c r="N64" s="184">
        <f t="shared" ca="1" si="6"/>
        <v>0</v>
      </c>
      <c r="O64" s="180">
        <f t="shared" si="7"/>
        <v>112160340.66356003</v>
      </c>
      <c r="P64" s="180">
        <f t="shared" ca="1" si="8"/>
        <v>0</v>
      </c>
      <c r="Q64" s="185">
        <f t="shared" si="9"/>
        <v>141581422.34909761</v>
      </c>
      <c r="R64" s="185">
        <f t="shared" ca="1" si="10"/>
        <v>0</v>
      </c>
      <c r="T64" t="s">
        <v>122</v>
      </c>
      <c r="U64" t="s">
        <v>123</v>
      </c>
    </row>
    <row r="65" spans="2:21" x14ac:dyDescent="0.25">
      <c r="B65" s="57" t="s">
        <v>151</v>
      </c>
      <c r="C65" s="58"/>
      <c r="D65" s="134">
        <f t="shared" ref="D65:K65" si="12">SUM(D51:D64)</f>
        <v>4927597521</v>
      </c>
      <c r="E65" s="134">
        <f t="shared" si="12"/>
        <v>1294442997.4659395</v>
      </c>
      <c r="F65" s="134">
        <f t="shared" si="12"/>
        <v>3216211725</v>
      </c>
      <c r="G65" s="134">
        <f t="shared" si="12"/>
        <v>9438252243.4659405</v>
      </c>
      <c r="H65" s="135">
        <f t="shared" si="12"/>
        <v>4626966240.2540092</v>
      </c>
      <c r="I65" s="135">
        <f t="shared" si="12"/>
        <v>1119499821.2667329</v>
      </c>
      <c r="J65" s="135">
        <f t="shared" si="12"/>
        <v>2991377400.9253774</v>
      </c>
      <c r="K65" s="135">
        <f t="shared" si="12"/>
        <v>8737843462.4461193</v>
      </c>
      <c r="L65" s="189">
        <f t="shared" si="4"/>
        <v>0.9257904151158165</v>
      </c>
      <c r="M65" s="181">
        <f>SUM(M51:M64)</f>
        <v>-243416443.32677305</v>
      </c>
      <c r="N65" s="181">
        <f t="shared" ca="1" si="6"/>
        <v>0</v>
      </c>
      <c r="O65" s="181">
        <f>SUM(O51:O64)</f>
        <v>228496168.84652299</v>
      </c>
      <c r="P65" s="181">
        <f t="shared" ca="1" si="8"/>
        <v>0</v>
      </c>
      <c r="Q65" s="186">
        <f>SUM(Q51:Q64)</f>
        <v>700408781.01982045</v>
      </c>
      <c r="R65" s="186">
        <f t="shared" ca="1" si="10"/>
        <v>0</v>
      </c>
    </row>
    <row r="66" spans="2:21" x14ac:dyDescent="0.25">
      <c r="G66" s="111"/>
      <c r="H66" s="111"/>
      <c r="I66" s="111"/>
    </row>
    <row r="67" spans="2:21" ht="18.95" customHeight="1" x14ac:dyDescent="0.25">
      <c r="B67" s="288" t="s">
        <v>144</v>
      </c>
      <c r="C67" s="289"/>
      <c r="D67" s="289"/>
      <c r="E67" s="289"/>
      <c r="F67" s="290"/>
      <c r="G67" s="274" t="s">
        <v>185</v>
      </c>
      <c r="H67" s="275"/>
      <c r="I67" s="275"/>
      <c r="J67" s="275"/>
      <c r="K67" s="275"/>
      <c r="L67" s="276"/>
    </row>
    <row r="68" spans="2:21" ht="25.5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"SELISIH"&amp;CHAR(10)&amp;TEXT($H$40,"0%")</f>
        <v>SELISIH
90%</v>
      </c>
      <c r="H68" s="232" t="str">
        <f>"PER HARI"&amp;CHAR(10)&amp;TEXT($H$40,"0%")</f>
        <v>PER HARI
90%</v>
      </c>
      <c r="I68" s="229" t="str">
        <f>"SELISIH"&amp;CHAR(10)&amp;TEXT($J$40,"0%")</f>
        <v>SELISIH
95%</v>
      </c>
      <c r="J68" s="230" t="str">
        <f>"PER HARI"&amp;CHAR(10)&amp;TEXT($J$40,"0%")</f>
        <v>PER HARI
95%</v>
      </c>
      <c r="K68" s="222" t="str">
        <f>"SELISIH"&amp;CHAR(10)&amp;TEXT($L$40,"0%")</f>
        <v>SELISIH
100%</v>
      </c>
      <c r="L68" s="222" t="str">
        <f>"PER HARI"&amp;CHAR(10)&amp;TEXT($L$40,"0%")</f>
        <v>PER HARI
100%</v>
      </c>
    </row>
    <row r="69" spans="2:21" x14ac:dyDescent="0.25">
      <c r="B69" s="50" t="s">
        <v>92</v>
      </c>
      <c r="C69" s="55" t="s">
        <v>93</v>
      </c>
      <c r="D69" s="116">
        <f>TARGETS!K22</f>
        <v>298101474.90070933</v>
      </c>
      <c r="E69" s="114">
        <f>IFERROR($C$31,0)</f>
        <v>270468251.94897401</v>
      </c>
      <c r="F69" s="187">
        <f t="shared" ref="F69:F74" si="13">IFERROR(E69/D69,0)</f>
        <v>0.90730262921060922</v>
      </c>
      <c r="G69" s="184">
        <f>D69*$H$40-E69</f>
        <v>-2176924.5383356214</v>
      </c>
      <c r="H69" s="184">
        <f t="shared" ref="H69:H74" ca="1" si="14">IFERROR(G69/$C$3,0)</f>
        <v>0</v>
      </c>
      <c r="I69" s="204">
        <f>D69*$J$40-E69</f>
        <v>12728149.206699848</v>
      </c>
      <c r="J69" s="204">
        <f t="shared" ref="J69:J74" ca="1" si="15">IFERROR(I69/$C$3,0)</f>
        <v>0</v>
      </c>
      <c r="K69" s="185">
        <f>D69*$L$40-E69</f>
        <v>27633222.951735318</v>
      </c>
      <c r="L69" s="185">
        <f t="shared" ref="L69:L74" ca="1" si="16">IFERROR(K69/$C$3,0)</f>
        <v>0</v>
      </c>
    </row>
    <row r="70" spans="2:21" x14ac:dyDescent="0.25">
      <c r="B70" s="53" t="s">
        <v>94</v>
      </c>
      <c r="C70" s="56" t="s">
        <v>99</v>
      </c>
      <c r="D70" s="117">
        <f>TARGETS!K23</f>
        <v>441402383.90070933</v>
      </c>
      <c r="E70" s="114">
        <f>IFERROR($C$32,0)</f>
        <v>459125956.89144701</v>
      </c>
      <c r="F70" s="187">
        <f t="shared" si="13"/>
        <v>1.0401528710246488</v>
      </c>
      <c r="G70" s="184">
        <f>D70*$H$40-E70</f>
        <v>-61863811.380808592</v>
      </c>
      <c r="H70" s="184">
        <f t="shared" ca="1" si="14"/>
        <v>0</v>
      </c>
      <c r="I70" s="204">
        <f>D70*$J$40-E70</f>
        <v>-39793692.185773134</v>
      </c>
      <c r="J70" s="204">
        <f t="shared" ca="1" si="15"/>
        <v>0</v>
      </c>
      <c r="K70" s="185">
        <f>D70*$L$40-E70</f>
        <v>-17723572.990737677</v>
      </c>
      <c r="L70" s="185">
        <f t="shared" ca="1" si="16"/>
        <v>0</v>
      </c>
    </row>
    <row r="71" spans="2:21" x14ac:dyDescent="0.25">
      <c r="B71" s="50" t="s">
        <v>96</v>
      </c>
      <c r="C71" s="55" t="s">
        <v>97</v>
      </c>
      <c r="D71" s="116">
        <f>TARGETS!K24</f>
        <v>1126453588.0070922</v>
      </c>
      <c r="E71" s="114">
        <f>M21</f>
        <v>957241971.304317</v>
      </c>
      <c r="F71" s="187">
        <f t="shared" si="13"/>
        <v>0.84978376516857446</v>
      </c>
      <c r="G71" s="184">
        <f>D71*$H$40-E71</f>
        <v>56566257.902065992</v>
      </c>
      <c r="H71" s="184">
        <f t="shared" ca="1" si="14"/>
        <v>0</v>
      </c>
      <c r="I71" s="204">
        <f>D71*$J$40-E71</f>
        <v>112888937.30242062</v>
      </c>
      <c r="J71" s="204">
        <f t="shared" ca="1" si="15"/>
        <v>0</v>
      </c>
      <c r="K71" s="185">
        <f>D71*$L$40-E71</f>
        <v>169211616.70277524</v>
      </c>
      <c r="L71" s="185">
        <f t="shared" ca="1" si="16"/>
        <v>0</v>
      </c>
    </row>
    <row r="72" spans="2:21" hidden="1" x14ac:dyDescent="0.25">
      <c r="B72" s="53" t="s">
        <v>98</v>
      </c>
      <c r="C72" s="56" t="s">
        <v>99</v>
      </c>
      <c r="D72" s="117">
        <f>TARGETS!K25</f>
        <v>0</v>
      </c>
      <c r="E72" s="114">
        <f>0</f>
        <v>0</v>
      </c>
      <c r="F72" s="187">
        <f t="shared" si="13"/>
        <v>0</v>
      </c>
      <c r="G72" s="184">
        <f>D72*$H$40-E72</f>
        <v>0</v>
      </c>
      <c r="H72" s="184">
        <f t="shared" ca="1" si="14"/>
        <v>0</v>
      </c>
      <c r="I72" s="204">
        <f>D72*$J$40-E72</f>
        <v>0</v>
      </c>
      <c r="J72" s="204">
        <f t="shared" ca="1" si="15"/>
        <v>0</v>
      </c>
      <c r="K72" s="185">
        <f>D72*$L$40-E72</f>
        <v>0</v>
      </c>
      <c r="L72" s="185">
        <f t="shared" ca="1" si="16"/>
        <v>0</v>
      </c>
    </row>
    <row r="73" spans="2:21" hidden="1" x14ac:dyDescent="0.25">
      <c r="B73" s="50" t="s">
        <v>100</v>
      </c>
      <c r="C73" s="108" t="s">
        <v>101</v>
      </c>
      <c r="D73" s="116">
        <f>TARGETS!K26</f>
        <v>0</v>
      </c>
      <c r="E73" s="114">
        <f>0</f>
        <v>0</v>
      </c>
      <c r="F73" s="187">
        <f t="shared" si="13"/>
        <v>0</v>
      </c>
      <c r="G73" s="184">
        <f>D73*$H$40-E73</f>
        <v>0</v>
      </c>
      <c r="H73" s="184">
        <f t="shared" ca="1" si="14"/>
        <v>0</v>
      </c>
      <c r="I73" s="204">
        <f>D73*$J$40-E73</f>
        <v>0</v>
      </c>
      <c r="J73" s="204">
        <f t="shared" ca="1" si="15"/>
        <v>0</v>
      </c>
      <c r="K73" s="185">
        <f>D73*$L$40-E73</f>
        <v>0</v>
      </c>
      <c r="L73" s="185">
        <f t="shared" ca="1" si="16"/>
        <v>0</v>
      </c>
    </row>
    <row r="74" spans="2:21" x14ac:dyDescent="0.25">
      <c r="B74" s="57" t="s">
        <v>151</v>
      </c>
      <c r="C74" s="58"/>
      <c r="D74" s="115">
        <f>SUM(D69:D73)</f>
        <v>1865957446.8085108</v>
      </c>
      <c r="E74" s="115">
        <f>SUM(E69:E73)</f>
        <v>1686836180.144738</v>
      </c>
      <c r="F74" s="177">
        <f t="shared" si="13"/>
        <v>0.90400570657699741</v>
      </c>
      <c r="G74" s="181">
        <f>SUM(G69:G73)</f>
        <v>-7474478.0170782208</v>
      </c>
      <c r="H74" s="181">
        <f t="shared" ca="1" si="14"/>
        <v>0</v>
      </c>
      <c r="I74" s="186">
        <f>SUM(I69:I73)</f>
        <v>85823394.32334733</v>
      </c>
      <c r="J74" s="186">
        <f t="shared" ca="1" si="15"/>
        <v>0</v>
      </c>
      <c r="K74" s="186">
        <f>SUM(K69:K73)</f>
        <v>179121266.66377288</v>
      </c>
      <c r="L74" s="186">
        <f t="shared" ca="1" si="16"/>
        <v>0</v>
      </c>
    </row>
    <row r="77" spans="2:21" ht="20.100000000000001" customHeight="1" x14ac:dyDescent="0.25">
      <c r="B77" s="254" t="s">
        <v>170</v>
      </c>
      <c r="C77" s="255"/>
      <c r="D77" s="256"/>
    </row>
    <row r="78" spans="2:21" ht="15.75" x14ac:dyDescent="0.25">
      <c r="B78" s="273" t="s">
        <v>41</v>
      </c>
      <c r="C78" s="273" t="s">
        <v>42</v>
      </c>
      <c r="D78" s="231" t="s">
        <v>138</v>
      </c>
    </row>
    <row r="79" spans="2:21" ht="15.75" x14ac:dyDescent="0.25">
      <c r="B79" s="263"/>
      <c r="C79" s="263"/>
      <c r="D79" s="70" t="s">
        <v>167</v>
      </c>
      <c r="T79" s="172" t="s">
        <v>215</v>
      </c>
      <c r="U79" s="172" t="s">
        <v>216</v>
      </c>
    </row>
    <row r="80" spans="2:21" x14ac:dyDescent="0.25">
      <c r="B80" s="50" t="s">
        <v>67</v>
      </c>
      <c r="C80" s="55" t="s">
        <v>68</v>
      </c>
      <c r="D80" s="131">
        <f>SUMIF($B$10:$B$26,$T80,$F$10:$F$26)+SUMIF($B$10:$B$26,$U80,$F$10:$F$26)</f>
        <v>551744030.62983501</v>
      </c>
      <c r="T80" t="str">
        <f t="shared" ref="T80:U93" si="17">T51</f>
        <v>Picrom Stalyon</v>
      </c>
      <c r="U80" t="str">
        <f t="shared" si="17"/>
        <v>n/a</v>
      </c>
    </row>
    <row r="81" spans="2:21" x14ac:dyDescent="0.25">
      <c r="B81" s="53" t="s">
        <v>69</v>
      </c>
      <c r="C81" s="56" t="s">
        <v>70</v>
      </c>
      <c r="D81" s="132">
        <f t="shared" ref="D81:D93" si="18">SUMIF($B$10:$B$26,$T81,$F$10:$F$26)+SUMIF($B$10:$B$26,$U81,$F$10:$F$26)</f>
        <v>179143017.21000001</v>
      </c>
      <c r="T81" t="str">
        <f t="shared" si="17"/>
        <v>I MADE LUIH</v>
      </c>
      <c r="U81" t="str">
        <f t="shared" si="17"/>
        <v>I Made Luih (Sanur)</v>
      </c>
    </row>
    <row r="82" spans="2:21" x14ac:dyDescent="0.25">
      <c r="B82" s="53" t="s">
        <v>171</v>
      </c>
      <c r="C82" s="56" t="s">
        <v>172</v>
      </c>
      <c r="D82" s="132">
        <f t="shared" si="18"/>
        <v>13081080.720000001</v>
      </c>
      <c r="T82" t="str">
        <f t="shared" si="17"/>
        <v>NN Made Luih</v>
      </c>
      <c r="U82" t="str">
        <f t="shared" si="17"/>
        <v>n/a</v>
      </c>
    </row>
    <row r="83" spans="2:21" x14ac:dyDescent="0.25">
      <c r="B83" s="50" t="s">
        <v>71</v>
      </c>
      <c r="C83" s="55" t="s">
        <v>72</v>
      </c>
      <c r="D83" s="131">
        <f t="shared" si="18"/>
        <v>440469451.51974601</v>
      </c>
      <c r="T83" t="str">
        <f t="shared" si="17"/>
        <v>Juni</v>
      </c>
      <c r="U83" t="str">
        <f t="shared" si="17"/>
        <v>n/a</v>
      </c>
    </row>
    <row r="84" spans="2:21" x14ac:dyDescent="0.25">
      <c r="B84" s="53" t="s">
        <v>73</v>
      </c>
      <c r="C84" s="56" t="s">
        <v>189</v>
      </c>
      <c r="D84" s="132">
        <f t="shared" si="18"/>
        <v>0</v>
      </c>
      <c r="T84" t="str">
        <f t="shared" si="17"/>
        <v>Eka/Wahyu - FIB</v>
      </c>
      <c r="U84" t="str">
        <f t="shared" si="17"/>
        <v>n/a</v>
      </c>
    </row>
    <row r="85" spans="2:21" x14ac:dyDescent="0.25">
      <c r="B85" s="50" t="s">
        <v>75</v>
      </c>
      <c r="C85" s="55" t="s">
        <v>99</v>
      </c>
      <c r="D85" s="131">
        <f t="shared" si="18"/>
        <v>57669377.93</v>
      </c>
      <c r="T85" t="str">
        <f t="shared" si="17"/>
        <v>Vacant Hotel Kuta Seminyak</v>
      </c>
      <c r="U85" t="str">
        <f t="shared" si="17"/>
        <v>n/a</v>
      </c>
    </row>
    <row r="86" spans="2:21" x14ac:dyDescent="0.25">
      <c r="B86" s="53" t="s">
        <v>76</v>
      </c>
      <c r="C86" s="56" t="s">
        <v>77</v>
      </c>
      <c r="D86" s="132">
        <f t="shared" si="18"/>
        <v>1726626492.0199161</v>
      </c>
      <c r="T86" t="str">
        <f t="shared" si="17"/>
        <v>Monica</v>
      </c>
      <c r="U86" t="str">
        <f t="shared" si="17"/>
        <v>n/a</v>
      </c>
    </row>
    <row r="87" spans="2:21" x14ac:dyDescent="0.25">
      <c r="B87" s="50" t="s">
        <v>78</v>
      </c>
      <c r="C87" s="55" t="s">
        <v>79</v>
      </c>
      <c r="D87" s="131">
        <f t="shared" si="18"/>
        <v>403022156.07930398</v>
      </c>
      <c r="T87" t="str">
        <f t="shared" si="17"/>
        <v>Sujana</v>
      </c>
      <c r="U87" t="str">
        <f t="shared" si="17"/>
        <v>n/a</v>
      </c>
    </row>
    <row r="88" spans="2:21" x14ac:dyDescent="0.25">
      <c r="B88" s="53" t="s">
        <v>171</v>
      </c>
      <c r="C88" s="56" t="s">
        <v>173</v>
      </c>
      <c r="D88" s="132">
        <f t="shared" si="18"/>
        <v>16534323.880000001</v>
      </c>
      <c r="T88" t="str">
        <f t="shared" si="17"/>
        <v>NN Sujana</v>
      </c>
      <c r="U88" t="str">
        <f t="shared" si="17"/>
        <v>n/a</v>
      </c>
    </row>
    <row r="89" spans="2:21" x14ac:dyDescent="0.25">
      <c r="B89" s="53" t="s">
        <v>80</v>
      </c>
      <c r="C89" s="56" t="s">
        <v>189</v>
      </c>
      <c r="D89" s="132">
        <f t="shared" si="18"/>
        <v>303884492.08999997</v>
      </c>
      <c r="T89" t="str">
        <f t="shared" si="17"/>
        <v>Eka/Wahyu - Kuta/Legian</v>
      </c>
      <c r="U89" t="str">
        <f t="shared" si="17"/>
        <v>n/a</v>
      </c>
    </row>
    <row r="90" spans="2:21" x14ac:dyDescent="0.25">
      <c r="B90" s="50" t="s">
        <v>82</v>
      </c>
      <c r="C90" s="55" t="s">
        <v>83</v>
      </c>
      <c r="D90" s="131">
        <f t="shared" si="18"/>
        <v>726681246.82912803</v>
      </c>
      <c r="T90" t="str">
        <f t="shared" si="17"/>
        <v>Taufik</v>
      </c>
      <c r="U90" t="str">
        <f t="shared" si="17"/>
        <v>n/a</v>
      </c>
    </row>
    <row r="91" spans="2:21" x14ac:dyDescent="0.25">
      <c r="B91" s="53" t="s">
        <v>84</v>
      </c>
      <c r="C91" s="56" t="s">
        <v>85</v>
      </c>
      <c r="D91" s="132">
        <f t="shared" si="18"/>
        <v>184105876.08000001</v>
      </c>
      <c r="T91" t="str">
        <f t="shared" si="17"/>
        <v>Dewi Kristiani</v>
      </c>
      <c r="U91" t="str">
        <f t="shared" si="17"/>
        <v>n/a</v>
      </c>
    </row>
    <row r="92" spans="2:21" x14ac:dyDescent="0.25">
      <c r="B92" s="50" t="s">
        <v>86</v>
      </c>
      <c r="C92" s="55" t="s">
        <v>87</v>
      </c>
      <c r="D92" s="131">
        <f t="shared" si="18"/>
        <v>20800432.859000001</v>
      </c>
      <c r="T92" t="str">
        <f t="shared" si="17"/>
        <v>Wira</v>
      </c>
      <c r="U92" t="str">
        <f t="shared" si="17"/>
        <v>n/a</v>
      </c>
    </row>
    <row r="93" spans="2:21" x14ac:dyDescent="0.25">
      <c r="B93" s="53" t="s">
        <v>88</v>
      </c>
      <c r="C93" s="56" t="s">
        <v>89</v>
      </c>
      <c r="D93" s="132">
        <f t="shared" si="18"/>
        <v>166483787.16999999</v>
      </c>
      <c r="T93" t="str">
        <f t="shared" si="17"/>
        <v>Ni Ketut Sriasih (GT)</v>
      </c>
      <c r="U93" t="str">
        <f t="shared" si="17"/>
        <v>Ni Ketut Sriasih (MT)</v>
      </c>
    </row>
    <row r="94" spans="2:21" x14ac:dyDescent="0.25">
      <c r="B94" s="57" t="s">
        <v>151</v>
      </c>
      <c r="C94" s="58"/>
      <c r="D94" s="120">
        <f>SUM(D80:D93)</f>
        <v>4790245765.0169296</v>
      </c>
    </row>
  </sheetData>
  <mergeCells count="20">
    <mergeCell ref="G67:L67"/>
    <mergeCell ref="B48:L48"/>
    <mergeCell ref="M48:R48"/>
    <mergeCell ref="B49:B50"/>
    <mergeCell ref="C49:C50"/>
    <mergeCell ref="D49:G49"/>
    <mergeCell ref="H49:K49"/>
    <mergeCell ref="Q49:Q50"/>
    <mergeCell ref="R49:R50"/>
    <mergeCell ref="N49:N50"/>
    <mergeCell ref="L49:L50"/>
    <mergeCell ref="M49:M50"/>
    <mergeCell ref="O49:O50"/>
    <mergeCell ref="P49:P50"/>
    <mergeCell ref="B40:D40"/>
    <mergeCell ref="B46:C46"/>
    <mergeCell ref="B78:B79"/>
    <mergeCell ref="C78:C79"/>
    <mergeCell ref="B67:F67"/>
    <mergeCell ref="B77:D77"/>
  </mergeCells>
  <conditionalFormatting sqref="L51:L64">
    <cfRule type="expression" dxfId="14" priority="1">
      <formula>L51&gt;=$F$41-0.05</formula>
    </cfRule>
    <cfRule type="expression" dxfId="13" priority="2">
      <formula>AND(L51&gt;=$F$41-0.2,L51&lt;$F$41-0.05)</formula>
    </cfRule>
    <cfRule type="expression" dxfId="12" priority="3">
      <formula>L51&lt;$F$41-0.2</formula>
    </cfRule>
  </conditionalFormatting>
  <dataValidations count="1">
    <dataValidation type="list" allowBlank="1" showInputMessage="1" showErrorMessage="1" sqref="H40 J40">
      <formula1>$S$40:$S$46</formula1>
    </dataValidation>
  </dataValidations>
  <pageMargins left="0.75" right="0.75" top="1" bottom="1" header="0.511811023622047" footer="0.511811023622047"/>
  <pageSetup paperSize="9" scale="42" fitToHeight="10" orientation="landscape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95"/>
  <sheetViews>
    <sheetView showGridLines="0" topLeftCell="A40" zoomScale="84" zoomScaleNormal="84" workbookViewId="0">
      <selection activeCell="B8" sqref="B8:G26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5.140625" bestFit="1" customWidth="1"/>
    <col min="4" max="6" width="16.42578125" customWidth="1"/>
    <col min="7" max="7" width="18.42578125" customWidth="1"/>
    <col min="8" max="10" width="16.42578125" customWidth="1"/>
    <col min="11" max="11" width="17.42578125" bestFit="1" customWidth="1"/>
    <col min="12" max="18" width="16.42578125" customWidth="1"/>
  </cols>
  <sheetData>
    <row r="1" spans="2:15" ht="18.95" customHeight="1" x14ac:dyDescent="0.25">
      <c r="B1" s="83" t="s">
        <v>161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191</v>
      </c>
      <c r="H2" s="111"/>
      <c r="I2" s="111"/>
      <c r="J2" s="217">
        <f ca="1">E3</f>
        <v>30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IF($J$5&lt;&gt;"",$J$5,MAX(0,NETWORKDAYS.INTL(MAX(TODAY(),DATE(YEAR(TODAY()),9,1)),EOMONTH(DATE(YEAR(TODAY()),9,1),0),11)-MAX(0,$J$3-$J$4)))</f>
        <v>0</v>
      </c>
      <c r="D3" s="76" t="s">
        <v>104</v>
      </c>
      <c r="E3" s="77">
        <f ca="1">DAY(EOMONTH(DATE(YEAR(TODAY()),9,1),0))</f>
        <v>30</v>
      </c>
      <c r="G3" s="221" t="s">
        <v>192</v>
      </c>
      <c r="H3" s="111"/>
      <c r="I3" s="111"/>
      <c r="J3" s="218">
        <v>0</v>
      </c>
    </row>
    <row r="4" spans="2:15" ht="15" customHeight="1" x14ac:dyDescent="0.25">
      <c r="G4" s="221" t="s">
        <v>193</v>
      </c>
      <c r="H4" s="111"/>
      <c r="I4" s="111"/>
      <c r="J4" s="218">
        <v>0</v>
      </c>
    </row>
    <row r="5" spans="2:15" ht="15" customHeight="1" x14ac:dyDescent="0.25">
      <c r="G5" s="221" t="s">
        <v>194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M6" s="10" t="s">
        <v>106</v>
      </c>
      <c r="N6" s="10" t="s">
        <v>107</v>
      </c>
      <c r="O6" t="s">
        <v>208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207</v>
      </c>
      <c r="F8" s="80" t="s">
        <v>167</v>
      </c>
      <c r="G8" s="80" t="s">
        <v>111</v>
      </c>
      <c r="H8" s="111"/>
      <c r="I8" s="111"/>
      <c r="M8" s="11"/>
      <c r="N8" s="11"/>
      <c r="O8" s="171"/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M9" s="11"/>
      <c r="N9" s="11"/>
      <c r="O9" s="171"/>
    </row>
    <row r="10" spans="2:15" ht="15" customHeight="1" x14ac:dyDescent="0.25">
      <c r="B10" s="72" t="s">
        <v>112</v>
      </c>
      <c r="C10" s="15">
        <v>144740163.23579499</v>
      </c>
      <c r="D10" s="15">
        <v>42947490.453594998</v>
      </c>
      <c r="E10" s="15">
        <v>203025937.43701801</v>
      </c>
      <c r="F10" s="15">
        <v>167020820.35991901</v>
      </c>
      <c r="G10" s="15">
        <v>557734411.48632705</v>
      </c>
      <c r="H10" s="111"/>
      <c r="I10" s="111"/>
      <c r="M10" s="11"/>
      <c r="N10" s="11"/>
      <c r="O10" s="171"/>
    </row>
    <row r="11" spans="2:15" ht="15" customHeight="1" x14ac:dyDescent="0.25">
      <c r="B11" s="72" t="s">
        <v>181</v>
      </c>
      <c r="C11" s="15">
        <v>5673423.4199980004</v>
      </c>
      <c r="D11" s="15">
        <v>42317826.700000003</v>
      </c>
      <c r="E11" s="15">
        <v>294873875.35879999</v>
      </c>
      <c r="F11" s="15" t="s">
        <v>164</v>
      </c>
      <c r="G11" s="15">
        <v>342865125.47879797</v>
      </c>
      <c r="H11" s="111"/>
      <c r="I11" s="111"/>
      <c r="M11" s="11"/>
      <c r="N11" s="11"/>
      <c r="O11" s="171"/>
    </row>
    <row r="12" spans="2:15" ht="15" customHeight="1" x14ac:dyDescent="0.25">
      <c r="B12" s="72" t="s">
        <v>70</v>
      </c>
      <c r="C12" s="15">
        <v>184342048.20793799</v>
      </c>
      <c r="D12" s="15">
        <v>73221834.879611</v>
      </c>
      <c r="E12" s="15">
        <v>179141986.31949699</v>
      </c>
      <c r="F12" s="15">
        <v>73537256.650000006</v>
      </c>
      <c r="G12" s="15">
        <v>510243126.057046</v>
      </c>
      <c r="H12" s="111"/>
      <c r="I12" s="111"/>
      <c r="M12" s="11"/>
      <c r="N12" s="11"/>
      <c r="O12" s="171"/>
    </row>
    <row r="13" spans="2:15" ht="15" customHeight="1" x14ac:dyDescent="0.25">
      <c r="B13" s="72" t="s">
        <v>114</v>
      </c>
      <c r="C13" s="15">
        <v>34096172.366747998</v>
      </c>
      <c r="D13" s="15">
        <v>24478710.189963002</v>
      </c>
      <c r="E13" s="15">
        <v>220912974.83954</v>
      </c>
      <c r="F13" s="15">
        <v>92206408.069999993</v>
      </c>
      <c r="G13" s="15">
        <v>371694265.46625102</v>
      </c>
      <c r="H13" s="111"/>
      <c r="I13" s="111"/>
      <c r="M13" s="11"/>
      <c r="N13" s="11"/>
      <c r="O13" s="171"/>
    </row>
    <row r="14" spans="2:15" ht="15" customHeight="1" x14ac:dyDescent="0.25">
      <c r="B14" s="72" t="s">
        <v>115</v>
      </c>
      <c r="C14" s="15">
        <v>519605596.399562</v>
      </c>
      <c r="D14" s="15">
        <v>46985541.356622003</v>
      </c>
      <c r="E14" s="15">
        <v>154687892.139853</v>
      </c>
      <c r="F14" s="15">
        <v>435182498.96969998</v>
      </c>
      <c r="G14" s="15">
        <v>1156461528.865737</v>
      </c>
      <c r="H14" s="111"/>
      <c r="I14" s="111"/>
      <c r="M14" s="11"/>
      <c r="N14" s="11"/>
      <c r="O14" s="171"/>
    </row>
    <row r="15" spans="2:15" ht="15" customHeight="1" x14ac:dyDescent="0.25">
      <c r="B15" s="72" t="s">
        <v>118</v>
      </c>
      <c r="C15" s="15">
        <v>1671930373.3399069</v>
      </c>
      <c r="D15" s="15">
        <v>12877002.040921999</v>
      </c>
      <c r="E15" s="15">
        <v>95420197.059935004</v>
      </c>
      <c r="F15" s="15">
        <v>18848648.969999999</v>
      </c>
      <c r="G15" s="15">
        <v>1799076221.410764</v>
      </c>
      <c r="H15" s="111"/>
      <c r="I15" s="111"/>
      <c r="M15" s="11"/>
      <c r="N15" s="11"/>
      <c r="O15" s="171"/>
    </row>
    <row r="16" spans="2:15" ht="15" customHeight="1" x14ac:dyDescent="0.25">
      <c r="B16" s="72" t="s">
        <v>120</v>
      </c>
      <c r="C16" s="15">
        <v>521089786.50765902</v>
      </c>
      <c r="D16" s="15">
        <v>57488125.779923998</v>
      </c>
      <c r="E16" s="15">
        <v>331550587.10936803</v>
      </c>
      <c r="F16" s="15">
        <v>1085995754.9499691</v>
      </c>
      <c r="G16" s="15">
        <v>1996124254.34692</v>
      </c>
      <c r="H16" s="111"/>
      <c r="I16" s="111"/>
      <c r="M16" s="11"/>
      <c r="N16" s="11"/>
      <c r="O16" s="171"/>
    </row>
    <row r="17" spans="2:15" ht="15" customHeight="1" x14ac:dyDescent="0.25">
      <c r="B17" s="72" t="s">
        <v>122</v>
      </c>
      <c r="C17" s="15">
        <v>109815225.42588399</v>
      </c>
      <c r="D17" s="15">
        <v>13122554.039898001</v>
      </c>
      <c r="E17" s="15">
        <v>111572926.73874199</v>
      </c>
      <c r="F17" s="15">
        <v>50871892.898000002</v>
      </c>
      <c r="G17" s="15">
        <v>285382599.10252398</v>
      </c>
      <c r="H17" s="111"/>
      <c r="I17" s="111"/>
      <c r="J17" s="111"/>
      <c r="M17" s="11"/>
      <c r="N17" s="11"/>
      <c r="O17" s="171"/>
    </row>
    <row r="18" spans="2:15" ht="15" customHeight="1" x14ac:dyDescent="0.25">
      <c r="B18" s="72" t="s">
        <v>123</v>
      </c>
      <c r="C18" s="15">
        <v>15069697.589996999</v>
      </c>
      <c r="D18" s="15">
        <v>159433424.38816899</v>
      </c>
      <c r="E18" s="15">
        <v>64345106.100000001</v>
      </c>
      <c r="F18" s="15">
        <v>109416218.59999999</v>
      </c>
      <c r="G18" s="15">
        <v>348264446.67816597</v>
      </c>
      <c r="H18" s="111"/>
      <c r="I18" s="111"/>
      <c r="J18" s="111"/>
      <c r="M18" s="11"/>
      <c r="N18" s="11"/>
      <c r="O18" s="171"/>
    </row>
    <row r="19" spans="2:15" ht="15" customHeight="1" x14ac:dyDescent="0.25">
      <c r="B19" s="72" t="s">
        <v>168</v>
      </c>
      <c r="C19" s="15">
        <v>48019875.460000001</v>
      </c>
      <c r="D19" s="15" t="s">
        <v>164</v>
      </c>
      <c r="E19" s="15" t="s">
        <v>164</v>
      </c>
      <c r="F19" s="15">
        <v>9945945.6799999997</v>
      </c>
      <c r="G19" s="15">
        <v>57965821.140000001</v>
      </c>
      <c r="H19" s="111"/>
      <c r="I19" s="111"/>
      <c r="J19" s="111"/>
      <c r="M19" s="11"/>
      <c r="N19" s="11"/>
      <c r="O19" s="171"/>
    </row>
    <row r="20" spans="2:15" ht="15" customHeight="1" x14ac:dyDescent="0.25">
      <c r="B20" s="72" t="s">
        <v>169</v>
      </c>
      <c r="C20" s="15">
        <v>228406676.46000001</v>
      </c>
      <c r="D20" s="15" t="s">
        <v>164</v>
      </c>
      <c r="E20" s="15" t="s">
        <v>164</v>
      </c>
      <c r="F20" s="15">
        <v>13579549.18</v>
      </c>
      <c r="G20" s="15">
        <v>241986225.63999999</v>
      </c>
      <c r="H20" s="111"/>
      <c r="I20" s="111"/>
      <c r="J20" s="111"/>
      <c r="M20" s="14">
        <f>SUM(C30,C35)+M7</f>
        <v>0</v>
      </c>
      <c r="N20" s="10" t="s">
        <v>222</v>
      </c>
    </row>
    <row r="21" spans="2:15" ht="15" customHeight="1" x14ac:dyDescent="0.25">
      <c r="B21" s="72" t="s">
        <v>124</v>
      </c>
      <c r="C21" s="15">
        <v>293251949.48080099</v>
      </c>
      <c r="D21" s="15">
        <v>52174490.493436001</v>
      </c>
      <c r="E21" s="15">
        <v>160692167.65973499</v>
      </c>
      <c r="F21" s="15">
        <v>440958537.05983001</v>
      </c>
      <c r="G21" s="15">
        <v>947077144.693802</v>
      </c>
      <c r="H21" s="111"/>
      <c r="I21" s="111"/>
      <c r="J21" s="111"/>
      <c r="M21" s="14">
        <f>SUM(C33,C34)+M20</f>
        <v>1048400865.610592</v>
      </c>
      <c r="N21" s="10" t="s">
        <v>223</v>
      </c>
    </row>
    <row r="22" spans="2:15" ht="15" customHeight="1" x14ac:dyDescent="0.25">
      <c r="B22" s="72" t="s">
        <v>224</v>
      </c>
      <c r="C22" s="15">
        <v>203254368.21468899</v>
      </c>
      <c r="D22" s="15">
        <v>64276669.089911997</v>
      </c>
      <c r="E22" s="15">
        <v>164086145.60814101</v>
      </c>
      <c r="F22" s="15">
        <v>65793423.229999997</v>
      </c>
      <c r="G22" s="15">
        <v>497410606.14274198</v>
      </c>
      <c r="H22" s="111"/>
      <c r="I22" s="111"/>
      <c r="J22" s="111"/>
    </row>
    <row r="23" spans="2:15" ht="15" customHeight="1" x14ac:dyDescent="0.25">
      <c r="B23" s="72" t="s">
        <v>125</v>
      </c>
      <c r="C23" s="15">
        <v>282011574.08168399</v>
      </c>
      <c r="D23" s="15">
        <v>74809273.259940997</v>
      </c>
      <c r="E23" s="15">
        <v>193650083.903642</v>
      </c>
      <c r="F23" s="15">
        <v>347098526.07937998</v>
      </c>
      <c r="G23" s="15">
        <v>897569457.32464695</v>
      </c>
      <c r="H23" s="111"/>
      <c r="I23" s="111"/>
      <c r="J23" s="111"/>
    </row>
    <row r="24" spans="2:15" ht="15" customHeight="1" x14ac:dyDescent="0.25">
      <c r="B24" s="72" t="s">
        <v>126</v>
      </c>
      <c r="C24" s="15">
        <v>473358692.59722602</v>
      </c>
      <c r="D24" s="15">
        <v>68355376.974876001</v>
      </c>
      <c r="E24" s="15">
        <v>214221011.39987901</v>
      </c>
      <c r="F24" s="15">
        <v>637076364.45931995</v>
      </c>
      <c r="G24" s="15">
        <v>1393011445.4313011</v>
      </c>
      <c r="H24" s="111"/>
      <c r="I24" s="111"/>
      <c r="J24" s="111"/>
    </row>
    <row r="25" spans="2:15" ht="15" customHeight="1" x14ac:dyDescent="0.25">
      <c r="B25" s="72" t="s">
        <v>219</v>
      </c>
      <c r="C25" s="15">
        <v>350127609.35823399</v>
      </c>
      <c r="D25" s="15">
        <v>90343081.166443005</v>
      </c>
      <c r="E25" s="15">
        <v>104230158.082516</v>
      </c>
      <c r="F25" s="15">
        <v>50324325.43</v>
      </c>
      <c r="G25" s="15">
        <v>595025174.03719294</v>
      </c>
      <c r="H25" s="111"/>
      <c r="I25" s="111"/>
      <c r="J25" s="111"/>
    </row>
    <row r="26" spans="2:15" ht="15" customHeight="1" x14ac:dyDescent="0.25">
      <c r="B26" s="72" t="s">
        <v>127</v>
      </c>
      <c r="C26" s="15">
        <v>547959392.77456105</v>
      </c>
      <c r="D26" s="15">
        <v>290879574.89086801</v>
      </c>
      <c r="E26" s="15">
        <v>286513427.54513299</v>
      </c>
      <c r="F26" s="15">
        <v>21926703.130399998</v>
      </c>
      <c r="G26" s="15">
        <v>1147279098.3409619</v>
      </c>
      <c r="H26" s="111"/>
      <c r="I26" s="111"/>
      <c r="J26" s="111"/>
    </row>
    <row r="27" spans="2:15" ht="15" customHeight="1" x14ac:dyDescent="0.25">
      <c r="G27" s="111"/>
      <c r="H27" s="111"/>
      <c r="I27" s="111"/>
    </row>
    <row r="28" spans="2:15" ht="15" customHeight="1" x14ac:dyDescent="0.25">
      <c r="B28" s="79" t="s">
        <v>128</v>
      </c>
      <c r="C28" s="79"/>
      <c r="G28" s="111"/>
      <c r="H28" s="111"/>
      <c r="I28" s="111"/>
    </row>
    <row r="29" spans="2:15" ht="15" customHeight="1" x14ac:dyDescent="0.25">
      <c r="B29" s="80" t="s">
        <v>129</v>
      </c>
      <c r="C29" s="80" t="s">
        <v>130</v>
      </c>
      <c r="G29" s="111"/>
      <c r="H29" s="111"/>
      <c r="I29" s="111"/>
    </row>
    <row r="30" spans="2:15" ht="15" customHeight="1" x14ac:dyDescent="0.25">
      <c r="B30" s="234"/>
      <c r="C30" s="235"/>
      <c r="G30" s="111"/>
      <c r="H30" s="111"/>
      <c r="I30" s="111"/>
    </row>
    <row r="31" spans="2:15" ht="15" customHeight="1" x14ac:dyDescent="0.25">
      <c r="B31" s="81" t="s">
        <v>131</v>
      </c>
      <c r="C31" s="171">
        <v>280535172.19189399</v>
      </c>
      <c r="G31" s="111"/>
      <c r="H31" s="111"/>
      <c r="I31" s="111"/>
    </row>
    <row r="32" spans="2:15" ht="15" customHeight="1" x14ac:dyDescent="0.25">
      <c r="B32" s="81" t="s">
        <v>132</v>
      </c>
      <c r="C32" s="15">
        <v>473492851.69265503</v>
      </c>
      <c r="G32" s="111"/>
      <c r="H32" s="111"/>
      <c r="I32" s="111"/>
    </row>
    <row r="33" spans="2:19" ht="15" customHeight="1" x14ac:dyDescent="0.25">
      <c r="B33" s="81" t="s">
        <v>133</v>
      </c>
      <c r="C33" s="15">
        <v>515158924.34026402</v>
      </c>
      <c r="G33" s="111"/>
      <c r="H33" s="111"/>
      <c r="I33" s="111"/>
    </row>
    <row r="34" spans="2:19" ht="15" customHeight="1" x14ac:dyDescent="0.25">
      <c r="B34" s="81" t="s">
        <v>134</v>
      </c>
      <c r="C34" s="15">
        <v>533241941.27032799</v>
      </c>
      <c r="G34" s="111"/>
      <c r="H34" s="111"/>
      <c r="I34" s="111"/>
    </row>
    <row r="35" spans="2:19" ht="15" customHeight="1" x14ac:dyDescent="0.25">
      <c r="B35" s="81" t="s">
        <v>135</v>
      </c>
      <c r="C35" s="15">
        <v>0</v>
      </c>
      <c r="G35" s="111"/>
      <c r="H35" s="111"/>
      <c r="I35" s="111"/>
    </row>
    <row r="36" spans="2:19" ht="15" customHeight="1" x14ac:dyDescent="0.25">
      <c r="B36" s="81"/>
      <c r="C36" s="82"/>
      <c r="G36" s="111"/>
      <c r="H36" s="111"/>
      <c r="I36" s="111"/>
    </row>
    <row r="37" spans="2:19" ht="15" customHeight="1" x14ac:dyDescent="0.25">
      <c r="B37" s="73"/>
      <c r="C37" s="82"/>
      <c r="G37" s="111"/>
      <c r="H37" s="111"/>
      <c r="I37" s="111"/>
    </row>
    <row r="38" spans="2:19" ht="15" customHeight="1" x14ac:dyDescent="0.25">
      <c r="G38" s="111"/>
      <c r="H38" s="111"/>
      <c r="I38" s="111"/>
    </row>
    <row r="39" spans="2:19" ht="15" customHeight="1" x14ac:dyDescent="0.25">
      <c r="G39" s="111"/>
      <c r="H39" s="111"/>
      <c r="I39" s="111"/>
      <c r="S39" s="172" t="s">
        <v>184</v>
      </c>
    </row>
    <row r="40" spans="2:19" ht="20.100000000000001" customHeight="1" x14ac:dyDescent="0.25">
      <c r="B40" s="264" t="s">
        <v>226</v>
      </c>
      <c r="C40" s="265"/>
      <c r="D40" s="266"/>
      <c r="E40" s="66" t="s">
        <v>137</v>
      </c>
      <c r="F40" s="174">
        <f ca="1">IF(MONTH(TODAY())=9,DAY(TODAY())/DAY(EOMONTH(TODAY(),0)),IF(MONTH(TODAY())&gt;9,1,0))</f>
        <v>1</v>
      </c>
      <c r="G40" s="192" t="s">
        <v>186</v>
      </c>
      <c r="H40" s="198">
        <v>0.95</v>
      </c>
      <c r="I40" s="201" t="s">
        <v>186</v>
      </c>
      <c r="J40" s="199">
        <v>1</v>
      </c>
      <c r="K40" s="194" t="s">
        <v>187</v>
      </c>
      <c r="L40" s="200">
        <v>1</v>
      </c>
      <c r="S40" s="173">
        <v>0.7</v>
      </c>
    </row>
    <row r="41" spans="2:19" ht="30" customHeight="1" x14ac:dyDescent="0.25">
      <c r="B41" s="68" t="s">
        <v>136</v>
      </c>
      <c r="C41" s="68" t="s">
        <v>41</v>
      </c>
      <c r="D41" s="68" t="s">
        <v>137</v>
      </c>
      <c r="E41" s="68" t="s">
        <v>138</v>
      </c>
      <c r="F41" s="175" t="s">
        <v>139</v>
      </c>
      <c r="G41" s="182" t="str">
        <f>"SELISIH"&amp;CHAR(10)&amp;TEXT($H$40,"0%")</f>
        <v>SELISIH
95%</v>
      </c>
      <c r="H41" s="182" t="str">
        <f>"PER HARI"&amp;CHAR(10)&amp;TEXT($H$40,"0%")</f>
        <v>PER HARI
95%</v>
      </c>
      <c r="I41" s="202" t="str">
        <f>"SELISIH"&amp;CHAR(10)&amp;TEXT($J$40,"0%")</f>
        <v>SELISIH
100%</v>
      </c>
      <c r="J41" s="203" t="str">
        <f>"PER HARI"&amp;CHAR(10)&amp;TEXT($J$40,"0%")</f>
        <v>PER HARI
100%</v>
      </c>
      <c r="K41" s="183" t="str">
        <f>"SELISIH"&amp;CHAR(10)&amp;TEXT($L$40,"0%")</f>
        <v>SELISIH
100%</v>
      </c>
      <c r="L41" s="183" t="str">
        <f>"PER HARI"&amp;CHAR(10)&amp;TEXT($L$40,"0%")</f>
        <v>PER HARI
100%</v>
      </c>
      <c r="S41" s="190">
        <v>0.75</v>
      </c>
    </row>
    <row r="42" spans="2:19" ht="15.95" customHeight="1" x14ac:dyDescent="0.25">
      <c r="B42" s="109" t="s">
        <v>142</v>
      </c>
      <c r="C42" s="41" t="s">
        <v>143</v>
      </c>
      <c r="D42" s="45">
        <f>SUM(TARGETS!AB5:AB18)</f>
        <v>4511786033.6993961</v>
      </c>
      <c r="E42" s="46">
        <f>H65</f>
        <v>3960822251.5807762</v>
      </c>
      <c r="F42" s="176">
        <f>IFERROR(E42/D42,0)</f>
        <v>0.87788344172277555</v>
      </c>
      <c r="G42" s="184">
        <f>D42*$H$40-E42</f>
        <v>325374480.43365002</v>
      </c>
      <c r="H42" s="184">
        <f ca="1">IFERROR(G42/$C$3,0)</f>
        <v>0</v>
      </c>
      <c r="I42" s="204">
        <f>D42*$J$40-E42</f>
        <v>550963782.11861992</v>
      </c>
      <c r="J42" s="204">
        <f ca="1">IFERROR(I42/$C$3,0)</f>
        <v>0</v>
      </c>
      <c r="K42" s="185">
        <f>D42*$L$40-E42</f>
        <v>550963782.11861992</v>
      </c>
      <c r="L42" s="185">
        <f ca="1">IFERROR(K42/$C$3,0)</f>
        <v>0</v>
      </c>
      <c r="S42" s="173">
        <v>0.8</v>
      </c>
    </row>
    <row r="43" spans="2:19" ht="15.95" customHeight="1" x14ac:dyDescent="0.25">
      <c r="B43" s="109" t="s">
        <v>110</v>
      </c>
      <c r="C43" s="41" t="s">
        <v>143</v>
      </c>
      <c r="D43" s="45">
        <f>SUM(TARGETS!AC5:AC18)</f>
        <v>1401365310.515415</v>
      </c>
      <c r="E43" s="46">
        <f>I65</f>
        <v>1100833973.6632581</v>
      </c>
      <c r="F43" s="176">
        <f>IFERROR(E43/D43,0)</f>
        <v>0.78554390165286525</v>
      </c>
      <c r="G43" s="184">
        <f>D43*$H$40-E43</f>
        <v>230463071.32638597</v>
      </c>
      <c r="H43" s="184">
        <f ca="1">IFERROR(G43/$C$3,0)</f>
        <v>0</v>
      </c>
      <c r="I43" s="204">
        <f>D43*$J$40-E43</f>
        <v>300531336.85215688</v>
      </c>
      <c r="J43" s="204">
        <f ca="1">IFERROR(I43/$C$3,0)</f>
        <v>0</v>
      </c>
      <c r="K43" s="185">
        <f>D43*$L$40-E43</f>
        <v>300531336.85215688</v>
      </c>
      <c r="L43" s="185">
        <f ca="1">IFERROR(K43/$C$3,0)</f>
        <v>0</v>
      </c>
      <c r="S43" s="173">
        <v>0.85</v>
      </c>
    </row>
    <row r="44" spans="2:19" ht="15.95" customHeight="1" x14ac:dyDescent="0.25">
      <c r="B44" s="109" t="s">
        <v>207</v>
      </c>
      <c r="C44" s="41" t="s">
        <v>143</v>
      </c>
      <c r="D44" s="45">
        <f>SUM(TARGETS!AD5:AD18)</f>
        <v>2944814196.3286853</v>
      </c>
      <c r="E44" s="46">
        <f>J65</f>
        <v>2683504280.2418637</v>
      </c>
      <c r="F44" s="176">
        <f>IFERROR(E44/D44,0)</f>
        <v>0.91126437912021818</v>
      </c>
      <c r="G44" s="184">
        <f>IF(D44=0,0,D44*$H$40-E44)</f>
        <v>114069206.27038717</v>
      </c>
      <c r="H44" s="184">
        <f ca="1">IFERROR(G44/$C$3,0)</f>
        <v>0</v>
      </c>
      <c r="I44" s="204">
        <f>IF(D44=0,0,D44*$J$40-E44)</f>
        <v>261309916.08682156</v>
      </c>
      <c r="J44" s="204">
        <f ca="1">IFERROR(I44/$C$3,0)</f>
        <v>0</v>
      </c>
      <c r="K44" s="185">
        <f>IF(D44=0,0,D44*$L$40-E44)</f>
        <v>261309916.08682156</v>
      </c>
      <c r="L44" s="185">
        <f ca="1">IFERROR(K44/$C$3,0)</f>
        <v>0</v>
      </c>
      <c r="S44" s="173">
        <v>0.9</v>
      </c>
    </row>
    <row r="45" spans="2:19" ht="15.95" customHeight="1" x14ac:dyDescent="0.25">
      <c r="B45" s="109" t="s">
        <v>144</v>
      </c>
      <c r="C45" s="41" t="s">
        <v>143</v>
      </c>
      <c r="D45" s="45">
        <f>SUM(TARGETS!L22:L26)</f>
        <v>1740425531.9148936</v>
      </c>
      <c r="E45" s="46">
        <f>E74</f>
        <v>1802428889.495141</v>
      </c>
      <c r="F45" s="176">
        <f>IFERROR(E45/D45,0)</f>
        <v>1.0356254010546653</v>
      </c>
      <c r="G45" s="184">
        <f>D45*$H$40-E45</f>
        <v>-149024634.17599225</v>
      </c>
      <c r="H45" s="184">
        <f ca="1">IFERROR(G45/$C$3,0)</f>
        <v>0</v>
      </c>
      <c r="I45" s="204">
        <f>D45*$J$40-E45</f>
        <v>-62003357.580247402</v>
      </c>
      <c r="J45" s="204">
        <f ca="1">IFERROR(I45/$C$3,0)</f>
        <v>0</v>
      </c>
      <c r="K45" s="185">
        <f>D45*$L$40-E45</f>
        <v>-62003357.580247402</v>
      </c>
      <c r="L45" s="185">
        <f ca="1">IFERROR(K45/$C$3,0)</f>
        <v>0</v>
      </c>
      <c r="S45" s="173">
        <v>0.95</v>
      </c>
    </row>
    <row r="46" spans="2:19" ht="15" customHeight="1" x14ac:dyDescent="0.25">
      <c r="B46" s="261" t="s">
        <v>145</v>
      </c>
      <c r="C46" s="262"/>
      <c r="D46" s="47">
        <f>SUM(D42:D45)</f>
        <v>10598391072.458391</v>
      </c>
      <c r="E46" s="47">
        <f>SUM(E42:E45)</f>
        <v>9547589394.9810371</v>
      </c>
      <c r="F46" s="177">
        <f>IFERROR(E46/D46,0)</f>
        <v>0.90085271714420601</v>
      </c>
      <c r="G46" s="181">
        <f>SUM(G42:G45)</f>
        <v>520882123.85443091</v>
      </c>
      <c r="H46" s="181">
        <f ca="1">IFERROR(G46/$C$3,0)</f>
        <v>0</v>
      </c>
      <c r="I46" s="186">
        <f>SUM(I42:I45)</f>
        <v>1050801677.477351</v>
      </c>
      <c r="J46" s="186">
        <f ca="1">IFERROR(I46/$C$3,0)</f>
        <v>0</v>
      </c>
      <c r="K46" s="186">
        <f>SUM(K42:K45)</f>
        <v>1050801677.477351</v>
      </c>
      <c r="L46" s="186">
        <f ca="1">IFERROR(K46/$C$3,0)</f>
        <v>0</v>
      </c>
      <c r="S46" s="173">
        <v>1</v>
      </c>
    </row>
    <row r="47" spans="2:19" ht="15" customHeight="1" x14ac:dyDescent="0.25">
      <c r="G47" s="111"/>
      <c r="H47" s="111"/>
      <c r="I47" s="111"/>
      <c r="S47" s="173"/>
    </row>
    <row r="48" spans="2:19" ht="18.95" customHeight="1" x14ac:dyDescent="0.25">
      <c r="B48" s="267" t="s">
        <v>212</v>
      </c>
      <c r="C48" s="268"/>
      <c r="D48" s="268"/>
      <c r="E48" s="268"/>
      <c r="F48" s="268"/>
      <c r="G48" s="268"/>
      <c r="H48" s="268"/>
      <c r="I48" s="268"/>
      <c r="J48" s="268"/>
      <c r="K48" s="268"/>
      <c r="L48" s="291"/>
      <c r="M48" s="274" t="s">
        <v>185</v>
      </c>
      <c r="N48" s="275"/>
      <c r="O48" s="275"/>
      <c r="P48" s="275"/>
      <c r="Q48" s="275"/>
      <c r="R48" s="276"/>
    </row>
    <row r="49" spans="2:21" ht="17.100000000000001" customHeight="1" x14ac:dyDescent="0.25">
      <c r="B49" s="292" t="s">
        <v>41</v>
      </c>
      <c r="C49" s="292" t="s">
        <v>42</v>
      </c>
      <c r="D49" s="258" t="s">
        <v>137</v>
      </c>
      <c r="E49" s="259"/>
      <c r="F49" s="259"/>
      <c r="G49" s="260"/>
      <c r="H49" s="293" t="s">
        <v>138</v>
      </c>
      <c r="I49" s="294"/>
      <c r="J49" s="294"/>
      <c r="K49" s="295"/>
      <c r="L49" s="296" t="s">
        <v>139</v>
      </c>
      <c r="M49" s="277" t="str">
        <f>"SELISIH"&amp;CHAR(10)&amp;TEXT($H$40,"0%")</f>
        <v>SELISIH
95%</v>
      </c>
      <c r="N49" s="277" t="str">
        <f>"PER HARI"&amp;CHAR(10)&amp;TEXT($H$40,"0%")</f>
        <v>PER HARI
95%</v>
      </c>
      <c r="O49" s="279" t="str">
        <f>"SELISIH"&amp;CHAR(10)&amp;TEXT($J$40,"0%")</f>
        <v>SELISIH
100%</v>
      </c>
      <c r="P49" s="279" t="str">
        <f>"PER HARI"&amp;CHAR(10)&amp;TEXT($J$40,"0%")</f>
        <v>PER HARI
100%</v>
      </c>
      <c r="Q49" s="281" t="str">
        <f>"SELISIH"&amp;CHAR(10)&amp;TEXT($L$40,"0%")</f>
        <v>SELISIH
100%</v>
      </c>
      <c r="R49" s="281" t="str">
        <f>"PER HARI"&amp;CHAR(10)&amp;TEXT($L$40,"0%")</f>
        <v>PER HARI
100%</v>
      </c>
    </row>
    <row r="50" spans="2:21" ht="17.100000000000001" customHeight="1" x14ac:dyDescent="0.25">
      <c r="B50" s="273"/>
      <c r="C50" s="273"/>
      <c r="D50" s="70" t="s">
        <v>149</v>
      </c>
      <c r="E50" s="70" t="s">
        <v>150</v>
      </c>
      <c r="F50" s="70" t="s">
        <v>209</v>
      </c>
      <c r="G50" s="70" t="s">
        <v>130</v>
      </c>
      <c r="H50" s="113" t="s">
        <v>149</v>
      </c>
      <c r="I50" s="113" t="s">
        <v>150</v>
      </c>
      <c r="J50" s="113" t="s">
        <v>209</v>
      </c>
      <c r="K50" s="113" t="s">
        <v>130</v>
      </c>
      <c r="L50" s="297"/>
      <c r="M50" s="278"/>
      <c r="N50" s="278"/>
      <c r="O50" s="280"/>
      <c r="P50" s="280"/>
      <c r="Q50" s="282"/>
      <c r="R50" s="282"/>
      <c r="T50" s="178" t="s">
        <v>215</v>
      </c>
      <c r="U50" s="178" t="s">
        <v>216</v>
      </c>
    </row>
    <row r="51" spans="2:21" ht="15.95" customHeight="1" x14ac:dyDescent="0.25">
      <c r="B51" s="50" t="s">
        <v>67</v>
      </c>
      <c r="C51" s="55" t="s">
        <v>68</v>
      </c>
      <c r="D51" s="118">
        <f>TARGETS!AB5</f>
        <v>269047799.19044793</v>
      </c>
      <c r="E51" s="118">
        <f>TARGETS!AC5</f>
        <v>69550316.359371036</v>
      </c>
      <c r="F51" s="118">
        <f>TARGETS!AD5</f>
        <v>175769404.33699557</v>
      </c>
      <c r="G51" s="118">
        <f t="shared" ref="G51:G64" si="0">SUM(D51:F51)</f>
        <v>514367519.88681459</v>
      </c>
      <c r="H51" s="114">
        <f t="shared" ref="H51:H64" si="1">SUMIF($B$10:$B$26,$T51,C$10:C$26)+SUMIF($B$10:$B$26,$U51,C$10:C$26)</f>
        <v>293251949.48080099</v>
      </c>
      <c r="I51" s="114">
        <f t="shared" ref="I51:I64" si="2">SUMIF($B$10:$B$26,$T51,D$10:D$26)+SUMIF($B$10:$B$26,$U51,D$10:D$26)</f>
        <v>52174490.493436001</v>
      </c>
      <c r="J51" s="114">
        <f t="shared" ref="J51:J64" si="3">SUMIF($B$10:$B$26,$T51,E$10:E$26)+SUMIF($B$10:$B$26,$U51,E$10:E$26)</f>
        <v>160692167.65973499</v>
      </c>
      <c r="K51" s="114">
        <f t="shared" ref="K51:K64" si="4">SUM(H51:J51)</f>
        <v>506118607.63397193</v>
      </c>
      <c r="L51" s="187">
        <f t="shared" ref="L51:L65" si="5">IFERROR(K51/G51,0)</f>
        <v>0.98396299934595832</v>
      </c>
      <c r="M51" s="184">
        <f t="shared" ref="M51:M64" si="6">G51*$H$40-K51</f>
        <v>-17469463.741498113</v>
      </c>
      <c r="N51" s="184">
        <f t="shared" ref="N51:N65" ca="1" si="7">IFERROR(M51/$C$3,0)</f>
        <v>0</v>
      </c>
      <c r="O51" s="180">
        <f t="shared" ref="O51:O64" si="8">G51*$J$40-K51</f>
        <v>8248912.2528426647</v>
      </c>
      <c r="P51" s="180">
        <f t="shared" ref="P51:P65" ca="1" si="9">IFERROR(O51/$C$3,0)</f>
        <v>0</v>
      </c>
      <c r="Q51" s="185">
        <f t="shared" ref="Q51:Q64" si="10">G51*$L$40-K51</f>
        <v>8248912.2528426647</v>
      </c>
      <c r="R51" s="185">
        <f t="shared" ref="R51:R65" ca="1" si="11">IFERROR(Q51/$C$3,0)</f>
        <v>0</v>
      </c>
      <c r="T51" t="s">
        <v>124</v>
      </c>
      <c r="U51" t="s">
        <v>217</v>
      </c>
    </row>
    <row r="52" spans="2:21" ht="15.95" customHeight="1" x14ac:dyDescent="0.25">
      <c r="B52" s="53" t="s">
        <v>69</v>
      </c>
      <c r="C52" s="56" t="s">
        <v>70</v>
      </c>
      <c r="D52" s="119">
        <f>TARGETS!AB6</f>
        <v>184343826.51079065</v>
      </c>
      <c r="E52" s="119">
        <f>TARGETS!AC6</f>
        <v>174486695.16641188</v>
      </c>
      <c r="F52" s="119">
        <f>TARGETS!AD6</f>
        <v>426693359.74293905</v>
      </c>
      <c r="G52" s="119">
        <f t="shared" si="0"/>
        <v>785523881.42014158</v>
      </c>
      <c r="H52" s="114">
        <f t="shared" si="1"/>
        <v>218438220.57468599</v>
      </c>
      <c r="I52" s="114">
        <f t="shared" si="2"/>
        <v>97700545.069573998</v>
      </c>
      <c r="J52" s="114">
        <f t="shared" si="3"/>
        <v>400054961.15903699</v>
      </c>
      <c r="K52" s="114">
        <f t="shared" si="4"/>
        <v>716193726.80329704</v>
      </c>
      <c r="L52" s="187">
        <f t="shared" si="5"/>
        <v>0.911740233165791</v>
      </c>
      <c r="M52" s="184">
        <f t="shared" si="6"/>
        <v>30053960.545837402</v>
      </c>
      <c r="N52" s="184">
        <f t="shared" ca="1" si="7"/>
        <v>0</v>
      </c>
      <c r="O52" s="180">
        <f t="shared" si="8"/>
        <v>69330154.616844535</v>
      </c>
      <c r="P52" s="180">
        <f t="shared" ca="1" si="9"/>
        <v>0</v>
      </c>
      <c r="Q52" s="185">
        <f t="shared" si="10"/>
        <v>69330154.616844535</v>
      </c>
      <c r="R52" s="185">
        <f t="shared" ca="1" si="11"/>
        <v>0</v>
      </c>
      <c r="T52" t="s">
        <v>70</v>
      </c>
      <c r="U52" t="s">
        <v>114</v>
      </c>
    </row>
    <row r="53" spans="2:21" ht="15.95" customHeight="1" x14ac:dyDescent="0.25">
      <c r="B53" s="136" t="s">
        <v>171</v>
      </c>
      <c r="C53" s="137" t="s">
        <v>172</v>
      </c>
      <c r="D53" s="138">
        <f>TARGETS!AB7</f>
        <v>262953105.06301075</v>
      </c>
      <c r="E53" s="138">
        <f>TARGETS!AC7</f>
        <v>0</v>
      </c>
      <c r="F53" s="138">
        <f>TARGETS!AD7</f>
        <v>0</v>
      </c>
      <c r="G53" s="138">
        <f t="shared" si="0"/>
        <v>262953105.06301075</v>
      </c>
      <c r="H53" s="114">
        <f t="shared" si="1"/>
        <v>48019875.460000001</v>
      </c>
      <c r="I53" s="114">
        <f t="shared" si="2"/>
        <v>0</v>
      </c>
      <c r="J53" s="114">
        <f t="shared" si="3"/>
        <v>0</v>
      </c>
      <c r="K53" s="114">
        <f t="shared" si="4"/>
        <v>48019875.460000001</v>
      </c>
      <c r="L53" s="187">
        <f t="shared" si="5"/>
        <v>0.18261763993428839</v>
      </c>
      <c r="M53" s="184">
        <f t="shared" si="6"/>
        <v>201785574.34986019</v>
      </c>
      <c r="N53" s="184">
        <f t="shared" ca="1" si="7"/>
        <v>0</v>
      </c>
      <c r="O53" s="180">
        <f t="shared" si="8"/>
        <v>214933229.60301074</v>
      </c>
      <c r="P53" s="180">
        <f t="shared" ca="1" si="9"/>
        <v>0</v>
      </c>
      <c r="Q53" s="185">
        <f t="shared" si="10"/>
        <v>214933229.60301074</v>
      </c>
      <c r="R53" s="185">
        <f t="shared" ca="1" si="11"/>
        <v>0</v>
      </c>
      <c r="T53" t="s">
        <v>168</v>
      </c>
      <c r="U53" t="s">
        <v>217</v>
      </c>
    </row>
    <row r="54" spans="2:21" ht="15.95" customHeight="1" x14ac:dyDescent="0.25">
      <c r="B54" s="53" t="s">
        <v>71</v>
      </c>
      <c r="C54" s="56" t="s">
        <v>72</v>
      </c>
      <c r="D54" s="119">
        <f>TARGETS!AB8</f>
        <v>595245101.89060342</v>
      </c>
      <c r="E54" s="119">
        <f>TARGETS!AC8</f>
        <v>44704504.809982933</v>
      </c>
      <c r="F54" s="119">
        <f>TARGETS!AD8</f>
        <v>86722202.085279256</v>
      </c>
      <c r="G54" s="119">
        <f t="shared" si="0"/>
        <v>726671808.78586555</v>
      </c>
      <c r="H54" s="114">
        <f t="shared" si="1"/>
        <v>519605596.399562</v>
      </c>
      <c r="I54" s="114">
        <f t="shared" si="2"/>
        <v>46985541.356622003</v>
      </c>
      <c r="J54" s="114">
        <f t="shared" si="3"/>
        <v>154687892.139853</v>
      </c>
      <c r="K54" s="114">
        <f t="shared" si="4"/>
        <v>721279029.89603698</v>
      </c>
      <c r="L54" s="187">
        <f t="shared" si="5"/>
        <v>0.99257879716176289</v>
      </c>
      <c r="M54" s="184">
        <f t="shared" si="6"/>
        <v>-30940811.549464703</v>
      </c>
      <c r="N54" s="184">
        <f t="shared" ca="1" si="7"/>
        <v>0</v>
      </c>
      <c r="O54" s="180">
        <f t="shared" si="8"/>
        <v>5392778.8898285627</v>
      </c>
      <c r="P54" s="180">
        <f t="shared" ca="1" si="9"/>
        <v>0</v>
      </c>
      <c r="Q54" s="185">
        <f t="shared" si="10"/>
        <v>5392778.8898285627</v>
      </c>
      <c r="R54" s="185">
        <f t="shared" ca="1" si="11"/>
        <v>0</v>
      </c>
      <c r="T54" t="s">
        <v>115</v>
      </c>
      <c r="U54" t="s">
        <v>217</v>
      </c>
    </row>
    <row r="55" spans="2:21" ht="15.95" customHeight="1" x14ac:dyDescent="0.25">
      <c r="B55" s="50" t="s">
        <v>73</v>
      </c>
      <c r="C55" s="55" t="s">
        <v>221</v>
      </c>
      <c r="D55" s="118">
        <f>TARGETS!AB9</f>
        <v>5575801.9517222047</v>
      </c>
      <c r="E55" s="118">
        <f>TARGETS!AC9</f>
        <v>63507750.38497854</v>
      </c>
      <c r="F55" s="118">
        <f>TARGETS!AD9</f>
        <v>468117447.23398483</v>
      </c>
      <c r="G55" s="118">
        <f t="shared" si="0"/>
        <v>537200999.57068563</v>
      </c>
      <c r="H55" s="114">
        <f t="shared" si="1"/>
        <v>5673423.4199980004</v>
      </c>
      <c r="I55" s="114">
        <f t="shared" si="2"/>
        <v>42317826.700000003</v>
      </c>
      <c r="J55" s="114">
        <f t="shared" si="3"/>
        <v>294873875.35879999</v>
      </c>
      <c r="K55" s="114">
        <f t="shared" si="4"/>
        <v>342865125.47879797</v>
      </c>
      <c r="L55" s="187">
        <f t="shared" si="5"/>
        <v>0.63824364763432151</v>
      </c>
      <c r="M55" s="184">
        <f t="shared" si="6"/>
        <v>167475824.11335337</v>
      </c>
      <c r="N55" s="184">
        <f t="shared" ca="1" si="7"/>
        <v>0</v>
      </c>
      <c r="O55" s="180">
        <f t="shared" si="8"/>
        <v>194335874.09188765</v>
      </c>
      <c r="P55" s="180">
        <f t="shared" ca="1" si="9"/>
        <v>0</v>
      </c>
      <c r="Q55" s="185">
        <f t="shared" si="10"/>
        <v>194335874.09188765</v>
      </c>
      <c r="R55" s="185">
        <f t="shared" ca="1" si="11"/>
        <v>0</v>
      </c>
      <c r="T55" t="s">
        <v>181</v>
      </c>
      <c r="U55" t="s">
        <v>217</v>
      </c>
    </row>
    <row r="56" spans="2:21" ht="15.95" customHeight="1" x14ac:dyDescent="0.25">
      <c r="B56" s="53" t="s">
        <v>75</v>
      </c>
      <c r="C56" s="56" t="s">
        <v>225</v>
      </c>
      <c r="D56" s="119">
        <f>TARGETS!AB10</f>
        <v>271811720.41502386</v>
      </c>
      <c r="E56" s="119">
        <f>TARGETS!AC10</f>
        <v>116173959.09515169</v>
      </c>
      <c r="F56" s="119">
        <f>TARGETS!AD10</f>
        <v>186960308.99004278</v>
      </c>
      <c r="G56" s="119">
        <f t="shared" si="0"/>
        <v>574945988.50021839</v>
      </c>
      <c r="H56" s="114">
        <f t="shared" si="1"/>
        <v>203254368.21468899</v>
      </c>
      <c r="I56" s="114">
        <f t="shared" si="2"/>
        <v>64276669.089911997</v>
      </c>
      <c r="J56" s="114">
        <f t="shared" si="3"/>
        <v>164086145.60814101</v>
      </c>
      <c r="K56" s="114">
        <f t="shared" si="4"/>
        <v>431617182.91274202</v>
      </c>
      <c r="L56" s="187">
        <f t="shared" si="5"/>
        <v>0.7507090953684914</v>
      </c>
      <c r="M56" s="184">
        <f t="shared" si="6"/>
        <v>114581506.16246545</v>
      </c>
      <c r="N56" s="184">
        <f t="shared" ca="1" si="7"/>
        <v>0</v>
      </c>
      <c r="O56" s="180">
        <f t="shared" si="8"/>
        <v>143328805.58747637</v>
      </c>
      <c r="P56" s="180">
        <f t="shared" ca="1" si="9"/>
        <v>0</v>
      </c>
      <c r="Q56" s="185">
        <f t="shared" si="10"/>
        <v>143328805.58747637</v>
      </c>
      <c r="R56" s="185">
        <f t="shared" ca="1" si="11"/>
        <v>0</v>
      </c>
      <c r="T56" t="s">
        <v>224</v>
      </c>
      <c r="U56" t="s">
        <v>217</v>
      </c>
    </row>
    <row r="57" spans="2:21" ht="15.95" customHeight="1" x14ac:dyDescent="0.25">
      <c r="B57" s="50" t="s">
        <v>76</v>
      </c>
      <c r="C57" s="55" t="s">
        <v>77</v>
      </c>
      <c r="D57" s="118">
        <f>TARGETS!AB11</f>
        <v>668891000.09319413</v>
      </c>
      <c r="E57" s="118">
        <f>TARGETS!AC11</f>
        <v>94358636.074047983</v>
      </c>
      <c r="F57" s="118">
        <f>TARGETS!AD11</f>
        <v>345934429.35750455</v>
      </c>
      <c r="G57" s="118">
        <f t="shared" si="0"/>
        <v>1109184065.5247467</v>
      </c>
      <c r="H57" s="114">
        <f t="shared" si="1"/>
        <v>521089786.50765902</v>
      </c>
      <c r="I57" s="114">
        <f t="shared" si="2"/>
        <v>57488125.779923998</v>
      </c>
      <c r="J57" s="114">
        <f t="shared" si="3"/>
        <v>331550587.10936803</v>
      </c>
      <c r="K57" s="114">
        <f t="shared" si="4"/>
        <v>910128499.39695096</v>
      </c>
      <c r="L57" s="187">
        <f t="shared" si="5"/>
        <v>0.82053874346488742</v>
      </c>
      <c r="M57" s="184">
        <f t="shared" si="6"/>
        <v>143596362.85155833</v>
      </c>
      <c r="N57" s="184">
        <f t="shared" ca="1" si="7"/>
        <v>0</v>
      </c>
      <c r="O57" s="180">
        <f t="shared" si="8"/>
        <v>199055566.1277957</v>
      </c>
      <c r="P57" s="180">
        <f t="shared" ca="1" si="9"/>
        <v>0</v>
      </c>
      <c r="Q57" s="185">
        <f t="shared" si="10"/>
        <v>199055566.1277957</v>
      </c>
      <c r="R57" s="185">
        <f t="shared" ca="1" si="11"/>
        <v>0</v>
      </c>
      <c r="T57" t="s">
        <v>120</v>
      </c>
      <c r="U57" t="s">
        <v>217</v>
      </c>
    </row>
    <row r="58" spans="2:21" ht="15.95" customHeight="1" x14ac:dyDescent="0.25">
      <c r="B58" s="53" t="s">
        <v>78</v>
      </c>
      <c r="C58" s="56" t="s">
        <v>79</v>
      </c>
      <c r="D58" s="119">
        <f>TARGETS!AB12</f>
        <v>264283926.94792593</v>
      </c>
      <c r="E58" s="119">
        <f>TARGETS!AC12</f>
        <v>97886673.040960073</v>
      </c>
      <c r="F58" s="119">
        <f>TARGETS!AD12</f>
        <v>252410270.18814293</v>
      </c>
      <c r="G58" s="119">
        <f t="shared" si="0"/>
        <v>614580870.17702889</v>
      </c>
      <c r="H58" s="114">
        <f t="shared" si="1"/>
        <v>282011574.08168399</v>
      </c>
      <c r="I58" s="114">
        <f t="shared" si="2"/>
        <v>74809273.259940997</v>
      </c>
      <c r="J58" s="114">
        <f t="shared" si="3"/>
        <v>193650083.903642</v>
      </c>
      <c r="K58" s="114">
        <f t="shared" si="4"/>
        <v>550470931.24526691</v>
      </c>
      <c r="L58" s="187">
        <f t="shared" si="5"/>
        <v>0.89568510501588627</v>
      </c>
      <c r="M58" s="184">
        <f t="shared" si="6"/>
        <v>33380895.422910452</v>
      </c>
      <c r="N58" s="184">
        <f t="shared" ca="1" si="7"/>
        <v>0</v>
      </c>
      <c r="O58" s="180">
        <f t="shared" si="8"/>
        <v>64109938.93176198</v>
      </c>
      <c r="P58" s="180">
        <f t="shared" ca="1" si="9"/>
        <v>0</v>
      </c>
      <c r="Q58" s="185">
        <f t="shared" si="10"/>
        <v>64109938.93176198</v>
      </c>
      <c r="R58" s="185">
        <f t="shared" ca="1" si="11"/>
        <v>0</v>
      </c>
      <c r="T58" t="s">
        <v>125</v>
      </c>
      <c r="U58" t="s">
        <v>217</v>
      </c>
    </row>
    <row r="59" spans="2:21" ht="15.95" customHeight="1" x14ac:dyDescent="0.25">
      <c r="B59" s="136" t="s">
        <v>171</v>
      </c>
      <c r="C59" s="137" t="s">
        <v>173</v>
      </c>
      <c r="D59" s="138">
        <f>TARGETS!AB13</f>
        <v>443846715.57642001</v>
      </c>
      <c r="E59" s="138">
        <f>TARGETS!AC13</f>
        <v>0</v>
      </c>
      <c r="F59" s="138">
        <f>TARGETS!AD13</f>
        <v>0</v>
      </c>
      <c r="G59" s="138">
        <f t="shared" si="0"/>
        <v>443846715.57642001</v>
      </c>
      <c r="H59" s="114">
        <f t="shared" si="1"/>
        <v>228406676.46000001</v>
      </c>
      <c r="I59" s="114">
        <f t="shared" si="2"/>
        <v>0</v>
      </c>
      <c r="J59" s="114">
        <f t="shared" si="3"/>
        <v>0</v>
      </c>
      <c r="K59" s="114">
        <f t="shared" si="4"/>
        <v>228406676.46000001</v>
      </c>
      <c r="L59" s="187">
        <f t="shared" si="5"/>
        <v>0.51460711196965869</v>
      </c>
      <c r="M59" s="184">
        <f t="shared" si="6"/>
        <v>193247703.33759901</v>
      </c>
      <c r="N59" s="184">
        <f t="shared" ca="1" si="7"/>
        <v>0</v>
      </c>
      <c r="O59" s="180">
        <f t="shared" si="8"/>
        <v>215440039.11642</v>
      </c>
      <c r="P59" s="180">
        <f t="shared" ca="1" si="9"/>
        <v>0</v>
      </c>
      <c r="Q59" s="185">
        <f t="shared" si="10"/>
        <v>215440039.11642</v>
      </c>
      <c r="R59" s="185">
        <f t="shared" ca="1" si="11"/>
        <v>0</v>
      </c>
      <c r="T59" t="s">
        <v>169</v>
      </c>
      <c r="U59" t="s">
        <v>217</v>
      </c>
    </row>
    <row r="60" spans="2:21" ht="15.95" customHeight="1" x14ac:dyDescent="0.25">
      <c r="B60" s="53" t="s">
        <v>80</v>
      </c>
      <c r="C60" s="56" t="s">
        <v>220</v>
      </c>
      <c r="D60" s="119">
        <f>TARGETS!AB14</f>
        <v>350028087.21575695</v>
      </c>
      <c r="E60" s="119">
        <f>TARGETS!AC14</f>
        <v>110885070.36755566</v>
      </c>
      <c r="F60" s="119">
        <f>TARGETS!AD14</f>
        <v>118273050.61307113</v>
      </c>
      <c r="G60" s="119">
        <f t="shared" si="0"/>
        <v>579186208.19638371</v>
      </c>
      <c r="H60" s="114">
        <f t="shared" si="1"/>
        <v>350127609.35823399</v>
      </c>
      <c r="I60" s="114">
        <f t="shared" si="2"/>
        <v>90343081.166443005</v>
      </c>
      <c r="J60" s="114">
        <f t="shared" si="3"/>
        <v>104230158.082516</v>
      </c>
      <c r="K60" s="114">
        <f t="shared" si="4"/>
        <v>544700848.60719299</v>
      </c>
      <c r="L60" s="187">
        <f t="shared" si="5"/>
        <v>0.94045894204459746</v>
      </c>
      <c r="M60" s="184">
        <f t="shared" si="6"/>
        <v>5526049.1793714762</v>
      </c>
      <c r="N60" s="184">
        <f t="shared" ca="1" si="7"/>
        <v>0</v>
      </c>
      <c r="O60" s="180">
        <f t="shared" si="8"/>
        <v>34485359.589190722</v>
      </c>
      <c r="P60" s="180">
        <f t="shared" ca="1" si="9"/>
        <v>0</v>
      </c>
      <c r="Q60" s="185">
        <f t="shared" si="10"/>
        <v>34485359.589190722</v>
      </c>
      <c r="R60" s="185">
        <f t="shared" ca="1" si="11"/>
        <v>0</v>
      </c>
      <c r="T60" t="s">
        <v>219</v>
      </c>
      <c r="U60" t="s">
        <v>217</v>
      </c>
    </row>
    <row r="61" spans="2:21" ht="15.95" customHeight="1" x14ac:dyDescent="0.25">
      <c r="B61" s="50" t="s">
        <v>82</v>
      </c>
      <c r="C61" s="55" t="s">
        <v>83</v>
      </c>
      <c r="D61" s="118">
        <f>TARGETS!AB15</f>
        <v>481086994.53224033</v>
      </c>
      <c r="E61" s="118">
        <f>TARGETS!AC15</f>
        <v>64167598.911600403</v>
      </c>
      <c r="F61" s="118">
        <f>TARGETS!AD15</f>
        <v>171338208.10934076</v>
      </c>
      <c r="G61" s="118">
        <f t="shared" si="0"/>
        <v>716592801.55318153</v>
      </c>
      <c r="H61" s="114">
        <f t="shared" si="1"/>
        <v>473358692.59722602</v>
      </c>
      <c r="I61" s="114">
        <f t="shared" si="2"/>
        <v>68355376.974876001</v>
      </c>
      <c r="J61" s="114">
        <f t="shared" si="3"/>
        <v>214221011.39987901</v>
      </c>
      <c r="K61" s="114">
        <f t="shared" si="4"/>
        <v>755935080.97198105</v>
      </c>
      <c r="L61" s="187">
        <f t="shared" si="5"/>
        <v>1.0549018624433946</v>
      </c>
      <c r="M61" s="184">
        <f t="shared" si="6"/>
        <v>-75171919.49645865</v>
      </c>
      <c r="N61" s="184">
        <f t="shared" ca="1" si="7"/>
        <v>0</v>
      </c>
      <c r="O61" s="180">
        <f t="shared" si="8"/>
        <v>-39342279.41879952</v>
      </c>
      <c r="P61" s="180">
        <f t="shared" ca="1" si="9"/>
        <v>0</v>
      </c>
      <c r="Q61" s="185">
        <f t="shared" si="10"/>
        <v>-39342279.41879952</v>
      </c>
      <c r="R61" s="185">
        <f t="shared" ca="1" si="11"/>
        <v>0</v>
      </c>
      <c r="T61" t="s">
        <v>126</v>
      </c>
      <c r="U61" t="s">
        <v>217</v>
      </c>
    </row>
    <row r="62" spans="2:21" ht="15.95" customHeight="1" x14ac:dyDescent="0.25">
      <c r="B62" s="53" t="s">
        <v>84</v>
      </c>
      <c r="C62" s="56" t="s">
        <v>85</v>
      </c>
      <c r="D62" s="119">
        <f>TARGETS!AB16</f>
        <v>172797999.38105893</v>
      </c>
      <c r="E62" s="119">
        <f>TARGETS!AC16</f>
        <v>41572866.941455372</v>
      </c>
      <c r="F62" s="119">
        <f>TARGETS!AD16</f>
        <v>262652391.23828724</v>
      </c>
      <c r="G62" s="119">
        <f t="shared" si="0"/>
        <v>477023257.56080151</v>
      </c>
      <c r="H62" s="114">
        <f t="shared" si="1"/>
        <v>144740163.23579499</v>
      </c>
      <c r="I62" s="114">
        <f t="shared" si="2"/>
        <v>42947490.453594998</v>
      </c>
      <c r="J62" s="114">
        <f t="shared" si="3"/>
        <v>203025937.43701801</v>
      </c>
      <c r="K62" s="114">
        <f t="shared" si="4"/>
        <v>390713591.12640798</v>
      </c>
      <c r="L62" s="187">
        <f t="shared" si="5"/>
        <v>0.81906612504445342</v>
      </c>
      <c r="M62" s="184">
        <f t="shared" si="6"/>
        <v>62458503.55635345</v>
      </c>
      <c r="N62" s="184">
        <f t="shared" ca="1" si="7"/>
        <v>0</v>
      </c>
      <c r="O62" s="180">
        <f t="shared" si="8"/>
        <v>86309666.434393525</v>
      </c>
      <c r="P62" s="180">
        <f t="shared" ca="1" si="9"/>
        <v>0</v>
      </c>
      <c r="Q62" s="185">
        <f t="shared" si="10"/>
        <v>86309666.434393525</v>
      </c>
      <c r="R62" s="185">
        <f t="shared" ca="1" si="11"/>
        <v>0</v>
      </c>
      <c r="T62" t="s">
        <v>112</v>
      </c>
      <c r="U62" t="s">
        <v>217</v>
      </c>
    </row>
    <row r="63" spans="2:21" ht="15.95" customHeight="1" x14ac:dyDescent="0.25">
      <c r="B63" s="50" t="s">
        <v>86</v>
      </c>
      <c r="C63" s="55" t="s">
        <v>87</v>
      </c>
      <c r="D63" s="118">
        <f>TARGETS!AB17</f>
        <v>414259691.91367406</v>
      </c>
      <c r="E63" s="118">
        <f>TARGETS!AC17</f>
        <v>319339041.89902592</v>
      </c>
      <c r="F63" s="118">
        <f>TARGETS!AD17</f>
        <v>245375263.48110652</v>
      </c>
      <c r="G63" s="118">
        <f t="shared" si="0"/>
        <v>978973997.29380655</v>
      </c>
      <c r="H63" s="114">
        <f t="shared" si="1"/>
        <v>547959392.77456105</v>
      </c>
      <c r="I63" s="114">
        <f t="shared" si="2"/>
        <v>290879574.89086801</v>
      </c>
      <c r="J63" s="114">
        <f t="shared" si="3"/>
        <v>286513427.54513299</v>
      </c>
      <c r="K63" s="114">
        <f t="shared" si="4"/>
        <v>1125352395.2105622</v>
      </c>
      <c r="L63" s="187">
        <f t="shared" si="5"/>
        <v>1.149522253217544</v>
      </c>
      <c r="M63" s="184">
        <f t="shared" si="6"/>
        <v>-195327097.7814461</v>
      </c>
      <c r="N63" s="184">
        <f t="shared" ca="1" si="7"/>
        <v>0</v>
      </c>
      <c r="O63" s="180">
        <f t="shared" si="8"/>
        <v>-146378397.91675568</v>
      </c>
      <c r="P63" s="180">
        <f t="shared" ca="1" si="9"/>
        <v>0</v>
      </c>
      <c r="Q63" s="185">
        <f t="shared" si="10"/>
        <v>-146378397.91675568</v>
      </c>
      <c r="R63" s="185">
        <f t="shared" ca="1" si="11"/>
        <v>0</v>
      </c>
      <c r="T63" t="s">
        <v>127</v>
      </c>
      <c r="U63" t="s">
        <v>217</v>
      </c>
    </row>
    <row r="64" spans="2:21" ht="15.95" customHeight="1" x14ac:dyDescent="0.25">
      <c r="B64" s="53" t="s">
        <v>88</v>
      </c>
      <c r="C64" s="56" t="s">
        <v>89</v>
      </c>
      <c r="D64" s="119">
        <f>TARGETS!AB18</f>
        <v>127614263.01752643</v>
      </c>
      <c r="E64" s="119">
        <f>TARGETS!AC18</f>
        <v>204732197.46487355</v>
      </c>
      <c r="F64" s="119">
        <f>TARGETS!AD18</f>
        <v>204567860.95199081</v>
      </c>
      <c r="G64" s="119">
        <f t="shared" si="0"/>
        <v>536914321.43439078</v>
      </c>
      <c r="H64" s="114">
        <f t="shared" si="1"/>
        <v>124884923.01588099</v>
      </c>
      <c r="I64" s="114">
        <f t="shared" si="2"/>
        <v>172555978.428067</v>
      </c>
      <c r="J64" s="114">
        <f t="shared" si="3"/>
        <v>175918032.83874199</v>
      </c>
      <c r="K64" s="114">
        <f t="shared" si="4"/>
        <v>473358934.28268993</v>
      </c>
      <c r="L64" s="187">
        <f t="shared" si="5"/>
        <v>0.88162843750952713</v>
      </c>
      <c r="M64" s="184">
        <f t="shared" si="6"/>
        <v>36709671.079981267</v>
      </c>
      <c r="N64" s="184">
        <f t="shared" ca="1" si="7"/>
        <v>0</v>
      </c>
      <c r="O64" s="180">
        <f t="shared" si="8"/>
        <v>63555387.151700854</v>
      </c>
      <c r="P64" s="180">
        <f t="shared" ca="1" si="9"/>
        <v>0</v>
      </c>
      <c r="Q64" s="185">
        <f t="shared" si="10"/>
        <v>63555387.151700854</v>
      </c>
      <c r="R64" s="185">
        <f t="shared" ca="1" si="11"/>
        <v>0</v>
      </c>
      <c r="T64" t="s">
        <v>122</v>
      </c>
      <c r="U64" t="s">
        <v>123</v>
      </c>
    </row>
    <row r="65" spans="2:21" ht="15.95" customHeight="1" x14ac:dyDescent="0.25">
      <c r="B65" s="57" t="s">
        <v>151</v>
      </c>
      <c r="C65" s="58"/>
      <c r="D65" s="134">
        <f t="shared" ref="D65:K65" si="12">SUM(D51:D64)</f>
        <v>4511786033.6993961</v>
      </c>
      <c r="E65" s="134">
        <f t="shared" si="12"/>
        <v>1401365310.515415</v>
      </c>
      <c r="F65" s="134">
        <f t="shared" si="12"/>
        <v>2944814196.3286853</v>
      </c>
      <c r="G65" s="134">
        <f t="shared" si="12"/>
        <v>8857965540.5434952</v>
      </c>
      <c r="H65" s="135">
        <f t="shared" si="12"/>
        <v>3960822251.5807762</v>
      </c>
      <c r="I65" s="135">
        <f t="shared" si="12"/>
        <v>1100833973.6632581</v>
      </c>
      <c r="J65" s="135">
        <f t="shared" si="12"/>
        <v>2683504280.2418637</v>
      </c>
      <c r="K65" s="135">
        <f t="shared" si="12"/>
        <v>7745160505.4858971</v>
      </c>
      <c r="L65" s="189">
        <f t="shared" si="5"/>
        <v>0.87437239059418148</v>
      </c>
      <c r="M65" s="181">
        <f>SUM(M51:M64)</f>
        <v>669906758.03042293</v>
      </c>
      <c r="N65" s="181">
        <f t="shared" ca="1" si="7"/>
        <v>0</v>
      </c>
      <c r="O65" s="181">
        <f>SUM(O51:O64)</f>
        <v>1112805035.0575981</v>
      </c>
      <c r="P65" s="181">
        <f t="shared" ca="1" si="9"/>
        <v>0</v>
      </c>
      <c r="Q65" s="186">
        <f>SUM(Q51:Q64)</f>
        <v>1112805035.0575981</v>
      </c>
      <c r="R65" s="186">
        <f t="shared" ca="1" si="11"/>
        <v>0</v>
      </c>
    </row>
    <row r="66" spans="2:21" ht="15" customHeight="1" x14ac:dyDescent="0.25">
      <c r="G66" s="111"/>
      <c r="H66" s="111"/>
      <c r="I66" s="111"/>
    </row>
    <row r="67" spans="2:21" ht="18.95" customHeight="1" x14ac:dyDescent="0.25">
      <c r="B67" s="288" t="s">
        <v>144</v>
      </c>
      <c r="C67" s="289"/>
      <c r="D67" s="289"/>
      <c r="E67" s="289"/>
      <c r="F67" s="298"/>
      <c r="G67" s="274" t="s">
        <v>185</v>
      </c>
      <c r="H67" s="275"/>
      <c r="I67" s="275"/>
      <c r="J67" s="275"/>
      <c r="K67" s="275"/>
      <c r="L67" s="276"/>
    </row>
    <row r="68" spans="2:21" ht="30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"SELISIH"&amp;CHAR(10)&amp;TEXT($H$40,"0%")</f>
        <v>SELISIH
95%</v>
      </c>
      <c r="H68" s="232" t="str">
        <f>"PER HARI"&amp;CHAR(10)&amp;TEXT($H$40,"0%")</f>
        <v>PER HARI
95%</v>
      </c>
      <c r="I68" s="229" t="str">
        <f>"SELISIH"&amp;CHAR(10)&amp;TEXT($J$40,"0%")</f>
        <v>SELISIH
100%</v>
      </c>
      <c r="J68" s="230" t="str">
        <f>"PER HARI"&amp;CHAR(10)&amp;TEXT($J$40,"0%")</f>
        <v>PER HARI
100%</v>
      </c>
      <c r="K68" s="222" t="str">
        <f>"SELISIH"&amp;CHAR(10)&amp;TEXT($L$40,"0%")</f>
        <v>SELISIH
100%</v>
      </c>
      <c r="L68" s="222" t="str">
        <f>"PER HARI"&amp;CHAR(10)&amp;TEXT($L$40,"0%")</f>
        <v>PER HARI
100%</v>
      </c>
    </row>
    <row r="69" spans="2:21" ht="15.95" customHeight="1" x14ac:dyDescent="0.25">
      <c r="B69" s="50" t="s">
        <v>92</v>
      </c>
      <c r="C69" s="55" t="s">
        <v>93</v>
      </c>
      <c r="D69" s="116">
        <f>TARGETS!L22</f>
        <v>256257503.30496463</v>
      </c>
      <c r="E69" s="114">
        <f>IFERROR($C$31,0)</f>
        <v>280535172.19189399</v>
      </c>
      <c r="F69" s="187">
        <f t="shared" ref="F69:F74" si="13">IFERROR(E69/D69,0)</f>
        <v>1.0947393484047068</v>
      </c>
      <c r="G69" s="184">
        <f>D69*$H$40-E69</f>
        <v>-37090544.052177608</v>
      </c>
      <c r="H69" s="184">
        <f t="shared" ref="H69:H74" ca="1" si="14">IFERROR(G69/$C$3,0)</f>
        <v>0</v>
      </c>
      <c r="I69" s="204">
        <f>D69*$J$40-E69</f>
        <v>-24277668.886929363</v>
      </c>
      <c r="J69" s="204">
        <f t="shared" ref="J69:J74" ca="1" si="15">IFERROR(I69/$C$3,0)</f>
        <v>0</v>
      </c>
      <c r="K69" s="185">
        <f>D69*$L$40-E69</f>
        <v>-24277668.886929363</v>
      </c>
      <c r="L69" s="185">
        <f t="shared" ref="L69:L74" ca="1" si="16">IFERROR(K69/$C$3,0)</f>
        <v>0</v>
      </c>
    </row>
    <row r="70" spans="2:21" ht="15.95" customHeight="1" x14ac:dyDescent="0.25">
      <c r="B70" s="53" t="s">
        <v>94</v>
      </c>
      <c r="C70" s="56" t="s">
        <v>99</v>
      </c>
      <c r="D70" s="117">
        <f>TARGETS!L23</f>
        <v>399558412.3049646</v>
      </c>
      <c r="E70" s="114">
        <f>IFERROR($C$32,0)</f>
        <v>473492851.69265503</v>
      </c>
      <c r="F70" s="187">
        <f t="shared" si="13"/>
        <v>1.1850403773535361</v>
      </c>
      <c r="G70" s="184">
        <f>D70*$H$40-E70</f>
        <v>-93912360.002938688</v>
      </c>
      <c r="H70" s="184">
        <f t="shared" ca="1" si="14"/>
        <v>0</v>
      </c>
      <c r="I70" s="204">
        <f>D70*$J$40-E70</f>
        <v>-73934439.387690425</v>
      </c>
      <c r="J70" s="204">
        <f t="shared" ca="1" si="15"/>
        <v>0</v>
      </c>
      <c r="K70" s="185">
        <f>D70*$L$40-E70</f>
        <v>-73934439.387690425</v>
      </c>
      <c r="L70" s="185">
        <f t="shared" ca="1" si="16"/>
        <v>0</v>
      </c>
    </row>
    <row r="71" spans="2:21" x14ac:dyDescent="0.25">
      <c r="B71" s="50" t="s">
        <v>96</v>
      </c>
      <c r="C71" s="55" t="s">
        <v>97</v>
      </c>
      <c r="D71" s="116">
        <f>TARGETS!L24</f>
        <v>1084609616.3049645</v>
      </c>
      <c r="E71" s="114">
        <f>M21</f>
        <v>1048400865.610592</v>
      </c>
      <c r="F71" s="187">
        <f t="shared" si="13"/>
        <v>0.96661586791224652</v>
      </c>
      <c r="G71" s="184">
        <f>D71*$H$40-E71</f>
        <v>-18021730.120875716</v>
      </c>
      <c r="H71" s="184">
        <f t="shared" ca="1" si="14"/>
        <v>0</v>
      </c>
      <c r="I71" s="204">
        <f>D71*$J$40-E71</f>
        <v>36208750.694372535</v>
      </c>
      <c r="J71" s="204">
        <f t="shared" ca="1" si="15"/>
        <v>0</v>
      </c>
      <c r="K71" s="185">
        <f>D71*$L$40-E71</f>
        <v>36208750.694372535</v>
      </c>
      <c r="L71" s="185">
        <f t="shared" ca="1" si="16"/>
        <v>0</v>
      </c>
    </row>
    <row r="72" spans="2:21" hidden="1" x14ac:dyDescent="0.25">
      <c r="B72" s="53" t="s">
        <v>98</v>
      </c>
      <c r="C72" s="56" t="s">
        <v>99</v>
      </c>
      <c r="D72" s="117">
        <f>TARGETS!L25</f>
        <v>0</v>
      </c>
      <c r="E72" s="114">
        <f>0</f>
        <v>0</v>
      </c>
      <c r="F72" s="187">
        <f t="shared" si="13"/>
        <v>0</v>
      </c>
      <c r="G72" s="184">
        <f>D72*$H$40-E72</f>
        <v>0</v>
      </c>
      <c r="H72" s="184">
        <f t="shared" ca="1" si="14"/>
        <v>0</v>
      </c>
      <c r="I72" s="204">
        <f>D72*$J$40-E72</f>
        <v>0</v>
      </c>
      <c r="J72" s="204">
        <f t="shared" ca="1" si="15"/>
        <v>0</v>
      </c>
      <c r="K72" s="185">
        <f>D72*$L$40-E72</f>
        <v>0</v>
      </c>
      <c r="L72" s="185">
        <f t="shared" ca="1" si="16"/>
        <v>0</v>
      </c>
    </row>
    <row r="73" spans="2:21" hidden="1" x14ac:dyDescent="0.25">
      <c r="B73" s="50" t="s">
        <v>100</v>
      </c>
      <c r="C73" s="108" t="s">
        <v>101</v>
      </c>
      <c r="D73" s="116">
        <f>TARGETS!L26</f>
        <v>0</v>
      </c>
      <c r="E73" s="114">
        <f>0</f>
        <v>0</v>
      </c>
      <c r="F73" s="187">
        <f t="shared" si="13"/>
        <v>0</v>
      </c>
      <c r="G73" s="184">
        <f>D73*$H$40-E73</f>
        <v>0</v>
      </c>
      <c r="H73" s="184">
        <f t="shared" ca="1" si="14"/>
        <v>0</v>
      </c>
      <c r="I73" s="204">
        <f>D73*$J$40-E73</f>
        <v>0</v>
      </c>
      <c r="J73" s="204">
        <f t="shared" ca="1" si="15"/>
        <v>0</v>
      </c>
      <c r="K73" s="185">
        <f>D73*$L$40-E73</f>
        <v>0</v>
      </c>
      <c r="L73" s="185">
        <f t="shared" ca="1" si="16"/>
        <v>0</v>
      </c>
    </row>
    <row r="74" spans="2:21" x14ac:dyDescent="0.25">
      <c r="B74" s="57" t="s">
        <v>151</v>
      </c>
      <c r="C74" s="58"/>
      <c r="D74" s="115">
        <f>SUM(D69:D73)</f>
        <v>1740425531.9148936</v>
      </c>
      <c r="E74" s="115">
        <f>SUM(E69:E73)</f>
        <v>1802428889.495141</v>
      </c>
      <c r="F74" s="177">
        <f t="shared" si="13"/>
        <v>1.0356254010546653</v>
      </c>
      <c r="G74" s="181">
        <f>SUM(G69:G73)</f>
        <v>-149024634.17599201</v>
      </c>
      <c r="H74" s="181">
        <f t="shared" ca="1" si="14"/>
        <v>0</v>
      </c>
      <c r="I74" s="186">
        <f>SUM(I69:I73)</f>
        <v>-62003357.580247253</v>
      </c>
      <c r="J74" s="186">
        <f t="shared" ca="1" si="15"/>
        <v>0</v>
      </c>
      <c r="K74" s="186">
        <f>SUM(K69:K73)</f>
        <v>-62003357.580247253</v>
      </c>
      <c r="L74" s="186">
        <f t="shared" ca="1" si="16"/>
        <v>0</v>
      </c>
    </row>
    <row r="75" spans="2:21" ht="15" customHeight="1" x14ac:dyDescent="0.25"/>
    <row r="76" spans="2:21" ht="15" customHeight="1" x14ac:dyDescent="0.25"/>
    <row r="77" spans="2:21" ht="20.100000000000001" customHeight="1" x14ac:dyDescent="0.25">
      <c r="B77" s="254" t="s">
        <v>170</v>
      </c>
      <c r="C77" s="255"/>
      <c r="D77" s="256"/>
    </row>
    <row r="78" spans="2:21" ht="17.100000000000001" customHeight="1" x14ac:dyDescent="0.25">
      <c r="B78" s="273" t="s">
        <v>41</v>
      </c>
      <c r="C78" s="273" t="s">
        <v>42</v>
      </c>
      <c r="D78" s="231" t="s">
        <v>138</v>
      </c>
    </row>
    <row r="79" spans="2:21" ht="17.100000000000001" customHeight="1" x14ac:dyDescent="0.25">
      <c r="B79" s="263"/>
      <c r="C79" s="263"/>
      <c r="D79" s="70" t="s">
        <v>167</v>
      </c>
      <c r="T79" s="178" t="s">
        <v>215</v>
      </c>
      <c r="U79" s="178" t="s">
        <v>216</v>
      </c>
    </row>
    <row r="80" spans="2:21" ht="15.95" customHeight="1" x14ac:dyDescent="0.25">
      <c r="B80" s="50" t="s">
        <v>67</v>
      </c>
      <c r="C80" s="55" t="s">
        <v>68</v>
      </c>
      <c r="D80" s="131">
        <f t="shared" ref="D80:D93" si="17">SUMIF($B$10:$B$26,$T80,$F$10:$F$26)+SUMIF($B$10:$B$26,$U80,$F$10:$F$26)</f>
        <v>440958537.05983001</v>
      </c>
      <c r="T80" t="str">
        <f t="shared" ref="T80:U93" si="18">T51</f>
        <v>Picrom Stalyon</v>
      </c>
      <c r="U80" t="str">
        <f t="shared" si="18"/>
        <v>n/a</v>
      </c>
    </row>
    <row r="81" spans="2:21" ht="15.95" customHeight="1" x14ac:dyDescent="0.25">
      <c r="B81" s="53" t="s">
        <v>69</v>
      </c>
      <c r="C81" s="56" t="s">
        <v>70</v>
      </c>
      <c r="D81" s="132">
        <f t="shared" si="17"/>
        <v>165743664.72</v>
      </c>
      <c r="T81" t="str">
        <f t="shared" si="18"/>
        <v>I MADE LUIH</v>
      </c>
      <c r="U81" t="str">
        <f t="shared" si="18"/>
        <v>I Made Luih (Sanur)</v>
      </c>
    </row>
    <row r="82" spans="2:21" ht="15.95" customHeight="1" x14ac:dyDescent="0.25">
      <c r="B82" s="53" t="s">
        <v>171</v>
      </c>
      <c r="C82" s="56" t="s">
        <v>172</v>
      </c>
      <c r="D82" s="132">
        <f t="shared" si="17"/>
        <v>9945945.6799999997</v>
      </c>
      <c r="T82" t="str">
        <f t="shared" si="18"/>
        <v>NN Made Luih</v>
      </c>
      <c r="U82" t="str">
        <f t="shared" si="18"/>
        <v>n/a</v>
      </c>
    </row>
    <row r="83" spans="2:21" ht="15.95" customHeight="1" x14ac:dyDescent="0.25">
      <c r="B83" s="50" t="s">
        <v>71</v>
      </c>
      <c r="C83" s="55" t="s">
        <v>72</v>
      </c>
      <c r="D83" s="131">
        <f t="shared" si="17"/>
        <v>435182498.96969998</v>
      </c>
      <c r="T83" t="str">
        <f t="shared" si="18"/>
        <v>Juni</v>
      </c>
      <c r="U83" t="str">
        <f t="shared" si="18"/>
        <v>n/a</v>
      </c>
    </row>
    <row r="84" spans="2:21" ht="15.95" customHeight="1" x14ac:dyDescent="0.25">
      <c r="B84" s="53" t="s">
        <v>73</v>
      </c>
      <c r="C84" s="56" t="s">
        <v>221</v>
      </c>
      <c r="D84" s="132">
        <f t="shared" si="17"/>
        <v>0</v>
      </c>
      <c r="T84" t="str">
        <f t="shared" si="18"/>
        <v>FIB</v>
      </c>
      <c r="U84" t="str">
        <f t="shared" si="18"/>
        <v>n/a</v>
      </c>
    </row>
    <row r="85" spans="2:21" ht="15.95" customHeight="1" x14ac:dyDescent="0.25">
      <c r="B85" s="50" t="s">
        <v>75</v>
      </c>
      <c r="C85" s="55" t="s">
        <v>225</v>
      </c>
      <c r="D85" s="131">
        <f t="shared" si="17"/>
        <v>65793423.229999997</v>
      </c>
      <c r="T85" t="str">
        <f t="shared" si="18"/>
        <v>Ronald</v>
      </c>
      <c r="U85" t="str">
        <f t="shared" si="18"/>
        <v>n/a</v>
      </c>
    </row>
    <row r="86" spans="2:21" ht="15.95" customHeight="1" x14ac:dyDescent="0.25">
      <c r="B86" s="53" t="s">
        <v>76</v>
      </c>
      <c r="C86" s="56" t="s">
        <v>77</v>
      </c>
      <c r="D86" s="132">
        <f t="shared" si="17"/>
        <v>1085995754.9499691</v>
      </c>
      <c r="T86" t="str">
        <f t="shared" si="18"/>
        <v>Monica</v>
      </c>
      <c r="U86" t="str">
        <f t="shared" si="18"/>
        <v>n/a</v>
      </c>
    </row>
    <row r="87" spans="2:21" ht="15.95" customHeight="1" x14ac:dyDescent="0.25">
      <c r="B87" s="50" t="s">
        <v>78</v>
      </c>
      <c r="C87" s="55" t="s">
        <v>79</v>
      </c>
      <c r="D87" s="131">
        <f t="shared" si="17"/>
        <v>347098526.07937998</v>
      </c>
      <c r="T87" t="str">
        <f t="shared" si="18"/>
        <v>Sujana</v>
      </c>
      <c r="U87" t="str">
        <f t="shared" si="18"/>
        <v>n/a</v>
      </c>
    </row>
    <row r="88" spans="2:21" ht="15.95" customHeight="1" x14ac:dyDescent="0.25">
      <c r="B88" s="53" t="s">
        <v>171</v>
      </c>
      <c r="C88" s="56" t="s">
        <v>173</v>
      </c>
      <c r="D88" s="132">
        <f t="shared" si="17"/>
        <v>13579549.18</v>
      </c>
      <c r="T88" t="str">
        <f t="shared" si="18"/>
        <v>NN Sujana</v>
      </c>
      <c r="U88" t="str">
        <f t="shared" si="18"/>
        <v>n/a</v>
      </c>
    </row>
    <row r="89" spans="2:21" ht="15.95" customHeight="1" x14ac:dyDescent="0.25">
      <c r="B89" s="53" t="s">
        <v>80</v>
      </c>
      <c r="C89" s="56" t="s">
        <v>81</v>
      </c>
      <c r="D89" s="132">
        <f t="shared" si="17"/>
        <v>50324325.43</v>
      </c>
      <c r="T89" t="str">
        <f t="shared" si="18"/>
        <v>Wahyu</v>
      </c>
      <c r="U89" t="str">
        <f t="shared" si="18"/>
        <v>n/a</v>
      </c>
    </row>
    <row r="90" spans="2:21" ht="15.95" customHeight="1" x14ac:dyDescent="0.25">
      <c r="B90" s="50" t="s">
        <v>82</v>
      </c>
      <c r="C90" s="55" t="s">
        <v>83</v>
      </c>
      <c r="D90" s="131">
        <f t="shared" si="17"/>
        <v>637076364.45931995</v>
      </c>
      <c r="T90" t="str">
        <f t="shared" si="18"/>
        <v>Taufik</v>
      </c>
      <c r="U90" t="str">
        <f t="shared" si="18"/>
        <v>n/a</v>
      </c>
    </row>
    <row r="91" spans="2:21" ht="15.95" customHeight="1" x14ac:dyDescent="0.25">
      <c r="B91" s="53" t="s">
        <v>84</v>
      </c>
      <c r="C91" s="56" t="s">
        <v>85</v>
      </c>
      <c r="D91" s="132">
        <f t="shared" si="17"/>
        <v>167020820.35991901</v>
      </c>
      <c r="T91" t="str">
        <f t="shared" si="18"/>
        <v>Dewi Kristiani</v>
      </c>
      <c r="U91" t="str">
        <f t="shared" si="18"/>
        <v>n/a</v>
      </c>
    </row>
    <row r="92" spans="2:21" ht="15.95" customHeight="1" x14ac:dyDescent="0.25">
      <c r="B92" s="50" t="s">
        <v>86</v>
      </c>
      <c r="C92" s="55" t="s">
        <v>87</v>
      </c>
      <c r="D92" s="131">
        <f t="shared" si="17"/>
        <v>21926703.130399998</v>
      </c>
      <c r="T92" t="str">
        <f t="shared" si="18"/>
        <v>Wira</v>
      </c>
      <c r="U92" t="str">
        <f t="shared" si="18"/>
        <v>n/a</v>
      </c>
    </row>
    <row r="93" spans="2:21" ht="15.95" customHeight="1" x14ac:dyDescent="0.25">
      <c r="B93" s="53" t="s">
        <v>88</v>
      </c>
      <c r="C93" s="56" t="s">
        <v>89</v>
      </c>
      <c r="D93" s="132">
        <f t="shared" si="17"/>
        <v>160288111.498</v>
      </c>
      <c r="T93" t="str">
        <f t="shared" si="18"/>
        <v>Ni Ketut Sriasih (GT)</v>
      </c>
      <c r="U93" t="str">
        <f t="shared" si="18"/>
        <v>Ni Ketut Sriasih (MT)</v>
      </c>
    </row>
    <row r="94" spans="2:21" ht="15.95" customHeight="1" x14ac:dyDescent="0.25">
      <c r="B94" s="57" t="s">
        <v>151</v>
      </c>
      <c r="C94" s="58"/>
      <c r="D94" s="120">
        <f>SUM(D80:D93)</f>
        <v>3600934224.7465181</v>
      </c>
    </row>
    <row r="95" spans="2:21" ht="15" customHeight="1" x14ac:dyDescent="0.25"/>
  </sheetData>
  <mergeCells count="20">
    <mergeCell ref="M48:R48"/>
    <mergeCell ref="B49:B50"/>
    <mergeCell ref="C49:C50"/>
    <mergeCell ref="D49:G49"/>
    <mergeCell ref="H49:K49"/>
    <mergeCell ref="Q49:Q50"/>
    <mergeCell ref="R49:R50"/>
    <mergeCell ref="N49:N50"/>
    <mergeCell ref="L49:L50"/>
    <mergeCell ref="M49:M50"/>
    <mergeCell ref="O49:O50"/>
    <mergeCell ref="P49:P50"/>
    <mergeCell ref="B40:D40"/>
    <mergeCell ref="B46:C46"/>
    <mergeCell ref="B78:B79"/>
    <mergeCell ref="C78:C79"/>
    <mergeCell ref="B67:F67"/>
    <mergeCell ref="B77:D77"/>
    <mergeCell ref="B48:L48"/>
    <mergeCell ref="G67:L67"/>
  </mergeCells>
  <conditionalFormatting sqref="L51:L64">
    <cfRule type="expression" dxfId="11" priority="1">
      <formula>L51&gt;=$F$41-0.05</formula>
    </cfRule>
    <cfRule type="expression" dxfId="10" priority="2">
      <formula>AND(L51&gt;=$F$41-0.2,L51&lt;$F$41-0.05)</formula>
    </cfRule>
    <cfRule type="expression" dxfId="9" priority="3">
      <formula>L51&lt;$F$41-0.2</formula>
    </cfRule>
  </conditionalFormatting>
  <dataValidations count="1">
    <dataValidation type="list" allowBlank="1" showInputMessage="1" showErrorMessage="1" sqref="H40 J40">
      <formula1>$S$40:$S$46</formula1>
    </dataValidation>
  </dataValidations>
  <pageMargins left="0.45" right="0.45" top="0.5" bottom="0.5" header="0.3" footer="0.3"/>
  <pageSetup paperSize="9" scale="40" fitToHeight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97"/>
  <sheetViews>
    <sheetView showGridLines="0" tabSelected="1" topLeftCell="B72" zoomScale="80" zoomScaleNormal="80" workbookViewId="0">
      <selection activeCell="D91" sqref="D91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8" bestFit="1" customWidth="1"/>
    <col min="4" max="5" width="16.42578125" customWidth="1"/>
    <col min="6" max="6" width="18" bestFit="1" customWidth="1"/>
    <col min="7" max="7" width="18.42578125" customWidth="1"/>
    <col min="8" max="18" width="16.42578125" customWidth="1"/>
  </cols>
  <sheetData>
    <row r="1" spans="2:15" ht="18.95" customHeight="1" x14ac:dyDescent="0.25">
      <c r="B1" s="83" t="s">
        <v>162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191</v>
      </c>
      <c r="H2" s="111"/>
      <c r="I2" s="111"/>
      <c r="J2" s="217">
        <f ca="1">E3</f>
        <v>31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IF($J$5&lt;&gt;"",$J$5,MAX(0,NETWORKDAYS.INTL(MAX(TODAY(),DATE(YEAR(TODAY()),10,1)),EOMONTH(DATE(YEAR(TODAY()),10,1),0),11)-MAX(0,$J$3-$J$4)))</f>
        <v>3</v>
      </c>
      <c r="D3" s="76" t="s">
        <v>104</v>
      </c>
      <c r="E3" s="77">
        <f ca="1">DAY(EOMONTH(DATE(YEAR(TODAY()),10,1),0))</f>
        <v>31</v>
      </c>
      <c r="G3" s="221" t="s">
        <v>192</v>
      </c>
      <c r="H3" s="111"/>
      <c r="I3" s="111"/>
      <c r="J3" s="218">
        <v>1</v>
      </c>
    </row>
    <row r="4" spans="2:15" ht="15" customHeight="1" x14ac:dyDescent="0.25">
      <c r="G4" s="221" t="s">
        <v>193</v>
      </c>
      <c r="H4" s="111"/>
      <c r="I4" s="111"/>
      <c r="J4" s="218">
        <v>0</v>
      </c>
    </row>
    <row r="5" spans="2:15" ht="15" customHeight="1" x14ac:dyDescent="0.25">
      <c r="G5" s="221" t="s">
        <v>194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208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207</v>
      </c>
      <c r="F8" s="80" t="s">
        <v>167</v>
      </c>
      <c r="G8" s="80" t="s">
        <v>111</v>
      </c>
      <c r="H8" s="111"/>
      <c r="I8" s="111"/>
      <c r="J8" s="111"/>
      <c r="M8" s="11"/>
      <c r="N8" s="11"/>
      <c r="O8" s="171"/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/>
      <c r="N9" s="11"/>
      <c r="O9" s="171"/>
    </row>
    <row r="10" spans="2:15" ht="15" customHeight="1" x14ac:dyDescent="0.25">
      <c r="B10" s="72" t="s">
        <v>112</v>
      </c>
      <c r="C10" s="239">
        <v>181838881.34438601</v>
      </c>
      <c r="D10" s="239">
        <v>48782899.217996001</v>
      </c>
      <c r="E10" s="239">
        <v>209042402.73594299</v>
      </c>
      <c r="F10" s="239">
        <v>150785586.35992399</v>
      </c>
      <c r="G10" s="239">
        <v>593311269.65824902</v>
      </c>
      <c r="H10" s="111"/>
      <c r="I10" s="111"/>
      <c r="J10" s="111"/>
      <c r="M10" s="11"/>
      <c r="N10" s="11"/>
      <c r="O10" s="171"/>
    </row>
    <row r="11" spans="2:15" ht="15" customHeight="1" x14ac:dyDescent="0.25">
      <c r="B11" s="72" t="s">
        <v>181</v>
      </c>
      <c r="C11" s="239">
        <v>3670270.2599940002</v>
      </c>
      <c r="D11" s="239">
        <v>37900456</v>
      </c>
      <c r="E11" s="239">
        <v>327900908.15999299</v>
      </c>
      <c r="F11" s="239">
        <v>0</v>
      </c>
      <c r="G11" s="239">
        <v>369471634.41998702</v>
      </c>
      <c r="H11" s="111"/>
      <c r="I11" s="111"/>
      <c r="J11" s="111"/>
      <c r="M11" s="11"/>
      <c r="N11" s="11"/>
      <c r="O11" s="171"/>
    </row>
    <row r="12" spans="2:15" ht="15" customHeight="1" x14ac:dyDescent="0.25">
      <c r="B12" s="72" t="s">
        <v>70</v>
      </c>
      <c r="C12" s="239">
        <v>176884477.85631901</v>
      </c>
      <c r="D12" s="239">
        <v>53497043.833391003</v>
      </c>
      <c r="E12" s="239">
        <v>152179361.01963201</v>
      </c>
      <c r="F12" s="239">
        <v>114335133.98999999</v>
      </c>
      <c r="G12" s="239">
        <v>508718516.69934201</v>
      </c>
      <c r="H12" s="111"/>
      <c r="I12" s="111"/>
      <c r="J12" s="111"/>
      <c r="M12" s="11"/>
      <c r="N12" s="11"/>
      <c r="O12" s="171"/>
    </row>
    <row r="13" spans="2:15" ht="15" customHeight="1" x14ac:dyDescent="0.25">
      <c r="B13" s="72" t="s">
        <v>114</v>
      </c>
      <c r="C13" s="239">
        <v>26230283.985427</v>
      </c>
      <c r="D13" s="239">
        <v>45465019.889779001</v>
      </c>
      <c r="E13" s="239">
        <v>230749769.05927101</v>
      </c>
      <c r="F13" s="239">
        <v>82572975.980000004</v>
      </c>
      <c r="G13" s="239">
        <v>386958048.91447699</v>
      </c>
      <c r="H13" s="111"/>
      <c r="I13" s="111"/>
      <c r="J13" s="111"/>
      <c r="M13" s="11"/>
      <c r="N13" s="11"/>
      <c r="O13" s="171"/>
    </row>
    <row r="14" spans="2:15" ht="15" customHeight="1" x14ac:dyDescent="0.25">
      <c r="B14" s="72" t="s">
        <v>115</v>
      </c>
      <c r="C14" s="239">
        <v>434581885.53977197</v>
      </c>
      <c r="D14" s="239">
        <v>34283176.423908003</v>
      </c>
      <c r="E14" s="239">
        <v>149063672.96353799</v>
      </c>
      <c r="F14" s="239">
        <v>305630278.09971499</v>
      </c>
      <c r="G14" s="239">
        <v>921573013.02693295</v>
      </c>
      <c r="H14" s="111"/>
      <c r="I14" s="111"/>
      <c r="J14" s="111"/>
      <c r="M14" s="11"/>
      <c r="N14" s="11"/>
      <c r="O14" s="171"/>
    </row>
    <row r="15" spans="2:15" ht="15" customHeight="1" x14ac:dyDescent="0.25">
      <c r="B15" s="72" t="s">
        <v>118</v>
      </c>
      <c r="C15" s="239">
        <v>1315794927.415334</v>
      </c>
      <c r="D15" s="239">
        <v>8412923.5599990003</v>
      </c>
      <c r="E15" s="239">
        <v>27680308.959908001</v>
      </c>
      <c r="F15" s="239">
        <v>15262702.969000001</v>
      </c>
      <c r="G15" s="239">
        <v>1367150862.9042411</v>
      </c>
      <c r="H15" s="111"/>
      <c r="I15" s="111"/>
      <c r="J15" s="111"/>
      <c r="M15" s="11"/>
      <c r="N15" s="11"/>
      <c r="O15" s="171"/>
    </row>
    <row r="16" spans="2:15" ht="15" customHeight="1" x14ac:dyDescent="0.25">
      <c r="B16" s="72" t="s">
        <v>120</v>
      </c>
      <c r="C16" s="239">
        <v>502448650.46019298</v>
      </c>
      <c r="D16" s="239">
        <v>67632212.979720995</v>
      </c>
      <c r="E16" s="239">
        <v>332250362.51936001</v>
      </c>
      <c r="F16" s="239">
        <v>1101363058.5997529</v>
      </c>
      <c r="G16" s="239">
        <v>2188534284.5590272</v>
      </c>
      <c r="H16" s="111"/>
      <c r="I16" s="111"/>
      <c r="J16" s="111"/>
      <c r="M16" s="11"/>
      <c r="N16" s="11"/>
      <c r="O16" s="171"/>
    </row>
    <row r="17" spans="2:15" ht="15" customHeight="1" x14ac:dyDescent="0.25">
      <c r="B17" s="72" t="s">
        <v>122</v>
      </c>
      <c r="C17" s="239">
        <v>141363966.977516</v>
      </c>
      <c r="D17" s="239">
        <v>22741585.966366</v>
      </c>
      <c r="E17" s="239">
        <v>96799553.888335004</v>
      </c>
      <c r="F17" s="239">
        <v>32257298.094999999</v>
      </c>
      <c r="G17" s="239">
        <v>293162404.92721701</v>
      </c>
      <c r="H17" s="111"/>
      <c r="I17" s="111"/>
      <c r="J17" s="111"/>
      <c r="M17" s="11"/>
      <c r="N17" s="11"/>
      <c r="O17" s="171"/>
    </row>
    <row r="18" spans="2:15" ht="15" customHeight="1" x14ac:dyDescent="0.25">
      <c r="B18" s="72" t="s">
        <v>123</v>
      </c>
      <c r="C18" s="239">
        <v>17516335.959989998</v>
      </c>
      <c r="D18" s="239">
        <v>83059958.709668994</v>
      </c>
      <c r="E18" s="239">
        <v>51785245</v>
      </c>
      <c r="F18" s="239">
        <v>122227029.64</v>
      </c>
      <c r="G18" s="239">
        <v>274588569.309659</v>
      </c>
      <c r="H18" s="111"/>
      <c r="I18" s="111"/>
      <c r="J18" s="111"/>
      <c r="M18" s="11"/>
      <c r="N18" s="11"/>
      <c r="O18" s="171"/>
    </row>
    <row r="19" spans="2:15" ht="15" customHeight="1" x14ac:dyDescent="0.25">
      <c r="B19" s="72" t="s">
        <v>168</v>
      </c>
      <c r="C19" s="239">
        <v>19889995.640000001</v>
      </c>
      <c r="D19" s="239">
        <v>0</v>
      </c>
      <c r="E19" s="239">
        <v>0</v>
      </c>
      <c r="F19" s="239">
        <v>13405405.039999999</v>
      </c>
      <c r="G19" s="239">
        <v>36495400.68</v>
      </c>
      <c r="H19" s="111"/>
      <c r="I19" s="111"/>
      <c r="J19" s="111"/>
      <c r="M19" s="11"/>
      <c r="N19" s="11"/>
      <c r="O19" s="171"/>
    </row>
    <row r="20" spans="2:15" ht="15" customHeight="1" x14ac:dyDescent="0.25">
      <c r="B20" s="72" t="s">
        <v>169</v>
      </c>
      <c r="C20" s="239">
        <v>143859574.81999999</v>
      </c>
      <c r="D20" s="239">
        <v>0</v>
      </c>
      <c r="E20" s="239">
        <v>0</v>
      </c>
      <c r="F20" s="239">
        <v>13729729.359999999</v>
      </c>
      <c r="G20" s="239">
        <v>157589304.18000001</v>
      </c>
      <c r="H20" s="111"/>
      <c r="I20" s="111"/>
      <c r="J20" s="111"/>
      <c r="M20" s="14">
        <f>SUM(C31,C36)+M7</f>
        <v>0</v>
      </c>
      <c r="N20" s="10" t="s">
        <v>222</v>
      </c>
    </row>
    <row r="21" spans="2:15" ht="15" customHeight="1" x14ac:dyDescent="0.25">
      <c r="B21" s="72" t="s">
        <v>124</v>
      </c>
      <c r="C21" s="239">
        <v>261308070.233477</v>
      </c>
      <c r="D21" s="239">
        <v>39705698.163447</v>
      </c>
      <c r="E21" s="239">
        <v>132091942.71973699</v>
      </c>
      <c r="F21" s="239">
        <v>393732978.25984001</v>
      </c>
      <c r="G21" s="239">
        <v>871382689.37650096</v>
      </c>
      <c r="H21" s="111"/>
      <c r="I21" s="111"/>
      <c r="J21" s="111"/>
      <c r="M21" s="14">
        <f>SUM(C34,C35)+M20</f>
        <v>753146325.74323702</v>
      </c>
      <c r="N21" s="10" t="s">
        <v>223</v>
      </c>
    </row>
    <row r="22" spans="2:15" ht="15" customHeight="1" x14ac:dyDescent="0.25">
      <c r="B22" s="72" t="s">
        <v>224</v>
      </c>
      <c r="C22" s="239">
        <v>196588779.35780099</v>
      </c>
      <c r="D22" s="239">
        <v>62156568.999546997</v>
      </c>
      <c r="E22" s="239">
        <v>133634523.59992</v>
      </c>
      <c r="F22" s="239">
        <v>98141442.109978005</v>
      </c>
      <c r="G22" s="239">
        <v>510901314.06724602</v>
      </c>
      <c r="H22" s="111"/>
      <c r="I22" s="111"/>
      <c r="J22" s="111"/>
    </row>
    <row r="23" spans="2:15" ht="15" customHeight="1" x14ac:dyDescent="0.25">
      <c r="B23" s="72" t="s">
        <v>125</v>
      </c>
      <c r="C23" s="239">
        <v>276466692.11094201</v>
      </c>
      <c r="D23" s="239">
        <v>61402479.559920996</v>
      </c>
      <c r="E23" s="239">
        <v>173734986.11020401</v>
      </c>
      <c r="F23" s="239">
        <v>294158566.06945598</v>
      </c>
      <c r="G23" s="239">
        <v>810827223.85052299</v>
      </c>
      <c r="H23" s="111"/>
      <c r="I23" s="111"/>
      <c r="J23" s="111"/>
    </row>
    <row r="24" spans="2:15" ht="15" customHeight="1" x14ac:dyDescent="0.25">
      <c r="B24" s="72" t="s">
        <v>126</v>
      </c>
      <c r="C24" s="239">
        <v>421573953.346071</v>
      </c>
      <c r="D24" s="239">
        <v>65606919.798859999</v>
      </c>
      <c r="E24" s="239">
        <v>197842055.49990499</v>
      </c>
      <c r="F24" s="239">
        <v>627965417.659271</v>
      </c>
      <c r="G24" s="239">
        <v>1340657346.304107</v>
      </c>
      <c r="H24" s="111"/>
      <c r="I24" s="111"/>
      <c r="J24" s="111"/>
    </row>
    <row r="25" spans="2:15" ht="15" customHeight="1" x14ac:dyDescent="0.25">
      <c r="B25" s="72" t="s">
        <v>219</v>
      </c>
      <c r="C25" s="239">
        <v>289260666.85760999</v>
      </c>
      <c r="D25" s="239">
        <v>85225753.347992003</v>
      </c>
      <c r="E25" s="239">
        <v>100388961.069527</v>
      </c>
      <c r="F25" s="239">
        <v>75549351.290000007</v>
      </c>
      <c r="G25" s="239">
        <v>551784732.56512904</v>
      </c>
      <c r="H25" s="111"/>
      <c r="I25" s="111"/>
      <c r="J25" s="111"/>
    </row>
    <row r="26" spans="2:15" ht="15" customHeight="1" x14ac:dyDescent="0.25">
      <c r="B26" s="237" t="s">
        <v>127</v>
      </c>
      <c r="C26" s="239">
        <v>483950125.09321803</v>
      </c>
      <c r="D26" s="239">
        <v>167566230.83659801</v>
      </c>
      <c r="E26" s="239">
        <v>214691883.90728101</v>
      </c>
      <c r="F26" s="239">
        <v>19107676.0658</v>
      </c>
      <c r="G26" s="239">
        <v>885315915.902897</v>
      </c>
      <c r="H26" s="111"/>
      <c r="I26" s="111"/>
      <c r="J26" s="111"/>
    </row>
    <row r="27" spans="2:15" ht="15" customHeight="1" x14ac:dyDescent="0.25">
      <c r="B27" s="238" t="s">
        <v>228</v>
      </c>
      <c r="C27" s="239">
        <v>0</v>
      </c>
      <c r="D27" s="239">
        <v>0</v>
      </c>
      <c r="E27" s="239">
        <v>0</v>
      </c>
      <c r="F27" s="239">
        <v>3405405.56</v>
      </c>
      <c r="G27" s="239">
        <v>5205405.5599999996</v>
      </c>
      <c r="H27" s="111"/>
      <c r="I27" s="111"/>
      <c r="J27" s="111"/>
    </row>
    <row r="28" spans="2:15" ht="15" customHeight="1" x14ac:dyDescent="0.25">
      <c r="G28" s="111"/>
      <c r="H28" s="111"/>
      <c r="I28" s="111"/>
    </row>
    <row r="29" spans="2:15" ht="15" customHeight="1" x14ac:dyDescent="0.25">
      <c r="B29" s="79" t="s">
        <v>128</v>
      </c>
      <c r="C29" s="79"/>
      <c r="G29" s="111"/>
      <c r="H29" s="111"/>
      <c r="I29" s="111"/>
    </row>
    <row r="30" spans="2:15" ht="15" customHeight="1" x14ac:dyDescent="0.25">
      <c r="B30" s="80" t="s">
        <v>129</v>
      </c>
      <c r="C30" s="80" t="s">
        <v>130</v>
      </c>
      <c r="G30" s="111"/>
      <c r="H30" s="111"/>
      <c r="I30" s="111"/>
    </row>
    <row r="31" spans="2:15" ht="15" customHeight="1" x14ac:dyDescent="0.25">
      <c r="B31" s="73"/>
      <c r="C31" s="235"/>
      <c r="G31" s="111"/>
      <c r="H31" s="111"/>
      <c r="I31" s="111"/>
    </row>
    <row r="32" spans="2:15" ht="15" customHeight="1" x14ac:dyDescent="0.25">
      <c r="B32" s="81" t="s">
        <v>131</v>
      </c>
      <c r="C32" s="171">
        <v>220715541.45899799</v>
      </c>
      <c r="G32" s="111"/>
      <c r="H32" s="111"/>
      <c r="I32" s="111"/>
    </row>
    <row r="33" spans="2:19" ht="15" customHeight="1" x14ac:dyDescent="0.25">
      <c r="B33" s="81" t="s">
        <v>132</v>
      </c>
      <c r="C33" s="239">
        <v>393293651.597673</v>
      </c>
      <c r="G33" s="111"/>
      <c r="H33" s="111"/>
      <c r="I33" s="111"/>
    </row>
    <row r="34" spans="2:19" ht="15" customHeight="1" x14ac:dyDescent="0.25">
      <c r="B34" s="81" t="s">
        <v>133</v>
      </c>
      <c r="C34" s="239">
        <v>134617730.354588</v>
      </c>
      <c r="G34" s="111"/>
      <c r="H34" s="111"/>
      <c r="I34" s="111"/>
    </row>
    <row r="35" spans="2:19" ht="15" customHeight="1" x14ac:dyDescent="0.25">
      <c r="B35" s="81" t="s">
        <v>134</v>
      </c>
      <c r="C35" s="239">
        <v>618528595.38864899</v>
      </c>
      <c r="G35" s="111"/>
      <c r="H35" s="111"/>
      <c r="I35" s="111"/>
    </row>
    <row r="36" spans="2:19" ht="15" customHeight="1" x14ac:dyDescent="0.25">
      <c r="B36" s="81" t="s">
        <v>135</v>
      </c>
      <c r="C36" s="236">
        <v>0</v>
      </c>
      <c r="G36" s="111"/>
      <c r="H36" s="111"/>
      <c r="I36" s="111"/>
    </row>
    <row r="37" spans="2:19" ht="15" customHeight="1" x14ac:dyDescent="0.25">
      <c r="B37" s="81"/>
      <c r="C37" s="82"/>
      <c r="G37" s="111"/>
      <c r="H37" s="111"/>
      <c r="I37" s="111"/>
    </row>
    <row r="38" spans="2:19" ht="15" customHeight="1" x14ac:dyDescent="0.25">
      <c r="B38" s="73"/>
      <c r="C38" s="82"/>
      <c r="G38" s="111"/>
      <c r="H38" s="111"/>
      <c r="I38" s="111"/>
    </row>
    <row r="39" spans="2:19" ht="15" customHeight="1" x14ac:dyDescent="0.25">
      <c r="G39" s="111"/>
      <c r="H39" s="111"/>
      <c r="I39" s="111"/>
    </row>
    <row r="40" spans="2:19" ht="15" customHeight="1" x14ac:dyDescent="0.25">
      <c r="G40" s="111"/>
      <c r="H40" s="111"/>
      <c r="I40" s="111"/>
      <c r="S40" s="172" t="s">
        <v>184</v>
      </c>
    </row>
    <row r="41" spans="2:19" ht="20.100000000000001" customHeight="1" x14ac:dyDescent="0.25">
      <c r="B41" s="264" t="s">
        <v>230</v>
      </c>
      <c r="C41" s="265"/>
      <c r="D41" s="266"/>
      <c r="E41" s="66" t="s">
        <v>137</v>
      </c>
      <c r="F41" s="174">
        <f ca="1">IF(MONTH(TODAY())=10,DAY(TODAY())/DAY(EOMONTH(TODAY(),0)),IF(MONTH(TODAY())&gt;10,1,0))</f>
        <v>0.90322580645161288</v>
      </c>
      <c r="G41" s="192" t="s">
        <v>186</v>
      </c>
      <c r="H41" s="198">
        <v>1</v>
      </c>
      <c r="I41" s="201" t="s">
        <v>186</v>
      </c>
      <c r="J41" s="199">
        <v>1</v>
      </c>
      <c r="K41" s="194" t="s">
        <v>187</v>
      </c>
      <c r="L41" s="200">
        <v>1</v>
      </c>
      <c r="S41" s="173">
        <v>0.7</v>
      </c>
    </row>
    <row r="42" spans="2:19" ht="30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100%</v>
      </c>
      <c r="H42" s="182" t="str">
        <f>"PER HARI"&amp;CHAR(10)&amp;TEXT($H$41,"0%")</f>
        <v>PER HARI
100%</v>
      </c>
      <c r="I42" s="202" t="str">
        <f>"SELISIH"&amp;CHAR(10)&amp;TEXT($J$41,"0%")</f>
        <v>SELISIH
100%</v>
      </c>
      <c r="J42" s="203" t="str">
        <f>"PER HARI"&amp;CHAR(10)&amp;TEXT($J$41,"0%")</f>
        <v>PER HARI
100%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90">
        <v>0.75</v>
      </c>
    </row>
    <row r="43" spans="2:19" ht="15.95" customHeight="1" x14ac:dyDescent="0.25">
      <c r="B43" s="109" t="s">
        <v>142</v>
      </c>
      <c r="C43" s="41" t="s">
        <v>143</v>
      </c>
      <c r="D43" s="45">
        <f>SUM(TARGETS!AE5:AE18)</f>
        <v>4464586688.6595287</v>
      </c>
      <c r="E43" s="46">
        <f>H66</f>
        <v>3577432609.8427157</v>
      </c>
      <c r="F43" s="176">
        <f>IFERROR(E43/D43,0)</f>
        <v>0.80129088296789752</v>
      </c>
      <c r="G43" s="184">
        <f>D43*$H$41-E43</f>
        <v>887154078.81681299</v>
      </c>
      <c r="H43" s="184">
        <f ca="1">IFERROR(G43/$C$3,0)</f>
        <v>295718026.27227098</v>
      </c>
      <c r="I43" s="204">
        <f>D43*$J$41-E43</f>
        <v>887154078.81681299</v>
      </c>
      <c r="J43" s="204">
        <f ca="1">IFERROR(I43/$C$3,0)</f>
        <v>295718026.27227098</v>
      </c>
      <c r="K43" s="185">
        <f>D43*$L$41-E43</f>
        <v>887154078.81681299</v>
      </c>
      <c r="L43" s="185">
        <f ca="1">IFERROR(K43/$C$3,0)</f>
        <v>295718026.27227098</v>
      </c>
      <c r="S43" s="173">
        <v>0.8</v>
      </c>
    </row>
    <row r="44" spans="2:19" ht="15.95" customHeight="1" x14ac:dyDescent="0.25">
      <c r="B44" s="109" t="s">
        <v>110</v>
      </c>
      <c r="C44" s="41" t="s">
        <v>143</v>
      </c>
      <c r="D44" s="45">
        <f>SUM(TARGETS!AF5:AF18)</f>
        <v>1279908063.1092303</v>
      </c>
      <c r="E44" s="46">
        <f>I66</f>
        <v>875026003.72719502</v>
      </c>
      <c r="F44" s="176">
        <f>IFERROR(E44/D44,0)</f>
        <v>0.68366316999482668</v>
      </c>
      <c r="G44" s="184">
        <f>D44*$H$41-E44</f>
        <v>404882059.38203526</v>
      </c>
      <c r="H44" s="184">
        <f ca="1">IFERROR(G44/$C$3,0)</f>
        <v>134960686.46067843</v>
      </c>
      <c r="I44" s="204">
        <f>D44*$J$41-E44</f>
        <v>404882059.38203526</v>
      </c>
      <c r="J44" s="204">
        <f ca="1">IFERROR(I44/$C$3,0)</f>
        <v>134960686.46067843</v>
      </c>
      <c r="K44" s="185">
        <f>D44*$L$41-E44</f>
        <v>404882059.38203526</v>
      </c>
      <c r="L44" s="185">
        <f ca="1">IFERROR(K44/$C$3,0)</f>
        <v>134960686.46067843</v>
      </c>
      <c r="S44" s="173">
        <v>0.85</v>
      </c>
    </row>
    <row r="45" spans="2:19" ht="15.95" customHeight="1" x14ac:dyDescent="0.25">
      <c r="B45" s="109" t="s">
        <v>207</v>
      </c>
      <c r="C45" s="41" t="s">
        <v>143</v>
      </c>
      <c r="D45" s="45">
        <f>SUM(TARGETS!AG5:AG18)</f>
        <v>2914007482.4702153</v>
      </c>
      <c r="E45" s="46">
        <f>J66</f>
        <v>2502155628.2526464</v>
      </c>
      <c r="F45" s="176">
        <f>IFERROR(E45/D45,0)</f>
        <v>0.85866479180470723</v>
      </c>
      <c r="G45" s="184">
        <f>IF(D45=0,0,D45*$H$41-E45)</f>
        <v>411851854.21756887</v>
      </c>
      <c r="H45" s="184">
        <f ca="1">IFERROR(G45/$C$3,0)</f>
        <v>137283951.40585628</v>
      </c>
      <c r="I45" s="204">
        <f>IF(D45=0,0,D45*$J$41-E45)</f>
        <v>411851854.21756887</v>
      </c>
      <c r="J45" s="204">
        <f ca="1">IFERROR(I45/$C$3,0)</f>
        <v>137283951.40585628</v>
      </c>
      <c r="K45" s="185">
        <f>IF(D45=0,0,D45*$L$41-E45)</f>
        <v>411851854.21756887</v>
      </c>
      <c r="L45" s="185">
        <f ca="1">IFERROR(K45/$C$3,0)</f>
        <v>137283951.40585628</v>
      </c>
      <c r="S45" s="173">
        <v>0.9</v>
      </c>
    </row>
    <row r="46" spans="2:19" ht="15.95" customHeight="1" x14ac:dyDescent="0.25">
      <c r="B46" s="109" t="s">
        <v>144</v>
      </c>
      <c r="C46" s="41" t="s">
        <v>143</v>
      </c>
      <c r="D46" s="45">
        <f>SUM(TARGETS!M22:M26)</f>
        <v>1779787234.0425532</v>
      </c>
      <c r="E46" s="46">
        <f>E75</f>
        <v>1367155518.7999082</v>
      </c>
      <c r="F46" s="176">
        <f>IFERROR(E46/D46,0)</f>
        <v>0.76815671707825084</v>
      </c>
      <c r="G46" s="184">
        <f>D46*$H$41-E46</f>
        <v>412631715.24264503</v>
      </c>
      <c r="H46" s="184">
        <f ca="1">IFERROR(G46/$C$3,0)</f>
        <v>137543905.08088169</v>
      </c>
      <c r="I46" s="204">
        <f>D46*$J$41-E46</f>
        <v>412631715.24264503</v>
      </c>
      <c r="J46" s="204">
        <f ca="1">IFERROR(I46/$C$3,0)</f>
        <v>137543905.08088169</v>
      </c>
      <c r="K46" s="185">
        <f>D46*$L$41-E46</f>
        <v>412631715.24264503</v>
      </c>
      <c r="L46" s="185">
        <f ca="1">IFERROR(K46/$C$3,0)</f>
        <v>137543905.08088169</v>
      </c>
      <c r="S46" s="173">
        <v>0.95</v>
      </c>
    </row>
    <row r="47" spans="2:19" ht="15" customHeight="1" x14ac:dyDescent="0.25">
      <c r="B47" s="261" t="s">
        <v>145</v>
      </c>
      <c r="C47" s="262"/>
      <c r="D47" s="47">
        <f>SUM(D43:D46)</f>
        <v>10438289468.281527</v>
      </c>
      <c r="E47" s="47">
        <f>SUM(E43:E46)</f>
        <v>8321769760.6224651</v>
      </c>
      <c r="F47" s="177">
        <f>IFERROR(E47/D47,0)</f>
        <v>0.7972350054009848</v>
      </c>
      <c r="G47" s="181">
        <f>SUM(G43:G46)</f>
        <v>2116519707.6590621</v>
      </c>
      <c r="H47" s="181">
        <f ca="1">IFERROR(G47/$C$3,0)</f>
        <v>705506569.21968734</v>
      </c>
      <c r="I47" s="186">
        <f>SUM(I43:I46)</f>
        <v>2116519707.6590621</v>
      </c>
      <c r="J47" s="186">
        <f ca="1">IFERROR(I47/$C$3,0)</f>
        <v>705506569.21968734</v>
      </c>
      <c r="K47" s="186">
        <f>SUM(K43:K46)</f>
        <v>2116519707.6590621</v>
      </c>
      <c r="L47" s="186">
        <f ca="1">IFERROR(K47/$C$3,0)</f>
        <v>705506569.21968734</v>
      </c>
      <c r="S47" s="173">
        <v>1</v>
      </c>
    </row>
    <row r="48" spans="2:19" ht="15" customHeight="1" x14ac:dyDescent="0.25">
      <c r="G48" s="111"/>
      <c r="H48" s="111"/>
      <c r="I48" s="111"/>
      <c r="S48" s="173"/>
    </row>
    <row r="49" spans="2:21" ht="18.95" customHeight="1" x14ac:dyDescent="0.25">
      <c r="B49" s="267" t="s">
        <v>212</v>
      </c>
      <c r="C49" s="268"/>
      <c r="D49" s="268"/>
      <c r="E49" s="268"/>
      <c r="F49" s="268"/>
      <c r="G49" s="268"/>
      <c r="H49" s="268"/>
      <c r="I49" s="268"/>
      <c r="J49" s="268"/>
      <c r="K49" s="268"/>
      <c r="L49" s="291"/>
      <c r="M49" s="274" t="s">
        <v>185</v>
      </c>
      <c r="N49" s="275"/>
      <c r="O49" s="275"/>
      <c r="P49" s="275"/>
      <c r="Q49" s="275"/>
      <c r="R49" s="276"/>
    </row>
    <row r="50" spans="2:21" ht="17.100000000000001" customHeight="1" x14ac:dyDescent="0.25">
      <c r="B50" s="292" t="s">
        <v>41</v>
      </c>
      <c r="C50" s="292" t="s">
        <v>42</v>
      </c>
      <c r="D50" s="258" t="s">
        <v>137</v>
      </c>
      <c r="E50" s="259"/>
      <c r="F50" s="259"/>
      <c r="G50" s="260"/>
      <c r="H50" s="293" t="s">
        <v>138</v>
      </c>
      <c r="I50" s="294"/>
      <c r="J50" s="294"/>
      <c r="K50" s="295"/>
      <c r="L50" s="296" t="s">
        <v>139</v>
      </c>
      <c r="M50" s="277" t="str">
        <f>"SELISIH"&amp;CHAR(10)&amp;TEXT($H$41,"0%")</f>
        <v>SELISIH
100%</v>
      </c>
      <c r="N50" s="277" t="str">
        <f>"PER HARI"&amp;CHAR(10)&amp;TEXT($H$41,"0%")</f>
        <v>PER HARI
100%</v>
      </c>
      <c r="O50" s="279" t="str">
        <f>"SELISIH"&amp;CHAR(10)&amp;TEXT($J$41,"0%")</f>
        <v>SELISIH
100%</v>
      </c>
      <c r="P50" s="279" t="str">
        <f>"PER HARI"&amp;CHAR(10)&amp;TEXT($J$41,"0%")</f>
        <v>PER HARI
100%</v>
      </c>
      <c r="Q50" s="281" t="str">
        <f>"SELISIH"&amp;CHAR(10)&amp;TEXT($L$41,"0%")</f>
        <v>SELISIH
100%</v>
      </c>
      <c r="R50" s="281" t="str">
        <f>"PER HARI"&amp;CHAR(10)&amp;TEXT($L$41,"0%")</f>
        <v>PER HARI
100%</v>
      </c>
    </row>
    <row r="51" spans="2:21" ht="17.100000000000001" customHeight="1" x14ac:dyDescent="0.25">
      <c r="B51" s="273"/>
      <c r="C51" s="273"/>
      <c r="D51" s="70" t="s">
        <v>149</v>
      </c>
      <c r="E51" s="70" t="s">
        <v>150</v>
      </c>
      <c r="F51" s="70" t="s">
        <v>209</v>
      </c>
      <c r="G51" s="70" t="s">
        <v>130</v>
      </c>
      <c r="H51" s="113" t="s">
        <v>149</v>
      </c>
      <c r="I51" s="113" t="s">
        <v>150</v>
      </c>
      <c r="J51" s="113" t="s">
        <v>209</v>
      </c>
      <c r="K51" s="113" t="s">
        <v>130</v>
      </c>
      <c r="L51" s="297"/>
      <c r="M51" s="278"/>
      <c r="N51" s="278"/>
      <c r="O51" s="280"/>
      <c r="P51" s="280"/>
      <c r="Q51" s="282"/>
      <c r="R51" s="282"/>
      <c r="T51" s="178" t="s">
        <v>215</v>
      </c>
      <c r="U51" s="178" t="s">
        <v>216</v>
      </c>
    </row>
    <row r="52" spans="2:21" ht="15.95" customHeight="1" x14ac:dyDescent="0.25">
      <c r="B52" s="50" t="s">
        <v>67</v>
      </c>
      <c r="C52" s="55" t="s">
        <v>68</v>
      </c>
      <c r="D52" s="118">
        <f>TARGETS!AE5</f>
        <v>264756949.64136907</v>
      </c>
      <c r="E52" s="118">
        <f>TARGETS!AF5</f>
        <v>58508748.413354225</v>
      </c>
      <c r="F52" s="118">
        <f>TARGETS!AG5</f>
        <v>172968793.98622558</v>
      </c>
      <c r="G52" s="118">
        <f t="shared" ref="G52:G65" si="0">SUM(D52:F52)</f>
        <v>496234492.04094887</v>
      </c>
      <c r="H52" s="114">
        <f>SUMIF($B$10:$B$26,$T52,C$10:C$26)+SUMIF($B$10:$B$26,$U52,C$10:C$26)</f>
        <v>261308070.233477</v>
      </c>
      <c r="I52" s="114">
        <f t="shared" ref="I52:I65" si="1">SUMIF($B$10:$B$26,$T52,D$10:D$26)+SUMIF($B$10:$B$26,$U52,D$10:D$26)</f>
        <v>39705698.163447</v>
      </c>
      <c r="J52" s="114">
        <f t="shared" ref="J52:J65" si="2">SUMIF($B$10:$B$26,$T52,E$10:E$26)+SUMIF($B$10:$B$26,$U52,E$10:E$26)</f>
        <v>132091942.71973699</v>
      </c>
      <c r="K52" s="114">
        <f t="shared" ref="K52:K65" si="3">SUM(H52:J52)</f>
        <v>433105711.11666101</v>
      </c>
      <c r="L52" s="187">
        <f t="shared" ref="L52:L66" si="4">IFERROR(K52/G52,0)</f>
        <v>0.87278437525644925</v>
      </c>
      <c r="M52" s="184">
        <f t="shared" ref="M52:M65" si="5">G52*$H$41-K52</f>
        <v>63128780.924287856</v>
      </c>
      <c r="N52" s="184">
        <f t="shared" ref="N52:N66" ca="1" si="6">IFERROR(M52/$C$3,0)</f>
        <v>21042926.974762619</v>
      </c>
      <c r="O52" s="180">
        <f t="shared" ref="O52:O65" si="7">G52*$J$41-K52</f>
        <v>63128780.924287856</v>
      </c>
      <c r="P52" s="180">
        <f t="shared" ref="P52:P66" ca="1" si="8">IFERROR(O52/$C$3,0)</f>
        <v>21042926.974762619</v>
      </c>
      <c r="Q52" s="185">
        <f t="shared" ref="Q52:Q65" si="9">G52*$L$41-K52</f>
        <v>63128780.924287856</v>
      </c>
      <c r="R52" s="185">
        <f t="shared" ref="R52:R66" ca="1" si="10">IFERROR(Q52/$C$3,0)</f>
        <v>21042926.974762619</v>
      </c>
      <c r="T52" t="s">
        <v>124</v>
      </c>
      <c r="U52" t="s">
        <v>217</v>
      </c>
    </row>
    <row r="53" spans="2:21" ht="15.95" customHeight="1" x14ac:dyDescent="0.25">
      <c r="B53" s="53" t="s">
        <v>69</v>
      </c>
      <c r="C53" s="56" t="s">
        <v>70</v>
      </c>
      <c r="D53" s="119">
        <f>TARGETS!AE6</f>
        <v>180052976.96171179</v>
      </c>
      <c r="E53" s="119">
        <f>TARGETS!AF6</f>
        <v>163445127.22039506</v>
      </c>
      <c r="F53" s="119">
        <f>TARGETS!AG6</f>
        <v>423892749.39216906</v>
      </c>
      <c r="G53" s="119">
        <f t="shared" si="0"/>
        <v>767390853.57427597</v>
      </c>
      <c r="H53" s="114">
        <f t="shared" ref="H53:H65" si="11">SUMIF($B$10:$B$26,$T53,C$10:C$26)+SUMIF($B$10:$B$26,$U53,C$10:C$26)</f>
        <v>203114761.841746</v>
      </c>
      <c r="I53" s="114">
        <f t="shared" si="1"/>
        <v>98962063.723170012</v>
      </c>
      <c r="J53" s="114">
        <f t="shared" si="2"/>
        <v>382929130.07890302</v>
      </c>
      <c r="K53" s="114">
        <f t="shared" si="3"/>
        <v>685005955.64381909</v>
      </c>
      <c r="L53" s="187">
        <f t="shared" si="4"/>
        <v>0.89264284614973877</v>
      </c>
      <c r="M53" s="184">
        <f t="shared" si="5"/>
        <v>82384897.930456877</v>
      </c>
      <c r="N53" s="184">
        <f t="shared" ca="1" si="6"/>
        <v>27461632.643485624</v>
      </c>
      <c r="O53" s="180">
        <f t="shared" si="7"/>
        <v>82384897.930456877</v>
      </c>
      <c r="P53" s="180">
        <f t="shared" ca="1" si="8"/>
        <v>27461632.643485624</v>
      </c>
      <c r="Q53" s="185">
        <f t="shared" si="9"/>
        <v>82384897.930456877</v>
      </c>
      <c r="R53" s="185">
        <f t="shared" ca="1" si="10"/>
        <v>27461632.643485624</v>
      </c>
      <c r="T53" t="s">
        <v>70</v>
      </c>
      <c r="U53" t="s">
        <v>114</v>
      </c>
    </row>
    <row r="54" spans="2:21" ht="15.95" customHeight="1" x14ac:dyDescent="0.25">
      <c r="B54" s="136" t="s">
        <v>171</v>
      </c>
      <c r="C54" s="137" t="s">
        <v>172</v>
      </c>
      <c r="D54" s="138">
        <f>TARGETS!AE7</f>
        <v>262953105.06301075</v>
      </c>
      <c r="E54" s="138">
        <f>TARGETS!AF7</f>
        <v>0</v>
      </c>
      <c r="F54" s="138">
        <f>TARGETS!AG7</f>
        <v>0</v>
      </c>
      <c r="G54" s="138">
        <f t="shared" si="0"/>
        <v>262953105.06301075</v>
      </c>
      <c r="H54" s="114">
        <f t="shared" si="11"/>
        <v>19889995.640000001</v>
      </c>
      <c r="I54" s="114">
        <f t="shared" si="1"/>
        <v>0</v>
      </c>
      <c r="J54" s="114">
        <f t="shared" si="2"/>
        <v>0</v>
      </c>
      <c r="K54" s="114">
        <f t="shared" si="3"/>
        <v>19889995.640000001</v>
      </c>
      <c r="L54" s="187">
        <f t="shared" si="4"/>
        <v>7.5640847196817906E-2</v>
      </c>
      <c r="M54" s="184">
        <f t="shared" si="5"/>
        <v>243063109.42301077</v>
      </c>
      <c r="N54" s="184">
        <f t="shared" ca="1" si="6"/>
        <v>81021036.474336922</v>
      </c>
      <c r="O54" s="180">
        <f t="shared" si="7"/>
        <v>243063109.42301077</v>
      </c>
      <c r="P54" s="180">
        <f t="shared" ca="1" si="8"/>
        <v>81021036.474336922</v>
      </c>
      <c r="Q54" s="185">
        <f t="shared" si="9"/>
        <v>243063109.42301077</v>
      </c>
      <c r="R54" s="185">
        <f t="shared" ca="1" si="10"/>
        <v>81021036.474336922</v>
      </c>
      <c r="T54" t="s">
        <v>168</v>
      </c>
      <c r="U54" t="s">
        <v>217</v>
      </c>
    </row>
    <row r="55" spans="2:21" ht="15.95" customHeight="1" x14ac:dyDescent="0.25">
      <c r="B55" s="53" t="s">
        <v>71</v>
      </c>
      <c r="C55" s="56" t="s">
        <v>72</v>
      </c>
      <c r="D55" s="119">
        <f>TARGETS!AE8</f>
        <v>590954252.3415246</v>
      </c>
      <c r="E55" s="119">
        <f>TARGETS!AF8</f>
        <v>33662936.863966122</v>
      </c>
      <c r="F55" s="119">
        <f>TARGETS!AG8</f>
        <v>83921591.734509259</v>
      </c>
      <c r="G55" s="119">
        <f t="shared" si="0"/>
        <v>708538780.93999994</v>
      </c>
      <c r="H55" s="114">
        <f t="shared" si="11"/>
        <v>434581885.53977197</v>
      </c>
      <c r="I55" s="114">
        <f t="shared" si="1"/>
        <v>34283176.423908003</v>
      </c>
      <c r="J55" s="114">
        <f t="shared" si="2"/>
        <v>149063672.96353799</v>
      </c>
      <c r="K55" s="114">
        <f t="shared" si="3"/>
        <v>617928734.92721796</v>
      </c>
      <c r="L55" s="187">
        <f t="shared" si="4"/>
        <v>0.87211702668896685</v>
      </c>
      <c r="M55" s="184">
        <f t="shared" si="5"/>
        <v>90610046.012781978</v>
      </c>
      <c r="N55" s="184">
        <f t="shared" ca="1" si="6"/>
        <v>30203348.670927327</v>
      </c>
      <c r="O55" s="180">
        <f t="shared" si="7"/>
        <v>90610046.012781978</v>
      </c>
      <c r="P55" s="180">
        <f t="shared" ca="1" si="8"/>
        <v>30203348.670927327</v>
      </c>
      <c r="Q55" s="185">
        <f t="shared" si="9"/>
        <v>90610046.012781978</v>
      </c>
      <c r="R55" s="185">
        <f t="shared" ca="1" si="10"/>
        <v>30203348.670927327</v>
      </c>
      <c r="T55" t="s">
        <v>115</v>
      </c>
      <c r="U55" t="s">
        <v>217</v>
      </c>
    </row>
    <row r="56" spans="2:21" ht="15.95" customHeight="1" x14ac:dyDescent="0.25">
      <c r="B56" s="50" t="s">
        <v>73</v>
      </c>
      <c r="C56" s="55" t="s">
        <v>221</v>
      </c>
      <c r="D56" s="118">
        <f>TARGETS!AE9</f>
        <v>5575801.9517222047</v>
      </c>
      <c r="E56" s="118">
        <f>TARGETS!AF9</f>
        <v>63507750.38497854</v>
      </c>
      <c r="F56" s="118">
        <f>TARGETS!AG9</f>
        <v>468117447.23398483</v>
      </c>
      <c r="G56" s="118">
        <f t="shared" si="0"/>
        <v>537200999.57068563</v>
      </c>
      <c r="H56" s="114">
        <f t="shared" si="11"/>
        <v>3670270.2599940002</v>
      </c>
      <c r="I56" s="114">
        <f t="shared" si="1"/>
        <v>37900456</v>
      </c>
      <c r="J56" s="114">
        <f t="shared" si="2"/>
        <v>327900908.15999299</v>
      </c>
      <c r="K56" s="114">
        <f t="shared" si="3"/>
        <v>369471634.41998696</v>
      </c>
      <c r="L56" s="187">
        <f t="shared" si="4"/>
        <v>0.68777168083316531</v>
      </c>
      <c r="M56" s="184">
        <f t="shared" si="5"/>
        <v>167729365.15069866</v>
      </c>
      <c r="N56" s="184">
        <f t="shared" ca="1" si="6"/>
        <v>55909788.383566223</v>
      </c>
      <c r="O56" s="180">
        <f t="shared" si="7"/>
        <v>167729365.15069866</v>
      </c>
      <c r="P56" s="180">
        <f t="shared" ca="1" si="8"/>
        <v>55909788.383566223</v>
      </c>
      <c r="Q56" s="185">
        <f t="shared" si="9"/>
        <v>167729365.15069866</v>
      </c>
      <c r="R56" s="185">
        <f t="shared" ca="1" si="10"/>
        <v>55909788.383566223</v>
      </c>
      <c r="T56" t="s">
        <v>181</v>
      </c>
      <c r="U56" t="s">
        <v>217</v>
      </c>
    </row>
    <row r="57" spans="2:21" ht="15.95" customHeight="1" x14ac:dyDescent="0.25">
      <c r="B57" s="53" t="s">
        <v>75</v>
      </c>
      <c r="C57" s="56" t="s">
        <v>225</v>
      </c>
      <c r="D57" s="119">
        <f>TARGETS!AE10</f>
        <v>267520870.86594501</v>
      </c>
      <c r="E57" s="119">
        <f>TARGETS!AF10</f>
        <v>105132391.14913487</v>
      </c>
      <c r="F57" s="119">
        <f>TARGETS!AG10</f>
        <v>184159698.63927278</v>
      </c>
      <c r="G57" s="119">
        <f t="shared" si="0"/>
        <v>556812960.65435266</v>
      </c>
      <c r="H57" s="114">
        <f t="shared" si="11"/>
        <v>196588779.35780099</v>
      </c>
      <c r="I57" s="114">
        <f t="shared" si="1"/>
        <v>62156568.999546997</v>
      </c>
      <c r="J57" s="114">
        <f t="shared" si="2"/>
        <v>133634523.59992</v>
      </c>
      <c r="K57" s="114">
        <f t="shared" si="3"/>
        <v>392379871.957268</v>
      </c>
      <c r="L57" s="187">
        <f t="shared" si="4"/>
        <v>0.70468882674022704</v>
      </c>
      <c r="M57" s="184">
        <f t="shared" si="5"/>
        <v>164433088.69708467</v>
      </c>
      <c r="N57" s="184">
        <f t="shared" ca="1" si="6"/>
        <v>54811029.565694891</v>
      </c>
      <c r="O57" s="180">
        <f t="shared" si="7"/>
        <v>164433088.69708467</v>
      </c>
      <c r="P57" s="180">
        <f t="shared" ca="1" si="8"/>
        <v>54811029.565694891</v>
      </c>
      <c r="Q57" s="185">
        <f t="shared" si="9"/>
        <v>164433088.69708467</v>
      </c>
      <c r="R57" s="185">
        <f t="shared" ca="1" si="10"/>
        <v>54811029.565694891</v>
      </c>
      <c r="T57" t="s">
        <v>224</v>
      </c>
      <c r="U57" t="s">
        <v>217</v>
      </c>
    </row>
    <row r="58" spans="2:21" ht="15.95" customHeight="1" x14ac:dyDescent="0.25">
      <c r="B58" s="50" t="s">
        <v>76</v>
      </c>
      <c r="C58" s="55" t="s">
        <v>77</v>
      </c>
      <c r="D58" s="118">
        <f>TARGETS!AE11</f>
        <v>664600150.5441153</v>
      </c>
      <c r="E58" s="118">
        <f>TARGETS!AF11</f>
        <v>83317068.128031164</v>
      </c>
      <c r="F58" s="118">
        <f>TARGETS!AG11</f>
        <v>343133819.00673455</v>
      </c>
      <c r="G58" s="118">
        <f t="shared" si="0"/>
        <v>1091051037.6788809</v>
      </c>
      <c r="H58" s="114">
        <f t="shared" si="11"/>
        <v>502448650.46019298</v>
      </c>
      <c r="I58" s="114">
        <f t="shared" si="1"/>
        <v>67632212.979720995</v>
      </c>
      <c r="J58" s="114">
        <f t="shared" si="2"/>
        <v>332250362.51936001</v>
      </c>
      <c r="K58" s="114">
        <f t="shared" si="3"/>
        <v>902331225.95927405</v>
      </c>
      <c r="L58" s="187">
        <f t="shared" si="4"/>
        <v>0.82702934583051924</v>
      </c>
      <c r="M58" s="184">
        <f t="shared" si="5"/>
        <v>188719811.71960688</v>
      </c>
      <c r="N58" s="184">
        <f t="shared" ca="1" si="6"/>
        <v>62906603.906535625</v>
      </c>
      <c r="O58" s="180">
        <f t="shared" si="7"/>
        <v>188719811.71960688</v>
      </c>
      <c r="P58" s="180">
        <f t="shared" ca="1" si="8"/>
        <v>62906603.906535625</v>
      </c>
      <c r="Q58" s="185">
        <f t="shared" si="9"/>
        <v>188719811.71960688</v>
      </c>
      <c r="R58" s="185">
        <f t="shared" ca="1" si="10"/>
        <v>62906603.906535625</v>
      </c>
      <c r="T58" t="s">
        <v>120</v>
      </c>
      <c r="U58" t="s">
        <v>217</v>
      </c>
    </row>
    <row r="59" spans="2:21" ht="15.95" customHeight="1" x14ac:dyDescent="0.25">
      <c r="B59" s="53" t="s">
        <v>78</v>
      </c>
      <c r="C59" s="56" t="s">
        <v>79</v>
      </c>
      <c r="D59" s="119">
        <f>TARGETS!AE12</f>
        <v>259993077.39884707</v>
      </c>
      <c r="E59" s="119">
        <f>TARGETS!AF12</f>
        <v>86845105.094943255</v>
      </c>
      <c r="F59" s="119">
        <f>TARGETS!AG12</f>
        <v>249609659.83737293</v>
      </c>
      <c r="G59" s="119">
        <f t="shared" si="0"/>
        <v>596447842.33116329</v>
      </c>
      <c r="H59" s="114">
        <f t="shared" si="11"/>
        <v>276466692.11094201</v>
      </c>
      <c r="I59" s="114">
        <f t="shared" si="1"/>
        <v>61402479.559920996</v>
      </c>
      <c r="J59" s="114">
        <f t="shared" si="2"/>
        <v>173734986.11020401</v>
      </c>
      <c r="K59" s="114">
        <f t="shared" si="3"/>
        <v>511604157.78106701</v>
      </c>
      <c r="L59" s="187">
        <f t="shared" si="4"/>
        <v>0.85775171183704468</v>
      </c>
      <c r="M59" s="184">
        <f t="shared" si="5"/>
        <v>84843684.550096273</v>
      </c>
      <c r="N59" s="184">
        <f t="shared" ca="1" si="6"/>
        <v>28281228.183365423</v>
      </c>
      <c r="O59" s="180">
        <f t="shared" si="7"/>
        <v>84843684.550096273</v>
      </c>
      <c r="P59" s="180">
        <f t="shared" ca="1" si="8"/>
        <v>28281228.183365423</v>
      </c>
      <c r="Q59" s="185">
        <f t="shared" si="9"/>
        <v>84843684.550096273</v>
      </c>
      <c r="R59" s="185">
        <f t="shared" ca="1" si="10"/>
        <v>28281228.183365423</v>
      </c>
      <c r="T59" t="s">
        <v>125</v>
      </c>
      <c r="U59" t="s">
        <v>217</v>
      </c>
    </row>
    <row r="60" spans="2:21" ht="15.95" customHeight="1" x14ac:dyDescent="0.25">
      <c r="B60" s="136" t="s">
        <v>171</v>
      </c>
      <c r="C60" s="137" t="s">
        <v>173</v>
      </c>
      <c r="D60" s="138">
        <f>TARGETS!AE13</f>
        <v>443846715.57642001</v>
      </c>
      <c r="E60" s="138">
        <f>TARGETS!AF13</f>
        <v>0</v>
      </c>
      <c r="F60" s="138">
        <f>TARGETS!AG13</f>
        <v>0</v>
      </c>
      <c r="G60" s="138">
        <f t="shared" si="0"/>
        <v>443846715.57642001</v>
      </c>
      <c r="H60" s="114">
        <f t="shared" si="11"/>
        <v>143859574.81999999</v>
      </c>
      <c r="I60" s="114">
        <f t="shared" si="1"/>
        <v>0</v>
      </c>
      <c r="J60" s="114">
        <f t="shared" si="2"/>
        <v>0</v>
      </c>
      <c r="K60" s="114">
        <f t="shared" si="3"/>
        <v>143859574.81999999</v>
      </c>
      <c r="L60" s="187">
        <f t="shared" si="4"/>
        <v>0.32411994900800556</v>
      </c>
      <c r="M60" s="184">
        <f t="shared" si="5"/>
        <v>299987140.75642002</v>
      </c>
      <c r="N60" s="184">
        <f t="shared" ca="1" si="6"/>
        <v>99995713.585473344</v>
      </c>
      <c r="O60" s="180">
        <f t="shared" si="7"/>
        <v>299987140.75642002</v>
      </c>
      <c r="P60" s="180">
        <f t="shared" ca="1" si="8"/>
        <v>99995713.585473344</v>
      </c>
      <c r="Q60" s="185">
        <f t="shared" si="9"/>
        <v>299987140.75642002</v>
      </c>
      <c r="R60" s="185">
        <f t="shared" ca="1" si="10"/>
        <v>99995713.585473344</v>
      </c>
      <c r="T60" t="s">
        <v>169</v>
      </c>
      <c r="U60" t="s">
        <v>217</v>
      </c>
    </row>
    <row r="61" spans="2:21" ht="15.95" customHeight="1" x14ac:dyDescent="0.25">
      <c r="B61" s="53" t="s">
        <v>80</v>
      </c>
      <c r="C61" s="56" t="s">
        <v>220</v>
      </c>
      <c r="D61" s="119">
        <f>TARGETS!AE14</f>
        <v>345737237.66667807</v>
      </c>
      <c r="E61" s="119">
        <f>TARGETS!AF14</f>
        <v>99843502.42153886</v>
      </c>
      <c r="F61" s="119">
        <f>TARGETS!AG14</f>
        <v>115472440.26230113</v>
      </c>
      <c r="G61" s="119">
        <f t="shared" si="0"/>
        <v>561053180.35051799</v>
      </c>
      <c r="H61" s="114">
        <f t="shared" si="11"/>
        <v>289260666.85760999</v>
      </c>
      <c r="I61" s="114">
        <f t="shared" si="1"/>
        <v>85225753.347992003</v>
      </c>
      <c r="J61" s="114">
        <f t="shared" si="2"/>
        <v>100388961.069527</v>
      </c>
      <c r="K61" s="114">
        <f t="shared" si="3"/>
        <v>474875381.27512896</v>
      </c>
      <c r="L61" s="187">
        <f t="shared" si="4"/>
        <v>0.84639994550686004</v>
      </c>
      <c r="M61" s="184">
        <f t="shared" si="5"/>
        <v>86177799.075389028</v>
      </c>
      <c r="N61" s="184">
        <f t="shared" ca="1" si="6"/>
        <v>28725933.025129676</v>
      </c>
      <c r="O61" s="180">
        <f t="shared" si="7"/>
        <v>86177799.075389028</v>
      </c>
      <c r="P61" s="180">
        <f t="shared" ca="1" si="8"/>
        <v>28725933.025129676</v>
      </c>
      <c r="Q61" s="185">
        <f t="shared" si="9"/>
        <v>86177799.075389028</v>
      </c>
      <c r="R61" s="185">
        <f t="shared" ca="1" si="10"/>
        <v>28725933.025129676</v>
      </c>
      <c r="T61" t="s">
        <v>219</v>
      </c>
      <c r="U61" t="s">
        <v>217</v>
      </c>
    </row>
    <row r="62" spans="2:21" ht="15.95" customHeight="1" x14ac:dyDescent="0.25">
      <c r="B62" s="50" t="s">
        <v>82</v>
      </c>
      <c r="C62" s="55" t="s">
        <v>83</v>
      </c>
      <c r="D62" s="118">
        <f>TARGETS!AE15</f>
        <v>476796144.98316145</v>
      </c>
      <c r="E62" s="118">
        <f>TARGETS!AF15</f>
        <v>53126030.965583593</v>
      </c>
      <c r="F62" s="118">
        <f>TARGETS!AG15</f>
        <v>168537597.75857076</v>
      </c>
      <c r="G62" s="118">
        <f t="shared" si="0"/>
        <v>698459773.7073158</v>
      </c>
      <c r="H62" s="114">
        <f t="shared" si="11"/>
        <v>421573953.346071</v>
      </c>
      <c r="I62" s="114">
        <f t="shared" si="1"/>
        <v>65606919.798859999</v>
      </c>
      <c r="J62" s="114">
        <f t="shared" si="2"/>
        <v>197842055.49990499</v>
      </c>
      <c r="K62" s="114">
        <f t="shared" si="3"/>
        <v>685022928.64483595</v>
      </c>
      <c r="L62" s="187">
        <f t="shared" si="4"/>
        <v>0.98076217762526374</v>
      </c>
      <c r="M62" s="184">
        <f t="shared" si="5"/>
        <v>13436845.062479854</v>
      </c>
      <c r="N62" s="184">
        <f t="shared" ca="1" si="6"/>
        <v>4478948.3541599512</v>
      </c>
      <c r="O62" s="180">
        <f t="shared" si="7"/>
        <v>13436845.062479854</v>
      </c>
      <c r="P62" s="180">
        <f t="shared" ca="1" si="8"/>
        <v>4478948.3541599512</v>
      </c>
      <c r="Q62" s="185">
        <f t="shared" si="9"/>
        <v>13436845.062479854</v>
      </c>
      <c r="R62" s="185">
        <f t="shared" ca="1" si="10"/>
        <v>4478948.3541599512</v>
      </c>
      <c r="T62" t="s">
        <v>126</v>
      </c>
      <c r="U62" t="s">
        <v>217</v>
      </c>
    </row>
    <row r="63" spans="2:21" ht="15.95" customHeight="1" x14ac:dyDescent="0.25">
      <c r="B63" s="53" t="s">
        <v>84</v>
      </c>
      <c r="C63" s="56" t="s">
        <v>85</v>
      </c>
      <c r="D63" s="119">
        <f>TARGETS!AE16</f>
        <v>168507149.83198008</v>
      </c>
      <c r="E63" s="119">
        <f>TARGETS!AF16</f>
        <v>30531298.995438561</v>
      </c>
      <c r="F63" s="119">
        <f>TARGETS!AG16</f>
        <v>259851780.88751724</v>
      </c>
      <c r="G63" s="119">
        <f t="shared" si="0"/>
        <v>458890229.7149359</v>
      </c>
      <c r="H63" s="114">
        <f t="shared" si="11"/>
        <v>181838881.34438601</v>
      </c>
      <c r="I63" s="114">
        <f t="shared" si="1"/>
        <v>48782899.217996001</v>
      </c>
      <c r="J63" s="114">
        <f t="shared" si="2"/>
        <v>209042402.73594299</v>
      </c>
      <c r="K63" s="114">
        <f t="shared" si="3"/>
        <v>439664183.298325</v>
      </c>
      <c r="L63" s="187">
        <f t="shared" si="4"/>
        <v>0.95810316896798131</v>
      </c>
      <c r="M63" s="184">
        <f t="shared" si="5"/>
        <v>19226046.416610897</v>
      </c>
      <c r="N63" s="184">
        <f t="shared" ca="1" si="6"/>
        <v>6408682.1388702989</v>
      </c>
      <c r="O63" s="180">
        <f t="shared" si="7"/>
        <v>19226046.416610897</v>
      </c>
      <c r="P63" s="180">
        <f t="shared" ca="1" si="8"/>
        <v>6408682.1388702989</v>
      </c>
      <c r="Q63" s="185">
        <f t="shared" si="9"/>
        <v>19226046.416610897</v>
      </c>
      <c r="R63" s="185">
        <f t="shared" ca="1" si="10"/>
        <v>6408682.1388702989</v>
      </c>
      <c r="T63" t="s">
        <v>112</v>
      </c>
      <c r="U63" t="s">
        <v>217</v>
      </c>
    </row>
    <row r="64" spans="2:21" ht="15.95" customHeight="1" x14ac:dyDescent="0.25">
      <c r="B64" s="50" t="s">
        <v>86</v>
      </c>
      <c r="C64" s="55" t="s">
        <v>87</v>
      </c>
      <c r="D64" s="118">
        <f>TARGETS!AE17</f>
        <v>409968842.36459517</v>
      </c>
      <c r="E64" s="118">
        <f>TARGETS!AF17</f>
        <v>308297473.95300913</v>
      </c>
      <c r="F64" s="118">
        <f>TARGETS!AG17</f>
        <v>242574653.13033652</v>
      </c>
      <c r="G64" s="118">
        <f t="shared" si="0"/>
        <v>960840969.44794083</v>
      </c>
      <c r="H64" s="114">
        <f t="shared" si="11"/>
        <v>483950125.09321803</v>
      </c>
      <c r="I64" s="114">
        <f t="shared" si="1"/>
        <v>167566230.83659801</v>
      </c>
      <c r="J64" s="114">
        <f t="shared" si="2"/>
        <v>214691883.90728101</v>
      </c>
      <c r="K64" s="114">
        <f t="shared" si="3"/>
        <v>866208239.83709705</v>
      </c>
      <c r="L64" s="187">
        <f t="shared" si="4"/>
        <v>0.90151051774445479</v>
      </c>
      <c r="M64" s="184">
        <f t="shared" si="5"/>
        <v>94632729.610843778</v>
      </c>
      <c r="N64" s="184">
        <f t="shared" ca="1" si="6"/>
        <v>31544243.203614593</v>
      </c>
      <c r="O64" s="180">
        <f t="shared" si="7"/>
        <v>94632729.610843778</v>
      </c>
      <c r="P64" s="180">
        <f t="shared" ca="1" si="8"/>
        <v>31544243.203614593</v>
      </c>
      <c r="Q64" s="185">
        <f t="shared" si="9"/>
        <v>94632729.610843778</v>
      </c>
      <c r="R64" s="185">
        <f t="shared" ca="1" si="10"/>
        <v>31544243.203614593</v>
      </c>
      <c r="T64" t="s">
        <v>127</v>
      </c>
      <c r="U64" t="s">
        <v>217</v>
      </c>
    </row>
    <row r="65" spans="2:21" ht="15.95" customHeight="1" x14ac:dyDescent="0.25">
      <c r="B65" s="53" t="s">
        <v>88</v>
      </c>
      <c r="C65" s="56" t="s">
        <v>89</v>
      </c>
      <c r="D65" s="119">
        <f>TARGETS!AE18</f>
        <v>123323413.46844758</v>
      </c>
      <c r="E65" s="119">
        <f>TARGETS!AF18</f>
        <v>193690629.51885673</v>
      </c>
      <c r="F65" s="119">
        <f>TARGETS!AG18</f>
        <v>201767250.60122082</v>
      </c>
      <c r="G65" s="119">
        <f t="shared" si="0"/>
        <v>518781293.58852518</v>
      </c>
      <c r="H65" s="114">
        <f t="shared" si="11"/>
        <v>158880302.93750599</v>
      </c>
      <c r="I65" s="114">
        <f t="shared" si="1"/>
        <v>105801544.67603499</v>
      </c>
      <c r="J65" s="114">
        <f t="shared" si="2"/>
        <v>148584798.88833499</v>
      </c>
      <c r="K65" s="114">
        <f t="shared" si="3"/>
        <v>413266646.501876</v>
      </c>
      <c r="L65" s="187">
        <f t="shared" si="4"/>
        <v>0.79661054014345622</v>
      </c>
      <c r="M65" s="184">
        <f t="shared" si="5"/>
        <v>105514647.08664918</v>
      </c>
      <c r="N65" s="184">
        <f t="shared" ca="1" si="6"/>
        <v>35171549.028883062</v>
      </c>
      <c r="O65" s="180">
        <f t="shared" si="7"/>
        <v>105514647.08664918</v>
      </c>
      <c r="P65" s="180">
        <f t="shared" ca="1" si="8"/>
        <v>35171549.028883062</v>
      </c>
      <c r="Q65" s="185">
        <f t="shared" si="9"/>
        <v>105514647.08664918</v>
      </c>
      <c r="R65" s="185">
        <f t="shared" ca="1" si="10"/>
        <v>35171549.028883062</v>
      </c>
      <c r="T65" t="s">
        <v>122</v>
      </c>
      <c r="U65" t="s">
        <v>123</v>
      </c>
    </row>
    <row r="66" spans="2:21" ht="15.95" customHeight="1" x14ac:dyDescent="0.25">
      <c r="B66" s="57" t="s">
        <v>151</v>
      </c>
      <c r="C66" s="58"/>
      <c r="D66" s="134">
        <f t="shared" ref="D66:K66" si="12">SUM(D52:D65)</f>
        <v>4464586688.6595287</v>
      </c>
      <c r="E66" s="134">
        <f t="shared" si="12"/>
        <v>1279908063.1092303</v>
      </c>
      <c r="F66" s="134">
        <f t="shared" si="12"/>
        <v>2914007482.4702153</v>
      </c>
      <c r="G66" s="134">
        <f t="shared" si="12"/>
        <v>8658502234.2389736</v>
      </c>
      <c r="H66" s="135">
        <f t="shared" si="12"/>
        <v>3577432609.8427157</v>
      </c>
      <c r="I66" s="135">
        <f t="shared" si="12"/>
        <v>875026003.72719502</v>
      </c>
      <c r="J66" s="135">
        <f t="shared" si="12"/>
        <v>2502155628.2526464</v>
      </c>
      <c r="K66" s="135">
        <f t="shared" si="12"/>
        <v>6954614241.8225565</v>
      </c>
      <c r="L66" s="189">
        <f t="shared" si="4"/>
        <v>0.80321215536809554</v>
      </c>
      <c r="M66" s="181">
        <f>SUM(M52:M65)</f>
        <v>1703887992.4164169</v>
      </c>
      <c r="N66" s="181">
        <f t="shared" ca="1" si="6"/>
        <v>567962664.13880563</v>
      </c>
      <c r="O66" s="181">
        <f>SUM(O52:O65)</f>
        <v>1703887992.4164169</v>
      </c>
      <c r="P66" s="181">
        <f t="shared" ca="1" si="8"/>
        <v>567962664.13880563</v>
      </c>
      <c r="Q66" s="186">
        <f>SUM(Q52:Q65)</f>
        <v>1703887992.4164169</v>
      </c>
      <c r="R66" s="186">
        <f t="shared" ca="1" si="10"/>
        <v>567962664.13880563</v>
      </c>
    </row>
    <row r="67" spans="2:21" ht="15" customHeight="1" x14ac:dyDescent="0.25">
      <c r="G67" s="111"/>
      <c r="H67" s="111"/>
      <c r="I67" s="111"/>
    </row>
    <row r="68" spans="2:21" ht="18.95" customHeight="1" x14ac:dyDescent="0.25">
      <c r="B68" s="288" t="s">
        <v>144</v>
      </c>
      <c r="C68" s="289"/>
      <c r="D68" s="289"/>
      <c r="E68" s="289"/>
      <c r="F68" s="298"/>
      <c r="G68" s="274" t="s">
        <v>185</v>
      </c>
      <c r="H68" s="275"/>
      <c r="I68" s="275"/>
      <c r="J68" s="275"/>
      <c r="K68" s="275"/>
      <c r="L68" s="276"/>
    </row>
    <row r="69" spans="2:21" ht="30" customHeight="1" x14ac:dyDescent="0.25">
      <c r="B69" s="223" t="s">
        <v>152</v>
      </c>
      <c r="C69" s="223" t="s">
        <v>42</v>
      </c>
      <c r="D69" s="223" t="s">
        <v>137</v>
      </c>
      <c r="E69" s="223" t="s">
        <v>138</v>
      </c>
      <c r="F69" s="231" t="s">
        <v>139</v>
      </c>
      <c r="G69" s="232" t="str">
        <f>"SELISIH"&amp;CHAR(10)&amp;TEXT($H$41,"0%")</f>
        <v>SELISIH
100%</v>
      </c>
      <c r="H69" s="232" t="str">
        <f>"PER HARI"&amp;CHAR(10)&amp;TEXT($H$41,"0%")</f>
        <v>PER HARI
100%</v>
      </c>
      <c r="I69" s="229" t="str">
        <f>"SELISIH"&amp;CHAR(10)&amp;TEXT($J$41,"0%")</f>
        <v>SELISIH
100%</v>
      </c>
      <c r="J69" s="230" t="str">
        <f>"PER HARI"&amp;CHAR(10)&amp;TEXT($J$41,"0%")</f>
        <v>PER HARI
100%</v>
      </c>
      <c r="K69" s="222" t="str">
        <f>"SELISIH"&amp;CHAR(10)&amp;TEXT($L$41,"0%")</f>
        <v>SELISIH
100%</v>
      </c>
      <c r="L69" s="222" t="str">
        <f>"PER HARI"&amp;CHAR(10)&amp;TEXT($L$41,"0%")</f>
        <v>PER HARI
100%</v>
      </c>
    </row>
    <row r="70" spans="2:21" ht="15.95" customHeight="1" x14ac:dyDescent="0.25">
      <c r="B70" s="50" t="s">
        <v>92</v>
      </c>
      <c r="C70" s="55" t="s">
        <v>93</v>
      </c>
      <c r="D70" s="116">
        <f>TARGETS!M22</f>
        <v>269378070.68085116</v>
      </c>
      <c r="E70" s="114">
        <f>IFERROR($C$32,0)</f>
        <v>220715541.45899799</v>
      </c>
      <c r="F70" s="187">
        <f t="shared" ref="F70:F75" si="13">IFERROR(E70/D70,0)</f>
        <v>0.81935229880123883</v>
      </c>
      <c r="G70" s="184">
        <f>D70*$H$41-E70</f>
        <v>48662529.221853167</v>
      </c>
      <c r="H70" s="184">
        <f t="shared" ref="H70:H75" ca="1" si="14">IFERROR(G70/$C$3,0)</f>
        <v>16220843.073951056</v>
      </c>
      <c r="I70" s="204">
        <f>D70*$J$41-E70</f>
        <v>48662529.221853167</v>
      </c>
      <c r="J70" s="204">
        <f t="shared" ref="J70:J75" ca="1" si="15">IFERROR(I70/$C$3,0)</f>
        <v>16220843.073951056</v>
      </c>
      <c r="K70" s="185">
        <f>D70*$L$41-E70</f>
        <v>48662529.221853167</v>
      </c>
      <c r="L70" s="185">
        <f t="shared" ref="L70:L75" ca="1" si="16">IFERROR(K70/$C$3,0)</f>
        <v>16220843.073951056</v>
      </c>
    </row>
    <row r="71" spans="2:21" ht="15.95" customHeight="1" x14ac:dyDescent="0.25">
      <c r="B71" s="53" t="s">
        <v>94</v>
      </c>
      <c r="C71" s="56" t="s">
        <v>99</v>
      </c>
      <c r="D71" s="117">
        <f>TARGETS!M23</f>
        <v>412678979.6808511</v>
      </c>
      <c r="E71" s="114">
        <f>IFERROR($C$33,0)</f>
        <v>393293651.597673</v>
      </c>
      <c r="F71" s="187">
        <f t="shared" si="13"/>
        <v>0.95302564696130165</v>
      </c>
      <c r="G71" s="184">
        <f>D71*$H$41-E71</f>
        <v>19385328.083178103</v>
      </c>
      <c r="H71" s="184">
        <f t="shared" ca="1" si="14"/>
        <v>6461776.0277260346</v>
      </c>
      <c r="I71" s="204">
        <f>D71*$J$41-E71</f>
        <v>19385328.083178103</v>
      </c>
      <c r="J71" s="204">
        <f t="shared" ca="1" si="15"/>
        <v>6461776.0277260346</v>
      </c>
      <c r="K71" s="185">
        <f>D71*$L$41-E71</f>
        <v>19385328.083178103</v>
      </c>
      <c r="L71" s="185">
        <f t="shared" ca="1" si="16"/>
        <v>6461776.0277260346</v>
      </c>
    </row>
    <row r="72" spans="2:21" ht="15.95" customHeight="1" x14ac:dyDescent="0.25">
      <c r="B72" s="50" t="s">
        <v>96</v>
      </c>
      <c r="C72" s="55" t="s">
        <v>97</v>
      </c>
      <c r="D72" s="116">
        <f>TARGETS!M24</f>
        <v>1097730183.680851</v>
      </c>
      <c r="E72" s="114">
        <f>M21</f>
        <v>753146325.74323702</v>
      </c>
      <c r="F72" s="187">
        <f t="shared" si="13"/>
        <v>0.68609421234808943</v>
      </c>
      <c r="G72" s="184">
        <f>D72*$H$41-E72</f>
        <v>344583857.93761396</v>
      </c>
      <c r="H72" s="184">
        <f t="shared" ca="1" si="14"/>
        <v>114861285.97920465</v>
      </c>
      <c r="I72" s="204">
        <f>D72*$J$41-E72</f>
        <v>344583857.93761396</v>
      </c>
      <c r="J72" s="204">
        <f t="shared" ca="1" si="15"/>
        <v>114861285.97920465</v>
      </c>
      <c r="K72" s="185">
        <f>D72*$L$41-E72</f>
        <v>344583857.93761396</v>
      </c>
      <c r="L72" s="185">
        <f t="shared" ca="1" si="16"/>
        <v>114861285.97920465</v>
      </c>
    </row>
    <row r="73" spans="2:21" hidden="1" x14ac:dyDescent="0.25">
      <c r="B73" s="53" t="s">
        <v>98</v>
      </c>
      <c r="C73" s="56" t="s">
        <v>99</v>
      </c>
      <c r="D73" s="117">
        <f>TARGETS!M25</f>
        <v>0</v>
      </c>
      <c r="E73" s="114">
        <f>0</f>
        <v>0</v>
      </c>
      <c r="F73" s="187">
        <f t="shared" si="13"/>
        <v>0</v>
      </c>
      <c r="G73" s="184">
        <f>D73*$H$41-E73</f>
        <v>0</v>
      </c>
      <c r="H73" s="184">
        <f t="shared" ca="1" si="14"/>
        <v>0</v>
      </c>
      <c r="I73" s="204">
        <f>D73*$J$41-E73</f>
        <v>0</v>
      </c>
      <c r="J73" s="204">
        <f t="shared" ca="1" si="15"/>
        <v>0</v>
      </c>
      <c r="K73" s="185">
        <f>D73*$L$41-E73</f>
        <v>0</v>
      </c>
      <c r="L73" s="185">
        <f t="shared" ca="1" si="16"/>
        <v>0</v>
      </c>
    </row>
    <row r="74" spans="2:21" hidden="1" x14ac:dyDescent="0.25">
      <c r="B74" s="50" t="s">
        <v>100</v>
      </c>
      <c r="C74" s="108" t="s">
        <v>101</v>
      </c>
      <c r="D74" s="116">
        <f>TARGETS!M26</f>
        <v>0</v>
      </c>
      <c r="E74" s="114">
        <f>0</f>
        <v>0</v>
      </c>
      <c r="F74" s="187">
        <f t="shared" si="13"/>
        <v>0</v>
      </c>
      <c r="G74" s="184">
        <f>D74*$H$41-E74</f>
        <v>0</v>
      </c>
      <c r="H74" s="184">
        <f t="shared" ca="1" si="14"/>
        <v>0</v>
      </c>
      <c r="I74" s="204">
        <f>D74*$J$41-E74</f>
        <v>0</v>
      </c>
      <c r="J74" s="204">
        <f t="shared" ca="1" si="15"/>
        <v>0</v>
      </c>
      <c r="K74" s="185">
        <f>D74*$L$41-E74</f>
        <v>0</v>
      </c>
      <c r="L74" s="185">
        <f t="shared" ca="1" si="16"/>
        <v>0</v>
      </c>
    </row>
    <row r="75" spans="2:21" ht="15.95" customHeight="1" x14ac:dyDescent="0.25">
      <c r="B75" s="57" t="s">
        <v>151</v>
      </c>
      <c r="C75" s="58"/>
      <c r="D75" s="115">
        <f>SUM(D70:D74)</f>
        <v>1779787234.0425532</v>
      </c>
      <c r="E75" s="115">
        <f>SUM(E70:E74)</f>
        <v>1367155518.7999082</v>
      </c>
      <c r="F75" s="177">
        <f t="shared" si="13"/>
        <v>0.76815671707825084</v>
      </c>
      <c r="G75" s="181">
        <f>SUM(G70:G74)</f>
        <v>412631715.24264526</v>
      </c>
      <c r="H75" s="181">
        <f t="shared" ca="1" si="14"/>
        <v>137543905.08088174</v>
      </c>
      <c r="I75" s="186">
        <f>SUM(I70:I74)</f>
        <v>412631715.24264526</v>
      </c>
      <c r="J75" s="186">
        <f t="shared" ca="1" si="15"/>
        <v>137543905.08088174</v>
      </c>
      <c r="K75" s="186">
        <f>SUM(K70:K74)</f>
        <v>412631715.24264526</v>
      </c>
      <c r="L75" s="186">
        <f t="shared" ca="1" si="16"/>
        <v>137543905.08088174</v>
      </c>
    </row>
    <row r="76" spans="2:21" ht="15" customHeight="1" x14ac:dyDescent="0.25"/>
    <row r="77" spans="2:21" ht="15" customHeight="1" x14ac:dyDescent="0.25"/>
    <row r="78" spans="2:21" ht="20.100000000000001" customHeight="1" x14ac:dyDescent="0.25">
      <c r="B78" s="254" t="s">
        <v>170</v>
      </c>
      <c r="C78" s="255"/>
      <c r="D78" s="256"/>
    </row>
    <row r="79" spans="2:21" ht="17.100000000000001" customHeight="1" x14ac:dyDescent="0.25">
      <c r="B79" s="273" t="s">
        <v>41</v>
      </c>
      <c r="C79" s="273" t="s">
        <v>42</v>
      </c>
      <c r="D79" s="231" t="s">
        <v>138</v>
      </c>
    </row>
    <row r="80" spans="2:21" ht="17.100000000000001" customHeight="1" x14ac:dyDescent="0.25">
      <c r="B80" s="263"/>
      <c r="C80" s="263"/>
      <c r="D80" s="70" t="s">
        <v>167</v>
      </c>
      <c r="T80" s="178" t="s">
        <v>215</v>
      </c>
      <c r="U80" s="178" t="s">
        <v>216</v>
      </c>
    </row>
    <row r="81" spans="2:21" ht="15.95" customHeight="1" x14ac:dyDescent="0.25">
      <c r="B81" s="50" t="s">
        <v>67</v>
      </c>
      <c r="C81" s="55" t="s">
        <v>68</v>
      </c>
      <c r="D81" s="131">
        <f>SUMIF($B$10:$B$26,$T81,$F$10:$F$26)+SUMIF($B$10:$B$26,$U81,$F$10:$F$26)</f>
        <v>393732978.25984001</v>
      </c>
      <c r="T81" t="str">
        <f t="shared" ref="T81:U94" si="17">T52</f>
        <v>Picrom Stalyon</v>
      </c>
      <c r="U81" t="str">
        <f t="shared" si="17"/>
        <v>n/a</v>
      </c>
    </row>
    <row r="82" spans="2:21" ht="15.95" customHeight="1" x14ac:dyDescent="0.25">
      <c r="B82" s="53" t="s">
        <v>69</v>
      </c>
      <c r="C82" s="56" t="s">
        <v>70</v>
      </c>
      <c r="D82" s="132">
        <f t="shared" ref="D82:D94" si="18">SUMIF($B$10:$B$26,$T82,$F$10:$F$26)+SUMIF($B$10:$B$26,$U82,$F$10:$F$26)</f>
        <v>196908109.97</v>
      </c>
      <c r="T82" t="str">
        <f t="shared" si="17"/>
        <v>I MADE LUIH</v>
      </c>
      <c r="U82" t="str">
        <f t="shared" si="17"/>
        <v>I Made Luih (Sanur)</v>
      </c>
    </row>
    <row r="83" spans="2:21" ht="15.95" customHeight="1" x14ac:dyDescent="0.25">
      <c r="B83" s="53" t="s">
        <v>171</v>
      </c>
      <c r="C83" s="56" t="s">
        <v>172</v>
      </c>
      <c r="D83" s="132">
        <f t="shared" si="18"/>
        <v>13405405.039999999</v>
      </c>
      <c r="T83" t="str">
        <f t="shared" si="17"/>
        <v>NN Made Luih</v>
      </c>
      <c r="U83" t="str">
        <f t="shared" si="17"/>
        <v>n/a</v>
      </c>
    </row>
    <row r="84" spans="2:21" ht="15.95" customHeight="1" x14ac:dyDescent="0.25">
      <c r="B84" s="50" t="s">
        <v>71</v>
      </c>
      <c r="C84" s="55" t="s">
        <v>72</v>
      </c>
      <c r="D84" s="131">
        <f t="shared" si="18"/>
        <v>305630278.09971499</v>
      </c>
      <c r="T84" t="str">
        <f t="shared" si="17"/>
        <v>Juni</v>
      </c>
      <c r="U84" t="str">
        <f t="shared" si="17"/>
        <v>n/a</v>
      </c>
    </row>
    <row r="85" spans="2:21" ht="15.95" customHeight="1" x14ac:dyDescent="0.25">
      <c r="B85" s="53" t="s">
        <v>73</v>
      </c>
      <c r="C85" s="56" t="s">
        <v>221</v>
      </c>
      <c r="D85" s="132">
        <f t="shared" si="18"/>
        <v>0</v>
      </c>
      <c r="T85" t="str">
        <f t="shared" si="17"/>
        <v>FIB</v>
      </c>
      <c r="U85" t="str">
        <f t="shared" si="17"/>
        <v>n/a</v>
      </c>
    </row>
    <row r="86" spans="2:21" ht="15.95" customHeight="1" x14ac:dyDescent="0.25">
      <c r="B86" s="50" t="s">
        <v>75</v>
      </c>
      <c r="C86" s="55" t="s">
        <v>225</v>
      </c>
      <c r="D86" s="131">
        <f t="shared" si="18"/>
        <v>98141442.109978005</v>
      </c>
      <c r="T86" t="str">
        <f t="shared" si="17"/>
        <v>Ronald</v>
      </c>
      <c r="U86" t="str">
        <f t="shared" si="17"/>
        <v>n/a</v>
      </c>
    </row>
    <row r="87" spans="2:21" ht="15.95" customHeight="1" x14ac:dyDescent="0.25">
      <c r="B87" s="53" t="s">
        <v>76</v>
      </c>
      <c r="C87" s="56" t="s">
        <v>77</v>
      </c>
      <c r="D87" s="132">
        <f t="shared" si="18"/>
        <v>1101363058.5997529</v>
      </c>
      <c r="T87" t="str">
        <f t="shared" si="17"/>
        <v>Monica</v>
      </c>
      <c r="U87" t="str">
        <f t="shared" si="17"/>
        <v>n/a</v>
      </c>
    </row>
    <row r="88" spans="2:21" ht="15.95" customHeight="1" x14ac:dyDescent="0.25">
      <c r="B88" s="50" t="s">
        <v>78</v>
      </c>
      <c r="C88" s="55" t="s">
        <v>79</v>
      </c>
      <c r="D88" s="131">
        <f t="shared" si="18"/>
        <v>294158566.06945598</v>
      </c>
      <c r="T88" t="str">
        <f t="shared" si="17"/>
        <v>Sujana</v>
      </c>
      <c r="U88" t="str">
        <f t="shared" si="17"/>
        <v>n/a</v>
      </c>
    </row>
    <row r="89" spans="2:21" ht="15.95" customHeight="1" x14ac:dyDescent="0.25">
      <c r="B89" s="53" t="s">
        <v>171</v>
      </c>
      <c r="C89" s="56" t="s">
        <v>173</v>
      </c>
      <c r="D89" s="132">
        <f t="shared" si="18"/>
        <v>13729729.359999999</v>
      </c>
      <c r="T89" t="str">
        <f t="shared" si="17"/>
        <v>NN Sujana</v>
      </c>
      <c r="U89" t="str">
        <f t="shared" si="17"/>
        <v>n/a</v>
      </c>
    </row>
    <row r="90" spans="2:21" ht="15.95" customHeight="1" x14ac:dyDescent="0.25">
      <c r="B90" s="53" t="s">
        <v>80</v>
      </c>
      <c r="C90" s="56" t="s">
        <v>81</v>
      </c>
      <c r="D90" s="132">
        <f t="shared" si="18"/>
        <v>75549351.290000007</v>
      </c>
      <c r="T90" t="str">
        <f t="shared" si="17"/>
        <v>Wahyu</v>
      </c>
      <c r="U90" t="str">
        <f t="shared" si="17"/>
        <v>n/a</v>
      </c>
    </row>
    <row r="91" spans="2:21" ht="15.95" customHeight="1" x14ac:dyDescent="0.25">
      <c r="B91" s="50" t="s">
        <v>82</v>
      </c>
      <c r="C91" s="55" t="s">
        <v>83</v>
      </c>
      <c r="D91" s="131">
        <f t="shared" si="18"/>
        <v>627965417.659271</v>
      </c>
      <c r="T91" t="str">
        <f t="shared" si="17"/>
        <v>Taufik</v>
      </c>
      <c r="U91" t="str">
        <f t="shared" si="17"/>
        <v>n/a</v>
      </c>
    </row>
    <row r="92" spans="2:21" ht="15.95" customHeight="1" x14ac:dyDescent="0.25">
      <c r="B92" s="53" t="s">
        <v>84</v>
      </c>
      <c r="C92" s="56" t="s">
        <v>85</v>
      </c>
      <c r="D92" s="132">
        <f t="shared" si="18"/>
        <v>150785586.35992399</v>
      </c>
      <c r="T92" t="str">
        <f t="shared" si="17"/>
        <v>Dewi Kristiani</v>
      </c>
      <c r="U92" t="str">
        <f t="shared" si="17"/>
        <v>n/a</v>
      </c>
    </row>
    <row r="93" spans="2:21" ht="15.95" customHeight="1" x14ac:dyDescent="0.25">
      <c r="B93" s="50" t="s">
        <v>86</v>
      </c>
      <c r="C93" s="55" t="s">
        <v>87</v>
      </c>
      <c r="D93" s="131">
        <f t="shared" si="18"/>
        <v>19107676.0658</v>
      </c>
      <c r="T93" t="str">
        <f t="shared" si="17"/>
        <v>Wira</v>
      </c>
      <c r="U93" t="str">
        <f t="shared" si="17"/>
        <v>n/a</v>
      </c>
    </row>
    <row r="94" spans="2:21" ht="15.95" customHeight="1" x14ac:dyDescent="0.25">
      <c r="B94" s="53" t="s">
        <v>88</v>
      </c>
      <c r="C94" s="56" t="s">
        <v>89</v>
      </c>
      <c r="D94" s="132">
        <f t="shared" si="18"/>
        <v>154484327.73500001</v>
      </c>
      <c r="T94" t="str">
        <f t="shared" si="17"/>
        <v>Ni Ketut Sriasih (GT)</v>
      </c>
      <c r="U94" t="str">
        <f t="shared" si="17"/>
        <v>Ni Ketut Sriasih (MT)</v>
      </c>
    </row>
    <row r="95" spans="2:21" ht="15.95" customHeight="1" x14ac:dyDescent="0.25">
      <c r="B95" s="53" t="s">
        <v>229</v>
      </c>
      <c r="C95" s="56" t="s">
        <v>227</v>
      </c>
      <c r="D95" s="132">
        <f>SUMIF($B$10:$B$27,$T95,$F$10:$F$27)+SUMIF($B$10:$B$27,$U95,$F$10:$F$27)</f>
        <v>3405405.56</v>
      </c>
      <c r="T95" t="s">
        <v>227</v>
      </c>
      <c r="U95" t="s">
        <v>217</v>
      </c>
    </row>
    <row r="96" spans="2:21" ht="15.95" customHeight="1" x14ac:dyDescent="0.25">
      <c r="B96" s="57" t="s">
        <v>151</v>
      </c>
      <c r="C96" s="58"/>
      <c r="D96" s="120">
        <f>SUM(D81:D95)</f>
        <v>3448367332.1787367</v>
      </c>
    </row>
    <row r="97" ht="15" customHeight="1" x14ac:dyDescent="0.25"/>
  </sheetData>
  <mergeCells count="20">
    <mergeCell ref="G68:L68"/>
    <mergeCell ref="B49:L49"/>
    <mergeCell ref="M49:R49"/>
    <mergeCell ref="B50:B51"/>
    <mergeCell ref="C50:C51"/>
    <mergeCell ref="D50:G50"/>
    <mergeCell ref="H50:K50"/>
    <mergeCell ref="Q50:Q51"/>
    <mergeCell ref="R50:R51"/>
    <mergeCell ref="N50:N51"/>
    <mergeCell ref="L50:L51"/>
    <mergeCell ref="M50:M51"/>
    <mergeCell ref="O50:O51"/>
    <mergeCell ref="P50:P51"/>
    <mergeCell ref="B41:D41"/>
    <mergeCell ref="B47:C47"/>
    <mergeCell ref="B79:B80"/>
    <mergeCell ref="C79:C80"/>
    <mergeCell ref="B68:F68"/>
    <mergeCell ref="B78:D78"/>
  </mergeCells>
  <conditionalFormatting sqref="L52:L65">
    <cfRule type="expression" dxfId="8" priority="1">
      <formula>L52&gt;=$F$42-0.05</formula>
    </cfRule>
    <cfRule type="expression" dxfId="7" priority="2">
      <formula>AND(L52&gt;=$F$42-0.2,L52&lt;$F$42-0.05)</formula>
    </cfRule>
    <cfRule type="expression" dxfId="6" priority="3">
      <formula>L52&lt;$F$42-0.2</formula>
    </cfRule>
  </conditionalFormatting>
  <dataValidations count="1">
    <dataValidation type="list" allowBlank="1" showInputMessage="1" showErrorMessage="1" sqref="H41 J41">
      <formula1>$S$41:$S$47</formula1>
    </dataValidation>
  </dataValidations>
  <pageMargins left="0.75" right="0.75" top="1" bottom="1" header="0.511811023622047" footer="0.511811023622047"/>
  <pageSetup paperSize="9" scale="38" fitToHeight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showGridLines="0" topLeftCell="A76" zoomScaleNormal="100" workbookViewId="0">
      <selection activeCell="B77" sqref="B77:V95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6.28515625" customWidth="1"/>
    <col min="4" max="18" width="16.42578125" customWidth="1"/>
  </cols>
  <sheetData>
    <row r="1" spans="2:15" ht="18.95" customHeight="1" x14ac:dyDescent="0.25">
      <c r="B1" s="83" t="s">
        <v>163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191</v>
      </c>
      <c r="H2" s="111"/>
      <c r="I2" s="111"/>
      <c r="J2" s="217">
        <f ca="1">E3</f>
        <v>30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IF($J$5&lt;&gt;"",$J$5,MAX(0,NETWORKDAYS.INTL(MAX(TODAY(),DATE(YEAR(TODAY()),11,1)),EOMONTH(DATE(YEAR(TODAY()),11,1),0),11)-MAX(0,$J$3-$J$4)))</f>
        <v>25</v>
      </c>
      <c r="D3" s="76" t="s">
        <v>104</v>
      </c>
      <c r="E3" s="77">
        <f ca="1">DAY(EOMONTH(DATE(YEAR(TODAY()),11,1),0))</f>
        <v>30</v>
      </c>
      <c r="G3" s="221" t="s">
        <v>192</v>
      </c>
      <c r="H3" s="111"/>
      <c r="I3" s="111"/>
      <c r="J3" s="218">
        <v>0</v>
      </c>
    </row>
    <row r="4" spans="2:15" ht="15" customHeight="1" x14ac:dyDescent="0.25">
      <c r="G4" s="221" t="s">
        <v>193</v>
      </c>
      <c r="H4" s="111"/>
      <c r="I4" s="111"/>
      <c r="J4" s="218">
        <v>0</v>
      </c>
    </row>
    <row r="5" spans="2:15" ht="15" customHeight="1" x14ac:dyDescent="0.25">
      <c r="G5" s="221" t="s">
        <v>194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208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207</v>
      </c>
      <c r="F8" s="80" t="s">
        <v>167</v>
      </c>
      <c r="G8" s="80" t="s">
        <v>111</v>
      </c>
      <c r="H8" s="111"/>
      <c r="I8" s="111"/>
      <c r="J8" s="111"/>
      <c r="M8" s="11"/>
      <c r="N8" s="11"/>
      <c r="O8" s="171"/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/>
      <c r="N9" s="11"/>
      <c r="O9" s="171"/>
    </row>
    <row r="10" spans="2:15" ht="15" customHeight="1" x14ac:dyDescent="0.25">
      <c r="B10" s="72" t="s">
        <v>112</v>
      </c>
      <c r="C10" s="15"/>
      <c r="D10" s="15"/>
      <c r="E10" s="15"/>
      <c r="F10" s="15"/>
      <c r="G10" s="15">
        <f t="shared" ref="G10:G26" si="0">SUM(C10:F10)</f>
        <v>0</v>
      </c>
      <c r="H10" s="111"/>
      <c r="I10" s="111"/>
      <c r="J10" s="111"/>
      <c r="M10" s="11"/>
      <c r="N10" s="11"/>
      <c r="O10" s="171"/>
    </row>
    <row r="11" spans="2:15" ht="15" customHeight="1" x14ac:dyDescent="0.25">
      <c r="B11" s="72" t="s">
        <v>219</v>
      </c>
      <c r="C11" s="15"/>
      <c r="D11" s="15"/>
      <c r="E11" s="15"/>
      <c r="F11" s="15"/>
      <c r="G11" s="15">
        <f t="shared" si="0"/>
        <v>0</v>
      </c>
      <c r="H11" s="111"/>
      <c r="I11" s="111"/>
      <c r="J11" s="111"/>
      <c r="M11" s="11"/>
      <c r="N11" s="11"/>
      <c r="O11" s="171"/>
    </row>
    <row r="12" spans="2:15" ht="15" customHeight="1" x14ac:dyDescent="0.25">
      <c r="B12" s="72" t="s">
        <v>181</v>
      </c>
      <c r="C12" s="15"/>
      <c r="D12" s="15"/>
      <c r="E12" s="15"/>
      <c r="F12" s="15"/>
      <c r="G12" s="15">
        <f t="shared" si="0"/>
        <v>0</v>
      </c>
      <c r="H12" s="111"/>
      <c r="I12" s="111"/>
      <c r="J12" s="111"/>
      <c r="M12" s="11"/>
      <c r="N12" s="11"/>
      <c r="O12" s="171"/>
    </row>
    <row r="13" spans="2:15" ht="15" customHeight="1" x14ac:dyDescent="0.25">
      <c r="B13" s="72" t="s">
        <v>70</v>
      </c>
      <c r="C13" s="15"/>
      <c r="D13" s="15"/>
      <c r="E13" s="15"/>
      <c r="F13" s="15"/>
      <c r="G13" s="15">
        <f t="shared" si="0"/>
        <v>0</v>
      </c>
      <c r="H13" s="111"/>
      <c r="I13" s="111"/>
      <c r="J13" s="111"/>
      <c r="M13" s="11"/>
      <c r="N13" s="11"/>
      <c r="O13" s="171"/>
    </row>
    <row r="14" spans="2:15" ht="15" customHeight="1" x14ac:dyDescent="0.25">
      <c r="B14" s="72" t="s">
        <v>114</v>
      </c>
      <c r="C14" s="15"/>
      <c r="D14" s="15"/>
      <c r="E14" s="15"/>
      <c r="F14" s="15"/>
      <c r="G14" s="15">
        <f t="shared" si="0"/>
        <v>0</v>
      </c>
      <c r="H14" s="111"/>
      <c r="I14" s="111"/>
      <c r="J14" s="111"/>
      <c r="M14" s="11"/>
      <c r="N14" s="11"/>
      <c r="O14" s="171"/>
    </row>
    <row r="15" spans="2:15" ht="15" customHeight="1" x14ac:dyDescent="0.25">
      <c r="B15" s="81" t="s">
        <v>115</v>
      </c>
      <c r="C15" s="15"/>
      <c r="D15" s="15"/>
      <c r="E15" s="15"/>
      <c r="F15" s="15"/>
      <c r="G15" s="15">
        <f t="shared" si="0"/>
        <v>0</v>
      </c>
      <c r="H15" s="111"/>
      <c r="I15" s="111"/>
      <c r="J15" s="111"/>
      <c r="M15" s="11"/>
      <c r="N15" s="11"/>
      <c r="O15" s="171"/>
    </row>
    <row r="16" spans="2:15" ht="15" customHeight="1" x14ac:dyDescent="0.25">
      <c r="B16" s="72" t="s">
        <v>118</v>
      </c>
      <c r="C16" s="15"/>
      <c r="D16" s="15"/>
      <c r="E16" s="15"/>
      <c r="F16" s="15"/>
      <c r="G16" s="15">
        <f t="shared" si="0"/>
        <v>0</v>
      </c>
      <c r="H16" s="111"/>
      <c r="I16" s="111"/>
      <c r="J16" s="111"/>
      <c r="M16" s="11"/>
      <c r="N16" s="11"/>
      <c r="O16" s="171"/>
    </row>
    <row r="17" spans="2:15" ht="15" customHeight="1" x14ac:dyDescent="0.25">
      <c r="B17" s="72" t="s">
        <v>120</v>
      </c>
      <c r="C17" s="15"/>
      <c r="D17" s="15"/>
      <c r="E17" s="15"/>
      <c r="F17" s="15"/>
      <c r="G17" s="15">
        <f t="shared" si="0"/>
        <v>0</v>
      </c>
      <c r="H17" s="111"/>
      <c r="I17" s="111"/>
      <c r="J17" s="111"/>
      <c r="M17" s="11"/>
      <c r="N17" s="11"/>
      <c r="O17" s="171"/>
    </row>
    <row r="18" spans="2:15" ht="15" customHeight="1" x14ac:dyDescent="0.25">
      <c r="B18" s="72" t="s">
        <v>122</v>
      </c>
      <c r="C18" s="15"/>
      <c r="D18" s="15"/>
      <c r="E18" s="15"/>
      <c r="F18" s="15"/>
      <c r="G18" s="15">
        <f t="shared" si="0"/>
        <v>0</v>
      </c>
      <c r="H18" s="111"/>
      <c r="I18" s="111"/>
      <c r="J18" s="111"/>
      <c r="M18" s="11"/>
      <c r="N18" s="11"/>
      <c r="O18" s="171"/>
    </row>
    <row r="19" spans="2:15" ht="15" customHeight="1" x14ac:dyDescent="0.25">
      <c r="B19" s="72" t="s">
        <v>123</v>
      </c>
      <c r="C19" s="15"/>
      <c r="D19" s="15"/>
      <c r="E19" s="15"/>
      <c r="F19" s="15"/>
      <c r="G19" s="15">
        <f t="shared" si="0"/>
        <v>0</v>
      </c>
      <c r="H19" s="111"/>
      <c r="I19" s="111"/>
      <c r="J19" s="111"/>
      <c r="M19" s="11"/>
      <c r="N19" s="11"/>
      <c r="O19" s="171"/>
    </row>
    <row r="20" spans="2:15" ht="15" customHeight="1" x14ac:dyDescent="0.25">
      <c r="B20" s="72" t="s">
        <v>168</v>
      </c>
      <c r="C20" s="15"/>
      <c r="D20" s="15"/>
      <c r="E20" s="15"/>
      <c r="F20" s="15"/>
      <c r="G20" s="15">
        <f t="shared" si="0"/>
        <v>0</v>
      </c>
      <c r="H20" s="111"/>
      <c r="I20" s="111"/>
      <c r="J20" s="111"/>
      <c r="M20" s="14">
        <f>SUM(C30,C35)+M7</f>
        <v>0</v>
      </c>
      <c r="N20" s="10" t="s">
        <v>222</v>
      </c>
    </row>
    <row r="21" spans="2:15" ht="15" customHeight="1" x14ac:dyDescent="0.25">
      <c r="B21" s="72" t="s">
        <v>169</v>
      </c>
      <c r="C21" s="15"/>
      <c r="D21" s="15"/>
      <c r="E21" s="15"/>
      <c r="F21" s="15"/>
      <c r="G21" s="15">
        <f t="shared" si="0"/>
        <v>0</v>
      </c>
      <c r="H21" s="111"/>
      <c r="I21" s="111"/>
      <c r="J21" s="111"/>
      <c r="M21" s="14">
        <f>SUM(C33,C34)+M20</f>
        <v>0</v>
      </c>
      <c r="N21" s="10" t="s">
        <v>223</v>
      </c>
    </row>
    <row r="22" spans="2:15" ht="15" customHeight="1" x14ac:dyDescent="0.25">
      <c r="B22" s="72" t="s">
        <v>124</v>
      </c>
      <c r="C22" s="15"/>
      <c r="D22" s="15"/>
      <c r="E22" s="15"/>
      <c r="F22" s="15"/>
      <c r="G22" s="15">
        <f t="shared" si="0"/>
        <v>0</v>
      </c>
      <c r="H22" s="111"/>
      <c r="I22" s="111"/>
      <c r="J22" s="111"/>
    </row>
    <row r="23" spans="2:15" ht="15" customHeight="1" x14ac:dyDescent="0.25">
      <c r="B23" s="72" t="s">
        <v>125</v>
      </c>
      <c r="C23" s="15"/>
      <c r="D23" s="15"/>
      <c r="E23" s="15"/>
      <c r="F23" s="15"/>
      <c r="G23" s="15">
        <f t="shared" si="0"/>
        <v>0</v>
      </c>
      <c r="H23" s="111"/>
      <c r="I23" s="111"/>
      <c r="J23" s="111"/>
    </row>
    <row r="24" spans="2:15" ht="15" customHeight="1" x14ac:dyDescent="0.25">
      <c r="B24" s="72" t="s">
        <v>126</v>
      </c>
      <c r="C24" s="15"/>
      <c r="D24" s="15"/>
      <c r="E24" s="15"/>
      <c r="F24" s="15"/>
      <c r="G24" s="15">
        <f t="shared" si="0"/>
        <v>0</v>
      </c>
      <c r="H24" s="111"/>
      <c r="I24" s="111"/>
      <c r="J24" s="111"/>
    </row>
    <row r="25" spans="2:15" ht="15" customHeight="1" x14ac:dyDescent="0.25">
      <c r="B25" s="72" t="s">
        <v>224</v>
      </c>
      <c r="C25" s="15"/>
      <c r="D25" s="15"/>
      <c r="E25" s="15"/>
      <c r="F25" s="15"/>
      <c r="G25" s="15">
        <f t="shared" si="0"/>
        <v>0</v>
      </c>
      <c r="H25" s="111"/>
      <c r="I25" s="111"/>
      <c r="J25" s="111"/>
    </row>
    <row r="26" spans="2:15" ht="15" customHeight="1" x14ac:dyDescent="0.25">
      <c r="B26" s="72" t="s">
        <v>127</v>
      </c>
      <c r="C26" s="15"/>
      <c r="D26" s="15"/>
      <c r="E26" s="15"/>
      <c r="F26" s="15"/>
      <c r="G26" s="15">
        <f t="shared" si="0"/>
        <v>0</v>
      </c>
      <c r="H26" s="111"/>
      <c r="I26" s="111"/>
      <c r="J26" s="111"/>
    </row>
    <row r="27" spans="2:15" ht="15" customHeight="1" x14ac:dyDescent="0.25">
      <c r="G27" s="111"/>
      <c r="H27" s="111"/>
      <c r="I27" s="111"/>
    </row>
    <row r="28" spans="2:15" ht="15" customHeight="1" x14ac:dyDescent="0.25">
      <c r="B28" s="79" t="s">
        <v>128</v>
      </c>
      <c r="C28" s="79"/>
      <c r="G28" s="111"/>
      <c r="H28" s="111"/>
      <c r="I28" s="111"/>
    </row>
    <row r="29" spans="2:15" ht="15" customHeight="1" x14ac:dyDescent="0.25">
      <c r="B29" s="80" t="s">
        <v>129</v>
      </c>
      <c r="C29" s="80" t="s">
        <v>130</v>
      </c>
      <c r="G29" s="111"/>
      <c r="H29" s="111"/>
      <c r="I29" s="111"/>
    </row>
    <row r="30" spans="2:15" ht="15" customHeight="1" x14ac:dyDescent="0.25">
      <c r="B30" s="73"/>
      <c r="C30" s="107"/>
      <c r="G30" s="111"/>
      <c r="H30" s="111"/>
      <c r="I30" s="111"/>
    </row>
    <row r="31" spans="2:15" ht="15" customHeight="1" x14ac:dyDescent="0.25">
      <c r="B31" s="81" t="s">
        <v>131</v>
      </c>
      <c r="C31" s="15">
        <v>0</v>
      </c>
      <c r="G31" s="111"/>
      <c r="H31" s="111"/>
      <c r="I31" s="111"/>
    </row>
    <row r="32" spans="2:15" ht="15" customHeight="1" x14ac:dyDescent="0.25">
      <c r="B32" s="81" t="s">
        <v>132</v>
      </c>
      <c r="C32" s="15">
        <v>0</v>
      </c>
      <c r="G32" s="111"/>
      <c r="H32" s="111"/>
      <c r="I32" s="111"/>
    </row>
    <row r="33" spans="2:19" ht="15" customHeight="1" x14ac:dyDescent="0.25">
      <c r="B33" s="81" t="s">
        <v>133</v>
      </c>
      <c r="C33" s="15">
        <v>0</v>
      </c>
      <c r="G33" s="111"/>
      <c r="H33" s="111"/>
      <c r="I33" s="111"/>
    </row>
    <row r="34" spans="2:19" ht="15" customHeight="1" x14ac:dyDescent="0.25">
      <c r="B34" s="81" t="s">
        <v>134</v>
      </c>
      <c r="C34" s="15">
        <v>0</v>
      </c>
      <c r="G34" s="111"/>
      <c r="H34" s="111"/>
      <c r="I34" s="111"/>
    </row>
    <row r="35" spans="2:19" ht="15" customHeight="1" x14ac:dyDescent="0.25">
      <c r="B35" s="81" t="s">
        <v>135</v>
      </c>
      <c r="C35" s="15">
        <v>0</v>
      </c>
      <c r="G35" s="111"/>
      <c r="H35" s="111"/>
      <c r="I35" s="111"/>
    </row>
    <row r="36" spans="2:19" ht="15" customHeight="1" x14ac:dyDescent="0.25">
      <c r="B36" s="81"/>
      <c r="C36" s="82"/>
      <c r="G36" s="111"/>
      <c r="H36" s="111"/>
      <c r="I36" s="111"/>
    </row>
    <row r="37" spans="2:19" ht="15" customHeight="1" x14ac:dyDescent="0.25">
      <c r="B37" s="73"/>
      <c r="C37" s="82"/>
      <c r="G37" s="111"/>
      <c r="H37" s="111"/>
      <c r="I37" s="111"/>
    </row>
    <row r="38" spans="2:19" ht="15" customHeight="1" x14ac:dyDescent="0.25">
      <c r="G38" s="111"/>
      <c r="H38" s="111"/>
      <c r="I38" s="111"/>
    </row>
    <row r="39" spans="2:19" ht="15" customHeight="1" x14ac:dyDescent="0.25">
      <c r="G39" s="111"/>
      <c r="H39" s="111"/>
      <c r="I39" s="111"/>
      <c r="S39" s="172" t="s">
        <v>184</v>
      </c>
    </row>
    <row r="40" spans="2:19" ht="20.100000000000001" customHeight="1" x14ac:dyDescent="0.25">
      <c r="B40" s="264" t="s">
        <v>174</v>
      </c>
      <c r="C40" s="265"/>
      <c r="D40" s="266"/>
      <c r="E40" s="66" t="s">
        <v>137</v>
      </c>
      <c r="F40" s="174">
        <f ca="1">IF(MONTH(TODAY())=11,DAY(TODAY())/DAY(EOMONTH(TODAY(),0)),IF(MONTH(TODAY())&gt;11,1,0))</f>
        <v>0</v>
      </c>
      <c r="G40" s="192" t="s">
        <v>186</v>
      </c>
      <c r="H40" s="198">
        <v>0.9</v>
      </c>
      <c r="I40" s="201" t="s">
        <v>186</v>
      </c>
      <c r="J40" s="199">
        <v>0.95</v>
      </c>
      <c r="K40" s="194" t="s">
        <v>187</v>
      </c>
      <c r="L40" s="200">
        <v>1</v>
      </c>
      <c r="S40" s="173">
        <v>0.7</v>
      </c>
    </row>
    <row r="41" spans="2:19" ht="30" customHeight="1" x14ac:dyDescent="0.25">
      <c r="B41" s="68" t="s">
        <v>136</v>
      </c>
      <c r="C41" s="68" t="s">
        <v>41</v>
      </c>
      <c r="D41" s="68" t="s">
        <v>137</v>
      </c>
      <c r="E41" s="68" t="s">
        <v>138</v>
      </c>
      <c r="F41" s="175" t="s">
        <v>139</v>
      </c>
      <c r="G41" s="182" t="str">
        <f>"SELISIH"&amp;CHAR(10)&amp;TEXT($H$40,"0%")</f>
        <v>SELISIH
90%</v>
      </c>
      <c r="H41" s="182" t="str">
        <f>"PER HARI"&amp;CHAR(10)&amp;TEXT($H$40,"0%")</f>
        <v>PER HARI
90%</v>
      </c>
      <c r="I41" s="202" t="str">
        <f>"SELISIH"&amp;CHAR(10)&amp;TEXT($J$40,"0%")</f>
        <v>SELISIH
95%</v>
      </c>
      <c r="J41" s="203" t="str">
        <f>"PER HARI"&amp;CHAR(10)&amp;TEXT($J$40,"0%")</f>
        <v>PER HARI
95%</v>
      </c>
      <c r="K41" s="183" t="str">
        <f>"SELISIH"&amp;CHAR(10)&amp;TEXT($L$40,"0%")</f>
        <v>SELISIH
100%</v>
      </c>
      <c r="L41" s="183" t="str">
        <f>"PER HARI"&amp;CHAR(10)&amp;TEXT($L$40,"0%")</f>
        <v>PER HARI
100%</v>
      </c>
      <c r="S41" s="190">
        <v>0.75</v>
      </c>
    </row>
    <row r="42" spans="2:19" ht="15.95" customHeight="1" x14ac:dyDescent="0.25">
      <c r="B42" s="109" t="s">
        <v>142</v>
      </c>
      <c r="C42" s="41" t="s">
        <v>143</v>
      </c>
      <c r="D42" s="45">
        <f>SUM(TARGETS!AH5:AH18)</f>
        <v>0</v>
      </c>
      <c r="E42" s="46">
        <f>H65</f>
        <v>0</v>
      </c>
      <c r="F42" s="176">
        <f>IFERROR(E42/D42,0)</f>
        <v>0</v>
      </c>
      <c r="G42" s="184">
        <f>D42*$H$40-E42</f>
        <v>0</v>
      </c>
      <c r="H42" s="184">
        <f ca="1">IFERROR(G42/$C$3,0)</f>
        <v>0</v>
      </c>
      <c r="I42" s="204">
        <f>D42*$J$40-E42</f>
        <v>0</v>
      </c>
      <c r="J42" s="204">
        <f ca="1">IFERROR(I42/$C$3,0)</f>
        <v>0</v>
      </c>
      <c r="K42" s="185">
        <f>D42*$L$40-E42</f>
        <v>0</v>
      </c>
      <c r="L42" s="185">
        <f ca="1">IFERROR(K42/$C$3,0)</f>
        <v>0</v>
      </c>
      <c r="S42" s="173">
        <v>0.8</v>
      </c>
    </row>
    <row r="43" spans="2:19" ht="15.95" customHeight="1" x14ac:dyDescent="0.25">
      <c r="B43" s="109" t="s">
        <v>110</v>
      </c>
      <c r="C43" s="41" t="s">
        <v>143</v>
      </c>
      <c r="D43" s="45">
        <f>SUM(TARGETS!AI5:AI18)</f>
        <v>0</v>
      </c>
      <c r="E43" s="46">
        <f>I65</f>
        <v>0</v>
      </c>
      <c r="F43" s="176">
        <f>IFERROR(E43/D43,0)</f>
        <v>0</v>
      </c>
      <c r="G43" s="184">
        <f>D43*$H$40-E43</f>
        <v>0</v>
      </c>
      <c r="H43" s="184">
        <f ca="1">IFERROR(G43/$C$3,0)</f>
        <v>0</v>
      </c>
      <c r="I43" s="204">
        <f>D43*$J$40-E43</f>
        <v>0</v>
      </c>
      <c r="J43" s="204">
        <f ca="1">IFERROR(I43/$C$3,0)</f>
        <v>0</v>
      </c>
      <c r="K43" s="185">
        <f>D43*$L$40-E43</f>
        <v>0</v>
      </c>
      <c r="L43" s="185">
        <f ca="1">IFERROR(K43/$C$3,0)</f>
        <v>0</v>
      </c>
      <c r="S43" s="173">
        <v>0.85</v>
      </c>
    </row>
    <row r="44" spans="2:19" ht="15.95" customHeight="1" x14ac:dyDescent="0.25">
      <c r="B44" s="109" t="s">
        <v>207</v>
      </c>
      <c r="C44" s="41" t="s">
        <v>143</v>
      </c>
      <c r="D44" s="45">
        <f>SUM(TARGETS!AJ5:AJ18)</f>
        <v>0</v>
      </c>
      <c r="E44" s="46">
        <f>J65</f>
        <v>0</v>
      </c>
      <c r="F44" s="176">
        <f>IFERROR(E44/D44,0)</f>
        <v>0</v>
      </c>
      <c r="G44" s="184">
        <f>IF(D44=0,0,D44*$H$40-E44)</f>
        <v>0</v>
      </c>
      <c r="H44" s="184">
        <f ca="1">IFERROR(G44/$C$3,0)</f>
        <v>0</v>
      </c>
      <c r="I44" s="204">
        <f>IF(D44=0,0,D44*$J$40-E44)</f>
        <v>0</v>
      </c>
      <c r="J44" s="204">
        <f ca="1">IFERROR(I44/$C$3,0)</f>
        <v>0</v>
      </c>
      <c r="K44" s="185">
        <f>IF(D44=0,0,D44*$L$40-E44)</f>
        <v>0</v>
      </c>
      <c r="L44" s="185">
        <f ca="1">IFERROR(K44/$C$3,0)</f>
        <v>0</v>
      </c>
      <c r="S44" s="173">
        <v>0.9</v>
      </c>
    </row>
    <row r="45" spans="2:19" ht="15.95" customHeight="1" x14ac:dyDescent="0.25">
      <c r="B45" s="109" t="s">
        <v>144</v>
      </c>
      <c r="C45" s="41" t="s">
        <v>143</v>
      </c>
      <c r="D45" s="45">
        <f>SUM(TARGETS!N22:N26)</f>
        <v>0</v>
      </c>
      <c r="E45" s="46">
        <f>E74</f>
        <v>0</v>
      </c>
      <c r="F45" s="176">
        <f>IFERROR(E45/D45,0)</f>
        <v>0</v>
      </c>
      <c r="G45" s="184">
        <f>D45*$H$40-E45</f>
        <v>0</v>
      </c>
      <c r="H45" s="184">
        <f ca="1">IFERROR(G45/$C$3,0)</f>
        <v>0</v>
      </c>
      <c r="I45" s="204">
        <f>D45*$J$40-E45</f>
        <v>0</v>
      </c>
      <c r="J45" s="204">
        <f ca="1">IFERROR(I45/$C$3,0)</f>
        <v>0</v>
      </c>
      <c r="K45" s="185">
        <f>D45*$L$40-E45</f>
        <v>0</v>
      </c>
      <c r="L45" s="185">
        <f ca="1">IFERROR(K45/$C$3,0)</f>
        <v>0</v>
      </c>
      <c r="S45" s="173">
        <v>0.95</v>
      </c>
    </row>
    <row r="46" spans="2:19" ht="15" customHeight="1" x14ac:dyDescent="0.25">
      <c r="B46" s="261" t="s">
        <v>145</v>
      </c>
      <c r="C46" s="262"/>
      <c r="D46" s="47">
        <f>SUM(D42:D45)</f>
        <v>0</v>
      </c>
      <c r="E46" s="47">
        <f>SUM(E42:E45)</f>
        <v>0</v>
      </c>
      <c r="F46" s="177">
        <f>IFERROR(E46/D46,0)</f>
        <v>0</v>
      </c>
      <c r="G46" s="181">
        <f>SUM(G42:G45)</f>
        <v>0</v>
      </c>
      <c r="H46" s="181">
        <f ca="1">IFERROR(G46/$C$3,0)</f>
        <v>0</v>
      </c>
      <c r="I46" s="186">
        <f>SUM(I42:I45)</f>
        <v>0</v>
      </c>
      <c r="J46" s="186">
        <f ca="1">IFERROR(I46/$C$3,0)</f>
        <v>0</v>
      </c>
      <c r="K46" s="186">
        <f>SUM(K42:K45)</f>
        <v>0</v>
      </c>
      <c r="L46" s="186">
        <f ca="1">IFERROR(K46/$C$3,0)</f>
        <v>0</v>
      </c>
      <c r="S46" s="173">
        <v>1</v>
      </c>
    </row>
    <row r="47" spans="2:19" ht="15" customHeight="1" x14ac:dyDescent="0.25">
      <c r="G47" s="111"/>
      <c r="H47" s="111"/>
      <c r="I47" s="111"/>
      <c r="S47" s="173"/>
    </row>
    <row r="48" spans="2:19" ht="18.95" customHeight="1" x14ac:dyDescent="0.25">
      <c r="B48" s="267" t="s">
        <v>146</v>
      </c>
      <c r="C48" s="268"/>
      <c r="D48" s="268"/>
      <c r="E48" s="268"/>
      <c r="F48" s="268"/>
      <c r="G48" s="268"/>
      <c r="H48" s="268"/>
      <c r="I48" s="268"/>
      <c r="J48" s="268"/>
      <c r="K48" s="268"/>
      <c r="L48" s="291"/>
      <c r="M48" s="274" t="s">
        <v>185</v>
      </c>
      <c r="N48" s="275"/>
      <c r="O48" s="275"/>
      <c r="P48" s="275"/>
      <c r="Q48" s="275"/>
      <c r="R48" s="276"/>
    </row>
    <row r="49" spans="2:21" ht="17.100000000000001" customHeight="1" x14ac:dyDescent="0.25">
      <c r="B49" s="292" t="s">
        <v>41</v>
      </c>
      <c r="C49" s="292" t="s">
        <v>42</v>
      </c>
      <c r="D49" s="258" t="s">
        <v>137</v>
      </c>
      <c r="E49" s="259"/>
      <c r="F49" s="259"/>
      <c r="G49" s="260"/>
      <c r="H49" s="293" t="s">
        <v>138</v>
      </c>
      <c r="I49" s="294"/>
      <c r="J49" s="294"/>
      <c r="K49" s="295"/>
      <c r="L49" s="296" t="s">
        <v>139</v>
      </c>
      <c r="M49" s="277" t="str">
        <f>"SELISIH"&amp;CHAR(10)&amp;TEXT($H$40,"0%")</f>
        <v>SELISIH
90%</v>
      </c>
      <c r="N49" s="277" t="str">
        <f>"PER HARI"&amp;CHAR(10)&amp;TEXT($H$40,"0%")</f>
        <v>PER HARI
90%</v>
      </c>
      <c r="O49" s="279" t="str">
        <f>"SELISIH"&amp;CHAR(10)&amp;TEXT($J$40,"0%")</f>
        <v>SELISIH
95%</v>
      </c>
      <c r="P49" s="279" t="str">
        <f>"PER HARI"&amp;CHAR(10)&amp;TEXT($J$40,"0%")</f>
        <v>PER HARI
95%</v>
      </c>
      <c r="Q49" s="281" t="str">
        <f>"SELISIH"&amp;CHAR(10)&amp;TEXT($L$40,"0%")</f>
        <v>SELISIH
100%</v>
      </c>
      <c r="R49" s="281" t="str">
        <f>"PER HARI"&amp;CHAR(10)&amp;TEXT($L$40,"0%")</f>
        <v>PER HARI
100%</v>
      </c>
    </row>
    <row r="50" spans="2:21" ht="17.100000000000001" customHeight="1" x14ac:dyDescent="0.25">
      <c r="B50" s="273"/>
      <c r="C50" s="273"/>
      <c r="D50" s="70" t="s">
        <v>149</v>
      </c>
      <c r="E50" s="70" t="s">
        <v>150</v>
      </c>
      <c r="F50" s="70" t="s">
        <v>209</v>
      </c>
      <c r="G50" s="70" t="s">
        <v>130</v>
      </c>
      <c r="H50" s="113" t="s">
        <v>149</v>
      </c>
      <c r="I50" s="113" t="s">
        <v>150</v>
      </c>
      <c r="J50" s="113" t="s">
        <v>209</v>
      </c>
      <c r="K50" s="113" t="s">
        <v>130</v>
      </c>
      <c r="L50" s="297"/>
      <c r="M50" s="278"/>
      <c r="N50" s="278"/>
      <c r="O50" s="280"/>
      <c r="P50" s="280"/>
      <c r="Q50" s="282"/>
      <c r="R50" s="282"/>
      <c r="T50" s="178" t="s">
        <v>215</v>
      </c>
      <c r="U50" s="178" t="s">
        <v>216</v>
      </c>
    </row>
    <row r="51" spans="2:21" ht="15.95" customHeight="1" x14ac:dyDescent="0.25">
      <c r="B51" s="50" t="s">
        <v>67</v>
      </c>
      <c r="C51" s="55" t="s">
        <v>68</v>
      </c>
      <c r="D51" s="118">
        <f>TARGETS!AH5</f>
        <v>0</v>
      </c>
      <c r="E51" s="118">
        <f>TARGETS!AI5</f>
        <v>0</v>
      </c>
      <c r="F51" s="118">
        <f>TARGETS!AJ5</f>
        <v>0</v>
      </c>
      <c r="G51" s="118">
        <f t="shared" ref="G51:G64" si="1">SUM(D51:F51)</f>
        <v>0</v>
      </c>
      <c r="H51" s="114">
        <f>SUMIF($B$10:$B$26,$T51,C$10:C$26)+SUMIF($B$10:$B$26,$U51,C$10:C$26)</f>
        <v>0</v>
      </c>
      <c r="I51" s="114">
        <f t="shared" ref="I51:I64" si="2">SUMIF($B$10:$B$26,$T51,D$10:D$26)+SUMIF($B$10:$B$26,$U51,D$10:D$26)</f>
        <v>0</v>
      </c>
      <c r="J51" s="114">
        <f t="shared" ref="J51:J64" si="3">SUMIF($B$10:$B$26,$T51,E$10:E$26)+SUMIF($B$10:$B$26,$U51,E$10:E$26)</f>
        <v>0</v>
      </c>
      <c r="K51" s="114">
        <f t="shared" ref="K51:K64" si="4">SUM(H51:J51)</f>
        <v>0</v>
      </c>
      <c r="L51" s="187">
        <f t="shared" ref="L51:L65" si="5">IFERROR(K51/G51,0)</f>
        <v>0</v>
      </c>
      <c r="M51" s="184">
        <f t="shared" ref="M51:M64" si="6">G51*$H$40-K51</f>
        <v>0</v>
      </c>
      <c r="N51" s="184">
        <f t="shared" ref="N51:N65" ca="1" si="7">IFERROR(M51/$C$3,0)</f>
        <v>0</v>
      </c>
      <c r="O51" s="180">
        <f t="shared" ref="O51:O64" si="8">G51*$J$40-K51</f>
        <v>0</v>
      </c>
      <c r="P51" s="180">
        <f t="shared" ref="P51:P65" ca="1" si="9">IFERROR(O51/$C$3,0)</f>
        <v>0</v>
      </c>
      <c r="Q51" s="185">
        <f t="shared" ref="Q51:Q64" si="10">G51*$L$40-K51</f>
        <v>0</v>
      </c>
      <c r="R51" s="185">
        <f t="shared" ref="R51:R65" ca="1" si="11">IFERROR(Q51/$C$3,0)</f>
        <v>0</v>
      </c>
      <c r="T51" t="s">
        <v>124</v>
      </c>
      <c r="U51" t="s">
        <v>217</v>
      </c>
    </row>
    <row r="52" spans="2:21" ht="15.95" customHeight="1" x14ac:dyDescent="0.25">
      <c r="B52" s="53" t="s">
        <v>69</v>
      </c>
      <c r="C52" s="56" t="s">
        <v>70</v>
      </c>
      <c r="D52" s="119">
        <f>TARGETS!AH6</f>
        <v>0</v>
      </c>
      <c r="E52" s="119">
        <f>TARGETS!AI6</f>
        <v>0</v>
      </c>
      <c r="F52" s="119">
        <f>TARGETS!AJ6</f>
        <v>0</v>
      </c>
      <c r="G52" s="119">
        <f t="shared" si="1"/>
        <v>0</v>
      </c>
      <c r="H52" s="114">
        <f t="shared" ref="H52:H64" si="12">SUMIF($B$10:$B$26,$T52,C$10:C$26)+SUMIF($B$10:$B$26,$U52,C$10:C$26)</f>
        <v>0</v>
      </c>
      <c r="I52" s="114">
        <f t="shared" si="2"/>
        <v>0</v>
      </c>
      <c r="J52" s="114">
        <f t="shared" si="3"/>
        <v>0</v>
      </c>
      <c r="K52" s="114">
        <f t="shared" si="4"/>
        <v>0</v>
      </c>
      <c r="L52" s="187">
        <f t="shared" si="5"/>
        <v>0</v>
      </c>
      <c r="M52" s="184">
        <f t="shared" si="6"/>
        <v>0</v>
      </c>
      <c r="N52" s="184">
        <f t="shared" ca="1" si="7"/>
        <v>0</v>
      </c>
      <c r="O52" s="180">
        <f t="shared" si="8"/>
        <v>0</v>
      </c>
      <c r="P52" s="180">
        <f t="shared" ca="1" si="9"/>
        <v>0</v>
      </c>
      <c r="Q52" s="185">
        <f t="shared" si="10"/>
        <v>0</v>
      </c>
      <c r="R52" s="185">
        <f t="shared" ca="1" si="11"/>
        <v>0</v>
      </c>
      <c r="T52" t="s">
        <v>70</v>
      </c>
      <c r="U52" t="s">
        <v>114</v>
      </c>
    </row>
    <row r="53" spans="2:21" ht="15.95" customHeight="1" x14ac:dyDescent="0.25">
      <c r="B53" s="136" t="s">
        <v>171</v>
      </c>
      <c r="C53" s="137" t="s">
        <v>172</v>
      </c>
      <c r="D53" s="138">
        <f>TARGETS!AH7</f>
        <v>0</v>
      </c>
      <c r="E53" s="138">
        <f>TARGETS!AI7</f>
        <v>0</v>
      </c>
      <c r="F53" s="138">
        <f>TARGETS!AJ7</f>
        <v>0</v>
      </c>
      <c r="G53" s="138">
        <f t="shared" si="1"/>
        <v>0</v>
      </c>
      <c r="H53" s="114">
        <f t="shared" si="12"/>
        <v>0</v>
      </c>
      <c r="I53" s="114">
        <f t="shared" si="2"/>
        <v>0</v>
      </c>
      <c r="J53" s="114">
        <f t="shared" si="3"/>
        <v>0</v>
      </c>
      <c r="K53" s="114">
        <f t="shared" si="4"/>
        <v>0</v>
      </c>
      <c r="L53" s="187">
        <f t="shared" si="5"/>
        <v>0</v>
      </c>
      <c r="M53" s="184">
        <f t="shared" si="6"/>
        <v>0</v>
      </c>
      <c r="N53" s="184">
        <f t="shared" ca="1" si="7"/>
        <v>0</v>
      </c>
      <c r="O53" s="180">
        <f t="shared" si="8"/>
        <v>0</v>
      </c>
      <c r="P53" s="180">
        <f t="shared" ca="1" si="9"/>
        <v>0</v>
      </c>
      <c r="Q53" s="185">
        <f t="shared" si="10"/>
        <v>0</v>
      </c>
      <c r="R53" s="185">
        <f t="shared" ca="1" si="11"/>
        <v>0</v>
      </c>
      <c r="T53" t="s">
        <v>168</v>
      </c>
      <c r="U53" t="s">
        <v>217</v>
      </c>
    </row>
    <row r="54" spans="2:21" ht="15.95" customHeight="1" x14ac:dyDescent="0.25">
      <c r="B54" s="53" t="s">
        <v>71</v>
      </c>
      <c r="C54" s="56" t="s">
        <v>72</v>
      </c>
      <c r="D54" s="119">
        <f>TARGETS!AH8</f>
        <v>0</v>
      </c>
      <c r="E54" s="119">
        <f>TARGETS!AI8</f>
        <v>0</v>
      </c>
      <c r="F54" s="119">
        <f>TARGETS!AJ8</f>
        <v>0</v>
      </c>
      <c r="G54" s="119">
        <f t="shared" si="1"/>
        <v>0</v>
      </c>
      <c r="H54" s="114">
        <f t="shared" si="12"/>
        <v>0</v>
      </c>
      <c r="I54" s="114">
        <f t="shared" si="2"/>
        <v>0</v>
      </c>
      <c r="J54" s="114">
        <f t="shared" si="3"/>
        <v>0</v>
      </c>
      <c r="K54" s="114">
        <f t="shared" si="4"/>
        <v>0</v>
      </c>
      <c r="L54" s="187">
        <f t="shared" si="5"/>
        <v>0</v>
      </c>
      <c r="M54" s="184">
        <f t="shared" si="6"/>
        <v>0</v>
      </c>
      <c r="N54" s="184">
        <f t="shared" ca="1" si="7"/>
        <v>0</v>
      </c>
      <c r="O54" s="180">
        <f t="shared" si="8"/>
        <v>0</v>
      </c>
      <c r="P54" s="180">
        <f t="shared" ca="1" si="9"/>
        <v>0</v>
      </c>
      <c r="Q54" s="185">
        <f t="shared" si="10"/>
        <v>0</v>
      </c>
      <c r="R54" s="185">
        <f t="shared" ca="1" si="11"/>
        <v>0</v>
      </c>
      <c r="T54" t="s">
        <v>115</v>
      </c>
      <c r="U54" t="s">
        <v>217</v>
      </c>
    </row>
    <row r="55" spans="2:21" ht="15.95" customHeight="1" x14ac:dyDescent="0.25">
      <c r="B55" s="50" t="s">
        <v>73</v>
      </c>
      <c r="C55" s="55" t="s">
        <v>221</v>
      </c>
      <c r="D55" s="118">
        <f>TARGETS!AH9</f>
        <v>0</v>
      </c>
      <c r="E55" s="118">
        <f>TARGETS!AI9</f>
        <v>0</v>
      </c>
      <c r="F55" s="118">
        <f>TARGETS!AJ9</f>
        <v>0</v>
      </c>
      <c r="G55" s="118">
        <f t="shared" si="1"/>
        <v>0</v>
      </c>
      <c r="H55" s="114">
        <f t="shared" si="12"/>
        <v>0</v>
      </c>
      <c r="I55" s="114">
        <f t="shared" si="2"/>
        <v>0</v>
      </c>
      <c r="J55" s="114">
        <f t="shared" si="3"/>
        <v>0</v>
      </c>
      <c r="K55" s="114">
        <f t="shared" si="4"/>
        <v>0</v>
      </c>
      <c r="L55" s="187">
        <f t="shared" si="5"/>
        <v>0</v>
      </c>
      <c r="M55" s="184">
        <f t="shared" si="6"/>
        <v>0</v>
      </c>
      <c r="N55" s="184">
        <f t="shared" ca="1" si="7"/>
        <v>0</v>
      </c>
      <c r="O55" s="180">
        <f t="shared" si="8"/>
        <v>0</v>
      </c>
      <c r="P55" s="180">
        <f t="shared" ca="1" si="9"/>
        <v>0</v>
      </c>
      <c r="Q55" s="185">
        <f t="shared" si="10"/>
        <v>0</v>
      </c>
      <c r="R55" s="185">
        <f t="shared" ca="1" si="11"/>
        <v>0</v>
      </c>
      <c r="T55" t="s">
        <v>181</v>
      </c>
      <c r="U55" t="s">
        <v>217</v>
      </c>
    </row>
    <row r="56" spans="2:21" ht="15.95" customHeight="1" x14ac:dyDescent="0.25">
      <c r="B56" s="53" t="s">
        <v>75</v>
      </c>
      <c r="C56" s="56" t="s">
        <v>225</v>
      </c>
      <c r="D56" s="119">
        <f>TARGETS!AH10</f>
        <v>0</v>
      </c>
      <c r="E56" s="119">
        <f>TARGETS!AI10</f>
        <v>0</v>
      </c>
      <c r="F56" s="119">
        <f>TARGETS!AJ10</f>
        <v>0</v>
      </c>
      <c r="G56" s="119">
        <f t="shared" si="1"/>
        <v>0</v>
      </c>
      <c r="H56" s="114">
        <f t="shared" si="12"/>
        <v>0</v>
      </c>
      <c r="I56" s="114">
        <f t="shared" si="2"/>
        <v>0</v>
      </c>
      <c r="J56" s="114">
        <f t="shared" si="3"/>
        <v>0</v>
      </c>
      <c r="K56" s="114">
        <f t="shared" si="4"/>
        <v>0</v>
      </c>
      <c r="L56" s="187">
        <f t="shared" si="5"/>
        <v>0</v>
      </c>
      <c r="M56" s="184">
        <f t="shared" si="6"/>
        <v>0</v>
      </c>
      <c r="N56" s="184">
        <f t="shared" ca="1" si="7"/>
        <v>0</v>
      </c>
      <c r="O56" s="180">
        <f t="shared" si="8"/>
        <v>0</v>
      </c>
      <c r="P56" s="180">
        <f t="shared" ca="1" si="9"/>
        <v>0</v>
      </c>
      <c r="Q56" s="185">
        <f t="shared" si="10"/>
        <v>0</v>
      </c>
      <c r="R56" s="185">
        <f t="shared" ca="1" si="11"/>
        <v>0</v>
      </c>
      <c r="T56" t="s">
        <v>224</v>
      </c>
      <c r="U56" t="s">
        <v>217</v>
      </c>
    </row>
    <row r="57" spans="2:21" ht="15.95" customHeight="1" x14ac:dyDescent="0.25">
      <c r="B57" s="50" t="s">
        <v>76</v>
      </c>
      <c r="C57" s="55" t="s">
        <v>77</v>
      </c>
      <c r="D57" s="118">
        <f>TARGETS!AH11</f>
        <v>0</v>
      </c>
      <c r="E57" s="118">
        <f>TARGETS!AI11</f>
        <v>0</v>
      </c>
      <c r="F57" s="118">
        <f>TARGETS!AJ11</f>
        <v>0</v>
      </c>
      <c r="G57" s="118">
        <f t="shared" si="1"/>
        <v>0</v>
      </c>
      <c r="H57" s="114">
        <f t="shared" si="12"/>
        <v>0</v>
      </c>
      <c r="I57" s="114">
        <f t="shared" si="2"/>
        <v>0</v>
      </c>
      <c r="J57" s="114">
        <f t="shared" si="3"/>
        <v>0</v>
      </c>
      <c r="K57" s="114">
        <f t="shared" si="4"/>
        <v>0</v>
      </c>
      <c r="L57" s="187">
        <f t="shared" si="5"/>
        <v>0</v>
      </c>
      <c r="M57" s="184">
        <f t="shared" si="6"/>
        <v>0</v>
      </c>
      <c r="N57" s="184">
        <f t="shared" ca="1" si="7"/>
        <v>0</v>
      </c>
      <c r="O57" s="180">
        <f t="shared" si="8"/>
        <v>0</v>
      </c>
      <c r="P57" s="180">
        <f t="shared" ca="1" si="9"/>
        <v>0</v>
      </c>
      <c r="Q57" s="185">
        <f t="shared" si="10"/>
        <v>0</v>
      </c>
      <c r="R57" s="185">
        <f t="shared" ca="1" si="11"/>
        <v>0</v>
      </c>
      <c r="T57" t="s">
        <v>120</v>
      </c>
      <c r="U57" t="s">
        <v>217</v>
      </c>
    </row>
    <row r="58" spans="2:21" ht="15.95" customHeight="1" x14ac:dyDescent="0.25">
      <c r="B58" s="53" t="s">
        <v>78</v>
      </c>
      <c r="C58" s="56" t="s">
        <v>79</v>
      </c>
      <c r="D58" s="119">
        <f>TARGETS!AH12</f>
        <v>0</v>
      </c>
      <c r="E58" s="119">
        <f>TARGETS!AI12</f>
        <v>0</v>
      </c>
      <c r="F58" s="119">
        <f>TARGETS!AJ12</f>
        <v>0</v>
      </c>
      <c r="G58" s="119">
        <f t="shared" si="1"/>
        <v>0</v>
      </c>
      <c r="H58" s="114">
        <f t="shared" si="12"/>
        <v>0</v>
      </c>
      <c r="I58" s="114">
        <f t="shared" si="2"/>
        <v>0</v>
      </c>
      <c r="J58" s="114">
        <f t="shared" si="3"/>
        <v>0</v>
      </c>
      <c r="K58" s="114">
        <f t="shared" si="4"/>
        <v>0</v>
      </c>
      <c r="L58" s="187">
        <f t="shared" si="5"/>
        <v>0</v>
      </c>
      <c r="M58" s="184">
        <f t="shared" si="6"/>
        <v>0</v>
      </c>
      <c r="N58" s="184">
        <f t="shared" ca="1" si="7"/>
        <v>0</v>
      </c>
      <c r="O58" s="180">
        <f t="shared" si="8"/>
        <v>0</v>
      </c>
      <c r="P58" s="180">
        <f t="shared" ca="1" si="9"/>
        <v>0</v>
      </c>
      <c r="Q58" s="185">
        <f t="shared" si="10"/>
        <v>0</v>
      </c>
      <c r="R58" s="185">
        <f t="shared" ca="1" si="11"/>
        <v>0</v>
      </c>
      <c r="T58" t="s">
        <v>125</v>
      </c>
      <c r="U58" t="s">
        <v>217</v>
      </c>
    </row>
    <row r="59" spans="2:21" ht="15.95" customHeight="1" x14ac:dyDescent="0.25">
      <c r="B59" s="136" t="s">
        <v>171</v>
      </c>
      <c r="C59" s="137" t="s">
        <v>173</v>
      </c>
      <c r="D59" s="138">
        <f>TARGETS!AH13</f>
        <v>0</v>
      </c>
      <c r="E59" s="138">
        <f>TARGETS!AI13</f>
        <v>0</v>
      </c>
      <c r="F59" s="138">
        <f>TARGETS!AJ13</f>
        <v>0</v>
      </c>
      <c r="G59" s="138">
        <f t="shared" si="1"/>
        <v>0</v>
      </c>
      <c r="H59" s="114">
        <f t="shared" si="12"/>
        <v>0</v>
      </c>
      <c r="I59" s="114">
        <f t="shared" si="2"/>
        <v>0</v>
      </c>
      <c r="J59" s="114">
        <f t="shared" si="3"/>
        <v>0</v>
      </c>
      <c r="K59" s="114">
        <f t="shared" si="4"/>
        <v>0</v>
      </c>
      <c r="L59" s="187">
        <f t="shared" si="5"/>
        <v>0</v>
      </c>
      <c r="M59" s="184">
        <f t="shared" si="6"/>
        <v>0</v>
      </c>
      <c r="N59" s="184">
        <f t="shared" ca="1" si="7"/>
        <v>0</v>
      </c>
      <c r="O59" s="180">
        <f t="shared" si="8"/>
        <v>0</v>
      </c>
      <c r="P59" s="180">
        <f t="shared" ca="1" si="9"/>
        <v>0</v>
      </c>
      <c r="Q59" s="185">
        <f t="shared" si="10"/>
        <v>0</v>
      </c>
      <c r="R59" s="185">
        <f t="shared" ca="1" si="11"/>
        <v>0</v>
      </c>
      <c r="T59" t="s">
        <v>169</v>
      </c>
      <c r="U59" t="s">
        <v>217</v>
      </c>
    </row>
    <row r="60" spans="2:21" ht="15.95" customHeight="1" x14ac:dyDescent="0.25">
      <c r="B60" s="53" t="s">
        <v>80</v>
      </c>
      <c r="C60" s="56" t="s">
        <v>220</v>
      </c>
      <c r="D60" s="119">
        <f>TARGETS!AH14</f>
        <v>0</v>
      </c>
      <c r="E60" s="119">
        <f>TARGETS!AI14</f>
        <v>0</v>
      </c>
      <c r="F60" s="119">
        <f>TARGETS!AJ14</f>
        <v>0</v>
      </c>
      <c r="G60" s="119">
        <f t="shared" si="1"/>
        <v>0</v>
      </c>
      <c r="H60" s="114">
        <f t="shared" si="12"/>
        <v>0</v>
      </c>
      <c r="I60" s="114">
        <f t="shared" si="2"/>
        <v>0</v>
      </c>
      <c r="J60" s="114">
        <f t="shared" si="3"/>
        <v>0</v>
      </c>
      <c r="K60" s="114">
        <f t="shared" si="4"/>
        <v>0</v>
      </c>
      <c r="L60" s="187">
        <f t="shared" si="5"/>
        <v>0</v>
      </c>
      <c r="M60" s="184">
        <f t="shared" si="6"/>
        <v>0</v>
      </c>
      <c r="N60" s="184">
        <f t="shared" ca="1" si="7"/>
        <v>0</v>
      </c>
      <c r="O60" s="180">
        <f t="shared" si="8"/>
        <v>0</v>
      </c>
      <c r="P60" s="180">
        <f t="shared" ca="1" si="9"/>
        <v>0</v>
      </c>
      <c r="Q60" s="185">
        <f t="shared" si="10"/>
        <v>0</v>
      </c>
      <c r="R60" s="185">
        <f t="shared" ca="1" si="11"/>
        <v>0</v>
      </c>
      <c r="T60" t="s">
        <v>219</v>
      </c>
      <c r="U60" t="s">
        <v>217</v>
      </c>
    </row>
    <row r="61" spans="2:21" ht="15.95" customHeight="1" x14ac:dyDescent="0.25">
      <c r="B61" s="50" t="s">
        <v>82</v>
      </c>
      <c r="C61" s="55" t="s">
        <v>83</v>
      </c>
      <c r="D61" s="118">
        <f>TARGETS!AH15</f>
        <v>0</v>
      </c>
      <c r="E61" s="118">
        <f>TARGETS!AI15</f>
        <v>0</v>
      </c>
      <c r="F61" s="118">
        <f>TARGETS!AJ15</f>
        <v>0</v>
      </c>
      <c r="G61" s="118">
        <f t="shared" si="1"/>
        <v>0</v>
      </c>
      <c r="H61" s="114">
        <f t="shared" si="12"/>
        <v>0</v>
      </c>
      <c r="I61" s="114">
        <f t="shared" si="2"/>
        <v>0</v>
      </c>
      <c r="J61" s="114">
        <f t="shared" si="3"/>
        <v>0</v>
      </c>
      <c r="K61" s="114">
        <f t="shared" si="4"/>
        <v>0</v>
      </c>
      <c r="L61" s="187">
        <f t="shared" si="5"/>
        <v>0</v>
      </c>
      <c r="M61" s="184">
        <f t="shared" si="6"/>
        <v>0</v>
      </c>
      <c r="N61" s="184">
        <f t="shared" ca="1" si="7"/>
        <v>0</v>
      </c>
      <c r="O61" s="180">
        <f t="shared" si="8"/>
        <v>0</v>
      </c>
      <c r="P61" s="180">
        <f t="shared" ca="1" si="9"/>
        <v>0</v>
      </c>
      <c r="Q61" s="185">
        <f t="shared" si="10"/>
        <v>0</v>
      </c>
      <c r="R61" s="185">
        <f t="shared" ca="1" si="11"/>
        <v>0</v>
      </c>
      <c r="T61" t="s">
        <v>126</v>
      </c>
      <c r="U61" t="s">
        <v>217</v>
      </c>
    </row>
    <row r="62" spans="2:21" ht="15.95" customHeight="1" x14ac:dyDescent="0.25">
      <c r="B62" s="53" t="s">
        <v>84</v>
      </c>
      <c r="C62" s="56" t="s">
        <v>85</v>
      </c>
      <c r="D62" s="119">
        <f>TARGETS!AH16</f>
        <v>0</v>
      </c>
      <c r="E62" s="119">
        <f>TARGETS!AI16</f>
        <v>0</v>
      </c>
      <c r="F62" s="119">
        <f>TARGETS!AJ16</f>
        <v>0</v>
      </c>
      <c r="G62" s="119">
        <f t="shared" si="1"/>
        <v>0</v>
      </c>
      <c r="H62" s="114">
        <f t="shared" si="12"/>
        <v>0</v>
      </c>
      <c r="I62" s="114">
        <f t="shared" si="2"/>
        <v>0</v>
      </c>
      <c r="J62" s="114">
        <f t="shared" si="3"/>
        <v>0</v>
      </c>
      <c r="K62" s="114">
        <f t="shared" si="4"/>
        <v>0</v>
      </c>
      <c r="L62" s="187">
        <f t="shared" si="5"/>
        <v>0</v>
      </c>
      <c r="M62" s="184">
        <f t="shared" si="6"/>
        <v>0</v>
      </c>
      <c r="N62" s="184">
        <f t="shared" ca="1" si="7"/>
        <v>0</v>
      </c>
      <c r="O62" s="180">
        <f t="shared" si="8"/>
        <v>0</v>
      </c>
      <c r="P62" s="180">
        <f t="shared" ca="1" si="9"/>
        <v>0</v>
      </c>
      <c r="Q62" s="185">
        <f t="shared" si="10"/>
        <v>0</v>
      </c>
      <c r="R62" s="185">
        <f t="shared" ca="1" si="11"/>
        <v>0</v>
      </c>
      <c r="T62" t="s">
        <v>112</v>
      </c>
      <c r="U62" t="s">
        <v>217</v>
      </c>
    </row>
    <row r="63" spans="2:21" ht="15.95" customHeight="1" x14ac:dyDescent="0.25">
      <c r="B63" s="50" t="s">
        <v>86</v>
      </c>
      <c r="C63" s="55" t="s">
        <v>87</v>
      </c>
      <c r="D63" s="118">
        <f>TARGETS!AH17</f>
        <v>0</v>
      </c>
      <c r="E63" s="118">
        <f>TARGETS!AI17</f>
        <v>0</v>
      </c>
      <c r="F63" s="118">
        <f>TARGETS!AJ17</f>
        <v>0</v>
      </c>
      <c r="G63" s="118">
        <f t="shared" si="1"/>
        <v>0</v>
      </c>
      <c r="H63" s="114">
        <f t="shared" si="12"/>
        <v>0</v>
      </c>
      <c r="I63" s="114">
        <f t="shared" si="2"/>
        <v>0</v>
      </c>
      <c r="J63" s="114">
        <f t="shared" si="3"/>
        <v>0</v>
      </c>
      <c r="K63" s="114">
        <f t="shared" si="4"/>
        <v>0</v>
      </c>
      <c r="L63" s="187">
        <f t="shared" si="5"/>
        <v>0</v>
      </c>
      <c r="M63" s="184">
        <f t="shared" si="6"/>
        <v>0</v>
      </c>
      <c r="N63" s="184">
        <f t="shared" ca="1" si="7"/>
        <v>0</v>
      </c>
      <c r="O63" s="180">
        <f t="shared" si="8"/>
        <v>0</v>
      </c>
      <c r="P63" s="180">
        <f t="shared" ca="1" si="9"/>
        <v>0</v>
      </c>
      <c r="Q63" s="185">
        <f t="shared" si="10"/>
        <v>0</v>
      </c>
      <c r="R63" s="185">
        <f t="shared" ca="1" si="11"/>
        <v>0</v>
      </c>
      <c r="T63" t="s">
        <v>127</v>
      </c>
      <c r="U63" t="s">
        <v>217</v>
      </c>
    </row>
    <row r="64" spans="2:21" ht="15.95" customHeight="1" x14ac:dyDescent="0.25">
      <c r="B64" s="53" t="s">
        <v>88</v>
      </c>
      <c r="C64" s="56" t="s">
        <v>89</v>
      </c>
      <c r="D64" s="119">
        <f>TARGETS!AH18</f>
        <v>0</v>
      </c>
      <c r="E64" s="119">
        <f>TARGETS!AI18</f>
        <v>0</v>
      </c>
      <c r="F64" s="119">
        <f>TARGETS!AJ18</f>
        <v>0</v>
      </c>
      <c r="G64" s="119">
        <f t="shared" si="1"/>
        <v>0</v>
      </c>
      <c r="H64" s="114">
        <f t="shared" si="12"/>
        <v>0</v>
      </c>
      <c r="I64" s="114">
        <f t="shared" si="2"/>
        <v>0</v>
      </c>
      <c r="J64" s="114">
        <f t="shared" si="3"/>
        <v>0</v>
      </c>
      <c r="K64" s="114">
        <f t="shared" si="4"/>
        <v>0</v>
      </c>
      <c r="L64" s="187">
        <f t="shared" si="5"/>
        <v>0</v>
      </c>
      <c r="M64" s="184">
        <f t="shared" si="6"/>
        <v>0</v>
      </c>
      <c r="N64" s="184">
        <f t="shared" ca="1" si="7"/>
        <v>0</v>
      </c>
      <c r="O64" s="180">
        <f t="shared" si="8"/>
        <v>0</v>
      </c>
      <c r="P64" s="180">
        <f t="shared" ca="1" si="9"/>
        <v>0</v>
      </c>
      <c r="Q64" s="185">
        <f t="shared" si="10"/>
        <v>0</v>
      </c>
      <c r="R64" s="185">
        <f t="shared" ca="1" si="11"/>
        <v>0</v>
      </c>
      <c r="T64" t="s">
        <v>122</v>
      </c>
      <c r="U64" t="s">
        <v>123</v>
      </c>
    </row>
    <row r="65" spans="2:21" ht="15.95" customHeight="1" x14ac:dyDescent="0.25">
      <c r="B65" s="57" t="s">
        <v>151</v>
      </c>
      <c r="C65" s="58"/>
      <c r="D65" s="134">
        <f t="shared" ref="D65:K65" si="13">SUM(D51:D64)</f>
        <v>0</v>
      </c>
      <c r="E65" s="134">
        <f t="shared" si="13"/>
        <v>0</v>
      </c>
      <c r="F65" s="134">
        <f t="shared" si="13"/>
        <v>0</v>
      </c>
      <c r="G65" s="134">
        <f t="shared" si="13"/>
        <v>0</v>
      </c>
      <c r="H65" s="135">
        <f t="shared" si="13"/>
        <v>0</v>
      </c>
      <c r="I65" s="135">
        <f t="shared" si="13"/>
        <v>0</v>
      </c>
      <c r="J65" s="135">
        <f t="shared" si="13"/>
        <v>0</v>
      </c>
      <c r="K65" s="135">
        <f t="shared" si="13"/>
        <v>0</v>
      </c>
      <c r="L65" s="189">
        <f t="shared" si="5"/>
        <v>0</v>
      </c>
      <c r="M65" s="181">
        <f>SUM(M51:M64)</f>
        <v>0</v>
      </c>
      <c r="N65" s="181">
        <f t="shared" ca="1" si="7"/>
        <v>0</v>
      </c>
      <c r="O65" s="181">
        <f>SUM(O51:O64)</f>
        <v>0</v>
      </c>
      <c r="P65" s="181">
        <f t="shared" ca="1" si="9"/>
        <v>0</v>
      </c>
      <c r="Q65" s="186">
        <f>SUM(Q51:Q64)</f>
        <v>0</v>
      </c>
      <c r="R65" s="186">
        <f t="shared" ca="1" si="11"/>
        <v>0</v>
      </c>
    </row>
    <row r="66" spans="2:21" ht="15" customHeight="1" x14ac:dyDescent="0.25">
      <c r="G66" s="111"/>
      <c r="H66" s="111"/>
      <c r="I66" s="111"/>
    </row>
    <row r="67" spans="2:21" ht="18.95" customHeight="1" x14ac:dyDescent="0.25">
      <c r="B67" s="288" t="s">
        <v>144</v>
      </c>
      <c r="C67" s="289"/>
      <c r="D67" s="289"/>
      <c r="E67" s="289"/>
      <c r="F67" s="298"/>
      <c r="G67" s="274" t="s">
        <v>185</v>
      </c>
      <c r="H67" s="275"/>
      <c r="I67" s="275"/>
      <c r="J67" s="275"/>
      <c r="K67" s="275"/>
      <c r="L67" s="276"/>
    </row>
    <row r="68" spans="2:21" ht="30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"SELISIH"&amp;CHAR(10)&amp;TEXT($H$40,"0%")</f>
        <v>SELISIH
90%</v>
      </c>
      <c r="H68" s="232" t="str">
        <f>"PER HARI"&amp;CHAR(10)&amp;TEXT($H$40,"0%")</f>
        <v>PER HARI
90%</v>
      </c>
      <c r="I68" s="229" t="str">
        <f>"SELISIH"&amp;CHAR(10)&amp;TEXT($J$40,"0%")</f>
        <v>SELISIH
95%</v>
      </c>
      <c r="J68" s="230" t="str">
        <f>"PER HARI"&amp;CHAR(10)&amp;TEXT($J$40,"0%")</f>
        <v>PER HARI
95%</v>
      </c>
      <c r="K68" s="222" t="str">
        <f>"SELISIH"&amp;CHAR(10)&amp;TEXT($L$40,"0%")</f>
        <v>SELISIH
100%</v>
      </c>
      <c r="L68" s="222" t="str">
        <f>"PER HARI"&amp;CHAR(10)&amp;TEXT($L$40,"0%")</f>
        <v>PER HARI
100%</v>
      </c>
    </row>
    <row r="69" spans="2:21" ht="15.95" customHeight="1" x14ac:dyDescent="0.25">
      <c r="B69" s="50" t="s">
        <v>92</v>
      </c>
      <c r="C69" s="55" t="s">
        <v>93</v>
      </c>
      <c r="D69" s="116">
        <f>TARGETS!N22</f>
        <v>0</v>
      </c>
      <c r="E69" s="114">
        <f>IFERROR($C$31,0)</f>
        <v>0</v>
      </c>
      <c r="F69" s="187">
        <f t="shared" ref="F69:F74" si="14">IFERROR(E69/D69,0)</f>
        <v>0</v>
      </c>
      <c r="G69" s="184">
        <f>D69*$H$40-E69</f>
        <v>0</v>
      </c>
      <c r="H69" s="184">
        <f t="shared" ref="H69:H74" ca="1" si="15">IFERROR(G69/$C$3,0)</f>
        <v>0</v>
      </c>
      <c r="I69" s="204">
        <f>D69*$J$40-E69</f>
        <v>0</v>
      </c>
      <c r="J69" s="204">
        <f t="shared" ref="J69:J74" ca="1" si="16">IFERROR(I69/$C$3,0)</f>
        <v>0</v>
      </c>
      <c r="K69" s="185">
        <f>D69*$L$40-E69</f>
        <v>0</v>
      </c>
      <c r="L69" s="185">
        <f t="shared" ref="L69:L74" ca="1" si="17">IFERROR(K69/$C$3,0)</f>
        <v>0</v>
      </c>
    </row>
    <row r="70" spans="2:21" ht="15.95" customHeight="1" x14ac:dyDescent="0.25">
      <c r="B70" s="53" t="s">
        <v>94</v>
      </c>
      <c r="C70" s="56" t="s">
        <v>99</v>
      </c>
      <c r="D70" s="117">
        <f>TARGETS!N23</f>
        <v>0</v>
      </c>
      <c r="E70" s="114">
        <f>IFERROR($C$32,0)</f>
        <v>0</v>
      </c>
      <c r="F70" s="187">
        <f t="shared" si="14"/>
        <v>0</v>
      </c>
      <c r="G70" s="184">
        <f>D70*$H$40-E70</f>
        <v>0</v>
      </c>
      <c r="H70" s="184">
        <f t="shared" ca="1" si="15"/>
        <v>0</v>
      </c>
      <c r="I70" s="204">
        <f>D70*$J$40-E70</f>
        <v>0</v>
      </c>
      <c r="J70" s="204">
        <f t="shared" ca="1" si="16"/>
        <v>0</v>
      </c>
      <c r="K70" s="185">
        <f>D70*$L$40-E70</f>
        <v>0</v>
      </c>
      <c r="L70" s="185">
        <f t="shared" ca="1" si="17"/>
        <v>0</v>
      </c>
    </row>
    <row r="71" spans="2:21" ht="15.95" customHeight="1" x14ac:dyDescent="0.25">
      <c r="B71" s="50" t="s">
        <v>96</v>
      </c>
      <c r="C71" s="55" t="s">
        <v>97</v>
      </c>
      <c r="D71" s="116">
        <f>TARGETS!N24</f>
        <v>0</v>
      </c>
      <c r="E71" s="114">
        <f>M21</f>
        <v>0</v>
      </c>
      <c r="F71" s="187">
        <f t="shared" si="14"/>
        <v>0</v>
      </c>
      <c r="G71" s="184">
        <f>D71*$H$40-E71</f>
        <v>0</v>
      </c>
      <c r="H71" s="184">
        <f t="shared" ca="1" si="15"/>
        <v>0</v>
      </c>
      <c r="I71" s="204">
        <f>D71*$J$40-E71</f>
        <v>0</v>
      </c>
      <c r="J71" s="204">
        <f t="shared" ca="1" si="16"/>
        <v>0</v>
      </c>
      <c r="K71" s="185">
        <f>D71*$L$40-E71</f>
        <v>0</v>
      </c>
      <c r="L71" s="185">
        <f t="shared" ca="1" si="17"/>
        <v>0</v>
      </c>
    </row>
    <row r="72" spans="2:21" hidden="1" x14ac:dyDescent="0.25">
      <c r="B72" s="53" t="s">
        <v>98</v>
      </c>
      <c r="C72" s="56" t="s">
        <v>99</v>
      </c>
      <c r="D72" s="117">
        <f>TARGETS!N25</f>
        <v>0</v>
      </c>
      <c r="E72" s="114">
        <f>0</f>
        <v>0</v>
      </c>
      <c r="F72" s="187">
        <f t="shared" si="14"/>
        <v>0</v>
      </c>
      <c r="G72" s="184">
        <f>D72*$H$40-E72</f>
        <v>0</v>
      </c>
      <c r="H72" s="184">
        <f t="shared" ca="1" si="15"/>
        <v>0</v>
      </c>
      <c r="I72" s="204">
        <f>D72*$J$40-E72</f>
        <v>0</v>
      </c>
      <c r="J72" s="204">
        <f t="shared" ca="1" si="16"/>
        <v>0</v>
      </c>
      <c r="K72" s="185">
        <f>D72*$L$40-E72</f>
        <v>0</v>
      </c>
      <c r="L72" s="185">
        <f t="shared" ca="1" si="17"/>
        <v>0</v>
      </c>
    </row>
    <row r="73" spans="2:21" hidden="1" x14ac:dyDescent="0.25">
      <c r="B73" s="50" t="s">
        <v>100</v>
      </c>
      <c r="C73" s="108" t="s">
        <v>101</v>
      </c>
      <c r="D73" s="116">
        <f>TARGETS!N26</f>
        <v>0</v>
      </c>
      <c r="E73" s="114">
        <f>0</f>
        <v>0</v>
      </c>
      <c r="F73" s="187">
        <f t="shared" si="14"/>
        <v>0</v>
      </c>
      <c r="G73" s="184">
        <f>D73*$H$40-E73</f>
        <v>0</v>
      </c>
      <c r="H73" s="184">
        <f t="shared" ca="1" si="15"/>
        <v>0</v>
      </c>
      <c r="I73" s="204">
        <f>D73*$J$40-E73</f>
        <v>0</v>
      </c>
      <c r="J73" s="204">
        <f t="shared" ca="1" si="16"/>
        <v>0</v>
      </c>
      <c r="K73" s="185">
        <f>D73*$L$40-E73</f>
        <v>0</v>
      </c>
      <c r="L73" s="185">
        <f t="shared" ca="1" si="17"/>
        <v>0</v>
      </c>
    </row>
    <row r="74" spans="2:21" ht="15.95" customHeight="1" x14ac:dyDescent="0.25">
      <c r="B74" s="57" t="s">
        <v>151</v>
      </c>
      <c r="C74" s="58"/>
      <c r="D74" s="115">
        <f>SUM(D69:D73)</f>
        <v>0</v>
      </c>
      <c r="E74" s="115">
        <f>SUM(E69:E73)</f>
        <v>0</v>
      </c>
      <c r="F74" s="177">
        <f t="shared" si="14"/>
        <v>0</v>
      </c>
      <c r="G74" s="181">
        <f>SUM(G69:G73)</f>
        <v>0</v>
      </c>
      <c r="H74" s="181">
        <f t="shared" ca="1" si="15"/>
        <v>0</v>
      </c>
      <c r="I74" s="186">
        <f>SUM(I69:I73)</f>
        <v>0</v>
      </c>
      <c r="J74" s="186">
        <f t="shared" ca="1" si="16"/>
        <v>0</v>
      </c>
      <c r="K74" s="186">
        <f>SUM(K69:K73)</f>
        <v>0</v>
      </c>
      <c r="L74" s="186">
        <f t="shared" ca="1" si="17"/>
        <v>0</v>
      </c>
    </row>
    <row r="75" spans="2:21" ht="15" customHeight="1" x14ac:dyDescent="0.25"/>
    <row r="76" spans="2:21" ht="15" customHeight="1" x14ac:dyDescent="0.25"/>
    <row r="77" spans="2:21" ht="20.100000000000001" customHeight="1" x14ac:dyDescent="0.25">
      <c r="B77" s="254" t="s">
        <v>170</v>
      </c>
      <c r="C77" s="255"/>
      <c r="D77" s="256"/>
    </row>
    <row r="78" spans="2:21" ht="17.100000000000001" customHeight="1" x14ac:dyDescent="0.25">
      <c r="B78" s="273" t="s">
        <v>41</v>
      </c>
      <c r="C78" s="273" t="s">
        <v>42</v>
      </c>
      <c r="D78" s="231" t="s">
        <v>138</v>
      </c>
    </row>
    <row r="79" spans="2:21" ht="17.100000000000001" customHeight="1" x14ac:dyDescent="0.25">
      <c r="B79" s="263"/>
      <c r="C79" s="263"/>
      <c r="D79" s="70" t="s">
        <v>167</v>
      </c>
      <c r="T79" s="178" t="s">
        <v>215</v>
      </c>
      <c r="U79" s="178" t="s">
        <v>216</v>
      </c>
    </row>
    <row r="80" spans="2:21" ht="15.95" customHeight="1" x14ac:dyDescent="0.25">
      <c r="B80" s="50" t="s">
        <v>67</v>
      </c>
      <c r="C80" s="55" t="s">
        <v>68</v>
      </c>
      <c r="D80" s="131">
        <f>SUMIF($B$10:$B$26,$T80,$F$10:$F$26)+SUMIF($B$10:$B$26,$U80,$F$10:$F$26)</f>
        <v>0</v>
      </c>
      <c r="T80" t="str">
        <f t="shared" ref="T80:U93" si="18">T51</f>
        <v>Picrom Stalyon</v>
      </c>
      <c r="U80" t="str">
        <f t="shared" si="18"/>
        <v>n/a</v>
      </c>
    </row>
    <row r="81" spans="2:21" ht="15.95" customHeight="1" x14ac:dyDescent="0.25">
      <c r="B81" s="53" t="s">
        <v>69</v>
      </c>
      <c r="C81" s="56" t="s">
        <v>70</v>
      </c>
      <c r="D81" s="132">
        <f t="shared" ref="D81:D93" si="19">SUMIF($B$10:$B$26,$T81,$F$10:$F$26)+SUMIF($B$10:$B$26,$U81,$F$10:$F$26)</f>
        <v>0</v>
      </c>
      <c r="T81" t="str">
        <f t="shared" si="18"/>
        <v>I MADE LUIH</v>
      </c>
      <c r="U81" t="str">
        <f t="shared" si="18"/>
        <v>I Made Luih (Sanur)</v>
      </c>
    </row>
    <row r="82" spans="2:21" ht="15.95" customHeight="1" x14ac:dyDescent="0.25">
      <c r="B82" s="53" t="s">
        <v>171</v>
      </c>
      <c r="C82" s="56" t="s">
        <v>172</v>
      </c>
      <c r="D82" s="132">
        <f t="shared" si="19"/>
        <v>0</v>
      </c>
      <c r="T82" t="str">
        <f t="shared" si="18"/>
        <v>NN Made Luih</v>
      </c>
      <c r="U82" t="str">
        <f t="shared" si="18"/>
        <v>n/a</v>
      </c>
    </row>
    <row r="83" spans="2:21" ht="15.95" customHeight="1" x14ac:dyDescent="0.25">
      <c r="B83" s="50" t="s">
        <v>71</v>
      </c>
      <c r="C83" s="55" t="s">
        <v>72</v>
      </c>
      <c r="D83" s="131">
        <f t="shared" si="19"/>
        <v>0</v>
      </c>
      <c r="T83" t="str">
        <f t="shared" si="18"/>
        <v>Juni</v>
      </c>
      <c r="U83" t="str">
        <f t="shared" si="18"/>
        <v>n/a</v>
      </c>
    </row>
    <row r="84" spans="2:21" ht="15.95" customHeight="1" x14ac:dyDescent="0.25">
      <c r="B84" s="53" t="s">
        <v>73</v>
      </c>
      <c r="C84" s="56" t="s">
        <v>221</v>
      </c>
      <c r="D84" s="132">
        <f t="shared" si="19"/>
        <v>0</v>
      </c>
      <c r="T84" t="str">
        <f t="shared" si="18"/>
        <v>FIB</v>
      </c>
      <c r="U84" t="str">
        <f t="shared" si="18"/>
        <v>n/a</v>
      </c>
    </row>
    <row r="85" spans="2:21" ht="15.95" customHeight="1" x14ac:dyDescent="0.25">
      <c r="B85" s="50" t="s">
        <v>75</v>
      </c>
      <c r="C85" s="55" t="s">
        <v>225</v>
      </c>
      <c r="D85" s="131">
        <f t="shared" si="19"/>
        <v>0</v>
      </c>
      <c r="T85" t="str">
        <f t="shared" si="18"/>
        <v>Ronald</v>
      </c>
      <c r="U85" t="str">
        <f t="shared" si="18"/>
        <v>n/a</v>
      </c>
    </row>
    <row r="86" spans="2:21" ht="15.95" customHeight="1" x14ac:dyDescent="0.25">
      <c r="B86" s="53" t="s">
        <v>76</v>
      </c>
      <c r="C86" s="56" t="s">
        <v>77</v>
      </c>
      <c r="D86" s="132">
        <f t="shared" si="19"/>
        <v>0</v>
      </c>
      <c r="T86" t="str">
        <f t="shared" si="18"/>
        <v>Monica</v>
      </c>
      <c r="U86" t="str">
        <f t="shared" si="18"/>
        <v>n/a</v>
      </c>
    </row>
    <row r="87" spans="2:21" ht="15.95" customHeight="1" x14ac:dyDescent="0.25">
      <c r="B87" s="50" t="s">
        <v>78</v>
      </c>
      <c r="C87" s="55" t="s">
        <v>79</v>
      </c>
      <c r="D87" s="131">
        <f t="shared" si="19"/>
        <v>0</v>
      </c>
      <c r="T87" t="str">
        <f t="shared" si="18"/>
        <v>Sujana</v>
      </c>
      <c r="U87" t="str">
        <f t="shared" si="18"/>
        <v>n/a</v>
      </c>
    </row>
    <row r="88" spans="2:21" ht="15.95" customHeight="1" x14ac:dyDescent="0.25">
      <c r="B88" s="53" t="s">
        <v>171</v>
      </c>
      <c r="C88" s="56" t="s">
        <v>173</v>
      </c>
      <c r="D88" s="132">
        <f t="shared" si="19"/>
        <v>0</v>
      </c>
      <c r="T88" t="str">
        <f t="shared" si="18"/>
        <v>NN Sujana</v>
      </c>
      <c r="U88" t="str">
        <f t="shared" si="18"/>
        <v>n/a</v>
      </c>
    </row>
    <row r="89" spans="2:21" ht="15.95" customHeight="1" x14ac:dyDescent="0.25">
      <c r="B89" s="53" t="s">
        <v>80</v>
      </c>
      <c r="C89" s="56" t="s">
        <v>81</v>
      </c>
      <c r="D89" s="132">
        <f t="shared" si="19"/>
        <v>0</v>
      </c>
      <c r="T89" t="str">
        <f t="shared" si="18"/>
        <v>Wahyu</v>
      </c>
      <c r="U89" t="str">
        <f t="shared" si="18"/>
        <v>n/a</v>
      </c>
    </row>
    <row r="90" spans="2:21" ht="15.95" customHeight="1" x14ac:dyDescent="0.25">
      <c r="B90" s="50" t="s">
        <v>82</v>
      </c>
      <c r="C90" s="55" t="s">
        <v>83</v>
      </c>
      <c r="D90" s="131">
        <f t="shared" si="19"/>
        <v>0</v>
      </c>
      <c r="T90" t="str">
        <f t="shared" si="18"/>
        <v>Taufik</v>
      </c>
      <c r="U90" t="str">
        <f t="shared" si="18"/>
        <v>n/a</v>
      </c>
    </row>
    <row r="91" spans="2:21" ht="15.95" customHeight="1" x14ac:dyDescent="0.25">
      <c r="B91" s="53" t="s">
        <v>84</v>
      </c>
      <c r="C91" s="56" t="s">
        <v>85</v>
      </c>
      <c r="D91" s="132">
        <f t="shared" si="19"/>
        <v>0</v>
      </c>
      <c r="T91" t="str">
        <f t="shared" si="18"/>
        <v>Dewi Kristiani</v>
      </c>
      <c r="U91" t="str">
        <f t="shared" si="18"/>
        <v>n/a</v>
      </c>
    </row>
    <row r="92" spans="2:21" ht="15.95" customHeight="1" x14ac:dyDescent="0.25">
      <c r="B92" s="50" t="s">
        <v>86</v>
      </c>
      <c r="C92" s="55" t="s">
        <v>87</v>
      </c>
      <c r="D92" s="131">
        <f t="shared" si="19"/>
        <v>0</v>
      </c>
      <c r="T92" t="str">
        <f t="shared" si="18"/>
        <v>Wira</v>
      </c>
      <c r="U92" t="str">
        <f t="shared" si="18"/>
        <v>n/a</v>
      </c>
    </row>
    <row r="93" spans="2:21" ht="15.95" customHeight="1" x14ac:dyDescent="0.25">
      <c r="B93" s="53" t="s">
        <v>88</v>
      </c>
      <c r="C93" s="56" t="s">
        <v>89</v>
      </c>
      <c r="D93" s="132">
        <f t="shared" si="19"/>
        <v>0</v>
      </c>
      <c r="T93" t="str">
        <f t="shared" si="18"/>
        <v>Ni Ketut Sriasih (GT)</v>
      </c>
      <c r="U93" t="str">
        <f t="shared" si="18"/>
        <v>Ni Ketut Sriasih (MT)</v>
      </c>
    </row>
    <row r="94" spans="2:21" ht="15.95" customHeight="1" x14ac:dyDescent="0.25">
      <c r="B94" s="53" t="s">
        <v>229</v>
      </c>
      <c r="C94" s="56" t="s">
        <v>227</v>
      </c>
      <c r="D94" s="132">
        <f>SUMIF($B$10:$B$27,$T94,$F$10:$F$27)+SUMIF($B$10:$B$27,$U94,$F$10:$F$27)</f>
        <v>0</v>
      </c>
      <c r="T94" t="s">
        <v>227</v>
      </c>
      <c r="U94" t="s">
        <v>217</v>
      </c>
    </row>
    <row r="95" spans="2:21" ht="15" customHeight="1" x14ac:dyDescent="0.25">
      <c r="B95" s="57" t="s">
        <v>151</v>
      </c>
      <c r="C95" s="58"/>
      <c r="D95" s="120">
        <f>SUM(D80:D94)</f>
        <v>0</v>
      </c>
    </row>
  </sheetData>
  <mergeCells count="20">
    <mergeCell ref="G67:L67"/>
    <mergeCell ref="B48:L48"/>
    <mergeCell ref="M48:R48"/>
    <mergeCell ref="B49:B50"/>
    <mergeCell ref="C49:C50"/>
    <mergeCell ref="D49:G49"/>
    <mergeCell ref="H49:K49"/>
    <mergeCell ref="Q49:Q50"/>
    <mergeCell ref="R49:R50"/>
    <mergeCell ref="N49:N50"/>
    <mergeCell ref="L49:L50"/>
    <mergeCell ref="M49:M50"/>
    <mergeCell ref="O49:O50"/>
    <mergeCell ref="P49:P50"/>
    <mergeCell ref="B40:D40"/>
    <mergeCell ref="B46:C46"/>
    <mergeCell ref="B78:B79"/>
    <mergeCell ref="C78:C79"/>
    <mergeCell ref="B67:F67"/>
    <mergeCell ref="B77:D77"/>
  </mergeCells>
  <conditionalFormatting sqref="L51:L64">
    <cfRule type="expression" dxfId="5" priority="1">
      <formula>L51&gt;=$F$41-0.05</formula>
    </cfRule>
    <cfRule type="expression" dxfId="4" priority="2">
      <formula>AND(L51&gt;=$F$41-0.2,L51&lt;$F$41-0.05)</formula>
    </cfRule>
    <cfRule type="expression" dxfId="3" priority="3">
      <formula>L51&lt;$F$41-0.2</formula>
    </cfRule>
  </conditionalFormatting>
  <dataValidations count="1">
    <dataValidation type="list" allowBlank="1" showInputMessage="1" showErrorMessage="1" sqref="H40 J40">
      <formula1>$S$40:$S$46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showGridLines="0" zoomScaleNormal="100" workbookViewId="0">
      <selection activeCell="H83" sqref="H83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6.28515625" customWidth="1"/>
    <col min="4" max="18" width="16.42578125" customWidth="1"/>
  </cols>
  <sheetData>
    <row r="1" spans="2:15" ht="18.95" customHeight="1" x14ac:dyDescent="0.25">
      <c r="B1" s="83" t="s">
        <v>175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191</v>
      </c>
      <c r="H2" s="111"/>
      <c r="I2" s="111"/>
      <c r="J2" s="217">
        <f ca="1">E3</f>
        <v>31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IF($J$5&lt;&gt;"",$J$5,MAX(0,NETWORKDAYS.INTL(MAX(TODAY(),DATE(YEAR(TODAY()),12,1)),EOMONTH(DATE(YEAR(TODAY()),12,1),0),11)-MAX(0,$J$3-$J$4)))</f>
        <v>27</v>
      </c>
      <c r="D3" s="76" t="s">
        <v>104</v>
      </c>
      <c r="E3" s="77">
        <f ca="1">DAY(EOMONTH(DATE(YEAR(TODAY()),12,1),0))</f>
        <v>31</v>
      </c>
      <c r="G3" s="221" t="s">
        <v>192</v>
      </c>
      <c r="H3" s="111"/>
      <c r="I3" s="111"/>
      <c r="J3" s="218">
        <v>0</v>
      </c>
    </row>
    <row r="4" spans="2:15" ht="15" customHeight="1" x14ac:dyDescent="0.25">
      <c r="G4" s="221" t="s">
        <v>193</v>
      </c>
      <c r="H4" s="111"/>
      <c r="I4" s="111"/>
      <c r="J4" s="218">
        <v>0</v>
      </c>
    </row>
    <row r="5" spans="2:15" ht="15" customHeight="1" x14ac:dyDescent="0.25">
      <c r="G5" s="221" t="s">
        <v>194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208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207</v>
      </c>
      <c r="F8" s="80" t="s">
        <v>167</v>
      </c>
      <c r="G8" s="80" t="s">
        <v>111</v>
      </c>
      <c r="H8" s="111"/>
      <c r="I8" s="111"/>
      <c r="J8" s="111"/>
      <c r="M8" s="11"/>
      <c r="N8" s="11"/>
      <c r="O8" s="171"/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/>
      <c r="N9" s="11"/>
      <c r="O9" s="171"/>
    </row>
    <row r="10" spans="2:15" ht="15" customHeight="1" x14ac:dyDescent="0.25">
      <c r="B10" s="72" t="s">
        <v>112</v>
      </c>
      <c r="C10" s="15"/>
      <c r="D10" s="15"/>
      <c r="E10" s="15"/>
      <c r="F10" s="15"/>
      <c r="G10" s="15">
        <f t="shared" ref="G10:G26" si="0">SUM(C10:F10)</f>
        <v>0</v>
      </c>
      <c r="H10" s="111"/>
      <c r="I10" s="111"/>
      <c r="J10" s="111"/>
      <c r="M10" s="11"/>
      <c r="N10" s="11"/>
      <c r="O10" s="171"/>
    </row>
    <row r="11" spans="2:15" ht="15" customHeight="1" x14ac:dyDescent="0.25">
      <c r="B11" s="72" t="s">
        <v>219</v>
      </c>
      <c r="C11" s="15"/>
      <c r="D11" s="15"/>
      <c r="E11" s="15"/>
      <c r="F11" s="15"/>
      <c r="G11" s="15">
        <f t="shared" si="0"/>
        <v>0</v>
      </c>
      <c r="H11" s="111"/>
      <c r="I11" s="111"/>
      <c r="J11" s="111"/>
      <c r="M11" s="11"/>
      <c r="N11" s="11"/>
      <c r="O11" s="171"/>
    </row>
    <row r="12" spans="2:15" ht="15" customHeight="1" x14ac:dyDescent="0.25">
      <c r="B12" s="72" t="s">
        <v>181</v>
      </c>
      <c r="C12" s="15"/>
      <c r="D12" s="15"/>
      <c r="E12" s="15"/>
      <c r="F12" s="15"/>
      <c r="G12" s="15">
        <f t="shared" si="0"/>
        <v>0</v>
      </c>
      <c r="H12" s="111"/>
      <c r="I12" s="111"/>
      <c r="J12" s="111"/>
      <c r="M12" s="11"/>
      <c r="N12" s="11"/>
      <c r="O12" s="171"/>
    </row>
    <row r="13" spans="2:15" ht="15" customHeight="1" x14ac:dyDescent="0.25">
      <c r="B13" s="72" t="s">
        <v>70</v>
      </c>
      <c r="C13" s="15"/>
      <c r="D13" s="15"/>
      <c r="E13" s="15"/>
      <c r="F13" s="15"/>
      <c r="G13" s="15">
        <f t="shared" si="0"/>
        <v>0</v>
      </c>
      <c r="H13" s="111"/>
      <c r="I13" s="111"/>
      <c r="J13" s="111"/>
      <c r="M13" s="11"/>
      <c r="N13" s="11"/>
      <c r="O13" s="171"/>
    </row>
    <row r="14" spans="2:15" ht="15" customHeight="1" x14ac:dyDescent="0.25">
      <c r="B14" s="72" t="s">
        <v>114</v>
      </c>
      <c r="C14" s="15"/>
      <c r="D14" s="15"/>
      <c r="E14" s="15"/>
      <c r="F14" s="15"/>
      <c r="G14" s="15">
        <f t="shared" si="0"/>
        <v>0</v>
      </c>
      <c r="H14" s="111"/>
      <c r="I14" s="111"/>
      <c r="J14" s="111"/>
      <c r="M14" s="11"/>
      <c r="N14" s="11"/>
      <c r="O14" s="171"/>
    </row>
    <row r="15" spans="2:15" ht="15" customHeight="1" x14ac:dyDescent="0.25">
      <c r="B15" s="81" t="s">
        <v>115</v>
      </c>
      <c r="C15" s="15"/>
      <c r="D15" s="15"/>
      <c r="E15" s="15"/>
      <c r="F15" s="15"/>
      <c r="G15" s="15">
        <f t="shared" si="0"/>
        <v>0</v>
      </c>
      <c r="H15" s="111"/>
      <c r="I15" s="111"/>
      <c r="J15" s="111"/>
      <c r="M15" s="11"/>
      <c r="N15" s="11"/>
      <c r="O15" s="171"/>
    </row>
    <row r="16" spans="2:15" ht="15" customHeight="1" x14ac:dyDescent="0.25">
      <c r="B16" s="72" t="s">
        <v>118</v>
      </c>
      <c r="C16" s="15"/>
      <c r="D16" s="15"/>
      <c r="E16" s="15"/>
      <c r="F16" s="15"/>
      <c r="G16" s="15">
        <f t="shared" si="0"/>
        <v>0</v>
      </c>
      <c r="H16" s="111"/>
      <c r="I16" s="111"/>
      <c r="J16" s="111"/>
      <c r="M16" s="11"/>
      <c r="N16" s="11"/>
      <c r="O16" s="171"/>
    </row>
    <row r="17" spans="2:15" ht="15" customHeight="1" x14ac:dyDescent="0.25">
      <c r="B17" s="72" t="s">
        <v>120</v>
      </c>
      <c r="C17" s="15"/>
      <c r="D17" s="15"/>
      <c r="E17" s="15"/>
      <c r="F17" s="15"/>
      <c r="G17" s="15">
        <f t="shared" si="0"/>
        <v>0</v>
      </c>
      <c r="H17" s="111"/>
      <c r="I17" s="111"/>
      <c r="J17" s="111"/>
      <c r="M17" s="11"/>
      <c r="N17" s="11"/>
      <c r="O17" s="171"/>
    </row>
    <row r="18" spans="2:15" ht="15" customHeight="1" x14ac:dyDescent="0.25">
      <c r="B18" s="72" t="s">
        <v>122</v>
      </c>
      <c r="C18" s="15"/>
      <c r="D18" s="15"/>
      <c r="E18" s="15"/>
      <c r="F18" s="15"/>
      <c r="G18" s="15">
        <f t="shared" si="0"/>
        <v>0</v>
      </c>
      <c r="H18" s="111"/>
      <c r="I18" s="111"/>
      <c r="J18" s="111"/>
      <c r="M18" s="11"/>
      <c r="N18" s="11"/>
      <c r="O18" s="171"/>
    </row>
    <row r="19" spans="2:15" ht="15" customHeight="1" x14ac:dyDescent="0.25">
      <c r="B19" s="72" t="s">
        <v>123</v>
      </c>
      <c r="C19" s="15"/>
      <c r="D19" s="15"/>
      <c r="E19" s="15"/>
      <c r="F19" s="15"/>
      <c r="G19" s="15">
        <f t="shared" si="0"/>
        <v>0</v>
      </c>
      <c r="H19" s="111"/>
      <c r="I19" s="111"/>
      <c r="J19" s="111"/>
      <c r="M19" s="11"/>
      <c r="N19" s="11"/>
      <c r="O19" s="171"/>
    </row>
    <row r="20" spans="2:15" ht="15" customHeight="1" x14ac:dyDescent="0.25">
      <c r="B20" s="72" t="s">
        <v>168</v>
      </c>
      <c r="C20" s="15"/>
      <c r="D20" s="15"/>
      <c r="E20" s="15"/>
      <c r="F20" s="15"/>
      <c r="G20" s="15">
        <f t="shared" si="0"/>
        <v>0</v>
      </c>
      <c r="H20" s="111"/>
      <c r="I20" s="111"/>
      <c r="J20" s="111"/>
      <c r="M20" s="14">
        <f>SUM(C30,C35)+M7</f>
        <v>0</v>
      </c>
      <c r="N20" s="10" t="s">
        <v>222</v>
      </c>
    </row>
    <row r="21" spans="2:15" ht="15" customHeight="1" x14ac:dyDescent="0.25">
      <c r="B21" s="72" t="s">
        <v>169</v>
      </c>
      <c r="C21" s="15"/>
      <c r="D21" s="15"/>
      <c r="E21" s="15"/>
      <c r="F21" s="15"/>
      <c r="G21" s="15">
        <f t="shared" si="0"/>
        <v>0</v>
      </c>
      <c r="H21" s="111"/>
      <c r="I21" s="111"/>
      <c r="J21" s="111"/>
      <c r="M21" s="14">
        <f>SUM(C33,C34)+M20</f>
        <v>0</v>
      </c>
      <c r="N21" s="10" t="s">
        <v>223</v>
      </c>
    </row>
    <row r="22" spans="2:15" ht="15" customHeight="1" x14ac:dyDescent="0.25">
      <c r="B22" s="72" t="s">
        <v>124</v>
      </c>
      <c r="C22" s="15"/>
      <c r="D22" s="15"/>
      <c r="E22" s="15"/>
      <c r="F22" s="15"/>
      <c r="G22" s="15">
        <f t="shared" si="0"/>
        <v>0</v>
      </c>
      <c r="H22" s="111"/>
      <c r="I22" s="111"/>
      <c r="J22" s="111"/>
    </row>
    <row r="23" spans="2:15" ht="15" customHeight="1" x14ac:dyDescent="0.25">
      <c r="B23" s="72" t="s">
        <v>125</v>
      </c>
      <c r="C23" s="15"/>
      <c r="D23" s="15"/>
      <c r="E23" s="15"/>
      <c r="F23" s="15"/>
      <c r="G23" s="15">
        <f t="shared" si="0"/>
        <v>0</v>
      </c>
      <c r="H23" s="111"/>
      <c r="I23" s="111"/>
      <c r="J23" s="111"/>
    </row>
    <row r="24" spans="2:15" ht="15" customHeight="1" x14ac:dyDescent="0.25">
      <c r="B24" s="72" t="s">
        <v>126</v>
      </c>
      <c r="C24" s="15"/>
      <c r="D24" s="15"/>
      <c r="E24" s="15"/>
      <c r="F24" s="15"/>
      <c r="G24" s="15">
        <f t="shared" si="0"/>
        <v>0</v>
      </c>
      <c r="H24" s="111"/>
      <c r="I24" s="111"/>
      <c r="J24" s="111"/>
    </row>
    <row r="25" spans="2:15" ht="15" customHeight="1" x14ac:dyDescent="0.25">
      <c r="B25" s="72" t="s">
        <v>224</v>
      </c>
      <c r="C25" s="15"/>
      <c r="D25" s="15"/>
      <c r="E25" s="15"/>
      <c r="F25" s="15"/>
      <c r="G25" s="15">
        <f t="shared" si="0"/>
        <v>0</v>
      </c>
      <c r="H25" s="111"/>
      <c r="I25" s="111"/>
      <c r="J25" s="111"/>
    </row>
    <row r="26" spans="2:15" ht="15" customHeight="1" x14ac:dyDescent="0.25">
      <c r="B26" s="72" t="s">
        <v>127</v>
      </c>
      <c r="C26" s="15"/>
      <c r="D26" s="15"/>
      <c r="E26" s="15"/>
      <c r="F26" s="15"/>
      <c r="G26" s="15">
        <f t="shared" si="0"/>
        <v>0</v>
      </c>
      <c r="H26" s="111"/>
      <c r="I26" s="111"/>
      <c r="J26" s="111"/>
    </row>
    <row r="27" spans="2:15" ht="15" customHeight="1" x14ac:dyDescent="0.25">
      <c r="G27" s="111"/>
      <c r="H27" s="111"/>
      <c r="I27" s="111"/>
    </row>
    <row r="28" spans="2:15" ht="15" customHeight="1" x14ac:dyDescent="0.25">
      <c r="B28" s="79" t="s">
        <v>128</v>
      </c>
      <c r="C28" s="79"/>
      <c r="G28" s="111"/>
      <c r="H28" s="111"/>
      <c r="I28" s="111"/>
    </row>
    <row r="29" spans="2:15" ht="15" customHeight="1" x14ac:dyDescent="0.25">
      <c r="B29" s="80" t="s">
        <v>129</v>
      </c>
      <c r="C29" s="80" t="s">
        <v>130</v>
      </c>
      <c r="G29" s="111"/>
      <c r="H29" s="111"/>
      <c r="I29" s="111"/>
    </row>
    <row r="30" spans="2:15" ht="15" customHeight="1" x14ac:dyDescent="0.25">
      <c r="B30" s="73"/>
      <c r="C30" s="107"/>
      <c r="G30" s="111"/>
      <c r="H30" s="111"/>
      <c r="I30" s="111"/>
    </row>
    <row r="31" spans="2:15" ht="15" customHeight="1" x14ac:dyDescent="0.25">
      <c r="B31" s="81" t="s">
        <v>131</v>
      </c>
      <c r="C31" s="15">
        <v>0</v>
      </c>
      <c r="G31" s="111"/>
      <c r="H31" s="111"/>
      <c r="I31" s="111"/>
    </row>
    <row r="32" spans="2:15" ht="15" customHeight="1" x14ac:dyDescent="0.25">
      <c r="B32" s="81" t="s">
        <v>132</v>
      </c>
      <c r="C32" s="15">
        <v>0</v>
      </c>
      <c r="G32" s="111"/>
      <c r="H32" s="111"/>
      <c r="I32" s="111"/>
    </row>
    <row r="33" spans="2:19" ht="15" customHeight="1" x14ac:dyDescent="0.25">
      <c r="B33" s="81" t="s">
        <v>133</v>
      </c>
      <c r="C33" s="15">
        <v>0</v>
      </c>
      <c r="G33" s="111"/>
      <c r="H33" s="111"/>
      <c r="I33" s="111"/>
    </row>
    <row r="34" spans="2:19" ht="15" customHeight="1" x14ac:dyDescent="0.25">
      <c r="B34" s="81" t="s">
        <v>134</v>
      </c>
      <c r="C34" s="15">
        <v>0</v>
      </c>
      <c r="G34" s="111"/>
      <c r="H34" s="111"/>
      <c r="I34" s="111"/>
    </row>
    <row r="35" spans="2:19" ht="15" customHeight="1" x14ac:dyDescent="0.25">
      <c r="B35" s="81" t="s">
        <v>135</v>
      </c>
      <c r="C35" s="15">
        <v>0</v>
      </c>
      <c r="G35" s="111"/>
      <c r="H35" s="111"/>
      <c r="I35" s="111"/>
    </row>
    <row r="36" spans="2:19" ht="15" customHeight="1" x14ac:dyDescent="0.25">
      <c r="B36" s="81"/>
      <c r="C36" s="82"/>
      <c r="G36" s="111"/>
      <c r="H36" s="111"/>
      <c r="I36" s="111"/>
    </row>
    <row r="37" spans="2:19" ht="15" customHeight="1" x14ac:dyDescent="0.25">
      <c r="B37" s="73"/>
      <c r="C37" s="82"/>
      <c r="G37" s="111"/>
      <c r="H37" s="111"/>
      <c r="I37" s="111"/>
    </row>
    <row r="38" spans="2:19" ht="15" customHeight="1" x14ac:dyDescent="0.25">
      <c r="G38" s="111"/>
      <c r="H38" s="111"/>
      <c r="I38" s="111"/>
    </row>
    <row r="39" spans="2:19" ht="15" customHeight="1" x14ac:dyDescent="0.25">
      <c r="G39" s="111"/>
      <c r="H39" s="111"/>
      <c r="I39" s="111"/>
      <c r="S39" s="172" t="s">
        <v>184</v>
      </c>
    </row>
    <row r="40" spans="2:19" ht="20.100000000000001" customHeight="1" x14ac:dyDescent="0.25">
      <c r="B40" s="264" t="s">
        <v>176</v>
      </c>
      <c r="C40" s="265"/>
      <c r="D40" s="266"/>
      <c r="E40" s="66" t="s">
        <v>137</v>
      </c>
      <c r="F40" s="174">
        <f ca="1">IF(MONTH(TODAY())=12,DAY(TODAY())/DAY(EOMONTH(TODAY(),0)),IF(MONTH(TODAY())&gt;12,1,0))</f>
        <v>0</v>
      </c>
      <c r="G40" s="192" t="s">
        <v>186</v>
      </c>
      <c r="H40" s="198">
        <v>0.9</v>
      </c>
      <c r="I40" s="201" t="s">
        <v>186</v>
      </c>
      <c r="J40" s="199">
        <v>0.95</v>
      </c>
      <c r="K40" s="194" t="s">
        <v>187</v>
      </c>
      <c r="L40" s="200">
        <v>1</v>
      </c>
      <c r="S40" s="173">
        <v>0.7</v>
      </c>
    </row>
    <row r="41" spans="2:19" ht="30" customHeight="1" x14ac:dyDescent="0.25">
      <c r="B41" s="68" t="s">
        <v>136</v>
      </c>
      <c r="C41" s="68" t="s">
        <v>41</v>
      </c>
      <c r="D41" s="68" t="s">
        <v>137</v>
      </c>
      <c r="E41" s="68" t="s">
        <v>138</v>
      </c>
      <c r="F41" s="175" t="s">
        <v>139</v>
      </c>
      <c r="G41" s="182" t="str">
        <f>"SELISIH"&amp;CHAR(10)&amp;TEXT($H$40,"0%")</f>
        <v>SELISIH
90%</v>
      </c>
      <c r="H41" s="182" t="str">
        <f>"PER HARI"&amp;CHAR(10)&amp;TEXT($H$40,"0%")</f>
        <v>PER HARI
90%</v>
      </c>
      <c r="I41" s="202" t="str">
        <f>"SELISIH"&amp;CHAR(10)&amp;TEXT($J$40,"0%")</f>
        <v>SELISIH
95%</v>
      </c>
      <c r="J41" s="203" t="str">
        <f>"PER HARI"&amp;CHAR(10)&amp;TEXT($J$40,"0%")</f>
        <v>PER HARI
95%</v>
      </c>
      <c r="K41" s="183" t="str">
        <f>"SELISIH"&amp;CHAR(10)&amp;TEXT($L$40,"0%")</f>
        <v>SELISIH
100%</v>
      </c>
      <c r="L41" s="183" t="str">
        <f>"PER HARI"&amp;CHAR(10)&amp;TEXT($L$40,"0%")</f>
        <v>PER HARI
100%</v>
      </c>
      <c r="S41" s="190">
        <v>0.75</v>
      </c>
    </row>
    <row r="42" spans="2:19" ht="15.95" customHeight="1" x14ac:dyDescent="0.25">
      <c r="B42" s="109" t="s">
        <v>142</v>
      </c>
      <c r="C42" s="41" t="s">
        <v>143</v>
      </c>
      <c r="D42" s="45">
        <f>SUM(TARGETS!AK5:AK18)</f>
        <v>0</v>
      </c>
      <c r="E42" s="46">
        <f>H65</f>
        <v>0</v>
      </c>
      <c r="F42" s="176">
        <f>IFERROR(E42/D42,0)</f>
        <v>0</v>
      </c>
      <c r="G42" s="184">
        <f>D42*$H$40-E42</f>
        <v>0</v>
      </c>
      <c r="H42" s="184">
        <f ca="1">IFERROR(G42/$C$3,0)</f>
        <v>0</v>
      </c>
      <c r="I42" s="204">
        <f>D42*$J$40-E42</f>
        <v>0</v>
      </c>
      <c r="J42" s="204">
        <f ca="1">IFERROR(I42/$C$3,0)</f>
        <v>0</v>
      </c>
      <c r="K42" s="185">
        <f>D42*$L$40-E42</f>
        <v>0</v>
      </c>
      <c r="L42" s="185">
        <f ca="1">IFERROR(K42/$C$3,0)</f>
        <v>0</v>
      </c>
      <c r="S42" s="173">
        <v>0.8</v>
      </c>
    </row>
    <row r="43" spans="2:19" ht="15.95" customHeight="1" x14ac:dyDescent="0.25">
      <c r="B43" s="109" t="s">
        <v>110</v>
      </c>
      <c r="C43" s="41" t="s">
        <v>143</v>
      </c>
      <c r="D43" s="45">
        <f>SUM(TARGETS!AL5:AL18)</f>
        <v>0</v>
      </c>
      <c r="E43" s="46">
        <f>I65</f>
        <v>0</v>
      </c>
      <c r="F43" s="176">
        <f>IFERROR(E43/D43,0)</f>
        <v>0</v>
      </c>
      <c r="G43" s="184">
        <f>D43*$H$40-E43</f>
        <v>0</v>
      </c>
      <c r="H43" s="184">
        <f ca="1">IFERROR(G43/$C$3,0)</f>
        <v>0</v>
      </c>
      <c r="I43" s="204">
        <f>D43*$J$40-E43</f>
        <v>0</v>
      </c>
      <c r="J43" s="204">
        <f ca="1">IFERROR(I43/$C$3,0)</f>
        <v>0</v>
      </c>
      <c r="K43" s="185">
        <f>D43*$L$40-E43</f>
        <v>0</v>
      </c>
      <c r="L43" s="185">
        <f ca="1">IFERROR(K43/$C$3,0)</f>
        <v>0</v>
      </c>
      <c r="S43" s="173">
        <v>0.85</v>
      </c>
    </row>
    <row r="44" spans="2:19" ht="15.95" customHeight="1" x14ac:dyDescent="0.25">
      <c r="B44" s="109" t="s">
        <v>207</v>
      </c>
      <c r="C44" s="41" t="s">
        <v>143</v>
      </c>
      <c r="D44" s="45">
        <f>SUM(TARGETS!AM5:AM18)</f>
        <v>0</v>
      </c>
      <c r="E44" s="46">
        <f>J65</f>
        <v>0</v>
      </c>
      <c r="F44" s="176">
        <f>IFERROR(E44/D44,0)</f>
        <v>0</v>
      </c>
      <c r="G44" s="184">
        <f>IF(D44=0,0,D44*$H$40-E44)</f>
        <v>0</v>
      </c>
      <c r="H44" s="184">
        <f ca="1">IFERROR(G44/$C$3,0)</f>
        <v>0</v>
      </c>
      <c r="I44" s="204">
        <f>IF(D44=0,0,D44*$J$40-E44)</f>
        <v>0</v>
      </c>
      <c r="J44" s="204">
        <f ca="1">IFERROR(I44/$C$3,0)</f>
        <v>0</v>
      </c>
      <c r="K44" s="185">
        <f>IF(D44=0,0,D44*$L$40-E44)</f>
        <v>0</v>
      </c>
      <c r="L44" s="185">
        <f ca="1">IFERROR(K44/$C$3,0)</f>
        <v>0</v>
      </c>
      <c r="S44" s="173">
        <v>0.9</v>
      </c>
    </row>
    <row r="45" spans="2:19" ht="15.95" customHeight="1" x14ac:dyDescent="0.25">
      <c r="B45" s="109" t="s">
        <v>144</v>
      </c>
      <c r="C45" s="41" t="s">
        <v>143</v>
      </c>
      <c r="D45" s="45">
        <f>SUM(TARGETS!O22:O26)</f>
        <v>0</v>
      </c>
      <c r="E45" s="46">
        <f>E74</f>
        <v>0</v>
      </c>
      <c r="F45" s="176">
        <f>IFERROR(E45/D45,0)</f>
        <v>0</v>
      </c>
      <c r="G45" s="184">
        <f>D45*$H$40-E45</f>
        <v>0</v>
      </c>
      <c r="H45" s="184">
        <f ca="1">IFERROR(G45/$C$3,0)</f>
        <v>0</v>
      </c>
      <c r="I45" s="204">
        <f>D45*$J$40-E45</f>
        <v>0</v>
      </c>
      <c r="J45" s="204">
        <f ca="1">IFERROR(I45/$C$3,0)</f>
        <v>0</v>
      </c>
      <c r="K45" s="185">
        <f>D45*$L$40-E45</f>
        <v>0</v>
      </c>
      <c r="L45" s="185">
        <f ca="1">IFERROR(K45/$C$3,0)</f>
        <v>0</v>
      </c>
      <c r="S45" s="173">
        <v>0.95</v>
      </c>
    </row>
    <row r="46" spans="2:19" ht="15" customHeight="1" x14ac:dyDescent="0.25">
      <c r="B46" s="261" t="s">
        <v>145</v>
      </c>
      <c r="C46" s="262"/>
      <c r="D46" s="47">
        <f>SUM(D42:D45)</f>
        <v>0</v>
      </c>
      <c r="E46" s="47">
        <f>SUM(E42:E45)</f>
        <v>0</v>
      </c>
      <c r="F46" s="177">
        <f>IFERROR(E46/D46,0)</f>
        <v>0</v>
      </c>
      <c r="G46" s="181">
        <f>SUM(G42:G45)</f>
        <v>0</v>
      </c>
      <c r="H46" s="181">
        <f ca="1">IFERROR(G46/$C$3,0)</f>
        <v>0</v>
      </c>
      <c r="I46" s="186">
        <f>SUM(I42:I45)</f>
        <v>0</v>
      </c>
      <c r="J46" s="186">
        <f ca="1">IFERROR(I46/$C$3,0)</f>
        <v>0</v>
      </c>
      <c r="K46" s="186">
        <f>SUM(K42:K45)</f>
        <v>0</v>
      </c>
      <c r="L46" s="186">
        <f ca="1">IFERROR(K46/$C$3,0)</f>
        <v>0</v>
      </c>
      <c r="S46" s="173">
        <v>1</v>
      </c>
    </row>
    <row r="47" spans="2:19" ht="15" customHeight="1" x14ac:dyDescent="0.25">
      <c r="G47" s="111"/>
      <c r="H47" s="111"/>
      <c r="I47" s="111"/>
      <c r="S47" s="173"/>
    </row>
    <row r="48" spans="2:19" ht="18.95" customHeight="1" x14ac:dyDescent="0.25">
      <c r="B48" s="267" t="s">
        <v>146</v>
      </c>
      <c r="C48" s="268"/>
      <c r="D48" s="268"/>
      <c r="E48" s="268"/>
      <c r="F48" s="268"/>
      <c r="G48" s="268"/>
      <c r="H48" s="268"/>
      <c r="I48" s="268"/>
      <c r="J48" s="268"/>
      <c r="K48" s="268"/>
      <c r="L48" s="291"/>
      <c r="M48" s="274" t="s">
        <v>185</v>
      </c>
      <c r="N48" s="275"/>
      <c r="O48" s="275"/>
      <c r="P48" s="275"/>
      <c r="Q48" s="275"/>
      <c r="R48" s="276"/>
    </row>
    <row r="49" spans="2:21" ht="17.100000000000001" customHeight="1" x14ac:dyDescent="0.25">
      <c r="B49" s="292" t="s">
        <v>41</v>
      </c>
      <c r="C49" s="292" t="s">
        <v>42</v>
      </c>
      <c r="D49" s="258" t="s">
        <v>137</v>
      </c>
      <c r="E49" s="259"/>
      <c r="F49" s="259"/>
      <c r="G49" s="260"/>
      <c r="H49" s="293" t="s">
        <v>138</v>
      </c>
      <c r="I49" s="294"/>
      <c r="J49" s="294"/>
      <c r="K49" s="295"/>
      <c r="L49" s="296" t="s">
        <v>139</v>
      </c>
      <c r="M49" s="277" t="str">
        <f>"SELISIH"&amp;CHAR(10)&amp;TEXT($H$40,"0%")</f>
        <v>SELISIH
90%</v>
      </c>
      <c r="N49" s="277" t="str">
        <f>"PER HARI"&amp;CHAR(10)&amp;TEXT($H$40,"0%")</f>
        <v>PER HARI
90%</v>
      </c>
      <c r="O49" s="279" t="str">
        <f>"SELISIH"&amp;CHAR(10)&amp;TEXT($J$40,"0%")</f>
        <v>SELISIH
95%</v>
      </c>
      <c r="P49" s="279" t="str">
        <f>"PER HARI"&amp;CHAR(10)&amp;TEXT($J$40,"0%")</f>
        <v>PER HARI
95%</v>
      </c>
      <c r="Q49" s="281" t="str">
        <f>"SELISIH"&amp;CHAR(10)&amp;TEXT($L$40,"0%")</f>
        <v>SELISIH
100%</v>
      </c>
      <c r="R49" s="281" t="str">
        <f>"PER HARI"&amp;CHAR(10)&amp;TEXT($L$40,"0%")</f>
        <v>PER HARI
100%</v>
      </c>
    </row>
    <row r="50" spans="2:21" ht="17.100000000000001" customHeight="1" x14ac:dyDescent="0.25">
      <c r="B50" s="273"/>
      <c r="C50" s="273"/>
      <c r="D50" s="70" t="s">
        <v>149</v>
      </c>
      <c r="E50" s="70" t="s">
        <v>150</v>
      </c>
      <c r="F50" s="70" t="s">
        <v>209</v>
      </c>
      <c r="G50" s="70" t="s">
        <v>130</v>
      </c>
      <c r="H50" s="113" t="s">
        <v>149</v>
      </c>
      <c r="I50" s="113" t="s">
        <v>150</v>
      </c>
      <c r="J50" s="113" t="s">
        <v>209</v>
      </c>
      <c r="K50" s="113" t="s">
        <v>130</v>
      </c>
      <c r="L50" s="297"/>
      <c r="M50" s="278"/>
      <c r="N50" s="278"/>
      <c r="O50" s="280"/>
      <c r="P50" s="280"/>
      <c r="Q50" s="282"/>
      <c r="R50" s="282"/>
      <c r="T50" s="178" t="s">
        <v>215</v>
      </c>
      <c r="U50" s="178" t="s">
        <v>216</v>
      </c>
    </row>
    <row r="51" spans="2:21" ht="15.95" customHeight="1" x14ac:dyDescent="0.25">
      <c r="B51" s="50" t="s">
        <v>67</v>
      </c>
      <c r="C51" s="55" t="s">
        <v>68</v>
      </c>
      <c r="D51" s="118">
        <f>TARGETS!AK5</f>
        <v>0</v>
      </c>
      <c r="E51" s="118">
        <v>0</v>
      </c>
      <c r="F51" s="118">
        <f>TARGETS!AM5</f>
        <v>0</v>
      </c>
      <c r="G51" s="118">
        <f t="shared" ref="G51:G64" si="1">SUM(D51:F51)</f>
        <v>0</v>
      </c>
      <c r="H51" s="114">
        <f>SUMIF($B$10:$B$26,$T51,C$10:C$26)+SUMIF($B$10:$B$26,$U51,C$10:C$26)</f>
        <v>0</v>
      </c>
      <c r="I51" s="114">
        <f t="shared" ref="I51:I64" si="2">SUMIF($B$10:$B$26,$T51,D$10:D$26)+SUMIF($B$10:$B$26,$U51,D$10:D$26)</f>
        <v>0</v>
      </c>
      <c r="J51" s="114">
        <f t="shared" ref="J51:J64" si="3">SUMIF($B$10:$B$26,$T51,E$10:E$26)+SUMIF($B$10:$B$26,$U51,E$10:E$26)</f>
        <v>0</v>
      </c>
      <c r="K51" s="114">
        <f t="shared" ref="K51:K64" si="4">SUM(H51:J51)</f>
        <v>0</v>
      </c>
      <c r="L51" s="187">
        <f t="shared" ref="L51:L65" si="5">IFERROR(K51/G51,0)</f>
        <v>0</v>
      </c>
      <c r="M51" s="184">
        <f t="shared" ref="M51:M64" si="6">G51*$H$40-K51</f>
        <v>0</v>
      </c>
      <c r="N51" s="184">
        <f t="shared" ref="N51:N65" ca="1" si="7">IFERROR(M51/$C$3,0)</f>
        <v>0</v>
      </c>
      <c r="O51" s="180">
        <f t="shared" ref="O51:O64" si="8">G51*$J$40-K51</f>
        <v>0</v>
      </c>
      <c r="P51" s="180">
        <f t="shared" ref="P51:P65" ca="1" si="9">IFERROR(O51/$C$3,0)</f>
        <v>0</v>
      </c>
      <c r="Q51" s="185">
        <f t="shared" ref="Q51:Q64" si="10">G51*$L$40-K51</f>
        <v>0</v>
      </c>
      <c r="R51" s="185">
        <f t="shared" ref="R51:R65" ca="1" si="11">IFERROR(Q51/$C$3,0)</f>
        <v>0</v>
      </c>
      <c r="T51" t="s">
        <v>124</v>
      </c>
      <c r="U51" t="s">
        <v>217</v>
      </c>
    </row>
    <row r="52" spans="2:21" ht="15.95" customHeight="1" x14ac:dyDescent="0.25">
      <c r="B52" s="53" t="s">
        <v>69</v>
      </c>
      <c r="C52" s="56" t="s">
        <v>70</v>
      </c>
      <c r="D52" s="119">
        <f>TARGETS!AK6</f>
        <v>0</v>
      </c>
      <c r="E52" s="119">
        <v>0</v>
      </c>
      <c r="F52" s="119">
        <f>TARGETS!AM6</f>
        <v>0</v>
      </c>
      <c r="G52" s="119">
        <f t="shared" si="1"/>
        <v>0</v>
      </c>
      <c r="H52" s="114">
        <f t="shared" ref="H52:H64" si="12">SUMIF($B$10:$B$26,$T52,C$10:C$26)+SUMIF($B$10:$B$26,$U52,C$10:C$26)</f>
        <v>0</v>
      </c>
      <c r="I52" s="114">
        <f t="shared" si="2"/>
        <v>0</v>
      </c>
      <c r="J52" s="114">
        <f t="shared" si="3"/>
        <v>0</v>
      </c>
      <c r="K52" s="114">
        <f t="shared" si="4"/>
        <v>0</v>
      </c>
      <c r="L52" s="187">
        <f t="shared" si="5"/>
        <v>0</v>
      </c>
      <c r="M52" s="184">
        <f t="shared" si="6"/>
        <v>0</v>
      </c>
      <c r="N52" s="184">
        <f t="shared" ca="1" si="7"/>
        <v>0</v>
      </c>
      <c r="O52" s="180">
        <f t="shared" si="8"/>
        <v>0</v>
      </c>
      <c r="P52" s="180">
        <f t="shared" ca="1" si="9"/>
        <v>0</v>
      </c>
      <c r="Q52" s="185">
        <f t="shared" si="10"/>
        <v>0</v>
      </c>
      <c r="R52" s="185">
        <f t="shared" ca="1" si="11"/>
        <v>0</v>
      </c>
      <c r="T52" t="s">
        <v>70</v>
      </c>
      <c r="U52" t="s">
        <v>114</v>
      </c>
    </row>
    <row r="53" spans="2:21" ht="15.95" customHeight="1" x14ac:dyDescent="0.25">
      <c r="B53" s="136" t="s">
        <v>171</v>
      </c>
      <c r="C53" s="137" t="s">
        <v>172</v>
      </c>
      <c r="D53" s="138">
        <f>TARGETS!AK7</f>
        <v>0</v>
      </c>
      <c r="E53" s="138">
        <v>0</v>
      </c>
      <c r="F53" s="138">
        <f>TARGETS!AM7</f>
        <v>0</v>
      </c>
      <c r="G53" s="138">
        <f t="shared" si="1"/>
        <v>0</v>
      </c>
      <c r="H53" s="114">
        <f t="shared" si="12"/>
        <v>0</v>
      </c>
      <c r="I53" s="114">
        <f t="shared" si="2"/>
        <v>0</v>
      </c>
      <c r="J53" s="114">
        <f t="shared" si="3"/>
        <v>0</v>
      </c>
      <c r="K53" s="114">
        <f t="shared" si="4"/>
        <v>0</v>
      </c>
      <c r="L53" s="187">
        <f t="shared" si="5"/>
        <v>0</v>
      </c>
      <c r="M53" s="184">
        <f t="shared" si="6"/>
        <v>0</v>
      </c>
      <c r="N53" s="184">
        <f t="shared" ca="1" si="7"/>
        <v>0</v>
      </c>
      <c r="O53" s="180">
        <f t="shared" si="8"/>
        <v>0</v>
      </c>
      <c r="P53" s="180">
        <f t="shared" ca="1" si="9"/>
        <v>0</v>
      </c>
      <c r="Q53" s="185">
        <f t="shared" si="10"/>
        <v>0</v>
      </c>
      <c r="R53" s="185">
        <f t="shared" ca="1" si="11"/>
        <v>0</v>
      </c>
      <c r="T53" t="s">
        <v>168</v>
      </c>
      <c r="U53" t="s">
        <v>217</v>
      </c>
    </row>
    <row r="54" spans="2:21" ht="15.95" customHeight="1" x14ac:dyDescent="0.25">
      <c r="B54" s="53" t="s">
        <v>71</v>
      </c>
      <c r="C54" s="56" t="s">
        <v>72</v>
      </c>
      <c r="D54" s="119">
        <f>TARGETS!AK8</f>
        <v>0</v>
      </c>
      <c r="E54" s="119">
        <v>0</v>
      </c>
      <c r="F54" s="119">
        <f>TARGETS!AM8</f>
        <v>0</v>
      </c>
      <c r="G54" s="119">
        <f t="shared" si="1"/>
        <v>0</v>
      </c>
      <c r="H54" s="114">
        <f t="shared" si="12"/>
        <v>0</v>
      </c>
      <c r="I54" s="114">
        <f t="shared" si="2"/>
        <v>0</v>
      </c>
      <c r="J54" s="114">
        <f t="shared" si="3"/>
        <v>0</v>
      </c>
      <c r="K54" s="114">
        <f t="shared" si="4"/>
        <v>0</v>
      </c>
      <c r="L54" s="187">
        <f t="shared" si="5"/>
        <v>0</v>
      </c>
      <c r="M54" s="184">
        <f t="shared" si="6"/>
        <v>0</v>
      </c>
      <c r="N54" s="184">
        <f t="shared" ca="1" si="7"/>
        <v>0</v>
      </c>
      <c r="O54" s="180">
        <f t="shared" si="8"/>
        <v>0</v>
      </c>
      <c r="P54" s="180">
        <f t="shared" ca="1" si="9"/>
        <v>0</v>
      </c>
      <c r="Q54" s="185">
        <f t="shared" si="10"/>
        <v>0</v>
      </c>
      <c r="R54" s="185">
        <f t="shared" ca="1" si="11"/>
        <v>0</v>
      </c>
      <c r="T54" t="s">
        <v>115</v>
      </c>
      <c r="U54" t="s">
        <v>217</v>
      </c>
    </row>
    <row r="55" spans="2:21" ht="15.95" customHeight="1" x14ac:dyDescent="0.25">
      <c r="B55" s="50" t="s">
        <v>73</v>
      </c>
      <c r="C55" s="55" t="s">
        <v>221</v>
      </c>
      <c r="D55" s="118">
        <f>TARGETS!AK9</f>
        <v>0</v>
      </c>
      <c r="E55" s="118">
        <v>0</v>
      </c>
      <c r="F55" s="118">
        <f>TARGETS!AM9</f>
        <v>0</v>
      </c>
      <c r="G55" s="118">
        <f t="shared" si="1"/>
        <v>0</v>
      </c>
      <c r="H55" s="114">
        <f t="shared" si="12"/>
        <v>0</v>
      </c>
      <c r="I55" s="114">
        <f t="shared" si="2"/>
        <v>0</v>
      </c>
      <c r="J55" s="114">
        <f t="shared" si="3"/>
        <v>0</v>
      </c>
      <c r="K55" s="114">
        <f t="shared" si="4"/>
        <v>0</v>
      </c>
      <c r="L55" s="187">
        <f t="shared" si="5"/>
        <v>0</v>
      </c>
      <c r="M55" s="184">
        <f t="shared" si="6"/>
        <v>0</v>
      </c>
      <c r="N55" s="184">
        <f t="shared" ca="1" si="7"/>
        <v>0</v>
      </c>
      <c r="O55" s="180">
        <f t="shared" si="8"/>
        <v>0</v>
      </c>
      <c r="P55" s="180">
        <f t="shared" ca="1" si="9"/>
        <v>0</v>
      </c>
      <c r="Q55" s="185">
        <f t="shared" si="10"/>
        <v>0</v>
      </c>
      <c r="R55" s="185">
        <f t="shared" ca="1" si="11"/>
        <v>0</v>
      </c>
      <c r="T55" t="s">
        <v>181</v>
      </c>
      <c r="U55" t="s">
        <v>217</v>
      </c>
    </row>
    <row r="56" spans="2:21" ht="15.95" customHeight="1" x14ac:dyDescent="0.25">
      <c r="B56" s="53" t="s">
        <v>75</v>
      </c>
      <c r="C56" s="56" t="s">
        <v>225</v>
      </c>
      <c r="D56" s="119">
        <f>TARGETS!AK10</f>
        <v>0</v>
      </c>
      <c r="E56" s="119">
        <v>0</v>
      </c>
      <c r="F56" s="119">
        <f>TARGETS!AM10</f>
        <v>0</v>
      </c>
      <c r="G56" s="119">
        <f t="shared" si="1"/>
        <v>0</v>
      </c>
      <c r="H56" s="114">
        <f t="shared" si="12"/>
        <v>0</v>
      </c>
      <c r="I56" s="114">
        <f t="shared" si="2"/>
        <v>0</v>
      </c>
      <c r="J56" s="114">
        <f t="shared" si="3"/>
        <v>0</v>
      </c>
      <c r="K56" s="114">
        <f t="shared" si="4"/>
        <v>0</v>
      </c>
      <c r="L56" s="187">
        <f t="shared" si="5"/>
        <v>0</v>
      </c>
      <c r="M56" s="184">
        <f t="shared" si="6"/>
        <v>0</v>
      </c>
      <c r="N56" s="184">
        <f t="shared" ca="1" si="7"/>
        <v>0</v>
      </c>
      <c r="O56" s="180">
        <f t="shared" si="8"/>
        <v>0</v>
      </c>
      <c r="P56" s="180">
        <f t="shared" ca="1" si="9"/>
        <v>0</v>
      </c>
      <c r="Q56" s="185">
        <f t="shared" si="10"/>
        <v>0</v>
      </c>
      <c r="R56" s="185">
        <f t="shared" ca="1" si="11"/>
        <v>0</v>
      </c>
      <c r="T56" t="s">
        <v>224</v>
      </c>
      <c r="U56" t="s">
        <v>217</v>
      </c>
    </row>
    <row r="57" spans="2:21" ht="15.95" customHeight="1" x14ac:dyDescent="0.25">
      <c r="B57" s="50" t="s">
        <v>76</v>
      </c>
      <c r="C57" s="55" t="s">
        <v>77</v>
      </c>
      <c r="D57" s="118">
        <f>TARGETS!AK11</f>
        <v>0</v>
      </c>
      <c r="E57" s="118">
        <v>0</v>
      </c>
      <c r="F57" s="118">
        <f>TARGETS!AM11</f>
        <v>0</v>
      </c>
      <c r="G57" s="118">
        <f t="shared" si="1"/>
        <v>0</v>
      </c>
      <c r="H57" s="114">
        <f t="shared" si="12"/>
        <v>0</v>
      </c>
      <c r="I57" s="114">
        <f t="shared" si="2"/>
        <v>0</v>
      </c>
      <c r="J57" s="114">
        <f t="shared" si="3"/>
        <v>0</v>
      </c>
      <c r="K57" s="114">
        <f t="shared" si="4"/>
        <v>0</v>
      </c>
      <c r="L57" s="187">
        <f t="shared" si="5"/>
        <v>0</v>
      </c>
      <c r="M57" s="184">
        <f t="shared" si="6"/>
        <v>0</v>
      </c>
      <c r="N57" s="184">
        <f t="shared" ca="1" si="7"/>
        <v>0</v>
      </c>
      <c r="O57" s="180">
        <f t="shared" si="8"/>
        <v>0</v>
      </c>
      <c r="P57" s="180">
        <f t="shared" ca="1" si="9"/>
        <v>0</v>
      </c>
      <c r="Q57" s="185">
        <f t="shared" si="10"/>
        <v>0</v>
      </c>
      <c r="R57" s="185">
        <f t="shared" ca="1" si="11"/>
        <v>0</v>
      </c>
      <c r="T57" t="s">
        <v>120</v>
      </c>
      <c r="U57" t="s">
        <v>217</v>
      </c>
    </row>
    <row r="58" spans="2:21" ht="15.95" customHeight="1" x14ac:dyDescent="0.25">
      <c r="B58" s="53" t="s">
        <v>78</v>
      </c>
      <c r="C58" s="56" t="s">
        <v>79</v>
      </c>
      <c r="D58" s="119">
        <f>TARGETS!AK12</f>
        <v>0</v>
      </c>
      <c r="E58" s="119">
        <v>0</v>
      </c>
      <c r="F58" s="119">
        <f>TARGETS!AM12</f>
        <v>0</v>
      </c>
      <c r="G58" s="119">
        <f t="shared" si="1"/>
        <v>0</v>
      </c>
      <c r="H58" s="114">
        <f t="shared" si="12"/>
        <v>0</v>
      </c>
      <c r="I58" s="114">
        <f t="shared" si="2"/>
        <v>0</v>
      </c>
      <c r="J58" s="114">
        <f t="shared" si="3"/>
        <v>0</v>
      </c>
      <c r="K58" s="114">
        <f t="shared" si="4"/>
        <v>0</v>
      </c>
      <c r="L58" s="187">
        <f t="shared" si="5"/>
        <v>0</v>
      </c>
      <c r="M58" s="184">
        <f t="shared" si="6"/>
        <v>0</v>
      </c>
      <c r="N58" s="184">
        <f t="shared" ca="1" si="7"/>
        <v>0</v>
      </c>
      <c r="O58" s="180">
        <f t="shared" si="8"/>
        <v>0</v>
      </c>
      <c r="P58" s="180">
        <f t="shared" ca="1" si="9"/>
        <v>0</v>
      </c>
      <c r="Q58" s="185">
        <f t="shared" si="10"/>
        <v>0</v>
      </c>
      <c r="R58" s="185">
        <f t="shared" ca="1" si="11"/>
        <v>0</v>
      </c>
      <c r="T58" t="s">
        <v>125</v>
      </c>
      <c r="U58" t="s">
        <v>217</v>
      </c>
    </row>
    <row r="59" spans="2:21" ht="15.95" customHeight="1" x14ac:dyDescent="0.25">
      <c r="B59" s="136" t="s">
        <v>171</v>
      </c>
      <c r="C59" s="137" t="s">
        <v>173</v>
      </c>
      <c r="D59" s="138">
        <f>TARGETS!AK13</f>
        <v>0</v>
      </c>
      <c r="E59" s="138">
        <v>0</v>
      </c>
      <c r="F59" s="138">
        <f>TARGETS!AM13</f>
        <v>0</v>
      </c>
      <c r="G59" s="138">
        <f t="shared" si="1"/>
        <v>0</v>
      </c>
      <c r="H59" s="114">
        <f t="shared" si="12"/>
        <v>0</v>
      </c>
      <c r="I59" s="114">
        <f t="shared" si="2"/>
        <v>0</v>
      </c>
      <c r="J59" s="114">
        <f t="shared" si="3"/>
        <v>0</v>
      </c>
      <c r="K59" s="114">
        <f t="shared" si="4"/>
        <v>0</v>
      </c>
      <c r="L59" s="187">
        <f t="shared" si="5"/>
        <v>0</v>
      </c>
      <c r="M59" s="184">
        <f t="shared" si="6"/>
        <v>0</v>
      </c>
      <c r="N59" s="184">
        <f t="shared" ca="1" si="7"/>
        <v>0</v>
      </c>
      <c r="O59" s="180">
        <f t="shared" si="8"/>
        <v>0</v>
      </c>
      <c r="P59" s="180">
        <f t="shared" ca="1" si="9"/>
        <v>0</v>
      </c>
      <c r="Q59" s="185">
        <f t="shared" si="10"/>
        <v>0</v>
      </c>
      <c r="R59" s="185">
        <f t="shared" ca="1" si="11"/>
        <v>0</v>
      </c>
      <c r="T59" t="s">
        <v>169</v>
      </c>
      <c r="U59" t="s">
        <v>217</v>
      </c>
    </row>
    <row r="60" spans="2:21" ht="15.95" customHeight="1" x14ac:dyDescent="0.25">
      <c r="B60" s="53" t="s">
        <v>80</v>
      </c>
      <c r="C60" s="56" t="s">
        <v>220</v>
      </c>
      <c r="D60" s="119">
        <f>TARGETS!AK14</f>
        <v>0</v>
      </c>
      <c r="E60" s="119">
        <v>0</v>
      </c>
      <c r="F60" s="119">
        <f>TARGETS!AM14</f>
        <v>0</v>
      </c>
      <c r="G60" s="119">
        <f t="shared" si="1"/>
        <v>0</v>
      </c>
      <c r="H60" s="114">
        <f t="shared" si="12"/>
        <v>0</v>
      </c>
      <c r="I60" s="114">
        <f t="shared" si="2"/>
        <v>0</v>
      </c>
      <c r="J60" s="114">
        <f t="shared" si="3"/>
        <v>0</v>
      </c>
      <c r="K60" s="114">
        <f t="shared" si="4"/>
        <v>0</v>
      </c>
      <c r="L60" s="187">
        <f t="shared" si="5"/>
        <v>0</v>
      </c>
      <c r="M60" s="184">
        <f t="shared" si="6"/>
        <v>0</v>
      </c>
      <c r="N60" s="184">
        <f t="shared" ca="1" si="7"/>
        <v>0</v>
      </c>
      <c r="O60" s="180">
        <f t="shared" si="8"/>
        <v>0</v>
      </c>
      <c r="P60" s="180">
        <f t="shared" ca="1" si="9"/>
        <v>0</v>
      </c>
      <c r="Q60" s="185">
        <f t="shared" si="10"/>
        <v>0</v>
      </c>
      <c r="R60" s="185">
        <f t="shared" ca="1" si="11"/>
        <v>0</v>
      </c>
      <c r="T60" t="s">
        <v>219</v>
      </c>
      <c r="U60" t="s">
        <v>217</v>
      </c>
    </row>
    <row r="61" spans="2:21" ht="15.95" customHeight="1" x14ac:dyDescent="0.25">
      <c r="B61" s="50" t="s">
        <v>82</v>
      </c>
      <c r="C61" s="55" t="s">
        <v>83</v>
      </c>
      <c r="D61" s="118">
        <f>TARGETS!AK15</f>
        <v>0</v>
      </c>
      <c r="E61" s="118">
        <v>0</v>
      </c>
      <c r="F61" s="118">
        <f>TARGETS!AM15</f>
        <v>0</v>
      </c>
      <c r="G61" s="118">
        <f t="shared" si="1"/>
        <v>0</v>
      </c>
      <c r="H61" s="114">
        <f t="shared" si="12"/>
        <v>0</v>
      </c>
      <c r="I61" s="114">
        <f t="shared" si="2"/>
        <v>0</v>
      </c>
      <c r="J61" s="114">
        <f t="shared" si="3"/>
        <v>0</v>
      </c>
      <c r="K61" s="114">
        <f t="shared" si="4"/>
        <v>0</v>
      </c>
      <c r="L61" s="187">
        <f t="shared" si="5"/>
        <v>0</v>
      </c>
      <c r="M61" s="184">
        <f t="shared" si="6"/>
        <v>0</v>
      </c>
      <c r="N61" s="184">
        <f t="shared" ca="1" si="7"/>
        <v>0</v>
      </c>
      <c r="O61" s="180">
        <f t="shared" si="8"/>
        <v>0</v>
      </c>
      <c r="P61" s="180">
        <f t="shared" ca="1" si="9"/>
        <v>0</v>
      </c>
      <c r="Q61" s="185">
        <f t="shared" si="10"/>
        <v>0</v>
      </c>
      <c r="R61" s="185">
        <f t="shared" ca="1" si="11"/>
        <v>0</v>
      </c>
      <c r="T61" t="s">
        <v>126</v>
      </c>
      <c r="U61" t="s">
        <v>217</v>
      </c>
    </row>
    <row r="62" spans="2:21" ht="15.95" customHeight="1" x14ac:dyDescent="0.25">
      <c r="B62" s="53" t="s">
        <v>84</v>
      </c>
      <c r="C62" s="56" t="s">
        <v>85</v>
      </c>
      <c r="D62" s="119">
        <f>TARGETS!AK16</f>
        <v>0</v>
      </c>
      <c r="E62" s="119">
        <v>0</v>
      </c>
      <c r="F62" s="119">
        <f>TARGETS!AM16</f>
        <v>0</v>
      </c>
      <c r="G62" s="119">
        <f t="shared" si="1"/>
        <v>0</v>
      </c>
      <c r="H62" s="114">
        <f t="shared" si="12"/>
        <v>0</v>
      </c>
      <c r="I62" s="114">
        <f t="shared" si="2"/>
        <v>0</v>
      </c>
      <c r="J62" s="114">
        <f t="shared" si="3"/>
        <v>0</v>
      </c>
      <c r="K62" s="114">
        <f t="shared" si="4"/>
        <v>0</v>
      </c>
      <c r="L62" s="187">
        <f t="shared" si="5"/>
        <v>0</v>
      </c>
      <c r="M62" s="184">
        <f t="shared" si="6"/>
        <v>0</v>
      </c>
      <c r="N62" s="184">
        <f t="shared" ca="1" si="7"/>
        <v>0</v>
      </c>
      <c r="O62" s="180">
        <f t="shared" si="8"/>
        <v>0</v>
      </c>
      <c r="P62" s="180">
        <f t="shared" ca="1" si="9"/>
        <v>0</v>
      </c>
      <c r="Q62" s="185">
        <f t="shared" si="10"/>
        <v>0</v>
      </c>
      <c r="R62" s="185">
        <f t="shared" ca="1" si="11"/>
        <v>0</v>
      </c>
      <c r="T62" t="s">
        <v>112</v>
      </c>
      <c r="U62" t="s">
        <v>217</v>
      </c>
    </row>
    <row r="63" spans="2:21" ht="15.95" customHeight="1" x14ac:dyDescent="0.25">
      <c r="B63" s="50" t="s">
        <v>86</v>
      </c>
      <c r="C63" s="55" t="s">
        <v>87</v>
      </c>
      <c r="D63" s="118">
        <f>TARGETS!AK17</f>
        <v>0</v>
      </c>
      <c r="E63" s="118">
        <v>0</v>
      </c>
      <c r="F63" s="118">
        <f>TARGETS!AM17</f>
        <v>0</v>
      </c>
      <c r="G63" s="118">
        <f t="shared" si="1"/>
        <v>0</v>
      </c>
      <c r="H63" s="114">
        <f t="shared" si="12"/>
        <v>0</v>
      </c>
      <c r="I63" s="114">
        <f t="shared" si="2"/>
        <v>0</v>
      </c>
      <c r="J63" s="114">
        <f t="shared" si="3"/>
        <v>0</v>
      </c>
      <c r="K63" s="114">
        <f t="shared" si="4"/>
        <v>0</v>
      </c>
      <c r="L63" s="187">
        <f t="shared" si="5"/>
        <v>0</v>
      </c>
      <c r="M63" s="184">
        <f t="shared" si="6"/>
        <v>0</v>
      </c>
      <c r="N63" s="184">
        <f t="shared" ca="1" si="7"/>
        <v>0</v>
      </c>
      <c r="O63" s="180">
        <f t="shared" si="8"/>
        <v>0</v>
      </c>
      <c r="P63" s="180">
        <f t="shared" ca="1" si="9"/>
        <v>0</v>
      </c>
      <c r="Q63" s="185">
        <f t="shared" si="10"/>
        <v>0</v>
      </c>
      <c r="R63" s="185">
        <f t="shared" ca="1" si="11"/>
        <v>0</v>
      </c>
      <c r="T63" t="s">
        <v>127</v>
      </c>
      <c r="U63" t="s">
        <v>217</v>
      </c>
    </row>
    <row r="64" spans="2:21" ht="15.95" customHeight="1" x14ac:dyDescent="0.25">
      <c r="B64" s="53" t="s">
        <v>88</v>
      </c>
      <c r="C64" s="56" t="s">
        <v>89</v>
      </c>
      <c r="D64" s="119">
        <f>TARGETS!AK18</f>
        <v>0</v>
      </c>
      <c r="E64" s="119">
        <v>0</v>
      </c>
      <c r="F64" s="119">
        <f>TARGETS!AM18</f>
        <v>0</v>
      </c>
      <c r="G64" s="119">
        <f t="shared" si="1"/>
        <v>0</v>
      </c>
      <c r="H64" s="114">
        <f t="shared" si="12"/>
        <v>0</v>
      </c>
      <c r="I64" s="114">
        <f t="shared" si="2"/>
        <v>0</v>
      </c>
      <c r="J64" s="114">
        <f t="shared" si="3"/>
        <v>0</v>
      </c>
      <c r="K64" s="114">
        <f t="shared" si="4"/>
        <v>0</v>
      </c>
      <c r="L64" s="187">
        <f t="shared" si="5"/>
        <v>0</v>
      </c>
      <c r="M64" s="184">
        <f t="shared" si="6"/>
        <v>0</v>
      </c>
      <c r="N64" s="184">
        <f t="shared" ca="1" si="7"/>
        <v>0</v>
      </c>
      <c r="O64" s="180">
        <f t="shared" si="8"/>
        <v>0</v>
      </c>
      <c r="P64" s="180">
        <f t="shared" ca="1" si="9"/>
        <v>0</v>
      </c>
      <c r="Q64" s="185">
        <f t="shared" si="10"/>
        <v>0</v>
      </c>
      <c r="R64" s="185">
        <f t="shared" ca="1" si="11"/>
        <v>0</v>
      </c>
      <c r="T64" t="s">
        <v>122</v>
      </c>
      <c r="U64" t="s">
        <v>123</v>
      </c>
    </row>
    <row r="65" spans="2:21" ht="15.95" customHeight="1" x14ac:dyDescent="0.25">
      <c r="B65" s="57" t="s">
        <v>151</v>
      </c>
      <c r="C65" s="58"/>
      <c r="D65" s="134">
        <f t="shared" ref="D65:K65" si="13">SUM(D51:D64)</f>
        <v>0</v>
      </c>
      <c r="E65" s="134">
        <f t="shared" si="13"/>
        <v>0</v>
      </c>
      <c r="F65" s="134">
        <f t="shared" si="13"/>
        <v>0</v>
      </c>
      <c r="G65" s="134">
        <f t="shared" si="13"/>
        <v>0</v>
      </c>
      <c r="H65" s="135">
        <f t="shared" si="13"/>
        <v>0</v>
      </c>
      <c r="I65" s="135">
        <f t="shared" si="13"/>
        <v>0</v>
      </c>
      <c r="J65" s="135">
        <f t="shared" si="13"/>
        <v>0</v>
      </c>
      <c r="K65" s="135">
        <f t="shared" si="13"/>
        <v>0</v>
      </c>
      <c r="L65" s="189">
        <f t="shared" si="5"/>
        <v>0</v>
      </c>
      <c r="M65" s="181">
        <f>SUM(M51:M64)</f>
        <v>0</v>
      </c>
      <c r="N65" s="181">
        <f t="shared" ca="1" si="7"/>
        <v>0</v>
      </c>
      <c r="O65" s="181">
        <f>SUM(O51:O64)</f>
        <v>0</v>
      </c>
      <c r="P65" s="181">
        <f t="shared" ca="1" si="9"/>
        <v>0</v>
      </c>
      <c r="Q65" s="186">
        <f>SUM(Q51:Q64)</f>
        <v>0</v>
      </c>
      <c r="R65" s="186">
        <f t="shared" ca="1" si="11"/>
        <v>0</v>
      </c>
    </row>
    <row r="66" spans="2:21" ht="15" customHeight="1" x14ac:dyDescent="0.25">
      <c r="G66" s="111"/>
      <c r="H66" s="111"/>
      <c r="I66" s="111"/>
    </row>
    <row r="67" spans="2:21" ht="18.95" customHeight="1" x14ac:dyDescent="0.25">
      <c r="B67" s="288" t="s">
        <v>144</v>
      </c>
      <c r="C67" s="289"/>
      <c r="D67" s="289"/>
      <c r="E67" s="289"/>
      <c r="F67" s="298"/>
      <c r="G67" s="274" t="s">
        <v>185</v>
      </c>
      <c r="H67" s="275"/>
      <c r="I67" s="275"/>
      <c r="J67" s="275"/>
      <c r="K67" s="275"/>
      <c r="L67" s="276"/>
    </row>
    <row r="68" spans="2:21" ht="30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"SELISIH"&amp;CHAR(10)&amp;TEXT($H$40,"0%")</f>
        <v>SELISIH
90%</v>
      </c>
      <c r="H68" s="232" t="str">
        <f>"PER HARI"&amp;CHAR(10)&amp;TEXT($H$40,"0%")</f>
        <v>PER HARI
90%</v>
      </c>
      <c r="I68" s="229" t="str">
        <f>"SELISIH"&amp;CHAR(10)&amp;TEXT($J$40,"0%")</f>
        <v>SELISIH
95%</v>
      </c>
      <c r="J68" s="230" t="str">
        <f>"PER HARI"&amp;CHAR(10)&amp;TEXT($J$40,"0%")</f>
        <v>PER HARI
95%</v>
      </c>
      <c r="K68" s="222" t="str">
        <f>"SELISIH"&amp;CHAR(10)&amp;TEXT($L$40,"0%")</f>
        <v>SELISIH
100%</v>
      </c>
      <c r="L68" s="222" t="str">
        <f>"PER HARI"&amp;CHAR(10)&amp;TEXT($L$40,"0%")</f>
        <v>PER HARI
100%</v>
      </c>
    </row>
    <row r="69" spans="2:21" ht="15.95" customHeight="1" x14ac:dyDescent="0.25">
      <c r="B69" s="50" t="s">
        <v>92</v>
      </c>
      <c r="C69" s="55" t="s">
        <v>93</v>
      </c>
      <c r="D69" s="116">
        <f>TARGETS!O22</f>
        <v>0</v>
      </c>
      <c r="E69" s="114">
        <f>IFERROR($C$31,0)</f>
        <v>0</v>
      </c>
      <c r="F69" s="187">
        <f t="shared" ref="F69:F74" si="14">IFERROR(E69/D69,0)</f>
        <v>0</v>
      </c>
      <c r="G69" s="184">
        <f>D69*$H$40-E69</f>
        <v>0</v>
      </c>
      <c r="H69" s="184">
        <f t="shared" ref="H69:H74" ca="1" si="15">IFERROR(G69/$C$3,0)</f>
        <v>0</v>
      </c>
      <c r="I69" s="204">
        <f>D69*$J$40-E69</f>
        <v>0</v>
      </c>
      <c r="J69" s="204">
        <f t="shared" ref="J69:J74" ca="1" si="16">IFERROR(I69/$C$3,0)</f>
        <v>0</v>
      </c>
      <c r="K69" s="185">
        <f>D69*$L$40-E69</f>
        <v>0</v>
      </c>
      <c r="L69" s="185">
        <f t="shared" ref="L69:L74" ca="1" si="17">IFERROR(K69/$C$3,0)</f>
        <v>0</v>
      </c>
    </row>
    <row r="70" spans="2:21" ht="15.95" customHeight="1" x14ac:dyDescent="0.25">
      <c r="B70" s="53" t="s">
        <v>94</v>
      </c>
      <c r="C70" s="56" t="s">
        <v>99</v>
      </c>
      <c r="D70" s="117">
        <f>TARGETS!O23</f>
        <v>0</v>
      </c>
      <c r="E70" s="114">
        <f>IFERROR($C$32,0)</f>
        <v>0</v>
      </c>
      <c r="F70" s="187">
        <f t="shared" si="14"/>
        <v>0</v>
      </c>
      <c r="G70" s="184">
        <f>D70*$H$40-E70</f>
        <v>0</v>
      </c>
      <c r="H70" s="184">
        <f t="shared" ca="1" si="15"/>
        <v>0</v>
      </c>
      <c r="I70" s="204">
        <f>D70*$J$40-E70</f>
        <v>0</v>
      </c>
      <c r="J70" s="204">
        <f t="shared" ca="1" si="16"/>
        <v>0</v>
      </c>
      <c r="K70" s="185">
        <f>D70*$L$40-E70</f>
        <v>0</v>
      </c>
      <c r="L70" s="185">
        <f t="shared" ca="1" si="17"/>
        <v>0</v>
      </c>
    </row>
    <row r="71" spans="2:21" ht="15.95" customHeight="1" x14ac:dyDescent="0.25">
      <c r="B71" s="50" t="s">
        <v>96</v>
      </c>
      <c r="C71" s="55" t="s">
        <v>97</v>
      </c>
      <c r="D71" s="116">
        <f>TARGETS!O24</f>
        <v>0</v>
      </c>
      <c r="E71" s="114">
        <f>M21</f>
        <v>0</v>
      </c>
      <c r="F71" s="187">
        <f t="shared" si="14"/>
        <v>0</v>
      </c>
      <c r="G71" s="184">
        <f>D71*$H$40-E71</f>
        <v>0</v>
      </c>
      <c r="H71" s="184">
        <f t="shared" ca="1" si="15"/>
        <v>0</v>
      </c>
      <c r="I71" s="204">
        <f>D71*$J$40-E71</f>
        <v>0</v>
      </c>
      <c r="J71" s="204">
        <f t="shared" ca="1" si="16"/>
        <v>0</v>
      </c>
      <c r="K71" s="185">
        <f>D71*$L$40-E71</f>
        <v>0</v>
      </c>
      <c r="L71" s="185">
        <f t="shared" ca="1" si="17"/>
        <v>0</v>
      </c>
    </row>
    <row r="72" spans="2:21" hidden="1" x14ac:dyDescent="0.25">
      <c r="B72" s="53" t="s">
        <v>98</v>
      </c>
      <c r="C72" s="56" t="s">
        <v>99</v>
      </c>
      <c r="D72" s="117">
        <f>TARGETS!O25</f>
        <v>0</v>
      </c>
      <c r="E72" s="114">
        <f>0</f>
        <v>0</v>
      </c>
      <c r="F72" s="187">
        <f t="shared" si="14"/>
        <v>0</v>
      </c>
      <c r="G72" s="184">
        <f>D72*$H$40-E72</f>
        <v>0</v>
      </c>
      <c r="H72" s="184">
        <f t="shared" ca="1" si="15"/>
        <v>0</v>
      </c>
      <c r="I72" s="204">
        <f>D72*$J$40-E72</f>
        <v>0</v>
      </c>
      <c r="J72" s="204">
        <f t="shared" ca="1" si="16"/>
        <v>0</v>
      </c>
      <c r="K72" s="185">
        <f>D72*$L$40-E72</f>
        <v>0</v>
      </c>
      <c r="L72" s="185">
        <f t="shared" ca="1" si="17"/>
        <v>0</v>
      </c>
    </row>
    <row r="73" spans="2:21" hidden="1" x14ac:dyDescent="0.25">
      <c r="B73" s="50" t="s">
        <v>100</v>
      </c>
      <c r="C73" s="108" t="s">
        <v>101</v>
      </c>
      <c r="D73" s="116">
        <f>TARGETS!O26</f>
        <v>0</v>
      </c>
      <c r="E73" s="114">
        <f>0</f>
        <v>0</v>
      </c>
      <c r="F73" s="187">
        <f t="shared" si="14"/>
        <v>0</v>
      </c>
      <c r="G73" s="184">
        <f>D73*$H$40-E73</f>
        <v>0</v>
      </c>
      <c r="H73" s="184">
        <f t="shared" ca="1" si="15"/>
        <v>0</v>
      </c>
      <c r="I73" s="204">
        <f>D73*$J$40-E73</f>
        <v>0</v>
      </c>
      <c r="J73" s="204">
        <f t="shared" ca="1" si="16"/>
        <v>0</v>
      </c>
      <c r="K73" s="185">
        <f>D73*$L$40-E73</f>
        <v>0</v>
      </c>
      <c r="L73" s="185">
        <f t="shared" ca="1" si="17"/>
        <v>0</v>
      </c>
    </row>
    <row r="74" spans="2:21" ht="15.95" customHeight="1" x14ac:dyDescent="0.25">
      <c r="B74" s="57" t="s">
        <v>151</v>
      </c>
      <c r="C74" s="58"/>
      <c r="D74" s="115">
        <f>SUM(D69:D73)</f>
        <v>0</v>
      </c>
      <c r="E74" s="115">
        <f>SUM(E69:E73)</f>
        <v>0</v>
      </c>
      <c r="F74" s="177">
        <f t="shared" si="14"/>
        <v>0</v>
      </c>
      <c r="G74" s="181">
        <f>SUM(G69:G73)</f>
        <v>0</v>
      </c>
      <c r="H74" s="181">
        <f t="shared" ca="1" si="15"/>
        <v>0</v>
      </c>
      <c r="I74" s="186">
        <f>SUM(I69:I73)</f>
        <v>0</v>
      </c>
      <c r="J74" s="186">
        <f t="shared" ca="1" si="16"/>
        <v>0</v>
      </c>
      <c r="K74" s="186">
        <f>SUM(K69:K73)</f>
        <v>0</v>
      </c>
      <c r="L74" s="186">
        <f t="shared" ca="1" si="17"/>
        <v>0</v>
      </c>
    </row>
    <row r="75" spans="2:21" ht="15" customHeight="1" x14ac:dyDescent="0.25"/>
    <row r="76" spans="2:21" ht="15" customHeight="1" x14ac:dyDescent="0.25"/>
    <row r="77" spans="2:21" ht="20.100000000000001" customHeight="1" x14ac:dyDescent="0.25">
      <c r="B77" s="254" t="s">
        <v>170</v>
      </c>
      <c r="C77" s="255"/>
      <c r="D77" s="256"/>
    </row>
    <row r="78" spans="2:21" ht="17.100000000000001" customHeight="1" x14ac:dyDescent="0.25">
      <c r="B78" s="273" t="s">
        <v>41</v>
      </c>
      <c r="C78" s="273" t="s">
        <v>42</v>
      </c>
      <c r="D78" s="231" t="s">
        <v>138</v>
      </c>
    </row>
    <row r="79" spans="2:21" ht="17.100000000000001" customHeight="1" x14ac:dyDescent="0.25">
      <c r="B79" s="263"/>
      <c r="C79" s="263"/>
      <c r="D79" s="70" t="s">
        <v>167</v>
      </c>
      <c r="T79" s="178" t="s">
        <v>215</v>
      </c>
      <c r="U79" s="178" t="s">
        <v>216</v>
      </c>
    </row>
    <row r="80" spans="2:21" ht="15.95" customHeight="1" x14ac:dyDescent="0.25">
      <c r="B80" s="50" t="s">
        <v>67</v>
      </c>
      <c r="C80" s="55" t="s">
        <v>68</v>
      </c>
      <c r="D80" s="131">
        <f>SUMIF($B$10:$B$26,$T80,$F$10:$F$26)+SUMIF($B$10:$B$26,$U80,$F$10:$F$26)</f>
        <v>0</v>
      </c>
      <c r="T80" t="str">
        <f t="shared" ref="T80:U93" si="18">T51</f>
        <v>Picrom Stalyon</v>
      </c>
      <c r="U80" t="str">
        <f t="shared" si="18"/>
        <v>n/a</v>
      </c>
    </row>
    <row r="81" spans="2:21" ht="15.95" customHeight="1" x14ac:dyDescent="0.25">
      <c r="B81" s="53" t="s">
        <v>69</v>
      </c>
      <c r="C81" s="56" t="s">
        <v>70</v>
      </c>
      <c r="D81" s="132">
        <f t="shared" ref="D81:D93" si="19">SUMIF($B$10:$B$26,$T81,$F$10:$F$26)+SUMIF($B$10:$B$26,$U81,$F$10:$F$26)</f>
        <v>0</v>
      </c>
      <c r="T81" t="str">
        <f t="shared" si="18"/>
        <v>I MADE LUIH</v>
      </c>
      <c r="U81" t="str">
        <f t="shared" si="18"/>
        <v>I Made Luih (Sanur)</v>
      </c>
    </row>
    <row r="82" spans="2:21" ht="15.95" customHeight="1" x14ac:dyDescent="0.25">
      <c r="B82" s="53" t="s">
        <v>171</v>
      </c>
      <c r="C82" s="56" t="s">
        <v>172</v>
      </c>
      <c r="D82" s="132">
        <f t="shared" si="19"/>
        <v>0</v>
      </c>
      <c r="T82" t="str">
        <f t="shared" si="18"/>
        <v>NN Made Luih</v>
      </c>
      <c r="U82" t="str">
        <f t="shared" si="18"/>
        <v>n/a</v>
      </c>
    </row>
    <row r="83" spans="2:21" ht="15.95" customHeight="1" x14ac:dyDescent="0.25">
      <c r="B83" s="50" t="s">
        <v>71</v>
      </c>
      <c r="C83" s="55" t="s">
        <v>72</v>
      </c>
      <c r="D83" s="131">
        <f t="shared" si="19"/>
        <v>0</v>
      </c>
      <c r="T83" t="str">
        <f t="shared" si="18"/>
        <v>Juni</v>
      </c>
      <c r="U83" t="str">
        <f t="shared" si="18"/>
        <v>n/a</v>
      </c>
    </row>
    <row r="84" spans="2:21" ht="15.95" customHeight="1" x14ac:dyDescent="0.25">
      <c r="B84" s="53" t="s">
        <v>73</v>
      </c>
      <c r="C84" s="56" t="s">
        <v>221</v>
      </c>
      <c r="D84" s="132">
        <f t="shared" si="19"/>
        <v>0</v>
      </c>
      <c r="T84" t="str">
        <f t="shared" si="18"/>
        <v>FIB</v>
      </c>
      <c r="U84" t="str">
        <f t="shared" si="18"/>
        <v>n/a</v>
      </c>
    </row>
    <row r="85" spans="2:21" ht="15.95" customHeight="1" x14ac:dyDescent="0.25">
      <c r="B85" s="50" t="s">
        <v>75</v>
      </c>
      <c r="C85" s="55" t="s">
        <v>225</v>
      </c>
      <c r="D85" s="131">
        <f t="shared" si="19"/>
        <v>0</v>
      </c>
      <c r="T85" t="str">
        <f t="shared" si="18"/>
        <v>Ronald</v>
      </c>
      <c r="U85" t="str">
        <f t="shared" si="18"/>
        <v>n/a</v>
      </c>
    </row>
    <row r="86" spans="2:21" ht="15.95" customHeight="1" x14ac:dyDescent="0.25">
      <c r="B86" s="53" t="s">
        <v>76</v>
      </c>
      <c r="C86" s="56" t="s">
        <v>77</v>
      </c>
      <c r="D86" s="132">
        <f t="shared" si="19"/>
        <v>0</v>
      </c>
      <c r="T86" t="str">
        <f t="shared" si="18"/>
        <v>Monica</v>
      </c>
      <c r="U86" t="str">
        <f t="shared" si="18"/>
        <v>n/a</v>
      </c>
    </row>
    <row r="87" spans="2:21" ht="15.95" customHeight="1" x14ac:dyDescent="0.25">
      <c r="B87" s="50" t="s">
        <v>78</v>
      </c>
      <c r="C87" s="55" t="s">
        <v>79</v>
      </c>
      <c r="D87" s="131">
        <f t="shared" si="19"/>
        <v>0</v>
      </c>
      <c r="T87" t="str">
        <f t="shared" si="18"/>
        <v>Sujana</v>
      </c>
      <c r="U87" t="str">
        <f t="shared" si="18"/>
        <v>n/a</v>
      </c>
    </row>
    <row r="88" spans="2:21" ht="15.95" customHeight="1" x14ac:dyDescent="0.25">
      <c r="B88" s="53" t="s">
        <v>171</v>
      </c>
      <c r="C88" s="56" t="s">
        <v>173</v>
      </c>
      <c r="D88" s="132">
        <f t="shared" si="19"/>
        <v>0</v>
      </c>
      <c r="T88" t="str">
        <f t="shared" si="18"/>
        <v>NN Sujana</v>
      </c>
      <c r="U88" t="str">
        <f t="shared" si="18"/>
        <v>n/a</v>
      </c>
    </row>
    <row r="89" spans="2:21" ht="15.95" customHeight="1" x14ac:dyDescent="0.25">
      <c r="B89" s="53" t="s">
        <v>80</v>
      </c>
      <c r="C89" s="56" t="s">
        <v>81</v>
      </c>
      <c r="D89" s="132">
        <f t="shared" si="19"/>
        <v>0</v>
      </c>
      <c r="T89" t="str">
        <f t="shared" si="18"/>
        <v>Wahyu</v>
      </c>
      <c r="U89" t="str">
        <f t="shared" si="18"/>
        <v>n/a</v>
      </c>
    </row>
    <row r="90" spans="2:21" ht="15.95" customHeight="1" x14ac:dyDescent="0.25">
      <c r="B90" s="50" t="s">
        <v>82</v>
      </c>
      <c r="C90" s="55" t="s">
        <v>83</v>
      </c>
      <c r="D90" s="131">
        <f t="shared" si="19"/>
        <v>0</v>
      </c>
      <c r="T90" t="str">
        <f t="shared" si="18"/>
        <v>Taufik</v>
      </c>
      <c r="U90" t="str">
        <f t="shared" si="18"/>
        <v>n/a</v>
      </c>
    </row>
    <row r="91" spans="2:21" ht="15.95" customHeight="1" x14ac:dyDescent="0.25">
      <c r="B91" s="53" t="s">
        <v>84</v>
      </c>
      <c r="C91" s="56" t="s">
        <v>85</v>
      </c>
      <c r="D91" s="132">
        <f t="shared" si="19"/>
        <v>0</v>
      </c>
      <c r="T91" t="str">
        <f t="shared" si="18"/>
        <v>Dewi Kristiani</v>
      </c>
      <c r="U91" t="str">
        <f t="shared" si="18"/>
        <v>n/a</v>
      </c>
    </row>
    <row r="92" spans="2:21" ht="15.95" customHeight="1" x14ac:dyDescent="0.25">
      <c r="B92" s="50" t="s">
        <v>86</v>
      </c>
      <c r="C92" s="55" t="s">
        <v>87</v>
      </c>
      <c r="D92" s="131">
        <f t="shared" si="19"/>
        <v>0</v>
      </c>
      <c r="T92" t="str">
        <f t="shared" si="18"/>
        <v>Wira</v>
      </c>
      <c r="U92" t="str">
        <f t="shared" si="18"/>
        <v>n/a</v>
      </c>
    </row>
    <row r="93" spans="2:21" ht="15.95" customHeight="1" x14ac:dyDescent="0.25">
      <c r="B93" s="53" t="s">
        <v>88</v>
      </c>
      <c r="C93" s="56" t="s">
        <v>89</v>
      </c>
      <c r="D93" s="132">
        <f t="shared" si="19"/>
        <v>0</v>
      </c>
      <c r="T93" t="str">
        <f t="shared" si="18"/>
        <v>Ni Ketut Sriasih (GT)</v>
      </c>
      <c r="U93" t="str">
        <f t="shared" si="18"/>
        <v>Ni Ketut Sriasih (MT)</v>
      </c>
    </row>
    <row r="94" spans="2:21" ht="15.95" customHeight="1" x14ac:dyDescent="0.25">
      <c r="B94" s="53" t="s">
        <v>229</v>
      </c>
      <c r="C94" s="56" t="s">
        <v>227</v>
      </c>
      <c r="D94" s="132">
        <f>SUMIF($B$10:$B$27,$T94,$F$10:$F$27)+SUMIF($B$10:$B$27,$U94,$F$10:$F$27)</f>
        <v>0</v>
      </c>
      <c r="T94" t="s">
        <v>227</v>
      </c>
      <c r="U94" t="s">
        <v>217</v>
      </c>
    </row>
    <row r="95" spans="2:21" ht="15" customHeight="1" x14ac:dyDescent="0.25">
      <c r="B95" s="57" t="s">
        <v>151</v>
      </c>
      <c r="C95" s="58"/>
      <c r="D95" s="120">
        <f>SUM(D80:D94)</f>
        <v>0</v>
      </c>
    </row>
  </sheetData>
  <mergeCells count="20">
    <mergeCell ref="G67:L67"/>
    <mergeCell ref="B48:L48"/>
    <mergeCell ref="M48:R48"/>
    <mergeCell ref="B49:B50"/>
    <mergeCell ref="C49:C50"/>
    <mergeCell ref="D49:G49"/>
    <mergeCell ref="H49:K49"/>
    <mergeCell ref="Q49:Q50"/>
    <mergeCell ref="R49:R50"/>
    <mergeCell ref="N49:N50"/>
    <mergeCell ref="L49:L50"/>
    <mergeCell ref="M49:M50"/>
    <mergeCell ref="O49:O50"/>
    <mergeCell ref="P49:P50"/>
    <mergeCell ref="B40:D40"/>
    <mergeCell ref="B46:C46"/>
    <mergeCell ref="B78:B79"/>
    <mergeCell ref="C78:C79"/>
    <mergeCell ref="B67:F67"/>
    <mergeCell ref="B77:D77"/>
  </mergeCells>
  <conditionalFormatting sqref="L51:L64">
    <cfRule type="expression" dxfId="2" priority="1">
      <formula>L51&gt;=$F$41-0.05</formula>
    </cfRule>
    <cfRule type="expression" dxfId="1" priority="2">
      <formula>AND(L51&gt;=$F$41-0.2,L51&lt;$F$41-0.05)</formula>
    </cfRule>
    <cfRule type="expression" dxfId="0" priority="3">
      <formula>L51&lt;$F$41-0.2</formula>
    </cfRule>
  </conditionalFormatting>
  <dataValidations count="1">
    <dataValidation type="list" allowBlank="1" showInputMessage="1" showErrorMessage="1" sqref="H40 J40">
      <formula1>$S$40:$S$46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cp:lastPrinted>2026-10-02T08:01:49Z</cp:lastPrinted>
  <dcterms:created xsi:type="dcterms:W3CDTF">2026-03-24T08:59:20Z</dcterms:created>
  <dcterms:modified xsi:type="dcterms:W3CDTF">2026-10-28T00:42:27Z</dcterms:modified>
  <dc:language>en-US</dc:language>
</cp:coreProperties>
</file>