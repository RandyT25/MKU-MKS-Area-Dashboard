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4" l="1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M20" i="14"/>
  <c r="M21" i="14" s="1"/>
  <c r="N19" i="14"/>
  <c r="H64" i="14" s="1"/>
  <c r="M19" i="14"/>
  <c r="G64" i="14" s="1"/>
  <c r="N18" i="14"/>
  <c r="M18" i="14"/>
  <c r="G63" i="14" s="1"/>
  <c r="I63" i="14" s="1"/>
  <c r="J63" i="14" s="1"/>
  <c r="N17" i="14"/>
  <c r="M17" i="14"/>
  <c r="N16" i="14"/>
  <c r="H61" i="14" s="1"/>
  <c r="I61" i="14" s="1"/>
  <c r="J61" i="14" s="1"/>
  <c r="M16" i="14"/>
  <c r="N15" i="14"/>
  <c r="M15" i="14"/>
  <c r="N14" i="14"/>
  <c r="M14" i="14"/>
  <c r="N13" i="14"/>
  <c r="M13" i="14"/>
  <c r="N12" i="14"/>
  <c r="H56" i="14" s="1"/>
  <c r="M12" i="14"/>
  <c r="N11" i="14"/>
  <c r="M11" i="14"/>
  <c r="N10" i="14"/>
  <c r="M10" i="14"/>
  <c r="N9" i="14"/>
  <c r="M9" i="14"/>
  <c r="N8" i="14"/>
  <c r="M8" i="14"/>
  <c r="N7" i="14"/>
  <c r="M7" i="14"/>
  <c r="H63" i="14"/>
  <c r="H62" i="14"/>
  <c r="G62" i="14"/>
  <c r="I62" i="14" s="1"/>
  <c r="J62" i="14" s="1"/>
  <c r="G61" i="14"/>
  <c r="H60" i="14"/>
  <c r="G60" i="14"/>
  <c r="I60" i="14" s="1"/>
  <c r="J60" i="14" s="1"/>
  <c r="H59" i="14"/>
  <c r="I59" i="14" s="1"/>
  <c r="J59" i="14" s="1"/>
  <c r="G59" i="14"/>
  <c r="H58" i="14"/>
  <c r="G58" i="14"/>
  <c r="I58" i="14" s="1"/>
  <c r="J58" i="14" s="1"/>
  <c r="H57" i="14"/>
  <c r="I57" i="14" s="1"/>
  <c r="J57" i="14" s="1"/>
  <c r="G57" i="14"/>
  <c r="G56" i="14"/>
  <c r="I56" i="14" s="1"/>
  <c r="J56" i="14" s="1"/>
  <c r="H55" i="14"/>
  <c r="I55" i="14" s="1"/>
  <c r="J55" i="14" s="1"/>
  <c r="G55" i="14"/>
  <c r="H54" i="14"/>
  <c r="G54" i="14"/>
  <c r="I54" i="14" s="1"/>
  <c r="J54" i="14" s="1"/>
  <c r="H53" i="14"/>
  <c r="I53" i="14" s="1"/>
  <c r="J53" i="14" s="1"/>
  <c r="G53" i="14"/>
  <c r="H52" i="14"/>
  <c r="G52" i="14"/>
  <c r="I52" i="14" s="1"/>
  <c r="J52" i="14" s="1"/>
  <c r="H51" i="14"/>
  <c r="I51" i="14" s="1"/>
  <c r="J51" i="14" s="1"/>
  <c r="G51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M21" i="13"/>
  <c r="M20" i="13"/>
  <c r="N19" i="13"/>
  <c r="M19" i="13"/>
  <c r="G64" i="13" s="1"/>
  <c r="I64" i="13" s="1"/>
  <c r="J64" i="13" s="1"/>
  <c r="N18" i="13"/>
  <c r="M18" i="13"/>
  <c r="N17" i="13"/>
  <c r="M17" i="13"/>
  <c r="N16" i="13"/>
  <c r="H61" i="13" s="1"/>
  <c r="M16" i="13"/>
  <c r="N15" i="13"/>
  <c r="M15" i="13"/>
  <c r="G60" i="13" s="1"/>
  <c r="I60" i="13" s="1"/>
  <c r="J60" i="13" s="1"/>
  <c r="N14" i="13"/>
  <c r="M14" i="13"/>
  <c r="G58" i="13" s="1"/>
  <c r="I58" i="13" s="1"/>
  <c r="J58" i="13" s="1"/>
  <c r="N13" i="13"/>
  <c r="H57" i="13" s="1"/>
  <c r="M13" i="13"/>
  <c r="N12" i="13"/>
  <c r="M12" i="13"/>
  <c r="N11" i="13"/>
  <c r="M11" i="13"/>
  <c r="N10" i="13"/>
  <c r="M10" i="13"/>
  <c r="G54" i="13" s="1"/>
  <c r="I54" i="13" s="1"/>
  <c r="J54" i="13" s="1"/>
  <c r="N9" i="13"/>
  <c r="M9" i="13"/>
  <c r="N8" i="13"/>
  <c r="H51" i="13" s="1"/>
  <c r="M8" i="13"/>
  <c r="N7" i="13"/>
  <c r="M7" i="13"/>
  <c r="H64" i="13"/>
  <c r="H63" i="13"/>
  <c r="G63" i="13"/>
  <c r="I63" i="13" s="1"/>
  <c r="J63" i="13" s="1"/>
  <c r="H62" i="13"/>
  <c r="I62" i="13" s="1"/>
  <c r="J62" i="13" s="1"/>
  <c r="G62" i="13"/>
  <c r="G61" i="13"/>
  <c r="H60" i="13"/>
  <c r="H59" i="13"/>
  <c r="G59" i="13"/>
  <c r="I59" i="13" s="1"/>
  <c r="J59" i="13" s="1"/>
  <c r="H58" i="13"/>
  <c r="G57" i="13"/>
  <c r="H56" i="13"/>
  <c r="I56" i="13" s="1"/>
  <c r="J56" i="13" s="1"/>
  <c r="G56" i="13"/>
  <c r="H55" i="13"/>
  <c r="G55" i="13"/>
  <c r="I55" i="13" s="1"/>
  <c r="J55" i="13" s="1"/>
  <c r="H54" i="13"/>
  <c r="H53" i="13"/>
  <c r="G53" i="13"/>
  <c r="I53" i="13" s="1"/>
  <c r="J53" i="13" s="1"/>
  <c r="H52" i="13"/>
  <c r="I52" i="13" s="1"/>
  <c r="J52" i="13" s="1"/>
  <c r="G52" i="13"/>
  <c r="G51" i="13"/>
  <c r="I51" i="13" s="1"/>
  <c r="J51" i="13" s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M20" i="12"/>
  <c r="M21" i="12" s="1"/>
  <c r="N19" i="12"/>
  <c r="H64" i="12" s="1"/>
  <c r="M19" i="12"/>
  <c r="N18" i="12"/>
  <c r="M18" i="12"/>
  <c r="N17" i="12"/>
  <c r="M17" i="12"/>
  <c r="N16" i="12"/>
  <c r="M16" i="12"/>
  <c r="G61" i="12" s="1"/>
  <c r="I61" i="12" s="1"/>
  <c r="J61" i="12" s="1"/>
  <c r="N15" i="12"/>
  <c r="H60" i="12" s="1"/>
  <c r="M15" i="12"/>
  <c r="N14" i="12"/>
  <c r="H58" i="12" s="1"/>
  <c r="M14" i="12"/>
  <c r="N13" i="12"/>
  <c r="M13" i="12"/>
  <c r="G57" i="12" s="1"/>
  <c r="I57" i="12" s="1"/>
  <c r="J57" i="12" s="1"/>
  <c r="N12" i="12"/>
  <c r="M12" i="12"/>
  <c r="N11" i="12"/>
  <c r="M11" i="12"/>
  <c r="N10" i="12"/>
  <c r="H54" i="12" s="1"/>
  <c r="M10" i="12"/>
  <c r="N9" i="12"/>
  <c r="M9" i="12"/>
  <c r="N8" i="12"/>
  <c r="M8" i="12"/>
  <c r="G51" i="12" s="1"/>
  <c r="I51" i="12" s="1"/>
  <c r="J51" i="12" s="1"/>
  <c r="N7" i="12"/>
  <c r="M7" i="12"/>
  <c r="G64" i="12"/>
  <c r="I64" i="12" s="1"/>
  <c r="J64" i="12" s="1"/>
  <c r="H63" i="12"/>
  <c r="I63" i="12" s="1"/>
  <c r="J63" i="12" s="1"/>
  <c r="G63" i="12"/>
  <c r="H62" i="12"/>
  <c r="G62" i="12"/>
  <c r="I62" i="12" s="1"/>
  <c r="J62" i="12" s="1"/>
  <c r="H61" i="12"/>
  <c r="G60" i="12"/>
  <c r="I60" i="12" s="1"/>
  <c r="J60" i="12" s="1"/>
  <c r="H59" i="12"/>
  <c r="I59" i="12" s="1"/>
  <c r="J59" i="12" s="1"/>
  <c r="G59" i="12"/>
  <c r="G58" i="12"/>
  <c r="I58" i="12" s="1"/>
  <c r="J58" i="12" s="1"/>
  <c r="H57" i="12"/>
  <c r="H56" i="12"/>
  <c r="G56" i="12"/>
  <c r="I56" i="12" s="1"/>
  <c r="J56" i="12" s="1"/>
  <c r="H55" i="12"/>
  <c r="I55" i="12" s="1"/>
  <c r="J55" i="12" s="1"/>
  <c r="G55" i="12"/>
  <c r="G54" i="12"/>
  <c r="H53" i="12"/>
  <c r="I53" i="12" s="1"/>
  <c r="J53" i="12" s="1"/>
  <c r="G53" i="12"/>
  <c r="H52" i="12"/>
  <c r="G52" i="12"/>
  <c r="I52" i="12" s="1"/>
  <c r="J52" i="12" s="1"/>
  <c r="H51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M21" i="11"/>
  <c r="M20" i="11"/>
  <c r="N19" i="11"/>
  <c r="M19" i="11"/>
  <c r="G64" i="11" s="1"/>
  <c r="I64" i="11" s="1"/>
  <c r="J64" i="11" s="1"/>
  <c r="N18" i="11"/>
  <c r="M18" i="11"/>
  <c r="N17" i="11"/>
  <c r="H62" i="11" s="1"/>
  <c r="I62" i="11" s="1"/>
  <c r="J62" i="11" s="1"/>
  <c r="M17" i="11"/>
  <c r="N16" i="11"/>
  <c r="H61" i="11" s="1"/>
  <c r="M16" i="11"/>
  <c r="N15" i="11"/>
  <c r="M15" i="11"/>
  <c r="G60" i="11" s="1"/>
  <c r="I60" i="11" s="1"/>
  <c r="J60" i="11" s="1"/>
  <c r="N14" i="11"/>
  <c r="M14" i="11"/>
  <c r="G58" i="11" s="1"/>
  <c r="I58" i="11" s="1"/>
  <c r="J58" i="11" s="1"/>
  <c r="N13" i="11"/>
  <c r="H57" i="11" s="1"/>
  <c r="M13" i="11"/>
  <c r="N12" i="11"/>
  <c r="M12" i="11"/>
  <c r="N11" i="11"/>
  <c r="M11" i="11"/>
  <c r="N10" i="11"/>
  <c r="M10" i="11"/>
  <c r="G54" i="11" s="1"/>
  <c r="I54" i="11" s="1"/>
  <c r="J54" i="11" s="1"/>
  <c r="N9" i="11"/>
  <c r="M9" i="11"/>
  <c r="N8" i="11"/>
  <c r="H51" i="11" s="1"/>
  <c r="M8" i="11"/>
  <c r="N7" i="11"/>
  <c r="M7" i="11"/>
  <c r="H64" i="11"/>
  <c r="H63" i="11"/>
  <c r="G63" i="11"/>
  <c r="I63" i="11" s="1"/>
  <c r="J63" i="11" s="1"/>
  <c r="G62" i="11"/>
  <c r="G61" i="11"/>
  <c r="I61" i="11" s="1"/>
  <c r="J61" i="11" s="1"/>
  <c r="H60" i="11"/>
  <c r="H59" i="11"/>
  <c r="G59" i="11"/>
  <c r="I59" i="11" s="1"/>
  <c r="J59" i="11" s="1"/>
  <c r="H58" i="11"/>
  <c r="G57" i="11"/>
  <c r="H56" i="11"/>
  <c r="I56" i="11" s="1"/>
  <c r="J56" i="11" s="1"/>
  <c r="G56" i="11"/>
  <c r="H55" i="11"/>
  <c r="G55" i="11"/>
  <c r="I55" i="11" s="1"/>
  <c r="J55" i="11" s="1"/>
  <c r="H54" i="11"/>
  <c r="H53" i="11"/>
  <c r="G53" i="11"/>
  <c r="I53" i="11" s="1"/>
  <c r="J53" i="11" s="1"/>
  <c r="H52" i="11"/>
  <c r="I52" i="11" s="1"/>
  <c r="J52" i="11" s="1"/>
  <c r="G52" i="11"/>
  <c r="G51" i="11"/>
  <c r="I51" i="11" s="1"/>
  <c r="J51" i="11" s="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M20" i="10"/>
  <c r="M21" i="10" s="1"/>
  <c r="N19" i="10"/>
  <c r="H64" i="10" s="1"/>
  <c r="M19" i="10"/>
  <c r="N18" i="10"/>
  <c r="M18" i="10"/>
  <c r="N17" i="10"/>
  <c r="M17" i="10"/>
  <c r="N16" i="10"/>
  <c r="M16" i="10"/>
  <c r="G61" i="10" s="1"/>
  <c r="I61" i="10" s="1"/>
  <c r="J61" i="10" s="1"/>
  <c r="N15" i="10"/>
  <c r="H60" i="10" s="1"/>
  <c r="M15" i="10"/>
  <c r="N14" i="10"/>
  <c r="H58" i="10" s="1"/>
  <c r="M14" i="10"/>
  <c r="N13" i="10"/>
  <c r="M13" i="10"/>
  <c r="G57" i="10" s="1"/>
  <c r="I57" i="10" s="1"/>
  <c r="J57" i="10" s="1"/>
  <c r="N12" i="10"/>
  <c r="M12" i="10"/>
  <c r="G56" i="10" s="1"/>
  <c r="I56" i="10" s="1"/>
  <c r="J56" i="10" s="1"/>
  <c r="N11" i="10"/>
  <c r="H55" i="10" s="1"/>
  <c r="I55" i="10" s="1"/>
  <c r="J55" i="10" s="1"/>
  <c r="M11" i="10"/>
  <c r="N10" i="10"/>
  <c r="H54" i="10" s="1"/>
  <c r="M10" i="10"/>
  <c r="N9" i="10"/>
  <c r="M9" i="10"/>
  <c r="N8" i="10"/>
  <c r="M8" i="10"/>
  <c r="G51" i="10" s="1"/>
  <c r="I51" i="10" s="1"/>
  <c r="J51" i="10" s="1"/>
  <c r="N7" i="10"/>
  <c r="M7" i="10"/>
  <c r="G64" i="10"/>
  <c r="I64" i="10" s="1"/>
  <c r="J64" i="10" s="1"/>
  <c r="H63" i="10"/>
  <c r="I63" i="10" s="1"/>
  <c r="J63" i="10" s="1"/>
  <c r="G63" i="10"/>
  <c r="H62" i="10"/>
  <c r="G62" i="10"/>
  <c r="I62" i="10" s="1"/>
  <c r="J62" i="10" s="1"/>
  <c r="H61" i="10"/>
  <c r="G60" i="10"/>
  <c r="I60" i="10" s="1"/>
  <c r="J60" i="10" s="1"/>
  <c r="H59" i="10"/>
  <c r="I59" i="10" s="1"/>
  <c r="J59" i="10" s="1"/>
  <c r="G59" i="10"/>
  <c r="G58" i="10"/>
  <c r="I58" i="10" s="1"/>
  <c r="J58" i="10" s="1"/>
  <c r="H57" i="10"/>
  <c r="H56" i="10"/>
  <c r="G55" i="10"/>
  <c r="G54" i="10"/>
  <c r="H53" i="10"/>
  <c r="I53" i="10" s="1"/>
  <c r="J53" i="10" s="1"/>
  <c r="G53" i="10"/>
  <c r="H52" i="10"/>
  <c r="G52" i="10"/>
  <c r="I52" i="10" s="1"/>
  <c r="J52" i="10" s="1"/>
  <c r="H51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D83" i="9"/>
  <c r="D80" i="9"/>
  <c r="D78" i="9"/>
  <c r="D77" i="9"/>
  <c r="D76" i="9"/>
  <c r="D75" i="9"/>
  <c r="D73" i="9"/>
  <c r="D72" i="9"/>
  <c r="D71" i="9"/>
  <c r="D7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82" i="9"/>
  <c r="D81" i="9"/>
  <c r="D79" i="9"/>
  <c r="D74" i="9"/>
  <c r="I57" i="13" l="1"/>
  <c r="J57" i="13" s="1"/>
  <c r="I57" i="11"/>
  <c r="J57" i="11" s="1"/>
  <c r="I54" i="12"/>
  <c r="J54" i="12" s="1"/>
  <c r="I54" i="10"/>
  <c r="J54" i="10" s="1"/>
  <c r="I61" i="13"/>
  <c r="J61" i="13" s="1"/>
  <c r="I64" i="14"/>
  <c r="J64" i="14" s="1"/>
  <c r="D84" i="9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F55" i="10" s="1"/>
  <c r="D54" i="10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F54" i="9" s="1"/>
  <c r="E53" i="9"/>
  <c r="E52" i="9"/>
  <c r="E51" i="9"/>
  <c r="E65" i="9" s="1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F62" i="8" s="1"/>
  <c r="D61" i="8"/>
  <c r="D60" i="8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E65" i="14"/>
  <c r="F64" i="14"/>
  <c r="F63" i="14"/>
  <c r="F62" i="14"/>
  <c r="F61" i="14"/>
  <c r="F60" i="14"/>
  <c r="L59" i="14"/>
  <c r="K59" i="14"/>
  <c r="F59" i="14"/>
  <c r="F57" i="14"/>
  <c r="F55" i="14"/>
  <c r="F54" i="14"/>
  <c r="L53" i="14"/>
  <c r="K53" i="14"/>
  <c r="F53" i="14"/>
  <c r="F52" i="14"/>
  <c r="F51" i="14"/>
  <c r="L64" i="14"/>
  <c r="L63" i="14"/>
  <c r="K63" i="14"/>
  <c r="L62" i="14"/>
  <c r="L61" i="14"/>
  <c r="L60" i="14"/>
  <c r="L58" i="14"/>
  <c r="L57" i="14"/>
  <c r="L56" i="14"/>
  <c r="L55" i="14"/>
  <c r="K55" i="14"/>
  <c r="L54" i="14"/>
  <c r="L52" i="14"/>
  <c r="E93" i="13"/>
  <c r="G93" i="13" s="1"/>
  <c r="E92" i="13"/>
  <c r="E90" i="13"/>
  <c r="E89" i="13"/>
  <c r="F89" i="13" s="1"/>
  <c r="F64" i="13"/>
  <c r="F62" i="13"/>
  <c r="F60" i="13"/>
  <c r="L59" i="13"/>
  <c r="F59" i="13"/>
  <c r="F58" i="13"/>
  <c r="F56" i="13"/>
  <c r="F54" i="13"/>
  <c r="L53" i="13"/>
  <c r="F53" i="13"/>
  <c r="F52" i="13"/>
  <c r="F51" i="13"/>
  <c r="E45" i="13"/>
  <c r="L64" i="13"/>
  <c r="L62" i="13"/>
  <c r="L61" i="13"/>
  <c r="K60" i="13"/>
  <c r="L58" i="13"/>
  <c r="L57" i="13"/>
  <c r="L56" i="13"/>
  <c r="L54" i="13"/>
  <c r="L52" i="13"/>
  <c r="E93" i="12"/>
  <c r="F93" i="12" s="1"/>
  <c r="E92" i="12"/>
  <c r="G92" i="12" s="1"/>
  <c r="E90" i="12"/>
  <c r="G90" i="12" s="1"/>
  <c r="E89" i="12"/>
  <c r="F89" i="12" s="1"/>
  <c r="F64" i="12"/>
  <c r="F63" i="12"/>
  <c r="F61" i="12"/>
  <c r="L59" i="12"/>
  <c r="F59" i="12"/>
  <c r="F57" i="12"/>
  <c r="F56" i="12"/>
  <c r="F55" i="12"/>
  <c r="L53" i="12"/>
  <c r="K53" i="12"/>
  <c r="F53" i="12"/>
  <c r="F51" i="12"/>
  <c r="D46" i="12"/>
  <c r="L64" i="12"/>
  <c r="K64" i="12"/>
  <c r="L63" i="12"/>
  <c r="L61" i="12"/>
  <c r="K61" i="12"/>
  <c r="L57" i="12"/>
  <c r="L56" i="12"/>
  <c r="K56" i="12"/>
  <c r="L55" i="12"/>
  <c r="K55" i="12"/>
  <c r="L52" i="12"/>
  <c r="L51" i="12"/>
  <c r="D94" i="11"/>
  <c r="E93" i="11"/>
  <c r="E92" i="11"/>
  <c r="G92" i="11" s="1"/>
  <c r="E90" i="11"/>
  <c r="F90" i="11" s="1"/>
  <c r="E89" i="11"/>
  <c r="F64" i="11"/>
  <c r="F62" i="11"/>
  <c r="F61" i="11"/>
  <c r="F60" i="11"/>
  <c r="K59" i="11"/>
  <c r="F59" i="11"/>
  <c r="F58" i="11"/>
  <c r="F56" i="11"/>
  <c r="F54" i="11"/>
  <c r="L53" i="11"/>
  <c r="F53" i="11"/>
  <c r="F52" i="11"/>
  <c r="L64" i="11"/>
  <c r="L63" i="11"/>
  <c r="L62" i="11"/>
  <c r="K62" i="11"/>
  <c r="L61" i="11"/>
  <c r="L60" i="11"/>
  <c r="L58" i="11"/>
  <c r="K58" i="11"/>
  <c r="L56" i="11"/>
  <c r="L55" i="11"/>
  <c r="L54" i="11"/>
  <c r="K54" i="11"/>
  <c r="L52" i="11"/>
  <c r="E93" i="10"/>
  <c r="E92" i="10"/>
  <c r="E90" i="10"/>
  <c r="G90" i="10" s="1"/>
  <c r="E89" i="10"/>
  <c r="F61" i="10"/>
  <c r="L59" i="10"/>
  <c r="F59" i="10"/>
  <c r="F58" i="10"/>
  <c r="L53" i="10"/>
  <c r="K53" i="10"/>
  <c r="F53" i="10"/>
  <c r="F51" i="10"/>
  <c r="D46" i="10"/>
  <c r="E45" i="10"/>
  <c r="F45" i="10" s="1"/>
  <c r="K64" i="10"/>
  <c r="L63" i="10"/>
  <c r="L61" i="10"/>
  <c r="L60" i="10"/>
  <c r="L58" i="10"/>
  <c r="L55" i="10"/>
  <c r="L52" i="10"/>
  <c r="E93" i="9"/>
  <c r="G93" i="9" s="1"/>
  <c r="E92" i="9"/>
  <c r="G92" i="9" s="1"/>
  <c r="E90" i="9"/>
  <c r="G90" i="9" s="1"/>
  <c r="E89" i="9"/>
  <c r="F64" i="9"/>
  <c r="F63" i="9"/>
  <c r="F58" i="9"/>
  <c r="F56" i="9"/>
  <c r="F55" i="9"/>
  <c r="L53" i="9"/>
  <c r="M21" i="9"/>
  <c r="E45" i="9" s="1"/>
  <c r="H64" i="9"/>
  <c r="L64" i="9" s="1"/>
  <c r="G64" i="9"/>
  <c r="K64" i="9" s="1"/>
  <c r="H63" i="9"/>
  <c r="L63" i="9" s="1"/>
  <c r="G63" i="9"/>
  <c r="H62" i="9"/>
  <c r="G62" i="9"/>
  <c r="H61" i="9"/>
  <c r="G61" i="9"/>
  <c r="H60" i="9"/>
  <c r="L60" i="9" s="1"/>
  <c r="G60" i="9"/>
  <c r="H58" i="9"/>
  <c r="L58" i="9" s="1"/>
  <c r="G58" i="9"/>
  <c r="K58" i="9" s="1"/>
  <c r="H57" i="9"/>
  <c r="L57" i="9" s="1"/>
  <c r="G57" i="9"/>
  <c r="H56" i="9"/>
  <c r="L56" i="9" s="1"/>
  <c r="G56" i="9"/>
  <c r="H55" i="9"/>
  <c r="L55" i="9" s="1"/>
  <c r="G55" i="9"/>
  <c r="K55" i="9" s="1"/>
  <c r="H54" i="9"/>
  <c r="L54" i="9" s="1"/>
  <c r="G54" i="9"/>
  <c r="G52" i="9"/>
  <c r="H51" i="9"/>
  <c r="G51" i="9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12" l="1"/>
  <c r="D94" i="13"/>
  <c r="G65" i="3"/>
  <c r="L56" i="8"/>
  <c r="F52" i="9"/>
  <c r="F55" i="7"/>
  <c r="F63" i="7"/>
  <c r="G92" i="7"/>
  <c r="F64" i="8"/>
  <c r="F59" i="9"/>
  <c r="F54" i="10"/>
  <c r="L51" i="3"/>
  <c r="L59" i="3"/>
  <c r="K53" i="7"/>
  <c r="K59" i="9"/>
  <c r="K62" i="7"/>
  <c r="D65" i="11"/>
  <c r="D65" i="13"/>
  <c r="F60" i="8"/>
  <c r="D94" i="9"/>
  <c r="F90" i="7"/>
  <c r="K62" i="8"/>
  <c r="E65" i="11"/>
  <c r="D65" i="14"/>
  <c r="F61" i="7"/>
  <c r="F51" i="9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F65" i="11" s="1"/>
  <c r="E65" i="13"/>
  <c r="F54" i="12"/>
  <c r="F59" i="8"/>
  <c r="D94" i="8"/>
  <c r="L56" i="10"/>
  <c r="L60" i="12"/>
  <c r="L55" i="13"/>
  <c r="F63" i="13"/>
  <c r="F65" i="13" s="1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H93" i="7" s="1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M51" i="13"/>
  <c r="D94" i="7"/>
  <c r="I55" i="8"/>
  <c r="M55" i="8" s="1"/>
  <c r="N55" i="8" s="1"/>
  <c r="F92" i="12"/>
  <c r="K63" i="9"/>
  <c r="F90" i="8"/>
  <c r="I56" i="9"/>
  <c r="J56" i="9" s="1"/>
  <c r="F92" i="11"/>
  <c r="M59" i="14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K55" i="11"/>
  <c r="K51" i="9"/>
  <c r="I51" i="9"/>
  <c r="G45" i="9"/>
  <c r="H45" i="9" s="1"/>
  <c r="F45" i="9"/>
  <c r="I53" i="7"/>
  <c r="J53" i="7" s="1"/>
  <c r="K54" i="7"/>
  <c r="L51" i="10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M53" i="14"/>
  <c r="N53" i="14" s="1"/>
  <c r="H93" i="13"/>
  <c r="F66" i="3"/>
  <c r="K57" i="3"/>
  <c r="K53" i="3"/>
  <c r="D84" i="14"/>
  <c r="H92" i="11"/>
  <c r="F92" i="8"/>
  <c r="I59" i="9"/>
  <c r="J59" i="9" s="1"/>
  <c r="G45" i="10"/>
  <c r="H45" i="10" s="1"/>
  <c r="M58" i="11"/>
  <c r="N58" i="11" s="1"/>
  <c r="D84" i="11"/>
  <c r="M53" i="12"/>
  <c r="N53" i="12" s="1"/>
  <c r="F93" i="13"/>
  <c r="H93" i="10"/>
  <c r="I63" i="7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K56" i="10"/>
  <c r="D84" i="10"/>
  <c r="L54" i="12"/>
  <c r="D84" i="12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K52" i="12"/>
  <c r="G65" i="12"/>
  <c r="E43" i="12" s="1"/>
  <c r="L51" i="8"/>
  <c r="I62" i="8"/>
  <c r="I58" i="9"/>
  <c r="J58" i="9" s="1"/>
  <c r="K61" i="10"/>
  <c r="E44" i="11"/>
  <c r="E45" i="11"/>
  <c r="E91" i="11"/>
  <c r="E94" i="11" s="1"/>
  <c r="F94" i="11" s="1"/>
  <c r="K52" i="11"/>
  <c r="G65" i="14"/>
  <c r="E43" i="14" s="1"/>
  <c r="K51" i="14"/>
  <c r="K56" i="14"/>
  <c r="K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G89" i="9"/>
  <c r="K57" i="12"/>
  <c r="F93" i="7"/>
  <c r="I58" i="8"/>
  <c r="K54" i="10"/>
  <c r="K58" i="10"/>
  <c r="K63" i="10"/>
  <c r="K57" i="13"/>
  <c r="K62" i="13"/>
  <c r="K57" i="11"/>
  <c r="F89" i="9"/>
  <c r="K55" i="8"/>
  <c r="K59" i="10"/>
  <c r="K62" i="12"/>
  <c r="E91" i="7"/>
  <c r="E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K61" i="11"/>
  <c r="K56" i="9"/>
  <c r="K57" i="10"/>
  <c r="M64" i="10"/>
  <c r="N64" i="10" s="1"/>
  <c r="G92" i="10"/>
  <c r="H92" i="10" s="1"/>
  <c r="F92" i="10"/>
  <c r="K56" i="11"/>
  <c r="K51" i="13"/>
  <c r="G65" i="13"/>
  <c r="E43" i="13" s="1"/>
  <c r="K53" i="13"/>
  <c r="G92" i="13"/>
  <c r="H92" i="13" s="1"/>
  <c r="F92" i="13"/>
  <c r="G93" i="11"/>
  <c r="H93" i="11" s="1"/>
  <c r="F93" i="11"/>
  <c r="L58" i="12"/>
  <c r="G65" i="11"/>
  <c r="E43" i="11" s="1"/>
  <c r="K51" i="11"/>
  <c r="K53" i="11"/>
  <c r="K60" i="11"/>
  <c r="K63" i="12"/>
  <c r="K52" i="13"/>
  <c r="K54" i="13"/>
  <c r="K52" i="14"/>
  <c r="K57" i="14"/>
  <c r="K62" i="14"/>
  <c r="G65" i="9"/>
  <c r="E43" i="9" s="1"/>
  <c r="E91" i="10"/>
  <c r="E94" i="10" s="1"/>
  <c r="F94" i="10" s="1"/>
  <c r="K58" i="13"/>
  <c r="K63" i="13"/>
  <c r="F45" i="13"/>
  <c r="G45" i="13"/>
  <c r="H45" i="13" s="1"/>
  <c r="K59" i="13"/>
  <c r="M57" i="11"/>
  <c r="N57" i="11" s="1"/>
  <c r="K59" i="12"/>
  <c r="M60" i="10"/>
  <c r="N60" i="10" s="1"/>
  <c r="K64" i="11"/>
  <c r="F89" i="11"/>
  <c r="G89" i="11"/>
  <c r="K51" i="12"/>
  <c r="E91" i="12"/>
  <c r="E45" i="12"/>
  <c r="M59" i="12"/>
  <c r="N59" i="12" s="1"/>
  <c r="K64" i="13"/>
  <c r="M61" i="13"/>
  <c r="N61" i="13" s="1"/>
  <c r="F90" i="10"/>
  <c r="K54" i="12"/>
  <c r="K60" i="12"/>
  <c r="G90" i="13"/>
  <c r="F90" i="13"/>
  <c r="K54" i="14"/>
  <c r="K58" i="14"/>
  <c r="F90" i="9"/>
  <c r="F92" i="9"/>
  <c r="K56" i="13"/>
  <c r="E91" i="13"/>
  <c r="K61" i="13"/>
  <c r="L51" i="13"/>
  <c r="H65" i="13"/>
  <c r="M60" i="13"/>
  <c r="N60" i="13" s="1"/>
  <c r="K60" i="14"/>
  <c r="K64" i="14"/>
  <c r="G89" i="14"/>
  <c r="G93" i="14"/>
  <c r="H93" i="14" s="1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61" i="9" l="1"/>
  <c r="N61" i="9" s="1"/>
  <c r="M56" i="9"/>
  <c r="N56" i="9" s="1"/>
  <c r="F65" i="8"/>
  <c r="J58" i="8"/>
  <c r="E46" i="9"/>
  <c r="F46" i="9" s="1"/>
  <c r="J61" i="7"/>
  <c r="M58" i="3"/>
  <c r="N58" i="3" s="1"/>
  <c r="L65" i="13"/>
  <c r="M64" i="11"/>
  <c r="N64" i="11" s="1"/>
  <c r="F94" i="7"/>
  <c r="F65" i="12"/>
  <c r="F65" i="9"/>
  <c r="G91" i="9"/>
  <c r="H91" i="9" s="1"/>
  <c r="M63" i="7"/>
  <c r="N63" i="7" s="1"/>
  <c r="M59" i="9"/>
  <c r="N59" i="9" s="1"/>
  <c r="J62" i="9"/>
  <c r="F44" i="10"/>
  <c r="M57" i="10"/>
  <c r="N57" i="10" s="1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M51" i="10"/>
  <c r="H65" i="10"/>
  <c r="M54" i="9"/>
  <c r="N54" i="9" s="1"/>
  <c r="M53" i="3"/>
  <c r="N53" i="3" s="1"/>
  <c r="M60" i="8"/>
  <c r="N60" i="8" s="1"/>
  <c r="J55" i="8"/>
  <c r="H65" i="8"/>
  <c r="M51" i="3"/>
  <c r="N51" i="3" s="1"/>
  <c r="F44" i="14"/>
  <c r="M59" i="3"/>
  <c r="N59" i="3" s="1"/>
  <c r="F44" i="13"/>
  <c r="M54" i="12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M53" i="10"/>
  <c r="N53" i="10" s="1"/>
  <c r="M63" i="10"/>
  <c r="N63" i="10" s="1"/>
  <c r="E94" i="9"/>
  <c r="F94" i="9" s="1"/>
  <c r="M59" i="6"/>
  <c r="N51" i="8"/>
  <c r="M51" i="14"/>
  <c r="I65" i="14"/>
  <c r="J65" i="14" s="1"/>
  <c r="M58" i="14"/>
  <c r="N58" i="14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L51" i="7"/>
  <c r="L65" i="7" s="1"/>
  <c r="M58" i="8"/>
  <c r="N58" i="8" s="1"/>
  <c r="M57" i="7"/>
  <c r="N57" i="7" s="1"/>
  <c r="G91" i="7"/>
  <c r="H91" i="7" s="1"/>
  <c r="F91" i="7"/>
  <c r="M57" i="13"/>
  <c r="N57" i="13" s="1"/>
  <c r="F44" i="7"/>
  <c r="G44" i="7"/>
  <c r="H44" i="7" s="1"/>
  <c r="M64" i="13"/>
  <c r="N64" i="13" s="1"/>
  <c r="I65" i="11"/>
  <c r="J65" i="11" s="1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63" i="14"/>
  <c r="N63" i="14" s="1"/>
  <c r="M59" i="13"/>
  <c r="N59" i="13" s="1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M64" i="7"/>
  <c r="N64" i="7" s="1"/>
  <c r="M57" i="12"/>
  <c r="N57" i="12" s="1"/>
  <c r="M61" i="10"/>
  <c r="N61" i="10" s="1"/>
  <c r="M55" i="14"/>
  <c r="N55" i="14" s="1"/>
  <c r="M61" i="11"/>
  <c r="N61" i="11" s="1"/>
  <c r="E94" i="13"/>
  <c r="F94" i="13" s="1"/>
  <c r="M54" i="11"/>
  <c r="N54" i="11" s="1"/>
  <c r="M60" i="12"/>
  <c r="N60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K65" i="7"/>
  <c r="M62" i="12"/>
  <c r="N62" i="12" s="1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M57" i="14"/>
  <c r="N57" i="14" s="1"/>
  <c r="M63" i="12"/>
  <c r="N63" i="12" s="1"/>
  <c r="K65" i="12"/>
  <c r="H90" i="13"/>
  <c r="G94" i="11"/>
  <c r="H94" i="11" s="1"/>
  <c r="H89" i="11"/>
  <c r="M64" i="12"/>
  <c r="N64" i="12" s="1"/>
  <c r="M60" i="11"/>
  <c r="N60" i="11" s="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G91" i="12"/>
  <c r="E94" i="12"/>
  <c r="F94" i="12" s="1"/>
  <c r="F91" i="12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94" i="9" l="1"/>
  <c r="H94" i="9" s="1"/>
  <c r="I65" i="12"/>
  <c r="J65" i="12" s="1"/>
  <c r="G70" i="3"/>
  <c r="H70" i="3" s="1"/>
  <c r="G46" i="7"/>
  <c r="H46" i="7" s="1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M65" i="7" l="1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M50" i="4" l="1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<sst xmlns="http://schemas.openxmlformats.org/spreadsheetml/2006/main" count="1879" uniqueCount="189">
  <si>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</si>
  <si>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</si>
  <si>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</si>
  <si>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</si>
  <si>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</si>
  <si>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</si>
  <si>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</si>
  <si>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</si>
  <si>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</si>
  <si>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</si>
  <si>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</si>
  <si>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</si>
  <si>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</si>
  <si>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</si>
  <si>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</si>
  <si>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</si>
  <si>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</si>
  <si>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</si>
  <si>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</si>
  <si>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</si>
  <si>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</si>
  <si>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</si>
  <si>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</si>
  <si>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</si>
  <si>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</si>
  <si>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</si>
  <si>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</si>
  <si>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</si>
  <si>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</si>
  <si>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</si>
  <si>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</si>
  <si>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</si>
  <si>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</si>
  <si>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</si>
  <si>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</si>
  <si>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</si>
  <si>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</si>
  <si>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</si>
  <si>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</si>
  <si>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</si>
  <si>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</si>
  <si>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</si>
  <si>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</si>
  <si>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</si>
  <si>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</si>
  <si>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</si>
  <si>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</si>
  <si>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</si>
  <si>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</si>
  <si>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</si>
  <si>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</si>
  <si>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</si>
  <si>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</si>
  <si>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</si>
  <si>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</si>
  <si>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</si>
  <si>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</si>
  <si>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</si>
  <si>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</si>
  <si>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</si>
  <si>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</si>
  <si>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</si>
  <si>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</si>
  <si>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</si>
  <si>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</si>
  <si>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</si>
  <si>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</si>
  <si>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</si>
  <si>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</si>
  <si>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</si>
  <si>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</si>
  <si>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</si>
  <si>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</si>
  <si>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</si>
  <si>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</si>
  <si>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</si>
  <si>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</si>
  <si>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</si>
  <si>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</si>
  <si>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</si>
  <si>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</si>
  <si>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</si>
  <si>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</si>
  <si>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</si>
  <si>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</si>
  <si>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</si>
  <si>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</si>
  <si>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</si>
  <si>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</si>
  <si>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</si>
  <si>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</si>
  <si>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</si>
  <si>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</si>
  <si>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</si>
  <si>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</si>
  <si>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</si>
  <si>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</si>
  <si>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</si>
  <si>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</si>
  <si>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</si>
  <si>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</si>
  <si>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</si>
  <si>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</si>
  <si>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</si>
  <si>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</si>
  <si>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</si>
  <si>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</si>
  <si>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</si>
  <si>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</si>
  <si>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</si>
  <si>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</si>
  <si>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</si>
  <si>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</si>
  <si>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</si>
  <si>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</si>
  <si>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</si>
  <si>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</si>
  <si>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</si>
  <si>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</si>
  <si>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</si>
  <si>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</si>
  <si>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</si>
  <si>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</si>
  <si>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</si>
  <si>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</si>
  <si>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</si>
  <si>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</si>
  <si>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</si>
  <si>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</si>
  <si>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</si>
  <si>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</si>
  <si>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</si>
  <si>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</si>
  <si>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</si>
  <si>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</si>
  <si>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</si>
  <si>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</si>
  <si>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</si>
  <si>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</si>
  <si>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</si>
  <si>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</si>
  <si>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</si>
  <si>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</si>
  <si>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</si>
  <si>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</si>
  <si>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</si>
  <si>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</si>
  <si>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</si>
  <si>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</si>
  <si>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</si>
  <si>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</si>
  <si>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</si>
  <si>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</si>
  <si>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</si>
  <si>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</si>
  <si>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</si>
  <si>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</si>
  <si>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</si>
  <si>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</si>
  <si>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</si>
  <si>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</si>
  <si>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</si>
  <si>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</si>
  <si>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</si>
  <si>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</si>
  <si>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</si>
  <si>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</si>
  <si>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</si>
  <si>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</si>
  <si>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</si>
  <si>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</si>
  <si>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</si>
  <si>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</si>
  <si>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</si>
  <si>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</si>
  <si>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</si>
  <si>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</si>
  <si>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</si>
  <si>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</si>
  <si>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</si>
  <si>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</si>
  <si>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</si>
  <si>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</si>
  <si>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</si>
  <si>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</si>
  <si>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</si>
  <si>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</si>
  <si>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</si>
  <si>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DATA PENCAPAIAN — GLOBAL —  22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</si>
</sst>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9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70310453.356845215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61731925.524076752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12196946.082190301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144239324.96311226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16882680.369618144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15105514.998585556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4878380.2444444429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-4483189.7206696803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14532708.623502903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8965278.2727715168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-2790792.8520821729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12312714.248365561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11512460.018891666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8401327.5174755976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19692906.378430918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13152703.129130317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3845075.8847772679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10034611.767680041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132042378.88092208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-1484775.3240302736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-2058831.4153202707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15740552.821540859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12196946.082190314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19" zoomScaleNormal="100" workbookViewId="0">
      <selection activeCell="D12" sqref="D12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42578125" customWidth="1"/>
    <col min="4" max="4" width="17.42578125" customWidth="1"/>
    <col min="5" max="5" width="14.7109375" customWidth="1"/>
    <col min="6" max="6" width="15.140625" bestFit="1" customWidth="1"/>
    <col min="7" max="7" width="16.85546875" customWidth="1"/>
    <col min="8" max="8" width="12.42578125" bestFit="1" customWidth="1"/>
    <col min="9" max="9" width="14.28515625" bestFit="1" customWidth="1"/>
    <col min="10" max="10" width="10.28515625" customWidth="1"/>
    <col min="11" max="11" width="12.7109375" bestFit="1" customWidth="1"/>
    <col min="12" max="12" width="11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9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311713904.703628</v>
      </c>
      <c r="N8" s="11">
        <f>D22</f>
        <v>42755567.293954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457810124.426103</v>
      </c>
      <c r="N9" s="11">
        <f>D13+D14</f>
        <v>130214534.19136</v>
      </c>
    </row>
    <row r="10" spans="2:14" x14ac:dyDescent="0.25">
      <c r="B10" s="74" t="s">
        <v>113</v>
      </c>
      <c r="C10" s="206">
        <v>288985836.00426298</v>
      </c>
      <c r="D10" s="206">
        <v>37053273.674698003</v>
      </c>
      <c r="E10" s="206">
        <v>121778171.97</v>
      </c>
      <c r="F10" s="206">
        <v>447817281.64896101</v>
      </c>
      <c r="H10" s="116"/>
      <c r="I10" s="116"/>
      <c r="J10" s="116"/>
      <c r="M10" s="11">
        <f>C15</f>
        <v>686430079.81466699</v>
      </c>
      <c r="N10" s="11">
        <f>D15</f>
        <v>17301746.402329002</v>
      </c>
    </row>
    <row r="11" spans="2:14" x14ac:dyDescent="0.25">
      <c r="B11" s="74" t="s">
        <v>114</v>
      </c>
      <c r="C11" s="206">
        <v>233651812.73661599</v>
      </c>
      <c r="D11" s="206">
        <v>72607297.312684998</v>
      </c>
      <c r="E11" s="206">
        <v>57220804.159999996</v>
      </c>
      <c r="F11" s="206">
        <v>363479914.20930099</v>
      </c>
      <c r="H11" s="116"/>
      <c r="I11" s="116"/>
      <c r="J11" s="116"/>
      <c r="M11" s="11">
        <f>C12</f>
        <v>252743244.47898901</v>
      </c>
      <c r="N11" s="11">
        <f>D12</f>
        <v>32367613.199999999</v>
      </c>
    </row>
    <row r="12" spans="2:14" x14ac:dyDescent="0.25">
      <c r="B12" s="74" t="s">
        <v>185</v>
      </c>
      <c r="C12" s="206">
        <v>252743244.47898901</v>
      </c>
      <c r="D12" s="206">
        <v>32367613.199999999</v>
      </c>
      <c r="E12" s="206" t="s">
        <v>168</v>
      </c>
      <c r="F12" s="206">
        <v>285110857.67898899</v>
      </c>
      <c r="H12" s="116"/>
      <c r="I12" s="116"/>
      <c r="J12" s="116"/>
      <c r="M12" s="11">
        <f>C25+C26</f>
        <v>272021751.03492403</v>
      </c>
      <c r="N12" s="11">
        <f>D25+D26</f>
        <v>83004692.609486997</v>
      </c>
    </row>
    <row r="13" spans="2:14" x14ac:dyDescent="0.25">
      <c r="B13" s="74" t="s">
        <v>70</v>
      </c>
      <c r="C13" s="206">
        <v>259064603.77312499</v>
      </c>
      <c r="D13" s="206">
        <v>98550548.001494005</v>
      </c>
      <c r="E13" s="206">
        <v>42466571.119999997</v>
      </c>
      <c r="F13" s="206">
        <v>400081722.89461899</v>
      </c>
      <c r="H13" s="116"/>
      <c r="I13" s="116"/>
      <c r="J13" s="116"/>
      <c r="M13" s="11">
        <f>C17</f>
        <v>1049229744.499025</v>
      </c>
      <c r="N13" s="11">
        <f>D17</f>
        <v>73020554.659632996</v>
      </c>
    </row>
    <row r="14" spans="2:14" x14ac:dyDescent="0.25">
      <c r="B14" s="74" t="s">
        <v>115</v>
      </c>
      <c r="C14" s="206">
        <v>198745520.652978</v>
      </c>
      <c r="D14" s="206">
        <v>31663986.189865999</v>
      </c>
      <c r="E14" s="206">
        <v>31907859.960000001</v>
      </c>
      <c r="F14" s="206">
        <v>262317366.80284399</v>
      </c>
      <c r="H14" s="116"/>
      <c r="I14" s="116"/>
      <c r="J14" s="116"/>
      <c r="M14" s="11">
        <f>C23</f>
        <v>346178921.48577702</v>
      </c>
      <c r="N14" s="11">
        <f>D23</f>
        <v>46807826.349945001</v>
      </c>
    </row>
    <row r="15" spans="2:14" x14ac:dyDescent="0.25">
      <c r="B15" s="84" t="s">
        <v>116</v>
      </c>
      <c r="C15" s="206">
        <v>686430079.81466699</v>
      </c>
      <c r="D15" s="206">
        <v>17301746.402329002</v>
      </c>
      <c r="E15" s="206">
        <v>270209570.93000001</v>
      </c>
      <c r="F15" s="206">
        <v>973941397.14699602</v>
      </c>
      <c r="H15" s="116"/>
      <c r="I15" s="116"/>
      <c r="J15" s="116"/>
      <c r="M15" s="11">
        <f>C11</f>
        <v>233651812.73661599</v>
      </c>
      <c r="N15" s="11">
        <f>D11</f>
        <v>72607297.312684998</v>
      </c>
    </row>
    <row r="16" spans="2:14" x14ac:dyDescent="0.25">
      <c r="B16" s="74" t="s">
        <v>119</v>
      </c>
      <c r="C16" s="206">
        <v>992965788.97214103</v>
      </c>
      <c r="D16" s="206">
        <v>4392576.8539979998</v>
      </c>
      <c r="E16" s="206">
        <v>4929729.68</v>
      </c>
      <c r="F16" s="206">
        <v>1002288095.506139</v>
      </c>
      <c r="H16" s="116"/>
      <c r="I16" s="116"/>
      <c r="J16" s="116"/>
      <c r="M16" s="11">
        <f>C24</f>
        <v>441553038.55497301</v>
      </c>
      <c r="N16" s="11">
        <f>D24</f>
        <v>46761369.339915</v>
      </c>
    </row>
    <row r="17" spans="2:14" x14ac:dyDescent="0.25">
      <c r="B17" s="74" t="s">
        <v>121</v>
      </c>
      <c r="C17" s="206">
        <v>1049229744.499025</v>
      </c>
      <c r="D17" s="206">
        <v>73020554.659632996</v>
      </c>
      <c r="E17" s="206">
        <v>932000382.06996799</v>
      </c>
      <c r="F17" s="206">
        <v>2054250681.228626</v>
      </c>
      <c r="H17" s="116"/>
      <c r="I17" s="116"/>
      <c r="J17" s="116"/>
      <c r="M17" s="11">
        <f>C10</f>
        <v>288985836.00426298</v>
      </c>
      <c r="N17" s="11">
        <f>D10</f>
        <v>37053273.674698003</v>
      </c>
    </row>
    <row r="18" spans="2:14" x14ac:dyDescent="0.25">
      <c r="B18" s="74" t="s">
        <v>123</v>
      </c>
      <c r="C18" s="206">
        <v>177907436.92840099</v>
      </c>
      <c r="D18" s="206">
        <v>20023770.979789</v>
      </c>
      <c r="E18" s="206">
        <v>7372973.1399999997</v>
      </c>
      <c r="F18" s="206">
        <v>205304181.04819</v>
      </c>
      <c r="H18" s="116"/>
      <c r="I18" s="116"/>
      <c r="J18" s="116"/>
      <c r="M18" s="11">
        <f>C27</f>
        <v>659063402.31884503</v>
      </c>
      <c r="N18" s="11">
        <f>D27</f>
        <v>210997931.395964</v>
      </c>
    </row>
    <row r="19" spans="2:14" x14ac:dyDescent="0.25">
      <c r="B19" s="74" t="s">
        <v>124</v>
      </c>
      <c r="C19" s="206">
        <v>45516493.799989</v>
      </c>
      <c r="D19" s="206">
        <v>110104496.851979</v>
      </c>
      <c r="E19" s="206">
        <v>39135136</v>
      </c>
      <c r="F19" s="206">
        <v>194756126.651968</v>
      </c>
      <c r="H19" s="116"/>
      <c r="I19" s="116"/>
      <c r="J19" s="116"/>
      <c r="M19" s="11">
        <f>C18+C19</f>
        <v>223423930.72838998</v>
      </c>
      <c r="N19" s="11">
        <f>D18+D19</f>
        <v>130128267.83176801</v>
      </c>
    </row>
    <row r="20" spans="2:14" x14ac:dyDescent="0.25">
      <c r="B20" s="74" t="s">
        <v>172</v>
      </c>
      <c r="C20" s="206">
        <v>143502429.69999999</v>
      </c>
      <c r="D20" s="206" t="s">
        <v>168</v>
      </c>
      <c r="E20" s="206">
        <v>6702702.5199999996</v>
      </c>
      <c r="F20" s="206">
        <v>150205132.22</v>
      </c>
      <c r="H20" s="116"/>
      <c r="I20" s="116"/>
      <c r="J20" s="116"/>
      <c r="M20" s="14">
        <f>IFERROR(C31,0)+IFERROR(C36,0)</f>
        <v>20036500</v>
      </c>
      <c r="N20" s="10" t="s">
        <v>120</v>
      </c>
    </row>
    <row r="21" spans="2:14" x14ac:dyDescent="0.25">
      <c r="B21" s="74" t="s">
        <v>173</v>
      </c>
      <c r="C21" s="206">
        <v>178919704.84</v>
      </c>
      <c r="D21" s="206" t="s">
        <v>168</v>
      </c>
      <c r="E21" s="206">
        <v>11765765.439999999</v>
      </c>
      <c r="F21" s="206">
        <v>190685470.28</v>
      </c>
      <c r="H21" s="116"/>
      <c r="I21" s="116"/>
      <c r="J21" s="116"/>
      <c r="M21" s="14">
        <f>IFERROR(C34,0)+IFERROR(C35,0)+M20</f>
        <v>509103586.49439996</v>
      </c>
      <c r="N21" s="10" t="s">
        <v>122</v>
      </c>
    </row>
    <row r="22" spans="2:14" x14ac:dyDescent="0.25">
      <c r="B22" s="74" t="s">
        <v>125</v>
      </c>
      <c r="C22" s="206">
        <v>311713904.703628</v>
      </c>
      <c r="D22" s="206">
        <v>42755567.293954</v>
      </c>
      <c r="E22" s="206">
        <v>337119206.99989003</v>
      </c>
      <c r="F22" s="206">
        <v>691588678.99747205</v>
      </c>
      <c r="H22" s="116"/>
      <c r="I22" s="116"/>
      <c r="J22" s="116"/>
    </row>
    <row r="23" spans="2:14" x14ac:dyDescent="0.25">
      <c r="B23" s="74" t="s">
        <v>126</v>
      </c>
      <c r="C23" s="206">
        <v>346178921.48577702</v>
      </c>
      <c r="D23" s="206">
        <v>46807826.349945001</v>
      </c>
      <c r="E23" s="206">
        <v>197414241.259532</v>
      </c>
      <c r="F23" s="206">
        <v>590400989.09525394</v>
      </c>
      <c r="H23" s="116"/>
      <c r="I23" s="116"/>
      <c r="J23" s="116"/>
    </row>
    <row r="24" spans="2:14" x14ac:dyDescent="0.25">
      <c r="B24" s="74" t="s">
        <v>127</v>
      </c>
      <c r="C24" s="206">
        <v>441553038.55497301</v>
      </c>
      <c r="D24" s="206">
        <v>46761369.339915</v>
      </c>
      <c r="E24" s="206">
        <v>553701806.96934199</v>
      </c>
      <c r="F24" s="206">
        <v>1042016214.86423</v>
      </c>
      <c r="H24" s="116"/>
      <c r="I24" s="116"/>
      <c r="J24" s="116"/>
    </row>
    <row r="25" spans="2:14" x14ac:dyDescent="0.25">
      <c r="B25" s="74" t="s">
        <v>186</v>
      </c>
      <c r="C25" s="206">
        <v>183007153.945223</v>
      </c>
      <c r="D25" s="206">
        <v>3851604.9499949999</v>
      </c>
      <c r="E25" s="206">
        <v>44078828.340000004</v>
      </c>
      <c r="F25" s="206">
        <v>230937587.23521799</v>
      </c>
      <c r="H25" s="116"/>
      <c r="I25" s="116"/>
      <c r="J25" s="116"/>
    </row>
    <row r="26" spans="2:14" x14ac:dyDescent="0.25">
      <c r="B26" s="74" t="s">
        <v>187</v>
      </c>
      <c r="C26" s="206">
        <v>89014597.089700997</v>
      </c>
      <c r="D26" s="206">
        <v>79153087.659492001</v>
      </c>
      <c r="E26" s="206" t="s">
        <v>168</v>
      </c>
      <c r="F26" s="206">
        <v>168167684.74919301</v>
      </c>
      <c r="H26" s="116"/>
      <c r="I26" s="116"/>
      <c r="J26" s="116"/>
    </row>
    <row r="27" spans="2:14" x14ac:dyDescent="0.25">
      <c r="B27" s="74" t="s">
        <v>128</v>
      </c>
      <c r="C27" s="206">
        <v>659063402.31884503</v>
      </c>
      <c r="D27" s="206">
        <v>210997931.395964</v>
      </c>
      <c r="E27" s="206">
        <v>11973297.575999999</v>
      </c>
      <c r="F27" s="206">
        <v>882034631.29080904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163607643.35375899</v>
      </c>
      <c r="G32" s="116"/>
      <c r="H32" s="116"/>
      <c r="I32" s="116"/>
    </row>
    <row r="33" spans="2:14" x14ac:dyDescent="0.25">
      <c r="B33" s="84" t="s">
        <v>133</v>
      </c>
      <c r="C33" s="206">
        <v>487733319.15468502</v>
      </c>
      <c r="G33" s="116"/>
      <c r="H33" s="116"/>
      <c r="I33" s="116"/>
    </row>
    <row r="34" spans="2:14" x14ac:dyDescent="0.25">
      <c r="B34" s="84" t="s">
        <v>134</v>
      </c>
      <c r="C34" s="205">
        <v>95925188.876389995</v>
      </c>
      <c r="G34" s="116"/>
      <c r="H34" s="116"/>
      <c r="I34" s="116"/>
    </row>
    <row r="35" spans="2:14" x14ac:dyDescent="0.25">
      <c r="B35" s="84" t="s">
        <v>135</v>
      </c>
      <c r="C35" s="206">
        <v>393141897.61800998</v>
      </c>
      <c r="G35" s="116"/>
      <c r="H35" s="116"/>
      <c r="I35" s="116"/>
    </row>
    <row r="36" spans="2:14" x14ac:dyDescent="0.25">
      <c r="B36" s="84" t="s">
        <v>136</v>
      </c>
      <c r="C36" s="206">
        <v>20036500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188</v>
      </c>
      <c r="C41" s="226"/>
      <c r="D41" s="227"/>
      <c r="E41" s="67" t="s">
        <v>138</v>
      </c>
      <c r="F41" s="73">
        <f ca="1">IF(MONTH(TODAY())=7,DAY(TODAY())/DAY(EOMONTH(TODAY(),0)),IF(MONTH(TODAY())&gt;7,1,0))</f>
        <v>0.70967741935483875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5545227925.3261995</v>
      </c>
      <c r="F43" s="44">
        <f>IFERROR(E43/D43,0)</f>
        <v>0.69770217689700986</v>
      </c>
      <c r="G43" s="118">
        <f>D43-E43</f>
        <v>2402615881.0214901</v>
      </c>
      <c r="H43" s="118">
        <f ca="1">IFERROR(G43/C3,0)</f>
        <v>266957320.1134989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923020674.26173806</v>
      </c>
      <c r="F44" s="44">
        <f>IFERROR(E44/D44,0)</f>
        <v>0.6225245540695995</v>
      </c>
      <c r="G44" s="118">
        <f>D44-E44</f>
        <v>559684976.8290019</v>
      </c>
      <c r="H44" s="118">
        <f ca="1">IFERROR(G44/C3,0)</f>
        <v>62187219.647666879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1160444549.0028441</v>
      </c>
      <c r="F45" s="44">
        <f>IFERROR(E45/D45,0)</f>
        <v>0.62690682532337549</v>
      </c>
      <c r="G45" s="118">
        <f>D45-E45</f>
        <v>690619280.78439021</v>
      </c>
      <c r="H45" s="118">
        <f ca="1">IFERROR(G45/C3,0)</f>
        <v>76735475.64271003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7628693148.5907812</v>
      </c>
      <c r="F46" s="43">
        <f>IFERROR(E46/D46,0)</f>
        <v>0.6762058718347369</v>
      </c>
      <c r="G46" s="119">
        <f>G43+G44+G45</f>
        <v>3652920138.634882</v>
      </c>
      <c r="H46" s="119">
        <f ca="1">IFERROR(G46/C3,0)</f>
        <v>405880015.40387577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311713904.703628</v>
      </c>
      <c r="H51" s="122">
        <f>N8</f>
        <v>42755567.293954</v>
      </c>
      <c r="I51" s="122">
        <f t="shared" ref="I51:I64" si="1">G51+H51</f>
        <v>354469471.99758202</v>
      </c>
      <c r="J51" s="61">
        <f t="shared" ref="J51:J64" si="2">IFERROR(I51/F51,0)</f>
        <v>0.62454333492810277</v>
      </c>
      <c r="K51" s="51">
        <f t="shared" ref="K51:M64" si="3">D51-G51</f>
        <v>179523272.42183542</v>
      </c>
      <c r="L51" s="51">
        <f t="shared" si="3"/>
        <v>33573110.780027449</v>
      </c>
      <c r="M51" s="51">
        <f t="shared" si="3"/>
        <v>213096383.20186287</v>
      </c>
      <c r="N51" s="51">
        <f ca="1">IFERROR(M51/C3,0)</f>
        <v>23677375.911318097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457810124.426103</v>
      </c>
      <c r="H52" s="122">
        <f>N9</f>
        <v>130214534.19136</v>
      </c>
      <c r="I52" s="122">
        <f t="shared" si="1"/>
        <v>588024658.61746299</v>
      </c>
      <c r="J52" s="61">
        <f t="shared" si="2"/>
        <v>0.70109584184869089</v>
      </c>
      <c r="K52" s="54">
        <f t="shared" si="3"/>
        <v>199647035.42564666</v>
      </c>
      <c r="L52" s="54">
        <f t="shared" si="3"/>
        <v>51050522.689662308</v>
      </c>
      <c r="M52" s="54">
        <f t="shared" si="3"/>
        <v>250697558.115309</v>
      </c>
      <c r="N52" s="54">
        <f ca="1">IFERROR(M52/C3,0)</f>
        <v>27855284.235034332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C20</f>
        <v>143502429.69999999</v>
      </c>
      <c r="H53" s="122">
        <f>IF(D20="",0,D20)</f>
        <v>0</v>
      </c>
      <c r="I53" s="122">
        <f>G53+H53</f>
        <v>143502429.69999999</v>
      </c>
      <c r="J53" s="61">
        <f>IFERROR(I53/F53,0)</f>
        <v>0.57641782233111283</v>
      </c>
      <c r="K53" s="54">
        <f>D53-G53</f>
        <v>105453144.08787572</v>
      </c>
      <c r="L53" s="54">
        <f>E53-H53</f>
        <v>0</v>
      </c>
      <c r="M53" s="54">
        <f>F53-I53</f>
        <v>105453144.08787572</v>
      </c>
      <c r="N53" s="54">
        <f ca="1">IFERROR(M53/C3,0)</f>
        <v>11717016.009763969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686430079.81466699</v>
      </c>
      <c r="H54" s="122">
        <f t="shared" ref="H54:H58" si="4">N10</f>
        <v>17301746.402329002</v>
      </c>
      <c r="I54" s="122">
        <f t="shared" si="1"/>
        <v>703731826.21699595</v>
      </c>
      <c r="J54" s="61">
        <f t="shared" si="2"/>
        <v>0.90237051840276117</v>
      </c>
      <c r="K54" s="54">
        <f>D54-G54</f>
        <v>41957197.75923574</v>
      </c>
      <c r="L54" s="54">
        <f t="shared" si="3"/>
        <v>34181120.122264355</v>
      </c>
      <c r="M54" s="54">
        <f t="shared" si="3"/>
        <v>76138317.881500125</v>
      </c>
      <c r="N54" s="54">
        <f ca="1">IFERROR(M54/C3,0)</f>
        <v>8459813.0979444589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252743244.47898901</v>
      </c>
      <c r="H55" s="122">
        <f t="shared" si="4"/>
        <v>32367613.199999999</v>
      </c>
      <c r="I55" s="122">
        <f t="shared" si="1"/>
        <v>285110857.67898899</v>
      </c>
      <c r="J55" s="61">
        <f t="shared" si="2"/>
        <v>0.51594596389596448</v>
      </c>
      <c r="K55" s="54">
        <f t="shared" si="3"/>
        <v>229568933.99837637</v>
      </c>
      <c r="L55" s="54">
        <f t="shared" si="3"/>
        <v>37918498.899588957</v>
      </c>
      <c r="M55" s="54">
        <f t="shared" si="3"/>
        <v>267487432.89796537</v>
      </c>
      <c r="N55" s="54">
        <f ca="1">IFERROR(M55/C3,0)</f>
        <v>29720825.877551708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272021751.03492403</v>
      </c>
      <c r="H56" s="122">
        <f t="shared" si="4"/>
        <v>83004692.609486997</v>
      </c>
      <c r="I56" s="122">
        <f t="shared" si="1"/>
        <v>355026443.64441103</v>
      </c>
      <c r="J56" s="61">
        <f t="shared" si="2"/>
        <v>0.56519884075270055</v>
      </c>
      <c r="K56" s="54">
        <f t="shared" si="3"/>
        <v>233170251.96816254</v>
      </c>
      <c r="L56" s="54">
        <f t="shared" si="3"/>
        <v>39947628.200275108</v>
      </c>
      <c r="M56" s="54">
        <f t="shared" si="3"/>
        <v>273117880.16843766</v>
      </c>
      <c r="N56" s="54">
        <f ca="1">IFERROR(M56/C3,0)</f>
        <v>30346431.129826408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1049229744.499025</v>
      </c>
      <c r="H57" s="122">
        <f t="shared" si="4"/>
        <v>73020554.659632996</v>
      </c>
      <c r="I57" s="122">
        <f t="shared" si="1"/>
        <v>1122250299.158658</v>
      </c>
      <c r="J57" s="61">
        <f t="shared" si="2"/>
        <v>0.9654742693542091</v>
      </c>
      <c r="K57" s="54">
        <f t="shared" si="3"/>
        <v>12015658.549693704</v>
      </c>
      <c r="L57" s="54">
        <f t="shared" si="3"/>
        <v>28116443.1290254</v>
      </c>
      <c r="M57" s="54">
        <f t="shared" si="3"/>
        <v>40132101.678719044</v>
      </c>
      <c r="N57" s="54">
        <f ca="1">IFERROR(M57/C3,0)</f>
        <v>4459122.4087465601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346178921.48577702</v>
      </c>
      <c r="H58" s="122">
        <f t="shared" si="4"/>
        <v>46807826.349945001</v>
      </c>
      <c r="I58" s="122">
        <f>G58+H58</f>
        <v>392986747.83572203</v>
      </c>
      <c r="J58" s="61">
        <f>IFERROR(I58/F58,0)</f>
        <v>0.5884980313928142</v>
      </c>
      <c r="K58" s="54">
        <f t="shared" si="3"/>
        <v>216935249.24831176</v>
      </c>
      <c r="L58" s="54">
        <f t="shared" si="3"/>
        <v>57857208.405625485</v>
      </c>
      <c r="M58" s="54">
        <f t="shared" si="3"/>
        <v>274792457.65393728</v>
      </c>
      <c r="N58" s="54">
        <f ca="1">IFERROR(M58/C3,0)</f>
        <v>30532495.294881921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C21</f>
        <v>178919704.84</v>
      </c>
      <c r="H59" s="122">
        <f>IF(D21="",0,D21)</f>
        <v>0</v>
      </c>
      <c r="I59" s="122">
        <f>G59+H59</f>
        <v>178919704.84</v>
      </c>
      <c r="J59" s="61">
        <f>IFERROR(I59/F59,0)</f>
        <v>0.41623832584638254</v>
      </c>
      <c r="K59" s="54">
        <f>D59-G59</f>
        <v>250929479.46128497</v>
      </c>
      <c r="L59" s="54">
        <f>E59-H59</f>
        <v>0</v>
      </c>
      <c r="M59" s="54">
        <f>F59-I59</f>
        <v>250929479.46128497</v>
      </c>
      <c r="N59" s="54">
        <f ca="1">IFERROR(M59/C3,0)</f>
        <v>27881053.273476109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233651812.73661599</v>
      </c>
      <c r="H60" s="122">
        <f t="shared" ref="H60:H64" si="5">N15</f>
        <v>72607297.312684998</v>
      </c>
      <c r="I60" s="122">
        <f t="shared" si="1"/>
        <v>306259110.04930097</v>
      </c>
      <c r="J60" s="61">
        <f t="shared" si="2"/>
        <v>0.48429252927326727</v>
      </c>
      <c r="K60" s="54">
        <f t="shared" si="3"/>
        <v>281069298.69023204</v>
      </c>
      <c r="L60" s="54">
        <f t="shared" si="3"/>
        <v>45056134.769481078</v>
      </c>
      <c r="M60" s="54">
        <f t="shared" si="3"/>
        <v>326125433.45971316</v>
      </c>
      <c r="N60" s="54">
        <f ca="1">IFERROR(M60/C3,0)</f>
        <v>36236159.27330146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441553038.55497301</v>
      </c>
      <c r="H61" s="122">
        <f t="shared" si="5"/>
        <v>46761369.339915</v>
      </c>
      <c r="I61" s="122">
        <f t="shared" si="1"/>
        <v>488314407.89488798</v>
      </c>
      <c r="J61" s="61">
        <f t="shared" si="2"/>
        <v>0.63434662275152931</v>
      </c>
      <c r="K61" s="54">
        <f t="shared" si="3"/>
        <v>257292137.68462801</v>
      </c>
      <c r="L61" s="54">
        <f t="shared" si="3"/>
        <v>24184591.286295824</v>
      </c>
      <c r="M61" s="54">
        <f t="shared" si="3"/>
        <v>281476728.97092384</v>
      </c>
      <c r="N61" s="54">
        <f ca="1">IFERROR(M61/C3,0)</f>
        <v>31275192.107880428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288985836.00426298</v>
      </c>
      <c r="H62" s="122">
        <f t="shared" si="5"/>
        <v>37053273.674698003</v>
      </c>
      <c r="I62" s="122">
        <f t="shared" si="1"/>
        <v>326039109.67896098</v>
      </c>
      <c r="J62" s="61">
        <f t="shared" si="2"/>
        <v>0.61491103731188312</v>
      </c>
      <c r="K62" s="54">
        <f t="shared" si="3"/>
        <v>192884528.21310312</v>
      </c>
      <c r="L62" s="54">
        <f t="shared" si="3"/>
        <v>11297954.981367789</v>
      </c>
      <c r="M62" s="54">
        <f t="shared" si="3"/>
        <v>204182483.19447094</v>
      </c>
      <c r="N62" s="54">
        <f ca="1">IFERROR(M62/C3,0)</f>
        <v>22686942.577163439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659063402.31884503</v>
      </c>
      <c r="H63" s="122">
        <f t="shared" si="5"/>
        <v>210997931.395964</v>
      </c>
      <c r="I63" s="122">
        <f t="shared" si="1"/>
        <v>870061333.71480906</v>
      </c>
      <c r="J63" s="61">
        <f t="shared" si="2"/>
        <v>0.84294192571286453</v>
      </c>
      <c r="K63" s="54">
        <f t="shared" si="3"/>
        <v>46991526.673955441</v>
      </c>
      <c r="L63" s="54">
        <f t="shared" si="3"/>
        <v>115119472.21767232</v>
      </c>
      <c r="M63" s="54">
        <f t="shared" si="3"/>
        <v>162110998.89162767</v>
      </c>
      <c r="N63" s="54">
        <f ca="1">IFERROR(M63/C3,0)</f>
        <v>18012333.210180853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223423930.72838998</v>
      </c>
      <c r="H64" s="122">
        <f t="shared" si="5"/>
        <v>130128267.83176801</v>
      </c>
      <c r="I64" s="122">
        <f t="shared" si="1"/>
        <v>353552198.56015801</v>
      </c>
      <c r="J64" s="61">
        <f t="shared" si="2"/>
        <v>0.59912661509262344</v>
      </c>
      <c r="K64" s="54">
        <f t="shared" si="3"/>
        <v>155178166.83914721</v>
      </c>
      <c r="L64" s="54">
        <f t="shared" si="3"/>
        <v>81382291.347715974</v>
      </c>
      <c r="M64" s="54">
        <f t="shared" si="3"/>
        <v>236560458.18686318</v>
      </c>
      <c r="N64" s="54">
        <f ca="1">IFERROR(M64/C3,0)</f>
        <v>26284495.35409591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5545227925.3261995</v>
      </c>
      <c r="H65" s="152">
        <f>SUM(H51:H64)</f>
        <v>923020674.26173806</v>
      </c>
      <c r="I65" s="152">
        <f>SUM(I51:I64)</f>
        <v>6468248599.5879383</v>
      </c>
      <c r="J65" s="153">
        <f>IFERROR(I65/F65,0)</f>
        <v>0.68588247469356645</v>
      </c>
      <c r="K65" s="154">
        <f>SUM(K51:K64)</f>
        <v>2402615881.0214887</v>
      </c>
      <c r="L65" s="154">
        <f>SUM(L51:L64)</f>
        <v>559684976.82900202</v>
      </c>
      <c r="M65" s="154">
        <f>SUM(M51:M64)</f>
        <v>2962300857.8504906</v>
      </c>
      <c r="N65" s="154">
        <f ca="1">IFERROR(M65/C3,0)</f>
        <v>329144539.76116562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IF(E22="",0,E22)</f>
        <v>337119206.99989003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IF(E13="",0,E13)+IF(E14="",0,E14)</f>
        <v>74374431.079999998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IF(E20="",0,E20)</f>
        <v>6702702.5199999996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IF(E15="",0,E15)</f>
        <v>270209570.93000001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IF(E25="",0,E25)+IF(E26="",0,E26)</f>
        <v>44078828.340000004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IF(E17="",0,E17)</f>
        <v>932000382.06996799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IF(E23="",0,E23)</f>
        <v>197414241.259532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IF(E21="",0,E21)</f>
        <v>11765765.439999999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57220804.159999996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IF(E24="",0,E24)</f>
        <v>553701806.96934199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121778171.97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11973297.575999999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IF(E18="",0,E18)+IF(E19="",0,E19)</f>
        <v>46508109.140000001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2664847318.4547319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163607643.35375899</v>
      </c>
      <c r="F89" s="61">
        <f t="shared" ref="F89:F94" si="7">IFERROR(E89/D89,0)</f>
        <v>0.55812701615034321</v>
      </c>
      <c r="G89" s="125">
        <f>D89-E89</f>
        <v>129529292.53985816</v>
      </c>
      <c r="H89" s="125">
        <f ca="1">IFERROR(G89/C3,0)</f>
        <v>14392143.615539797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487733319.15468502</v>
      </c>
      <c r="F90" s="61">
        <f t="shared" si="7"/>
        <v>1.1175321408563257</v>
      </c>
      <c r="G90" s="126">
        <f>D90-E90</f>
        <v>-51295474.261067867</v>
      </c>
      <c r="H90" s="126">
        <f ca="1">IFERROR(G90/C3,0)</f>
        <v>-5699497.140118652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509103586.49439996</v>
      </c>
      <c r="F91" s="61">
        <f t="shared" si="7"/>
        <v>0.45395323917639069</v>
      </c>
      <c r="G91" s="125">
        <f>D91-E91</f>
        <v>612385462.50559998</v>
      </c>
      <c r="H91" s="125">
        <f ca="1">IFERROR(G91/C3,0)</f>
        <v>68042829.167288885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1160444549.0028441</v>
      </c>
      <c r="F94" s="43">
        <f t="shared" si="7"/>
        <v>0.62690682532337549</v>
      </c>
      <c r="G94" s="119">
        <f>SUM(G89:G93)</f>
        <v>690619280.78439021</v>
      </c>
      <c r="H94" s="119">
        <f ca="1">IFERROR(G94/C3,0)</f>
        <v>76735475.64271003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TARGETS!R9</f>
        <v>0</v>
      </c>
      <c r="E55" s="127">
        <f>TARGETS!S9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TARGETS!R10</f>
        <v>0</v>
      </c>
      <c r="E56" s="128">
        <f>TARGETS!S10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TARGETS!T9</f>
        <v>0</v>
      </c>
      <c r="E55" s="127">
        <f>TARGETS!U9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TARGETS!T10</f>
        <v>0</v>
      </c>
      <c r="E56" s="128">
        <f>TARGETS!U10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TARGETS!V9</f>
        <v>0</v>
      </c>
      <c r="E55" s="127">
        <f>TARGETS!W9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TARGETS!V10</f>
        <v>0</v>
      </c>
      <c r="E56" s="128">
        <f>TARGETS!W10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TARGETS!X9</f>
        <v>0</v>
      </c>
      <c r="E55" s="127">
        <f>TARGETS!Y9</f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TARGETS!X10</f>
        <v>0</v>
      </c>
      <c r="E56" s="128">
        <f>TARGETS!Y10</f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185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50"/>
      <c r="D15" s="150"/>
      <c r="E15" s="150"/>
      <c r="F15" s="150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172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173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186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187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1">D51+E51</f>
        <v>0</v>
      </c>
      <c r="G51" s="122">
        <f>M8</f>
        <v>0</v>
      </c>
      <c r="H51" s="122">
        <f>N8</f>
        <v>0</v>
      </c>
      <c r="I51" s="122">
        <f t="shared" ref="I51:I64" si="2">G51+H51</f>
        <v>0</v>
      </c>
      <c r="J51" s="61">
        <f t="shared" ref="J51:J64" si="3">IFERROR(I51/F51,0)</f>
        <v>0</v>
      </c>
      <c r="K51" s="51">
        <f t="shared" ref="K51:M64" si="4">D51-G51</f>
        <v>0</v>
      </c>
      <c r="L51" s="51">
        <f t="shared" si="4"/>
        <v>0</v>
      </c>
      <c r="M51" s="51">
        <f t="shared" si="4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1"/>
        <v>0</v>
      </c>
      <c r="G52" s="122">
        <f>M9</f>
        <v>0</v>
      </c>
      <c r="H52" s="122">
        <f>N9</f>
        <v>0</v>
      </c>
      <c r="I52" s="122">
        <f t="shared" si="2"/>
        <v>0</v>
      </c>
      <c r="J52" s="61">
        <f t="shared" si="3"/>
        <v>0</v>
      </c>
      <c r="K52" s="54">
        <f t="shared" si="4"/>
        <v>0</v>
      </c>
      <c r="L52" s="54">
        <f t="shared" si="4"/>
        <v>0</v>
      </c>
      <c r="M52" s="54">
        <f t="shared" si="4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C20</f>
        <v>0</v>
      </c>
      <c r="H53" s="122">
        <f>IF(D20="",0,D20)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1"/>
        <v>0</v>
      </c>
      <c r="G54" s="122">
        <f>M10</f>
        <v>0</v>
      </c>
      <c r="H54" s="122">
        <f t="shared" ref="H54:H58" si="5">N10</f>
        <v>0</v>
      </c>
      <c r="I54" s="122">
        <f t="shared" si="2"/>
        <v>0</v>
      </c>
      <c r="J54" s="61">
        <f t="shared" si="3"/>
        <v>0</v>
      </c>
      <c r="K54" s="54">
        <f>D54-G54</f>
        <v>0</v>
      </c>
      <c r="L54" s="54">
        <f t="shared" si="4"/>
        <v>0</v>
      </c>
      <c r="M54" s="54">
        <f t="shared" si="4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184</v>
      </c>
      <c r="D55" s="127">
        <f>TARGETS!Z9</f>
        <v>0</v>
      </c>
      <c r="E55" s="127">
        <v>0</v>
      </c>
      <c r="F55" s="127">
        <f t="shared" si="1"/>
        <v>0</v>
      </c>
      <c r="G55" s="122">
        <f>M11</f>
        <v>0</v>
      </c>
      <c r="H55" s="122">
        <f t="shared" si="5"/>
        <v>0</v>
      </c>
      <c r="I55" s="122">
        <f t="shared" si="2"/>
        <v>0</v>
      </c>
      <c r="J55" s="61">
        <f t="shared" si="3"/>
        <v>0</v>
      </c>
      <c r="K55" s="54">
        <f t="shared" si="4"/>
        <v>0</v>
      </c>
      <c r="L55" s="54">
        <f t="shared" si="4"/>
        <v>0</v>
      </c>
      <c r="M55" s="54">
        <f t="shared" si="4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99</v>
      </c>
      <c r="D56" s="128">
        <f>TARGETS!Z10</f>
        <v>0</v>
      </c>
      <c r="E56" s="128">
        <v>0</v>
      </c>
      <c r="F56" s="128">
        <f t="shared" si="1"/>
        <v>0</v>
      </c>
      <c r="G56" s="122">
        <f>M12</f>
        <v>0</v>
      </c>
      <c r="H56" s="122">
        <f t="shared" si="5"/>
        <v>0</v>
      </c>
      <c r="I56" s="122">
        <f t="shared" si="2"/>
        <v>0</v>
      </c>
      <c r="J56" s="61">
        <f t="shared" si="3"/>
        <v>0</v>
      </c>
      <c r="K56" s="54">
        <f t="shared" si="4"/>
        <v>0</v>
      </c>
      <c r="L56" s="54">
        <f t="shared" si="4"/>
        <v>0</v>
      </c>
      <c r="M56" s="54">
        <f t="shared" si="4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1"/>
        <v>0</v>
      </c>
      <c r="G57" s="122">
        <f>M13</f>
        <v>0</v>
      </c>
      <c r="H57" s="122">
        <f t="shared" si="5"/>
        <v>0</v>
      </c>
      <c r="I57" s="122">
        <f t="shared" si="2"/>
        <v>0</v>
      </c>
      <c r="J57" s="61">
        <f t="shared" si="3"/>
        <v>0</v>
      </c>
      <c r="K57" s="54">
        <f t="shared" si="4"/>
        <v>0</v>
      </c>
      <c r="L57" s="54">
        <f t="shared" si="4"/>
        <v>0</v>
      </c>
      <c r="M57" s="54">
        <f t="shared" si="4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1"/>
        <v>0</v>
      </c>
      <c r="G58" s="122">
        <f>M14</f>
        <v>0</v>
      </c>
      <c r="H58" s="122">
        <f t="shared" si="5"/>
        <v>0</v>
      </c>
      <c r="I58" s="122">
        <f>G58+H58</f>
        <v>0</v>
      </c>
      <c r="J58" s="61">
        <f>IFERROR(I58/F58,0)</f>
        <v>0</v>
      </c>
      <c r="K58" s="54">
        <f t="shared" si="4"/>
        <v>0</v>
      </c>
      <c r="L58" s="54">
        <f t="shared" si="4"/>
        <v>0</v>
      </c>
      <c r="M58" s="54">
        <f t="shared" si="4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C21</f>
        <v>0</v>
      </c>
      <c r="H59" s="122">
        <f>IF(D21="",0,D21)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1"/>
        <v>0</v>
      </c>
      <c r="G60" s="122">
        <f>M15</f>
        <v>0</v>
      </c>
      <c r="H60" s="122">
        <f t="shared" ref="H60:H64" si="6">N15</f>
        <v>0</v>
      </c>
      <c r="I60" s="122">
        <f t="shared" si="2"/>
        <v>0</v>
      </c>
      <c r="J60" s="61">
        <f t="shared" si="3"/>
        <v>0</v>
      </c>
      <c r="K60" s="54">
        <f t="shared" si="4"/>
        <v>0</v>
      </c>
      <c r="L60" s="54">
        <f t="shared" si="4"/>
        <v>0</v>
      </c>
      <c r="M60" s="54">
        <f t="shared" si="4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1"/>
        <v>0</v>
      </c>
      <c r="G61" s="122">
        <f>M16</f>
        <v>0</v>
      </c>
      <c r="H61" s="122">
        <f t="shared" si="6"/>
        <v>0</v>
      </c>
      <c r="I61" s="122">
        <f t="shared" si="2"/>
        <v>0</v>
      </c>
      <c r="J61" s="61">
        <f t="shared" si="3"/>
        <v>0</v>
      </c>
      <c r="K61" s="54">
        <f t="shared" si="4"/>
        <v>0</v>
      </c>
      <c r="L61" s="54">
        <f t="shared" si="4"/>
        <v>0</v>
      </c>
      <c r="M61" s="54">
        <f t="shared" si="4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1"/>
        <v>0</v>
      </c>
      <c r="G62" s="122">
        <f>M17</f>
        <v>0</v>
      </c>
      <c r="H62" s="122">
        <f t="shared" si="6"/>
        <v>0</v>
      </c>
      <c r="I62" s="122">
        <f t="shared" si="2"/>
        <v>0</v>
      </c>
      <c r="J62" s="61">
        <f t="shared" si="3"/>
        <v>0</v>
      </c>
      <c r="K62" s="54">
        <f t="shared" si="4"/>
        <v>0</v>
      </c>
      <c r="L62" s="54">
        <f t="shared" si="4"/>
        <v>0</v>
      </c>
      <c r="M62" s="54">
        <f t="shared" si="4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1"/>
        <v>0</v>
      </c>
      <c r="G63" s="122">
        <f>M18</f>
        <v>0</v>
      </c>
      <c r="H63" s="122">
        <f t="shared" si="6"/>
        <v>0</v>
      </c>
      <c r="I63" s="122">
        <f t="shared" si="2"/>
        <v>0</v>
      </c>
      <c r="J63" s="61">
        <f t="shared" si="3"/>
        <v>0</v>
      </c>
      <c r="K63" s="54">
        <f t="shared" si="4"/>
        <v>0</v>
      </c>
      <c r="L63" s="54">
        <f t="shared" si="4"/>
        <v>0</v>
      </c>
      <c r="M63" s="54">
        <f t="shared" si="4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1"/>
        <v>0</v>
      </c>
      <c r="G64" s="122">
        <f>M19</f>
        <v>0</v>
      </c>
      <c r="H64" s="122">
        <f t="shared" si="6"/>
        <v>0</v>
      </c>
      <c r="I64" s="122">
        <f t="shared" si="2"/>
        <v>0</v>
      </c>
      <c r="J64" s="61">
        <f t="shared" si="3"/>
        <v>0</v>
      </c>
      <c r="K64" s="54">
        <f t="shared" si="4"/>
        <v>0</v>
      </c>
      <c r="L64" s="54">
        <f t="shared" si="4"/>
        <v>0</v>
      </c>
      <c r="M64" s="54">
        <f t="shared" si="4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7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IF(E22="",0,E22)</f>
        <v>0</v>
      </c>
    </row>
    <row r="71" spans="2:14" x14ac:dyDescent="0.25">
      <c r="B71" s="53" t="s">
        <v>69</v>
      </c>
      <c r="C71" s="56" t="s">
        <v>70</v>
      </c>
      <c r="D71" s="149">
        <f>IF(E13="",0,E13)+IF(E14="",0,E14)</f>
        <v>0</v>
      </c>
    </row>
    <row r="72" spans="2:14" ht="30" x14ac:dyDescent="0.25">
      <c r="B72" s="53" t="s">
        <v>175</v>
      </c>
      <c r="C72" s="56" t="s">
        <v>176</v>
      </c>
      <c r="D72" s="149">
        <f>IF(E20="",0,E20)</f>
        <v>0</v>
      </c>
    </row>
    <row r="73" spans="2:14" x14ac:dyDescent="0.25">
      <c r="B73" s="50" t="s">
        <v>71</v>
      </c>
      <c r="C73" s="55" t="s">
        <v>72</v>
      </c>
      <c r="D73" s="148">
        <f>IF(E15="",0,E15)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IF(E25="",0,E25)+IF(E26="",0,E26)</f>
        <v>0</v>
      </c>
    </row>
    <row r="76" spans="2:14" x14ac:dyDescent="0.25">
      <c r="B76" s="53" t="s">
        <v>76</v>
      </c>
      <c r="C76" s="56" t="s">
        <v>77</v>
      </c>
      <c r="D76" s="149">
        <f>IF(E17="",0,E17)</f>
        <v>0</v>
      </c>
    </row>
    <row r="77" spans="2:14" x14ac:dyDescent="0.25">
      <c r="B77" s="50" t="s">
        <v>78</v>
      </c>
      <c r="C77" s="55" t="s">
        <v>79</v>
      </c>
      <c r="D77" s="148">
        <f>IF(E23="",0,E23)</f>
        <v>0</v>
      </c>
    </row>
    <row r="78" spans="2:14" x14ac:dyDescent="0.25">
      <c r="B78" s="53" t="s">
        <v>175</v>
      </c>
      <c r="C78" s="56" t="s">
        <v>177</v>
      </c>
      <c r="D78" s="149">
        <f>IF(E21="",0,E21)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IF(E24="",0,E24)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IF(E27="",0,E27)</f>
        <v>0</v>
      </c>
    </row>
    <row r="83" spans="2:9" x14ac:dyDescent="0.25">
      <c r="B83" s="53" t="s">
        <v>88</v>
      </c>
      <c r="C83" s="56" t="s">
        <v>89</v>
      </c>
      <c r="D83" s="149">
        <f>IF(E18="",0,E18)+IF(E19="",0,E19)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8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8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8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8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2026-07-22T00:54:23Z</dcterms:modified>
  <dc:language>en-US</dc:language>
</cp:coreProperties>
</file>