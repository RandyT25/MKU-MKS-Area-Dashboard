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12000" windowHeight="4335" tabRatio="500" firstSheet="1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D92" i="12" s="1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I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D46" i="6" s="1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F59" i="5" s="1"/>
  <c r="E58" i="5"/>
  <c r="D58" i="5"/>
  <c r="E57" i="5"/>
  <c r="D57" i="5"/>
  <c r="E56" i="5"/>
  <c r="D56" i="5"/>
  <c r="E55" i="5"/>
  <c r="D55" i="5"/>
  <c r="F55" i="5" s="1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L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F59" i="3" s="1"/>
  <c r="E58" i="3"/>
  <c r="D58" i="3"/>
  <c r="F58" i="3" s="1"/>
  <c r="E57" i="3"/>
  <c r="D57" i="3"/>
  <c r="F57" i="3" s="1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G52" i="11" l="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J60" i="6" s="1"/>
  <c r="I53" i="6"/>
  <c r="F57" i="6"/>
  <c r="F60" i="6"/>
  <c r="F64" i="6"/>
  <c r="I55" i="7"/>
  <c r="I60" i="7"/>
  <c r="I64" i="7"/>
  <c r="I53" i="7"/>
  <c r="F57" i="7"/>
  <c r="F60" i="7"/>
  <c r="F64" i="7"/>
  <c r="F69" i="7"/>
  <c r="F53" i="8"/>
  <c r="F56" i="8"/>
  <c r="I59" i="8"/>
  <c r="F63" i="8"/>
  <c r="M63" i="8" s="1"/>
  <c r="N63" i="8" s="1"/>
  <c r="I56" i="9"/>
  <c r="I61" i="9"/>
  <c r="D82" i="10"/>
  <c r="D86" i="10"/>
  <c r="D90" i="10"/>
  <c r="F54" i="9"/>
  <c r="F58" i="9"/>
  <c r="F61" i="9"/>
  <c r="J61" i="9" s="1"/>
  <c r="K70" i="9"/>
  <c r="D83" i="11"/>
  <c r="D87" i="11"/>
  <c r="D91" i="11"/>
  <c r="D82" i="13"/>
  <c r="D86" i="13"/>
  <c r="D90" i="13"/>
  <c r="F53" i="6"/>
  <c r="J53" i="6" s="1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F57" i="9"/>
  <c r="J57" i="9" s="1"/>
  <c r="F60" i="9"/>
  <c r="J60" i="9" s="1"/>
  <c r="F64" i="9"/>
  <c r="J64" i="9" s="1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F59" i="9"/>
  <c r="M59" i="9" s="1"/>
  <c r="N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M53" i="5" s="1"/>
  <c r="N53" i="5" s="1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F62" i="7"/>
  <c r="H65" i="8"/>
  <c r="D46" i="8"/>
  <c r="F54" i="8"/>
  <c r="O54" i="8" s="1"/>
  <c r="P54" i="8" s="1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O61" i="12" s="1"/>
  <c r="P61" i="12" s="1"/>
  <c r="G52" i="13"/>
  <c r="G59" i="13"/>
  <c r="O59" i="13" s="1"/>
  <c r="P59" i="13" s="1"/>
  <c r="G60" i="14"/>
  <c r="F52" i="3"/>
  <c r="F56" i="3"/>
  <c r="F60" i="3"/>
  <c r="F55" i="4"/>
  <c r="F53" i="9"/>
  <c r="O53" i="9" s="1"/>
  <c r="P53" i="9" s="1"/>
  <c r="F56" i="9"/>
  <c r="J56" i="9" s="1"/>
  <c r="I59" i="9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O55" i="12" s="1"/>
  <c r="P55" i="12" s="1"/>
  <c r="D65" i="14"/>
  <c r="I51" i="4"/>
  <c r="L53" i="5"/>
  <c r="L57" i="12"/>
  <c r="G44" i="13"/>
  <c r="D74" i="11"/>
  <c r="K62" i="11"/>
  <c r="K55" i="12"/>
  <c r="K61" i="11"/>
  <c r="Q61" i="11" s="1"/>
  <c r="R61" i="11" s="1"/>
  <c r="K63" i="12"/>
  <c r="K63" i="10"/>
  <c r="Q63" i="10" s="1"/>
  <c r="R63" i="10" s="1"/>
  <c r="K61" i="12"/>
  <c r="I55" i="4"/>
  <c r="J55" i="4" s="1"/>
  <c r="G65" i="4"/>
  <c r="J54" i="8"/>
  <c r="G54" i="10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L52" i="12" s="1"/>
  <c r="G62" i="12"/>
  <c r="F69" i="12"/>
  <c r="F65" i="13"/>
  <c r="G54" i="13"/>
  <c r="K57" i="13"/>
  <c r="O57" i="13" s="1"/>
  <c r="P57" i="13" s="1"/>
  <c r="K61" i="13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J65" i="14"/>
  <c r="E44" i="14" s="1"/>
  <c r="F44" i="14" s="1"/>
  <c r="K55" i="14"/>
  <c r="M55" i="14" s="1"/>
  <c r="N55" i="14" s="1"/>
  <c r="G58" i="14"/>
  <c r="L58" i="14" s="1"/>
  <c r="K60" i="14"/>
  <c r="L60" i="14" s="1"/>
  <c r="G63" i="14"/>
  <c r="O63" i="14" s="1"/>
  <c r="P63" i="14" s="1"/>
  <c r="G64" i="14"/>
  <c r="I51" i="3"/>
  <c r="J51" i="3" s="1"/>
  <c r="F68" i="3"/>
  <c r="I53" i="4"/>
  <c r="J53" i="4" s="1"/>
  <c r="I57" i="4"/>
  <c r="J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F73" i="13"/>
  <c r="G52" i="14"/>
  <c r="G53" i="14"/>
  <c r="Q53" i="14" s="1"/>
  <c r="K54" i="14"/>
  <c r="O54" i="14" s="1"/>
  <c r="P54" i="14" s="1"/>
  <c r="K59" i="14"/>
  <c r="M59" i="14" s="1"/>
  <c r="N59" i="14" s="1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R53" i="14"/>
  <c r="H69" i="3"/>
  <c r="H69" i="5"/>
  <c r="J44" i="13"/>
  <c r="L50" i="3"/>
  <c r="G61" i="3"/>
  <c r="I49" i="3"/>
  <c r="K50" i="3"/>
  <c r="I50" i="3"/>
  <c r="J50" i="3" s="1"/>
  <c r="K52" i="3"/>
  <c r="I52" i="3"/>
  <c r="J52" i="3" s="1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43" i="3"/>
  <c r="F43" i="3" s="1"/>
  <c r="L52" i="3"/>
  <c r="L54" i="3"/>
  <c r="L56" i="3"/>
  <c r="L58" i="3"/>
  <c r="L60" i="3"/>
  <c r="H61" i="4"/>
  <c r="L50" i="4"/>
  <c r="M53" i="4"/>
  <c r="N53" i="4" s="1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O55" i="6"/>
  <c r="P55" i="6" s="1"/>
  <c r="M55" i="6"/>
  <c r="N55" i="6" s="1"/>
  <c r="K55" i="6"/>
  <c r="L55" i="6" s="1"/>
  <c r="K57" i="6"/>
  <c r="L57" i="6" s="1"/>
  <c r="M58" i="6"/>
  <c r="N58" i="6" s="1"/>
  <c r="K58" i="6"/>
  <c r="L58" i="6" s="1"/>
  <c r="O59" i="6"/>
  <c r="P59" i="6" s="1"/>
  <c r="O60" i="6"/>
  <c r="P60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M51" i="4"/>
  <c r="N51" i="4" s="1"/>
  <c r="L52" i="4"/>
  <c r="M55" i="4"/>
  <c r="N55" i="4" s="1"/>
  <c r="L56" i="4"/>
  <c r="L60" i="4"/>
  <c r="H65" i="4"/>
  <c r="H61" i="5"/>
  <c r="L50" i="5"/>
  <c r="L54" i="5"/>
  <c r="M56" i="5"/>
  <c r="N56" i="5" s="1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70" i="3"/>
  <c r="F70" i="3" s="1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O55" i="8"/>
  <c r="P55" i="8" s="1"/>
  <c r="K55" i="8"/>
  <c r="L55" i="8" s="1"/>
  <c r="O56" i="8"/>
  <c r="P56" i="8" s="1"/>
  <c r="M56" i="8"/>
  <c r="N56" i="8" s="1"/>
  <c r="O57" i="8"/>
  <c r="P57" i="8" s="1"/>
  <c r="M57" i="8"/>
  <c r="N57" i="8" s="1"/>
  <c r="K57" i="8"/>
  <c r="L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M60" i="8"/>
  <c r="N60" i="8" s="1"/>
  <c r="O61" i="8"/>
  <c r="P61" i="8" s="1"/>
  <c r="M61" i="8"/>
  <c r="N61" i="8" s="1"/>
  <c r="O62" i="8"/>
  <c r="P62" i="8" s="1"/>
  <c r="K62" i="8"/>
  <c r="L62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O54" i="10"/>
  <c r="P54" i="10" s="1"/>
  <c r="L54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J59" i="7"/>
  <c r="O60" i="7"/>
  <c r="P60" i="7" s="1"/>
  <c r="M60" i="7"/>
  <c r="N60" i="7" s="1"/>
  <c r="K60" i="7"/>
  <c r="L60" i="7" s="1"/>
  <c r="O61" i="7"/>
  <c r="P61" i="7" s="1"/>
  <c r="M61" i="7"/>
  <c r="N61" i="7" s="1"/>
  <c r="K61" i="7"/>
  <c r="L61" i="7" s="1"/>
  <c r="O62" i="7"/>
  <c r="P62" i="7" s="1"/>
  <c r="M62" i="7"/>
  <c r="N62" i="7" s="1"/>
  <c r="K62" i="7"/>
  <c r="L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M52" i="9"/>
  <c r="N52" i="9" s="1"/>
  <c r="K52" i="9"/>
  <c r="L52" i="9" s="1"/>
  <c r="M53" i="9"/>
  <c r="N53" i="9" s="1"/>
  <c r="K53" i="9"/>
  <c r="L53" i="9" s="1"/>
  <c r="O54" i="9"/>
  <c r="P54" i="9" s="1"/>
  <c r="M54" i="9"/>
  <c r="N54" i="9" s="1"/>
  <c r="K54" i="9"/>
  <c r="L54" i="9" s="1"/>
  <c r="O55" i="9"/>
  <c r="P55" i="9" s="1"/>
  <c r="M55" i="9"/>
  <c r="N55" i="9" s="1"/>
  <c r="K55" i="9"/>
  <c r="L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M58" i="9"/>
  <c r="N58" i="9" s="1"/>
  <c r="K58" i="9"/>
  <c r="L58" i="9" s="1"/>
  <c r="O59" i="9"/>
  <c r="P59" i="9" s="1"/>
  <c r="K59" i="9"/>
  <c r="L59" i="9" s="1"/>
  <c r="J59" i="9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I71" i="9"/>
  <c r="J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M62" i="10"/>
  <c r="N62" i="10" s="1"/>
  <c r="L63" i="10"/>
  <c r="F71" i="11"/>
  <c r="H65" i="11"/>
  <c r="E42" i="11" s="1"/>
  <c r="K51" i="11"/>
  <c r="K52" i="11"/>
  <c r="L52" i="11" s="1"/>
  <c r="K53" i="11"/>
  <c r="K54" i="11"/>
  <c r="L54" i="11" s="1"/>
  <c r="K55" i="11"/>
  <c r="K56" i="11"/>
  <c r="K57" i="11"/>
  <c r="L57" i="11" s="1"/>
  <c r="K58" i="11"/>
  <c r="L58" i="11" s="1"/>
  <c r="K59" i="11"/>
  <c r="Q60" i="11"/>
  <c r="R60" i="11" s="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G43" i="12"/>
  <c r="H43" i="12" s="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D94" i="12"/>
  <c r="Q52" i="13"/>
  <c r="R52" i="13" s="1"/>
  <c r="M52" i="13"/>
  <c r="N52" i="13" s="1"/>
  <c r="O53" i="13"/>
  <c r="P53" i="13" s="1"/>
  <c r="M53" i="13"/>
  <c r="N53" i="13" s="1"/>
  <c r="M54" i="13"/>
  <c r="N54" i="13" s="1"/>
  <c r="Q55" i="13"/>
  <c r="R55" i="13" s="1"/>
  <c r="M55" i="13"/>
  <c r="N55" i="13" s="1"/>
  <c r="L56" i="13"/>
  <c r="L57" i="13"/>
  <c r="M57" i="13"/>
  <c r="N57" i="13" s="1"/>
  <c r="M58" i="13"/>
  <c r="N58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M58" i="12"/>
  <c r="N58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M56" i="13"/>
  <c r="N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Q60" i="13"/>
  <c r="R60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61" i="13"/>
  <c r="R61" i="13" s="1"/>
  <c r="Q54" i="14"/>
  <c r="R54" i="14" s="1"/>
  <c r="M54" i="14"/>
  <c r="N54" i="14" s="1"/>
  <c r="L54" i="14"/>
  <c r="Q62" i="13"/>
  <c r="R62" i="13" s="1"/>
  <c r="M63" i="13"/>
  <c r="N63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G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H69" i="13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3" i="14"/>
  <c r="R63" i="14" s="1"/>
  <c r="M63" i="14"/>
  <c r="N63" i="14" s="1"/>
  <c r="L63" i="14"/>
  <c r="Q60" i="14"/>
  <c r="R60" i="14" s="1"/>
  <c r="M62" i="14"/>
  <c r="N62" i="14" s="1"/>
  <c r="Q62" i="14"/>
  <c r="R62" i="14" s="1"/>
  <c r="M64" i="14"/>
  <c r="N64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L63" i="11" l="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G74" i="7"/>
  <c r="H74" i="7" s="1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46" i="7" l="1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<sst xmlns="http://schemas.openxmlformats.org/spreadsheetml/2006/main" count="2117" uniqueCount="228">
  <si>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</si>
  <si>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</si>
  <si>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</si>
  <si>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</si>
  <si>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</si>
  <si>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</si>
  <si>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</si>
  <si>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</si>
  <si>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</si>
  <si>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</si>
  <si>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</si>
  <si>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</si>
  <si>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</si>
  <si>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</si>
  <si>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</si>
  <si>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</si>
  <si>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</si>
  <si>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</si>
  <si>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</si>
  <si>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</si>
  <si>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</si>
  <si>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</si>
  <si>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</si>
  <si>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</si>
  <si>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</si>
  <si>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</si>
  <si>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</si>
  <si>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</si>
  <si>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</si>
  <si>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</si>
  <si>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</si>
  <si>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</si>
  <si>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</si>
  <si>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</si>
  <si>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</si>
  <si>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</si>
  <si>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</si>
  <si>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</si>
  <si>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</si>
  <si>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</si>
  <si>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</si>
  <si>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</si>
  <si>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</si>
  <si>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</si>
  <si>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</si>
  <si>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</si>
  <si>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</si>
  <si>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</si>
  <si>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</si>
  <si>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</si>
  <si>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</si>
  <si>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</si>
  <si>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</si>
  <si>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</si>
  <si>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</si>
  <si>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</si>
  <si>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</si>
  <si>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</si>
  <si>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</si>
  <si>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</si>
  <si>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</si>
  <si>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</si>
  <si>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</si>
  <si>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</si>
  <si>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</si>
  <si>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</si>
  <si>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</si>
  <si>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</si>
  <si>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</si>
  <si>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</si>
  <si>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</si>
  <si>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</si>
  <si>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</si>
  <si>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</si>
  <si>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</si>
  <si>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</si>
  <si>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</si>
  <si>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</si>
  <si>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</si>
  <si>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</si>
  <si>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</si>
  <si>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</si>
  <si>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</si>
  <si>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</si>
  <si>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</si>
  <si>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</si>
  <si>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</si>
  <si>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</si>
  <si>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</si>
  <si>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</si>
  <si>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</si>
  <si>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</si>
  <si>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</si>
  <si>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</si>
  <si>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</si>
  <si>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</si>
  <si>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</si>
  <si>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</si>
  <si>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</si>
  <si>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</si>
  <si>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</si>
  <si>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</si>
  <si>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</si>
  <si>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</si>
  <si>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</si>
  <si>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</si>
  <si>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</si>
  <si>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</si>
  <si>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</si>
  <si>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</si>
  <si>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</si>
  <si>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</si>
  <si>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</si>
  <si>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</si>
  <si>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</si>
  <si>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</si>
  <si>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</si>
  <si>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</si>
  <si>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</si>
  <si>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</si>
  <si>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</si>
  <si>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</si>
  <si>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</si>
  <si>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</si>
  <si>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</si>
  <si>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</si>
  <si>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</si>
  <si>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</si>
  <si>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</si>
  <si>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</si>
  <si>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</si>
  <si>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</si>
  <si>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</si>
  <si>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</si>
  <si>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</si>
  <si>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</si>
  <si>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</si>
  <si>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</si>
  <si>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</si>
  <si>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</si>
  <si>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</si>
  <si>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</si>
  <si>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</si>
  <si>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</si>
  <si>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</si>
  <si>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</si>
  <si>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</si>
  <si>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</si>
  <si>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</si>
  <si>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</si>
  <si>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</si>
  <si>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</si>
  <si>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</si>
  <si>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</si>
  <si>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</si>
  <si>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</si>
  <si>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</si>
  <si>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</si>
  <si>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</si>
  <si>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</si>
  <si>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</si>
  <si>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</si>
  <si>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</si>
  <si>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</si>
  <si>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</si>
  <si>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</si>
  <si>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</si>
  <si>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</si>
  <si>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</si>
  <si>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</si>
  <si>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</si>
  <si>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</si>
  <si>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</si>
  <si>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</si>
  <si>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</si>
  <si>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</si>
  <si>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</si>
  <si>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</si>
  <si>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</si>
  <si>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</si>
  <si>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</si>
  <si>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</si>
  <si>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</si>
  <si>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</si>
  <si>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</si>
  <si>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</si>
  <si>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</si>
  <si>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</si>
  <si>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</si>
  <si>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</si>
  <si>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</si>
  <si>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</si>
  <si>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</si>
  <si>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</si>
  <si>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</si>
  <si>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</si>
  <si>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</si>
  <si>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</si>
  <si>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</si>
  <si>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</si>
  <si>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</si>
  <si>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</si>
  <si>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</si>
  <si>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</si>
  <si>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</si>
  <si>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</si>
  <si>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</si>
  <si>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</si>
  <si>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</si>
  <si>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</si>
  <si>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</si>
  <si>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</si>
  <si>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</si>
  <si>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</si>
  <si>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</si>
  <si>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</si>
  <si>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</si>
  <si>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</si>
  <si>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</si>
  <si>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</si>
  <si>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</si>
  <si>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</si>
  <si>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</si>
  <si>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</si>
  <si>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</si>
  <si>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</si>
  <si>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</si>
  <si>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23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</si>
</sst>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zoomScale="86" zoomScaleNormal="86" workbookViewId="0">
      <selection activeCell="C11" sqref="C11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226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59" t="s">
        <v>178</v>
      </c>
      <c r="C41" s="260"/>
      <c r="D41" s="261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  <c r="Q48"/>
      <c r="R48"/>
    </row>
    <row r="49" spans="2:18" s="139" customFormat="1" ht="33.950000000000003" customHeight="1" x14ac:dyDescent="0.25">
      <c r="B49" s="267" t="s">
        <v>41</v>
      </c>
      <c r="C49" s="267" t="s">
        <v>42</v>
      </c>
      <c r="D49" s="264" t="s">
        <v>137</v>
      </c>
      <c r="E49" s="265"/>
      <c r="F49" s="266"/>
      <c r="G49" s="140" t="s">
        <v>138</v>
      </c>
      <c r="H49" s="140"/>
      <c r="I49" s="140"/>
      <c r="J49" s="264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6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67"/>
      <c r="C50" s="26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4"/>
      <c r="K50" s="273"/>
      <c r="L50" s="273"/>
      <c r="M50" s="275"/>
      <c r="N50" s="188"/>
      <c r="O50" s="183"/>
      <c r="P50" s="277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171</v>
      </c>
      <c r="C77" s="250"/>
      <c r="D77" s="251"/>
      <c r="G77"/>
      <c r="H77"/>
      <c r="I77"/>
    </row>
    <row r="78" spans="1:19" ht="20.100000000000001" customHeight="1" x14ac:dyDescent="0.25">
      <c r="B78" s="268" t="s">
        <v>41</v>
      </c>
      <c r="C78" s="268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78" t="s">
        <v>179</v>
      </c>
      <c r="C41" s="279"/>
      <c r="D41" s="280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8.75" customHeight="1" x14ac:dyDescent="0.25">
      <c r="B78" s="268" t="s">
        <v>41</v>
      </c>
      <c r="C78" s="268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59" t="s">
        <v>180</v>
      </c>
      <c r="C41" s="260"/>
      <c r="D41" s="261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59" t="s">
        <v>189</v>
      </c>
      <c r="C41" s="260"/>
      <c r="D41" s="261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55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59" t="s">
        <v>219</v>
      </c>
      <c r="C40" s="260"/>
      <c r="D40" s="261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2" t="s">
        <v>213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5.75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85"/>
      <c r="G67" s="269" t="s">
        <v>186</v>
      </c>
      <c r="H67" s="270"/>
      <c r="I67" s="270"/>
      <c r="J67" s="270"/>
      <c r="K67" s="270"/>
      <c r="L67" s="271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49" t="s">
        <v>171</v>
      </c>
      <c r="C77" s="250"/>
      <c r="D77" s="251"/>
    </row>
    <row r="78" spans="2:21" ht="15.75" x14ac:dyDescent="0.25">
      <c r="B78" s="268" t="s">
        <v>41</v>
      </c>
      <c r="C78" s="268" t="s">
        <v>42</v>
      </c>
      <c r="D78" s="231" t="s">
        <v>138</v>
      </c>
    </row>
    <row r="79" spans="2:21" ht="15.75" x14ac:dyDescent="0.25">
      <c r="B79" s="258"/>
      <c r="C79" s="258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67" zoomScale="73" zoomScaleNormal="73" workbookViewId="0">
      <selection activeCell="E88" sqref="E8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6" width="16.42578125" customWidth="1"/>
    <col min="7" max="7" width="18.5703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7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4">
        <v>122534293.762722</v>
      </c>
      <c r="D10" s="234">
        <v>33718196.818899997</v>
      </c>
      <c r="E10" s="234">
        <v>175612225.567045</v>
      </c>
      <c r="F10" s="234">
        <v>126163149.179938</v>
      </c>
      <c r="G10" s="234">
        <v>458027865.328605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4">
        <v>4173423.4199979999</v>
      </c>
      <c r="D11" s="234">
        <v>30250983.5</v>
      </c>
      <c r="E11" s="234">
        <v>199157658.6392</v>
      </c>
      <c r="F11" s="234" t="s">
        <v>165</v>
      </c>
      <c r="G11" s="234">
        <v>233582065.55919799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4">
        <v>144079108.13797399</v>
      </c>
      <c r="D12" s="234">
        <v>64996955.761524998</v>
      </c>
      <c r="E12" s="234">
        <v>139985543.73958299</v>
      </c>
      <c r="F12" s="234">
        <v>65596580.700000003</v>
      </c>
      <c r="G12" s="234">
        <v>414658188.339082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4">
        <v>29542102.929949999</v>
      </c>
      <c r="D13" s="234">
        <v>18570309.229973</v>
      </c>
      <c r="E13" s="234">
        <v>163454911.61964399</v>
      </c>
      <c r="F13" s="234">
        <v>66006137.100000001</v>
      </c>
      <c r="G13" s="234">
        <v>277573460.87956703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4">
        <v>423669713.43459803</v>
      </c>
      <c r="D14" s="234">
        <v>38215060.301464997</v>
      </c>
      <c r="E14" s="234">
        <v>138709153.37987801</v>
      </c>
      <c r="F14" s="234">
        <v>342828960.75976998</v>
      </c>
      <c r="G14" s="234">
        <v>943422887.87571096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4">
        <v>1462364582.0499079</v>
      </c>
      <c r="D15" s="234">
        <v>9178230.5349240005</v>
      </c>
      <c r="E15" s="234">
        <v>59318395.269938998</v>
      </c>
      <c r="F15" s="234">
        <v>13983784.08</v>
      </c>
      <c r="G15" s="234">
        <v>1544844991.9347711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4">
        <v>403308935.481655</v>
      </c>
      <c r="D16" s="234">
        <v>38062931.419927001</v>
      </c>
      <c r="E16" s="234">
        <v>263379730.93952</v>
      </c>
      <c r="F16" s="234">
        <v>830718820.72996902</v>
      </c>
      <c r="G16" s="234">
        <v>1535470418.5710709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4">
        <v>93324215.815028995</v>
      </c>
      <c r="D17" s="234">
        <v>12915436.9209</v>
      </c>
      <c r="E17" s="234">
        <v>72454578.968842</v>
      </c>
      <c r="F17" s="234">
        <v>47952973.898000002</v>
      </c>
      <c r="G17" s="234">
        <v>226647205.60277101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4">
        <v>13080047.589996999</v>
      </c>
      <c r="D18" s="234">
        <v>133208702.091655</v>
      </c>
      <c r="E18" s="234">
        <v>56002106.100000001</v>
      </c>
      <c r="F18" s="234">
        <v>93318920.920000002</v>
      </c>
      <c r="G18" s="234">
        <v>295609776.70165199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4">
        <v>57858708.960000001</v>
      </c>
      <c r="D19" s="234" t="s">
        <v>165</v>
      </c>
      <c r="E19" s="234" t="s">
        <v>165</v>
      </c>
      <c r="F19" s="234">
        <v>7027026.8399999999</v>
      </c>
      <c r="G19" s="234">
        <v>64885735.799999997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4">
        <v>188527227.16</v>
      </c>
      <c r="D20" s="234" t="s">
        <v>165</v>
      </c>
      <c r="E20" s="234" t="s">
        <v>165</v>
      </c>
      <c r="F20" s="234">
        <v>9813783.5199999996</v>
      </c>
      <c r="G20" s="234">
        <v>198341010.68000001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4">
        <v>221268705.06241599</v>
      </c>
      <c r="D21" s="234">
        <v>41719931.423455998</v>
      </c>
      <c r="E21" s="234">
        <v>127850860.93978301</v>
      </c>
      <c r="F21" s="234">
        <v>340035346.74985999</v>
      </c>
      <c r="G21" s="234">
        <v>730874844.17551506</v>
      </c>
      <c r="H21" s="111"/>
      <c r="I21" s="111"/>
      <c r="J21" s="111"/>
      <c r="M21" s="14">
        <f>SUM(C33,C34)+M20</f>
        <v>932747039.34663296</v>
      </c>
      <c r="N21" s="10" t="s">
        <v>224</v>
      </c>
    </row>
    <row r="22" spans="2:15" ht="15" customHeight="1" x14ac:dyDescent="0.25">
      <c r="B22" s="72" t="s">
        <v>125</v>
      </c>
      <c r="C22" s="234">
        <v>218343790.722233</v>
      </c>
      <c r="D22" s="234">
        <v>55894289.419963002</v>
      </c>
      <c r="E22" s="234">
        <v>162558650.86619499</v>
      </c>
      <c r="F22" s="234">
        <v>257288564.68950501</v>
      </c>
      <c r="G22" s="234">
        <v>694085295.697896</v>
      </c>
      <c r="H22" s="111"/>
      <c r="I22" s="111"/>
      <c r="J22" s="111"/>
    </row>
    <row r="23" spans="2:15" ht="15" customHeight="1" x14ac:dyDescent="0.25">
      <c r="B23" s="72" t="s">
        <v>126</v>
      </c>
      <c r="C23" s="234">
        <v>386015669.137429</v>
      </c>
      <c r="D23" s="234">
        <v>55017470.924923003</v>
      </c>
      <c r="E23" s="234">
        <v>174500614.40990701</v>
      </c>
      <c r="F23" s="234">
        <v>483452299.52950501</v>
      </c>
      <c r="G23" s="234">
        <v>1098986054.0017641</v>
      </c>
      <c r="H23" s="111"/>
      <c r="I23" s="111"/>
      <c r="J23" s="111"/>
    </row>
    <row r="24" spans="2:15" ht="15" customHeight="1" x14ac:dyDescent="0.25">
      <c r="B24" s="72" t="s">
        <v>225</v>
      </c>
      <c r="C24" s="234">
        <v>157144378.35867101</v>
      </c>
      <c r="D24" s="234">
        <v>44687069.909941003</v>
      </c>
      <c r="E24" s="234">
        <v>126616820.968173</v>
      </c>
      <c r="F24" s="234">
        <v>56855405.259999998</v>
      </c>
      <c r="G24" s="234">
        <v>385303674.49678499</v>
      </c>
      <c r="H24" s="111"/>
      <c r="I24" s="111"/>
      <c r="J24" s="111"/>
    </row>
    <row r="25" spans="2:15" ht="15" customHeight="1" x14ac:dyDescent="0.25">
      <c r="B25" s="72" t="s">
        <v>220</v>
      </c>
      <c r="C25" s="234">
        <v>259986756.55092999</v>
      </c>
      <c r="D25" s="234">
        <v>75962454.816541001</v>
      </c>
      <c r="E25" s="234">
        <v>85307067.912571996</v>
      </c>
      <c r="F25" s="234">
        <v>39783784.579999998</v>
      </c>
      <c r="G25" s="234">
        <v>461040063.86004299</v>
      </c>
      <c r="H25" s="111"/>
      <c r="I25" s="111"/>
      <c r="J25" s="111"/>
    </row>
    <row r="26" spans="2:15" ht="15" customHeight="1" x14ac:dyDescent="0.25">
      <c r="B26" s="72" t="s">
        <v>127</v>
      </c>
      <c r="C26" s="234">
        <v>399272594.47329497</v>
      </c>
      <c r="D26" s="234">
        <v>254167394.92625701</v>
      </c>
      <c r="E26" s="234">
        <v>229102206.125873</v>
      </c>
      <c r="F26" s="234">
        <v>18013297.6536</v>
      </c>
      <c r="G26" s="234">
        <v>900555493.17902505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71">
        <v>203469688.08525699</v>
      </c>
      <c r="G31" s="111"/>
      <c r="H31" s="111"/>
      <c r="I31" s="111"/>
    </row>
    <row r="32" spans="2:15" ht="15" customHeight="1" x14ac:dyDescent="0.25">
      <c r="B32" s="81" t="s">
        <v>132</v>
      </c>
      <c r="C32" s="234">
        <v>415017182.90095901</v>
      </c>
      <c r="G32" s="111"/>
      <c r="H32" s="111"/>
      <c r="I32" s="111"/>
    </row>
    <row r="33" spans="2:19" ht="15" customHeight="1" x14ac:dyDescent="0.25">
      <c r="B33" s="81" t="s">
        <v>133</v>
      </c>
      <c r="C33" s="171">
        <v>491062628.31530601</v>
      </c>
      <c r="G33" s="111"/>
      <c r="H33" s="111"/>
      <c r="I33" s="111"/>
    </row>
    <row r="34" spans="2:19" ht="15" customHeight="1" x14ac:dyDescent="0.25">
      <c r="B34" s="81" t="s">
        <v>134</v>
      </c>
      <c r="C34" s="234">
        <v>441684411.03132701</v>
      </c>
      <c r="G34" s="111"/>
      <c r="H34" s="111"/>
      <c r="I34" s="111"/>
    </row>
    <row r="35" spans="2:19" ht="15" customHeight="1" x14ac:dyDescent="0.25">
      <c r="B35" s="81" t="s">
        <v>135</v>
      </c>
      <c r="C35" s="234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227</v>
      </c>
      <c r="C40" s="260"/>
      <c r="D40" s="261"/>
      <c r="E40" s="66" t="s">
        <v>137</v>
      </c>
      <c r="F40" s="174">
        <f ca="1">IF(MONTH(TODAY())=9,DAY(TODAY())/DAY(EOMONTH(TODAY(),0)),IF(MONTH(TODAY())&gt;9,1,0))</f>
        <v>0.76666666666666672</v>
      </c>
      <c r="G40" s="192" t="s">
        <v>187</v>
      </c>
      <c r="H40" s="198">
        <v>0.95</v>
      </c>
      <c r="I40" s="201" t="s">
        <v>187</v>
      </c>
      <c r="J40" s="199">
        <v>1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3122129670.9968972</v>
      </c>
      <c r="F42" s="176">
        <f>IFERROR(E42/D42,0)</f>
        <v>0.69199417873035451</v>
      </c>
      <c r="G42" s="184">
        <f>D42*$H$40-E42</f>
        <v>1164067061.017529</v>
      </c>
      <c r="H42" s="184">
        <f ca="1">IFERROR(G42/$C$3,0)</f>
        <v>166295294.43107557</v>
      </c>
      <c r="I42" s="204">
        <f>D42*$J$40-E42</f>
        <v>1389656362.7024989</v>
      </c>
      <c r="J42" s="204">
        <f ca="1">IFERROR(I42/$C$3,0)</f>
        <v>198522337.52892843</v>
      </c>
      <c r="K42" s="185">
        <f>D42*$L$40-E42</f>
        <v>1389656362.7024989</v>
      </c>
      <c r="L42" s="185">
        <f ca="1">IFERROR(K42/$C$3,0)</f>
        <v>198522337.52892843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897387187.46542609</v>
      </c>
      <c r="F43" s="176">
        <f>IFERROR(E43/D43,0)</f>
        <v>0.64036634896818712</v>
      </c>
      <c r="G43" s="184">
        <f>D43*$H$40-E43</f>
        <v>433909857.52421796</v>
      </c>
      <c r="H43" s="184">
        <f ca="1">IFERROR(G43/$C$3,0)</f>
        <v>61987122.503459707</v>
      </c>
      <c r="I43" s="204">
        <f>D43*$J$40-E43</f>
        <v>503978123.04998887</v>
      </c>
      <c r="J43" s="204">
        <f ca="1">IFERROR(I43/$C$3,0)</f>
        <v>71996874.721426979</v>
      </c>
      <c r="K43" s="185">
        <f>D43*$L$40-E43</f>
        <v>503978123.04998887</v>
      </c>
      <c r="L43" s="185">
        <f ca="1">IFERROR(K43/$C$3,0)</f>
        <v>71996874.721426979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2114692130.1762149</v>
      </c>
      <c r="F44" s="176">
        <f>IFERROR(E44/D44,0)</f>
        <v>0.71810715012601212</v>
      </c>
      <c r="G44" s="184">
        <f>IF(D44=0,0,D44*$H$40-E44)</f>
        <v>682881356.33603597</v>
      </c>
      <c r="H44" s="184">
        <f ca="1">IFERROR(G44/$C$3,0)</f>
        <v>97554479.476576567</v>
      </c>
      <c r="I44" s="204">
        <f>IF(D44=0,0,D44*$J$40-E44)</f>
        <v>830122066.15247035</v>
      </c>
      <c r="J44" s="204">
        <f ca="1">IFERROR(I44/$C$3,0)</f>
        <v>118588866.59321006</v>
      </c>
      <c r="K44" s="185">
        <f>IF(D44=0,0,D44*$L$40-E44)</f>
        <v>830122066.15247035</v>
      </c>
      <c r="L44" s="185">
        <f ca="1">IFERROR(K44/$C$3,0)</f>
        <v>118588866.59321006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1551233910.332849</v>
      </c>
      <c r="F45" s="176">
        <f>IFERROR(E45/D45,0)</f>
        <v>0.89129576755065898</v>
      </c>
      <c r="G45" s="184">
        <f>D45*$H$40-E45</f>
        <v>102170344.98629975</v>
      </c>
      <c r="H45" s="184">
        <f ca="1">IFERROR(G45/$C$3,0)</f>
        <v>14595763.569471393</v>
      </c>
      <c r="I45" s="204">
        <f>D45*$J$40-E45</f>
        <v>189191621.5820446</v>
      </c>
      <c r="J45" s="204">
        <f ca="1">IFERROR(I45/$C$3,0)</f>
        <v>27027374.511720657</v>
      </c>
      <c r="K45" s="185">
        <f>D45*$L$40-E45</f>
        <v>189191621.5820446</v>
      </c>
      <c r="L45" s="185">
        <f ca="1">IFERROR(K45/$C$3,0)</f>
        <v>27027374.511720657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10598391072.458391</v>
      </c>
      <c r="E46" s="47">
        <f>SUM(E42:E45)</f>
        <v>7685442898.9713879</v>
      </c>
      <c r="F46" s="177">
        <f>IFERROR(E46/D46,0)</f>
        <v>0.72515185054297882</v>
      </c>
      <c r="G46" s="181">
        <f>SUM(G42:G45)</f>
        <v>2383028619.8640823</v>
      </c>
      <c r="H46" s="181">
        <f ca="1">IFERROR(G46/$C$3,0)</f>
        <v>340432659.98058319</v>
      </c>
      <c r="I46" s="186">
        <f>SUM(I42:I45)</f>
        <v>2912948173.4870024</v>
      </c>
      <c r="J46" s="186">
        <f ca="1">IFERROR(I46/$C$3,0)</f>
        <v>416135453.35528606</v>
      </c>
      <c r="K46" s="186">
        <f>SUM(K42:K45)</f>
        <v>2912948173.4870024</v>
      </c>
      <c r="L46" s="186">
        <f ca="1">IFERROR(K46/$C$3,0)</f>
        <v>416135453.35528606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213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95%</v>
      </c>
      <c r="N49" s="272" t="str">
        <f>"PER HARI"&amp;CHAR(10)&amp;TEXT($H$40,"0%")</f>
        <v>PER HARI
95%</v>
      </c>
      <c r="O49" s="274" t="str">
        <f>"SELISIH"&amp;CHAR(10)&amp;TEXT($J$40,"0%")</f>
        <v>SELISIH
100%</v>
      </c>
      <c r="P49" s="274" t="str">
        <f>"PER HARI"&amp;CHAR(10)&amp;TEXT($J$40,"0%")</f>
        <v>PER HARI
100%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>SUMIF($B$10:$B$26,$T51,C$10:C$26)+SUMIF($B$10:$B$26,$U51,C$10:C$26)</f>
        <v>221268705.06241599</v>
      </c>
      <c r="I51" s="114">
        <f>SUMIF($B$10:$B$26,$T51,D$10:D$26)+SUMIF($B$10:$B$26,$U51,D$10:D$26)</f>
        <v>41719931.423455998</v>
      </c>
      <c r="J51" s="114">
        <f>SUMIF($B$10:$B$26,$T51,E$10:E$26)+SUMIF($B$10:$B$26,$U51,E$10:E$26)</f>
        <v>127850860.93978301</v>
      </c>
      <c r="K51" s="114">
        <f t="shared" ref="K51:K64" si="1">SUM(H51:J51)</f>
        <v>390839497.42565501</v>
      </c>
      <c r="L51" s="187">
        <f t="shared" ref="L51:L65" si="2">IFERROR(K51/G51,0)</f>
        <v>0.75984482362272476</v>
      </c>
      <c r="M51" s="184">
        <f t="shared" ref="M51:M64" si="3">G51*$H$40-K51</f>
        <v>97809646.46681881</v>
      </c>
      <c r="N51" s="184">
        <f t="shared" ref="N51:N65" ca="1" si="4">IFERROR(M51/$C$3,0)</f>
        <v>13972806.638116973</v>
      </c>
      <c r="O51" s="180">
        <f t="shared" ref="O51:O64" si="5">G51*$J$40-K51</f>
        <v>123528022.46115959</v>
      </c>
      <c r="P51" s="180">
        <f t="shared" ref="P51:P65" ca="1" si="6">IFERROR(O51/$C$3,0)</f>
        <v>17646860.351594228</v>
      </c>
      <c r="Q51" s="185">
        <f t="shared" ref="Q51:Q64" si="7">G51*$L$40-K51</f>
        <v>123528022.46115959</v>
      </c>
      <c r="R51" s="185">
        <f t="shared" ref="R51:R65" ca="1" si="8">IFERROR(Q51/$C$3,0)</f>
        <v>17646860.351594228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>SUMIF($B$10:$B$26,$T52,C$10:C$26)+SUMIF($B$10:$B$26,$U52,C$10:C$26)</f>
        <v>173621211.06792399</v>
      </c>
      <c r="I52" s="114">
        <f>SUMIF($B$10:$B$26,$T52,D$10:D$26)+SUMIF($B$10:$B$26,$U52,D$10:D$26)</f>
        <v>83567264.991497993</v>
      </c>
      <c r="J52" s="114">
        <f>SUMIF($B$10:$B$26,$T52,E$10:E$26)+SUMIF($B$10:$B$26,$U52,E$10:E$26)</f>
        <v>303440455.35922694</v>
      </c>
      <c r="K52" s="114">
        <f t="shared" si="1"/>
        <v>560628931.41864896</v>
      </c>
      <c r="L52" s="187">
        <f t="shared" si="2"/>
        <v>0.71370068393731445</v>
      </c>
      <c r="M52" s="184">
        <f t="shared" si="3"/>
        <v>185618755.93048549</v>
      </c>
      <c r="N52" s="184">
        <f t="shared" ca="1" si="4"/>
        <v>26516965.132926498</v>
      </c>
      <c r="O52" s="180">
        <f t="shared" si="5"/>
        <v>224894950.00149262</v>
      </c>
      <c r="P52" s="180">
        <f t="shared" ca="1" si="6"/>
        <v>32127850.000213232</v>
      </c>
      <c r="Q52" s="185">
        <f t="shared" si="7"/>
        <v>224894950.00149262</v>
      </c>
      <c r="R52" s="185">
        <f t="shared" ca="1" si="8"/>
        <v>32127850.000213232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>SUMIF($B$10:$B$26,$T53,C$10:C$26)+SUMIF($B$10:$B$26,$U53,C$10:C$26)</f>
        <v>57858708.960000001</v>
      </c>
      <c r="I53" s="114">
        <f>SUMIF($B$10:$B$26,$T53,D$10:D$26)+SUMIF($B$10:$B$26,$U53,D$10:D$26)</f>
        <v>0</v>
      </c>
      <c r="J53" s="114">
        <f>SUMIF($B$10:$B$26,$T53,E$10:E$26)+SUMIF($B$10:$B$26,$U53,E$10:E$26)</f>
        <v>0</v>
      </c>
      <c r="K53" s="114">
        <f t="shared" si="1"/>
        <v>57858708.960000001</v>
      </c>
      <c r="L53" s="187">
        <f t="shared" si="2"/>
        <v>0.22003432492700731</v>
      </c>
      <c r="M53" s="184">
        <f t="shared" si="3"/>
        <v>191946740.84986019</v>
      </c>
      <c r="N53" s="184">
        <f t="shared" ca="1" si="4"/>
        <v>27420962.978551455</v>
      </c>
      <c r="O53" s="180">
        <f t="shared" si="5"/>
        <v>205094396.10301074</v>
      </c>
      <c r="P53" s="180">
        <f t="shared" ca="1" si="6"/>
        <v>29299199.44328725</v>
      </c>
      <c r="Q53" s="185">
        <f t="shared" si="7"/>
        <v>205094396.10301074</v>
      </c>
      <c r="R53" s="185">
        <f t="shared" ca="1" si="8"/>
        <v>29299199.44328725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>SUMIF($B$10:$B$26,$T54,C$10:C$26)+SUMIF($B$10:$B$26,$U54,C$10:C$26)</f>
        <v>423669713.43459803</v>
      </c>
      <c r="I54" s="114">
        <f>SUMIF($B$10:$B$26,$T54,D$10:D$26)+SUMIF($B$10:$B$26,$U54,D$10:D$26)</f>
        <v>38215060.301464997</v>
      </c>
      <c r="J54" s="114">
        <f>SUMIF($B$10:$B$26,$T54,E$10:E$26)+SUMIF($B$10:$B$26,$U54,E$10:E$26)</f>
        <v>138709153.37987801</v>
      </c>
      <c r="K54" s="114">
        <f t="shared" si="1"/>
        <v>600593927.11594105</v>
      </c>
      <c r="L54" s="187">
        <f t="shared" si="2"/>
        <v>0.82649955572023992</v>
      </c>
      <c r="M54" s="184">
        <f t="shared" si="3"/>
        <v>89744291.230631232</v>
      </c>
      <c r="N54" s="184">
        <f t="shared" ca="1" si="4"/>
        <v>12820613.032947319</v>
      </c>
      <c r="O54" s="180">
        <f t="shared" si="5"/>
        <v>126077881.6699245</v>
      </c>
      <c r="P54" s="180">
        <f t="shared" ca="1" si="6"/>
        <v>18011125.952846356</v>
      </c>
      <c r="Q54" s="185">
        <f t="shared" si="7"/>
        <v>126077881.6699245</v>
      </c>
      <c r="R54" s="185">
        <f t="shared" ca="1" si="8"/>
        <v>18011125.952846356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>SUMIF($B$10:$B$26,$T55,C$10:C$26)+SUMIF($B$10:$B$26,$U55,C$10:C$26)</f>
        <v>4173423.4199979999</v>
      </c>
      <c r="I55" s="114">
        <f>SUMIF($B$10:$B$26,$T55,D$10:D$26)+SUMIF($B$10:$B$26,$U55,D$10:D$26)</f>
        <v>30250983.5</v>
      </c>
      <c r="J55" s="114">
        <f>SUMIF($B$10:$B$26,$T55,E$10:E$26)+SUMIF($B$10:$B$26,$U55,E$10:E$26)</f>
        <v>199157658.6392</v>
      </c>
      <c r="K55" s="114">
        <f t="shared" si="1"/>
        <v>233582065.55919799</v>
      </c>
      <c r="L55" s="187">
        <f t="shared" si="2"/>
        <v>0.43481316257019165</v>
      </c>
      <c r="M55" s="184">
        <f t="shared" si="3"/>
        <v>276758884.03295338</v>
      </c>
      <c r="N55" s="184">
        <f t="shared" ca="1" si="4"/>
        <v>39536983.433279052</v>
      </c>
      <c r="O55" s="180">
        <f t="shared" si="5"/>
        <v>303618934.0114876</v>
      </c>
      <c r="P55" s="180">
        <f t="shared" ca="1" si="6"/>
        <v>43374133.430212513</v>
      </c>
      <c r="Q55" s="185">
        <f t="shared" si="7"/>
        <v>303618934.0114876</v>
      </c>
      <c r="R55" s="185">
        <f t="shared" ca="1" si="8"/>
        <v>43374133.430212513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226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>SUMIF($B$10:$B$26,$T56,C$10:C$26)+SUMIF($B$10:$B$26,$U56,C$10:C$26)</f>
        <v>157144378.35867101</v>
      </c>
      <c r="I56" s="114">
        <f>SUMIF($B$10:$B$26,$T56,D$10:D$26)+SUMIF($B$10:$B$26,$U56,D$10:D$26)</f>
        <v>44687069.909941003</v>
      </c>
      <c r="J56" s="114">
        <f>SUMIF($B$10:$B$26,$T56,E$10:E$26)+SUMIF($B$10:$B$26,$U56,E$10:E$26)</f>
        <v>126616820.968173</v>
      </c>
      <c r="K56" s="114">
        <f t="shared" si="1"/>
        <v>328448269.23678505</v>
      </c>
      <c r="L56" s="187">
        <f t="shared" si="2"/>
        <v>0.57126804222699656</v>
      </c>
      <c r="M56" s="184">
        <f t="shared" si="3"/>
        <v>217750419.83842242</v>
      </c>
      <c r="N56" s="184">
        <f t="shared" ca="1" si="4"/>
        <v>31107202.834060345</v>
      </c>
      <c r="O56" s="180">
        <f t="shared" si="5"/>
        <v>246497719.26343334</v>
      </c>
      <c r="P56" s="180">
        <f t="shared" ca="1" si="6"/>
        <v>35213959.894776188</v>
      </c>
      <c r="Q56" s="185">
        <f t="shared" si="7"/>
        <v>246497719.26343334</v>
      </c>
      <c r="R56" s="185">
        <f t="shared" ca="1" si="8"/>
        <v>35213959.894776188</v>
      </c>
      <c r="T56" t="s">
        <v>225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>SUMIF($B$10:$B$26,$T57,C$10:C$26)+SUMIF($B$10:$B$26,$U57,C$10:C$26)</f>
        <v>403308935.481655</v>
      </c>
      <c r="I57" s="114">
        <f>SUMIF($B$10:$B$26,$T57,D$10:D$26)+SUMIF($B$10:$B$26,$U57,D$10:D$26)</f>
        <v>38062931.419927001</v>
      </c>
      <c r="J57" s="114">
        <f>SUMIF($B$10:$B$26,$T57,E$10:E$26)+SUMIF($B$10:$B$26,$U57,E$10:E$26)</f>
        <v>263379730.93952</v>
      </c>
      <c r="K57" s="114">
        <f t="shared" si="1"/>
        <v>704751597.841102</v>
      </c>
      <c r="L57" s="187">
        <f t="shared" si="2"/>
        <v>0.63537840088578024</v>
      </c>
      <c r="M57" s="184">
        <f t="shared" si="3"/>
        <v>348973264.40740728</v>
      </c>
      <c r="N57" s="184">
        <f t="shared" ca="1" si="4"/>
        <v>49853323.48677247</v>
      </c>
      <c r="O57" s="180">
        <f t="shared" si="5"/>
        <v>404432467.68364465</v>
      </c>
      <c r="P57" s="180">
        <f t="shared" ca="1" si="6"/>
        <v>57776066.811949238</v>
      </c>
      <c r="Q57" s="185">
        <f t="shared" si="7"/>
        <v>404432467.68364465</v>
      </c>
      <c r="R57" s="185">
        <f t="shared" ca="1" si="8"/>
        <v>57776066.811949238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>SUMIF($B$10:$B$26,$T58,C$10:C$26)+SUMIF($B$10:$B$26,$U58,C$10:C$26)</f>
        <v>218343790.722233</v>
      </c>
      <c r="I58" s="114">
        <f>SUMIF($B$10:$B$26,$T58,D$10:D$26)+SUMIF($B$10:$B$26,$U58,D$10:D$26)</f>
        <v>55894289.419963002</v>
      </c>
      <c r="J58" s="114">
        <f>SUMIF($B$10:$B$26,$T58,E$10:E$26)+SUMIF($B$10:$B$26,$U58,E$10:E$26)</f>
        <v>162558650.86619499</v>
      </c>
      <c r="K58" s="114">
        <f t="shared" si="1"/>
        <v>436796731.00839102</v>
      </c>
      <c r="L58" s="187">
        <f t="shared" si="2"/>
        <v>0.7107229531608632</v>
      </c>
      <c r="M58" s="184">
        <f t="shared" si="3"/>
        <v>147055095.65978634</v>
      </c>
      <c r="N58" s="184">
        <f t="shared" ca="1" si="4"/>
        <v>21007870.808540907</v>
      </c>
      <c r="O58" s="180">
        <f t="shared" si="5"/>
        <v>177784139.16863787</v>
      </c>
      <c r="P58" s="180">
        <f t="shared" ca="1" si="6"/>
        <v>25397734.166948266</v>
      </c>
      <c r="Q58" s="185">
        <f t="shared" si="7"/>
        <v>177784139.16863787</v>
      </c>
      <c r="R58" s="185">
        <f t="shared" ca="1" si="8"/>
        <v>25397734.166948266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>SUMIF($B$10:$B$26,$T59,C$10:C$26)+SUMIF($B$10:$B$26,$U59,C$10:C$26)</f>
        <v>188527227.16</v>
      </c>
      <c r="I59" s="114">
        <f>SUMIF($B$10:$B$26,$T59,D$10:D$26)+SUMIF($B$10:$B$26,$U59,D$10:D$26)</f>
        <v>0</v>
      </c>
      <c r="J59" s="114">
        <f>SUMIF($B$10:$B$26,$T59,E$10:E$26)+SUMIF($B$10:$B$26,$U59,E$10:E$26)</f>
        <v>0</v>
      </c>
      <c r="K59" s="114">
        <f t="shared" si="1"/>
        <v>188527227.16</v>
      </c>
      <c r="L59" s="187">
        <f t="shared" si="2"/>
        <v>0.42475751322201688</v>
      </c>
      <c r="M59" s="184">
        <f t="shared" si="3"/>
        <v>233127152.63759902</v>
      </c>
      <c r="N59" s="184">
        <f t="shared" ca="1" si="4"/>
        <v>33303878.94822843</v>
      </c>
      <c r="O59" s="180">
        <f t="shared" si="5"/>
        <v>255319488.41642001</v>
      </c>
      <c r="P59" s="180">
        <f t="shared" ca="1" si="6"/>
        <v>36474212.630917147</v>
      </c>
      <c r="Q59" s="185">
        <f t="shared" si="7"/>
        <v>255319488.41642001</v>
      </c>
      <c r="R59" s="185">
        <f t="shared" ca="1" si="8"/>
        <v>36474212.630917147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>SUMIF($B$10:$B$26,$T60,C$10:C$26)+SUMIF($B$10:$B$26,$U60,C$10:C$26)</f>
        <v>259986756.55092999</v>
      </c>
      <c r="I60" s="114">
        <f>SUMIF($B$10:$B$26,$T60,D$10:D$26)+SUMIF($B$10:$B$26,$U60,D$10:D$26)</f>
        <v>75962454.816541001</v>
      </c>
      <c r="J60" s="114">
        <f>SUMIF($B$10:$B$26,$T60,E$10:E$26)+SUMIF($B$10:$B$26,$U60,E$10:E$26)</f>
        <v>85307067.912571996</v>
      </c>
      <c r="K60" s="114">
        <f t="shared" si="1"/>
        <v>421256279.28004301</v>
      </c>
      <c r="L60" s="187">
        <f t="shared" si="2"/>
        <v>0.72732443093190569</v>
      </c>
      <c r="M60" s="184">
        <f t="shared" si="3"/>
        <v>128970618.50652146</v>
      </c>
      <c r="N60" s="184">
        <f t="shared" ca="1" si="4"/>
        <v>18424374.07236021</v>
      </c>
      <c r="O60" s="180">
        <f t="shared" si="5"/>
        <v>157929928.91634071</v>
      </c>
      <c r="P60" s="180">
        <f t="shared" ca="1" si="6"/>
        <v>22561418.416620102</v>
      </c>
      <c r="Q60" s="185">
        <f t="shared" si="7"/>
        <v>157929928.91634071</v>
      </c>
      <c r="R60" s="185">
        <f t="shared" ca="1" si="8"/>
        <v>22561418.416620102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>SUMIF($B$10:$B$26,$T61,C$10:C$26)+SUMIF($B$10:$B$26,$U61,C$10:C$26)</f>
        <v>386015669.137429</v>
      </c>
      <c r="I61" s="114">
        <f>SUMIF($B$10:$B$26,$T61,D$10:D$26)+SUMIF($B$10:$B$26,$U61,D$10:D$26)</f>
        <v>55017470.924923003</v>
      </c>
      <c r="J61" s="114">
        <f>SUMIF($B$10:$B$26,$T61,E$10:E$26)+SUMIF($B$10:$B$26,$U61,E$10:E$26)</f>
        <v>174500614.40990701</v>
      </c>
      <c r="K61" s="114">
        <f t="shared" si="1"/>
        <v>615533754.47225904</v>
      </c>
      <c r="L61" s="187">
        <f t="shared" si="2"/>
        <v>0.8589728408352949</v>
      </c>
      <c r="M61" s="184">
        <f t="shared" si="3"/>
        <v>65229407.003263354</v>
      </c>
      <c r="N61" s="184">
        <f t="shared" ca="1" si="4"/>
        <v>9318486.7147519086</v>
      </c>
      <c r="O61" s="180">
        <f t="shared" si="5"/>
        <v>101059047.08092248</v>
      </c>
      <c r="P61" s="180">
        <f t="shared" ca="1" si="6"/>
        <v>14437006.725846069</v>
      </c>
      <c r="Q61" s="185">
        <f t="shared" si="7"/>
        <v>101059047.08092248</v>
      </c>
      <c r="R61" s="185">
        <f t="shared" ca="1" si="8"/>
        <v>14437006.725846069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>SUMIF($B$10:$B$26,$T62,C$10:C$26)+SUMIF($B$10:$B$26,$U62,C$10:C$26)</f>
        <v>122534293.762722</v>
      </c>
      <c r="I62" s="114">
        <f>SUMIF($B$10:$B$26,$T62,D$10:D$26)+SUMIF($B$10:$B$26,$U62,D$10:D$26)</f>
        <v>33718196.818899997</v>
      </c>
      <c r="J62" s="114">
        <f>SUMIF($B$10:$B$26,$T62,E$10:E$26)+SUMIF($B$10:$B$26,$U62,E$10:E$26)</f>
        <v>175612225.567045</v>
      </c>
      <c r="K62" s="114">
        <f t="shared" si="1"/>
        <v>331864716.14866698</v>
      </c>
      <c r="L62" s="187">
        <f t="shared" si="2"/>
        <v>0.69569923664857669</v>
      </c>
      <c r="M62" s="184">
        <f t="shared" si="3"/>
        <v>121307378.53409445</v>
      </c>
      <c r="N62" s="184">
        <f t="shared" ca="1" si="4"/>
        <v>17329625.504870635</v>
      </c>
      <c r="O62" s="180">
        <f t="shared" si="5"/>
        <v>145158541.41213453</v>
      </c>
      <c r="P62" s="180">
        <f t="shared" ca="1" si="6"/>
        <v>20736934.487447791</v>
      </c>
      <c r="Q62" s="185">
        <f t="shared" si="7"/>
        <v>145158541.41213453</v>
      </c>
      <c r="R62" s="185">
        <f t="shared" ca="1" si="8"/>
        <v>20736934.487447791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>SUMIF($B$10:$B$26,$T63,C$10:C$26)+SUMIF($B$10:$B$26,$U63,C$10:C$26)</f>
        <v>399272594.47329497</v>
      </c>
      <c r="I63" s="114">
        <f>SUMIF($B$10:$B$26,$T63,D$10:D$26)+SUMIF($B$10:$B$26,$U63,D$10:D$26)</f>
        <v>254167394.92625701</v>
      </c>
      <c r="J63" s="114">
        <f>SUMIF($B$10:$B$26,$T63,E$10:E$26)+SUMIF($B$10:$B$26,$U63,E$10:E$26)</f>
        <v>229102206.125873</v>
      </c>
      <c r="K63" s="114">
        <f t="shared" si="1"/>
        <v>882542195.52542496</v>
      </c>
      <c r="L63" s="187">
        <f t="shared" si="2"/>
        <v>0.90149707547396607</v>
      </c>
      <c r="M63" s="184">
        <f t="shared" si="3"/>
        <v>47483101.903691173</v>
      </c>
      <c r="N63" s="184">
        <f t="shared" ca="1" si="4"/>
        <v>6783300.2719558822</v>
      </c>
      <c r="O63" s="180">
        <f t="shared" si="5"/>
        <v>96431801.768381596</v>
      </c>
      <c r="P63" s="180">
        <f t="shared" ca="1" si="6"/>
        <v>13775971.681197371</v>
      </c>
      <c r="Q63" s="185">
        <f t="shared" si="7"/>
        <v>96431801.768381596</v>
      </c>
      <c r="R63" s="185">
        <f t="shared" ca="1" si="8"/>
        <v>13775971.681197371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>SUMIF($B$10:$B$26,$T64,C$10:C$26)+SUMIF($B$10:$B$26,$U64,C$10:C$26)</f>
        <v>106404263.40502599</v>
      </c>
      <c r="I64" s="114">
        <f>SUMIF($B$10:$B$26,$T64,D$10:D$26)+SUMIF($B$10:$B$26,$U64,D$10:D$26)</f>
        <v>146124139.012555</v>
      </c>
      <c r="J64" s="114">
        <f>SUMIF($B$10:$B$26,$T64,E$10:E$26)+SUMIF($B$10:$B$26,$U64,E$10:E$26)</f>
        <v>128456685.06884199</v>
      </c>
      <c r="K64" s="114">
        <f t="shared" si="1"/>
        <v>380985087.48642302</v>
      </c>
      <c r="L64" s="187">
        <f t="shared" si="2"/>
        <v>0.70958265085685213</v>
      </c>
      <c r="M64" s="184">
        <f t="shared" si="3"/>
        <v>129083517.87624818</v>
      </c>
      <c r="N64" s="184">
        <f t="shared" ca="1" si="4"/>
        <v>18440502.55374974</v>
      </c>
      <c r="O64" s="180">
        <f t="shared" si="5"/>
        <v>155929233.94796777</v>
      </c>
      <c r="P64" s="180">
        <f t="shared" ca="1" si="6"/>
        <v>22275604.849709682</v>
      </c>
      <c r="Q64" s="185">
        <f t="shared" si="7"/>
        <v>155929233.94796777</v>
      </c>
      <c r="R64" s="185">
        <f t="shared" ca="1" si="8"/>
        <v>22275604.849709682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9">SUM(D51:D64)</f>
        <v>4511786033.6993961</v>
      </c>
      <c r="E65" s="134">
        <f t="shared" si="9"/>
        <v>1401365310.515415</v>
      </c>
      <c r="F65" s="134">
        <f t="shared" si="9"/>
        <v>2944814196.3286853</v>
      </c>
      <c r="G65" s="134">
        <f t="shared" si="9"/>
        <v>8857965540.5434952</v>
      </c>
      <c r="H65" s="135">
        <f t="shared" si="9"/>
        <v>3122129670.9968972</v>
      </c>
      <c r="I65" s="135">
        <f t="shared" si="9"/>
        <v>897387187.46542609</v>
      </c>
      <c r="J65" s="135">
        <f t="shared" si="9"/>
        <v>2114692130.1762149</v>
      </c>
      <c r="K65" s="135">
        <f t="shared" si="9"/>
        <v>6134208988.6385384</v>
      </c>
      <c r="L65" s="189">
        <f t="shared" si="2"/>
        <v>0.69250765997698427</v>
      </c>
      <c r="M65" s="181">
        <f>SUM(M51:M64)</f>
        <v>2280858274.8777828</v>
      </c>
      <c r="N65" s="181">
        <f t="shared" ca="1" si="4"/>
        <v>325836896.41111183</v>
      </c>
      <c r="O65" s="181">
        <f>SUM(O51:O64)</f>
        <v>2723756551.9049587</v>
      </c>
      <c r="P65" s="181">
        <f t="shared" ca="1" si="6"/>
        <v>389108078.84356552</v>
      </c>
      <c r="Q65" s="186">
        <f>SUM(Q51:Q64)</f>
        <v>2723756551.9049587</v>
      </c>
      <c r="R65" s="186">
        <f t="shared" ca="1" si="8"/>
        <v>389108078.84356552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203469688.08525699</v>
      </c>
      <c r="F69" s="187">
        <f t="shared" ref="F69:F74" si="10">IFERROR(E69/D69,0)</f>
        <v>0.79400480165887521</v>
      </c>
      <c r="G69" s="184">
        <f>D69*$H$40-E69</f>
        <v>39974940.054459393</v>
      </c>
      <c r="H69" s="184">
        <f t="shared" ref="H69:H74" ca="1" si="11">IFERROR(G69/$C$3,0)</f>
        <v>5710705.7220656276</v>
      </c>
      <c r="I69" s="204">
        <f>D69*$J$40-E69</f>
        <v>52787815.219707638</v>
      </c>
      <c r="J69" s="204">
        <f t="shared" ref="J69:J74" ca="1" si="12">IFERROR(I69/$C$3,0)</f>
        <v>7541116.4599582339</v>
      </c>
      <c r="K69" s="185">
        <f>D69*$L$40-E69</f>
        <v>52787815.219707638</v>
      </c>
      <c r="L69" s="185">
        <f t="shared" ref="L69:L74" ca="1" si="13">IFERROR(K69/$C$3,0)</f>
        <v>7541116.4599582339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415017182.90095901</v>
      </c>
      <c r="F70" s="187">
        <f t="shared" si="10"/>
        <v>1.038689638660881</v>
      </c>
      <c r="G70" s="184">
        <f>D70*$H$40-E70</f>
        <v>-35436691.211242676</v>
      </c>
      <c r="H70" s="184">
        <f t="shared" ca="1" si="11"/>
        <v>-5062384.4587489534</v>
      </c>
      <c r="I70" s="204">
        <f>D70*$J$40-E70</f>
        <v>-15458770.595994413</v>
      </c>
      <c r="J70" s="204">
        <f t="shared" ca="1" si="12"/>
        <v>-2208395.7994277733</v>
      </c>
      <c r="K70" s="185">
        <f>D70*$L$40-E70</f>
        <v>-15458770.595994413</v>
      </c>
      <c r="L70" s="185">
        <f t="shared" ca="1" si="13"/>
        <v>-2208395.7994277733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932747039.34663296</v>
      </c>
      <c r="F71" s="187">
        <f t="shared" si="10"/>
        <v>0.85998411347698056</v>
      </c>
      <c r="G71" s="184">
        <f>D71*$H$40-E71</f>
        <v>97632096.143083334</v>
      </c>
      <c r="H71" s="184">
        <f t="shared" ca="1" si="11"/>
        <v>13947442.306154761</v>
      </c>
      <c r="I71" s="204">
        <f>D71*$J$40-E71</f>
        <v>151862576.95833158</v>
      </c>
      <c r="J71" s="204">
        <f t="shared" ca="1" si="12"/>
        <v>21694653.851190228</v>
      </c>
      <c r="K71" s="185">
        <f>D71*$L$40-E71</f>
        <v>151862576.95833158</v>
      </c>
      <c r="L71" s="185">
        <f t="shared" ca="1" si="13"/>
        <v>21694653.851190228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0"/>
        <v>0</v>
      </c>
      <c r="G72" s="184">
        <f>D72*$H$40-E72</f>
        <v>0</v>
      </c>
      <c r="H72" s="184">
        <f t="shared" ca="1" si="11"/>
        <v>0</v>
      </c>
      <c r="I72" s="204">
        <f>D72*$J$40-E72</f>
        <v>0</v>
      </c>
      <c r="J72" s="204">
        <f t="shared" ca="1" si="12"/>
        <v>0</v>
      </c>
      <c r="K72" s="185">
        <f>D72*$L$40-E72</f>
        <v>0</v>
      </c>
      <c r="L72" s="185">
        <f t="shared" ca="1" si="13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0"/>
        <v>0</v>
      </c>
      <c r="G73" s="184">
        <f>D73*$H$40-E73</f>
        <v>0</v>
      </c>
      <c r="H73" s="184">
        <f t="shared" ca="1" si="11"/>
        <v>0</v>
      </c>
      <c r="I73" s="204">
        <f>D73*$J$40-E73</f>
        <v>0</v>
      </c>
      <c r="J73" s="204">
        <f t="shared" ca="1" si="12"/>
        <v>0</v>
      </c>
      <c r="K73" s="185">
        <f>D73*$L$40-E73</f>
        <v>0</v>
      </c>
      <c r="L73" s="185">
        <f t="shared" ca="1" si="13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1551233910.332849</v>
      </c>
      <c r="F74" s="177">
        <f t="shared" si="10"/>
        <v>0.89129576755065898</v>
      </c>
      <c r="G74" s="181">
        <f>SUM(G69:G73)</f>
        <v>102170344.98630005</v>
      </c>
      <c r="H74" s="181">
        <f t="shared" ca="1" si="11"/>
        <v>14595763.569471436</v>
      </c>
      <c r="I74" s="186">
        <f>SUM(I69:I73)</f>
        <v>189191621.58204481</v>
      </c>
      <c r="J74" s="186">
        <f t="shared" ca="1" si="12"/>
        <v>27027374.511720687</v>
      </c>
      <c r="K74" s="186">
        <f>SUM(K69:K73)</f>
        <v>189191621.58204481</v>
      </c>
      <c r="L74" s="186">
        <f t="shared" ca="1" si="13"/>
        <v>27027374.511720687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340035346.74985999</v>
      </c>
      <c r="T80" t="str">
        <f t="shared" ref="T80:U93" si="14">T51</f>
        <v>Picrom Stalyon</v>
      </c>
      <c r="U80" t="str">
        <f t="shared" si="14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>SUMIF($B$10:$B$26,$T81,$F$10:$F$26)+SUMIF($B$10:$B$26,$U81,$F$10:$F$26)</f>
        <v>131602717.80000001</v>
      </c>
      <c r="T81" t="str">
        <f t="shared" si="14"/>
        <v>I MADE LUIH</v>
      </c>
      <c r="U81" t="str">
        <f t="shared" si="14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>SUMIF($B$10:$B$26,$T82,$F$10:$F$26)+SUMIF($B$10:$B$26,$U82,$F$10:$F$26)</f>
        <v>7027026.8399999999</v>
      </c>
      <c r="T82" t="str">
        <f t="shared" si="14"/>
        <v>NN Made Luih</v>
      </c>
      <c r="U82" t="str">
        <f t="shared" si="14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>SUMIF($B$10:$B$26,$T83,$F$10:$F$26)+SUMIF($B$10:$B$26,$U83,$F$10:$F$26)</f>
        <v>342828960.75976998</v>
      </c>
      <c r="T83" t="str">
        <f t="shared" si="14"/>
        <v>Juni</v>
      </c>
      <c r="U83" t="str">
        <f t="shared" si="14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>SUMIF($B$10:$B$26,$T84,$F$10:$F$26)+SUMIF($B$10:$B$26,$U84,$F$10:$F$26)</f>
        <v>0</v>
      </c>
      <c r="T84" t="str">
        <f t="shared" si="14"/>
        <v>FIB</v>
      </c>
      <c r="U84" t="str">
        <f t="shared" si="14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>SUMIF($B$10:$B$26,$T85,$F$10:$F$26)+SUMIF($B$10:$B$26,$U85,$F$10:$F$26)</f>
        <v>56855405.259999998</v>
      </c>
      <c r="T85" t="str">
        <f t="shared" si="14"/>
        <v>Ronald</v>
      </c>
      <c r="U85" t="str">
        <f t="shared" si="14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>SUMIF($B$10:$B$26,$T86,$F$10:$F$26)+SUMIF($B$10:$B$26,$U86,$F$10:$F$26)</f>
        <v>830718820.72996902</v>
      </c>
      <c r="T86" t="str">
        <f t="shared" si="14"/>
        <v>Monica</v>
      </c>
      <c r="U86" t="str">
        <f t="shared" si="14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>SUMIF($B$10:$B$26,$T87,$F$10:$F$26)+SUMIF($B$10:$B$26,$U87,$F$10:$F$26)</f>
        <v>257288564.68950501</v>
      </c>
      <c r="T87" t="str">
        <f t="shared" si="14"/>
        <v>Sujana</v>
      </c>
      <c r="U87" t="str">
        <f t="shared" si="14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>SUMIF($B$10:$B$26,$T88,$F$10:$F$26)+SUMIF($B$10:$B$26,$U88,$F$10:$F$26)</f>
        <v>9813783.5199999996</v>
      </c>
      <c r="T88" t="str">
        <f t="shared" si="14"/>
        <v>NN Sujana</v>
      </c>
      <c r="U88" t="str">
        <f t="shared" si="14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>SUMIF($B$10:$B$26,$T89,$F$10:$F$26)+SUMIF($B$10:$B$26,$U89,$F$10:$F$26)</f>
        <v>39783784.579999998</v>
      </c>
      <c r="T89" t="str">
        <f t="shared" si="14"/>
        <v>Wahyu</v>
      </c>
      <c r="U89" t="str">
        <f t="shared" si="14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>SUMIF($B$10:$B$26,$T90,$F$10:$F$26)+SUMIF($B$10:$B$26,$U90,$F$10:$F$26)</f>
        <v>483452299.52950501</v>
      </c>
      <c r="T90" t="str">
        <f t="shared" si="14"/>
        <v>Taufik</v>
      </c>
      <c r="U90" t="str">
        <f t="shared" si="14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>SUMIF($B$10:$B$26,$T91,$F$10:$F$26)+SUMIF($B$10:$B$26,$U91,$F$10:$F$26)</f>
        <v>126163149.179938</v>
      </c>
      <c r="T91" t="str">
        <f t="shared" si="14"/>
        <v>Dewi Kristiani</v>
      </c>
      <c r="U91" t="str">
        <f t="shared" si="14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>SUMIF($B$10:$B$26,$T92,$F$10:$F$26)+SUMIF($B$10:$B$26,$U92,$F$10:$F$26)</f>
        <v>18013297.6536</v>
      </c>
      <c r="T92" t="str">
        <f t="shared" si="14"/>
        <v>Wira</v>
      </c>
      <c r="U92" t="str">
        <f t="shared" si="14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>SUMIF($B$10:$B$26,$T93,$F$10:$F$26)+SUMIF($B$10:$B$26,$U93,$F$10:$F$26)</f>
        <v>141271894.81800002</v>
      </c>
      <c r="T93" t="str">
        <f t="shared" si="14"/>
        <v>Ni Ketut Sriasih (GT)</v>
      </c>
      <c r="U93" t="str">
        <f t="shared" si="14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2784855052.1101465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163</v>
      </c>
      <c r="C40" s="260"/>
      <c r="D40" s="261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175</v>
      </c>
      <c r="C40" s="260"/>
      <c r="D40" s="261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177</v>
      </c>
      <c r="C40" s="260"/>
      <c r="D40" s="261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2026-09-19T00:41:51Z</cp:lastPrinted>
  <dcterms:created xsi:type="dcterms:W3CDTF">2026-03-24T08:59:20Z</dcterms:created>
  <dcterms:modified xsi:type="dcterms:W3CDTF">2026-09-23T00:53:44Z</dcterms:modified>
  <dc:language>en-US</dc:language>
</cp:coreProperties>
</file>